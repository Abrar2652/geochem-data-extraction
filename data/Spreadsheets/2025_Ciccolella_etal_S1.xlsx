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26" documentId="13_ncr:1_{F1243486-BEAF-BD42-97F8-FCDE582E84FE}" xr6:coauthVersionLast="47" xr6:coauthVersionMax="47" xr10:uidLastSave="{3126AFDD-2A3B-44C9-A033-6CF272336273}"/>
  <bookViews>
    <workbookView xWindow="86280" yWindow="8580" windowWidth="29040" windowHeight="17520" xr2:uid="{4182DEA2-C514-B84A-A4D1-DA64E2690150}"/>
  </bookViews>
  <sheets>
    <sheet name="Table 1 EP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1" l="1"/>
  <c r="O105" i="1"/>
  <c r="P105" i="1"/>
  <c r="Q105" i="1"/>
  <c r="R105" i="1"/>
  <c r="S105" i="1"/>
  <c r="M105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4" i="1"/>
  <c r="F98" i="1"/>
  <c r="K40" i="1"/>
  <c r="K41" i="1"/>
  <c r="K42" i="1"/>
  <c r="K43" i="1"/>
  <c r="K44" i="1"/>
  <c r="K45" i="1"/>
  <c r="K46" i="1"/>
  <c r="K90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1" i="1"/>
  <c r="K92" i="1"/>
  <c r="K93" i="1"/>
  <c r="K94" i="1"/>
  <c r="K95" i="1"/>
  <c r="K96" i="1"/>
  <c r="K4" i="1"/>
  <c r="E101" i="1" l="1"/>
  <c r="F101" i="1"/>
  <c r="G101" i="1"/>
  <c r="H101" i="1"/>
  <c r="I101" i="1"/>
  <c r="J101" i="1"/>
  <c r="D101" i="1"/>
  <c r="D100" i="1"/>
  <c r="D102" i="1" l="1"/>
  <c r="J102" i="1" l="1"/>
  <c r="I102" i="1"/>
  <c r="H102" i="1"/>
  <c r="G102" i="1"/>
  <c r="F102" i="1"/>
  <c r="E102" i="1"/>
  <c r="J100" i="1"/>
  <c r="I100" i="1"/>
  <c r="H100" i="1"/>
  <c r="G100" i="1"/>
  <c r="F100" i="1"/>
  <c r="E100" i="1"/>
  <c r="J99" i="1"/>
  <c r="I99" i="1"/>
  <c r="H99" i="1"/>
  <c r="G99" i="1"/>
  <c r="F99" i="1"/>
  <c r="E99" i="1"/>
  <c r="D99" i="1"/>
  <c r="J98" i="1"/>
  <c r="I98" i="1"/>
  <c r="H98" i="1"/>
  <c r="G98" i="1"/>
  <c r="E98" i="1"/>
  <c r="D98" i="1"/>
</calcChain>
</file>

<file path=xl/sharedStrings.xml><?xml version="1.0" encoding="utf-8"?>
<sst xmlns="http://schemas.openxmlformats.org/spreadsheetml/2006/main" count="461" uniqueCount="137">
  <si>
    <t>analysis spot</t>
  </si>
  <si>
    <t>LGB06a-1La-1T 001</t>
  </si>
  <si>
    <t>sp1</t>
  </si>
  <si>
    <t>b.d.l.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</si>
  <si>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</si>
  <si>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</si>
  <si>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</si>
  <si>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</si>
  <si>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</si>
  <si>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</si>
  <si>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</si>
  <si>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</si>
  <si>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</si>
  <si>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</si>
  <si>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</si>
  <si>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</si>
  <si>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</si>
  <si>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</si>
  <si>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</si>
  <si>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</si>
  <si>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</si>
  <si>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</si>
  <si>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</si>
  <si>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</si>
  <si>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</si>
  <si>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</si>
  <si>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</si>
  <si>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</si>
  <si>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</si>
  <si>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</si>
  <si>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</si>
  <si>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</si>
  <si>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</si>
  <si>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</si>
  <si>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</si>
  <si>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</si>
  <si>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</si>
  <si>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</si>
  <si>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sp2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</si>
  <si>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</si>
  <si>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</si>
  <si>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</si>
  <si>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</si>
  <si>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</si>
  <si>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</si>
  <si>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</si>
  <si>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</si>
  <si>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</si>
  <si>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</si>
  <si>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</si>
  <si>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</si>
  <si>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</si>
  <si>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</si>
  <si>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</si>
  <si>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</si>
  <si>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</si>
  <si>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</si>
  <si>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</si>
  <si>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</si>
  <si>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</si>
  <si>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</si>
  <si>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</si>
  <si>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</si>
  <si>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</si>
  <si>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</si>
  <si>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</si>
  <si>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</si>
  <si>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</si>
  <si>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</si>
  <si>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</si>
  <si>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</si>
  <si>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</si>
  <si>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</si>
  <si>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</si>
  <si>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sp3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</si>
  <si>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</si>
  <si>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</si>
  <si>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</si>
  <si>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</si>
  <si>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</si>
  <si>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</si>
  <si>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</si>
  <si>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</si>
  <si>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</si>
  <si>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</si>
  <si>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</si>
  <si>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</si>
  <si>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</si>
  <si>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</si>
  <si>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</si>
  <si>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</si>
  <si>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</si>
  <si>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</si>
  <si>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</si>
  <si>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</si>
  <si>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min</t>
  </si>
  <si>
    <t>max</t>
  </si>
  <si>
    <t>average</t>
  </si>
  <si>
    <t>S</t>
  </si>
  <si>
    <t>Mn</t>
  </si>
  <si>
    <t>Fe</t>
  </si>
  <si>
    <t>Co</t>
  </si>
  <si>
    <t>Cu</t>
  </si>
  <si>
    <t>Zn</t>
  </si>
  <si>
    <t>Cd</t>
  </si>
  <si>
    <t>L</t>
  </si>
  <si>
    <t>R</t>
  </si>
  <si>
    <t>W</t>
  </si>
  <si>
    <t>Y</t>
  </si>
  <si>
    <t>B</t>
  </si>
  <si>
    <t>D</t>
  </si>
  <si>
    <t>colour</t>
  </si>
  <si>
    <t>type</t>
  </si>
  <si>
    <t>S wt%</t>
  </si>
  <si>
    <t>Mn wt%</t>
  </si>
  <si>
    <t>Fe wt%</t>
  </si>
  <si>
    <t>Co wt%</t>
  </si>
  <si>
    <t>Cu wt%</t>
  </si>
  <si>
    <t>Zn wt%</t>
  </si>
  <si>
    <t>Cd wt%</t>
  </si>
  <si>
    <t>Total</t>
  </si>
  <si>
    <t>colour legend: W (colourless) - L (Light Yellow) - Y (Yellow) - B (Brown) - R (Reddish Brown) - D (Dark Brown)</t>
  </si>
  <si>
    <t>D.L.</t>
  </si>
  <si>
    <t>0.007</t>
  </si>
  <si>
    <t>0.013</t>
  </si>
  <si>
    <t>0.012</t>
  </si>
  <si>
    <t>0.006</t>
  </si>
  <si>
    <t>0.024</t>
  </si>
  <si>
    <t>0.010</t>
  </si>
  <si>
    <t>below detection limit</t>
  </si>
  <si>
    <t>LGB06a-1Lb-4Tb 007</t>
  </si>
  <si>
    <t>LGB06a-1Lb-4Tb 008</t>
  </si>
  <si>
    <t>n° of analyses</t>
  </si>
  <si>
    <t>median</t>
  </si>
  <si>
    <t>LGB04h_Line sp4 003</t>
  </si>
  <si>
    <t>st.dev</t>
  </si>
  <si>
    <r>
      <rPr>
        <b/>
        <sz val="11"/>
        <rFont val="Helvetica"/>
        <family val="2"/>
      </rPr>
      <t>Table S1</t>
    </r>
    <r>
      <rPr>
        <sz val="11"/>
        <rFont val="Helvetica"/>
        <family val="2"/>
      </rPr>
      <t>. EPMA analysis (wt%) of sphalerite from the Longobucco area (LGB)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</si>
</sst>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2" fontId="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1" fillId="0" borderId="0" xfId="0" applyFont="1"/>
    <xf numFmtId="164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10" xfId="0" applyFont="1" applyBorder="1" applyAlignment="1">
      <alignment horizontal="left"/>
    </xf>
    <xf numFmtId="0" fontId="4" fillId="0" borderId="11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vertical="center"/>
    </xf>
    <xf numFmtId="164" fontId="3" fillId="0" borderId="1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164" fontId="2" fillId="0" borderId="14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4" fillId="0" borderId="7" xfId="0" applyNumberFormat="1" applyFont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1" fillId="0" borderId="3" xfId="0" applyFont="1" applyBorder="1"/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11" xfId="0" applyFont="1" applyBorder="1"/>
    <xf numFmtId="164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18E8-F743-3540-A7EE-46B1D29CC7CB}">
  <dimension ref="A1:S107"/>
  <sheetViews>
    <sheetView tabSelected="1" topLeftCell="A71" workbookViewId="0">
      <selection activeCell="N105" sqref="N105"/>
    </sheetView>
  </sheetViews>
  <sheetFormatPr defaultColWidth="10.85546875" defaultRowHeight="14.6" x14ac:dyDescent="0.4"/>
  <cols>
    <col min="1" max="1" width="22" style="6" bestFit="1" customWidth="1"/>
    <col min="2" max="2" width="6.85546875" style="42" bestFit="1" customWidth="1"/>
    <col min="3" max="3" width="8.640625" style="57" bestFit="1" customWidth="1"/>
    <col min="4" max="10" width="9.140625" style="9" customWidth="1"/>
    <col min="11" max="11" width="9.140625" style="50" customWidth="1"/>
    <col min="12" max="16384" width="10.85546875" style="9"/>
  </cols>
  <sheetData>
    <row r="1" spans="1:19" x14ac:dyDescent="0.4">
      <c r="A1" s="60" t="s">
        <v>136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9" x14ac:dyDescent="0.4">
      <c r="A2" s="60" t="s">
        <v>121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9" x14ac:dyDescent="0.4">
      <c r="A3" s="19" t="s">
        <v>0</v>
      </c>
      <c r="B3" s="8" t="s">
        <v>111</v>
      </c>
      <c r="C3" s="8" t="s">
        <v>112</v>
      </c>
      <c r="D3" s="7" t="s">
        <v>113</v>
      </c>
      <c r="E3" s="8" t="s">
        <v>114</v>
      </c>
      <c r="F3" s="8" t="s">
        <v>115</v>
      </c>
      <c r="G3" s="8" t="s">
        <v>116</v>
      </c>
      <c r="H3" s="8" t="s">
        <v>117</v>
      </c>
      <c r="I3" s="8" t="s">
        <v>118</v>
      </c>
      <c r="J3" s="8" t="s">
        <v>119</v>
      </c>
      <c r="K3" s="20" t="s">
        <v>120</v>
      </c>
      <c r="M3" s="7" t="s">
        <v>113</v>
      </c>
      <c r="N3" s="8" t="s">
        <v>114</v>
      </c>
      <c r="O3" s="8" t="s">
        <v>115</v>
      </c>
      <c r="P3" s="8" t="s">
        <v>116</v>
      </c>
      <c r="Q3" s="8" t="s">
        <v>117</v>
      </c>
      <c r="R3" s="8" t="s">
        <v>118</v>
      </c>
      <c r="S3" s="8" t="s">
        <v>119</v>
      </c>
    </row>
    <row r="4" spans="1:19" x14ac:dyDescent="0.4">
      <c r="A4" s="21" t="s">
        <v>1</v>
      </c>
      <c r="B4" s="18" t="s">
        <v>108</v>
      </c>
      <c r="C4" s="22" t="s">
        <v>2</v>
      </c>
      <c r="D4" s="23">
        <v>32.65</v>
      </c>
      <c r="E4" s="24" t="s">
        <v>3</v>
      </c>
      <c r="F4" s="24">
        <v>3.47</v>
      </c>
      <c r="G4" s="24" t="s">
        <v>3</v>
      </c>
      <c r="H4" s="24" t="s">
        <v>3</v>
      </c>
      <c r="I4" s="24">
        <v>61.14</v>
      </c>
      <c r="J4" s="24">
        <v>0.1176</v>
      </c>
      <c r="K4" s="20">
        <f t="shared" ref="K4:K35" si="0">SUM(D4:J4)</f>
        <v>97.377599999999987</v>
      </c>
      <c r="M4" s="9">
        <f>D4*10000</f>
        <v>326500</v>
      </c>
      <c r="N4" s="9">
        <f>IF(ISNUMBER(E4),E4*10000,-E$105*10000)</f>
        <v>-130</v>
      </c>
      <c r="O4" s="9">
        <f>IF(ISNUMBER(F4),F4*10000,-F$105*10000)</f>
        <v>34700</v>
      </c>
      <c r="P4" s="9">
        <f>IF(ISNUMBER(G4),G4*10000,-G$105*10000)</f>
        <v>-60</v>
      </c>
      <c r="Q4" s="9">
        <f>IF(ISNUMBER(H4),H4*10000,-H$105*10000)</f>
        <v>-240</v>
      </c>
      <c r="R4" s="9">
        <f>IF(ISNUMBER(I4),I4*10000,-I$105*10000)</f>
        <v>611400</v>
      </c>
      <c r="S4" s="9">
        <f>IF(ISNUMBER(J4),J4*10000,-J$105*10000)</f>
        <v>1176</v>
      </c>
    </row>
    <row r="5" spans="1:19" x14ac:dyDescent="0.4">
      <c r="A5" s="25" t="s">
        <v>4</v>
      </c>
      <c r="B5" s="1" t="s">
        <v>108</v>
      </c>
      <c r="C5" s="26" t="s">
        <v>2</v>
      </c>
      <c r="D5" s="27">
        <v>32.9</v>
      </c>
      <c r="E5" s="28" t="s">
        <v>3</v>
      </c>
      <c r="F5" s="28">
        <v>3.48</v>
      </c>
      <c r="G5" s="28">
        <v>7.7999999999999996E-3</v>
      </c>
      <c r="H5" s="28" t="s">
        <v>3</v>
      </c>
      <c r="I5" s="28">
        <v>62.09</v>
      </c>
      <c r="J5" s="28">
        <v>0.13100000000000001</v>
      </c>
      <c r="K5" s="29">
        <f t="shared" si="0"/>
        <v>98.608800000000002</v>
      </c>
      <c r="M5" s="9">
        <f t="shared" ref="M5:P68" si="1">D5*10000</f>
        <v>329000</v>
      </c>
      <c r="N5" s="9">
        <f t="shared" ref="N5:Q68" si="2">IF(ISNUMBER(E5),E5*10000,-E$105*10000)</f>
        <v>-130</v>
      </c>
      <c r="O5" s="9">
        <f t="shared" si="2"/>
        <v>34800</v>
      </c>
      <c r="P5" s="9">
        <f t="shared" si="2"/>
        <v>78</v>
      </c>
      <c r="Q5" s="9">
        <f t="shared" si="2"/>
        <v>-240</v>
      </c>
      <c r="R5" s="9">
        <f t="shared" ref="R5:S68" si="3">IF(ISNUMBER(I5),I5*10000,-I$105*10000)</f>
        <v>620900</v>
      </c>
      <c r="S5" s="9">
        <f t="shared" si="3"/>
        <v>1310</v>
      </c>
    </row>
    <row r="6" spans="1:19" x14ac:dyDescent="0.4">
      <c r="A6" s="25" t="s">
        <v>5</v>
      </c>
      <c r="B6" s="1" t="s">
        <v>108</v>
      </c>
      <c r="C6" s="26" t="s">
        <v>2</v>
      </c>
      <c r="D6" s="27">
        <v>32.76</v>
      </c>
      <c r="E6" s="28" t="s">
        <v>3</v>
      </c>
      <c r="F6" s="28">
        <v>3.23</v>
      </c>
      <c r="G6" s="28">
        <v>1.11E-2</v>
      </c>
      <c r="H6" s="28" t="s">
        <v>3</v>
      </c>
      <c r="I6" s="28">
        <v>62</v>
      </c>
      <c r="J6" s="28">
        <v>0.45179999999999998</v>
      </c>
      <c r="K6" s="29">
        <f t="shared" si="0"/>
        <v>98.4529</v>
      </c>
      <c r="M6" s="9">
        <f t="shared" si="1"/>
        <v>327600</v>
      </c>
      <c r="N6" s="9">
        <f t="shared" si="2"/>
        <v>-130</v>
      </c>
      <c r="O6" s="9">
        <f t="shared" si="2"/>
        <v>32300</v>
      </c>
      <c r="P6" s="9">
        <f t="shared" si="2"/>
        <v>111</v>
      </c>
      <c r="Q6" s="9">
        <f t="shared" si="2"/>
        <v>-240</v>
      </c>
      <c r="R6" s="9">
        <f t="shared" si="3"/>
        <v>620000</v>
      </c>
      <c r="S6" s="9">
        <f t="shared" si="3"/>
        <v>4518</v>
      </c>
    </row>
    <row r="7" spans="1:19" x14ac:dyDescent="0.4">
      <c r="A7" s="25" t="s">
        <v>6</v>
      </c>
      <c r="B7" s="1" t="s">
        <v>105</v>
      </c>
      <c r="C7" s="26" t="s">
        <v>2</v>
      </c>
      <c r="D7" s="27">
        <v>32.950000000000003</v>
      </c>
      <c r="E7" s="28" t="s">
        <v>3</v>
      </c>
      <c r="F7" s="28">
        <v>2.5</v>
      </c>
      <c r="G7" s="28">
        <v>1.43E-2</v>
      </c>
      <c r="H7" s="28" t="s">
        <v>3</v>
      </c>
      <c r="I7" s="28">
        <v>62.73</v>
      </c>
      <c r="J7" s="28">
        <v>0.2263</v>
      </c>
      <c r="K7" s="29">
        <f t="shared" si="0"/>
        <v>98.420599999999993</v>
      </c>
      <c r="M7" s="9">
        <f t="shared" si="1"/>
        <v>329500</v>
      </c>
      <c r="N7" s="9">
        <f t="shared" si="2"/>
        <v>-130</v>
      </c>
      <c r="O7" s="9">
        <f t="shared" si="2"/>
        <v>25000</v>
      </c>
      <c r="P7" s="9">
        <f t="shared" si="2"/>
        <v>143</v>
      </c>
      <c r="Q7" s="9">
        <f t="shared" si="2"/>
        <v>-240</v>
      </c>
      <c r="R7" s="9">
        <f t="shared" si="3"/>
        <v>627300</v>
      </c>
      <c r="S7" s="9">
        <f t="shared" si="3"/>
        <v>2263</v>
      </c>
    </row>
    <row r="8" spans="1:19" x14ac:dyDescent="0.4">
      <c r="A8" s="25" t="s">
        <v>7</v>
      </c>
      <c r="B8" s="1" t="s">
        <v>108</v>
      </c>
      <c r="C8" s="26" t="s">
        <v>2</v>
      </c>
      <c r="D8" s="27">
        <v>32.93</v>
      </c>
      <c r="E8" s="28">
        <v>1.5599999999999999E-2</v>
      </c>
      <c r="F8" s="28">
        <v>4.09</v>
      </c>
      <c r="G8" s="28">
        <v>5.7000000000000002E-3</v>
      </c>
      <c r="H8" s="28" t="s">
        <v>3</v>
      </c>
      <c r="I8" s="28">
        <v>61.03</v>
      </c>
      <c r="J8" s="28">
        <v>0.41349999999999998</v>
      </c>
      <c r="K8" s="29">
        <f t="shared" si="0"/>
        <v>98.484800000000007</v>
      </c>
      <c r="M8" s="9">
        <f t="shared" si="1"/>
        <v>329300</v>
      </c>
      <c r="N8" s="9">
        <f t="shared" si="2"/>
        <v>156</v>
      </c>
      <c r="O8" s="9">
        <f t="shared" si="2"/>
        <v>40900</v>
      </c>
      <c r="P8" s="9">
        <f t="shared" si="2"/>
        <v>57</v>
      </c>
      <c r="Q8" s="9">
        <f t="shared" si="2"/>
        <v>-240</v>
      </c>
      <c r="R8" s="9">
        <f t="shared" si="3"/>
        <v>610300</v>
      </c>
      <c r="S8" s="9">
        <f t="shared" si="3"/>
        <v>4135</v>
      </c>
    </row>
    <row r="9" spans="1:19" x14ac:dyDescent="0.4">
      <c r="A9" s="25" t="s">
        <v>8</v>
      </c>
      <c r="B9" s="1" t="s">
        <v>108</v>
      </c>
      <c r="C9" s="26" t="s">
        <v>2</v>
      </c>
      <c r="D9" s="27">
        <v>32.729999999999997</v>
      </c>
      <c r="E9" s="28" t="s">
        <v>3</v>
      </c>
      <c r="F9" s="28">
        <v>3.23</v>
      </c>
      <c r="G9" s="28">
        <v>7.4000000000000003E-3</v>
      </c>
      <c r="H9" s="28">
        <v>5.3999999999999999E-2</v>
      </c>
      <c r="I9" s="28">
        <v>62.28</v>
      </c>
      <c r="J9" s="28">
        <v>0.1502</v>
      </c>
      <c r="K9" s="29">
        <f t="shared" si="0"/>
        <v>98.451599999999999</v>
      </c>
      <c r="M9" s="9">
        <f t="shared" si="1"/>
        <v>327299.99999999994</v>
      </c>
      <c r="N9" s="9">
        <f t="shared" si="2"/>
        <v>-130</v>
      </c>
      <c r="O9" s="9">
        <f t="shared" si="2"/>
        <v>32300</v>
      </c>
      <c r="P9" s="9">
        <f t="shared" si="2"/>
        <v>74</v>
      </c>
      <c r="Q9" s="9">
        <f t="shared" si="2"/>
        <v>540</v>
      </c>
      <c r="R9" s="9">
        <f t="shared" si="3"/>
        <v>622800</v>
      </c>
      <c r="S9" s="9">
        <f t="shared" si="3"/>
        <v>1502</v>
      </c>
    </row>
    <row r="10" spans="1:19" x14ac:dyDescent="0.4">
      <c r="A10" s="25" t="s">
        <v>9</v>
      </c>
      <c r="B10" s="1" t="s">
        <v>108</v>
      </c>
      <c r="C10" s="26" t="s">
        <v>2</v>
      </c>
      <c r="D10" s="27">
        <v>32.36</v>
      </c>
      <c r="E10" s="28" t="s">
        <v>3</v>
      </c>
      <c r="F10" s="28">
        <v>3.18</v>
      </c>
      <c r="G10" s="28" t="s">
        <v>3</v>
      </c>
      <c r="H10" s="28" t="s">
        <v>3</v>
      </c>
      <c r="I10" s="28">
        <v>62.12</v>
      </c>
      <c r="J10" s="28">
        <v>0.1376</v>
      </c>
      <c r="K10" s="29">
        <f t="shared" si="0"/>
        <v>97.797600000000003</v>
      </c>
      <c r="M10" s="9">
        <f t="shared" si="1"/>
        <v>323600</v>
      </c>
      <c r="N10" s="9">
        <f t="shared" si="2"/>
        <v>-130</v>
      </c>
      <c r="O10" s="9">
        <f t="shared" si="2"/>
        <v>31800</v>
      </c>
      <c r="P10" s="9">
        <f t="shared" si="2"/>
        <v>-60</v>
      </c>
      <c r="Q10" s="9">
        <f t="shared" si="2"/>
        <v>-240</v>
      </c>
      <c r="R10" s="9">
        <f t="shared" si="3"/>
        <v>621200</v>
      </c>
      <c r="S10" s="9">
        <f t="shared" si="3"/>
        <v>1376</v>
      </c>
    </row>
    <row r="11" spans="1:19" x14ac:dyDescent="0.4">
      <c r="A11" s="25" t="s">
        <v>10</v>
      </c>
      <c r="B11" s="1" t="s">
        <v>105</v>
      </c>
      <c r="C11" s="26" t="s">
        <v>2</v>
      </c>
      <c r="D11" s="27">
        <v>32.69</v>
      </c>
      <c r="E11" s="28" t="s">
        <v>3</v>
      </c>
      <c r="F11" s="28">
        <v>2.89</v>
      </c>
      <c r="G11" s="28" t="s">
        <v>3</v>
      </c>
      <c r="H11" s="28" t="s">
        <v>3</v>
      </c>
      <c r="I11" s="28">
        <v>62.26</v>
      </c>
      <c r="J11" s="28">
        <v>0.56159999999999999</v>
      </c>
      <c r="K11" s="29">
        <f t="shared" si="0"/>
        <v>98.401600000000002</v>
      </c>
      <c r="M11" s="9">
        <f t="shared" si="1"/>
        <v>326900</v>
      </c>
      <c r="N11" s="9">
        <f t="shared" si="2"/>
        <v>-130</v>
      </c>
      <c r="O11" s="9">
        <f t="shared" si="2"/>
        <v>28900</v>
      </c>
      <c r="P11" s="9">
        <f t="shared" si="2"/>
        <v>-60</v>
      </c>
      <c r="Q11" s="9">
        <f t="shared" si="2"/>
        <v>-240</v>
      </c>
      <c r="R11" s="9">
        <f t="shared" si="3"/>
        <v>622600</v>
      </c>
      <c r="S11" s="9">
        <f t="shared" si="3"/>
        <v>5616</v>
      </c>
    </row>
    <row r="12" spans="1:19" x14ac:dyDescent="0.4">
      <c r="A12" s="25" t="s">
        <v>11</v>
      </c>
      <c r="B12" s="1" t="s">
        <v>108</v>
      </c>
      <c r="C12" s="26" t="s">
        <v>2</v>
      </c>
      <c r="D12" s="27">
        <v>32.94</v>
      </c>
      <c r="E12" s="28">
        <v>1.3599999999999999E-2</v>
      </c>
      <c r="F12" s="28">
        <v>3.84</v>
      </c>
      <c r="G12" s="28">
        <v>8.9999999999999993E-3</v>
      </c>
      <c r="H12" s="28">
        <v>3.3099999999999997E-2</v>
      </c>
      <c r="I12" s="28">
        <v>61.47</v>
      </c>
      <c r="J12" s="28">
        <v>0.1394</v>
      </c>
      <c r="K12" s="29">
        <f t="shared" si="0"/>
        <v>98.445099999999996</v>
      </c>
      <c r="M12" s="9">
        <f t="shared" si="1"/>
        <v>329400</v>
      </c>
      <c r="N12" s="9">
        <f t="shared" si="2"/>
        <v>136</v>
      </c>
      <c r="O12" s="9">
        <f t="shared" si="2"/>
        <v>38400</v>
      </c>
      <c r="P12" s="9">
        <f t="shared" si="2"/>
        <v>90</v>
      </c>
      <c r="Q12" s="9">
        <f t="shared" si="2"/>
        <v>331</v>
      </c>
      <c r="R12" s="9">
        <f t="shared" si="3"/>
        <v>614700</v>
      </c>
      <c r="S12" s="9">
        <f t="shared" si="3"/>
        <v>1394</v>
      </c>
    </row>
    <row r="13" spans="1:19" x14ac:dyDescent="0.4">
      <c r="A13" s="25" t="s">
        <v>12</v>
      </c>
      <c r="B13" s="1" t="s">
        <v>108</v>
      </c>
      <c r="C13" s="26" t="s">
        <v>2</v>
      </c>
      <c r="D13" s="27">
        <v>32.71</v>
      </c>
      <c r="E13" s="28">
        <v>4.6300000000000001E-2</v>
      </c>
      <c r="F13" s="28">
        <v>4.6100000000000003</v>
      </c>
      <c r="G13" s="28" t="s">
        <v>3</v>
      </c>
      <c r="H13" s="28" t="s">
        <v>3</v>
      </c>
      <c r="I13" s="28">
        <v>60.45</v>
      </c>
      <c r="J13" s="28">
        <v>0.3201</v>
      </c>
      <c r="K13" s="29">
        <f t="shared" si="0"/>
        <v>98.136400000000009</v>
      </c>
      <c r="M13" s="9">
        <f t="shared" si="1"/>
        <v>327100</v>
      </c>
      <c r="N13" s="9">
        <f t="shared" si="2"/>
        <v>463</v>
      </c>
      <c r="O13" s="9">
        <f t="shared" si="2"/>
        <v>46100</v>
      </c>
      <c r="P13" s="9">
        <f t="shared" si="2"/>
        <v>-60</v>
      </c>
      <c r="Q13" s="9">
        <f t="shared" si="2"/>
        <v>-240</v>
      </c>
      <c r="R13" s="9">
        <f t="shared" si="3"/>
        <v>604500</v>
      </c>
      <c r="S13" s="9">
        <f t="shared" si="3"/>
        <v>3201</v>
      </c>
    </row>
    <row r="14" spans="1:19" x14ac:dyDescent="0.4">
      <c r="A14" s="25" t="s">
        <v>13</v>
      </c>
      <c r="B14" s="1" t="s">
        <v>108</v>
      </c>
      <c r="C14" s="26" t="s">
        <v>2</v>
      </c>
      <c r="D14" s="27">
        <v>32.86</v>
      </c>
      <c r="E14" s="28" t="s">
        <v>3</v>
      </c>
      <c r="F14" s="28">
        <v>4.2699999999999996</v>
      </c>
      <c r="G14" s="28">
        <v>7.7000000000000002E-3</v>
      </c>
      <c r="H14" s="28" t="s">
        <v>3</v>
      </c>
      <c r="I14" s="28">
        <v>61.01</v>
      </c>
      <c r="J14" s="28">
        <v>0.19600000000000001</v>
      </c>
      <c r="K14" s="29">
        <f t="shared" si="0"/>
        <v>98.343699999999984</v>
      </c>
      <c r="M14" s="9">
        <f t="shared" si="1"/>
        <v>328600</v>
      </c>
      <c r="N14" s="9">
        <f t="shared" si="2"/>
        <v>-130</v>
      </c>
      <c r="O14" s="9">
        <f t="shared" si="2"/>
        <v>42699.999999999993</v>
      </c>
      <c r="P14" s="9">
        <f t="shared" si="2"/>
        <v>77</v>
      </c>
      <c r="Q14" s="9">
        <f t="shared" si="2"/>
        <v>-240</v>
      </c>
      <c r="R14" s="9">
        <f t="shared" si="3"/>
        <v>610100</v>
      </c>
      <c r="S14" s="9">
        <f t="shared" si="3"/>
        <v>1960</v>
      </c>
    </row>
    <row r="15" spans="1:19" x14ac:dyDescent="0.4">
      <c r="A15" s="25" t="s">
        <v>14</v>
      </c>
      <c r="B15" s="1" t="s">
        <v>108</v>
      </c>
      <c r="C15" s="26" t="s">
        <v>2</v>
      </c>
      <c r="D15" s="27">
        <v>32.97</v>
      </c>
      <c r="E15" s="28">
        <v>2.4500000000000001E-2</v>
      </c>
      <c r="F15" s="28">
        <v>3.44</v>
      </c>
      <c r="G15" s="28">
        <v>1.49E-2</v>
      </c>
      <c r="H15" s="28" t="s">
        <v>3</v>
      </c>
      <c r="I15" s="28">
        <v>61.57</v>
      </c>
      <c r="J15" s="28">
        <v>0.18640000000000001</v>
      </c>
      <c r="K15" s="29">
        <f t="shared" si="0"/>
        <v>98.205799999999996</v>
      </c>
      <c r="M15" s="9">
        <f t="shared" si="1"/>
        <v>329700</v>
      </c>
      <c r="N15" s="9">
        <f t="shared" si="2"/>
        <v>245</v>
      </c>
      <c r="O15" s="9">
        <f t="shared" si="2"/>
        <v>34400</v>
      </c>
      <c r="P15" s="9">
        <f t="shared" si="2"/>
        <v>149</v>
      </c>
      <c r="Q15" s="9">
        <f t="shared" si="2"/>
        <v>-240</v>
      </c>
      <c r="R15" s="9">
        <f t="shared" si="3"/>
        <v>615700</v>
      </c>
      <c r="S15" s="9">
        <f t="shared" si="3"/>
        <v>1864</v>
      </c>
    </row>
    <row r="16" spans="1:19" x14ac:dyDescent="0.4">
      <c r="A16" s="25" t="s">
        <v>15</v>
      </c>
      <c r="B16" s="1" t="s">
        <v>108</v>
      </c>
      <c r="C16" s="26" t="s">
        <v>2</v>
      </c>
      <c r="D16" s="27">
        <v>32.799999999999997</v>
      </c>
      <c r="E16" s="28" t="s">
        <v>3</v>
      </c>
      <c r="F16" s="28">
        <v>3.67</v>
      </c>
      <c r="G16" s="28">
        <v>1.0200000000000001E-2</v>
      </c>
      <c r="H16" s="28" t="s">
        <v>3</v>
      </c>
      <c r="I16" s="28">
        <v>61.7</v>
      </c>
      <c r="J16" s="28">
        <v>0.25</v>
      </c>
      <c r="K16" s="29">
        <f t="shared" si="0"/>
        <v>98.430199999999999</v>
      </c>
      <c r="M16" s="9">
        <f t="shared" si="1"/>
        <v>328000</v>
      </c>
      <c r="N16" s="9">
        <f t="shared" si="2"/>
        <v>-130</v>
      </c>
      <c r="O16" s="9">
        <f t="shared" si="2"/>
        <v>36700</v>
      </c>
      <c r="P16" s="9">
        <f t="shared" si="2"/>
        <v>102.00000000000001</v>
      </c>
      <c r="Q16" s="9">
        <f t="shared" si="2"/>
        <v>-240</v>
      </c>
      <c r="R16" s="9">
        <f t="shared" si="3"/>
        <v>617000</v>
      </c>
      <c r="S16" s="9">
        <f t="shared" si="3"/>
        <v>2500</v>
      </c>
    </row>
    <row r="17" spans="1:19" x14ac:dyDescent="0.4">
      <c r="A17" s="25" t="s">
        <v>16</v>
      </c>
      <c r="B17" s="1" t="s">
        <v>108</v>
      </c>
      <c r="C17" s="26" t="s">
        <v>2</v>
      </c>
      <c r="D17" s="27">
        <v>33.15</v>
      </c>
      <c r="E17" s="28">
        <v>1.43E-2</v>
      </c>
      <c r="F17" s="28">
        <v>3.48</v>
      </c>
      <c r="G17" s="28" t="s">
        <v>3</v>
      </c>
      <c r="H17" s="28" t="s">
        <v>3</v>
      </c>
      <c r="I17" s="28">
        <v>61.38</v>
      </c>
      <c r="J17" s="28">
        <v>0.26179999999999998</v>
      </c>
      <c r="K17" s="29">
        <f t="shared" si="0"/>
        <v>98.28609999999999</v>
      </c>
      <c r="M17" s="9">
        <f t="shared" si="1"/>
        <v>331500</v>
      </c>
      <c r="N17" s="9">
        <f t="shared" si="2"/>
        <v>143</v>
      </c>
      <c r="O17" s="9">
        <f t="shared" si="2"/>
        <v>34800</v>
      </c>
      <c r="P17" s="9">
        <f t="shared" si="2"/>
        <v>-60</v>
      </c>
      <c r="Q17" s="9">
        <f t="shared" si="2"/>
        <v>-240</v>
      </c>
      <c r="R17" s="9">
        <f t="shared" si="3"/>
        <v>613800</v>
      </c>
      <c r="S17" s="9">
        <f t="shared" si="3"/>
        <v>2617.9999999999995</v>
      </c>
    </row>
    <row r="18" spans="1:19" x14ac:dyDescent="0.4">
      <c r="A18" s="25" t="s">
        <v>17</v>
      </c>
      <c r="B18" s="1" t="s">
        <v>105</v>
      </c>
      <c r="C18" s="26" t="s">
        <v>2</v>
      </c>
      <c r="D18" s="27">
        <v>32.57</v>
      </c>
      <c r="E18" s="28">
        <v>2.3E-2</v>
      </c>
      <c r="F18" s="28">
        <v>2.4900000000000002</v>
      </c>
      <c r="G18" s="28">
        <v>8.5000000000000006E-3</v>
      </c>
      <c r="H18" s="28">
        <v>5.6099999999999997E-2</v>
      </c>
      <c r="I18" s="28">
        <v>62.68</v>
      </c>
      <c r="J18" s="28">
        <v>0.19769999999999999</v>
      </c>
      <c r="K18" s="29">
        <f t="shared" si="0"/>
        <v>98.025300000000001</v>
      </c>
      <c r="M18" s="9">
        <f t="shared" si="1"/>
        <v>325700</v>
      </c>
      <c r="N18" s="9">
        <f t="shared" si="2"/>
        <v>230</v>
      </c>
      <c r="O18" s="9">
        <f t="shared" si="2"/>
        <v>24900.000000000004</v>
      </c>
      <c r="P18" s="9">
        <f t="shared" si="2"/>
        <v>85</v>
      </c>
      <c r="Q18" s="9">
        <f t="shared" si="2"/>
        <v>561</v>
      </c>
      <c r="R18" s="9">
        <f t="shared" si="3"/>
        <v>626800</v>
      </c>
      <c r="S18" s="9">
        <f t="shared" si="3"/>
        <v>1976.9999999999998</v>
      </c>
    </row>
    <row r="19" spans="1:19" x14ac:dyDescent="0.4">
      <c r="A19" s="25" t="s">
        <v>18</v>
      </c>
      <c r="B19" s="1" t="s">
        <v>105</v>
      </c>
      <c r="C19" s="26" t="s">
        <v>2</v>
      </c>
      <c r="D19" s="27">
        <v>32.770000000000003</v>
      </c>
      <c r="E19" s="28" t="s">
        <v>3</v>
      </c>
      <c r="F19" s="28">
        <v>3.1</v>
      </c>
      <c r="G19" s="28">
        <v>6.6E-3</v>
      </c>
      <c r="H19" s="28">
        <v>5.9700000000000003E-2</v>
      </c>
      <c r="I19" s="28">
        <v>61.91</v>
      </c>
      <c r="J19" s="28">
        <v>0.2172</v>
      </c>
      <c r="K19" s="29">
        <f t="shared" si="0"/>
        <v>98.063500000000005</v>
      </c>
      <c r="M19" s="9">
        <f t="shared" si="1"/>
        <v>327700.00000000006</v>
      </c>
      <c r="N19" s="9">
        <f t="shared" si="2"/>
        <v>-130</v>
      </c>
      <c r="O19" s="9">
        <f t="shared" si="2"/>
        <v>31000</v>
      </c>
      <c r="P19" s="9">
        <f t="shared" si="2"/>
        <v>66</v>
      </c>
      <c r="Q19" s="9">
        <f t="shared" si="2"/>
        <v>597</v>
      </c>
      <c r="R19" s="9">
        <f t="shared" si="3"/>
        <v>619100</v>
      </c>
      <c r="S19" s="9">
        <f t="shared" si="3"/>
        <v>2172</v>
      </c>
    </row>
    <row r="20" spans="1:19" x14ac:dyDescent="0.4">
      <c r="A20" s="25" t="s">
        <v>19</v>
      </c>
      <c r="B20" s="1" t="s">
        <v>108</v>
      </c>
      <c r="C20" s="26" t="s">
        <v>2</v>
      </c>
      <c r="D20" s="27">
        <v>32.67</v>
      </c>
      <c r="E20" s="28" t="s">
        <v>3</v>
      </c>
      <c r="F20" s="28">
        <v>3.06</v>
      </c>
      <c r="G20" s="28">
        <v>2.2599999999999999E-2</v>
      </c>
      <c r="H20" s="28" t="s">
        <v>3</v>
      </c>
      <c r="I20" s="28">
        <v>62.36</v>
      </c>
      <c r="J20" s="28">
        <v>0.15379999999999999</v>
      </c>
      <c r="K20" s="29">
        <f t="shared" si="0"/>
        <v>98.266400000000004</v>
      </c>
      <c r="M20" s="9">
        <f t="shared" si="1"/>
        <v>326700</v>
      </c>
      <c r="N20" s="9">
        <f t="shared" si="2"/>
        <v>-130</v>
      </c>
      <c r="O20" s="9">
        <f t="shared" si="2"/>
        <v>30600</v>
      </c>
      <c r="P20" s="9">
        <f t="shared" si="2"/>
        <v>225.99999999999997</v>
      </c>
      <c r="Q20" s="9">
        <f t="shared" si="2"/>
        <v>-240</v>
      </c>
      <c r="R20" s="9">
        <f t="shared" si="3"/>
        <v>623600</v>
      </c>
      <c r="S20" s="9">
        <f t="shared" si="3"/>
        <v>1538</v>
      </c>
    </row>
    <row r="21" spans="1:19" x14ac:dyDescent="0.4">
      <c r="A21" s="25" t="s">
        <v>20</v>
      </c>
      <c r="B21" s="1" t="s">
        <v>105</v>
      </c>
      <c r="C21" s="26" t="s">
        <v>2</v>
      </c>
      <c r="D21" s="27">
        <v>32.729999999999997</v>
      </c>
      <c r="E21" s="28" t="s">
        <v>3</v>
      </c>
      <c r="F21" s="28">
        <v>3.14</v>
      </c>
      <c r="G21" s="28" t="s">
        <v>3</v>
      </c>
      <c r="H21" s="28">
        <v>2.81E-2</v>
      </c>
      <c r="I21" s="28">
        <v>62.09</v>
      </c>
      <c r="J21" s="28">
        <v>0.17519999999999999</v>
      </c>
      <c r="K21" s="29">
        <f t="shared" si="0"/>
        <v>98.163300000000007</v>
      </c>
      <c r="M21" s="9">
        <f t="shared" si="1"/>
        <v>327299.99999999994</v>
      </c>
      <c r="N21" s="9">
        <f t="shared" si="2"/>
        <v>-130</v>
      </c>
      <c r="O21" s="9">
        <f t="shared" si="2"/>
        <v>31400</v>
      </c>
      <c r="P21" s="9">
        <f t="shared" si="2"/>
        <v>-60</v>
      </c>
      <c r="Q21" s="9">
        <f t="shared" si="2"/>
        <v>281</v>
      </c>
      <c r="R21" s="9">
        <f t="shared" si="3"/>
        <v>620900</v>
      </c>
      <c r="S21" s="9">
        <f t="shared" si="3"/>
        <v>1752</v>
      </c>
    </row>
    <row r="22" spans="1:19" x14ac:dyDescent="0.4">
      <c r="A22" s="25" t="s">
        <v>21</v>
      </c>
      <c r="B22" s="1" t="s">
        <v>109</v>
      </c>
      <c r="C22" s="26" t="s">
        <v>2</v>
      </c>
      <c r="D22" s="27">
        <v>32.97</v>
      </c>
      <c r="E22" s="28" t="s">
        <v>3</v>
      </c>
      <c r="F22" s="28">
        <v>5.64</v>
      </c>
      <c r="G22" s="28">
        <v>2.7000000000000001E-3</v>
      </c>
      <c r="H22" s="28">
        <v>3.9E-2</v>
      </c>
      <c r="I22" s="28">
        <v>59.39</v>
      </c>
      <c r="J22" s="28">
        <v>0.19789999999999999</v>
      </c>
      <c r="K22" s="29">
        <f t="shared" si="0"/>
        <v>98.239599999999996</v>
      </c>
      <c r="M22" s="9">
        <f t="shared" si="1"/>
        <v>329700</v>
      </c>
      <c r="N22" s="9">
        <f t="shared" si="2"/>
        <v>-130</v>
      </c>
      <c r="O22" s="9">
        <f t="shared" si="2"/>
        <v>56400</v>
      </c>
      <c r="P22" s="9">
        <f t="shared" si="2"/>
        <v>27</v>
      </c>
      <c r="Q22" s="9">
        <f t="shared" si="2"/>
        <v>390</v>
      </c>
      <c r="R22" s="9">
        <f t="shared" si="3"/>
        <v>593900</v>
      </c>
      <c r="S22" s="9">
        <f t="shared" si="3"/>
        <v>1979</v>
      </c>
    </row>
    <row r="23" spans="1:19" x14ac:dyDescent="0.4">
      <c r="A23" s="25" t="s">
        <v>22</v>
      </c>
      <c r="B23" s="1" t="s">
        <v>108</v>
      </c>
      <c r="C23" s="26" t="s">
        <v>2</v>
      </c>
      <c r="D23" s="27">
        <v>32.82</v>
      </c>
      <c r="E23" s="28">
        <v>3.4000000000000002E-2</v>
      </c>
      <c r="F23" s="28">
        <v>3.86</v>
      </c>
      <c r="G23" s="28">
        <v>1.03E-2</v>
      </c>
      <c r="H23" s="28">
        <v>5.4800000000000001E-2</v>
      </c>
      <c r="I23" s="28">
        <v>60.79</v>
      </c>
      <c r="J23" s="28">
        <v>0.18990000000000001</v>
      </c>
      <c r="K23" s="29">
        <f t="shared" si="0"/>
        <v>97.758999999999986</v>
      </c>
      <c r="M23" s="9">
        <f t="shared" si="1"/>
        <v>328200</v>
      </c>
      <c r="N23" s="9">
        <f t="shared" si="2"/>
        <v>340</v>
      </c>
      <c r="O23" s="9">
        <f t="shared" si="2"/>
        <v>38600</v>
      </c>
      <c r="P23" s="9">
        <f t="shared" si="2"/>
        <v>103</v>
      </c>
      <c r="Q23" s="9">
        <f t="shared" si="2"/>
        <v>548</v>
      </c>
      <c r="R23" s="9">
        <f t="shared" si="3"/>
        <v>607900</v>
      </c>
      <c r="S23" s="9">
        <f t="shared" si="3"/>
        <v>1899.0000000000002</v>
      </c>
    </row>
    <row r="24" spans="1:19" x14ac:dyDescent="0.4">
      <c r="A24" s="25" t="s">
        <v>23</v>
      </c>
      <c r="B24" s="1" t="s">
        <v>108</v>
      </c>
      <c r="C24" s="26" t="s">
        <v>2</v>
      </c>
      <c r="D24" s="15">
        <v>32.86</v>
      </c>
      <c r="E24" s="28" t="s">
        <v>3</v>
      </c>
      <c r="F24" s="1">
        <v>3.25</v>
      </c>
      <c r="G24" s="28" t="s">
        <v>3</v>
      </c>
      <c r="H24" s="28" t="s">
        <v>3</v>
      </c>
      <c r="I24" s="1">
        <v>62.15</v>
      </c>
      <c r="J24" s="1">
        <v>0.21709999999999999</v>
      </c>
      <c r="K24" s="29">
        <f t="shared" si="0"/>
        <v>98.477099999999993</v>
      </c>
      <c r="M24" s="9">
        <f t="shared" si="1"/>
        <v>328600</v>
      </c>
      <c r="N24" s="9">
        <f t="shared" si="2"/>
        <v>-130</v>
      </c>
      <c r="O24" s="9">
        <f t="shared" si="2"/>
        <v>32500</v>
      </c>
      <c r="P24" s="9">
        <f t="shared" si="2"/>
        <v>-60</v>
      </c>
      <c r="Q24" s="9">
        <f t="shared" si="2"/>
        <v>-240</v>
      </c>
      <c r="R24" s="9">
        <f t="shared" si="3"/>
        <v>621500</v>
      </c>
      <c r="S24" s="9">
        <f t="shared" si="3"/>
        <v>2171</v>
      </c>
    </row>
    <row r="25" spans="1:19" x14ac:dyDescent="0.4">
      <c r="A25" s="25" t="s">
        <v>24</v>
      </c>
      <c r="B25" s="1" t="s">
        <v>105</v>
      </c>
      <c r="C25" s="26" t="s">
        <v>2</v>
      </c>
      <c r="D25" s="15">
        <v>32.49</v>
      </c>
      <c r="E25" s="28" t="s">
        <v>3</v>
      </c>
      <c r="F25" s="1">
        <v>1.57</v>
      </c>
      <c r="G25" s="28" t="s">
        <v>3</v>
      </c>
      <c r="H25" s="28" t="s">
        <v>3</v>
      </c>
      <c r="I25" s="1">
        <v>63.83</v>
      </c>
      <c r="J25" s="1">
        <v>0.27779999999999999</v>
      </c>
      <c r="K25" s="29">
        <f t="shared" si="0"/>
        <v>98.1678</v>
      </c>
      <c r="M25" s="9">
        <f t="shared" si="1"/>
        <v>324900</v>
      </c>
      <c r="N25" s="9">
        <f t="shared" si="2"/>
        <v>-130</v>
      </c>
      <c r="O25" s="9">
        <f t="shared" si="2"/>
        <v>15700</v>
      </c>
      <c r="P25" s="9">
        <f t="shared" si="2"/>
        <v>-60</v>
      </c>
      <c r="Q25" s="9">
        <f t="shared" si="2"/>
        <v>-240</v>
      </c>
      <c r="R25" s="9">
        <f t="shared" si="3"/>
        <v>638300</v>
      </c>
      <c r="S25" s="9">
        <f t="shared" si="3"/>
        <v>2778</v>
      </c>
    </row>
    <row r="26" spans="1:19" x14ac:dyDescent="0.4">
      <c r="A26" s="25" t="s">
        <v>25</v>
      </c>
      <c r="B26" s="1" t="s">
        <v>108</v>
      </c>
      <c r="C26" s="26" t="s">
        <v>2</v>
      </c>
      <c r="D26" s="15">
        <v>32.799999999999997</v>
      </c>
      <c r="E26" s="1">
        <v>1.6199999999999999E-2</v>
      </c>
      <c r="F26" s="1">
        <v>3.56</v>
      </c>
      <c r="G26" s="1">
        <v>7.7000000000000002E-3</v>
      </c>
      <c r="H26" s="28" t="s">
        <v>3</v>
      </c>
      <c r="I26" s="1">
        <v>61.77</v>
      </c>
      <c r="J26" s="1">
        <v>0.24740000000000001</v>
      </c>
      <c r="K26" s="29">
        <f t="shared" si="0"/>
        <v>98.401299999999992</v>
      </c>
      <c r="M26" s="9">
        <f t="shared" si="1"/>
        <v>328000</v>
      </c>
      <c r="N26" s="9">
        <f t="shared" si="2"/>
        <v>162</v>
      </c>
      <c r="O26" s="9">
        <f t="shared" si="2"/>
        <v>35600</v>
      </c>
      <c r="P26" s="9">
        <f t="shared" si="2"/>
        <v>77</v>
      </c>
      <c r="Q26" s="9">
        <f t="shared" si="2"/>
        <v>-240</v>
      </c>
      <c r="R26" s="9">
        <f t="shared" si="3"/>
        <v>617700</v>
      </c>
      <c r="S26" s="9">
        <f t="shared" si="3"/>
        <v>2474</v>
      </c>
    </row>
    <row r="27" spans="1:19" x14ac:dyDescent="0.4">
      <c r="A27" s="25" t="s">
        <v>26</v>
      </c>
      <c r="B27" s="1" t="s">
        <v>109</v>
      </c>
      <c r="C27" s="26" t="s">
        <v>2</v>
      </c>
      <c r="D27" s="15">
        <v>32.700000000000003</v>
      </c>
      <c r="E27" s="28" t="s">
        <v>3</v>
      </c>
      <c r="F27" s="1">
        <v>4.5199999999999996</v>
      </c>
      <c r="G27" s="1">
        <v>1.5100000000000001E-2</v>
      </c>
      <c r="H27" s="1">
        <v>8.2400000000000001E-2</v>
      </c>
      <c r="I27" s="1">
        <v>60.63</v>
      </c>
      <c r="J27" s="1">
        <v>0.31690000000000002</v>
      </c>
      <c r="K27" s="29">
        <f t="shared" si="0"/>
        <v>98.264399999999995</v>
      </c>
      <c r="M27" s="9">
        <f t="shared" si="1"/>
        <v>327000</v>
      </c>
      <c r="N27" s="9">
        <f t="shared" si="2"/>
        <v>-130</v>
      </c>
      <c r="O27" s="9">
        <f t="shared" si="2"/>
        <v>45199.999999999993</v>
      </c>
      <c r="P27" s="9">
        <f t="shared" si="2"/>
        <v>151</v>
      </c>
      <c r="Q27" s="9">
        <f t="shared" si="2"/>
        <v>824</v>
      </c>
      <c r="R27" s="9">
        <f t="shared" si="3"/>
        <v>606300</v>
      </c>
      <c r="S27" s="9">
        <f t="shared" si="3"/>
        <v>3169</v>
      </c>
    </row>
    <row r="28" spans="1:19" x14ac:dyDescent="0.4">
      <c r="A28" s="25" t="s">
        <v>27</v>
      </c>
      <c r="B28" s="1" t="s">
        <v>109</v>
      </c>
      <c r="C28" s="26" t="s">
        <v>2</v>
      </c>
      <c r="D28" s="15">
        <v>32.450000000000003</v>
      </c>
      <c r="E28" s="28" t="s">
        <v>3</v>
      </c>
      <c r="F28" s="1">
        <v>4.1399999999999997</v>
      </c>
      <c r="G28" s="1">
        <v>2.23E-2</v>
      </c>
      <c r="H28" s="1">
        <v>0.1023</v>
      </c>
      <c r="I28" s="1">
        <v>60.98</v>
      </c>
      <c r="J28" s="1">
        <v>0.16689999999999999</v>
      </c>
      <c r="K28" s="29">
        <f t="shared" si="0"/>
        <v>97.861500000000007</v>
      </c>
      <c r="M28" s="9">
        <f t="shared" si="1"/>
        <v>324500</v>
      </c>
      <c r="N28" s="9">
        <f t="shared" si="2"/>
        <v>-130</v>
      </c>
      <c r="O28" s="9">
        <f t="shared" si="2"/>
        <v>41400</v>
      </c>
      <c r="P28" s="9">
        <f t="shared" si="2"/>
        <v>223</v>
      </c>
      <c r="Q28" s="9">
        <f t="shared" si="2"/>
        <v>1023</v>
      </c>
      <c r="R28" s="9">
        <f t="shared" si="3"/>
        <v>609800</v>
      </c>
      <c r="S28" s="9">
        <f t="shared" si="3"/>
        <v>1669</v>
      </c>
    </row>
    <row r="29" spans="1:19" x14ac:dyDescent="0.4">
      <c r="A29" s="25" t="s">
        <v>28</v>
      </c>
      <c r="B29" s="1" t="s">
        <v>108</v>
      </c>
      <c r="C29" s="26" t="s">
        <v>2</v>
      </c>
      <c r="D29" s="15">
        <v>32.17</v>
      </c>
      <c r="E29" s="28" t="s">
        <v>3</v>
      </c>
      <c r="F29" s="1">
        <v>3.07</v>
      </c>
      <c r="G29" s="1">
        <v>6.1000000000000004E-3</v>
      </c>
      <c r="H29" s="1">
        <v>0.09</v>
      </c>
      <c r="I29" s="1">
        <v>62.05</v>
      </c>
      <c r="J29" s="1">
        <v>7.2999999999999995E-2</v>
      </c>
      <c r="K29" s="29">
        <f t="shared" si="0"/>
        <v>97.459099999999992</v>
      </c>
      <c r="M29" s="9">
        <f t="shared" si="1"/>
        <v>321700</v>
      </c>
      <c r="N29" s="9">
        <f t="shared" si="2"/>
        <v>-130</v>
      </c>
      <c r="O29" s="9">
        <f t="shared" si="2"/>
        <v>30700</v>
      </c>
      <c r="P29" s="9">
        <f t="shared" si="2"/>
        <v>61.000000000000007</v>
      </c>
      <c r="Q29" s="9">
        <f t="shared" si="2"/>
        <v>900</v>
      </c>
      <c r="R29" s="9">
        <f t="shared" si="3"/>
        <v>620500</v>
      </c>
      <c r="S29" s="9">
        <f t="shared" si="3"/>
        <v>730</v>
      </c>
    </row>
    <row r="30" spans="1:19" x14ac:dyDescent="0.4">
      <c r="A30" s="25" t="s">
        <v>29</v>
      </c>
      <c r="B30" s="1" t="s">
        <v>108</v>
      </c>
      <c r="C30" s="26" t="s">
        <v>2</v>
      </c>
      <c r="D30" s="15">
        <v>31.39</v>
      </c>
      <c r="E30" s="28" t="s">
        <v>3</v>
      </c>
      <c r="F30" s="1">
        <v>2.68</v>
      </c>
      <c r="G30" s="1">
        <v>6.8999999999999999E-3</v>
      </c>
      <c r="H30" s="1">
        <v>0.1198</v>
      </c>
      <c r="I30" s="1">
        <v>61.61</v>
      </c>
      <c r="J30" s="1">
        <v>0.15110000000000001</v>
      </c>
      <c r="K30" s="29">
        <f t="shared" si="0"/>
        <v>95.957800000000006</v>
      </c>
      <c r="M30" s="9">
        <f t="shared" si="1"/>
        <v>313900</v>
      </c>
      <c r="N30" s="9">
        <f t="shared" si="2"/>
        <v>-130</v>
      </c>
      <c r="O30" s="9">
        <f t="shared" si="2"/>
        <v>26800</v>
      </c>
      <c r="P30" s="9">
        <f t="shared" si="2"/>
        <v>69</v>
      </c>
      <c r="Q30" s="9">
        <f t="shared" si="2"/>
        <v>1198</v>
      </c>
      <c r="R30" s="9">
        <f t="shared" si="3"/>
        <v>616100</v>
      </c>
      <c r="S30" s="9">
        <f t="shared" si="3"/>
        <v>1511.0000000000002</v>
      </c>
    </row>
    <row r="31" spans="1:19" x14ac:dyDescent="0.4">
      <c r="A31" s="25" t="s">
        <v>30</v>
      </c>
      <c r="B31" s="1" t="s">
        <v>108</v>
      </c>
      <c r="C31" s="26" t="s">
        <v>2</v>
      </c>
      <c r="D31" s="15">
        <v>32.92</v>
      </c>
      <c r="E31" s="28" t="s">
        <v>3</v>
      </c>
      <c r="F31" s="1">
        <v>3.31</v>
      </c>
      <c r="G31" s="28" t="s">
        <v>3</v>
      </c>
      <c r="H31" s="28" t="s">
        <v>3</v>
      </c>
      <c r="I31" s="1">
        <v>62.1</v>
      </c>
      <c r="J31" s="1">
        <v>0.14829999999999999</v>
      </c>
      <c r="K31" s="29">
        <f t="shared" si="0"/>
        <v>98.478300000000019</v>
      </c>
      <c r="M31" s="9">
        <f t="shared" si="1"/>
        <v>329200</v>
      </c>
      <c r="N31" s="9">
        <f t="shared" si="2"/>
        <v>-130</v>
      </c>
      <c r="O31" s="9">
        <f t="shared" si="2"/>
        <v>33100</v>
      </c>
      <c r="P31" s="9">
        <f t="shared" si="2"/>
        <v>-60</v>
      </c>
      <c r="Q31" s="9">
        <f t="shared" si="2"/>
        <v>-240</v>
      </c>
      <c r="R31" s="9">
        <f t="shared" si="3"/>
        <v>621000</v>
      </c>
      <c r="S31" s="9">
        <f t="shared" si="3"/>
        <v>1482.9999999999998</v>
      </c>
    </row>
    <row r="32" spans="1:19" x14ac:dyDescent="0.4">
      <c r="A32" s="25" t="s">
        <v>31</v>
      </c>
      <c r="B32" s="1" t="s">
        <v>108</v>
      </c>
      <c r="C32" s="26" t="s">
        <v>2</v>
      </c>
      <c r="D32" s="15">
        <v>32.46</v>
      </c>
      <c r="E32" s="28" t="s">
        <v>3</v>
      </c>
      <c r="F32" s="1">
        <v>2.23</v>
      </c>
      <c r="G32" s="28" t="s">
        <v>3</v>
      </c>
      <c r="H32" s="1">
        <v>5.5599999999999997E-2</v>
      </c>
      <c r="I32" s="1">
        <v>63.24</v>
      </c>
      <c r="J32" s="1">
        <v>0.1646</v>
      </c>
      <c r="K32" s="29">
        <f t="shared" si="0"/>
        <v>98.150199999999998</v>
      </c>
      <c r="M32" s="9">
        <f t="shared" si="1"/>
        <v>324600</v>
      </c>
      <c r="N32" s="9">
        <f t="shared" si="2"/>
        <v>-130</v>
      </c>
      <c r="O32" s="9">
        <f t="shared" si="2"/>
        <v>22300</v>
      </c>
      <c r="P32" s="9">
        <f t="shared" si="2"/>
        <v>-60</v>
      </c>
      <c r="Q32" s="9">
        <f t="shared" si="2"/>
        <v>556</v>
      </c>
      <c r="R32" s="9">
        <f t="shared" si="3"/>
        <v>632400</v>
      </c>
      <c r="S32" s="9">
        <f t="shared" si="3"/>
        <v>1646</v>
      </c>
    </row>
    <row r="33" spans="1:19" x14ac:dyDescent="0.4">
      <c r="A33" s="25" t="s">
        <v>32</v>
      </c>
      <c r="B33" s="1" t="s">
        <v>108</v>
      </c>
      <c r="C33" s="26" t="s">
        <v>2</v>
      </c>
      <c r="D33" s="15">
        <v>32.72</v>
      </c>
      <c r="E33" s="28" t="s">
        <v>3</v>
      </c>
      <c r="F33" s="1">
        <v>3.03</v>
      </c>
      <c r="G33" s="28" t="s">
        <v>3</v>
      </c>
      <c r="H33" s="1">
        <v>4.4299999999999999E-2</v>
      </c>
      <c r="I33" s="1">
        <v>62.36</v>
      </c>
      <c r="J33" s="1">
        <v>0.17180000000000001</v>
      </c>
      <c r="K33" s="29">
        <f t="shared" si="0"/>
        <v>98.326100000000011</v>
      </c>
      <c r="M33" s="9">
        <f t="shared" si="1"/>
        <v>327200</v>
      </c>
      <c r="N33" s="9">
        <f t="shared" si="2"/>
        <v>-130</v>
      </c>
      <c r="O33" s="9">
        <f t="shared" si="2"/>
        <v>30299.999999999996</v>
      </c>
      <c r="P33" s="9">
        <f t="shared" si="2"/>
        <v>-60</v>
      </c>
      <c r="Q33" s="9">
        <f t="shared" si="2"/>
        <v>443</v>
      </c>
      <c r="R33" s="9">
        <f t="shared" si="3"/>
        <v>623600</v>
      </c>
      <c r="S33" s="9">
        <f t="shared" si="3"/>
        <v>1718</v>
      </c>
    </row>
    <row r="34" spans="1:19" x14ac:dyDescent="0.4">
      <c r="A34" s="25" t="s">
        <v>33</v>
      </c>
      <c r="B34" s="1" t="s">
        <v>108</v>
      </c>
      <c r="C34" s="26" t="s">
        <v>2</v>
      </c>
      <c r="D34" s="15">
        <v>32.909999999999997</v>
      </c>
      <c r="E34" s="28" t="s">
        <v>3</v>
      </c>
      <c r="F34" s="1">
        <v>3.49</v>
      </c>
      <c r="G34" s="1">
        <v>1.49E-2</v>
      </c>
      <c r="H34" s="1">
        <v>4.4999999999999998E-2</v>
      </c>
      <c r="I34" s="1">
        <v>62</v>
      </c>
      <c r="J34" s="1">
        <v>0.2147</v>
      </c>
      <c r="K34" s="29">
        <f t="shared" si="0"/>
        <v>98.674599999999998</v>
      </c>
      <c r="M34" s="9">
        <f t="shared" si="1"/>
        <v>329099.99999999994</v>
      </c>
      <c r="N34" s="9">
        <f t="shared" si="2"/>
        <v>-130</v>
      </c>
      <c r="O34" s="9">
        <f t="shared" si="2"/>
        <v>34900</v>
      </c>
      <c r="P34" s="9">
        <f t="shared" si="2"/>
        <v>149</v>
      </c>
      <c r="Q34" s="9">
        <f t="shared" si="2"/>
        <v>450</v>
      </c>
      <c r="R34" s="9">
        <f t="shared" si="3"/>
        <v>620000</v>
      </c>
      <c r="S34" s="9">
        <f t="shared" si="3"/>
        <v>2147</v>
      </c>
    </row>
    <row r="35" spans="1:19" x14ac:dyDescent="0.4">
      <c r="A35" s="25" t="s">
        <v>34</v>
      </c>
      <c r="B35" s="1" t="s">
        <v>108</v>
      </c>
      <c r="C35" s="26" t="s">
        <v>2</v>
      </c>
      <c r="D35" s="15">
        <v>32.85</v>
      </c>
      <c r="E35" s="28" t="s">
        <v>3</v>
      </c>
      <c r="F35" s="1">
        <v>3.61</v>
      </c>
      <c r="G35" s="28" t="s">
        <v>3</v>
      </c>
      <c r="H35" s="28" t="s">
        <v>3</v>
      </c>
      <c r="I35" s="1">
        <v>61.89</v>
      </c>
      <c r="J35" s="1">
        <v>0.2084</v>
      </c>
      <c r="K35" s="29">
        <f t="shared" si="0"/>
        <v>98.558399999999992</v>
      </c>
      <c r="M35" s="9">
        <f t="shared" si="1"/>
        <v>328500</v>
      </c>
      <c r="N35" s="9">
        <f t="shared" si="2"/>
        <v>-130</v>
      </c>
      <c r="O35" s="9">
        <f t="shared" si="2"/>
        <v>36100</v>
      </c>
      <c r="P35" s="9">
        <f t="shared" si="2"/>
        <v>-60</v>
      </c>
      <c r="Q35" s="9">
        <f t="shared" si="2"/>
        <v>-240</v>
      </c>
      <c r="R35" s="9">
        <f t="shared" si="3"/>
        <v>618900</v>
      </c>
      <c r="S35" s="9">
        <f t="shared" si="3"/>
        <v>2084</v>
      </c>
    </row>
    <row r="36" spans="1:19" x14ac:dyDescent="0.4">
      <c r="A36" s="25" t="s">
        <v>35</v>
      </c>
      <c r="B36" s="1" t="s">
        <v>108</v>
      </c>
      <c r="C36" s="26" t="s">
        <v>2</v>
      </c>
      <c r="D36" s="15">
        <v>33.33</v>
      </c>
      <c r="E36" s="1">
        <v>3.3799999999999997E-2</v>
      </c>
      <c r="F36" s="1">
        <v>3.14</v>
      </c>
      <c r="G36" s="1">
        <v>8.0000000000000002E-3</v>
      </c>
      <c r="H36" s="28" t="s">
        <v>3</v>
      </c>
      <c r="I36" s="1">
        <v>61.68</v>
      </c>
      <c r="J36" s="1">
        <v>0.43</v>
      </c>
      <c r="K36" s="29">
        <f t="shared" ref="K36:K67" si="4">SUM(D36:J36)</f>
        <v>98.621800000000007</v>
      </c>
      <c r="M36" s="9">
        <f t="shared" si="1"/>
        <v>333300</v>
      </c>
      <c r="N36" s="9">
        <f t="shared" si="2"/>
        <v>337.99999999999994</v>
      </c>
      <c r="O36" s="9">
        <f t="shared" si="2"/>
        <v>31400</v>
      </c>
      <c r="P36" s="9">
        <f t="shared" si="2"/>
        <v>80</v>
      </c>
      <c r="Q36" s="9">
        <f t="shared" si="2"/>
        <v>-240</v>
      </c>
      <c r="R36" s="9">
        <f t="shared" si="3"/>
        <v>616800</v>
      </c>
      <c r="S36" s="9">
        <f t="shared" si="3"/>
        <v>4300</v>
      </c>
    </row>
    <row r="37" spans="1:19" x14ac:dyDescent="0.4">
      <c r="A37" s="25" t="s">
        <v>36</v>
      </c>
      <c r="B37" s="1" t="s">
        <v>108</v>
      </c>
      <c r="C37" s="26" t="s">
        <v>2</v>
      </c>
      <c r="D37" s="15">
        <v>32.869999999999997</v>
      </c>
      <c r="E37" s="28" t="s">
        <v>3</v>
      </c>
      <c r="F37" s="1">
        <v>4.0599999999999996</v>
      </c>
      <c r="G37" s="1">
        <v>7.4000000000000003E-3</v>
      </c>
      <c r="H37" s="28" t="s">
        <v>3</v>
      </c>
      <c r="I37" s="1">
        <v>61.12</v>
      </c>
      <c r="J37" s="1">
        <v>0.3705</v>
      </c>
      <c r="K37" s="29">
        <f t="shared" si="4"/>
        <v>98.427900000000008</v>
      </c>
      <c r="M37" s="9">
        <f t="shared" si="1"/>
        <v>328700</v>
      </c>
      <c r="N37" s="9">
        <f t="shared" si="2"/>
        <v>-130</v>
      </c>
      <c r="O37" s="9">
        <f t="shared" si="2"/>
        <v>40599.999999999993</v>
      </c>
      <c r="P37" s="9">
        <f t="shared" si="2"/>
        <v>74</v>
      </c>
      <c r="Q37" s="9">
        <f t="shared" si="2"/>
        <v>-240</v>
      </c>
      <c r="R37" s="9">
        <f t="shared" si="3"/>
        <v>611200</v>
      </c>
      <c r="S37" s="9">
        <f t="shared" si="3"/>
        <v>3705</v>
      </c>
    </row>
    <row r="38" spans="1:19" x14ac:dyDescent="0.4">
      <c r="A38" s="25" t="s">
        <v>37</v>
      </c>
      <c r="B38" s="1" t="s">
        <v>109</v>
      </c>
      <c r="C38" s="26" t="s">
        <v>38</v>
      </c>
      <c r="D38" s="15">
        <v>32.82</v>
      </c>
      <c r="E38" s="1">
        <v>2.8500000000000001E-2</v>
      </c>
      <c r="F38" s="1">
        <v>6.3</v>
      </c>
      <c r="G38" s="1">
        <v>2.4E-2</v>
      </c>
      <c r="H38" s="28" t="s">
        <v>3</v>
      </c>
      <c r="I38" s="1">
        <v>58.77</v>
      </c>
      <c r="J38" s="1">
        <v>0.24840000000000001</v>
      </c>
      <c r="K38" s="29">
        <f t="shared" si="4"/>
        <v>98.190899999999999</v>
      </c>
      <c r="M38" s="9">
        <f t="shared" si="1"/>
        <v>328200</v>
      </c>
      <c r="N38" s="9">
        <f t="shared" si="2"/>
        <v>285</v>
      </c>
      <c r="O38" s="9">
        <f t="shared" si="2"/>
        <v>63000</v>
      </c>
      <c r="P38" s="9">
        <f t="shared" si="2"/>
        <v>240</v>
      </c>
      <c r="Q38" s="9">
        <f t="shared" si="2"/>
        <v>-240</v>
      </c>
      <c r="R38" s="9">
        <f t="shared" si="3"/>
        <v>587700</v>
      </c>
      <c r="S38" s="9">
        <f t="shared" si="3"/>
        <v>2484</v>
      </c>
    </row>
    <row r="39" spans="1:19" x14ac:dyDescent="0.4">
      <c r="A39" s="25" t="s">
        <v>39</v>
      </c>
      <c r="B39" s="1" t="s">
        <v>108</v>
      </c>
      <c r="C39" s="26" t="s">
        <v>38</v>
      </c>
      <c r="D39" s="15">
        <v>31.5</v>
      </c>
      <c r="E39" s="28" t="s">
        <v>3</v>
      </c>
      <c r="F39" s="1">
        <v>2.88</v>
      </c>
      <c r="G39" s="1">
        <v>1.8100000000000002E-2</v>
      </c>
      <c r="H39" s="28" t="s">
        <v>3</v>
      </c>
      <c r="I39" s="1">
        <v>61.23</v>
      </c>
      <c r="J39" s="1">
        <v>7.0199999999999999E-2</v>
      </c>
      <c r="K39" s="29">
        <f t="shared" si="4"/>
        <v>95.698299999999989</v>
      </c>
      <c r="M39" s="9">
        <f t="shared" si="1"/>
        <v>315000</v>
      </c>
      <c r="N39" s="9">
        <f t="shared" si="2"/>
        <v>-130</v>
      </c>
      <c r="O39" s="9">
        <f t="shared" si="2"/>
        <v>28800</v>
      </c>
      <c r="P39" s="9">
        <f t="shared" si="2"/>
        <v>181.00000000000003</v>
      </c>
      <c r="Q39" s="9">
        <f t="shared" si="2"/>
        <v>-240</v>
      </c>
      <c r="R39" s="9">
        <f t="shared" si="3"/>
        <v>612300</v>
      </c>
      <c r="S39" s="9">
        <f t="shared" si="3"/>
        <v>702</v>
      </c>
    </row>
    <row r="40" spans="1:19" x14ac:dyDescent="0.4">
      <c r="A40" s="25" t="s">
        <v>40</v>
      </c>
      <c r="B40" s="1" t="s">
        <v>106</v>
      </c>
      <c r="C40" s="26" t="s">
        <v>38</v>
      </c>
      <c r="D40" s="15">
        <v>33.06</v>
      </c>
      <c r="E40" s="1">
        <v>1.9800000000000002E-2</v>
      </c>
      <c r="F40" s="1">
        <v>9.44</v>
      </c>
      <c r="G40" s="1">
        <v>2.4799999999999999E-2</v>
      </c>
      <c r="H40" s="1">
        <v>3.9699999999999999E-2</v>
      </c>
      <c r="I40" s="1">
        <v>55.42</v>
      </c>
      <c r="J40" s="1">
        <v>9.5699999999999993E-2</v>
      </c>
      <c r="K40" s="29">
        <f t="shared" si="4"/>
        <v>98.1</v>
      </c>
      <c r="M40" s="9">
        <f t="shared" si="1"/>
        <v>330600</v>
      </c>
      <c r="N40" s="9">
        <f t="shared" si="2"/>
        <v>198.00000000000003</v>
      </c>
      <c r="O40" s="9">
        <f t="shared" si="2"/>
        <v>94400</v>
      </c>
      <c r="P40" s="9">
        <f t="shared" si="2"/>
        <v>248</v>
      </c>
      <c r="Q40" s="9">
        <f t="shared" si="2"/>
        <v>397</v>
      </c>
      <c r="R40" s="9">
        <f t="shared" si="3"/>
        <v>554200</v>
      </c>
      <c r="S40" s="9">
        <f t="shared" si="3"/>
        <v>956.99999999999989</v>
      </c>
    </row>
    <row r="41" spans="1:19" x14ac:dyDescent="0.4">
      <c r="A41" s="25" t="s">
        <v>41</v>
      </c>
      <c r="B41" s="1" t="s">
        <v>105</v>
      </c>
      <c r="C41" s="26" t="s">
        <v>2</v>
      </c>
      <c r="D41" s="15">
        <v>32.79</v>
      </c>
      <c r="E41" s="28" t="s">
        <v>3</v>
      </c>
      <c r="F41" s="1">
        <v>3.23</v>
      </c>
      <c r="G41" s="28" t="s">
        <v>3</v>
      </c>
      <c r="H41" s="28" t="s">
        <v>3</v>
      </c>
      <c r="I41" s="1">
        <v>61.9</v>
      </c>
      <c r="J41" s="1">
        <v>0.55249999999999999</v>
      </c>
      <c r="K41" s="29">
        <f t="shared" si="4"/>
        <v>98.472499999999982</v>
      </c>
      <c r="M41" s="9">
        <f t="shared" si="1"/>
        <v>327900</v>
      </c>
      <c r="N41" s="9">
        <f t="shared" si="2"/>
        <v>-130</v>
      </c>
      <c r="O41" s="9">
        <f t="shared" si="2"/>
        <v>32300</v>
      </c>
      <c r="P41" s="9">
        <f t="shared" si="2"/>
        <v>-60</v>
      </c>
      <c r="Q41" s="9">
        <f t="shared" si="2"/>
        <v>-240</v>
      </c>
      <c r="R41" s="9">
        <f t="shared" si="3"/>
        <v>619000</v>
      </c>
      <c r="S41" s="9">
        <f t="shared" si="3"/>
        <v>5525</v>
      </c>
    </row>
    <row r="42" spans="1:19" x14ac:dyDescent="0.4">
      <c r="A42" s="25" t="s">
        <v>42</v>
      </c>
      <c r="B42" s="1" t="s">
        <v>108</v>
      </c>
      <c r="C42" s="26" t="s">
        <v>2</v>
      </c>
      <c r="D42" s="15">
        <v>32.76</v>
      </c>
      <c r="E42" s="28" t="s">
        <v>3</v>
      </c>
      <c r="F42" s="1">
        <v>3.46</v>
      </c>
      <c r="G42" s="28" t="s">
        <v>3</v>
      </c>
      <c r="H42" s="28" t="s">
        <v>3</v>
      </c>
      <c r="I42" s="1">
        <v>61.77</v>
      </c>
      <c r="J42" s="1">
        <v>0.18129999999999999</v>
      </c>
      <c r="K42" s="29">
        <f t="shared" si="4"/>
        <v>98.171300000000002</v>
      </c>
      <c r="M42" s="9">
        <f t="shared" si="1"/>
        <v>327600</v>
      </c>
      <c r="N42" s="9">
        <f t="shared" si="2"/>
        <v>-130</v>
      </c>
      <c r="O42" s="9">
        <f t="shared" si="2"/>
        <v>34600</v>
      </c>
      <c r="P42" s="9">
        <f t="shared" si="2"/>
        <v>-60</v>
      </c>
      <c r="Q42" s="9">
        <f t="shared" si="2"/>
        <v>-240</v>
      </c>
      <c r="R42" s="9">
        <f t="shared" si="3"/>
        <v>617700</v>
      </c>
      <c r="S42" s="9">
        <f t="shared" si="3"/>
        <v>1813</v>
      </c>
    </row>
    <row r="43" spans="1:19" x14ac:dyDescent="0.4">
      <c r="A43" s="25" t="s">
        <v>43</v>
      </c>
      <c r="B43" s="1" t="s">
        <v>106</v>
      </c>
      <c r="C43" s="26" t="s">
        <v>38</v>
      </c>
      <c r="D43" s="15">
        <v>33.229999999999997</v>
      </c>
      <c r="E43" s="1">
        <v>1.6400000000000001E-2</v>
      </c>
      <c r="F43" s="1">
        <v>8.3800000000000008</v>
      </c>
      <c r="G43" s="1">
        <v>2.9899999999999999E-2</v>
      </c>
      <c r="H43" s="1">
        <v>6.3399999999999998E-2</v>
      </c>
      <c r="I43" s="1">
        <v>56.59</v>
      </c>
      <c r="J43" s="1">
        <v>5.5500000000000001E-2</v>
      </c>
      <c r="K43" s="29">
        <f t="shared" si="4"/>
        <v>98.365199999999987</v>
      </c>
      <c r="M43" s="9">
        <f t="shared" si="1"/>
        <v>332299.99999999994</v>
      </c>
      <c r="N43" s="9">
        <f t="shared" si="2"/>
        <v>164</v>
      </c>
      <c r="O43" s="9">
        <f t="shared" si="2"/>
        <v>83800.000000000015</v>
      </c>
      <c r="P43" s="9">
        <f t="shared" si="2"/>
        <v>299</v>
      </c>
      <c r="Q43" s="9">
        <f t="shared" si="2"/>
        <v>634</v>
      </c>
      <c r="R43" s="9">
        <f t="shared" si="3"/>
        <v>565900</v>
      </c>
      <c r="S43" s="9">
        <f t="shared" si="3"/>
        <v>555</v>
      </c>
    </row>
    <row r="44" spans="1:19" x14ac:dyDescent="0.4">
      <c r="A44" s="25" t="s">
        <v>44</v>
      </c>
      <c r="B44" s="1" t="s">
        <v>106</v>
      </c>
      <c r="C44" s="26" t="s">
        <v>38</v>
      </c>
      <c r="D44" s="15">
        <v>33.090000000000003</v>
      </c>
      <c r="E44" s="1">
        <v>1.6899999999999998E-2</v>
      </c>
      <c r="F44" s="1">
        <v>6.88</v>
      </c>
      <c r="G44" s="1">
        <v>3.0599999999999999E-2</v>
      </c>
      <c r="H44" s="28" t="s">
        <v>3</v>
      </c>
      <c r="I44" s="1">
        <v>58.06</v>
      </c>
      <c r="J44" s="1">
        <v>0.21629999999999999</v>
      </c>
      <c r="K44" s="29">
        <f t="shared" si="4"/>
        <v>98.293800000000019</v>
      </c>
      <c r="M44" s="9">
        <f t="shared" si="1"/>
        <v>330900.00000000006</v>
      </c>
      <c r="N44" s="9">
        <f t="shared" si="2"/>
        <v>168.99999999999997</v>
      </c>
      <c r="O44" s="9">
        <f t="shared" si="2"/>
        <v>68800</v>
      </c>
      <c r="P44" s="9">
        <f t="shared" si="2"/>
        <v>306</v>
      </c>
      <c r="Q44" s="9">
        <f t="shared" si="2"/>
        <v>-240</v>
      </c>
      <c r="R44" s="9">
        <f t="shared" si="3"/>
        <v>580600</v>
      </c>
      <c r="S44" s="9">
        <f t="shared" si="3"/>
        <v>2163</v>
      </c>
    </row>
    <row r="45" spans="1:19" x14ac:dyDescent="0.4">
      <c r="A45" s="25" t="s">
        <v>45</v>
      </c>
      <c r="B45" s="1" t="s">
        <v>109</v>
      </c>
      <c r="C45" s="26" t="s">
        <v>38</v>
      </c>
      <c r="D45" s="15">
        <v>32.9</v>
      </c>
      <c r="E45" s="28" t="s">
        <v>3</v>
      </c>
      <c r="F45" s="1">
        <v>7.26</v>
      </c>
      <c r="G45" s="1">
        <v>8.2000000000000007E-3</v>
      </c>
      <c r="H45" s="1">
        <v>0.13789999999999999</v>
      </c>
      <c r="I45" s="1">
        <v>57.21</v>
      </c>
      <c r="J45" s="1">
        <v>0.20250000000000001</v>
      </c>
      <c r="K45" s="29">
        <f t="shared" si="4"/>
        <v>97.718599999999995</v>
      </c>
      <c r="M45" s="9">
        <f t="shared" si="1"/>
        <v>329000</v>
      </c>
      <c r="N45" s="9">
        <f t="shared" si="2"/>
        <v>-130</v>
      </c>
      <c r="O45" s="9">
        <f t="shared" si="2"/>
        <v>72600</v>
      </c>
      <c r="P45" s="9">
        <f t="shared" si="2"/>
        <v>82</v>
      </c>
      <c r="Q45" s="9">
        <f t="shared" si="2"/>
        <v>1379</v>
      </c>
      <c r="R45" s="9">
        <f t="shared" si="3"/>
        <v>572100</v>
      </c>
      <c r="S45" s="9">
        <f t="shared" si="3"/>
        <v>2025.0000000000002</v>
      </c>
    </row>
    <row r="46" spans="1:19" x14ac:dyDescent="0.4">
      <c r="A46" s="25" t="s">
        <v>46</v>
      </c>
      <c r="B46" s="1" t="s">
        <v>109</v>
      </c>
      <c r="C46" s="26" t="s">
        <v>38</v>
      </c>
      <c r="D46" s="15">
        <v>32.4</v>
      </c>
      <c r="E46" s="28" t="s">
        <v>3</v>
      </c>
      <c r="F46" s="1">
        <v>6.73</v>
      </c>
      <c r="G46" s="1">
        <v>2.8299999999999999E-2</v>
      </c>
      <c r="H46" s="1">
        <v>3.5900000000000001E-2</v>
      </c>
      <c r="I46" s="1">
        <v>58.1</v>
      </c>
      <c r="J46" s="1">
        <v>0.14410000000000001</v>
      </c>
      <c r="K46" s="29">
        <f t="shared" si="4"/>
        <v>97.438299999999984</v>
      </c>
      <c r="M46" s="9">
        <f t="shared" si="1"/>
        <v>324000</v>
      </c>
      <c r="N46" s="9">
        <f t="shared" si="2"/>
        <v>-130</v>
      </c>
      <c r="O46" s="9">
        <f t="shared" si="2"/>
        <v>67300</v>
      </c>
      <c r="P46" s="9">
        <f t="shared" si="2"/>
        <v>283</v>
      </c>
      <c r="Q46" s="9">
        <f t="shared" si="2"/>
        <v>359</v>
      </c>
      <c r="R46" s="9">
        <f t="shared" si="3"/>
        <v>581000</v>
      </c>
      <c r="S46" s="9">
        <f t="shared" si="3"/>
        <v>1441</v>
      </c>
    </row>
    <row r="47" spans="1:19" x14ac:dyDescent="0.4">
      <c r="A47" s="25" t="s">
        <v>47</v>
      </c>
      <c r="B47" s="1" t="s">
        <v>105</v>
      </c>
      <c r="C47" s="26" t="s">
        <v>2</v>
      </c>
      <c r="D47" s="15">
        <v>32.6</v>
      </c>
      <c r="E47" s="28" t="s">
        <v>3</v>
      </c>
      <c r="F47" s="1">
        <v>2.66</v>
      </c>
      <c r="G47" s="1">
        <v>1.21E-2</v>
      </c>
      <c r="H47" s="1">
        <v>2.7799999999999998E-2</v>
      </c>
      <c r="I47" s="1">
        <v>61.82</v>
      </c>
      <c r="J47" s="1">
        <v>0.34160000000000001</v>
      </c>
      <c r="K47" s="29">
        <f t="shared" si="4"/>
        <v>97.461500000000001</v>
      </c>
      <c r="M47" s="9">
        <f t="shared" si="1"/>
        <v>326000</v>
      </c>
      <c r="N47" s="9">
        <f t="shared" si="2"/>
        <v>-130</v>
      </c>
      <c r="O47" s="9">
        <f t="shared" si="2"/>
        <v>26600</v>
      </c>
      <c r="P47" s="9">
        <f t="shared" si="2"/>
        <v>121</v>
      </c>
      <c r="Q47" s="9">
        <f t="shared" si="2"/>
        <v>278</v>
      </c>
      <c r="R47" s="9">
        <f t="shared" si="3"/>
        <v>618200</v>
      </c>
      <c r="S47" s="9">
        <f t="shared" si="3"/>
        <v>3416</v>
      </c>
    </row>
    <row r="48" spans="1:19" x14ac:dyDescent="0.4">
      <c r="A48" s="25" t="s">
        <v>48</v>
      </c>
      <c r="B48" s="1" t="s">
        <v>105</v>
      </c>
      <c r="C48" s="26" t="s">
        <v>2</v>
      </c>
      <c r="D48" s="15">
        <v>32.630000000000003</v>
      </c>
      <c r="E48" s="28" t="s">
        <v>3</v>
      </c>
      <c r="F48" s="1">
        <v>2.63</v>
      </c>
      <c r="G48" s="1">
        <v>1.66E-2</v>
      </c>
      <c r="H48" s="28" t="s">
        <v>3</v>
      </c>
      <c r="I48" s="1">
        <v>62.37</v>
      </c>
      <c r="J48" s="1">
        <v>0.30230000000000001</v>
      </c>
      <c r="K48" s="29">
        <f t="shared" si="4"/>
        <v>97.948900000000009</v>
      </c>
      <c r="M48" s="9">
        <f t="shared" si="1"/>
        <v>326300</v>
      </c>
      <c r="N48" s="9">
        <f t="shared" si="2"/>
        <v>-130</v>
      </c>
      <c r="O48" s="9">
        <f t="shared" si="2"/>
        <v>26300</v>
      </c>
      <c r="P48" s="9">
        <f t="shared" si="2"/>
        <v>166</v>
      </c>
      <c r="Q48" s="9">
        <f t="shared" si="2"/>
        <v>-240</v>
      </c>
      <c r="R48" s="9">
        <f t="shared" si="3"/>
        <v>623700</v>
      </c>
      <c r="S48" s="9">
        <f t="shared" si="3"/>
        <v>3023</v>
      </c>
    </row>
    <row r="49" spans="1:19" x14ac:dyDescent="0.4">
      <c r="A49" s="25" t="s">
        <v>49</v>
      </c>
      <c r="B49" s="1" t="s">
        <v>105</v>
      </c>
      <c r="C49" s="26" t="s">
        <v>2</v>
      </c>
      <c r="D49" s="15">
        <v>32.69</v>
      </c>
      <c r="E49" s="28" t="s">
        <v>3</v>
      </c>
      <c r="F49" s="1">
        <v>2.92</v>
      </c>
      <c r="G49" s="1">
        <v>8.9999999999999993E-3</v>
      </c>
      <c r="H49" s="28" t="s">
        <v>3</v>
      </c>
      <c r="I49" s="1">
        <v>62.46</v>
      </c>
      <c r="J49" s="1">
        <v>0.2296</v>
      </c>
      <c r="K49" s="29">
        <f t="shared" si="4"/>
        <v>98.308600000000013</v>
      </c>
      <c r="M49" s="9">
        <f t="shared" si="1"/>
        <v>326900</v>
      </c>
      <c r="N49" s="9">
        <f t="shared" si="2"/>
        <v>-130</v>
      </c>
      <c r="O49" s="9">
        <f t="shared" si="2"/>
        <v>29200</v>
      </c>
      <c r="P49" s="9">
        <f t="shared" si="2"/>
        <v>90</v>
      </c>
      <c r="Q49" s="9">
        <f t="shared" si="2"/>
        <v>-240</v>
      </c>
      <c r="R49" s="9">
        <f t="shared" si="3"/>
        <v>624600</v>
      </c>
      <c r="S49" s="9">
        <f t="shared" si="3"/>
        <v>2296</v>
      </c>
    </row>
    <row r="50" spans="1:19" x14ac:dyDescent="0.4">
      <c r="A50" s="25" t="s">
        <v>50</v>
      </c>
      <c r="B50" s="1" t="s">
        <v>108</v>
      </c>
      <c r="C50" s="26" t="s">
        <v>2</v>
      </c>
      <c r="D50" s="15">
        <v>32.729999999999997</v>
      </c>
      <c r="E50" s="28" t="s">
        <v>3</v>
      </c>
      <c r="F50" s="1">
        <v>3.28</v>
      </c>
      <c r="G50" s="28" t="s">
        <v>3</v>
      </c>
      <c r="H50" s="28" t="s">
        <v>3</v>
      </c>
      <c r="I50" s="1">
        <v>62.1</v>
      </c>
      <c r="J50" s="1">
        <v>0.14990000000000001</v>
      </c>
      <c r="K50" s="29">
        <f t="shared" si="4"/>
        <v>98.259900000000002</v>
      </c>
      <c r="M50" s="9">
        <f t="shared" si="1"/>
        <v>327299.99999999994</v>
      </c>
      <c r="N50" s="9">
        <f t="shared" si="2"/>
        <v>-130</v>
      </c>
      <c r="O50" s="9">
        <f t="shared" si="2"/>
        <v>32800</v>
      </c>
      <c r="P50" s="9">
        <f t="shared" si="2"/>
        <v>-60</v>
      </c>
      <c r="Q50" s="9">
        <f t="shared" si="2"/>
        <v>-240</v>
      </c>
      <c r="R50" s="9">
        <f t="shared" si="3"/>
        <v>621000</v>
      </c>
      <c r="S50" s="9">
        <f t="shared" si="3"/>
        <v>1499</v>
      </c>
    </row>
    <row r="51" spans="1:19" x14ac:dyDescent="0.4">
      <c r="A51" s="25" t="s">
        <v>51</v>
      </c>
      <c r="B51" s="1" t="s">
        <v>105</v>
      </c>
      <c r="C51" s="26" t="s">
        <v>2</v>
      </c>
      <c r="D51" s="15">
        <v>32.69</v>
      </c>
      <c r="E51" s="28" t="s">
        <v>3</v>
      </c>
      <c r="F51" s="1">
        <v>3.09</v>
      </c>
      <c r="G51" s="1">
        <v>2.5700000000000001E-2</v>
      </c>
      <c r="H51" s="28" t="s">
        <v>3</v>
      </c>
      <c r="I51" s="1">
        <v>62.22</v>
      </c>
      <c r="J51" s="1">
        <v>0.1125</v>
      </c>
      <c r="K51" s="29">
        <f t="shared" si="4"/>
        <v>98.138199999999998</v>
      </c>
      <c r="M51" s="9">
        <f t="shared" si="1"/>
        <v>326900</v>
      </c>
      <c r="N51" s="9">
        <f t="shared" si="2"/>
        <v>-130</v>
      </c>
      <c r="O51" s="9">
        <f t="shared" si="2"/>
        <v>30900</v>
      </c>
      <c r="P51" s="9">
        <f t="shared" si="2"/>
        <v>257</v>
      </c>
      <c r="Q51" s="9">
        <f t="shared" si="2"/>
        <v>-240</v>
      </c>
      <c r="R51" s="9">
        <f t="shared" si="3"/>
        <v>622200</v>
      </c>
      <c r="S51" s="9">
        <f t="shared" si="3"/>
        <v>1125</v>
      </c>
    </row>
    <row r="52" spans="1:19" x14ac:dyDescent="0.4">
      <c r="A52" s="25" t="s">
        <v>52</v>
      </c>
      <c r="B52" s="1" t="s">
        <v>108</v>
      </c>
      <c r="C52" s="26" t="s">
        <v>2</v>
      </c>
      <c r="D52" s="15">
        <v>32.909999999999997</v>
      </c>
      <c r="E52" s="1">
        <v>1.8100000000000002E-2</v>
      </c>
      <c r="F52" s="1">
        <v>3.29</v>
      </c>
      <c r="G52" s="1">
        <v>2.0299999999999999E-2</v>
      </c>
      <c r="H52" s="1">
        <v>4.7100000000000003E-2</v>
      </c>
      <c r="I52" s="1">
        <v>62.55</v>
      </c>
      <c r="J52" s="1">
        <v>0.13550000000000001</v>
      </c>
      <c r="K52" s="29">
        <f t="shared" si="4"/>
        <v>98.970999999999989</v>
      </c>
      <c r="M52" s="9">
        <f t="shared" si="1"/>
        <v>329099.99999999994</v>
      </c>
      <c r="N52" s="9">
        <f t="shared" si="2"/>
        <v>181.00000000000003</v>
      </c>
      <c r="O52" s="9">
        <f t="shared" si="2"/>
        <v>32900</v>
      </c>
      <c r="P52" s="9">
        <f t="shared" si="2"/>
        <v>203</v>
      </c>
      <c r="Q52" s="9">
        <f t="shared" si="2"/>
        <v>471.00000000000006</v>
      </c>
      <c r="R52" s="9">
        <f t="shared" si="3"/>
        <v>625500</v>
      </c>
      <c r="S52" s="9">
        <f t="shared" si="3"/>
        <v>1355</v>
      </c>
    </row>
    <row r="53" spans="1:19" x14ac:dyDescent="0.4">
      <c r="A53" s="25" t="s">
        <v>53</v>
      </c>
      <c r="B53" s="1" t="s">
        <v>108</v>
      </c>
      <c r="C53" s="26" t="s">
        <v>2</v>
      </c>
      <c r="D53" s="15">
        <v>32.869999999999997</v>
      </c>
      <c r="E53" s="1">
        <v>1.7500000000000002E-2</v>
      </c>
      <c r="F53" s="1">
        <v>3.49</v>
      </c>
      <c r="G53" s="28" t="s">
        <v>3</v>
      </c>
      <c r="H53" s="28" t="s">
        <v>3</v>
      </c>
      <c r="I53" s="1">
        <v>61.67</v>
      </c>
      <c r="J53" s="1">
        <v>0.1709</v>
      </c>
      <c r="K53" s="29">
        <f t="shared" si="4"/>
        <v>98.218400000000003</v>
      </c>
      <c r="M53" s="9">
        <f t="shared" si="1"/>
        <v>328700</v>
      </c>
      <c r="N53" s="9">
        <f t="shared" si="2"/>
        <v>175.00000000000003</v>
      </c>
      <c r="O53" s="9">
        <f t="shared" si="2"/>
        <v>34900</v>
      </c>
      <c r="P53" s="9">
        <f t="shared" si="2"/>
        <v>-60</v>
      </c>
      <c r="Q53" s="9">
        <f t="shared" si="2"/>
        <v>-240</v>
      </c>
      <c r="R53" s="9">
        <f t="shared" si="3"/>
        <v>616700</v>
      </c>
      <c r="S53" s="9">
        <f t="shared" si="3"/>
        <v>1709</v>
      </c>
    </row>
    <row r="54" spans="1:19" x14ac:dyDescent="0.4">
      <c r="A54" s="25" t="s">
        <v>54</v>
      </c>
      <c r="B54" s="1" t="s">
        <v>109</v>
      </c>
      <c r="C54" s="26" t="s">
        <v>2</v>
      </c>
      <c r="D54" s="15">
        <v>33.01</v>
      </c>
      <c r="E54" s="1">
        <v>2.0899999999999998E-2</v>
      </c>
      <c r="F54" s="1">
        <v>3.81</v>
      </c>
      <c r="G54" s="28" t="s">
        <v>3</v>
      </c>
      <c r="H54" s="1">
        <v>5.8599999999999999E-2</v>
      </c>
      <c r="I54" s="1">
        <v>61.44</v>
      </c>
      <c r="J54" s="1">
        <v>0.22489999999999999</v>
      </c>
      <c r="K54" s="29">
        <f t="shared" si="4"/>
        <v>98.564399999999992</v>
      </c>
      <c r="M54" s="9">
        <f t="shared" si="1"/>
        <v>330100</v>
      </c>
      <c r="N54" s="9">
        <f t="shared" si="2"/>
        <v>208.99999999999997</v>
      </c>
      <c r="O54" s="9">
        <f t="shared" si="2"/>
        <v>38100</v>
      </c>
      <c r="P54" s="9">
        <f t="shared" si="2"/>
        <v>-60</v>
      </c>
      <c r="Q54" s="9">
        <f t="shared" si="2"/>
        <v>586</v>
      </c>
      <c r="R54" s="9">
        <f t="shared" si="3"/>
        <v>614400</v>
      </c>
      <c r="S54" s="9">
        <f t="shared" si="3"/>
        <v>2249</v>
      </c>
    </row>
    <row r="55" spans="1:19" x14ac:dyDescent="0.4">
      <c r="A55" s="25" t="s">
        <v>55</v>
      </c>
      <c r="B55" s="1" t="s">
        <v>109</v>
      </c>
      <c r="C55" s="26" t="s">
        <v>2</v>
      </c>
      <c r="D55" s="15">
        <v>32.79</v>
      </c>
      <c r="E55" s="1">
        <v>2.0199999999999999E-2</v>
      </c>
      <c r="F55" s="1">
        <v>4.66</v>
      </c>
      <c r="G55" s="1">
        <v>1.0500000000000001E-2</v>
      </c>
      <c r="H55" s="28" t="s">
        <v>3</v>
      </c>
      <c r="I55" s="1">
        <v>60.36</v>
      </c>
      <c r="J55" s="1">
        <v>0.37330000000000002</v>
      </c>
      <c r="K55" s="29">
        <f t="shared" si="4"/>
        <v>98.213999999999999</v>
      </c>
      <c r="M55" s="9">
        <f t="shared" si="1"/>
        <v>327900</v>
      </c>
      <c r="N55" s="9">
        <f t="shared" si="2"/>
        <v>202</v>
      </c>
      <c r="O55" s="9">
        <f t="shared" si="2"/>
        <v>46600</v>
      </c>
      <c r="P55" s="9">
        <f t="shared" si="2"/>
        <v>105</v>
      </c>
      <c r="Q55" s="9">
        <f t="shared" si="2"/>
        <v>-240</v>
      </c>
      <c r="R55" s="9">
        <f t="shared" si="3"/>
        <v>603600</v>
      </c>
      <c r="S55" s="9">
        <f t="shared" si="3"/>
        <v>3733</v>
      </c>
    </row>
    <row r="56" spans="1:19" x14ac:dyDescent="0.4">
      <c r="A56" s="25" t="s">
        <v>56</v>
      </c>
      <c r="B56" s="1" t="s">
        <v>109</v>
      </c>
      <c r="C56" s="26" t="s">
        <v>2</v>
      </c>
      <c r="D56" s="15">
        <v>33.049999999999997</v>
      </c>
      <c r="E56" s="28" t="s">
        <v>3</v>
      </c>
      <c r="F56" s="1">
        <v>4.24</v>
      </c>
      <c r="G56" s="1">
        <v>1.9599999999999999E-2</v>
      </c>
      <c r="H56" s="28" t="s">
        <v>3</v>
      </c>
      <c r="I56" s="1">
        <v>60.86</v>
      </c>
      <c r="J56" s="1">
        <v>0.21540000000000001</v>
      </c>
      <c r="K56" s="29">
        <f t="shared" si="4"/>
        <v>98.385000000000005</v>
      </c>
      <c r="M56" s="9">
        <f t="shared" si="1"/>
        <v>330500</v>
      </c>
      <c r="N56" s="9">
        <f t="shared" si="2"/>
        <v>-130</v>
      </c>
      <c r="O56" s="9">
        <f t="shared" si="2"/>
        <v>42400</v>
      </c>
      <c r="P56" s="9">
        <f t="shared" si="2"/>
        <v>196</v>
      </c>
      <c r="Q56" s="9">
        <f t="shared" si="2"/>
        <v>-240</v>
      </c>
      <c r="R56" s="9">
        <f t="shared" si="3"/>
        <v>608600</v>
      </c>
      <c r="S56" s="9">
        <f t="shared" si="3"/>
        <v>2154</v>
      </c>
    </row>
    <row r="57" spans="1:19" x14ac:dyDescent="0.4">
      <c r="A57" s="25" t="s">
        <v>57</v>
      </c>
      <c r="B57" s="1" t="s">
        <v>109</v>
      </c>
      <c r="C57" s="26" t="s">
        <v>2</v>
      </c>
      <c r="D57" s="15">
        <v>32.880000000000003</v>
      </c>
      <c r="E57" s="1">
        <v>1.6199999999999999E-2</v>
      </c>
      <c r="F57" s="1">
        <v>3.91</v>
      </c>
      <c r="G57" s="1">
        <v>1.38E-2</v>
      </c>
      <c r="H57" s="1">
        <v>4.65E-2</v>
      </c>
      <c r="I57" s="1">
        <v>61.16</v>
      </c>
      <c r="J57" s="1">
        <v>0.12039999999999999</v>
      </c>
      <c r="K57" s="29">
        <f t="shared" si="4"/>
        <v>98.146900000000002</v>
      </c>
      <c r="M57" s="9">
        <f t="shared" si="1"/>
        <v>328800</v>
      </c>
      <c r="N57" s="9">
        <f t="shared" si="2"/>
        <v>162</v>
      </c>
      <c r="O57" s="9">
        <f t="shared" si="2"/>
        <v>39100</v>
      </c>
      <c r="P57" s="9">
        <f t="shared" si="2"/>
        <v>138</v>
      </c>
      <c r="Q57" s="9">
        <f t="shared" si="2"/>
        <v>465</v>
      </c>
      <c r="R57" s="9">
        <f t="shared" si="3"/>
        <v>611600</v>
      </c>
      <c r="S57" s="9">
        <f t="shared" si="3"/>
        <v>1204</v>
      </c>
    </row>
    <row r="58" spans="1:19" x14ac:dyDescent="0.4">
      <c r="A58" s="25" t="s">
        <v>58</v>
      </c>
      <c r="B58" s="1" t="s">
        <v>108</v>
      </c>
      <c r="C58" s="26" t="s">
        <v>2</v>
      </c>
      <c r="D58" s="15">
        <v>33.04</v>
      </c>
      <c r="E58" s="28" t="s">
        <v>3</v>
      </c>
      <c r="F58" s="1">
        <v>3.37</v>
      </c>
      <c r="G58" s="1">
        <v>8.2000000000000007E-3</v>
      </c>
      <c r="H58" s="1">
        <v>5.6399999999999999E-2</v>
      </c>
      <c r="I58" s="1">
        <v>61.81</v>
      </c>
      <c r="J58" s="1">
        <v>0.16750000000000001</v>
      </c>
      <c r="K58" s="29">
        <f t="shared" si="4"/>
        <v>98.452100000000002</v>
      </c>
      <c r="M58" s="9">
        <f t="shared" si="1"/>
        <v>330400</v>
      </c>
      <c r="N58" s="9">
        <f t="shared" si="2"/>
        <v>-130</v>
      </c>
      <c r="O58" s="9">
        <f t="shared" si="2"/>
        <v>33700</v>
      </c>
      <c r="P58" s="9">
        <f t="shared" si="2"/>
        <v>82</v>
      </c>
      <c r="Q58" s="9">
        <f t="shared" si="2"/>
        <v>564</v>
      </c>
      <c r="R58" s="9">
        <f t="shared" si="3"/>
        <v>618100</v>
      </c>
      <c r="S58" s="9">
        <f t="shared" si="3"/>
        <v>1675</v>
      </c>
    </row>
    <row r="59" spans="1:19" x14ac:dyDescent="0.4">
      <c r="A59" s="25" t="s">
        <v>59</v>
      </c>
      <c r="B59" s="1" t="s">
        <v>108</v>
      </c>
      <c r="C59" s="26" t="s">
        <v>2</v>
      </c>
      <c r="D59" s="15">
        <v>32.85</v>
      </c>
      <c r="E59" s="1">
        <v>1.89E-2</v>
      </c>
      <c r="F59" s="1">
        <v>3.54</v>
      </c>
      <c r="G59" s="1">
        <v>9.4000000000000004E-3</v>
      </c>
      <c r="H59" s="1">
        <v>2.5000000000000001E-2</v>
      </c>
      <c r="I59" s="1">
        <v>60.83</v>
      </c>
      <c r="J59" s="1">
        <v>0.21990000000000001</v>
      </c>
      <c r="K59" s="29">
        <f t="shared" si="4"/>
        <v>97.493200000000002</v>
      </c>
      <c r="M59" s="9">
        <f t="shared" si="1"/>
        <v>328500</v>
      </c>
      <c r="N59" s="9">
        <f t="shared" si="2"/>
        <v>189</v>
      </c>
      <c r="O59" s="9">
        <f t="shared" si="2"/>
        <v>35400</v>
      </c>
      <c r="P59" s="9">
        <f t="shared" si="2"/>
        <v>94</v>
      </c>
      <c r="Q59" s="9">
        <f t="shared" si="2"/>
        <v>250</v>
      </c>
      <c r="R59" s="9">
        <f t="shared" si="3"/>
        <v>608300</v>
      </c>
      <c r="S59" s="9">
        <f t="shared" si="3"/>
        <v>2199</v>
      </c>
    </row>
    <row r="60" spans="1:19" x14ac:dyDescent="0.4">
      <c r="A60" s="25" t="s">
        <v>60</v>
      </c>
      <c r="B60" s="1" t="s">
        <v>108</v>
      </c>
      <c r="C60" s="26" t="s">
        <v>2</v>
      </c>
      <c r="D60" s="15">
        <v>32.82</v>
      </c>
      <c r="E60" s="28" t="s">
        <v>3</v>
      </c>
      <c r="F60" s="1">
        <v>3.56</v>
      </c>
      <c r="G60" s="28" t="s">
        <v>3</v>
      </c>
      <c r="H60" s="28" t="s">
        <v>3</v>
      </c>
      <c r="I60" s="1">
        <v>61.54</v>
      </c>
      <c r="J60" s="1">
        <v>0.18049999999999999</v>
      </c>
      <c r="K60" s="29">
        <f t="shared" si="4"/>
        <v>98.100499999999997</v>
      </c>
      <c r="M60" s="9">
        <f t="shared" si="1"/>
        <v>328200</v>
      </c>
      <c r="N60" s="9">
        <f t="shared" si="2"/>
        <v>-130</v>
      </c>
      <c r="O60" s="9">
        <f t="shared" si="2"/>
        <v>35600</v>
      </c>
      <c r="P60" s="9">
        <f t="shared" si="2"/>
        <v>-60</v>
      </c>
      <c r="Q60" s="9">
        <f t="shared" si="2"/>
        <v>-240</v>
      </c>
      <c r="R60" s="9">
        <f t="shared" si="3"/>
        <v>615400</v>
      </c>
      <c r="S60" s="9">
        <f t="shared" si="3"/>
        <v>1805</v>
      </c>
    </row>
    <row r="61" spans="1:19" x14ac:dyDescent="0.4">
      <c r="A61" s="25" t="s">
        <v>61</v>
      </c>
      <c r="B61" s="1" t="s">
        <v>105</v>
      </c>
      <c r="C61" s="26" t="s">
        <v>2</v>
      </c>
      <c r="D61" s="15">
        <v>32.79</v>
      </c>
      <c r="E61" s="28" t="s">
        <v>3</v>
      </c>
      <c r="F61" s="1">
        <v>3.26</v>
      </c>
      <c r="G61" s="28" t="s">
        <v>3</v>
      </c>
      <c r="H61" s="1">
        <v>4.3499999999999997E-2</v>
      </c>
      <c r="I61" s="1">
        <v>61.96</v>
      </c>
      <c r="J61" s="1">
        <v>0.17810000000000001</v>
      </c>
      <c r="K61" s="29">
        <f t="shared" si="4"/>
        <v>98.2316</v>
      </c>
      <c r="M61" s="9">
        <f t="shared" si="1"/>
        <v>327900</v>
      </c>
      <c r="N61" s="9">
        <f t="shared" si="2"/>
        <v>-130</v>
      </c>
      <c r="O61" s="9">
        <f t="shared" si="2"/>
        <v>32599.999999999996</v>
      </c>
      <c r="P61" s="9">
        <f t="shared" si="2"/>
        <v>-60</v>
      </c>
      <c r="Q61" s="9">
        <f t="shared" si="2"/>
        <v>434.99999999999994</v>
      </c>
      <c r="R61" s="9">
        <f t="shared" si="3"/>
        <v>619600</v>
      </c>
      <c r="S61" s="9">
        <f t="shared" si="3"/>
        <v>1781</v>
      </c>
    </row>
    <row r="62" spans="1:19" x14ac:dyDescent="0.4">
      <c r="A62" s="25" t="s">
        <v>130</v>
      </c>
      <c r="B62" s="1" t="s">
        <v>105</v>
      </c>
      <c r="C62" s="26" t="s">
        <v>2</v>
      </c>
      <c r="D62" s="15">
        <v>32.64</v>
      </c>
      <c r="E62" s="28" t="s">
        <v>3</v>
      </c>
      <c r="F62" s="1">
        <v>2.98</v>
      </c>
      <c r="G62" s="1">
        <v>1.0500000000000001E-2</v>
      </c>
      <c r="H62" s="28" t="s">
        <v>3</v>
      </c>
      <c r="I62" s="1">
        <v>61.96</v>
      </c>
      <c r="J62" s="1">
        <v>0.17849999999999999</v>
      </c>
      <c r="K62" s="29">
        <f t="shared" si="4"/>
        <v>97.768999999999991</v>
      </c>
      <c r="M62" s="9">
        <f t="shared" si="1"/>
        <v>326400</v>
      </c>
      <c r="N62" s="9">
        <f t="shared" si="2"/>
        <v>-130</v>
      </c>
      <c r="O62" s="9">
        <f t="shared" si="2"/>
        <v>29800</v>
      </c>
      <c r="P62" s="9">
        <f t="shared" si="2"/>
        <v>105</v>
      </c>
      <c r="Q62" s="9">
        <f t="shared" si="2"/>
        <v>-240</v>
      </c>
      <c r="R62" s="9">
        <f t="shared" si="3"/>
        <v>619600</v>
      </c>
      <c r="S62" s="9">
        <f t="shared" si="3"/>
        <v>1785</v>
      </c>
    </row>
    <row r="63" spans="1:19" x14ac:dyDescent="0.4">
      <c r="A63" s="25" t="s">
        <v>131</v>
      </c>
      <c r="B63" s="1" t="s">
        <v>109</v>
      </c>
      <c r="C63" s="26" t="s">
        <v>38</v>
      </c>
      <c r="D63" s="15">
        <v>33.020000000000003</v>
      </c>
      <c r="E63" s="28" t="s">
        <v>3</v>
      </c>
      <c r="F63" s="1">
        <v>4.57</v>
      </c>
      <c r="G63" s="1">
        <v>1.3899999999999999E-2</v>
      </c>
      <c r="H63" s="1">
        <v>0.34129999999999999</v>
      </c>
      <c r="I63" s="1">
        <v>57.51</v>
      </c>
      <c r="J63" s="1">
        <v>0.10539999999999999</v>
      </c>
      <c r="K63" s="29">
        <f t="shared" si="4"/>
        <v>95.560599999999994</v>
      </c>
      <c r="M63" s="9">
        <f t="shared" si="1"/>
        <v>330200.00000000006</v>
      </c>
      <c r="N63" s="9">
        <f t="shared" si="2"/>
        <v>-130</v>
      </c>
      <c r="O63" s="9">
        <f t="shared" si="2"/>
        <v>45700</v>
      </c>
      <c r="P63" s="9">
        <f t="shared" si="2"/>
        <v>139</v>
      </c>
      <c r="Q63" s="9">
        <f t="shared" si="2"/>
        <v>3413</v>
      </c>
      <c r="R63" s="9">
        <f t="shared" si="3"/>
        <v>575100</v>
      </c>
      <c r="S63" s="9">
        <f t="shared" si="3"/>
        <v>1054</v>
      </c>
    </row>
    <row r="64" spans="1:19" x14ac:dyDescent="0.4">
      <c r="A64" s="30" t="s">
        <v>62</v>
      </c>
      <c r="B64" s="3" t="s">
        <v>109</v>
      </c>
      <c r="C64" s="26" t="s">
        <v>38</v>
      </c>
      <c r="D64" s="27">
        <v>32.54</v>
      </c>
      <c r="E64" s="31" t="s">
        <v>3</v>
      </c>
      <c r="F64" s="28">
        <v>4.43</v>
      </c>
      <c r="G64" s="28">
        <v>0.02</v>
      </c>
      <c r="H64" s="28">
        <v>3.6600000000000001E-2</v>
      </c>
      <c r="I64" s="28">
        <v>60.45</v>
      </c>
      <c r="J64" s="28">
        <v>0.16950000000000001</v>
      </c>
      <c r="K64" s="29">
        <f t="shared" si="4"/>
        <v>97.646100000000004</v>
      </c>
      <c r="M64" s="9">
        <f t="shared" si="1"/>
        <v>325400</v>
      </c>
      <c r="N64" s="9">
        <f t="shared" si="2"/>
        <v>-130</v>
      </c>
      <c r="O64" s="9">
        <f t="shared" si="2"/>
        <v>44300</v>
      </c>
      <c r="P64" s="9">
        <f t="shared" si="2"/>
        <v>200</v>
      </c>
      <c r="Q64" s="9">
        <f t="shared" si="2"/>
        <v>366</v>
      </c>
      <c r="R64" s="9">
        <f t="shared" si="3"/>
        <v>604500</v>
      </c>
      <c r="S64" s="9">
        <f t="shared" si="3"/>
        <v>1695.0000000000002</v>
      </c>
    </row>
    <row r="65" spans="1:19" x14ac:dyDescent="0.4">
      <c r="A65" s="30" t="s">
        <v>63</v>
      </c>
      <c r="B65" s="3" t="s">
        <v>109</v>
      </c>
      <c r="C65" s="26" t="s">
        <v>38</v>
      </c>
      <c r="D65" s="27">
        <v>33.11</v>
      </c>
      <c r="E65" s="28">
        <v>1.7999999999999999E-2</v>
      </c>
      <c r="F65" s="28">
        <v>5.73</v>
      </c>
      <c r="G65" s="28">
        <v>2.2800000000000001E-2</v>
      </c>
      <c r="H65" s="31" t="s">
        <v>3</v>
      </c>
      <c r="I65" s="28">
        <v>59.69</v>
      </c>
      <c r="J65" s="28">
        <v>0.1012</v>
      </c>
      <c r="K65" s="29">
        <f t="shared" si="4"/>
        <v>98.671999999999997</v>
      </c>
      <c r="M65" s="9">
        <f t="shared" si="1"/>
        <v>331100</v>
      </c>
      <c r="N65" s="9">
        <f t="shared" si="2"/>
        <v>180</v>
      </c>
      <c r="O65" s="9">
        <f t="shared" si="2"/>
        <v>57300.000000000007</v>
      </c>
      <c r="P65" s="9">
        <f t="shared" si="2"/>
        <v>228</v>
      </c>
      <c r="Q65" s="9">
        <f t="shared" si="2"/>
        <v>-240</v>
      </c>
      <c r="R65" s="9">
        <f t="shared" si="3"/>
        <v>596900</v>
      </c>
      <c r="S65" s="9">
        <f t="shared" si="3"/>
        <v>1012</v>
      </c>
    </row>
    <row r="66" spans="1:19" x14ac:dyDescent="0.4">
      <c r="A66" s="30" t="s">
        <v>64</v>
      </c>
      <c r="B66" s="3" t="s">
        <v>106</v>
      </c>
      <c r="C66" s="26" t="s">
        <v>38</v>
      </c>
      <c r="D66" s="27">
        <v>31.23</v>
      </c>
      <c r="E66" s="28">
        <v>2.93E-2</v>
      </c>
      <c r="F66" s="28">
        <v>7.14</v>
      </c>
      <c r="G66" s="28">
        <v>1.3299999999999999E-2</v>
      </c>
      <c r="H66" s="28">
        <v>4.02E-2</v>
      </c>
      <c r="I66" s="28">
        <v>57.52</v>
      </c>
      <c r="J66" s="28">
        <v>0.183</v>
      </c>
      <c r="K66" s="29">
        <f t="shared" si="4"/>
        <v>96.155800000000013</v>
      </c>
      <c r="M66" s="9">
        <f t="shared" si="1"/>
        <v>312300</v>
      </c>
      <c r="N66" s="9">
        <f t="shared" si="2"/>
        <v>293</v>
      </c>
      <c r="O66" s="9">
        <f t="shared" si="2"/>
        <v>71400</v>
      </c>
      <c r="P66" s="9">
        <f t="shared" si="2"/>
        <v>133</v>
      </c>
      <c r="Q66" s="9">
        <f t="shared" si="2"/>
        <v>402</v>
      </c>
      <c r="R66" s="9">
        <f t="shared" si="3"/>
        <v>575200</v>
      </c>
      <c r="S66" s="9">
        <f t="shared" si="3"/>
        <v>1830</v>
      </c>
    </row>
    <row r="67" spans="1:19" x14ac:dyDescent="0.4">
      <c r="A67" s="30" t="s">
        <v>65</v>
      </c>
      <c r="B67" s="3" t="s">
        <v>109</v>
      </c>
      <c r="C67" s="26" t="s">
        <v>38</v>
      </c>
      <c r="D67" s="27">
        <v>33.159999999999997</v>
      </c>
      <c r="E67" s="31" t="s">
        <v>3</v>
      </c>
      <c r="F67" s="28">
        <v>6.61</v>
      </c>
      <c r="G67" s="28">
        <v>1.77E-2</v>
      </c>
      <c r="H67" s="28">
        <v>4.99E-2</v>
      </c>
      <c r="I67" s="28">
        <v>58.54</v>
      </c>
      <c r="J67" s="28">
        <v>0.13100000000000001</v>
      </c>
      <c r="K67" s="29">
        <f t="shared" si="4"/>
        <v>98.508600000000001</v>
      </c>
      <c r="M67" s="9">
        <f t="shared" si="1"/>
        <v>331599.99999999994</v>
      </c>
      <c r="N67" s="9">
        <f t="shared" si="2"/>
        <v>-130</v>
      </c>
      <c r="O67" s="9">
        <f t="shared" si="2"/>
        <v>66100</v>
      </c>
      <c r="P67" s="9">
        <f t="shared" si="2"/>
        <v>177</v>
      </c>
      <c r="Q67" s="9">
        <f t="shared" si="2"/>
        <v>499</v>
      </c>
      <c r="R67" s="9">
        <f t="shared" si="3"/>
        <v>585400</v>
      </c>
      <c r="S67" s="9">
        <f t="shared" si="3"/>
        <v>1310</v>
      </c>
    </row>
    <row r="68" spans="1:19" x14ac:dyDescent="0.4">
      <c r="A68" s="30" t="s">
        <v>66</v>
      </c>
      <c r="B68" s="3" t="s">
        <v>109</v>
      </c>
      <c r="C68" s="26" t="s">
        <v>38</v>
      </c>
      <c r="D68" s="27">
        <v>33.07</v>
      </c>
      <c r="E68" s="28">
        <v>2.1999999999999999E-2</v>
      </c>
      <c r="F68" s="28">
        <v>7.52</v>
      </c>
      <c r="G68" s="28">
        <v>1.52E-2</v>
      </c>
      <c r="H68" s="28">
        <v>7.4099999999999999E-2</v>
      </c>
      <c r="I68" s="28">
        <v>57.64</v>
      </c>
      <c r="J68" s="28">
        <v>9.3799999999999994E-2</v>
      </c>
      <c r="K68" s="29">
        <f t="shared" ref="K68:K94" si="5">SUM(D68:J68)</f>
        <v>98.435099999999991</v>
      </c>
      <c r="M68" s="9">
        <f t="shared" si="1"/>
        <v>330700</v>
      </c>
      <c r="N68" s="9">
        <f t="shared" si="2"/>
        <v>220</v>
      </c>
      <c r="O68" s="9">
        <f t="shared" si="2"/>
        <v>75200</v>
      </c>
      <c r="P68" s="9">
        <f t="shared" si="2"/>
        <v>152</v>
      </c>
      <c r="Q68" s="9">
        <f t="shared" ref="Q68:Q96" si="6">IF(ISNUMBER(H68),H68*10000,-H$105*10000)</f>
        <v>741</v>
      </c>
      <c r="R68" s="9">
        <f t="shared" si="3"/>
        <v>576400</v>
      </c>
      <c r="S68" s="9">
        <f t="shared" si="3"/>
        <v>938</v>
      </c>
    </row>
    <row r="69" spans="1:19" x14ac:dyDescent="0.4">
      <c r="A69" s="30" t="s">
        <v>67</v>
      </c>
      <c r="B69" s="3" t="s">
        <v>108</v>
      </c>
      <c r="C69" s="26" t="s">
        <v>38</v>
      </c>
      <c r="D69" s="27">
        <v>32.54</v>
      </c>
      <c r="E69" s="31" t="s">
        <v>3</v>
      </c>
      <c r="F69" s="28">
        <v>5.12</v>
      </c>
      <c r="G69" s="28">
        <v>1.46E-2</v>
      </c>
      <c r="H69" s="28">
        <v>3.6799999999999999E-2</v>
      </c>
      <c r="I69" s="28">
        <v>60.44</v>
      </c>
      <c r="J69" s="28">
        <v>9.9199999999999997E-2</v>
      </c>
      <c r="K69" s="29">
        <f t="shared" si="5"/>
        <v>98.250599999999991</v>
      </c>
      <c r="M69" s="9">
        <f t="shared" ref="M69:S96" si="7">D69*10000</f>
        <v>325400</v>
      </c>
      <c r="N69" s="9">
        <f t="shared" ref="N69:S96" si="8">IF(ISNUMBER(E69),E69*10000,-E$105*10000)</f>
        <v>-130</v>
      </c>
      <c r="O69" s="9">
        <f t="shared" si="8"/>
        <v>51200</v>
      </c>
      <c r="P69" s="9">
        <f t="shared" si="8"/>
        <v>146</v>
      </c>
      <c r="Q69" s="9">
        <f t="shared" si="8"/>
        <v>368</v>
      </c>
      <c r="R69" s="9">
        <f t="shared" si="8"/>
        <v>604400</v>
      </c>
      <c r="S69" s="9">
        <f t="shared" si="8"/>
        <v>992</v>
      </c>
    </row>
    <row r="70" spans="1:19" x14ac:dyDescent="0.4">
      <c r="A70" s="30" t="s">
        <v>68</v>
      </c>
      <c r="B70" s="3" t="s">
        <v>109</v>
      </c>
      <c r="C70" s="26" t="s">
        <v>38</v>
      </c>
      <c r="D70" s="27">
        <v>31.69</v>
      </c>
      <c r="E70" s="31" t="s">
        <v>3</v>
      </c>
      <c r="F70" s="28">
        <v>6.08</v>
      </c>
      <c r="G70" s="28">
        <v>9.2999999999999992E-3</v>
      </c>
      <c r="H70" s="28">
        <v>0.17419999999999999</v>
      </c>
      <c r="I70" s="28">
        <v>57.67</v>
      </c>
      <c r="J70" s="28">
        <v>3.2000000000000001E-2</v>
      </c>
      <c r="K70" s="29">
        <f t="shared" si="5"/>
        <v>95.655500000000004</v>
      </c>
      <c r="M70" s="9">
        <f t="shared" si="7"/>
        <v>316900</v>
      </c>
      <c r="N70" s="9">
        <f t="shared" si="8"/>
        <v>-130</v>
      </c>
      <c r="O70" s="9">
        <f t="shared" si="8"/>
        <v>60800</v>
      </c>
      <c r="P70" s="9">
        <f t="shared" si="8"/>
        <v>92.999999999999986</v>
      </c>
      <c r="Q70" s="9">
        <f t="shared" si="8"/>
        <v>1742</v>
      </c>
      <c r="R70" s="9">
        <f t="shared" si="8"/>
        <v>576700</v>
      </c>
      <c r="S70" s="9">
        <f t="shared" si="8"/>
        <v>320</v>
      </c>
    </row>
    <row r="71" spans="1:19" x14ac:dyDescent="0.4">
      <c r="A71" s="30" t="s">
        <v>69</v>
      </c>
      <c r="B71" s="3" t="s">
        <v>106</v>
      </c>
      <c r="C71" s="26" t="s">
        <v>38</v>
      </c>
      <c r="D71" s="27">
        <v>34.53</v>
      </c>
      <c r="E71" s="31" t="s">
        <v>3</v>
      </c>
      <c r="F71" s="28">
        <v>8.26</v>
      </c>
      <c r="G71" s="28">
        <v>1.7999999999999999E-2</v>
      </c>
      <c r="H71" s="28">
        <v>8.3099999999999993E-2</v>
      </c>
      <c r="I71" s="28">
        <v>54.84</v>
      </c>
      <c r="J71" s="28">
        <v>6.7500000000000004E-2</v>
      </c>
      <c r="K71" s="29">
        <f t="shared" si="5"/>
        <v>97.798599999999993</v>
      </c>
      <c r="M71" s="9">
        <f t="shared" si="7"/>
        <v>345300</v>
      </c>
      <c r="N71" s="9">
        <f t="shared" si="8"/>
        <v>-130</v>
      </c>
      <c r="O71" s="9">
        <f t="shared" si="8"/>
        <v>82600</v>
      </c>
      <c r="P71" s="9">
        <f t="shared" si="8"/>
        <v>180</v>
      </c>
      <c r="Q71" s="9">
        <f t="shared" si="8"/>
        <v>830.99999999999989</v>
      </c>
      <c r="R71" s="9">
        <f t="shared" si="8"/>
        <v>548400</v>
      </c>
      <c r="S71" s="9">
        <f t="shared" si="8"/>
        <v>675</v>
      </c>
    </row>
    <row r="72" spans="1:19" x14ac:dyDescent="0.4">
      <c r="A72" s="30" t="s">
        <v>70</v>
      </c>
      <c r="B72" s="3" t="s">
        <v>106</v>
      </c>
      <c r="C72" s="26" t="s">
        <v>38</v>
      </c>
      <c r="D72" s="27">
        <v>33.090000000000003</v>
      </c>
      <c r="E72" s="31" t="s">
        <v>3</v>
      </c>
      <c r="F72" s="28">
        <v>8.1199999999999992</v>
      </c>
      <c r="G72" s="28">
        <v>2.5600000000000001E-2</v>
      </c>
      <c r="H72" s="28">
        <v>5.6500000000000002E-2</v>
      </c>
      <c r="I72" s="28">
        <v>56.76</v>
      </c>
      <c r="J72" s="31" t="s">
        <v>3</v>
      </c>
      <c r="K72" s="29">
        <f t="shared" si="5"/>
        <v>98.052099999999996</v>
      </c>
      <c r="M72" s="9">
        <f t="shared" si="7"/>
        <v>330900.00000000006</v>
      </c>
      <c r="N72" s="9">
        <f t="shared" si="8"/>
        <v>-130</v>
      </c>
      <c r="O72" s="9">
        <f t="shared" si="8"/>
        <v>81199.999999999985</v>
      </c>
      <c r="P72" s="9">
        <f t="shared" si="8"/>
        <v>256</v>
      </c>
      <c r="Q72" s="9">
        <f t="shared" si="8"/>
        <v>565</v>
      </c>
      <c r="R72" s="9">
        <f t="shared" si="8"/>
        <v>567600</v>
      </c>
      <c r="S72" s="9">
        <f t="shared" si="8"/>
        <v>-100</v>
      </c>
    </row>
    <row r="73" spans="1:19" x14ac:dyDescent="0.4">
      <c r="A73" s="30" t="s">
        <v>71</v>
      </c>
      <c r="B73" s="3" t="s">
        <v>109</v>
      </c>
      <c r="C73" s="26" t="s">
        <v>38</v>
      </c>
      <c r="D73" s="27">
        <v>34.29</v>
      </c>
      <c r="E73" s="31" t="s">
        <v>3</v>
      </c>
      <c r="F73" s="28">
        <v>4.4000000000000004</v>
      </c>
      <c r="G73" s="28">
        <v>1.4200000000000001E-2</v>
      </c>
      <c r="H73" s="31" t="s">
        <v>3</v>
      </c>
      <c r="I73" s="28">
        <v>61.2</v>
      </c>
      <c r="J73" s="28">
        <v>0.1363</v>
      </c>
      <c r="K73" s="29">
        <f t="shared" si="5"/>
        <v>100.04050000000001</v>
      </c>
      <c r="M73" s="9">
        <f t="shared" si="7"/>
        <v>342900</v>
      </c>
      <c r="N73" s="9">
        <f t="shared" si="8"/>
        <v>-130</v>
      </c>
      <c r="O73" s="9">
        <f t="shared" si="8"/>
        <v>44000</v>
      </c>
      <c r="P73" s="9">
        <f t="shared" si="8"/>
        <v>142</v>
      </c>
      <c r="Q73" s="9">
        <f t="shared" si="8"/>
        <v>-240</v>
      </c>
      <c r="R73" s="9">
        <f t="shared" si="8"/>
        <v>612000</v>
      </c>
      <c r="S73" s="9">
        <f t="shared" si="8"/>
        <v>1363</v>
      </c>
    </row>
    <row r="74" spans="1:19" x14ac:dyDescent="0.4">
      <c r="A74" s="30" t="s">
        <v>72</v>
      </c>
      <c r="B74" s="3" t="s">
        <v>110</v>
      </c>
      <c r="C74" s="26" t="s">
        <v>38</v>
      </c>
      <c r="D74" s="27">
        <v>33.39</v>
      </c>
      <c r="E74" s="31" t="s">
        <v>3</v>
      </c>
      <c r="F74" s="28">
        <v>9.5500000000000007</v>
      </c>
      <c r="G74" s="28">
        <v>1.9099999999999999E-2</v>
      </c>
      <c r="H74" s="31" t="s">
        <v>3</v>
      </c>
      <c r="I74" s="28">
        <v>55.39</v>
      </c>
      <c r="J74" s="28">
        <v>0.25159999999999999</v>
      </c>
      <c r="K74" s="29">
        <f t="shared" si="5"/>
        <v>98.600699999999989</v>
      </c>
      <c r="M74" s="9">
        <f t="shared" si="7"/>
        <v>333900</v>
      </c>
      <c r="N74" s="9">
        <f t="shared" si="8"/>
        <v>-130</v>
      </c>
      <c r="O74" s="9">
        <f t="shared" si="8"/>
        <v>95500</v>
      </c>
      <c r="P74" s="9">
        <f t="shared" si="8"/>
        <v>191</v>
      </c>
      <c r="Q74" s="9">
        <f t="shared" si="8"/>
        <v>-240</v>
      </c>
      <c r="R74" s="9">
        <f t="shared" si="8"/>
        <v>553900</v>
      </c>
      <c r="S74" s="9">
        <f t="shared" si="8"/>
        <v>2516</v>
      </c>
    </row>
    <row r="75" spans="1:19" x14ac:dyDescent="0.4">
      <c r="A75" s="30" t="s">
        <v>73</v>
      </c>
      <c r="B75" s="3" t="s">
        <v>109</v>
      </c>
      <c r="C75" s="26" t="s">
        <v>38</v>
      </c>
      <c r="D75" s="27">
        <v>33.1</v>
      </c>
      <c r="E75" s="31" t="s">
        <v>3</v>
      </c>
      <c r="F75" s="28">
        <v>6.13</v>
      </c>
      <c r="G75" s="28">
        <v>1.9300000000000001E-2</v>
      </c>
      <c r="H75" s="28">
        <v>7.6799999999999993E-2</v>
      </c>
      <c r="I75" s="28">
        <v>59.45</v>
      </c>
      <c r="J75" s="28">
        <v>0.1177</v>
      </c>
      <c r="K75" s="29">
        <f t="shared" si="5"/>
        <v>98.893800000000013</v>
      </c>
      <c r="M75" s="9">
        <f t="shared" si="7"/>
        <v>331000</v>
      </c>
      <c r="N75" s="9">
        <f t="shared" si="8"/>
        <v>-130</v>
      </c>
      <c r="O75" s="9">
        <f t="shared" si="8"/>
        <v>61300</v>
      </c>
      <c r="P75" s="9">
        <f t="shared" si="8"/>
        <v>193</v>
      </c>
      <c r="Q75" s="9">
        <f t="shared" si="8"/>
        <v>767.99999999999989</v>
      </c>
      <c r="R75" s="9">
        <f t="shared" si="8"/>
        <v>594500</v>
      </c>
      <c r="S75" s="9">
        <f t="shared" si="8"/>
        <v>1177</v>
      </c>
    </row>
    <row r="76" spans="1:19" x14ac:dyDescent="0.4">
      <c r="A76" s="30" t="s">
        <v>75</v>
      </c>
      <c r="B76" s="3" t="s">
        <v>110</v>
      </c>
      <c r="C76" s="26" t="s">
        <v>38</v>
      </c>
      <c r="D76" s="27">
        <v>34.840000000000003</v>
      </c>
      <c r="E76" s="28">
        <v>2.06E-2</v>
      </c>
      <c r="F76" s="28">
        <v>6.16</v>
      </c>
      <c r="G76" s="28">
        <v>9.9000000000000008E-3</v>
      </c>
      <c r="H76" s="28">
        <v>0.4536</v>
      </c>
      <c r="I76" s="28">
        <v>56.95</v>
      </c>
      <c r="J76" s="28">
        <v>0.23599999999999999</v>
      </c>
      <c r="K76" s="29">
        <f t="shared" si="5"/>
        <v>98.670100000000005</v>
      </c>
      <c r="M76" s="9">
        <f t="shared" si="7"/>
        <v>348400.00000000006</v>
      </c>
      <c r="N76" s="9">
        <f t="shared" si="8"/>
        <v>206</v>
      </c>
      <c r="O76" s="9">
        <f t="shared" si="8"/>
        <v>61600</v>
      </c>
      <c r="P76" s="9">
        <f t="shared" si="8"/>
        <v>99.000000000000014</v>
      </c>
      <c r="Q76" s="9">
        <f t="shared" si="8"/>
        <v>4536</v>
      </c>
      <c r="R76" s="9">
        <f t="shared" si="8"/>
        <v>569500</v>
      </c>
      <c r="S76" s="9">
        <f t="shared" si="8"/>
        <v>2360</v>
      </c>
    </row>
    <row r="77" spans="1:19" x14ac:dyDescent="0.4">
      <c r="A77" s="30" t="s">
        <v>76</v>
      </c>
      <c r="B77" s="3" t="s">
        <v>109</v>
      </c>
      <c r="C77" s="26" t="s">
        <v>38</v>
      </c>
      <c r="D77" s="27">
        <v>32.75</v>
      </c>
      <c r="E77" s="28">
        <v>2.1100000000000001E-2</v>
      </c>
      <c r="F77" s="28">
        <v>4.46</v>
      </c>
      <c r="G77" s="28">
        <v>9.4000000000000004E-3</v>
      </c>
      <c r="H77" s="31" t="s">
        <v>3</v>
      </c>
      <c r="I77" s="28">
        <v>60.94</v>
      </c>
      <c r="J77" s="28">
        <v>0.2152</v>
      </c>
      <c r="K77" s="29">
        <f t="shared" si="5"/>
        <v>98.395699999999991</v>
      </c>
      <c r="M77" s="9">
        <f t="shared" si="7"/>
        <v>327500</v>
      </c>
      <c r="N77" s="9">
        <f t="shared" si="8"/>
        <v>211</v>
      </c>
      <c r="O77" s="9">
        <f t="shared" si="8"/>
        <v>44600</v>
      </c>
      <c r="P77" s="9">
        <f t="shared" si="8"/>
        <v>94</v>
      </c>
      <c r="Q77" s="9">
        <f t="shared" si="8"/>
        <v>-240</v>
      </c>
      <c r="R77" s="9">
        <f t="shared" si="8"/>
        <v>609400</v>
      </c>
      <c r="S77" s="9">
        <f t="shared" si="8"/>
        <v>2152</v>
      </c>
    </row>
    <row r="78" spans="1:19" x14ac:dyDescent="0.4">
      <c r="A78" s="30" t="s">
        <v>77</v>
      </c>
      <c r="B78" s="3" t="s">
        <v>110</v>
      </c>
      <c r="C78" s="26" t="s">
        <v>38</v>
      </c>
      <c r="D78" s="27">
        <v>33.1</v>
      </c>
      <c r="E78" s="28">
        <v>1.5299999999999999E-2</v>
      </c>
      <c r="F78" s="28">
        <v>8.58</v>
      </c>
      <c r="G78" s="28">
        <v>2.3E-2</v>
      </c>
      <c r="H78" s="28">
        <v>5.96E-2</v>
      </c>
      <c r="I78" s="28">
        <v>56.49</v>
      </c>
      <c r="J78" s="28">
        <v>0.15509999999999999</v>
      </c>
      <c r="K78" s="29">
        <f t="shared" si="5"/>
        <v>98.423000000000016</v>
      </c>
      <c r="M78" s="9">
        <f t="shared" si="7"/>
        <v>331000</v>
      </c>
      <c r="N78" s="9">
        <f t="shared" si="8"/>
        <v>153</v>
      </c>
      <c r="O78" s="9">
        <f t="shared" si="8"/>
        <v>85800</v>
      </c>
      <c r="P78" s="9">
        <f t="shared" si="8"/>
        <v>230</v>
      </c>
      <c r="Q78" s="9">
        <f t="shared" si="8"/>
        <v>596</v>
      </c>
      <c r="R78" s="9">
        <f t="shared" si="8"/>
        <v>564900</v>
      </c>
      <c r="S78" s="9">
        <f t="shared" si="8"/>
        <v>1550.9999999999998</v>
      </c>
    </row>
    <row r="79" spans="1:19" x14ac:dyDescent="0.4">
      <c r="A79" s="30" t="s">
        <v>78</v>
      </c>
      <c r="B79" s="3" t="s">
        <v>110</v>
      </c>
      <c r="C79" s="26" t="s">
        <v>38</v>
      </c>
      <c r="D79" s="27">
        <v>33.11</v>
      </c>
      <c r="E79" s="28">
        <v>2.0500000000000001E-2</v>
      </c>
      <c r="F79" s="28">
        <v>6.84</v>
      </c>
      <c r="G79" s="28">
        <v>1.77E-2</v>
      </c>
      <c r="H79" s="31" t="s">
        <v>3</v>
      </c>
      <c r="I79" s="28">
        <v>59.35</v>
      </c>
      <c r="J79" s="28">
        <v>5.5E-2</v>
      </c>
      <c r="K79" s="29">
        <f t="shared" si="5"/>
        <v>99.393200000000007</v>
      </c>
      <c r="M79" s="9">
        <f t="shared" si="7"/>
        <v>331100</v>
      </c>
      <c r="N79" s="9">
        <f t="shared" si="8"/>
        <v>205</v>
      </c>
      <c r="O79" s="9">
        <f t="shared" si="8"/>
        <v>68400</v>
      </c>
      <c r="P79" s="9">
        <f t="shared" si="8"/>
        <v>177</v>
      </c>
      <c r="Q79" s="9">
        <f t="shared" si="8"/>
        <v>-240</v>
      </c>
      <c r="R79" s="9">
        <f t="shared" si="8"/>
        <v>593500</v>
      </c>
      <c r="S79" s="9">
        <f t="shared" si="8"/>
        <v>550</v>
      </c>
    </row>
    <row r="80" spans="1:19" x14ac:dyDescent="0.4">
      <c r="A80" s="30" t="s">
        <v>79</v>
      </c>
      <c r="B80" s="3" t="s">
        <v>110</v>
      </c>
      <c r="C80" s="26" t="s">
        <v>38</v>
      </c>
      <c r="D80" s="27">
        <v>32.35</v>
      </c>
      <c r="E80" s="31" t="s">
        <v>3</v>
      </c>
      <c r="F80" s="28">
        <v>9.07</v>
      </c>
      <c r="G80" s="28">
        <v>1.5599999999999999E-2</v>
      </c>
      <c r="H80" s="28">
        <v>6.8699999999999997E-2</v>
      </c>
      <c r="I80" s="28">
        <v>55.13</v>
      </c>
      <c r="J80" s="28">
        <v>8.3999999999999995E-3</v>
      </c>
      <c r="K80" s="29">
        <f t="shared" si="5"/>
        <v>96.642699999999991</v>
      </c>
      <c r="M80" s="9">
        <f t="shared" si="7"/>
        <v>323500</v>
      </c>
      <c r="N80" s="9">
        <f t="shared" si="8"/>
        <v>-130</v>
      </c>
      <c r="O80" s="9">
        <f t="shared" si="8"/>
        <v>90700</v>
      </c>
      <c r="P80" s="9">
        <f t="shared" si="8"/>
        <v>156</v>
      </c>
      <c r="Q80" s="9">
        <f t="shared" si="8"/>
        <v>687</v>
      </c>
      <c r="R80" s="9">
        <f t="shared" si="8"/>
        <v>551300</v>
      </c>
      <c r="S80" s="9">
        <f t="shared" si="8"/>
        <v>84</v>
      </c>
    </row>
    <row r="81" spans="1:19" x14ac:dyDescent="0.4">
      <c r="A81" s="30" t="s">
        <v>80</v>
      </c>
      <c r="B81" s="3" t="s">
        <v>110</v>
      </c>
      <c r="C81" s="26" t="s">
        <v>38</v>
      </c>
      <c r="D81" s="27">
        <v>33.51</v>
      </c>
      <c r="E81" s="28">
        <v>1.72E-2</v>
      </c>
      <c r="F81" s="28">
        <v>6.62</v>
      </c>
      <c r="G81" s="28">
        <v>2.0199999999999999E-2</v>
      </c>
      <c r="H81" s="28">
        <v>4.9200000000000001E-2</v>
      </c>
      <c r="I81" s="28">
        <v>58.33</v>
      </c>
      <c r="J81" s="28">
        <v>8.6900000000000005E-2</v>
      </c>
      <c r="K81" s="29">
        <f t="shared" si="5"/>
        <v>98.633499999999998</v>
      </c>
      <c r="M81" s="9">
        <f t="shared" si="7"/>
        <v>335100</v>
      </c>
      <c r="N81" s="9">
        <f t="shared" si="8"/>
        <v>172</v>
      </c>
      <c r="O81" s="9">
        <f t="shared" si="8"/>
        <v>66200</v>
      </c>
      <c r="P81" s="9">
        <f t="shared" si="8"/>
        <v>202</v>
      </c>
      <c r="Q81" s="9">
        <f t="shared" si="8"/>
        <v>492</v>
      </c>
      <c r="R81" s="9">
        <f t="shared" si="8"/>
        <v>583300</v>
      </c>
      <c r="S81" s="9">
        <f t="shared" si="8"/>
        <v>869</v>
      </c>
    </row>
    <row r="82" spans="1:19" x14ac:dyDescent="0.4">
      <c r="A82" s="30" t="s">
        <v>81</v>
      </c>
      <c r="B82" s="3" t="s">
        <v>106</v>
      </c>
      <c r="C82" s="26" t="s">
        <v>38</v>
      </c>
      <c r="D82" s="27">
        <v>35.69</v>
      </c>
      <c r="E82" s="31" t="s">
        <v>3</v>
      </c>
      <c r="F82" s="28">
        <v>7.14</v>
      </c>
      <c r="G82" s="28">
        <v>1.38E-2</v>
      </c>
      <c r="H82" s="31" t="s">
        <v>3</v>
      </c>
      <c r="I82" s="28">
        <v>58.03</v>
      </c>
      <c r="J82" s="28">
        <v>0.26279999999999998</v>
      </c>
      <c r="K82" s="29">
        <f t="shared" si="5"/>
        <v>101.1366</v>
      </c>
      <c r="M82" s="9">
        <f t="shared" si="7"/>
        <v>356900</v>
      </c>
      <c r="N82" s="9">
        <f t="shared" si="8"/>
        <v>-130</v>
      </c>
      <c r="O82" s="9">
        <f t="shared" si="8"/>
        <v>71400</v>
      </c>
      <c r="P82" s="9">
        <f t="shared" si="8"/>
        <v>138</v>
      </c>
      <c r="Q82" s="9">
        <f t="shared" si="8"/>
        <v>-240</v>
      </c>
      <c r="R82" s="9">
        <f t="shared" si="8"/>
        <v>580300</v>
      </c>
      <c r="S82" s="9">
        <f t="shared" si="8"/>
        <v>2628</v>
      </c>
    </row>
    <row r="83" spans="1:19" x14ac:dyDescent="0.4">
      <c r="A83" s="30" t="s">
        <v>82</v>
      </c>
      <c r="B83" s="3" t="s">
        <v>109</v>
      </c>
      <c r="C83" s="26" t="s">
        <v>38</v>
      </c>
      <c r="D83" s="27">
        <v>33.18</v>
      </c>
      <c r="E83" s="31" t="s">
        <v>3</v>
      </c>
      <c r="F83" s="28">
        <v>5.52</v>
      </c>
      <c r="G83" s="28">
        <v>1.04E-2</v>
      </c>
      <c r="H83" s="31" t="s">
        <v>3</v>
      </c>
      <c r="I83" s="28">
        <v>60.01</v>
      </c>
      <c r="J83" s="28">
        <v>0.14779999999999999</v>
      </c>
      <c r="K83" s="29">
        <f t="shared" si="5"/>
        <v>98.868200000000002</v>
      </c>
      <c r="M83" s="9">
        <f t="shared" si="7"/>
        <v>331800</v>
      </c>
      <c r="N83" s="9">
        <f t="shared" si="8"/>
        <v>-130</v>
      </c>
      <c r="O83" s="9">
        <f t="shared" si="8"/>
        <v>55199.999999999993</v>
      </c>
      <c r="P83" s="9">
        <f t="shared" si="8"/>
        <v>104</v>
      </c>
      <c r="Q83" s="9">
        <f t="shared" si="8"/>
        <v>-240</v>
      </c>
      <c r="R83" s="9">
        <f t="shared" si="8"/>
        <v>600100</v>
      </c>
      <c r="S83" s="9">
        <f t="shared" si="8"/>
        <v>1477.9999999999998</v>
      </c>
    </row>
    <row r="84" spans="1:19" x14ac:dyDescent="0.4">
      <c r="A84" s="30" t="s">
        <v>83</v>
      </c>
      <c r="B84" s="3" t="s">
        <v>106</v>
      </c>
      <c r="C84" s="26" t="s">
        <v>38</v>
      </c>
      <c r="D84" s="27">
        <v>33.54</v>
      </c>
      <c r="E84" s="28">
        <v>2.3199999999999998E-2</v>
      </c>
      <c r="F84" s="28">
        <v>7.08</v>
      </c>
      <c r="G84" s="28">
        <v>1.47E-2</v>
      </c>
      <c r="H84" s="31" t="s">
        <v>3</v>
      </c>
      <c r="I84" s="28">
        <v>58.22</v>
      </c>
      <c r="J84" s="28">
        <v>0.40939999999999999</v>
      </c>
      <c r="K84" s="29">
        <f t="shared" si="5"/>
        <v>99.287300000000002</v>
      </c>
      <c r="M84" s="9">
        <f t="shared" si="7"/>
        <v>335400</v>
      </c>
      <c r="N84" s="9">
        <f t="shared" si="8"/>
        <v>231.99999999999997</v>
      </c>
      <c r="O84" s="9">
        <f t="shared" si="8"/>
        <v>70800</v>
      </c>
      <c r="P84" s="9">
        <f t="shared" si="8"/>
        <v>147</v>
      </c>
      <c r="Q84" s="9">
        <f t="shared" si="8"/>
        <v>-240</v>
      </c>
      <c r="R84" s="9">
        <f t="shared" si="8"/>
        <v>582200</v>
      </c>
      <c r="S84" s="9">
        <f t="shared" si="8"/>
        <v>4094</v>
      </c>
    </row>
    <row r="85" spans="1:19" x14ac:dyDescent="0.4">
      <c r="A85" s="30" t="s">
        <v>84</v>
      </c>
      <c r="B85" s="3" t="s">
        <v>109</v>
      </c>
      <c r="C85" s="26" t="s">
        <v>38</v>
      </c>
      <c r="D85" s="27">
        <v>33.32</v>
      </c>
      <c r="E85" s="31" t="s">
        <v>3</v>
      </c>
      <c r="F85" s="28">
        <v>5.62</v>
      </c>
      <c r="G85" s="28">
        <v>1.7999999999999999E-2</v>
      </c>
      <c r="H85" s="28">
        <v>5.0599999999999999E-2</v>
      </c>
      <c r="I85" s="28">
        <v>60.03</v>
      </c>
      <c r="J85" s="28">
        <v>8.7499999999999994E-2</v>
      </c>
      <c r="K85" s="29">
        <f t="shared" si="5"/>
        <v>99.126100000000008</v>
      </c>
      <c r="M85" s="9">
        <f t="shared" si="7"/>
        <v>333200</v>
      </c>
      <c r="N85" s="9">
        <f t="shared" si="8"/>
        <v>-130</v>
      </c>
      <c r="O85" s="9">
        <f t="shared" si="8"/>
        <v>56200</v>
      </c>
      <c r="P85" s="9">
        <f t="shared" si="8"/>
        <v>180</v>
      </c>
      <c r="Q85" s="9">
        <f t="shared" si="8"/>
        <v>506</v>
      </c>
      <c r="R85" s="9">
        <f t="shared" si="8"/>
        <v>600300</v>
      </c>
      <c r="S85" s="9">
        <f t="shared" si="8"/>
        <v>875</v>
      </c>
    </row>
    <row r="86" spans="1:19" x14ac:dyDescent="0.4">
      <c r="A86" s="30" t="s">
        <v>85</v>
      </c>
      <c r="B86" s="3" t="s">
        <v>109</v>
      </c>
      <c r="C86" s="26" t="s">
        <v>38</v>
      </c>
      <c r="D86" s="27">
        <v>33.42</v>
      </c>
      <c r="E86" s="31" t="s">
        <v>3</v>
      </c>
      <c r="F86" s="28">
        <v>4.29</v>
      </c>
      <c r="G86" s="31" t="s">
        <v>3</v>
      </c>
      <c r="H86" s="31" t="s">
        <v>3</v>
      </c>
      <c r="I86" s="28">
        <v>61.68</v>
      </c>
      <c r="J86" s="28">
        <v>0.16869999999999999</v>
      </c>
      <c r="K86" s="29">
        <f t="shared" si="5"/>
        <v>99.558700000000002</v>
      </c>
      <c r="M86" s="9">
        <f t="shared" si="7"/>
        <v>334200</v>
      </c>
      <c r="N86" s="9">
        <f t="shared" si="8"/>
        <v>-130</v>
      </c>
      <c r="O86" s="9">
        <f t="shared" si="8"/>
        <v>42900</v>
      </c>
      <c r="P86" s="9">
        <f t="shared" si="8"/>
        <v>-60</v>
      </c>
      <c r="Q86" s="9">
        <f t="shared" si="8"/>
        <v>-240</v>
      </c>
      <c r="R86" s="9">
        <f t="shared" si="8"/>
        <v>616800</v>
      </c>
      <c r="S86" s="9">
        <f t="shared" si="8"/>
        <v>1687</v>
      </c>
    </row>
    <row r="87" spans="1:19" x14ac:dyDescent="0.4">
      <c r="A87" s="30" t="s">
        <v>86</v>
      </c>
      <c r="B87" s="3" t="s">
        <v>109</v>
      </c>
      <c r="C87" s="26" t="s">
        <v>38</v>
      </c>
      <c r="D87" s="27">
        <v>32.24</v>
      </c>
      <c r="E87" s="31" t="s">
        <v>3</v>
      </c>
      <c r="F87" s="28">
        <v>6.34</v>
      </c>
      <c r="G87" s="28">
        <v>1.9400000000000001E-2</v>
      </c>
      <c r="H87" s="28">
        <v>3.3700000000000001E-2</v>
      </c>
      <c r="I87" s="28">
        <v>58.53</v>
      </c>
      <c r="J87" s="28">
        <v>7.1499999999999994E-2</v>
      </c>
      <c r="K87" s="29">
        <f t="shared" si="5"/>
        <v>97.2346</v>
      </c>
      <c r="M87" s="9">
        <f t="shared" si="7"/>
        <v>322400</v>
      </c>
      <c r="N87" s="9">
        <f t="shared" si="8"/>
        <v>-130</v>
      </c>
      <c r="O87" s="9">
        <f t="shared" si="8"/>
        <v>63400</v>
      </c>
      <c r="P87" s="9">
        <f t="shared" si="8"/>
        <v>194</v>
      </c>
      <c r="Q87" s="9">
        <f t="shared" si="8"/>
        <v>337</v>
      </c>
      <c r="R87" s="9">
        <f t="shared" si="8"/>
        <v>585300</v>
      </c>
      <c r="S87" s="9">
        <f t="shared" si="8"/>
        <v>714.99999999999989</v>
      </c>
    </row>
    <row r="88" spans="1:19" x14ac:dyDescent="0.4">
      <c r="A88" s="30" t="s">
        <v>87</v>
      </c>
      <c r="B88" s="3" t="s">
        <v>106</v>
      </c>
      <c r="C88" s="26" t="s">
        <v>38</v>
      </c>
      <c r="D88" s="27">
        <v>34.700000000000003</v>
      </c>
      <c r="E88" s="28">
        <v>1.61E-2</v>
      </c>
      <c r="F88" s="28">
        <v>10.69</v>
      </c>
      <c r="G88" s="28">
        <v>1.41E-2</v>
      </c>
      <c r="H88" s="28">
        <v>0.1062</v>
      </c>
      <c r="I88" s="28">
        <v>54.13</v>
      </c>
      <c r="J88" s="28">
        <v>6.6600000000000006E-2</v>
      </c>
      <c r="K88" s="29">
        <f t="shared" si="5"/>
        <v>99.722999999999999</v>
      </c>
      <c r="M88" s="9">
        <f t="shared" si="7"/>
        <v>347000</v>
      </c>
      <c r="N88" s="9">
        <f t="shared" si="8"/>
        <v>161</v>
      </c>
      <c r="O88" s="9">
        <f t="shared" si="8"/>
        <v>106900</v>
      </c>
      <c r="P88" s="9">
        <f t="shared" si="8"/>
        <v>141</v>
      </c>
      <c r="Q88" s="9">
        <f t="shared" si="8"/>
        <v>1062</v>
      </c>
      <c r="R88" s="9">
        <f t="shared" si="8"/>
        <v>541300</v>
      </c>
      <c r="S88" s="9">
        <f t="shared" si="8"/>
        <v>666.00000000000011</v>
      </c>
    </row>
    <row r="89" spans="1:19" x14ac:dyDescent="0.4">
      <c r="A89" s="30" t="s">
        <v>88</v>
      </c>
      <c r="B89" s="3" t="s">
        <v>109</v>
      </c>
      <c r="C89" s="26" t="s">
        <v>38</v>
      </c>
      <c r="D89" s="27">
        <v>33.32</v>
      </c>
      <c r="E89" s="31" t="s">
        <v>3</v>
      </c>
      <c r="F89" s="28">
        <v>5.39</v>
      </c>
      <c r="G89" s="28">
        <v>1.43E-2</v>
      </c>
      <c r="H89" s="31" t="s">
        <v>3</v>
      </c>
      <c r="I89" s="28">
        <v>59.73</v>
      </c>
      <c r="J89" s="28">
        <v>0.33700000000000002</v>
      </c>
      <c r="K89" s="29">
        <f t="shared" si="5"/>
        <v>98.791299999999993</v>
      </c>
      <c r="M89" s="9">
        <f t="shared" si="7"/>
        <v>333200</v>
      </c>
      <c r="N89" s="9">
        <f t="shared" si="8"/>
        <v>-130</v>
      </c>
      <c r="O89" s="9">
        <f t="shared" si="8"/>
        <v>53900</v>
      </c>
      <c r="P89" s="9">
        <f t="shared" si="8"/>
        <v>143</v>
      </c>
      <c r="Q89" s="9">
        <f t="shared" si="8"/>
        <v>-240</v>
      </c>
      <c r="R89" s="9">
        <f t="shared" si="8"/>
        <v>597300</v>
      </c>
      <c r="S89" s="9">
        <f t="shared" si="8"/>
        <v>3370</v>
      </c>
    </row>
    <row r="90" spans="1:19" x14ac:dyDescent="0.4">
      <c r="A90" s="32" t="s">
        <v>134</v>
      </c>
      <c r="B90" s="3" t="s">
        <v>107</v>
      </c>
      <c r="C90" s="14" t="s">
        <v>74</v>
      </c>
      <c r="D90" s="1">
        <v>32.92</v>
      </c>
      <c r="E90" s="1" t="s">
        <v>3</v>
      </c>
      <c r="F90" s="1">
        <v>1.05</v>
      </c>
      <c r="G90" s="1">
        <v>1.2200000000000001E-2</v>
      </c>
      <c r="H90" s="1" t="s">
        <v>3</v>
      </c>
      <c r="I90" s="1">
        <v>64.37</v>
      </c>
      <c r="J90" s="14">
        <v>0.68500000000000005</v>
      </c>
      <c r="K90" s="33">
        <f t="shared" si="5"/>
        <v>99.037200000000013</v>
      </c>
      <c r="M90" s="9">
        <f t="shared" si="7"/>
        <v>329200</v>
      </c>
      <c r="N90" s="9">
        <f t="shared" si="8"/>
        <v>-130</v>
      </c>
      <c r="O90" s="9">
        <f t="shared" si="8"/>
        <v>10500</v>
      </c>
      <c r="P90" s="9">
        <f t="shared" si="8"/>
        <v>122.00000000000001</v>
      </c>
      <c r="Q90" s="9">
        <f t="shared" si="8"/>
        <v>-240</v>
      </c>
      <c r="R90" s="9">
        <f t="shared" si="8"/>
        <v>643700</v>
      </c>
      <c r="S90" s="9">
        <f t="shared" si="8"/>
        <v>6850.0000000000009</v>
      </c>
    </row>
    <row r="91" spans="1:19" x14ac:dyDescent="0.4">
      <c r="A91" s="30" t="s">
        <v>89</v>
      </c>
      <c r="B91" s="3" t="s">
        <v>107</v>
      </c>
      <c r="C91" s="26" t="s">
        <v>74</v>
      </c>
      <c r="D91" s="27">
        <v>36.119999999999997</v>
      </c>
      <c r="E91" s="31" t="s">
        <v>3</v>
      </c>
      <c r="F91" s="28">
        <v>1.23</v>
      </c>
      <c r="G91" s="28">
        <v>1.15E-2</v>
      </c>
      <c r="H91" s="31" t="s">
        <v>3</v>
      </c>
      <c r="I91" s="28">
        <v>64.209999999999994</v>
      </c>
      <c r="J91" s="28">
        <v>0.46920000000000001</v>
      </c>
      <c r="K91" s="29">
        <f t="shared" si="5"/>
        <v>102.04069999999999</v>
      </c>
      <c r="M91" s="9">
        <f t="shared" si="7"/>
        <v>361200</v>
      </c>
      <c r="N91" s="9">
        <f t="shared" si="8"/>
        <v>-130</v>
      </c>
      <c r="O91" s="9">
        <f t="shared" si="8"/>
        <v>12300</v>
      </c>
      <c r="P91" s="9">
        <f t="shared" si="8"/>
        <v>115</v>
      </c>
      <c r="Q91" s="9">
        <f t="shared" si="8"/>
        <v>-240</v>
      </c>
      <c r="R91" s="9">
        <f t="shared" si="8"/>
        <v>642099.99999999988</v>
      </c>
      <c r="S91" s="9">
        <f t="shared" si="8"/>
        <v>4692</v>
      </c>
    </row>
    <row r="92" spans="1:19" x14ac:dyDescent="0.4">
      <c r="A92" s="30" t="s">
        <v>90</v>
      </c>
      <c r="B92" s="3" t="s">
        <v>106</v>
      </c>
      <c r="C92" s="26" t="s">
        <v>38</v>
      </c>
      <c r="D92" s="27">
        <v>33.32</v>
      </c>
      <c r="E92" s="31" t="s">
        <v>3</v>
      </c>
      <c r="F92" s="28">
        <v>7.01</v>
      </c>
      <c r="G92" s="28">
        <v>1.61E-2</v>
      </c>
      <c r="H92" s="31" t="s">
        <v>3</v>
      </c>
      <c r="I92" s="28">
        <v>57.81</v>
      </c>
      <c r="J92" s="28">
        <v>0.32190000000000002</v>
      </c>
      <c r="K92" s="29">
        <f t="shared" si="5"/>
        <v>98.478000000000009</v>
      </c>
      <c r="M92" s="9">
        <f t="shared" si="7"/>
        <v>333200</v>
      </c>
      <c r="N92" s="9">
        <f t="shared" si="8"/>
        <v>-130</v>
      </c>
      <c r="O92" s="9">
        <f t="shared" si="8"/>
        <v>70100</v>
      </c>
      <c r="P92" s="9">
        <f t="shared" si="8"/>
        <v>161</v>
      </c>
      <c r="Q92" s="9">
        <f t="shared" si="8"/>
        <v>-240</v>
      </c>
      <c r="R92" s="9">
        <f t="shared" si="8"/>
        <v>578100</v>
      </c>
      <c r="S92" s="9">
        <f t="shared" si="8"/>
        <v>3219</v>
      </c>
    </row>
    <row r="93" spans="1:19" x14ac:dyDescent="0.4">
      <c r="A93" s="30" t="s">
        <v>91</v>
      </c>
      <c r="B93" s="3" t="s">
        <v>106</v>
      </c>
      <c r="C93" s="26" t="s">
        <v>38</v>
      </c>
      <c r="D93" s="27">
        <v>32.74</v>
      </c>
      <c r="E93" s="28">
        <v>3.5099999999999999E-2</v>
      </c>
      <c r="F93" s="28">
        <v>8.86</v>
      </c>
      <c r="G93" s="28">
        <v>1.34E-2</v>
      </c>
      <c r="H93" s="28">
        <v>3.1600000000000003E-2</v>
      </c>
      <c r="I93" s="28">
        <v>55.39</v>
      </c>
      <c r="J93" s="28">
        <v>7.9600000000000004E-2</v>
      </c>
      <c r="K93" s="29">
        <f t="shared" si="5"/>
        <v>97.149699999999996</v>
      </c>
      <c r="M93" s="9">
        <f t="shared" si="7"/>
        <v>327400</v>
      </c>
      <c r="N93" s="9">
        <f t="shared" si="8"/>
        <v>351</v>
      </c>
      <c r="O93" s="9">
        <f t="shared" si="8"/>
        <v>88600</v>
      </c>
      <c r="P93" s="9">
        <f t="shared" si="8"/>
        <v>134</v>
      </c>
      <c r="Q93" s="9">
        <f t="shared" si="8"/>
        <v>316.00000000000006</v>
      </c>
      <c r="R93" s="9">
        <f t="shared" si="8"/>
        <v>553900</v>
      </c>
      <c r="S93" s="9">
        <f t="shared" si="8"/>
        <v>796</v>
      </c>
    </row>
    <row r="94" spans="1:19" x14ac:dyDescent="0.4">
      <c r="A94" s="30" t="s">
        <v>92</v>
      </c>
      <c r="B94" s="3" t="s">
        <v>106</v>
      </c>
      <c r="C94" s="26" t="s">
        <v>38</v>
      </c>
      <c r="D94" s="27">
        <v>33.54</v>
      </c>
      <c r="E94" s="28">
        <v>1.8599999999999998E-2</v>
      </c>
      <c r="F94" s="28">
        <v>9.23</v>
      </c>
      <c r="G94" s="28">
        <v>6.3E-3</v>
      </c>
      <c r="H94" s="31" t="s">
        <v>3</v>
      </c>
      <c r="I94" s="28">
        <v>55.72</v>
      </c>
      <c r="J94" s="28">
        <v>0.28660000000000002</v>
      </c>
      <c r="K94" s="29">
        <f t="shared" si="5"/>
        <v>98.801500000000019</v>
      </c>
      <c r="M94" s="9">
        <f t="shared" si="7"/>
        <v>335400</v>
      </c>
      <c r="N94" s="9">
        <f t="shared" si="8"/>
        <v>185.99999999999997</v>
      </c>
      <c r="O94" s="9">
        <f t="shared" si="8"/>
        <v>92300</v>
      </c>
      <c r="P94" s="9">
        <f t="shared" si="8"/>
        <v>63</v>
      </c>
      <c r="Q94" s="9">
        <f t="shared" si="8"/>
        <v>-240</v>
      </c>
      <c r="R94" s="9">
        <f t="shared" si="8"/>
        <v>557200</v>
      </c>
      <c r="S94" s="9">
        <f t="shared" si="8"/>
        <v>2866</v>
      </c>
    </row>
    <row r="95" spans="1:19" x14ac:dyDescent="0.4">
      <c r="A95" s="30" t="s">
        <v>93</v>
      </c>
      <c r="B95" s="3" t="s">
        <v>109</v>
      </c>
      <c r="C95" s="26" t="s">
        <v>38</v>
      </c>
      <c r="D95" s="27">
        <v>33.369999999999997</v>
      </c>
      <c r="E95" s="28">
        <v>8.6E-3</v>
      </c>
      <c r="F95" s="28">
        <v>7.15</v>
      </c>
      <c r="G95" s="28">
        <v>1.14E-2</v>
      </c>
      <c r="H95" s="31" t="s">
        <v>3</v>
      </c>
      <c r="I95" s="28">
        <v>57.9</v>
      </c>
      <c r="J95" s="28">
        <v>0.34370000000000001</v>
      </c>
      <c r="K95" s="29">
        <f t="shared" ref="K95:K96" si="9">SUM(D95:J95)</f>
        <v>98.783699999999996</v>
      </c>
      <c r="M95" s="9">
        <f t="shared" si="7"/>
        <v>333700</v>
      </c>
      <c r="N95" s="9">
        <f t="shared" si="8"/>
        <v>86</v>
      </c>
      <c r="O95" s="9">
        <f t="shared" si="8"/>
        <v>71500</v>
      </c>
      <c r="P95" s="9">
        <f t="shared" si="8"/>
        <v>114</v>
      </c>
      <c r="Q95" s="9">
        <f t="shared" si="8"/>
        <v>-240</v>
      </c>
      <c r="R95" s="9">
        <f t="shared" si="8"/>
        <v>579000</v>
      </c>
      <c r="S95" s="9">
        <f t="shared" si="8"/>
        <v>3437</v>
      </c>
    </row>
    <row r="96" spans="1:19" x14ac:dyDescent="0.4">
      <c r="A96" s="34" t="s">
        <v>94</v>
      </c>
      <c r="B96" s="4" t="s">
        <v>109</v>
      </c>
      <c r="C96" s="35" t="s">
        <v>38</v>
      </c>
      <c r="D96" s="36">
        <v>33.24</v>
      </c>
      <c r="E96" s="37">
        <v>2.3099999999999999E-2</v>
      </c>
      <c r="F96" s="37">
        <v>7.32</v>
      </c>
      <c r="G96" s="37">
        <v>6.4000000000000003E-3</v>
      </c>
      <c r="H96" s="38" t="s">
        <v>3</v>
      </c>
      <c r="I96" s="37">
        <v>57.64</v>
      </c>
      <c r="J96" s="37">
        <v>0.36170000000000002</v>
      </c>
      <c r="K96" s="39">
        <f t="shared" si="9"/>
        <v>98.591200000000001</v>
      </c>
      <c r="M96" s="9">
        <f t="shared" si="7"/>
        <v>332400</v>
      </c>
      <c r="N96" s="9">
        <f t="shared" si="8"/>
        <v>231</v>
      </c>
      <c r="O96" s="9">
        <f t="shared" si="8"/>
        <v>73200</v>
      </c>
      <c r="P96" s="9">
        <f t="shared" si="8"/>
        <v>64</v>
      </c>
      <c r="Q96" s="9">
        <f t="shared" si="8"/>
        <v>-240</v>
      </c>
      <c r="R96" s="9">
        <f t="shared" si="8"/>
        <v>576400</v>
      </c>
      <c r="S96" s="9">
        <f t="shared" si="8"/>
        <v>3617</v>
      </c>
    </row>
    <row r="98" spans="1:19" x14ac:dyDescent="0.4">
      <c r="A98" s="16" t="s">
        <v>132</v>
      </c>
      <c r="B98" s="40"/>
      <c r="C98" s="59" t="s">
        <v>95</v>
      </c>
      <c r="D98" s="12">
        <f t="shared" ref="D98:J98" si="10">MIN(D4:D96)</f>
        <v>31.23</v>
      </c>
      <c r="E98" s="12">
        <f t="shared" si="10"/>
        <v>8.6E-3</v>
      </c>
      <c r="F98" s="12">
        <f t="shared" si="10"/>
        <v>1.05</v>
      </c>
      <c r="G98" s="12">
        <f t="shared" si="10"/>
        <v>2.7000000000000001E-3</v>
      </c>
      <c r="H98" s="12">
        <f t="shared" si="10"/>
        <v>2.5000000000000001E-2</v>
      </c>
      <c r="I98" s="12">
        <f t="shared" si="10"/>
        <v>54.13</v>
      </c>
      <c r="J98" s="12">
        <f t="shared" si="10"/>
        <v>8.3999999999999995E-3</v>
      </c>
      <c r="K98" s="41"/>
    </row>
    <row r="99" spans="1:19" x14ac:dyDescent="0.4">
      <c r="A99" s="17">
        <v>93</v>
      </c>
      <c r="C99" s="49" t="s">
        <v>96</v>
      </c>
      <c r="D99" s="13">
        <f t="shared" ref="D99:J99" si="11">MAX(D4:D96)</f>
        <v>36.119999999999997</v>
      </c>
      <c r="E99" s="13">
        <f t="shared" si="11"/>
        <v>4.6300000000000001E-2</v>
      </c>
      <c r="F99" s="13">
        <f t="shared" si="11"/>
        <v>10.69</v>
      </c>
      <c r="G99" s="13">
        <f t="shared" si="11"/>
        <v>3.0599999999999999E-2</v>
      </c>
      <c r="H99" s="13">
        <f t="shared" si="11"/>
        <v>0.4536</v>
      </c>
      <c r="I99" s="13">
        <f t="shared" si="11"/>
        <v>64.37</v>
      </c>
      <c r="J99" s="13">
        <f t="shared" si="11"/>
        <v>0.68500000000000005</v>
      </c>
      <c r="K99" s="43"/>
    </row>
    <row r="100" spans="1:19" x14ac:dyDescent="0.4">
      <c r="A100" s="44"/>
      <c r="C100" s="49" t="s">
        <v>97</v>
      </c>
      <c r="D100" s="13">
        <f t="shared" ref="D100:J100" si="12">AVERAGE(D4:D96)</f>
        <v>32.96204301075268</v>
      </c>
      <c r="E100" s="13">
        <f t="shared" si="12"/>
        <v>2.1315151515151516E-2</v>
      </c>
      <c r="F100" s="13">
        <f t="shared" si="12"/>
        <v>4.7837634408602128</v>
      </c>
      <c r="G100" s="13">
        <f t="shared" si="12"/>
        <v>1.4350684931506848E-2</v>
      </c>
      <c r="H100" s="13">
        <f t="shared" si="12"/>
        <v>7.6016279069767462E-2</v>
      </c>
      <c r="I100" s="13">
        <f t="shared" si="12"/>
        <v>60.254946236559149</v>
      </c>
      <c r="J100" s="13">
        <f t="shared" si="12"/>
        <v>0.20918043478260873</v>
      </c>
      <c r="K100" s="43"/>
    </row>
    <row r="101" spans="1:19" x14ac:dyDescent="0.4">
      <c r="A101" s="44"/>
      <c r="C101" s="49" t="s">
        <v>133</v>
      </c>
      <c r="D101" s="13">
        <f t="shared" ref="D101:J101" si="13">MEDIAN(D4:D96)</f>
        <v>32.869999999999997</v>
      </c>
      <c r="E101" s="13">
        <f t="shared" si="13"/>
        <v>1.9800000000000002E-2</v>
      </c>
      <c r="F101" s="13">
        <f t="shared" si="13"/>
        <v>4.0599999999999996</v>
      </c>
      <c r="G101" s="13">
        <f t="shared" si="13"/>
        <v>1.3899999999999999E-2</v>
      </c>
      <c r="H101" s="13">
        <f t="shared" si="13"/>
        <v>5.4800000000000001E-2</v>
      </c>
      <c r="I101" s="13">
        <f t="shared" si="13"/>
        <v>61.12</v>
      </c>
      <c r="J101" s="13">
        <f t="shared" si="13"/>
        <v>0.18090000000000001</v>
      </c>
      <c r="K101" s="43"/>
    </row>
    <row r="102" spans="1:19" x14ac:dyDescent="0.4">
      <c r="A102" s="45"/>
      <c r="B102" s="46"/>
      <c r="C102" s="58" t="s">
        <v>135</v>
      </c>
      <c r="D102" s="47">
        <f t="shared" ref="D102:J102" si="14">STDEV(D4:D96)</f>
        <v>0.69889440506725675</v>
      </c>
      <c r="E102" s="47">
        <f t="shared" si="14"/>
        <v>7.5000050505033434E-3</v>
      </c>
      <c r="F102" s="47">
        <f t="shared" si="14"/>
        <v>2.1218756642970096</v>
      </c>
      <c r="G102" s="47">
        <f t="shared" si="14"/>
        <v>6.3278292593482825E-3</v>
      </c>
      <c r="H102" s="47">
        <f t="shared" si="14"/>
        <v>7.8992347218944936E-2</v>
      </c>
      <c r="I102" s="47">
        <f t="shared" si="14"/>
        <v>2.3423142697730421</v>
      </c>
      <c r="J102" s="47">
        <f t="shared" si="14"/>
        <v>0.12228569344689062</v>
      </c>
      <c r="K102" s="48"/>
    </row>
    <row r="103" spans="1:19" x14ac:dyDescent="0.4">
      <c r="C103" s="49"/>
      <c r="D103" s="2"/>
      <c r="E103" s="2"/>
      <c r="F103" s="2"/>
      <c r="G103" s="2"/>
      <c r="H103" s="2"/>
      <c r="I103" s="2"/>
      <c r="J103" s="2"/>
    </row>
    <row r="104" spans="1:19" x14ac:dyDescent="0.4">
      <c r="A104" s="51"/>
      <c r="B104" s="40"/>
      <c r="C104" s="52" t="s">
        <v>122</v>
      </c>
      <c r="D104" s="24" t="s">
        <v>98</v>
      </c>
      <c r="E104" s="24" t="s">
        <v>99</v>
      </c>
      <c r="F104" s="24" t="s">
        <v>100</v>
      </c>
      <c r="G104" s="24" t="s">
        <v>101</v>
      </c>
      <c r="H104" s="24" t="s">
        <v>102</v>
      </c>
      <c r="I104" s="24" t="s">
        <v>103</v>
      </c>
      <c r="J104" s="24" t="s">
        <v>104</v>
      </c>
      <c r="K104" s="41"/>
      <c r="M104" s="24" t="s">
        <v>98</v>
      </c>
      <c r="N104" s="24" t="s">
        <v>99</v>
      </c>
      <c r="O104" s="24" t="s">
        <v>100</v>
      </c>
      <c r="P104" s="24" t="s">
        <v>101</v>
      </c>
      <c r="Q104" s="24" t="s">
        <v>102</v>
      </c>
      <c r="R104" s="24" t="s">
        <v>103</v>
      </c>
      <c r="S104" s="24" t="s">
        <v>104</v>
      </c>
    </row>
    <row r="105" spans="1:19" x14ac:dyDescent="0.4">
      <c r="A105" s="45"/>
      <c r="B105" s="46"/>
      <c r="C105" s="53" t="s">
        <v>97</v>
      </c>
      <c r="D105" s="37" t="s">
        <v>123</v>
      </c>
      <c r="E105" s="37" t="s">
        <v>124</v>
      </c>
      <c r="F105" s="37" t="s">
        <v>125</v>
      </c>
      <c r="G105" s="37" t="s">
        <v>126</v>
      </c>
      <c r="H105" s="37" t="s">
        <v>127</v>
      </c>
      <c r="I105" s="37" t="s">
        <v>125</v>
      </c>
      <c r="J105" s="37" t="s">
        <v>128</v>
      </c>
      <c r="K105" s="48"/>
      <c r="M105" s="9">
        <f t="shared" ref="M105" si="15">D105*10000</f>
        <v>70</v>
      </c>
      <c r="N105" s="9">
        <f t="shared" ref="N105" si="16">E105*10000</f>
        <v>130</v>
      </c>
      <c r="O105" s="9">
        <f t="shared" ref="O105" si="17">F105*10000</f>
        <v>120</v>
      </c>
      <c r="P105" s="9">
        <f t="shared" ref="P105" si="18">G105*10000</f>
        <v>60</v>
      </c>
      <c r="Q105" s="9">
        <f t="shared" ref="Q105" si="19">H105*10000</f>
        <v>240</v>
      </c>
      <c r="R105" s="9">
        <f t="shared" ref="R105" si="20">I105*10000</f>
        <v>120</v>
      </c>
      <c r="S105" s="9">
        <f t="shared" ref="S105" si="21">J105*10000</f>
        <v>100</v>
      </c>
    </row>
    <row r="106" spans="1:19" x14ac:dyDescent="0.4">
      <c r="C106" s="49"/>
      <c r="D106" s="2"/>
      <c r="E106" s="2"/>
      <c r="F106" s="2"/>
      <c r="G106" s="2"/>
      <c r="H106" s="2"/>
      <c r="I106" s="2"/>
      <c r="J106" s="2"/>
    </row>
    <row r="107" spans="1:19" x14ac:dyDescent="0.4">
      <c r="A107" s="10" t="s">
        <v>3</v>
      </c>
      <c r="B107" s="5" t="s">
        <v>129</v>
      </c>
      <c r="C107" s="54"/>
      <c r="D107" s="11"/>
      <c r="E107" s="55"/>
      <c r="F107" s="55"/>
      <c r="G107" s="55"/>
      <c r="H107" s="55"/>
      <c r="I107" s="55"/>
      <c r="J107" s="55"/>
      <c r="K107" s="56"/>
    </row>
  </sheetData>
  <mergeCells count="2">
    <mergeCell ref="A1:K1"/>
    <mergeCell ref="A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40405A-8187-4BD3-84D7-B05AFDAF69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5394B1-5D42-41FC-8573-74FCB4525D01}"/>
</file>

<file path=customXml/itemProps3.xml><?xml version="1.0" encoding="utf-8"?>
<ds:datastoreItem xmlns:ds="http://schemas.openxmlformats.org/officeDocument/2006/customXml" ds:itemID="{F0BDC9C8-5CF0-47D0-A7B7-D259E56DC372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EPMA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Tharalson, Erik R</cp:lastModifiedBy>
  <dcterms:created xsi:type="dcterms:W3CDTF">2023-12-13T18:52:29Z</dcterms:created>
  <dcterms:modified xsi:type="dcterms:W3CDTF">2025-03-11T16:34:03Z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