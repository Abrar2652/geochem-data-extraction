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paper\2024\2-拉屋\Submission\2nd\"/>
    </mc:Choice>
  </mc:AlternateContent>
  <xr:revisionPtr revIDLastSave="0" documentId="13_ncr:1_{44340C55-FA5F-450A-8DC1-40D986BEEA8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le 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3" i="1" l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W151" i="1"/>
  <c r="V151" i="1"/>
  <c r="U151" i="1"/>
  <c r="T151" i="1"/>
  <c r="Q151" i="1"/>
  <c r="P151" i="1"/>
  <c r="N151" i="1"/>
  <c r="L151" i="1"/>
  <c r="K151" i="1"/>
  <c r="J151" i="1"/>
  <c r="I151" i="1"/>
  <c r="H151" i="1"/>
  <c r="G151" i="1"/>
  <c r="F151" i="1"/>
  <c r="E151" i="1"/>
  <c r="D151" i="1"/>
  <c r="C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W106" i="1"/>
  <c r="V106" i="1"/>
  <c r="U106" i="1"/>
  <c r="T106" i="1"/>
  <c r="Q106" i="1"/>
  <c r="P106" i="1"/>
  <c r="O106" i="1"/>
  <c r="N106" i="1"/>
  <c r="L106" i="1"/>
  <c r="K106" i="1"/>
  <c r="J106" i="1"/>
  <c r="I106" i="1"/>
  <c r="H106" i="1"/>
  <c r="G106" i="1"/>
  <c r="F106" i="1"/>
  <c r="E106" i="1"/>
  <c r="D106" i="1"/>
  <c r="C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W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W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W83" i="1"/>
  <c r="U83" i="1"/>
  <c r="T83" i="1"/>
  <c r="Q83" i="1"/>
  <c r="P83" i="1"/>
  <c r="N83" i="1"/>
  <c r="L83" i="1"/>
  <c r="K83" i="1"/>
  <c r="J83" i="1"/>
  <c r="I83" i="1"/>
  <c r="H83" i="1"/>
  <c r="G83" i="1"/>
  <c r="F83" i="1"/>
  <c r="E83" i="1"/>
  <c r="D83" i="1"/>
  <c r="C83" i="1"/>
  <c r="V82" i="1"/>
  <c r="V81" i="1"/>
  <c r="V80" i="1"/>
  <c r="V79" i="1"/>
  <c r="V78" i="1"/>
  <c r="V77" i="1"/>
  <c r="V76" i="1"/>
  <c r="V75" i="1"/>
  <c r="V74" i="1"/>
  <c r="V73" i="1"/>
  <c r="V72" i="1"/>
  <c r="V71" i="1"/>
  <c r="V69" i="1"/>
  <c r="V68" i="1"/>
  <c r="V67" i="1"/>
  <c r="V66" i="1"/>
  <c r="V65" i="1"/>
  <c r="V64" i="1"/>
  <c r="V63" i="1"/>
  <c r="V62" i="1"/>
  <c r="V61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84" i="1" l="1"/>
  <c r="V85" i="1"/>
</calcChain>
</file>

<file path=xl/sharedStrings.xml><?xml version="1.0" encoding="utf-8"?>
<sst xmlns="http://schemas.openxmlformats.org/spreadsheetml/2006/main" count="662" uniqueCount="175">
  <si>
    <t>Sample No.</t>
  </si>
  <si>
    <t>Ga</t>
  </si>
  <si>
    <t>Ge</t>
  </si>
  <si>
    <t>Cd</t>
  </si>
  <si>
    <t>Zn</t>
  </si>
  <si>
    <t>Cu</t>
  </si>
  <si>
    <t>Ag</t>
  </si>
  <si>
    <t>In</t>
  </si>
  <si>
    <t>Mn</t>
  </si>
  <si>
    <t>bdl</t>
  </si>
  <si>
    <t>Min</t>
  </si>
  <si>
    <t>Max</t>
  </si>
  <si>
    <t>Mean</t>
  </si>
  <si>
    <t>Sphalerite type</t>
  </si>
  <si>
    <t>Fe (wt.%)</t>
  </si>
  <si>
    <t>Co</t>
  </si>
  <si>
    <t>Ni</t>
  </si>
  <si>
    <t>As</t>
  </si>
  <si>
    <t>Se</t>
  </si>
  <si>
    <t>Mo</t>
  </si>
  <si>
    <t>Sn</t>
  </si>
  <si>
    <t>Sb</t>
  </si>
  <si>
    <t>Tl</t>
  </si>
  <si>
    <t>Pb</t>
  </si>
  <si>
    <t>Bi</t>
  </si>
  <si>
    <t>PC1*</t>
  </si>
  <si>
    <t>T</t>
  </si>
  <si>
    <t>Sphalerite II</t>
  </si>
  <si>
    <t>lw-31 a1 sp - 01</t>
  </si>
  <si>
    <t>n.a.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</si>
  <si>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</si>
  <si>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</si>
  <si>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</si>
  <si>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</si>
  <si>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</si>
  <si>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</si>
  <si>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</si>
  <si>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</si>
  <si>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</si>
  <si>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</si>
  <si>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</si>
  <si>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</si>
  <si>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</si>
  <si>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</si>
  <si>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</si>
  <si>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</si>
  <si>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</si>
  <si>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</si>
  <si>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</si>
  <si>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</si>
  <si>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</si>
  <si>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</si>
  <si>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</si>
  <si>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</si>
  <si>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</si>
  <si>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</si>
  <si>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</si>
  <si>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</si>
  <si>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</si>
  <si>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</si>
  <si>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</si>
  <si>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</si>
  <si>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</si>
  <si>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</si>
  <si>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</si>
  <si>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</si>
  <si>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</si>
  <si>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</si>
  <si>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</si>
  <si>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</si>
  <si>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</si>
  <si>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</si>
  <si>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</si>
  <si>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</si>
  <si>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</si>
  <si>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</si>
  <si>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</si>
  <si>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</si>
  <si>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</si>
  <si>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</si>
  <si>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</si>
  <si>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</si>
  <si>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</si>
  <si>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</si>
  <si>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</si>
  <si>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</si>
  <si>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</si>
  <si>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</si>
  <si>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</si>
  <si>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</si>
  <si>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</si>
  <si>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</si>
  <si>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</si>
  <si>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</si>
  <si>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</si>
  <si>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</si>
  <si>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</si>
  <si>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</si>
  <si>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</si>
  <si>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</si>
  <si>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</si>
  <si>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</si>
  <si>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</si>
  <si>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</si>
  <si>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</si>
  <si>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</si>
  <si>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</si>
  <si>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</si>
  <si>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</si>
  <si>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Sphalerite III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</si>
  <si>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</si>
  <si>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</si>
  <si>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</si>
  <si>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</si>
  <si>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</si>
  <si>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</si>
  <si>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</si>
  <si>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</si>
  <si>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</si>
  <si>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</si>
  <si>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</si>
  <si>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</si>
  <si>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</si>
  <si>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</si>
  <si>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</si>
  <si>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</si>
  <si>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</si>
  <si>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</si>
  <si>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</si>
  <si>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</si>
  <si>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Sphalerite IV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</si>
  <si>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</si>
  <si>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</si>
  <si>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</si>
  <si>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</si>
  <si>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</si>
  <si>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</si>
  <si>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</si>
  <si>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</si>
  <si>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</si>
  <si>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</si>
  <si>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</si>
  <si>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</si>
  <si>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</si>
  <si>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</si>
  <si>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</si>
  <si>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</si>
  <si>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</si>
  <si>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</si>
  <si>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</si>
  <si>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</si>
  <si>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</si>
  <si>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</si>
  <si>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</si>
  <si>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</si>
  <si>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</si>
  <si>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</si>
  <si>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</si>
  <si>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</si>
  <si>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</si>
  <si>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</si>
  <si>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</si>
  <si>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</si>
  <si>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</si>
  <si>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</si>
  <si>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</si>
  <si>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</si>
  <si>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</si>
  <si>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</si>
  <si>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</si>
  <si>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</si>
  <si>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</si>
  <si>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</si>
  <si>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Note: The Ge concentration used for calcultaion is the detetion limit; bdl = blow the detection limit; n.a. = not available.</t>
    <phoneticPr fontId="7" type="noConversion"/>
  </si>
  <si>
    <r>
      <t>Electronic Supplementary Material Table A</t>
    </r>
    <r>
      <rPr>
        <sz val="11"/>
        <color theme="1"/>
        <rFont val="Times New Roman"/>
        <family val="1"/>
      </rPr>
      <t xml:space="preserve"> Trace element concentrations for sphalerite from the Lawu deposit (data in wt.% or ppm) and calculated temperature (</t>
    </r>
    <r>
      <rPr>
        <sz val="11"/>
        <color theme="1"/>
        <rFont val="Segoe UI Symbol"/>
        <family val="1"/>
      </rPr>
      <t>℃</t>
    </r>
    <r>
      <rPr>
        <sz val="11"/>
        <color theme="1"/>
        <rFont val="Times New Roman"/>
        <family val="1"/>
      </rPr>
      <t>) via GGIMFis geothermometer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</si>
</sst>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0_ "/>
    <numFmt numFmtId="179" formatCode="0_);[Red]\(0\)"/>
    <numFmt numFmtId="180" formatCode="0.00_);[Red]\(0.00\)"/>
    <numFmt numFmtId="181" formatCode="0.0_);[Red]\(0.0\)"/>
  </numFmts>
  <fonts count="9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Segoe UI Symbo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/>
    </xf>
    <xf numFmtId="176" fontId="1" fillId="0" borderId="1" xfId="0" applyNumberFormat="1" applyFont="1" applyBorder="1" applyAlignment="1">
      <alignment horizontal="center"/>
    </xf>
    <xf numFmtId="177" fontId="1" fillId="0" borderId="1" xfId="0" applyNumberFormat="1" applyFont="1" applyBorder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179" fontId="4" fillId="2" borderId="1" xfId="0" applyNumberFormat="1" applyFont="1" applyFill="1" applyBorder="1" applyAlignment="1" applyProtection="1">
      <alignment horizontal="center" vertical="center"/>
    </xf>
    <xf numFmtId="179" fontId="5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180" fontId="4" fillId="2" borderId="1" xfId="0" applyNumberFormat="1" applyFont="1" applyFill="1" applyBorder="1" applyAlignment="1" applyProtection="1">
      <alignment horizontal="center" vertical="center"/>
    </xf>
    <xf numFmtId="181" fontId="4" fillId="2" borderId="1" xfId="0" applyNumberFormat="1" applyFont="1" applyFill="1" applyBorder="1" applyAlignment="1" applyProtection="1">
      <alignment horizontal="center" vertical="center"/>
    </xf>
    <xf numFmtId="180" fontId="5" fillId="0" borderId="1" xfId="0" applyNumberFormat="1" applyFont="1" applyFill="1" applyBorder="1" applyAlignment="1" applyProtection="1">
      <alignment horizontal="center" vertical="center"/>
    </xf>
    <xf numFmtId="181" fontId="5" fillId="0" borderId="1" xfId="0" applyNumberFormat="1" applyFont="1" applyFill="1" applyBorder="1" applyAlignment="1" applyProtection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179" fontId="1" fillId="0" borderId="1" xfId="0" applyNumberFormat="1" applyFont="1" applyBorder="1" applyAlignment="1">
      <alignment horizontal="center"/>
    </xf>
    <xf numFmtId="179" fontId="1" fillId="0" borderId="0" xfId="0" applyNumberFormat="1" applyFont="1" applyAlignment="1">
      <alignment horizontal="center"/>
    </xf>
    <xf numFmtId="179" fontId="1" fillId="0" borderId="0" xfId="0" applyNumberFormat="1" applyFont="1"/>
    <xf numFmtId="0" fontId="2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73"/>
  <sheetViews>
    <sheetView tabSelected="1" zoomScale="70" zoomScaleNormal="70" workbookViewId="0">
      <pane xSplit="2" ySplit="2" topLeftCell="C3" activePane="bottomRight" state="frozen"/>
      <selection pane="topRight"/>
      <selection pane="bottomLeft"/>
      <selection pane="bottomRight" activeCell="Z31" sqref="Z31"/>
    </sheetView>
  </sheetViews>
  <sheetFormatPr defaultColWidth="9" defaultRowHeight="14" x14ac:dyDescent="0.3"/>
  <cols>
    <col min="1" max="1" width="14.1640625" customWidth="1"/>
    <col min="2" max="2" width="27.4140625" style="3" customWidth="1"/>
    <col min="3" max="3" width="12.75" style="4"/>
    <col min="4" max="4" width="12.58203125" style="4"/>
    <col min="5" max="5" width="12.25" style="4"/>
    <col min="6" max="6" width="13.4140625" style="4"/>
    <col min="7" max="7" width="14.5" style="4"/>
    <col min="8" max="8" width="9" style="4"/>
    <col min="9" max="18" width="9.1640625" style="4"/>
    <col min="19" max="19" width="12.25" style="4"/>
    <col min="20" max="20" width="9.1640625" style="4"/>
    <col min="21" max="21" width="12.25" style="4"/>
    <col min="22" max="22" width="9" style="4"/>
    <col min="23" max="23" width="5.1640625" style="4" customWidth="1"/>
    <col min="24" max="24" width="12.25"/>
  </cols>
  <sheetData>
    <row r="1" spans="1:35" s="1" customFormat="1" ht="16.5" x14ac:dyDescent="0.45">
      <c r="A1" s="5" t="s">
        <v>174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35" s="2" customFormat="1" x14ac:dyDescent="0.3">
      <c r="A2" s="8" t="s">
        <v>13</v>
      </c>
      <c r="B2" s="9" t="s">
        <v>0</v>
      </c>
      <c r="C2" s="10" t="s">
        <v>14</v>
      </c>
      <c r="D2" s="10" t="s">
        <v>1</v>
      </c>
      <c r="E2" s="10" t="s">
        <v>2</v>
      </c>
      <c r="F2" s="10" t="s">
        <v>8</v>
      </c>
      <c r="G2" s="10" t="s">
        <v>7</v>
      </c>
      <c r="H2" s="11" t="s">
        <v>3</v>
      </c>
      <c r="I2" s="11" t="s">
        <v>4</v>
      </c>
      <c r="J2" s="11" t="s">
        <v>15</v>
      </c>
      <c r="K2" s="11" t="s">
        <v>16</v>
      </c>
      <c r="L2" s="11" t="s">
        <v>5</v>
      </c>
      <c r="M2" s="11" t="s">
        <v>17</v>
      </c>
      <c r="N2" s="11" t="s">
        <v>18</v>
      </c>
      <c r="O2" s="11" t="s">
        <v>19</v>
      </c>
      <c r="P2" s="11" t="s">
        <v>6</v>
      </c>
      <c r="Q2" s="11" t="s">
        <v>20</v>
      </c>
      <c r="R2" s="11" t="s">
        <v>21</v>
      </c>
      <c r="S2" s="11" t="s">
        <v>22</v>
      </c>
      <c r="T2" s="11" t="s">
        <v>23</v>
      </c>
      <c r="U2" s="11" t="s">
        <v>24</v>
      </c>
      <c r="V2" s="10" t="s">
        <v>25</v>
      </c>
      <c r="W2" s="10" t="s">
        <v>26</v>
      </c>
    </row>
    <row r="3" spans="1:35" s="1" customFormat="1" x14ac:dyDescent="0.3">
      <c r="A3" s="30" t="s">
        <v>27</v>
      </c>
      <c r="B3" s="12" t="s">
        <v>28</v>
      </c>
      <c r="C3" s="13">
        <v>7.0091319303468902</v>
      </c>
      <c r="D3" s="13">
        <v>1.4564455745520399</v>
      </c>
      <c r="E3" s="14">
        <v>0.20083999999999999</v>
      </c>
      <c r="F3" s="15">
        <v>1986.04227329184</v>
      </c>
      <c r="G3" s="15">
        <v>668.29553914696601</v>
      </c>
      <c r="H3" s="16">
        <v>8817.94017043641</v>
      </c>
      <c r="I3" s="16">
        <v>616307.64632082498</v>
      </c>
      <c r="J3" s="16">
        <v>817.61049884691602</v>
      </c>
      <c r="K3" s="19">
        <v>1.54623930201201</v>
      </c>
      <c r="L3" s="18" t="s">
        <v>29</v>
      </c>
      <c r="M3" s="20" t="s">
        <v>9</v>
      </c>
      <c r="N3" s="16">
        <v>116.624369996094</v>
      </c>
      <c r="O3" s="19">
        <v>2.4798177485098299E-2</v>
      </c>
      <c r="P3" s="20">
        <v>4.60224999796971</v>
      </c>
      <c r="Q3" s="20">
        <v>4.0552313769748896</v>
      </c>
      <c r="R3" s="19">
        <v>0.24287626772169801</v>
      </c>
      <c r="S3" s="23">
        <v>6.3454160035398503E-3</v>
      </c>
      <c r="T3" s="19">
        <v>0.93284908833649105</v>
      </c>
      <c r="U3" s="24">
        <v>1.17572535605819</v>
      </c>
      <c r="V3" s="25">
        <f>LN((D3^0.22*E3^0.22)/(C3^0.37*F3^0.2*G3^0.1))</f>
        <v>-3.1601565155282101</v>
      </c>
      <c r="W3" s="26">
        <v>379.909876604766</v>
      </c>
    </row>
    <row r="4" spans="1:35" s="1" customFormat="1" x14ac:dyDescent="0.3">
      <c r="A4" s="31"/>
      <c r="B4" s="12" t="s">
        <v>30</v>
      </c>
      <c r="C4" s="13">
        <v>7.20250142745269</v>
      </c>
      <c r="D4" s="13">
        <v>1.5925020106276799</v>
      </c>
      <c r="E4" s="14">
        <v>0.20480000000000001</v>
      </c>
      <c r="F4" s="15">
        <v>2705.6222844020999</v>
      </c>
      <c r="G4" s="15">
        <v>725.62545712137</v>
      </c>
      <c r="H4" s="16">
        <v>8744.93097351904</v>
      </c>
      <c r="I4" s="16">
        <v>615073.13612169703</v>
      </c>
      <c r="J4" s="16">
        <v>639.53116212751104</v>
      </c>
      <c r="K4" s="19">
        <v>0.57709949002482497</v>
      </c>
      <c r="L4" s="18" t="s">
        <v>29</v>
      </c>
      <c r="M4" s="20" t="s">
        <v>9</v>
      </c>
      <c r="N4" s="16">
        <v>117.818233547925</v>
      </c>
      <c r="O4" s="19">
        <v>1.7987516572202301E-2</v>
      </c>
      <c r="P4" s="20">
        <v>4.1596132073217902</v>
      </c>
      <c r="Q4" s="20">
        <v>6.5729383474256098</v>
      </c>
      <c r="R4" s="19">
        <v>5.24635900022569E-2</v>
      </c>
      <c r="S4" s="23">
        <v>5.9958388574007796E-3</v>
      </c>
      <c r="T4" s="19">
        <v>0.65729383474256098</v>
      </c>
      <c r="U4" s="23">
        <v>0.75922309531837395</v>
      </c>
      <c r="V4" s="25">
        <f t="shared" ref="V4:V35" si="0">LN((D4^0.22*E4^0.22)/(C4^0.37*F4^0.2*G4^0.1))</f>
        <v>-3.2163506472795498</v>
      </c>
      <c r="W4" s="26">
        <v>382.97380121214297</v>
      </c>
      <c r="AA4" s="27"/>
      <c r="AH4" s="28"/>
    </row>
    <row r="5" spans="1:35" s="1" customFormat="1" x14ac:dyDescent="0.3">
      <c r="A5" s="31"/>
      <c r="B5" s="12" t="s">
        <v>31</v>
      </c>
      <c r="C5" s="13">
        <v>7.2013107832952796</v>
      </c>
      <c r="D5" s="13">
        <v>1.58363022364911</v>
      </c>
      <c r="E5" s="14">
        <v>0.24604999999999999</v>
      </c>
      <c r="F5" s="15">
        <v>2255.5614420102802</v>
      </c>
      <c r="G5" s="15">
        <v>701.52126288878901</v>
      </c>
      <c r="H5" s="16">
        <v>8799.6870476832992</v>
      </c>
      <c r="I5" s="16">
        <v>615033.904827222</v>
      </c>
      <c r="J5" s="16">
        <v>689.48241953277704</v>
      </c>
      <c r="K5" s="19">
        <v>0.49457493412850001</v>
      </c>
      <c r="L5" s="18" t="s">
        <v>29</v>
      </c>
      <c r="M5" s="20" t="s">
        <v>9</v>
      </c>
      <c r="N5" s="16">
        <v>110.754811006352</v>
      </c>
      <c r="O5" s="19">
        <v>1.42377632552144E-2</v>
      </c>
      <c r="P5" s="20">
        <v>3.9940672710680398</v>
      </c>
      <c r="Q5" s="20">
        <v>1.9408319384739601</v>
      </c>
      <c r="R5" s="19" t="s">
        <v>9</v>
      </c>
      <c r="S5" s="23" t="s">
        <v>9</v>
      </c>
      <c r="T5" s="20">
        <v>1</v>
      </c>
      <c r="U5" s="24">
        <v>1</v>
      </c>
      <c r="V5" s="25">
        <f t="shared" si="0"/>
        <v>-3.1373834454960998</v>
      </c>
      <c r="W5" s="26">
        <v>378.679485808408</v>
      </c>
      <c r="AA5" s="27"/>
      <c r="AH5" s="28"/>
      <c r="AI5" s="28"/>
    </row>
    <row r="6" spans="1:35" s="1" customFormat="1" x14ac:dyDescent="0.3">
      <c r="A6" s="31"/>
      <c r="B6" s="12" t="s">
        <v>32</v>
      </c>
      <c r="C6" s="13">
        <v>7.1595671127140896</v>
      </c>
      <c r="D6" s="13">
        <v>1.8339760707785799</v>
      </c>
      <c r="E6" s="14">
        <v>0.24768999999999999</v>
      </c>
      <c r="F6" s="15">
        <v>2780.3854801923999</v>
      </c>
      <c r="G6" s="15">
        <v>720.34076503093104</v>
      </c>
      <c r="H6" s="16">
        <v>8651.0815101806402</v>
      </c>
      <c r="I6" s="16">
        <v>615442.15043647902</v>
      </c>
      <c r="J6" s="16">
        <v>631.09982322373605</v>
      </c>
      <c r="K6" s="19">
        <v>1.34102193578412</v>
      </c>
      <c r="L6" s="18" t="s">
        <v>29</v>
      </c>
      <c r="M6" s="20" t="s">
        <v>9</v>
      </c>
      <c r="N6" s="16">
        <v>113.837862104341</v>
      </c>
      <c r="O6" s="19">
        <v>2.68204387156823E-2</v>
      </c>
      <c r="P6" s="20">
        <v>5.79619481133357</v>
      </c>
      <c r="Q6" s="20">
        <v>2.2946375345639298</v>
      </c>
      <c r="R6" s="19">
        <v>2.6075426529135599E-2</v>
      </c>
      <c r="S6" s="23" t="s">
        <v>9</v>
      </c>
      <c r="T6" s="20">
        <v>0.88656450199060999</v>
      </c>
      <c r="U6" s="24">
        <v>1.1845693766093</v>
      </c>
      <c r="V6" s="25">
        <f t="shared" si="0"/>
        <v>-3.1459677501694401</v>
      </c>
      <c r="W6" s="26">
        <v>379.136563012664</v>
      </c>
      <c r="AH6" s="28"/>
    </row>
    <row r="7" spans="1:35" s="1" customFormat="1" x14ac:dyDescent="0.3">
      <c r="A7" s="31"/>
      <c r="B7" s="12" t="s">
        <v>33</v>
      </c>
      <c r="C7" s="13">
        <v>7.2009968398236701</v>
      </c>
      <c r="D7" s="13">
        <v>1.71023163623039</v>
      </c>
      <c r="E7" s="14">
        <v>0.25924999999999998</v>
      </c>
      <c r="F7" s="15">
        <v>2795.7252038899201</v>
      </c>
      <c r="G7" s="15">
        <v>746.85000995922303</v>
      </c>
      <c r="H7" s="16">
        <v>8688.4035752086893</v>
      </c>
      <c r="I7" s="16">
        <v>615131.97944071295</v>
      </c>
      <c r="J7" s="16">
        <v>628.45744532363301</v>
      </c>
      <c r="K7" s="19">
        <v>0.53201953759363196</v>
      </c>
      <c r="L7" s="18" t="s">
        <v>29</v>
      </c>
      <c r="M7" s="20" t="s">
        <v>9</v>
      </c>
      <c r="N7" s="16">
        <v>107.827621774259</v>
      </c>
      <c r="O7" s="19">
        <v>2.6226315233488898E-2</v>
      </c>
      <c r="P7" s="18" t="s">
        <v>29</v>
      </c>
      <c r="Q7" s="20">
        <v>2.86990820983607</v>
      </c>
      <c r="R7" s="19">
        <v>3.5218194742113698E-2</v>
      </c>
      <c r="S7" s="23" t="s">
        <v>9</v>
      </c>
      <c r="T7" s="20">
        <v>1.04305802300047</v>
      </c>
      <c r="U7" s="24">
        <v>1.2888360629028801</v>
      </c>
      <c r="V7" s="25">
        <f t="shared" si="0"/>
        <v>-3.1581503977775598</v>
      </c>
      <c r="W7" s="26">
        <v>379.80554340551998</v>
      </c>
    </row>
    <row r="8" spans="1:35" s="1" customFormat="1" x14ac:dyDescent="0.3">
      <c r="A8" s="31"/>
      <c r="B8" s="12" t="s">
        <v>34</v>
      </c>
      <c r="C8" s="13">
        <v>7.0858952640913904</v>
      </c>
      <c r="D8" s="13">
        <v>1.50735692856849</v>
      </c>
      <c r="E8" s="14">
        <v>0.23247999999999999</v>
      </c>
      <c r="F8" s="15">
        <v>2069.7302816133802</v>
      </c>
      <c r="G8" s="15">
        <v>677.99032605244201</v>
      </c>
      <c r="H8" s="17">
        <v>8730.1768914507902</v>
      </c>
      <c r="I8" s="17">
        <v>615868.26423853601</v>
      </c>
      <c r="J8" s="17">
        <v>721.56681638291695</v>
      </c>
      <c r="K8" s="21">
        <v>0.435034152530065</v>
      </c>
      <c r="L8" s="17">
        <v>423.162881588142</v>
      </c>
      <c r="M8" s="22" t="s">
        <v>9</v>
      </c>
      <c r="N8" s="17">
        <v>108.979741938887</v>
      </c>
      <c r="O8" s="21">
        <v>2.6544456764546299E-2</v>
      </c>
      <c r="P8" s="22">
        <v>4.6526533940079799</v>
      </c>
      <c r="Q8" s="22">
        <v>1.71801622948314</v>
      </c>
      <c r="R8" s="21">
        <v>2.6544456764546299E-2</v>
      </c>
      <c r="S8" s="23">
        <v>7.0785218038790197E-3</v>
      </c>
      <c r="T8" s="21">
        <v>0.79707104895762704</v>
      </c>
      <c r="U8" s="18" t="s">
        <v>29</v>
      </c>
      <c r="V8" s="25">
        <f t="shared" si="0"/>
        <v>-3.1341378561486199</v>
      </c>
      <c r="W8" s="26">
        <v>378.49859473728498</v>
      </c>
    </row>
    <row r="9" spans="1:35" s="1" customFormat="1" x14ac:dyDescent="0.3">
      <c r="A9" s="31"/>
      <c r="B9" s="12" t="s">
        <v>35</v>
      </c>
      <c r="C9" s="13">
        <v>6.9841518511346896</v>
      </c>
      <c r="D9" s="13">
        <v>1.3935507912012</v>
      </c>
      <c r="E9" s="14">
        <v>0.14360999999999999</v>
      </c>
      <c r="F9" s="15">
        <v>1733.31968417859</v>
      </c>
      <c r="G9" s="15">
        <v>707.65147013329101</v>
      </c>
      <c r="H9" s="17">
        <v>8750.1756802977798</v>
      </c>
      <c r="I9" s="17">
        <v>616533.696189309</v>
      </c>
      <c r="J9" s="17">
        <v>861.93591003597805</v>
      </c>
      <c r="K9" s="21">
        <v>0.45785802978302298</v>
      </c>
      <c r="L9" s="17">
        <v>462.94534122505701</v>
      </c>
      <c r="M9" s="22" t="s">
        <v>9</v>
      </c>
      <c r="N9" s="17">
        <v>118.389004843896</v>
      </c>
      <c r="O9" s="21">
        <v>1.8168969435834299E-2</v>
      </c>
      <c r="P9" s="22">
        <v>4.1788629702418802</v>
      </c>
      <c r="Q9" s="22">
        <v>2.8997675219591499</v>
      </c>
      <c r="R9" s="21" t="s">
        <v>9</v>
      </c>
      <c r="S9" s="23" t="s">
        <v>9</v>
      </c>
      <c r="T9" s="21">
        <v>0.85757535737137702</v>
      </c>
      <c r="U9" s="23">
        <v>0.98112434953505001</v>
      </c>
      <c r="V9" s="25">
        <f t="shared" si="0"/>
        <v>-3.2208378093299199</v>
      </c>
      <c r="W9" s="26">
        <v>383.21424862225001</v>
      </c>
    </row>
    <row r="10" spans="1:35" s="1" customFormat="1" x14ac:dyDescent="0.3">
      <c r="A10" s="31"/>
      <c r="B10" s="12" t="s">
        <v>36</v>
      </c>
      <c r="C10" s="13">
        <v>9.1862459600211395</v>
      </c>
      <c r="D10" s="13">
        <v>1.7752165167041201</v>
      </c>
      <c r="E10" s="14">
        <v>0.17935999999999999</v>
      </c>
      <c r="F10" s="15">
        <v>2664.1069188947899</v>
      </c>
      <c r="G10" s="15">
        <v>618.76407729815696</v>
      </c>
      <c r="H10" s="17">
        <v>8306.8134643687499</v>
      </c>
      <c r="I10" s="17">
        <v>602140.41980402195</v>
      </c>
      <c r="J10" s="17">
        <v>628.98541536877303</v>
      </c>
      <c r="K10" s="21">
        <v>1.0897315706996999</v>
      </c>
      <c r="L10" s="18" t="s">
        <v>29</v>
      </c>
      <c r="M10" s="21">
        <v>8.1251915359188007E-2</v>
      </c>
      <c r="N10" s="17">
        <v>115.090948344073</v>
      </c>
      <c r="O10" s="21">
        <v>1.9882821640836601E-2</v>
      </c>
      <c r="P10" s="22">
        <v>5.7832245638010296</v>
      </c>
      <c r="Q10" s="22">
        <v>6.3950036912113903</v>
      </c>
      <c r="R10" s="21">
        <v>2.1029907504731001E-2</v>
      </c>
      <c r="S10" s="23" t="s">
        <v>9</v>
      </c>
      <c r="T10" s="21">
        <v>0.249491175397036</v>
      </c>
      <c r="U10" s="23">
        <v>0.38714147906436702</v>
      </c>
      <c r="V10" s="25">
        <f t="shared" si="0"/>
        <v>-3.2926253062384601</v>
      </c>
      <c r="W10" s="26">
        <v>387.12045377315297</v>
      </c>
    </row>
    <row r="11" spans="1:35" s="1" customFormat="1" x14ac:dyDescent="0.3">
      <c r="A11" s="31"/>
      <c r="B11" s="12" t="s">
        <v>37</v>
      </c>
      <c r="C11" s="13">
        <v>8.8356303782668597</v>
      </c>
      <c r="D11" s="13">
        <v>1.66244347314024</v>
      </c>
      <c r="E11" s="14">
        <v>0.18836</v>
      </c>
      <c r="F11" s="15">
        <v>1975.8345143491699</v>
      </c>
      <c r="G11" s="15">
        <v>611.21961126099995</v>
      </c>
      <c r="H11" s="17">
        <v>8543.2546800057899</v>
      </c>
      <c r="I11" s="17">
        <v>604289.08076127898</v>
      </c>
      <c r="J11" s="17">
        <v>774.15200608748103</v>
      </c>
      <c r="K11" s="21">
        <v>0.54245805652210699</v>
      </c>
      <c r="L11" s="18" t="s">
        <v>29</v>
      </c>
      <c r="M11" s="22" t="s">
        <v>9</v>
      </c>
      <c r="N11" s="17">
        <v>112.353177130511</v>
      </c>
      <c r="O11" s="21" t="s">
        <v>9</v>
      </c>
      <c r="P11" s="22">
        <v>4.3580528608725198</v>
      </c>
      <c r="Q11" s="22">
        <v>2.68470766956704</v>
      </c>
      <c r="R11" s="21" t="s">
        <v>9</v>
      </c>
      <c r="S11" s="23" t="s">
        <v>9</v>
      </c>
      <c r="T11" s="21">
        <v>0.318119470434998</v>
      </c>
      <c r="U11" s="23">
        <v>0.54797457913080605</v>
      </c>
      <c r="V11" s="25">
        <f t="shared" si="0"/>
        <v>-3.2208926531054098</v>
      </c>
      <c r="W11" s="26">
        <v>383.215516598823</v>
      </c>
    </row>
    <row r="12" spans="1:35" s="1" customFormat="1" x14ac:dyDescent="0.3">
      <c r="A12" s="31"/>
      <c r="B12" s="12" t="s">
        <v>38</v>
      </c>
      <c r="C12" s="13">
        <v>8.8257669651867001</v>
      </c>
      <c r="D12" s="13">
        <v>1.7153948842847799</v>
      </c>
      <c r="E12" s="14">
        <v>0.16341</v>
      </c>
      <c r="F12" s="15">
        <v>2059.0394938552099</v>
      </c>
      <c r="G12" s="15">
        <v>658.84886554273805</v>
      </c>
      <c r="H12" s="17">
        <v>8603.5156014431905</v>
      </c>
      <c r="I12" s="17">
        <v>604303.29480674805</v>
      </c>
      <c r="J12" s="17">
        <v>831.05478946903702</v>
      </c>
      <c r="K12" s="21">
        <v>1.0928889374164601</v>
      </c>
      <c r="L12" s="18" t="s">
        <v>29</v>
      </c>
      <c r="M12" s="22" t="s">
        <v>9</v>
      </c>
      <c r="N12" s="17">
        <v>109.931769587185</v>
      </c>
      <c r="O12" s="21">
        <v>2.02046694312287E-2</v>
      </c>
      <c r="P12" s="18" t="s">
        <v>29</v>
      </c>
      <c r="Q12" s="22">
        <v>2.9388610081787099</v>
      </c>
      <c r="R12" s="21">
        <v>2.47966397565079E-2</v>
      </c>
      <c r="S12" s="23" t="s">
        <v>9</v>
      </c>
      <c r="T12" s="21">
        <v>0.71451058261345002</v>
      </c>
      <c r="U12" s="18" t="s">
        <v>29</v>
      </c>
      <c r="V12" s="25">
        <f t="shared" si="0"/>
        <v>-3.2605952423378399</v>
      </c>
      <c r="W12" s="26">
        <v>385.37742024225099</v>
      </c>
    </row>
    <row r="13" spans="1:35" s="1" customFormat="1" x14ac:dyDescent="0.3">
      <c r="A13" s="31"/>
      <c r="B13" s="12" t="s">
        <v>39</v>
      </c>
      <c r="C13" s="13">
        <v>9.0724728233776606</v>
      </c>
      <c r="D13" s="13">
        <v>1.8391499012475401</v>
      </c>
      <c r="E13" s="14">
        <v>0.17243</v>
      </c>
      <c r="F13" s="15">
        <v>2562.1947182775202</v>
      </c>
      <c r="G13" s="15">
        <v>653.004171075508</v>
      </c>
      <c r="H13" s="17">
        <v>8352.1505794403893</v>
      </c>
      <c r="I13" s="17">
        <v>602864.71770328598</v>
      </c>
      <c r="J13" s="17">
        <v>639.69902030392302</v>
      </c>
      <c r="K13" s="21">
        <v>0.43615842293449297</v>
      </c>
      <c r="L13" s="18" t="s">
        <v>29</v>
      </c>
      <c r="M13" s="22" t="s">
        <v>9</v>
      </c>
      <c r="N13" s="17">
        <v>116.875352292836</v>
      </c>
      <c r="O13" s="21">
        <v>1.8503690669948201E-2</v>
      </c>
      <c r="P13" s="22">
        <v>7.9867970952939604</v>
      </c>
      <c r="Q13" s="22">
        <v>2.5772997718856399</v>
      </c>
      <c r="R13" s="21">
        <v>5.0035490076900703E-2</v>
      </c>
      <c r="S13" s="23">
        <v>1.40665811725627E-2</v>
      </c>
      <c r="T13" s="18" t="s">
        <v>29</v>
      </c>
      <c r="U13" s="18" t="s">
        <v>29</v>
      </c>
      <c r="V13" s="25">
        <f t="shared" si="0"/>
        <v>-3.2864841507956002</v>
      </c>
      <c r="W13" s="26">
        <v>386.783876179</v>
      </c>
    </row>
    <row r="14" spans="1:35" s="1" customFormat="1" x14ac:dyDescent="0.3">
      <c r="A14" s="31"/>
      <c r="B14" s="12" t="s">
        <v>40</v>
      </c>
      <c r="C14" s="13">
        <v>8.8430336123487994</v>
      </c>
      <c r="D14" s="13">
        <v>1.71526545372059</v>
      </c>
      <c r="E14" s="14">
        <v>0.14030999999999999</v>
      </c>
      <c r="F14" s="15">
        <v>1886.3911451940701</v>
      </c>
      <c r="G14" s="15">
        <v>658.57250960019405</v>
      </c>
      <c r="H14" s="17">
        <v>8520.9668314619994</v>
      </c>
      <c r="I14" s="17">
        <v>604258.62699712603</v>
      </c>
      <c r="J14" s="17">
        <v>792.28428098151005</v>
      </c>
      <c r="K14" s="21">
        <v>0.37727822903881397</v>
      </c>
      <c r="L14" s="18" t="s">
        <v>29</v>
      </c>
      <c r="M14" s="22" t="s">
        <v>9</v>
      </c>
      <c r="N14" s="17">
        <v>112.35529698936401</v>
      </c>
      <c r="O14" s="21">
        <v>1.2882671235471699E-2</v>
      </c>
      <c r="P14" s="22">
        <v>8.6405916357913792</v>
      </c>
      <c r="Q14" s="22">
        <v>1.2698633074965</v>
      </c>
      <c r="R14" s="21">
        <v>5.3371066546954199E-2</v>
      </c>
      <c r="S14" s="23" t="s">
        <v>9</v>
      </c>
      <c r="T14" s="18" t="s">
        <v>29</v>
      </c>
      <c r="U14" s="18" t="s">
        <v>29</v>
      </c>
      <c r="V14" s="25">
        <f t="shared" si="0"/>
        <v>-3.2773080216456498</v>
      </c>
      <c r="W14" s="26">
        <v>386.28683021247599</v>
      </c>
    </row>
    <row r="15" spans="1:35" s="1" customFormat="1" x14ac:dyDescent="0.3">
      <c r="A15" s="31"/>
      <c r="B15" s="12" t="s">
        <v>41</v>
      </c>
      <c r="C15" s="13">
        <v>8.5615259712449898</v>
      </c>
      <c r="D15" s="13">
        <v>1.1133085006674299</v>
      </c>
      <c r="E15" s="14">
        <v>0.19733999999999999</v>
      </c>
      <c r="F15" s="15">
        <v>1486.9081005211101</v>
      </c>
      <c r="G15" s="15">
        <v>714.96701827642096</v>
      </c>
      <c r="H15" s="17">
        <v>8739.7054919785005</v>
      </c>
      <c r="I15" s="17">
        <v>605958.85342786706</v>
      </c>
      <c r="J15" s="18" t="s">
        <v>29</v>
      </c>
      <c r="K15" s="21">
        <v>0.59690139445724699</v>
      </c>
      <c r="L15" s="18" t="s">
        <v>29</v>
      </c>
      <c r="M15" s="21">
        <v>6.5035525067729902E-2</v>
      </c>
      <c r="N15" s="17">
        <v>112.43127758284299</v>
      </c>
      <c r="O15" s="21">
        <v>2.22724400916883E-2</v>
      </c>
      <c r="P15" s="18" t="s">
        <v>29</v>
      </c>
      <c r="Q15" s="22">
        <v>3.01123390039626</v>
      </c>
      <c r="R15" s="21">
        <v>0.13898002617213501</v>
      </c>
      <c r="S15" s="23">
        <v>2.6548748589292501E-2</v>
      </c>
      <c r="T15" s="18" t="s">
        <v>29</v>
      </c>
      <c r="U15" s="18" t="s">
        <v>29</v>
      </c>
      <c r="V15" s="25">
        <f t="shared" si="0"/>
        <v>-3.2460154993528598</v>
      </c>
      <c r="W15" s="26">
        <v>384.58416653371899</v>
      </c>
    </row>
    <row r="16" spans="1:35" s="1" customFormat="1" x14ac:dyDescent="0.3">
      <c r="A16" s="31"/>
      <c r="B16" s="12" t="s">
        <v>42</v>
      </c>
      <c r="C16" s="13">
        <v>9.0592969907801102</v>
      </c>
      <c r="D16" s="13">
        <v>1.58436512815472</v>
      </c>
      <c r="E16" s="14">
        <v>0.21068000000000001</v>
      </c>
      <c r="F16" s="15">
        <v>2368.9920226670602</v>
      </c>
      <c r="G16" s="15">
        <v>682.51971742448097</v>
      </c>
      <c r="H16" s="17">
        <v>8376.7859583841891</v>
      </c>
      <c r="I16" s="17">
        <v>602931.88002287003</v>
      </c>
      <c r="J16" s="17">
        <v>668.37061045401697</v>
      </c>
      <c r="K16" s="21">
        <v>0.49962824194729</v>
      </c>
      <c r="L16" s="18" t="s">
        <v>29</v>
      </c>
      <c r="M16" s="22" t="s">
        <v>9</v>
      </c>
      <c r="N16" s="17">
        <v>112.18068073910899</v>
      </c>
      <c r="O16" s="21">
        <v>1.4046152462291701E-2</v>
      </c>
      <c r="P16" s="22">
        <v>2.7998035444970801</v>
      </c>
      <c r="Q16" s="22">
        <v>5.7881460482195504</v>
      </c>
      <c r="R16" s="21" t="s">
        <v>9</v>
      </c>
      <c r="S16" s="23" t="s">
        <v>9</v>
      </c>
      <c r="T16" s="21">
        <v>0.196080517594408</v>
      </c>
      <c r="U16" s="23">
        <v>0.18288279044863101</v>
      </c>
      <c r="V16" s="25">
        <f t="shared" si="0"/>
        <v>-3.2634168158493999</v>
      </c>
      <c r="W16" s="26">
        <v>385.53373814943399</v>
      </c>
    </row>
    <row r="17" spans="1:23" s="1" customFormat="1" x14ac:dyDescent="0.3">
      <c r="A17" s="31"/>
      <c r="B17" s="12" t="s">
        <v>43</v>
      </c>
      <c r="C17" s="13">
        <v>9.0329219447492992</v>
      </c>
      <c r="D17" s="13">
        <v>1.79833606556924</v>
      </c>
      <c r="E17" s="14">
        <v>0.15096999999999999</v>
      </c>
      <c r="F17" s="15">
        <v>2717.3961854599602</v>
      </c>
      <c r="G17" s="15">
        <v>711.77982830436497</v>
      </c>
      <c r="H17" s="17">
        <v>8346.7582590399397</v>
      </c>
      <c r="I17" s="17">
        <v>603134.74657101603</v>
      </c>
      <c r="J17" s="17">
        <v>644.89986954136305</v>
      </c>
      <c r="K17" s="21">
        <v>0.40229870888165498</v>
      </c>
      <c r="L17" s="17">
        <v>435.47895286184701</v>
      </c>
      <c r="M17" s="22" t="s">
        <v>9</v>
      </c>
      <c r="N17" s="17">
        <v>112.606040476687</v>
      </c>
      <c r="O17" s="21">
        <v>2.81985076318917E-2</v>
      </c>
      <c r="P17" s="22">
        <v>5.5457065009387003</v>
      </c>
      <c r="Q17" s="22">
        <v>1.62329408934256</v>
      </c>
      <c r="R17" s="21" t="s">
        <v>9</v>
      </c>
      <c r="S17" s="23" t="s">
        <v>9</v>
      </c>
      <c r="T17" s="21">
        <v>0.56491010289222998</v>
      </c>
      <c r="U17" s="23">
        <v>0.84877507971993904</v>
      </c>
      <c r="V17" s="25">
        <f t="shared" si="0"/>
        <v>-3.3394255362401002</v>
      </c>
      <c r="W17" s="26">
        <v>389.66484526688799</v>
      </c>
    </row>
    <row r="18" spans="1:23" s="1" customFormat="1" x14ac:dyDescent="0.3">
      <c r="A18" s="31"/>
      <c r="B18" s="12" t="s">
        <v>44</v>
      </c>
      <c r="C18" s="13">
        <v>9.0821785317639598</v>
      </c>
      <c r="D18" s="13">
        <v>1.79814032070469</v>
      </c>
      <c r="E18" s="14">
        <v>0.17549999999999999</v>
      </c>
      <c r="F18" s="15">
        <v>2373.0853582996101</v>
      </c>
      <c r="G18" s="15">
        <v>709.20445623370699</v>
      </c>
      <c r="H18" s="17">
        <v>8350.6898550121005</v>
      </c>
      <c r="I18" s="17">
        <v>602800.85398995294</v>
      </c>
      <c r="J18" s="17">
        <v>667.88507475521203</v>
      </c>
      <c r="K18" s="21">
        <v>0.39220646104911999</v>
      </c>
      <c r="L18" s="17">
        <v>430.29301618232398</v>
      </c>
      <c r="M18" s="22" t="s">
        <v>9</v>
      </c>
      <c r="N18" s="17">
        <v>116.338832181076</v>
      </c>
      <c r="O18" s="21">
        <v>2.2681819434166001E-2</v>
      </c>
      <c r="P18" s="22">
        <v>5.4247351480046904</v>
      </c>
      <c r="Q18" s="22">
        <v>3.2510607855637899</v>
      </c>
      <c r="R18" s="21">
        <v>3.1187501721978199E-2</v>
      </c>
      <c r="S18" s="23" t="s">
        <v>9</v>
      </c>
      <c r="T18" s="21">
        <v>0.73621405580063703</v>
      </c>
      <c r="U18" s="24">
        <v>1.09628793931802</v>
      </c>
      <c r="V18" s="25">
        <f t="shared" si="0"/>
        <v>-3.2808797617275198</v>
      </c>
      <c r="W18" s="26">
        <v>386.47789916385102</v>
      </c>
    </row>
    <row r="19" spans="1:23" s="1" customFormat="1" x14ac:dyDescent="0.3">
      <c r="A19" s="31"/>
      <c r="B19" s="12" t="s">
        <v>45</v>
      </c>
      <c r="C19" s="13">
        <v>8.8685528847394508</v>
      </c>
      <c r="D19" s="13">
        <v>1.51786459198449</v>
      </c>
      <c r="E19" s="14">
        <v>0.23816999999999999</v>
      </c>
      <c r="F19" s="15">
        <v>2059.7929280685198</v>
      </c>
      <c r="G19" s="15">
        <v>722.35032755352802</v>
      </c>
      <c r="H19" s="17">
        <v>8262.2428696225106</v>
      </c>
      <c r="I19" s="17">
        <v>604310.51481341105</v>
      </c>
      <c r="J19" s="17">
        <v>662.88049293531196</v>
      </c>
      <c r="K19" s="21">
        <v>0.37928982680831602</v>
      </c>
      <c r="L19" s="18" t="s">
        <v>29</v>
      </c>
      <c r="M19" s="22" t="s">
        <v>9</v>
      </c>
      <c r="N19" s="17">
        <v>111.47983230765099</v>
      </c>
      <c r="O19" s="21">
        <v>1.6518948661481399E-2</v>
      </c>
      <c r="P19" s="22">
        <v>7.2904857221063102</v>
      </c>
      <c r="Q19" s="22">
        <v>4.76188687671754</v>
      </c>
      <c r="R19" s="21">
        <v>0.341453128756878</v>
      </c>
      <c r="S19" s="23">
        <v>3.7559844163256598E-2</v>
      </c>
      <c r="T19" s="22">
        <v>1.40088067419714</v>
      </c>
      <c r="U19" s="24">
        <v>1.7690963454782</v>
      </c>
      <c r="V19" s="25">
        <f t="shared" si="0"/>
        <v>-3.21569501874355</v>
      </c>
      <c r="W19" s="26">
        <v>382.93226378974902</v>
      </c>
    </row>
    <row r="20" spans="1:23" s="1" customFormat="1" x14ac:dyDescent="0.3">
      <c r="A20" s="31"/>
      <c r="B20" s="12" t="s">
        <v>46</v>
      </c>
      <c r="C20" s="13">
        <v>9.0271290904492592</v>
      </c>
      <c r="D20" s="13">
        <v>1.49292400834637</v>
      </c>
      <c r="E20" s="14">
        <v>0.16073999999999999</v>
      </c>
      <c r="F20" s="15">
        <v>2295.7651922016598</v>
      </c>
      <c r="G20" s="15">
        <v>711.98091527440704</v>
      </c>
      <c r="H20" s="17">
        <v>8386.4941227399595</v>
      </c>
      <c r="I20" s="17">
        <v>603139.34826492798</v>
      </c>
      <c r="J20" s="17">
        <v>645.80137873921603</v>
      </c>
      <c r="K20" s="21">
        <v>0.43397852651275298</v>
      </c>
      <c r="L20" s="17">
        <v>451.82612825245502</v>
      </c>
      <c r="M20" s="22" t="s">
        <v>9</v>
      </c>
      <c r="N20" s="17">
        <v>114.882194356082</v>
      </c>
      <c r="O20" s="21">
        <v>1.7941536485700401E-2</v>
      </c>
      <c r="P20" s="22">
        <v>4.5934090793233002</v>
      </c>
      <c r="Q20" s="22">
        <v>2.4610903451589001</v>
      </c>
      <c r="R20" s="21">
        <v>0.17753666993703501</v>
      </c>
      <c r="S20" s="23">
        <v>7.1390406958807898E-3</v>
      </c>
      <c r="T20" s="21">
        <v>0.63405953548941196</v>
      </c>
      <c r="U20" s="24">
        <v>1.06897740946215</v>
      </c>
      <c r="V20" s="25">
        <f t="shared" si="0"/>
        <v>-3.3326468422089701</v>
      </c>
      <c r="W20" s="26">
        <v>389.29724676797002</v>
      </c>
    </row>
    <row r="21" spans="1:23" s="1" customFormat="1" x14ac:dyDescent="0.3">
      <c r="A21" s="31"/>
      <c r="B21" s="12" t="s">
        <v>47</v>
      </c>
      <c r="C21" s="13">
        <v>9.1223450544960496</v>
      </c>
      <c r="D21" s="13">
        <v>2.0106581549756899</v>
      </c>
      <c r="E21" s="14">
        <v>0.18454999999999999</v>
      </c>
      <c r="F21" s="15">
        <v>2263.9742929212398</v>
      </c>
      <c r="G21" s="15">
        <v>703.09829063221298</v>
      </c>
      <c r="H21" s="17">
        <v>8249.0300232643804</v>
      </c>
      <c r="I21" s="17">
        <v>602619.01339881204</v>
      </c>
      <c r="J21" s="17">
        <v>656.78985881434096</v>
      </c>
      <c r="K21" s="21">
        <v>1.29098743747291</v>
      </c>
      <c r="L21" s="18" t="s">
        <v>29</v>
      </c>
      <c r="M21" s="22" t="s">
        <v>9</v>
      </c>
      <c r="N21" s="17">
        <v>133.845021090941</v>
      </c>
      <c r="O21" s="21">
        <v>2.6579153124442201E-2</v>
      </c>
      <c r="P21" s="22">
        <v>5.6860402576931701</v>
      </c>
      <c r="Q21" s="22">
        <v>2.8192887421283301</v>
      </c>
      <c r="R21" s="21">
        <v>5.6006072655074603E-2</v>
      </c>
      <c r="S21" s="23">
        <v>1.4523608671570201E-2</v>
      </c>
      <c r="T21" s="18" t="s">
        <v>29</v>
      </c>
      <c r="U21" s="18" t="s">
        <v>29</v>
      </c>
      <c r="V21" s="25">
        <f t="shared" si="0"/>
        <v>-3.23659604422848</v>
      </c>
      <c r="W21" s="26">
        <v>384.07018779920401</v>
      </c>
    </row>
    <row r="22" spans="1:23" s="1" customFormat="1" x14ac:dyDescent="0.3">
      <c r="A22" s="31"/>
      <c r="B22" s="12" t="s">
        <v>48</v>
      </c>
      <c r="C22" s="13">
        <v>8.9624366215212508</v>
      </c>
      <c r="D22" s="13">
        <v>1.7849484592240401</v>
      </c>
      <c r="E22" s="14">
        <v>0.1512</v>
      </c>
      <c r="F22" s="15">
        <v>2379.10258288249</v>
      </c>
      <c r="G22" s="15">
        <v>709.03233302556998</v>
      </c>
      <c r="H22" s="17">
        <v>8134.2739035284503</v>
      </c>
      <c r="I22" s="17">
        <v>603790.93056363706</v>
      </c>
      <c r="J22" s="17">
        <v>614.40720564601497</v>
      </c>
      <c r="K22" s="21">
        <v>0.37864196340662098</v>
      </c>
      <c r="L22" s="17">
        <v>430.77517955053798</v>
      </c>
      <c r="M22" s="22" t="s">
        <v>9</v>
      </c>
      <c r="N22" s="17">
        <v>116.11065134020799</v>
      </c>
      <c r="O22" s="21">
        <v>2.3315391835383101E-2</v>
      </c>
      <c r="P22" s="22">
        <v>4.1687920601664903</v>
      </c>
      <c r="Q22" s="22">
        <v>2.3390001089256298</v>
      </c>
      <c r="R22" s="21" t="s">
        <v>9</v>
      </c>
      <c r="S22" s="23" t="s">
        <v>9</v>
      </c>
      <c r="T22" s="21">
        <v>0.491488459889875</v>
      </c>
      <c r="U22" s="23">
        <v>0.68267467294001605</v>
      </c>
      <c r="V22" s="25">
        <f t="shared" si="0"/>
        <v>-3.3108591290070999</v>
      </c>
      <c r="W22" s="26">
        <v>388.11001940324599</v>
      </c>
    </row>
    <row r="23" spans="1:23" s="1" customFormat="1" x14ac:dyDescent="0.3">
      <c r="A23" s="31"/>
      <c r="B23" s="12" t="s">
        <v>49</v>
      </c>
      <c r="C23" s="15">
        <v>9.9853814589044099</v>
      </c>
      <c r="D23" s="13">
        <v>0.96569100244838202</v>
      </c>
      <c r="E23" s="14">
        <v>0.13788</v>
      </c>
      <c r="F23" s="15">
        <v>3870.5042595649302</v>
      </c>
      <c r="G23" s="15">
        <v>402.62757892705702</v>
      </c>
      <c r="H23" s="17">
        <v>8720.8435571888404</v>
      </c>
      <c r="I23" s="17">
        <v>596421.32751416601</v>
      </c>
      <c r="J23" s="17">
        <v>542.286220957566</v>
      </c>
      <c r="K23" s="21">
        <v>8.8320231426313803E-2</v>
      </c>
      <c r="L23" s="17">
        <v>259.34976192950501</v>
      </c>
      <c r="M23" s="22" t="s">
        <v>9</v>
      </c>
      <c r="N23" s="17">
        <v>22.9632601708416</v>
      </c>
      <c r="O23" s="21">
        <v>3.7406215662909401E-2</v>
      </c>
      <c r="P23" s="22">
        <v>6.0681194297608503</v>
      </c>
      <c r="Q23" s="22">
        <v>7.4292900552722703</v>
      </c>
      <c r="R23" s="21" t="s">
        <v>9</v>
      </c>
      <c r="S23" s="23" t="s">
        <v>9</v>
      </c>
      <c r="T23" s="21">
        <v>0.23482790943937501</v>
      </c>
      <c r="U23" s="23">
        <v>0.35951529498240697</v>
      </c>
      <c r="V23" s="25">
        <f t="shared" si="0"/>
        <v>-3.54702665881101</v>
      </c>
      <c r="W23" s="26">
        <v>400.96467322498302</v>
      </c>
    </row>
    <row r="24" spans="1:23" s="1" customFormat="1" x14ac:dyDescent="0.3">
      <c r="A24" s="31"/>
      <c r="B24" s="12" t="s">
        <v>50</v>
      </c>
      <c r="C24" s="15">
        <v>10.0717116106311</v>
      </c>
      <c r="D24" s="13">
        <v>1.25930702411166</v>
      </c>
      <c r="E24" s="14">
        <v>0.17287</v>
      </c>
      <c r="F24" s="15">
        <v>4350.43443243805</v>
      </c>
      <c r="G24" s="15">
        <v>395.57824475515002</v>
      </c>
      <c r="H24" s="17">
        <v>8652.6587988938809</v>
      </c>
      <c r="I24" s="17">
        <v>595900.86992139998</v>
      </c>
      <c r="J24" s="17">
        <v>539.42871654441399</v>
      </c>
      <c r="K24" s="21" t="s">
        <v>9</v>
      </c>
      <c r="L24" s="17">
        <v>254.046086827989</v>
      </c>
      <c r="M24" s="22" t="s">
        <v>9</v>
      </c>
      <c r="N24" s="17">
        <v>22.2604739448287</v>
      </c>
      <c r="O24" s="21">
        <v>5.2402245632835999E-2</v>
      </c>
      <c r="P24" s="22">
        <v>5.7747274687385302</v>
      </c>
      <c r="Q24" s="17">
        <v>10.354683737048401</v>
      </c>
      <c r="R24" s="21">
        <v>3.1441347379701598E-2</v>
      </c>
      <c r="S24" s="23" t="s">
        <v>9</v>
      </c>
      <c r="T24" s="21">
        <v>0.45065931244238999</v>
      </c>
      <c r="U24" s="23">
        <v>0.68018114831421095</v>
      </c>
      <c r="V24" s="25">
        <f t="shared" si="0"/>
        <v>-3.4636652448718799</v>
      </c>
      <c r="W24" s="26">
        <v>396.428099690512</v>
      </c>
    </row>
    <row r="25" spans="1:23" s="1" customFormat="1" x14ac:dyDescent="0.3">
      <c r="A25" s="31"/>
      <c r="B25" s="12" t="s">
        <v>51</v>
      </c>
      <c r="C25" s="15">
        <v>10.027475541316999</v>
      </c>
      <c r="D25" s="13">
        <v>0.95594892264549503</v>
      </c>
      <c r="E25" s="14">
        <v>0.15865000000000001</v>
      </c>
      <c r="F25" s="15">
        <v>3670.82819504195</v>
      </c>
      <c r="G25" s="15">
        <v>408.20807482187701</v>
      </c>
      <c r="H25" s="17">
        <v>8704.3913595906506</v>
      </c>
      <c r="I25" s="17">
        <v>596153.07241821999</v>
      </c>
      <c r="J25" s="17">
        <v>544.363578554117</v>
      </c>
      <c r="K25" s="21">
        <v>8.0345017344579203E-2</v>
      </c>
      <c r="L25" s="18" t="s">
        <v>29</v>
      </c>
      <c r="M25" s="22" t="s">
        <v>9</v>
      </c>
      <c r="N25" s="17">
        <v>22.2253099927213</v>
      </c>
      <c r="O25" s="21">
        <v>2.9216369943483401E-2</v>
      </c>
      <c r="P25" s="18" t="s">
        <v>29</v>
      </c>
      <c r="Q25" s="22">
        <v>5.4154628573813799</v>
      </c>
      <c r="R25" s="21">
        <v>0.32346695294570899</v>
      </c>
      <c r="S25" s="23" t="s">
        <v>9</v>
      </c>
      <c r="T25" s="18" t="s">
        <v>29</v>
      </c>
      <c r="U25" s="18" t="s">
        <v>29</v>
      </c>
      <c r="V25" s="25">
        <f t="shared" si="0"/>
        <v>-3.5107271273798699</v>
      </c>
      <c r="W25" s="26">
        <v>398.98129130537097</v>
      </c>
    </row>
    <row r="26" spans="1:23" s="1" customFormat="1" x14ac:dyDescent="0.3">
      <c r="A26" s="31"/>
      <c r="B26" s="12" t="s">
        <v>52</v>
      </c>
      <c r="C26" s="15">
        <v>10.053993771326301</v>
      </c>
      <c r="D26" s="13">
        <v>1.20771368315711</v>
      </c>
      <c r="E26" s="14">
        <v>0.16664000000000001</v>
      </c>
      <c r="F26" s="15">
        <v>4004.8582889320701</v>
      </c>
      <c r="G26" s="15">
        <v>402.13211564513102</v>
      </c>
      <c r="H26" s="17">
        <v>8691.8397765014706</v>
      </c>
      <c r="I26" s="17">
        <v>595985.96445357904</v>
      </c>
      <c r="J26" s="17">
        <v>551.34804552434696</v>
      </c>
      <c r="K26" s="21">
        <v>0.119266939639043</v>
      </c>
      <c r="L26" s="17">
        <v>257.88860193880703</v>
      </c>
      <c r="M26" s="22" t="s">
        <v>9</v>
      </c>
      <c r="N26" s="17">
        <v>21.342504988039199</v>
      </c>
      <c r="O26" s="21">
        <v>2.82474330724049E-2</v>
      </c>
      <c r="P26" s="22">
        <v>5.7436447247223201</v>
      </c>
      <c r="Q26" s="22">
        <v>9.6355132813647693</v>
      </c>
      <c r="R26" s="21">
        <v>2.6155030622597102E-2</v>
      </c>
      <c r="S26" s="23" t="s">
        <v>9</v>
      </c>
      <c r="T26" s="21">
        <v>3.5780081891712799E-2</v>
      </c>
      <c r="U26" s="23">
        <v>7.6058829050512394E-2</v>
      </c>
      <c r="V26" s="25">
        <f t="shared" si="0"/>
        <v>-3.4653815371757002</v>
      </c>
      <c r="W26" s="26">
        <v>396.51535305951398</v>
      </c>
    </row>
    <row r="27" spans="1:23" s="1" customFormat="1" x14ac:dyDescent="0.3">
      <c r="A27" s="31"/>
      <c r="B27" s="12" t="s">
        <v>53</v>
      </c>
      <c r="C27" s="15">
        <v>9.9891737798195805</v>
      </c>
      <c r="D27" s="13">
        <v>1.01125463143522</v>
      </c>
      <c r="E27" s="14">
        <v>0.18087</v>
      </c>
      <c r="F27" s="15">
        <v>4024.7742846473898</v>
      </c>
      <c r="G27" s="15">
        <v>396.090560205815</v>
      </c>
      <c r="H27" s="17">
        <v>8629.5651113488202</v>
      </c>
      <c r="I27" s="17">
        <v>596474.59805617097</v>
      </c>
      <c r="J27" s="17">
        <v>551.95122550303802</v>
      </c>
      <c r="K27" s="21">
        <v>0.189181022677124</v>
      </c>
      <c r="L27" s="17">
        <v>253.10757704329501</v>
      </c>
      <c r="M27" s="22" t="s">
        <v>9</v>
      </c>
      <c r="N27" s="17">
        <v>21.620688305957099</v>
      </c>
      <c r="O27" s="21">
        <v>5.3012264596336997E-2</v>
      </c>
      <c r="P27" s="22">
        <v>5.8417436672826302</v>
      </c>
      <c r="Q27" s="17">
        <v>11.174153811973</v>
      </c>
      <c r="R27" s="21" t="s">
        <v>9</v>
      </c>
      <c r="S27" s="23" t="s">
        <v>9</v>
      </c>
      <c r="T27" s="21">
        <v>6.6525194787560193E-2</v>
      </c>
      <c r="U27" s="23">
        <v>0.10602452919267399</v>
      </c>
      <c r="V27" s="25">
        <f t="shared" si="0"/>
        <v>-3.4834974995823198</v>
      </c>
      <c r="W27" s="26">
        <v>397.50163021001703</v>
      </c>
    </row>
    <row r="28" spans="1:23" s="1" customFormat="1" x14ac:dyDescent="0.3">
      <c r="A28" s="31"/>
      <c r="B28" s="12" t="s">
        <v>54</v>
      </c>
      <c r="C28" s="15">
        <v>10.1097665701616</v>
      </c>
      <c r="D28" s="13">
        <v>1.50896048980963</v>
      </c>
      <c r="E28" s="14">
        <v>0.12163</v>
      </c>
      <c r="F28" s="15">
        <v>4346.8840237156901</v>
      </c>
      <c r="G28" s="15">
        <v>385.45109041354698</v>
      </c>
      <c r="H28" s="17">
        <v>8693.7680474313893</v>
      </c>
      <c r="I28" s="17">
        <v>595610.076982987</v>
      </c>
      <c r="J28" s="17">
        <v>525.68682155148394</v>
      </c>
      <c r="K28" s="21" t="s">
        <v>9</v>
      </c>
      <c r="L28" s="17">
        <v>285.09331326886598</v>
      </c>
      <c r="M28" s="22" t="s">
        <v>9</v>
      </c>
      <c r="N28" s="17">
        <v>21.2084176955732</v>
      </c>
      <c r="O28" s="21">
        <v>3.5768164764359497E-2</v>
      </c>
      <c r="P28" s="22">
        <v>8.9525612395499898</v>
      </c>
      <c r="Q28" s="17">
        <v>11.8245344691589</v>
      </c>
      <c r="R28" s="21">
        <v>0.170424785053713</v>
      </c>
      <c r="S28" s="23" t="s">
        <v>9</v>
      </c>
      <c r="T28" s="22">
        <v>2.1155817453272601</v>
      </c>
      <c r="U28" s="24">
        <v>1.6116714240882</v>
      </c>
      <c r="V28" s="25">
        <f t="shared" si="0"/>
        <v>-3.4998571998252999</v>
      </c>
      <c r="W28" s="26">
        <v>398.38615183038098</v>
      </c>
    </row>
    <row r="29" spans="1:23" s="1" customFormat="1" x14ac:dyDescent="0.3">
      <c r="A29" s="31"/>
      <c r="B29" s="12" t="s">
        <v>55</v>
      </c>
      <c r="C29" s="13">
        <v>9.9280608140374902</v>
      </c>
      <c r="D29" s="14">
        <v>0.909855660763771</v>
      </c>
      <c r="E29" s="14">
        <v>0.17551</v>
      </c>
      <c r="F29" s="15">
        <v>3967.0919381793901</v>
      </c>
      <c r="G29" s="15">
        <v>387.24784478773302</v>
      </c>
      <c r="H29" s="17">
        <v>8544.7441199692094</v>
      </c>
      <c r="I29" s="17">
        <v>596957.80163489399</v>
      </c>
      <c r="J29" s="17">
        <v>541.13613469228301</v>
      </c>
      <c r="K29" s="21">
        <v>4.5456261791638898E-2</v>
      </c>
      <c r="L29" s="18" t="s">
        <v>29</v>
      </c>
      <c r="M29" s="22" t="s">
        <v>9</v>
      </c>
      <c r="N29" s="17">
        <v>22.211582466368998</v>
      </c>
      <c r="O29" s="21">
        <v>4.8555552368341498E-2</v>
      </c>
      <c r="P29" s="22">
        <v>7.29366382384024</v>
      </c>
      <c r="Q29" s="22">
        <v>7.0870444520600602</v>
      </c>
      <c r="R29" s="21">
        <v>8.1614651853169795E-2</v>
      </c>
      <c r="S29" s="23" t="s">
        <v>9</v>
      </c>
      <c r="T29" s="22">
        <v>1.5496452883513301</v>
      </c>
      <c r="U29" s="24">
        <v>1.1983923563250201</v>
      </c>
      <c r="V29" s="25">
        <f t="shared" si="0"/>
        <v>-3.5059456088707699</v>
      </c>
      <c r="W29" s="26">
        <v>398.71970617203601</v>
      </c>
    </row>
    <row r="30" spans="1:23" s="1" customFormat="1" x14ac:dyDescent="0.3">
      <c r="A30" s="31"/>
      <c r="B30" s="12" t="s">
        <v>56</v>
      </c>
      <c r="C30" s="15">
        <v>10.0040041897003</v>
      </c>
      <c r="D30" s="13">
        <v>1.2098407366133599</v>
      </c>
      <c r="E30" s="14">
        <v>0.12218999999999999</v>
      </c>
      <c r="F30" s="15">
        <v>4025.5446619741001</v>
      </c>
      <c r="G30" s="15">
        <v>370.03630148860299</v>
      </c>
      <c r="H30" s="17">
        <v>8694.4269502993702</v>
      </c>
      <c r="I30" s="17">
        <v>596319.15365938202</v>
      </c>
      <c r="J30" s="17">
        <v>517.06439969033704</v>
      </c>
      <c r="K30" s="21">
        <v>4.2680975211000297E-2</v>
      </c>
      <c r="L30" s="17">
        <v>244.426658037631</v>
      </c>
      <c r="M30" s="21">
        <v>7.0787958886536995E-2</v>
      </c>
      <c r="N30" s="17">
        <v>24.359385852131901</v>
      </c>
      <c r="O30" s="21">
        <v>5.2049969769512497E-2</v>
      </c>
      <c r="P30" s="22">
        <v>4.9062301504742498</v>
      </c>
      <c r="Q30" s="22">
        <v>8.8172648789554202</v>
      </c>
      <c r="R30" s="21" t="s">
        <v>9</v>
      </c>
      <c r="S30" s="23" t="s">
        <v>9</v>
      </c>
      <c r="T30" s="21">
        <v>7.7033955258878503E-2</v>
      </c>
      <c r="U30" s="23">
        <v>9.2648946189732295E-2</v>
      </c>
      <c r="V30" s="25">
        <f t="shared" si="0"/>
        <v>-3.5241194760320198</v>
      </c>
      <c r="W30" s="26">
        <v>399.712796383566</v>
      </c>
    </row>
    <row r="31" spans="1:23" s="1" customFormat="1" x14ac:dyDescent="0.3">
      <c r="A31" s="31"/>
      <c r="B31" s="12" t="s">
        <v>57</v>
      </c>
      <c r="C31" s="15">
        <v>10.025186273706799</v>
      </c>
      <c r="D31" s="13">
        <v>2.2215505747146298</v>
      </c>
      <c r="E31" s="14">
        <v>0.14499000000000001</v>
      </c>
      <c r="F31" s="15">
        <v>4148.8205838222802</v>
      </c>
      <c r="G31" s="15">
        <v>370.39089225058598</v>
      </c>
      <c r="H31" s="17">
        <v>8678.4104694034504</v>
      </c>
      <c r="I31" s="17">
        <v>596190.83823344996</v>
      </c>
      <c r="J31" s="17">
        <v>521.28882216142597</v>
      </c>
      <c r="K31" s="21" t="s">
        <v>9</v>
      </c>
      <c r="L31" s="17">
        <v>241.397305279476</v>
      </c>
      <c r="M31" s="22" t="s">
        <v>9</v>
      </c>
      <c r="N31" s="17">
        <v>21.698634182424801</v>
      </c>
      <c r="O31" s="21">
        <v>4.3814549791434697E-2</v>
      </c>
      <c r="P31" s="22">
        <v>4.9979882869229399</v>
      </c>
      <c r="Q31" s="17">
        <v>12.0281371213153</v>
      </c>
      <c r="R31" s="21">
        <v>2.6080089161568301E-2</v>
      </c>
      <c r="S31" s="23" t="s">
        <v>9</v>
      </c>
      <c r="T31" s="21">
        <v>0.212813527558397</v>
      </c>
      <c r="U31" s="23">
        <v>0.25141205951751799</v>
      </c>
      <c r="V31" s="25">
        <f t="shared" si="0"/>
        <v>-3.3596936925077201</v>
      </c>
      <c r="W31" s="26">
        <v>390.76206322269599</v>
      </c>
    </row>
    <row r="32" spans="1:23" s="1" customFormat="1" x14ac:dyDescent="0.3">
      <c r="A32" s="31"/>
      <c r="B32" s="12" t="s">
        <v>58</v>
      </c>
      <c r="C32" s="15">
        <v>9.9848662945364204</v>
      </c>
      <c r="D32" s="13">
        <v>1.3392636791788699</v>
      </c>
      <c r="E32" s="14">
        <v>0.16950999999999999</v>
      </c>
      <c r="F32" s="15">
        <v>4110.3154069912698</v>
      </c>
      <c r="G32" s="15">
        <v>372.13021158341797</v>
      </c>
      <c r="H32" s="17">
        <v>8660.1311722123901</v>
      </c>
      <c r="I32" s="17">
        <v>596477.14102550701</v>
      </c>
      <c r="J32" s="17">
        <v>532.49156877730695</v>
      </c>
      <c r="K32" s="21">
        <v>0.10701781772500001</v>
      </c>
      <c r="L32" s="17">
        <v>245.72537759186901</v>
      </c>
      <c r="M32" s="21">
        <v>7.3769563674514704E-2</v>
      </c>
      <c r="N32" s="17">
        <v>22.858174659708801</v>
      </c>
      <c r="O32" s="21">
        <v>2.7014206416019499E-2</v>
      </c>
      <c r="P32" s="22">
        <v>5.33011072746846</v>
      </c>
      <c r="Q32" s="17">
        <v>13.444762731665101</v>
      </c>
      <c r="R32" s="21" t="s">
        <v>9</v>
      </c>
      <c r="S32" s="23" t="s">
        <v>9</v>
      </c>
      <c r="T32" s="21">
        <v>4.4677341380339901E-2</v>
      </c>
      <c r="U32" s="23">
        <v>7.6574885110024402E-2</v>
      </c>
      <c r="V32" s="25">
        <f t="shared" si="0"/>
        <v>-3.4337706499261298</v>
      </c>
      <c r="W32" s="26">
        <v>394.79438460673998</v>
      </c>
    </row>
    <row r="33" spans="1:23" s="1" customFormat="1" x14ac:dyDescent="0.3">
      <c r="A33" s="31"/>
      <c r="B33" s="12" t="s">
        <v>59</v>
      </c>
      <c r="C33" s="15">
        <v>10.0103515788694</v>
      </c>
      <c r="D33" s="14">
        <v>0.42677425204208502</v>
      </c>
      <c r="E33" s="14">
        <v>0.13482</v>
      </c>
      <c r="F33" s="15">
        <v>4593.7201314062504</v>
      </c>
      <c r="G33" s="15">
        <v>284.72253068828797</v>
      </c>
      <c r="H33" s="17">
        <v>8508.2780120921198</v>
      </c>
      <c r="I33" s="17">
        <v>596437.094158964</v>
      </c>
      <c r="J33" s="17">
        <v>511.55917381714499</v>
      </c>
      <c r="K33" s="21">
        <v>0.235415135985899</v>
      </c>
      <c r="L33" s="17">
        <v>202.08201938612501</v>
      </c>
      <c r="M33" s="22" t="s">
        <v>9</v>
      </c>
      <c r="N33" s="17">
        <v>18.8540440767467</v>
      </c>
      <c r="O33" s="21">
        <v>5.3124654580888601E-2</v>
      </c>
      <c r="P33" s="22">
        <v>8.1874467648193097</v>
      </c>
      <c r="Q33" s="17">
        <v>11.124927665174299</v>
      </c>
      <c r="R33" s="21" t="s">
        <v>9</v>
      </c>
      <c r="S33" s="23" t="s">
        <v>9</v>
      </c>
      <c r="T33" s="21">
        <v>7.0832872774518205E-2</v>
      </c>
      <c r="U33" s="23">
        <v>8.6041107223164701E-2</v>
      </c>
      <c r="V33" s="25">
        <f t="shared" si="0"/>
        <v>-3.7321491586906101</v>
      </c>
      <c r="W33" s="26">
        <v>411.03487590600503</v>
      </c>
    </row>
    <row r="34" spans="1:23" s="1" customFormat="1" x14ac:dyDescent="0.3">
      <c r="A34" s="31"/>
      <c r="B34" s="12" t="s">
        <v>60</v>
      </c>
      <c r="C34" s="15">
        <v>10.040184163646</v>
      </c>
      <c r="D34" s="14">
        <v>0.44358746128753901</v>
      </c>
      <c r="E34" s="14">
        <v>0.13483000000000001</v>
      </c>
      <c r="F34" s="15">
        <v>5201.88105627401</v>
      </c>
      <c r="G34" s="15">
        <v>284.41752901931699</v>
      </c>
      <c r="H34" s="17">
        <v>8335.12895500181</v>
      </c>
      <c r="I34" s="17">
        <v>596386.24281108903</v>
      </c>
      <c r="J34" s="17">
        <v>508.80017561868698</v>
      </c>
      <c r="K34" s="21">
        <v>0.43566668014988202</v>
      </c>
      <c r="L34" s="17">
        <v>194.848527213316</v>
      </c>
      <c r="M34" s="22" t="s">
        <v>9</v>
      </c>
      <c r="N34" s="17">
        <v>19.0147088218893</v>
      </c>
      <c r="O34" s="21">
        <v>4.5969625723248898E-2</v>
      </c>
      <c r="P34" s="22">
        <v>5.0984493983967001</v>
      </c>
      <c r="Q34" s="17">
        <v>10.8551002560126</v>
      </c>
      <c r="R34" s="21" t="s">
        <v>9</v>
      </c>
      <c r="S34" s="23" t="s">
        <v>9</v>
      </c>
      <c r="T34" s="21">
        <v>5.85067963750441E-2</v>
      </c>
      <c r="U34" s="23">
        <v>6.2581376836877506E-2</v>
      </c>
      <c r="V34" s="25">
        <f t="shared" si="0"/>
        <v>-3.7494919538549398</v>
      </c>
      <c r="W34" s="26">
        <v>411.96461919074602</v>
      </c>
    </row>
    <row r="35" spans="1:23" s="1" customFormat="1" x14ac:dyDescent="0.3">
      <c r="A35" s="31"/>
      <c r="B35" s="12" t="s">
        <v>61</v>
      </c>
      <c r="C35" s="15">
        <v>10.1101147675944</v>
      </c>
      <c r="D35" s="14">
        <v>0.46226336740942098</v>
      </c>
      <c r="E35" s="14">
        <v>0.16181000000000001</v>
      </c>
      <c r="F35" s="15">
        <v>5229.6962028836397</v>
      </c>
      <c r="G35" s="15">
        <v>286.80732970010502</v>
      </c>
      <c r="H35" s="17">
        <v>8260.6265510042995</v>
      </c>
      <c r="I35" s="17">
        <v>595981.27115944203</v>
      </c>
      <c r="J35" s="17">
        <v>505.61094248760401</v>
      </c>
      <c r="K35" s="21">
        <v>0.56389401825500596</v>
      </c>
      <c r="L35" s="17">
        <v>196.10045709465101</v>
      </c>
      <c r="M35" s="21">
        <v>7.6798998754879499E-2</v>
      </c>
      <c r="N35" s="17">
        <v>18.515922987477801</v>
      </c>
      <c r="O35" s="21">
        <v>6.6278587966539806E-2</v>
      </c>
      <c r="P35" s="22">
        <v>5.2181237510164697</v>
      </c>
      <c r="Q35" s="17">
        <v>15.3808405725526</v>
      </c>
      <c r="R35" s="21">
        <v>3.1561232365019003E-2</v>
      </c>
      <c r="S35" s="23" t="s">
        <v>9</v>
      </c>
      <c r="T35" s="18" t="s">
        <v>29</v>
      </c>
      <c r="U35" s="18" t="s">
        <v>29</v>
      </c>
      <c r="V35" s="25">
        <f t="shared" si="0"/>
        <v>-3.7047608742784299</v>
      </c>
      <c r="W35" s="26">
        <v>409.54327680969698</v>
      </c>
    </row>
    <row r="36" spans="1:23" s="1" customFormat="1" x14ac:dyDescent="0.3">
      <c r="A36" s="31"/>
      <c r="B36" s="12" t="s">
        <v>62</v>
      </c>
      <c r="C36" s="13">
        <v>9.9048386012647907</v>
      </c>
      <c r="D36" s="14">
        <v>0.67559415151674995</v>
      </c>
      <c r="E36" s="14">
        <v>0.16935</v>
      </c>
      <c r="F36" s="15">
        <v>4848.3205806815304</v>
      </c>
      <c r="G36" s="15">
        <v>301.79265327852301</v>
      </c>
      <c r="H36" s="17">
        <v>8352.6339255618896</v>
      </c>
      <c r="I36" s="17">
        <v>597279.28922299098</v>
      </c>
      <c r="J36" s="17">
        <v>513.07270090630698</v>
      </c>
      <c r="K36" s="21">
        <v>0.430824405341174</v>
      </c>
      <c r="L36" s="17">
        <v>207.372895585273</v>
      </c>
      <c r="M36" s="22" t="s">
        <v>9</v>
      </c>
      <c r="N36" s="17">
        <v>18.160588569644698</v>
      </c>
      <c r="O36" s="21">
        <v>5.0503339382099298E-2</v>
      </c>
      <c r="P36" s="22">
        <v>4.6143561308909904</v>
      </c>
      <c r="Q36" s="17">
        <v>11.6879156855716</v>
      </c>
      <c r="R36" s="21" t="s">
        <v>9</v>
      </c>
      <c r="S36" s="23" t="s">
        <v>9</v>
      </c>
      <c r="T36" s="21">
        <v>0.117497565093047</v>
      </c>
      <c r="U36" s="23">
        <v>9.3173507757995502E-2</v>
      </c>
      <c r="V36" s="25">
        <f t="shared" ref="V36:V58" si="1">LN((D36^0.22*E36^0.22)/(C36^0.37*F36^0.2*G36^0.1))</f>
        <v>-3.5936193023845999</v>
      </c>
      <c r="W36" s="26">
        <v>403.495906888045</v>
      </c>
    </row>
    <row r="37" spans="1:23" s="1" customFormat="1" x14ac:dyDescent="0.3">
      <c r="A37" s="31"/>
      <c r="B37" s="12" t="s">
        <v>63</v>
      </c>
      <c r="C37" s="15">
        <v>9.9723567027437703</v>
      </c>
      <c r="D37" s="14">
        <v>0.22525456934594301</v>
      </c>
      <c r="E37" s="14">
        <v>0.14968000000000001</v>
      </c>
      <c r="F37" s="15">
        <v>4223.46428513706</v>
      </c>
      <c r="G37" s="15">
        <v>332.914121359766</v>
      </c>
      <c r="H37" s="17">
        <v>8621.2632139849302</v>
      </c>
      <c r="I37" s="17">
        <v>596594.59670680901</v>
      </c>
      <c r="J37" s="17">
        <v>542.82411979243102</v>
      </c>
      <c r="K37" s="21">
        <v>0.37253653031061501</v>
      </c>
      <c r="L37" s="17">
        <v>225.078477505216</v>
      </c>
      <c r="M37" s="22" t="s">
        <v>9</v>
      </c>
      <c r="N37" s="17">
        <v>25.838884692853298</v>
      </c>
      <c r="O37" s="21">
        <v>3.3206598802060401E-2</v>
      </c>
      <c r="P37" s="22">
        <v>5.0847604415654999</v>
      </c>
      <c r="Q37" s="17">
        <v>12.2449333082598</v>
      </c>
      <c r="R37" s="21" t="s">
        <v>9</v>
      </c>
      <c r="S37" s="23" t="s">
        <v>9</v>
      </c>
      <c r="T37" s="21">
        <v>4.8772191990526202E-2</v>
      </c>
      <c r="U37" s="23">
        <v>6.9526316241814004E-2</v>
      </c>
      <c r="V37" s="25">
        <f t="shared" si="1"/>
        <v>-3.847154453281</v>
      </c>
      <c r="W37" s="26">
        <v>417.28540927889799</v>
      </c>
    </row>
    <row r="38" spans="1:23" s="1" customFormat="1" x14ac:dyDescent="0.3">
      <c r="A38" s="31"/>
      <c r="B38" s="12" t="s">
        <v>64</v>
      </c>
      <c r="C38" s="15">
        <v>10.0221251384762</v>
      </c>
      <c r="D38" s="14">
        <v>0.348303436130594</v>
      </c>
      <c r="E38" s="14">
        <v>0.18</v>
      </c>
      <c r="F38" s="15">
        <v>5189.3959093712201</v>
      </c>
      <c r="G38" s="15">
        <v>301.28246551092701</v>
      </c>
      <c r="H38" s="17">
        <v>8308.6650341560508</v>
      </c>
      <c r="I38" s="17">
        <v>596530.23717048601</v>
      </c>
      <c r="J38" s="17">
        <v>505.90352806189298</v>
      </c>
      <c r="K38" s="21">
        <v>0.280536073074931</v>
      </c>
      <c r="L38" s="17">
        <v>197.522424685472</v>
      </c>
      <c r="M38" s="22" t="s">
        <v>9</v>
      </c>
      <c r="N38" s="17">
        <v>22.734893654399599</v>
      </c>
      <c r="O38" s="21">
        <v>6.15302167710816E-2</v>
      </c>
      <c r="P38" s="22">
        <v>3.7512574529759402</v>
      </c>
      <c r="Q38" s="17">
        <v>12.2121837015147</v>
      </c>
      <c r="R38" s="21" t="s">
        <v>9</v>
      </c>
      <c r="S38" s="23" t="s">
        <v>9</v>
      </c>
      <c r="T38" s="21">
        <v>9.1773882641613194E-2</v>
      </c>
      <c r="U38" s="23">
        <v>0.11680312336205299</v>
      </c>
      <c r="V38" s="25">
        <f t="shared" si="1"/>
        <v>-3.74373907608719</v>
      </c>
      <c r="W38" s="26">
        <v>411.65347302294703</v>
      </c>
    </row>
    <row r="39" spans="1:23" s="1" customFormat="1" x14ac:dyDescent="0.3">
      <c r="A39" s="31"/>
      <c r="B39" s="12" t="s">
        <v>65</v>
      </c>
      <c r="C39" s="15">
        <v>10.0914902457107</v>
      </c>
      <c r="D39" s="14">
        <v>0.52597848155451499</v>
      </c>
      <c r="E39" s="14">
        <v>0.14885999999999999</v>
      </c>
      <c r="F39" s="15">
        <v>5316.6717080159397</v>
      </c>
      <c r="G39" s="15">
        <v>294.83212646726997</v>
      </c>
      <c r="H39" s="17">
        <v>8258.0103321819806</v>
      </c>
      <c r="I39" s="17">
        <v>596108.494222868</v>
      </c>
      <c r="J39" s="17">
        <v>506.88473898070202</v>
      </c>
      <c r="K39" s="21">
        <v>0.437892969038642</v>
      </c>
      <c r="L39" s="17">
        <v>200.14964004500101</v>
      </c>
      <c r="M39" s="22" t="s">
        <v>9</v>
      </c>
      <c r="N39" s="17">
        <v>22.997256647353201</v>
      </c>
      <c r="O39" s="21">
        <v>5.0404946076390497E-2</v>
      </c>
      <c r="P39" s="22">
        <v>3.93158579395846</v>
      </c>
      <c r="Q39" s="17">
        <v>11.057585045508199</v>
      </c>
      <c r="R39" s="21" t="s">
        <v>9</v>
      </c>
      <c r="S39" s="23" t="s">
        <v>9</v>
      </c>
      <c r="T39" s="21">
        <v>7.4557316071327595E-2</v>
      </c>
      <c r="U39" s="23">
        <v>9.8709686066264707E-2</v>
      </c>
      <c r="V39" s="25">
        <f t="shared" si="1"/>
        <v>-3.7000810761712501</v>
      </c>
      <c r="W39" s="26">
        <v>409.28817892887798</v>
      </c>
    </row>
    <row r="40" spans="1:23" s="1" customFormat="1" x14ac:dyDescent="0.3">
      <c r="A40" s="31"/>
      <c r="B40" s="12" t="s">
        <v>66</v>
      </c>
      <c r="C40" s="15">
        <v>10.061046026330599</v>
      </c>
      <c r="D40" s="14">
        <v>0.34402466178921098</v>
      </c>
      <c r="E40" s="14">
        <v>0.15437000000000001</v>
      </c>
      <c r="F40" s="15">
        <v>5104.8554031621297</v>
      </c>
      <c r="G40" s="15">
        <v>296.25560868405</v>
      </c>
      <c r="H40" s="17">
        <v>8354.5418616148108</v>
      </c>
      <c r="I40" s="17">
        <v>596229.52258015506</v>
      </c>
      <c r="J40" s="17">
        <v>514.25450656957298</v>
      </c>
      <c r="K40" s="21">
        <v>0.21357475435706999</v>
      </c>
      <c r="L40" s="17">
        <v>233.15244017313501</v>
      </c>
      <c r="M40" s="22" t="s">
        <v>9</v>
      </c>
      <c r="N40" s="17">
        <v>18.740137759762501</v>
      </c>
      <c r="O40" s="21">
        <v>4.0830467744733999E-2</v>
      </c>
      <c r="P40" s="22">
        <v>8.5325208235790395</v>
      </c>
      <c r="Q40" s="17">
        <v>10.9823488882631</v>
      </c>
      <c r="R40" s="21" t="s">
        <v>9</v>
      </c>
      <c r="S40" s="23" t="s">
        <v>9</v>
      </c>
      <c r="T40" s="22">
        <v>1.7274428661233601</v>
      </c>
      <c r="U40" s="23">
        <v>9.9458831685890606E-2</v>
      </c>
      <c r="V40" s="25">
        <f t="shared" si="1"/>
        <v>-3.7767179412709</v>
      </c>
      <c r="W40" s="26">
        <v>413.44906854201002</v>
      </c>
    </row>
    <row r="41" spans="1:23" s="1" customFormat="1" x14ac:dyDescent="0.3">
      <c r="A41" s="31"/>
      <c r="B41" s="12" t="s">
        <v>67</v>
      </c>
      <c r="C41" s="15">
        <v>10.0157981326326</v>
      </c>
      <c r="D41" s="14">
        <v>0.33909483068608498</v>
      </c>
      <c r="E41" s="14">
        <v>0.10791000000000001</v>
      </c>
      <c r="F41" s="15">
        <v>4390.9008879064704</v>
      </c>
      <c r="G41" s="15">
        <v>346.92720532464301</v>
      </c>
      <c r="H41" s="17">
        <v>8593.1587516707405</v>
      </c>
      <c r="I41" s="17">
        <v>596327.349797567</v>
      </c>
      <c r="J41" s="17">
        <v>531.95248354793705</v>
      </c>
      <c r="K41" s="21">
        <v>0.13653169150623001</v>
      </c>
      <c r="L41" s="17">
        <v>224.70406632628399</v>
      </c>
      <c r="M41" s="22" t="s">
        <v>9</v>
      </c>
      <c r="N41" s="17">
        <v>24.492326338903901</v>
      </c>
      <c r="O41" s="21">
        <v>2.61598889832548E-2</v>
      </c>
      <c r="P41" s="22">
        <v>5.7009797903746398</v>
      </c>
      <c r="Q41" s="22">
        <v>9.8907309343062799</v>
      </c>
      <c r="R41" s="21" t="s">
        <v>9</v>
      </c>
      <c r="S41" s="23" t="s">
        <v>9</v>
      </c>
      <c r="T41" s="21">
        <v>6.0449145857720203E-2</v>
      </c>
      <c r="U41" s="23">
        <v>9.6927078702896102E-2</v>
      </c>
      <c r="V41" s="25">
        <f t="shared" si="1"/>
        <v>-3.8426552968035899</v>
      </c>
      <c r="W41" s="26">
        <v>417.04183506193402</v>
      </c>
    </row>
    <row r="42" spans="1:23" s="1" customFormat="1" x14ac:dyDescent="0.3">
      <c r="A42" s="31"/>
      <c r="B42" s="12" t="s">
        <v>68</v>
      </c>
      <c r="C42" s="13">
        <v>9.9328111252350908</v>
      </c>
      <c r="D42" s="14">
        <v>0.20442584206064099</v>
      </c>
      <c r="E42" s="14">
        <v>0.13916999999999999</v>
      </c>
      <c r="F42" s="15">
        <v>3675.4501936874099</v>
      </c>
      <c r="G42" s="15">
        <v>373.53157578617203</v>
      </c>
      <c r="H42" s="17">
        <v>8675.9642648515401</v>
      </c>
      <c r="I42" s="17">
        <v>596812.76696803595</v>
      </c>
      <c r="J42" s="17">
        <v>542.118567657212</v>
      </c>
      <c r="K42" s="21">
        <v>8.8888840454757298E-2</v>
      </c>
      <c r="L42" s="17">
        <v>241.34353774634701</v>
      </c>
      <c r="M42" s="22" t="s">
        <v>9</v>
      </c>
      <c r="N42" s="17">
        <v>23.255801281767901</v>
      </c>
      <c r="O42" s="21">
        <v>2.9974143874278599E-2</v>
      </c>
      <c r="P42" s="22">
        <v>5.12661219366972</v>
      </c>
      <c r="Q42" s="22">
        <v>6.67699894578758</v>
      </c>
      <c r="R42" s="21">
        <v>2.32558012817679E-2</v>
      </c>
      <c r="S42" s="23" t="s">
        <v>9</v>
      </c>
      <c r="T42" s="21">
        <v>0.43927624643339402</v>
      </c>
      <c r="U42" s="23">
        <v>0.24702828917077899</v>
      </c>
      <c r="V42" s="25">
        <f t="shared" si="1"/>
        <v>-3.8667625378882899</v>
      </c>
      <c r="W42" s="26">
        <v>418.35736703745499</v>
      </c>
    </row>
    <row r="43" spans="1:23" s="1" customFormat="1" x14ac:dyDescent="0.3">
      <c r="A43" s="31"/>
      <c r="B43" s="12" t="s">
        <v>69</v>
      </c>
      <c r="C43" s="13">
        <v>9.9464771595754193</v>
      </c>
      <c r="D43" s="14">
        <v>0.60297967712575296</v>
      </c>
      <c r="E43" s="14">
        <v>0.14995</v>
      </c>
      <c r="F43" s="15">
        <v>3778.8333100530599</v>
      </c>
      <c r="G43" s="15">
        <v>366.47685526237501</v>
      </c>
      <c r="H43" s="17">
        <v>8917.6740069616899</v>
      </c>
      <c r="I43" s="17">
        <v>596512.62604599097</v>
      </c>
      <c r="J43" s="17">
        <v>553.21457250708295</v>
      </c>
      <c r="K43" s="21">
        <v>2.0596763316914801</v>
      </c>
      <c r="L43" s="17">
        <v>228.11691633407099</v>
      </c>
      <c r="M43" s="22" t="s">
        <v>9</v>
      </c>
      <c r="N43" s="17">
        <v>10.515734437178599</v>
      </c>
      <c r="O43" s="21">
        <v>3.00153837281673E-2</v>
      </c>
      <c r="P43" s="22">
        <v>2.40123069825338</v>
      </c>
      <c r="Q43" s="22">
        <v>1.24305089163893</v>
      </c>
      <c r="R43" s="21">
        <v>2.6910344032150001E-2</v>
      </c>
      <c r="S43" s="23" t="s">
        <v>9</v>
      </c>
      <c r="T43" s="21">
        <v>6.8310873312380699E-2</v>
      </c>
      <c r="U43" s="23">
        <v>5.5890714528311403E-2</v>
      </c>
      <c r="V43" s="25">
        <f t="shared" si="1"/>
        <v>-3.6165300111715499</v>
      </c>
      <c r="W43" s="26">
        <v>404.73262945939001</v>
      </c>
    </row>
    <row r="44" spans="1:23" s="1" customFormat="1" x14ac:dyDescent="0.3">
      <c r="A44" s="31"/>
      <c r="B44" s="12" t="s">
        <v>70</v>
      </c>
      <c r="C44" s="13">
        <v>9.2410988885035295</v>
      </c>
      <c r="D44" s="14">
        <v>0.68709474397511705</v>
      </c>
      <c r="E44" s="14">
        <v>0.17912</v>
      </c>
      <c r="F44" s="15">
        <v>3264.6754137845501</v>
      </c>
      <c r="G44" s="15">
        <v>366.00918006102501</v>
      </c>
      <c r="H44" s="17">
        <v>8728.5592727311705</v>
      </c>
      <c r="I44" s="17">
        <v>601408.66422319598</v>
      </c>
      <c r="J44" s="17">
        <v>571.96728604390205</v>
      </c>
      <c r="K44" s="21">
        <v>1.9424578308821201</v>
      </c>
      <c r="L44" s="17">
        <v>221.170941140043</v>
      </c>
      <c r="M44" s="21">
        <v>6.6351282342012902E-2</v>
      </c>
      <c r="N44" s="17">
        <v>11.1354760800074</v>
      </c>
      <c r="O44" s="21">
        <v>2.4040319689135101E-2</v>
      </c>
      <c r="P44" s="22">
        <v>2.4424964804161302</v>
      </c>
      <c r="Q44" s="18" t="s">
        <v>29</v>
      </c>
      <c r="R44" s="21">
        <v>4.0387737077747003E-2</v>
      </c>
      <c r="S44" s="23" t="s">
        <v>9</v>
      </c>
      <c r="T44" s="21">
        <v>0.29136867463231703</v>
      </c>
      <c r="U44" s="23">
        <v>0.28079093396909799</v>
      </c>
      <c r="V44" s="25">
        <f t="shared" si="1"/>
        <v>-3.4920995908062502</v>
      </c>
      <c r="W44" s="26">
        <v>395.24502699429001</v>
      </c>
    </row>
    <row r="45" spans="1:23" s="1" customFormat="1" x14ac:dyDescent="0.3">
      <c r="A45" s="31"/>
      <c r="B45" s="12" t="s">
        <v>71</v>
      </c>
      <c r="C45" s="15">
        <v>10.217890528488899</v>
      </c>
      <c r="D45" s="14">
        <v>0.48234263230855501</v>
      </c>
      <c r="E45" s="14">
        <v>0.13100000000000001</v>
      </c>
      <c r="F45" s="15">
        <v>4139.2557572744499</v>
      </c>
      <c r="G45" s="15">
        <v>344.56050923730498</v>
      </c>
      <c r="H45" s="17">
        <v>8890.9469926352194</v>
      </c>
      <c r="I45" s="17">
        <v>594714.54411392403</v>
      </c>
      <c r="J45" s="17">
        <v>544.81239404763096</v>
      </c>
      <c r="K45" s="18" t="s">
        <v>29</v>
      </c>
      <c r="L45" s="18" t="s">
        <v>29</v>
      </c>
      <c r="M45" s="22" t="s">
        <v>9</v>
      </c>
      <c r="N45" s="17">
        <v>13.046151590484801</v>
      </c>
      <c r="O45" s="21">
        <v>3.1897681150329697E-2</v>
      </c>
      <c r="P45" s="18" t="s">
        <v>29</v>
      </c>
      <c r="Q45" s="22">
        <v>1.5098235744489401</v>
      </c>
      <c r="R45" s="21">
        <v>8.1870714952512802E-2</v>
      </c>
      <c r="S45" s="23" t="s">
        <v>9</v>
      </c>
      <c r="T45" s="18" t="s">
        <v>29</v>
      </c>
      <c r="U45" s="18" t="s">
        <v>29</v>
      </c>
      <c r="V45" s="25">
        <f t="shared" si="1"/>
        <v>-3.71737796035432</v>
      </c>
      <c r="W45" s="26">
        <v>410.23162312860399</v>
      </c>
    </row>
    <row r="46" spans="1:23" s="1" customFormat="1" x14ac:dyDescent="0.3">
      <c r="A46" s="31"/>
      <c r="B46" s="12" t="s">
        <v>72</v>
      </c>
      <c r="C46" s="15">
        <v>10.2817831859993</v>
      </c>
      <c r="D46" s="14">
        <v>0.74889754186358404</v>
      </c>
      <c r="E46" s="14">
        <v>0.17513999999999999</v>
      </c>
      <c r="F46" s="15">
        <v>4222.9134479853601</v>
      </c>
      <c r="G46" s="15">
        <v>328.12372694332498</v>
      </c>
      <c r="H46" s="17">
        <v>8837.4119788089993</v>
      </c>
      <c r="I46" s="17">
        <v>594332.00414387404</v>
      </c>
      <c r="J46" s="17">
        <v>539.23191735105695</v>
      </c>
      <c r="K46" s="21">
        <v>2.3537901154212801</v>
      </c>
      <c r="L46" s="17">
        <v>211.948100847707</v>
      </c>
      <c r="M46" s="22" t="s">
        <v>9</v>
      </c>
      <c r="N46" s="22">
        <v>5.9593686104075196</v>
      </c>
      <c r="O46" s="21">
        <v>3.53068517313192E-2</v>
      </c>
      <c r="P46" s="22">
        <v>2.2264714682689499</v>
      </c>
      <c r="Q46" s="22">
        <v>4.4829002652796204</v>
      </c>
      <c r="R46" s="21" t="s">
        <v>9</v>
      </c>
      <c r="S46" s="23" t="s">
        <v>9</v>
      </c>
      <c r="T46" s="21">
        <v>0.23430910694420901</v>
      </c>
      <c r="U46" s="23">
        <v>0.25891691269634098</v>
      </c>
      <c r="V46" s="25">
        <f t="shared" si="1"/>
        <v>-3.5581244577343898</v>
      </c>
      <c r="W46" s="26">
        <v>401.56014183098301</v>
      </c>
    </row>
    <row r="47" spans="1:23" s="1" customFormat="1" x14ac:dyDescent="0.3">
      <c r="A47" s="31"/>
      <c r="B47" s="12" t="s">
        <v>73</v>
      </c>
      <c r="C47" s="15">
        <v>10.2237242451854</v>
      </c>
      <c r="D47" s="14">
        <v>0.72307053896542295</v>
      </c>
      <c r="E47" s="14">
        <v>0.15714</v>
      </c>
      <c r="F47" s="15">
        <v>4141.6189892306902</v>
      </c>
      <c r="G47" s="15">
        <v>345.59992521900602</v>
      </c>
      <c r="H47" s="17">
        <v>8863.0433596919793</v>
      </c>
      <c r="I47" s="17">
        <v>594699.46441817505</v>
      </c>
      <c r="J47" s="17">
        <v>538.10194830539001</v>
      </c>
      <c r="K47" s="21">
        <v>2.4043305717085399</v>
      </c>
      <c r="L47" s="17">
        <v>222.240998420316</v>
      </c>
      <c r="M47" s="22" t="s">
        <v>9</v>
      </c>
      <c r="N47" s="22">
        <v>5.0427110220789801</v>
      </c>
      <c r="O47" s="21">
        <v>3.08520294599769E-2</v>
      </c>
      <c r="P47" s="22">
        <v>2.1075127710418702</v>
      </c>
      <c r="Q47" s="22">
        <v>5.31931542413394</v>
      </c>
      <c r="R47" s="21" t="s">
        <v>9</v>
      </c>
      <c r="S47" s="23" t="s">
        <v>9</v>
      </c>
      <c r="T47" s="21">
        <v>0.32979755629630497</v>
      </c>
      <c r="U47" s="23">
        <v>0.19468694452330201</v>
      </c>
      <c r="V47" s="25">
        <f t="shared" si="1"/>
        <v>-3.58891029745164</v>
      </c>
      <c r="W47" s="26">
        <v>403.24401488958199</v>
      </c>
    </row>
    <row r="48" spans="1:23" s="1" customFormat="1" x14ac:dyDescent="0.3">
      <c r="A48" s="31"/>
      <c r="B48" s="12" t="s">
        <v>74</v>
      </c>
      <c r="C48" s="15">
        <v>10.150662661146701</v>
      </c>
      <c r="D48" s="14">
        <v>0.88150982980674197</v>
      </c>
      <c r="E48" s="14">
        <v>0.15153</v>
      </c>
      <c r="F48" s="15">
        <v>4049.7024602327201</v>
      </c>
      <c r="G48" s="15">
        <v>361.15885938413697</v>
      </c>
      <c r="H48" s="17">
        <v>8745.8362990941296</v>
      </c>
      <c r="I48" s="17">
        <v>595290.76983467804</v>
      </c>
      <c r="J48" s="17">
        <v>537.742181143577</v>
      </c>
      <c r="K48" s="21">
        <v>2.1970216789994899</v>
      </c>
      <c r="L48" s="17">
        <v>229.10288566105299</v>
      </c>
      <c r="M48" s="22" t="s">
        <v>9</v>
      </c>
      <c r="N48" s="22">
        <v>6.2319364933158701</v>
      </c>
      <c r="O48" s="21">
        <v>2.5667128269080599E-2</v>
      </c>
      <c r="P48" s="22">
        <v>2.5329124933849898</v>
      </c>
      <c r="Q48" s="22">
        <v>4.6897962763258398</v>
      </c>
      <c r="R48" s="21" t="s">
        <v>9</v>
      </c>
      <c r="S48" s="23" t="s">
        <v>9</v>
      </c>
      <c r="T48" s="21">
        <v>3.9081635636048599E-2</v>
      </c>
      <c r="U48" s="23">
        <v>2.7357144945234099E-2</v>
      </c>
      <c r="V48" s="25">
        <f t="shared" si="1"/>
        <v>-3.5505809276033702</v>
      </c>
      <c r="W48" s="26">
        <v>401.15000843988201</v>
      </c>
    </row>
    <row r="49" spans="1:23" s="1" customFormat="1" x14ac:dyDescent="0.3">
      <c r="A49" s="31"/>
      <c r="B49" s="12" t="s">
        <v>75</v>
      </c>
      <c r="C49" s="15">
        <v>10.0533534181966</v>
      </c>
      <c r="D49" s="14">
        <v>0.83743722553345001</v>
      </c>
      <c r="E49" s="14">
        <v>0.21567</v>
      </c>
      <c r="F49" s="15">
        <v>3933.4660616461301</v>
      </c>
      <c r="G49" s="15">
        <v>371.56590774028501</v>
      </c>
      <c r="H49" s="17">
        <v>8841.92956197688</v>
      </c>
      <c r="I49" s="17">
        <v>595860.82737923902</v>
      </c>
      <c r="J49" s="17">
        <v>543.25769303532797</v>
      </c>
      <c r="K49" s="21">
        <v>2.4898003262547301</v>
      </c>
      <c r="L49" s="17">
        <v>233.183400303437</v>
      </c>
      <c r="M49" s="22" t="s">
        <v>9</v>
      </c>
      <c r="N49" s="22">
        <v>6.5383411928958202</v>
      </c>
      <c r="O49" s="21">
        <v>3.66147106802166E-2</v>
      </c>
      <c r="P49" s="22">
        <v>2.6822890909735801</v>
      </c>
      <c r="Q49" s="22">
        <v>2.5996444582953799</v>
      </c>
      <c r="R49" s="21" t="s">
        <v>9</v>
      </c>
      <c r="S49" s="23" t="s">
        <v>9</v>
      </c>
      <c r="T49" s="21">
        <v>2.7199499362446599E-2</v>
      </c>
      <c r="U49" s="23">
        <v>2.42703225080293E-2</v>
      </c>
      <c r="V49" s="25">
        <f t="shared" si="1"/>
        <v>-3.4776644461133999</v>
      </c>
      <c r="W49" s="26">
        <v>397.19000838791499</v>
      </c>
    </row>
    <row r="50" spans="1:23" s="1" customFormat="1" x14ac:dyDescent="0.3">
      <c r="A50" s="31"/>
      <c r="B50" s="12" t="s">
        <v>76</v>
      </c>
      <c r="C50" s="15">
        <v>10.021210321461</v>
      </c>
      <c r="D50" s="13">
        <v>1.45616651341799</v>
      </c>
      <c r="E50" s="14">
        <v>0.1603</v>
      </c>
      <c r="F50" s="15">
        <v>3895.86282632448</v>
      </c>
      <c r="G50" s="15">
        <v>272.68247543445398</v>
      </c>
      <c r="H50" s="17">
        <v>8681.2253825351399</v>
      </c>
      <c r="I50" s="17">
        <v>596215.08858432004</v>
      </c>
      <c r="J50" s="17">
        <v>562.16800044741103</v>
      </c>
      <c r="K50" s="21">
        <v>2.4088445205592999</v>
      </c>
      <c r="L50" s="17">
        <v>174.35446053572099</v>
      </c>
      <c r="M50" s="22" t="s">
        <v>9</v>
      </c>
      <c r="N50" s="22">
        <v>9.1348389610820195</v>
      </c>
      <c r="O50" s="21">
        <v>3.0240905236458799E-2</v>
      </c>
      <c r="P50" s="22">
        <v>1.0167200898464599</v>
      </c>
      <c r="Q50" s="22">
        <v>9.6875175740242003</v>
      </c>
      <c r="R50" s="21" t="s">
        <v>9</v>
      </c>
      <c r="S50" s="23" t="s">
        <v>9</v>
      </c>
      <c r="T50" s="21">
        <v>3.5454854415158499E-2</v>
      </c>
      <c r="U50" s="23">
        <v>4.4005731068226202E-2</v>
      </c>
      <c r="V50" s="25">
        <f t="shared" si="1"/>
        <v>-3.3871835294781198</v>
      </c>
      <c r="W50" s="26">
        <v>392.26949799157001</v>
      </c>
    </row>
    <row r="51" spans="1:23" s="1" customFormat="1" x14ac:dyDescent="0.3">
      <c r="A51" s="31"/>
      <c r="B51" s="12" t="s">
        <v>77</v>
      </c>
      <c r="C51" s="15">
        <v>10.024903993815499</v>
      </c>
      <c r="D51" s="14">
        <v>0.63585080193336196</v>
      </c>
      <c r="E51" s="14">
        <v>0.15323999999999999</v>
      </c>
      <c r="F51" s="15">
        <v>4133.0561522889702</v>
      </c>
      <c r="G51" s="15">
        <v>262.20659735409299</v>
      </c>
      <c r="H51" s="17">
        <v>8700.0727688263505</v>
      </c>
      <c r="I51" s="17">
        <v>596174.051245115</v>
      </c>
      <c r="J51" s="17">
        <v>546.10168998568304</v>
      </c>
      <c r="K51" s="21">
        <v>2.8165703208430601</v>
      </c>
      <c r="L51" s="17">
        <v>167.95104505767901</v>
      </c>
      <c r="M51" s="21">
        <v>8.7626632204006405E-2</v>
      </c>
      <c r="N51" s="22">
        <v>5.6852993513313699</v>
      </c>
      <c r="O51" s="21">
        <v>3.1295225787145102E-2</v>
      </c>
      <c r="P51" s="22">
        <v>2.2209178566943999</v>
      </c>
      <c r="Q51" s="22">
        <v>9.4615899296468804</v>
      </c>
      <c r="R51" s="21">
        <v>4.9029187066527397E-2</v>
      </c>
      <c r="S51" s="23" t="s">
        <v>9</v>
      </c>
      <c r="T51" s="21">
        <v>0.36302461913088402</v>
      </c>
      <c r="U51" s="23">
        <v>0.18151230956544201</v>
      </c>
      <c r="V51" s="25">
        <f t="shared" si="1"/>
        <v>-3.5874236240005501</v>
      </c>
      <c r="W51" s="26">
        <v>403.15140935514398</v>
      </c>
    </row>
    <row r="52" spans="1:23" s="1" customFormat="1" x14ac:dyDescent="0.3">
      <c r="A52" s="31"/>
      <c r="B52" s="12" t="s">
        <v>78</v>
      </c>
      <c r="C52" s="15">
        <v>10.0734521209913</v>
      </c>
      <c r="D52" s="14">
        <v>0.85095099993378198</v>
      </c>
      <c r="E52" s="14">
        <v>0.15101000000000001</v>
      </c>
      <c r="F52" s="15">
        <v>4187.6629784974302</v>
      </c>
      <c r="G52" s="15">
        <v>264.94653690349497</v>
      </c>
      <c r="H52" s="17">
        <v>8722.2887719842602</v>
      </c>
      <c r="I52" s="17">
        <v>595829.14427056699</v>
      </c>
      <c r="J52" s="17">
        <v>548.43185740922604</v>
      </c>
      <c r="K52" s="21">
        <v>2.5786360268094302</v>
      </c>
      <c r="L52" s="17">
        <v>175.15856913815301</v>
      </c>
      <c r="M52" s="21">
        <v>6.3941787656656604E-2</v>
      </c>
      <c r="N52" s="22">
        <v>8.3019501350937794</v>
      </c>
      <c r="O52" s="21">
        <v>3.8784363004857297E-2</v>
      </c>
      <c r="P52" s="22">
        <v>1.84173312971714</v>
      </c>
      <c r="Q52" s="22">
        <v>10.220203764793499</v>
      </c>
      <c r="R52" s="21" t="s">
        <v>9</v>
      </c>
      <c r="S52" s="23" t="s">
        <v>9</v>
      </c>
      <c r="T52" s="21">
        <v>0.20440407529587001</v>
      </c>
      <c r="U52" s="23">
        <v>0.18029487667122901</v>
      </c>
      <c r="V52" s="25">
        <f t="shared" si="1"/>
        <v>-3.5319948944237698</v>
      </c>
      <c r="W52" s="26">
        <v>400.14249545495602</v>
      </c>
    </row>
    <row r="53" spans="1:23" s="1" customFormat="1" x14ac:dyDescent="0.3">
      <c r="A53" s="31"/>
      <c r="B53" s="12" t="s">
        <v>79</v>
      </c>
      <c r="C53" s="15">
        <v>9.9970196568096892</v>
      </c>
      <c r="D53" s="14">
        <v>0.73966837432560195</v>
      </c>
      <c r="E53" s="14">
        <v>0.1444</v>
      </c>
      <c r="F53" s="15">
        <v>4024.8146776479398</v>
      </c>
      <c r="G53" s="15">
        <v>313.91713627683998</v>
      </c>
      <c r="H53" s="17">
        <v>8728.9273611123899</v>
      </c>
      <c r="I53" s="17">
        <v>596336.26620875695</v>
      </c>
      <c r="J53" s="17">
        <v>554.88140321980097</v>
      </c>
      <c r="K53" s="21">
        <v>2.54866786255814</v>
      </c>
      <c r="L53" s="17">
        <v>195.675275488647</v>
      </c>
      <c r="M53" s="22" t="s">
        <v>9</v>
      </c>
      <c r="N53" s="17">
        <v>13.024212913970601</v>
      </c>
      <c r="O53" s="21">
        <v>3.3288723102800198E-2</v>
      </c>
      <c r="P53" s="22">
        <v>3.0792068870090201</v>
      </c>
      <c r="Q53" s="22">
        <v>4.8788784797541602</v>
      </c>
      <c r="R53" s="21" t="s">
        <v>9</v>
      </c>
      <c r="S53" s="23" t="s">
        <v>9</v>
      </c>
      <c r="T53" s="21">
        <v>0.146678436171713</v>
      </c>
      <c r="U53" s="23">
        <v>0.16540334291703901</v>
      </c>
      <c r="V53" s="25">
        <f t="shared" si="1"/>
        <v>-3.5788846353382402</v>
      </c>
      <c r="W53" s="26">
        <v>402.69326091046997</v>
      </c>
    </row>
    <row r="54" spans="1:23" s="1" customFormat="1" x14ac:dyDescent="0.3">
      <c r="A54" s="31"/>
      <c r="B54" s="12" t="s">
        <v>80</v>
      </c>
      <c r="C54" s="15">
        <v>10.1856370079292</v>
      </c>
      <c r="D54" s="14">
        <v>0.76903417646942795</v>
      </c>
      <c r="E54" s="14">
        <v>0.18135999999999999</v>
      </c>
      <c r="F54" s="15">
        <v>4553.3295094759396</v>
      </c>
      <c r="G54" s="15">
        <v>191.99500379778101</v>
      </c>
      <c r="H54" s="17">
        <v>8553.3913271580095</v>
      </c>
      <c r="I54" s="17">
        <v>595222.05858857697</v>
      </c>
      <c r="J54" s="17">
        <v>533.87152558729701</v>
      </c>
      <c r="K54" s="21">
        <v>2.33177954395881</v>
      </c>
      <c r="L54" s="17">
        <v>142.874492057113</v>
      </c>
      <c r="M54" s="22" t="s">
        <v>9</v>
      </c>
      <c r="N54" s="17">
        <v>11.9132736700441</v>
      </c>
      <c r="O54" s="21">
        <v>5.1935089842719002E-2</v>
      </c>
      <c r="P54" s="22">
        <v>1.1160744817221</v>
      </c>
      <c r="Q54" s="22">
        <v>22.5016725992025</v>
      </c>
      <c r="R54" s="21" t="s">
        <v>9</v>
      </c>
      <c r="S54" s="23" t="s">
        <v>9</v>
      </c>
      <c r="T54" s="21">
        <v>0.112349378027106</v>
      </c>
      <c r="U54" s="23">
        <v>0.13036767450315201</v>
      </c>
      <c r="V54" s="25">
        <f t="shared" si="1"/>
        <v>-3.5026078656627999</v>
      </c>
      <c r="W54" s="26">
        <v>398.54122207875901</v>
      </c>
    </row>
    <row r="55" spans="1:23" s="1" customFormat="1" x14ac:dyDescent="0.3">
      <c r="A55" s="31"/>
      <c r="B55" s="12" t="s">
        <v>81</v>
      </c>
      <c r="C55" s="15">
        <v>10.095466242349101</v>
      </c>
      <c r="D55" s="13">
        <v>1.24304292928067</v>
      </c>
      <c r="E55" s="14">
        <v>0.10045999999999999</v>
      </c>
      <c r="F55" s="15">
        <v>4586.5562553690097</v>
      </c>
      <c r="G55" s="15">
        <v>166.989296320394</v>
      </c>
      <c r="H55" s="17">
        <v>8563.8127791498391</v>
      </c>
      <c r="I55" s="17">
        <v>595818.09959614999</v>
      </c>
      <c r="J55" s="17">
        <v>531.56148997176399</v>
      </c>
      <c r="K55" s="21">
        <v>2.4056834229947399</v>
      </c>
      <c r="L55" s="17">
        <v>125.431703364879</v>
      </c>
      <c r="M55" s="22" t="s">
        <v>9</v>
      </c>
      <c r="N55" s="17">
        <v>14.150461007746401</v>
      </c>
      <c r="O55" s="21">
        <v>5.8828939601618099E-2</v>
      </c>
      <c r="P55" s="22">
        <v>0.92025269805388299</v>
      </c>
      <c r="Q55" s="22">
        <v>21.335995773372598</v>
      </c>
      <c r="R55" s="21" t="s">
        <v>9</v>
      </c>
      <c r="S55" s="23" t="s">
        <v>9</v>
      </c>
      <c r="T55" s="21">
        <v>4.8323771815614897E-2</v>
      </c>
      <c r="U55" s="23">
        <v>4.2125722821872998E-2</v>
      </c>
      <c r="V55" s="25">
        <f t="shared" si="1"/>
        <v>-3.5111372273077999</v>
      </c>
      <c r="W55" s="26">
        <v>395.90360348294502</v>
      </c>
    </row>
    <row r="56" spans="1:23" s="1" customFormat="1" x14ac:dyDescent="0.3">
      <c r="A56" s="31"/>
      <c r="B56" s="12" t="s">
        <v>82</v>
      </c>
      <c r="C56" s="15">
        <v>10.100279018793399</v>
      </c>
      <c r="D56" s="13">
        <v>1.2833872132842401</v>
      </c>
      <c r="E56" s="14">
        <v>0.12672</v>
      </c>
      <c r="F56" s="15">
        <v>4495.20222303636</v>
      </c>
      <c r="G56" s="15">
        <v>186.494089609067</v>
      </c>
      <c r="H56" s="17">
        <v>8501.6812677439993</v>
      </c>
      <c r="I56" s="17">
        <v>595839.38748570497</v>
      </c>
      <c r="J56" s="17">
        <v>540.64344716621497</v>
      </c>
      <c r="K56" s="21">
        <v>2.4068302760704401</v>
      </c>
      <c r="L56" s="17">
        <v>131.902707269362</v>
      </c>
      <c r="M56" s="22" t="s">
        <v>9</v>
      </c>
      <c r="N56" s="22">
        <v>9.0807919586238306</v>
      </c>
      <c r="O56" s="21">
        <v>3.9938668336540001E-2</v>
      </c>
      <c r="P56" s="22">
        <v>1.00161976117691</v>
      </c>
      <c r="Q56" s="22">
        <v>17.594034419833701</v>
      </c>
      <c r="R56" s="21" t="s">
        <v>9</v>
      </c>
      <c r="S56" s="23" t="s">
        <v>9</v>
      </c>
      <c r="T56" s="21">
        <v>5.5703932153595301E-2</v>
      </c>
      <c r="U56" s="23">
        <v>7.06283819004076E-2</v>
      </c>
      <c r="V56" s="25">
        <f t="shared" si="1"/>
        <v>-3.4602214214907301</v>
      </c>
      <c r="W56" s="26">
        <v>396.22112423500897</v>
      </c>
    </row>
    <row r="57" spans="1:23" s="1" customFormat="1" x14ac:dyDescent="0.3">
      <c r="A57" s="31"/>
      <c r="B57" s="12" t="s">
        <v>83</v>
      </c>
      <c r="C57" s="15">
        <v>10.094035147342201</v>
      </c>
      <c r="D57" s="14">
        <v>0.65849655043220501</v>
      </c>
      <c r="E57" s="14">
        <v>0.14399999999999999</v>
      </c>
      <c r="F57" s="15">
        <v>4161.5574665733302</v>
      </c>
      <c r="G57" s="15">
        <v>287.50565683131703</v>
      </c>
      <c r="H57" s="17">
        <v>8672.8874309681905</v>
      </c>
      <c r="I57" s="17">
        <v>595733.63868202199</v>
      </c>
      <c r="J57" s="17">
        <v>550.60283290705195</v>
      </c>
      <c r="K57" s="21">
        <v>2.78347483251371</v>
      </c>
      <c r="L57" s="17">
        <v>191.271987547452</v>
      </c>
      <c r="M57" s="22" t="s">
        <v>9</v>
      </c>
      <c r="N57" s="17">
        <v>11.343972902320001</v>
      </c>
      <c r="O57" s="21">
        <v>3.7813243007733401E-2</v>
      </c>
      <c r="P57" s="22">
        <v>1.4694646379949701</v>
      </c>
      <c r="Q57" s="22">
        <v>17.289054997424799</v>
      </c>
      <c r="R57" s="21" t="s">
        <v>9</v>
      </c>
      <c r="S57" s="23" t="s">
        <v>9</v>
      </c>
      <c r="T57" s="21">
        <v>0.111338993300548</v>
      </c>
      <c r="U57" s="23">
        <v>0.14705150058562999</v>
      </c>
      <c r="V57" s="25">
        <f t="shared" si="1"/>
        <v>-3.6065350709682198</v>
      </c>
      <c r="W57" s="26">
        <v>404.20601038263499</v>
      </c>
    </row>
    <row r="58" spans="1:23" s="1" customFormat="1" x14ac:dyDescent="0.3">
      <c r="A58" s="31"/>
      <c r="B58" s="12" t="s">
        <v>84</v>
      </c>
      <c r="C58" s="15">
        <v>10.1014784637586</v>
      </c>
      <c r="D58" s="14">
        <v>0.41511900691506398</v>
      </c>
      <c r="E58" s="14">
        <v>0.14266999999999999</v>
      </c>
      <c r="F58" s="15">
        <v>4146.7567679009098</v>
      </c>
      <c r="G58" s="15">
        <v>287.304384809684</v>
      </c>
      <c r="H58" s="17">
        <v>8715.0216381917508</v>
      </c>
      <c r="I58" s="17">
        <v>595647.359985766</v>
      </c>
      <c r="J58" s="17">
        <v>554.05715902676002</v>
      </c>
      <c r="K58" s="21">
        <v>2.4176275199422301</v>
      </c>
      <c r="L58" s="17">
        <v>187.83914687551101</v>
      </c>
      <c r="M58" s="22" t="s">
        <v>9</v>
      </c>
      <c r="N58" s="17">
        <v>11.5625663997237</v>
      </c>
      <c r="O58" s="21">
        <v>3.99434111990455E-2</v>
      </c>
      <c r="P58" s="22">
        <v>1.5020824895641101</v>
      </c>
      <c r="Q58" s="22">
        <v>14.2219566716602</v>
      </c>
      <c r="R58" s="21" t="s">
        <v>9</v>
      </c>
      <c r="S58" s="23" t="s">
        <v>9</v>
      </c>
      <c r="T58" s="21">
        <v>0.120881375997111</v>
      </c>
      <c r="U58" s="23">
        <v>0.12193251839708601</v>
      </c>
      <c r="V58" s="25">
        <f t="shared" si="1"/>
        <v>-3.7095732780939001</v>
      </c>
      <c r="W58" s="26">
        <v>409.79565801263402</v>
      </c>
    </row>
    <row r="59" spans="1:23" s="1" customFormat="1" x14ac:dyDescent="0.3">
      <c r="A59" s="31"/>
      <c r="B59" s="12" t="s">
        <v>85</v>
      </c>
      <c r="C59" s="15">
        <v>9.9498657138669309</v>
      </c>
      <c r="D59" s="14">
        <v>0.85078379792966896</v>
      </c>
      <c r="E59" s="14">
        <v>0.19963</v>
      </c>
      <c r="F59" s="18" t="s">
        <v>29</v>
      </c>
      <c r="G59" s="15">
        <v>369.822699359284</v>
      </c>
      <c r="H59" s="17">
        <v>8655.6584149768496</v>
      </c>
      <c r="I59" s="17">
        <v>596715.84527491895</v>
      </c>
      <c r="J59" s="17">
        <v>586.74182102480597</v>
      </c>
      <c r="K59" s="21">
        <v>1.9464877775306799</v>
      </c>
      <c r="L59" s="18" t="s">
        <v>29</v>
      </c>
      <c r="M59" s="21">
        <v>7.2475608737844394E-2</v>
      </c>
      <c r="N59" s="17">
        <v>16.762572935224298</v>
      </c>
      <c r="O59" s="21">
        <v>5.0732926116491099E-2</v>
      </c>
      <c r="P59" s="22">
        <v>8.1483291538119396</v>
      </c>
      <c r="Q59" s="22">
        <v>1.72906095131715</v>
      </c>
      <c r="R59" s="21">
        <v>5.69451211511635E-2</v>
      </c>
      <c r="S59" s="23" t="s">
        <v>9</v>
      </c>
      <c r="T59" s="22">
        <v>1.67729265936154</v>
      </c>
      <c r="U59" s="24">
        <v>1.6255243674059401</v>
      </c>
      <c r="V59" s="25"/>
      <c r="W59" s="26"/>
    </row>
    <row r="60" spans="1:23" s="1" customFormat="1" x14ac:dyDescent="0.3">
      <c r="A60" s="31"/>
      <c r="B60" s="12" t="s">
        <v>86</v>
      </c>
      <c r="C60" s="15">
        <v>9.5352857798779507</v>
      </c>
      <c r="D60" s="18" t="s">
        <v>29</v>
      </c>
      <c r="E60" s="14">
        <v>0.22478000000000001</v>
      </c>
      <c r="F60" s="15">
        <v>4911.5155681993601</v>
      </c>
      <c r="G60" s="15">
        <v>413.950269369159</v>
      </c>
      <c r="H60" s="17">
        <v>7729.4356113682898</v>
      </c>
      <c r="I60" s="17">
        <v>600296.34722436604</v>
      </c>
      <c r="J60" s="17">
        <v>604.26524869361799</v>
      </c>
      <c r="K60" s="18" t="s">
        <v>29</v>
      </c>
      <c r="L60" s="18" t="s">
        <v>29</v>
      </c>
      <c r="M60" s="21">
        <v>0.166693861708584</v>
      </c>
      <c r="N60" s="18" t="s">
        <v>29</v>
      </c>
      <c r="O60" s="21">
        <v>4.9611268365650101E-2</v>
      </c>
      <c r="P60" s="18" t="s">
        <v>29</v>
      </c>
      <c r="Q60" s="18" t="s">
        <v>29</v>
      </c>
      <c r="R60" s="18" t="s">
        <v>29</v>
      </c>
      <c r="S60" s="18" t="s">
        <v>29</v>
      </c>
      <c r="T60" s="18" t="s">
        <v>29</v>
      </c>
      <c r="U60" s="18" t="s">
        <v>29</v>
      </c>
      <c r="V60" s="25"/>
      <c r="W60" s="26"/>
    </row>
    <row r="61" spans="1:23" s="1" customFormat="1" x14ac:dyDescent="0.3">
      <c r="A61" s="31"/>
      <c r="B61" s="12" t="s">
        <v>87</v>
      </c>
      <c r="C61" s="13">
        <v>9.8315859256579508</v>
      </c>
      <c r="D61" s="14">
        <v>0.70730352617596104</v>
      </c>
      <c r="E61" s="14">
        <v>0.13139999999999999</v>
      </c>
      <c r="F61" s="15">
        <v>3568.4257761389099</v>
      </c>
      <c r="G61" s="15">
        <v>410.92622386953099</v>
      </c>
      <c r="H61" s="17">
        <v>9002.9090682403694</v>
      </c>
      <c r="I61" s="17">
        <v>597210.01915742201</v>
      </c>
      <c r="J61" s="17">
        <v>587.84903984214998</v>
      </c>
      <c r="K61" s="18" t="s">
        <v>29</v>
      </c>
      <c r="L61" s="18" t="s">
        <v>29</v>
      </c>
      <c r="M61" s="21">
        <v>5.5245123827838701E-2</v>
      </c>
      <c r="N61" s="22">
        <v>6.1997305629018902</v>
      </c>
      <c r="O61" s="21">
        <v>2.5576446216592E-2</v>
      </c>
      <c r="P61" s="18" t="s">
        <v>29</v>
      </c>
      <c r="Q61" s="22">
        <v>1.3811280956959699</v>
      </c>
      <c r="R61" s="21" t="s">
        <v>9</v>
      </c>
      <c r="S61" s="23" t="s">
        <v>9</v>
      </c>
      <c r="T61" s="18" t="s">
        <v>29</v>
      </c>
      <c r="U61" s="18" t="s">
        <v>29</v>
      </c>
      <c r="V61" s="25">
        <f t="shared" ref="V61:V69" si="2">LN((D61^0.22*E61^0.22)/(C61^0.37*F61^0.2*G61^0.1))</f>
        <v>-3.6061664317511299</v>
      </c>
      <c r="W61" s="26">
        <v>404.175132223829</v>
      </c>
    </row>
    <row r="62" spans="1:23" s="1" customFormat="1" x14ac:dyDescent="0.3">
      <c r="A62" s="31"/>
      <c r="B62" s="12" t="s">
        <v>88</v>
      </c>
      <c r="C62" s="15">
        <v>10.004966661994301</v>
      </c>
      <c r="D62" s="14">
        <v>0.53782384524761995</v>
      </c>
      <c r="E62" s="14">
        <v>0.13333999999999999</v>
      </c>
      <c r="F62" s="15">
        <v>3831.2463388282099</v>
      </c>
      <c r="G62" s="15">
        <v>419.94974407673698</v>
      </c>
      <c r="H62" s="17">
        <v>8922.2231314559194</v>
      </c>
      <c r="I62" s="17">
        <v>596116.24986613798</v>
      </c>
      <c r="J62" s="17">
        <v>579.68422865748596</v>
      </c>
      <c r="K62" s="21">
        <v>2.3945289617676302</v>
      </c>
      <c r="L62" s="17">
        <v>255.58993917998001</v>
      </c>
      <c r="M62" s="22" t="s">
        <v>9</v>
      </c>
      <c r="N62" s="22">
        <v>6.1841313186520601</v>
      </c>
      <c r="O62" s="21">
        <v>4.3726181040974199E-2</v>
      </c>
      <c r="P62" s="22">
        <v>1.6064166034814999</v>
      </c>
      <c r="Q62" s="22">
        <v>1.46482706487263</v>
      </c>
      <c r="R62" s="21" t="s">
        <v>9</v>
      </c>
      <c r="S62" s="23" t="s">
        <v>9</v>
      </c>
      <c r="T62" s="21">
        <v>9.7863357567894493E-2</v>
      </c>
      <c r="U62" s="23">
        <v>0.107233253505246</v>
      </c>
      <c r="V62" s="25">
        <f t="shared" si="2"/>
        <v>-3.68605978708446</v>
      </c>
      <c r="W62" s="26">
        <v>408.52160380898499</v>
      </c>
    </row>
    <row r="63" spans="1:23" s="1" customFormat="1" x14ac:dyDescent="0.3">
      <c r="A63" s="31"/>
      <c r="B63" s="12" t="s">
        <v>89</v>
      </c>
      <c r="C63" s="13">
        <v>9.8601125803548797</v>
      </c>
      <c r="D63" s="13">
        <v>1.2827682281997499</v>
      </c>
      <c r="E63" s="14">
        <v>0.17376</v>
      </c>
      <c r="F63" s="15">
        <v>2891.3420657065599</v>
      </c>
      <c r="G63" s="15">
        <v>468.45676704696899</v>
      </c>
      <c r="H63" s="17">
        <v>9151.1284187497495</v>
      </c>
      <c r="I63" s="17">
        <v>596890.79017913097</v>
      </c>
      <c r="J63" s="17">
        <v>609.45961214680494</v>
      </c>
      <c r="K63" s="21">
        <v>8.6186207778336105E-2</v>
      </c>
      <c r="L63" s="17">
        <v>285.85092246481503</v>
      </c>
      <c r="M63" s="22" t="s">
        <v>9</v>
      </c>
      <c r="N63" s="17">
        <v>15.6879418682233</v>
      </c>
      <c r="O63" s="21">
        <v>2.31881939975047E-2</v>
      </c>
      <c r="P63" s="22">
        <v>2.6338094686546301</v>
      </c>
      <c r="Q63" s="22">
        <v>3.28020602699215</v>
      </c>
      <c r="R63" s="21" t="s">
        <v>9</v>
      </c>
      <c r="S63" s="23" t="s">
        <v>9</v>
      </c>
      <c r="T63" s="21">
        <v>9.6446470609090396E-2</v>
      </c>
      <c r="U63" s="23">
        <v>0.137487521932108</v>
      </c>
      <c r="V63" s="25">
        <f t="shared" si="2"/>
        <v>-3.3858168606280699</v>
      </c>
      <c r="W63" s="26">
        <v>392.181843122651</v>
      </c>
    </row>
    <row r="64" spans="1:23" s="1" customFormat="1" x14ac:dyDescent="0.3">
      <c r="A64" s="31"/>
      <c r="B64" s="12" t="s">
        <v>90</v>
      </c>
      <c r="C64" s="15">
        <v>10.1980222973362</v>
      </c>
      <c r="D64" s="13">
        <v>1.1401656876267701</v>
      </c>
      <c r="E64" s="14">
        <v>0.15204000000000001</v>
      </c>
      <c r="F64" s="15">
        <v>3462.65835132237</v>
      </c>
      <c r="G64" s="15">
        <v>469.06146588061199</v>
      </c>
      <c r="H64" s="17">
        <v>9155.9351073274192</v>
      </c>
      <c r="I64" s="17">
        <v>594619.33686514397</v>
      </c>
      <c r="J64" s="17">
        <v>613.47312071696604</v>
      </c>
      <c r="K64" s="21">
        <v>0.20374820822981701</v>
      </c>
      <c r="L64" s="17">
        <v>286.62703668163402</v>
      </c>
      <c r="M64" s="21">
        <v>6.1548937902757402E-2</v>
      </c>
      <c r="N64" s="17">
        <v>16.130066484860599</v>
      </c>
      <c r="O64" s="21">
        <v>3.9263977627621099E-2</v>
      </c>
      <c r="P64" s="22">
        <v>2.6572162156638699</v>
      </c>
      <c r="Q64" s="22">
        <v>3.9391320257764701</v>
      </c>
      <c r="R64" s="21" t="s">
        <v>9</v>
      </c>
      <c r="S64" s="23" t="s">
        <v>9</v>
      </c>
      <c r="T64" s="21">
        <v>2.86520917823181E-2</v>
      </c>
      <c r="U64" s="23">
        <v>4.8177961737675599E-2</v>
      </c>
      <c r="V64" s="25">
        <f t="shared" si="2"/>
        <v>-3.4897798370692499</v>
      </c>
      <c r="W64" s="26">
        <v>395.47368074428198</v>
      </c>
    </row>
    <row r="65" spans="1:23" s="1" customFormat="1" x14ac:dyDescent="0.3">
      <c r="A65" s="31"/>
      <c r="B65" s="12" t="s">
        <v>91</v>
      </c>
      <c r="C65" s="13">
        <v>9.4971647072615006</v>
      </c>
      <c r="D65" s="14">
        <v>0.29509653136488401</v>
      </c>
      <c r="E65" s="14">
        <v>0.16150999999999999</v>
      </c>
      <c r="F65" s="15">
        <v>2324.3841198209202</v>
      </c>
      <c r="G65" s="15">
        <v>492.09447830045599</v>
      </c>
      <c r="H65" s="17">
        <v>9090.0021828710996</v>
      </c>
      <c r="I65" s="17">
        <v>599378.81321062404</v>
      </c>
      <c r="J65" s="17">
        <v>616.27803448993404</v>
      </c>
      <c r="K65" s="21">
        <v>0.22927598460818599</v>
      </c>
      <c r="L65" s="18" t="s">
        <v>29</v>
      </c>
      <c r="M65" s="21">
        <v>0.13341490483665999</v>
      </c>
      <c r="N65" s="17">
        <v>43.681028102076802</v>
      </c>
      <c r="O65" s="21">
        <v>2.8659498076023301E-2</v>
      </c>
      <c r="P65" s="18" t="s">
        <v>29</v>
      </c>
      <c r="Q65" s="22">
        <v>1.4132097327142501</v>
      </c>
      <c r="R65" s="21">
        <v>0.350831786792698</v>
      </c>
      <c r="S65" s="23">
        <v>3.95303421738252E-2</v>
      </c>
      <c r="T65" s="18" t="s">
        <v>29</v>
      </c>
      <c r="U65" s="18" t="s">
        <v>29</v>
      </c>
      <c r="V65" s="25">
        <f t="shared" si="2"/>
        <v>-3.6725776855555998</v>
      </c>
      <c r="W65" s="26">
        <v>404.21453342716899</v>
      </c>
    </row>
    <row r="66" spans="1:23" s="1" customFormat="1" x14ac:dyDescent="0.3">
      <c r="A66" s="31"/>
      <c r="B66" s="12" t="s">
        <v>92</v>
      </c>
      <c r="C66" s="15">
        <v>10.2191599736759</v>
      </c>
      <c r="D66" s="13">
        <v>1.26503858526204</v>
      </c>
      <c r="E66" s="14">
        <v>0.13791</v>
      </c>
      <c r="F66" s="15">
        <v>3486.84969341136</v>
      </c>
      <c r="G66" s="15">
        <v>479.00688374456399</v>
      </c>
      <c r="H66" s="17">
        <v>9103.6658204619107</v>
      </c>
      <c r="I66" s="17">
        <v>594522.58292916499</v>
      </c>
      <c r="J66" s="17">
        <v>611.12916096477795</v>
      </c>
      <c r="K66" s="21">
        <v>0.103148649057914</v>
      </c>
      <c r="L66" s="17">
        <v>310.934690562208</v>
      </c>
      <c r="M66" s="22" t="s">
        <v>9</v>
      </c>
      <c r="N66" s="17">
        <v>16.588854900035699</v>
      </c>
      <c r="O66" s="21">
        <v>2.4457927096206498E-2</v>
      </c>
      <c r="P66" s="17">
        <v>10.5700780580997</v>
      </c>
      <c r="Q66" s="22">
        <v>2.1469806437930901</v>
      </c>
      <c r="R66" s="21" t="s">
        <v>9</v>
      </c>
      <c r="S66" s="23" t="s">
        <v>9</v>
      </c>
      <c r="T66" s="21">
        <v>0.37962956405851001</v>
      </c>
      <c r="U66" s="23">
        <v>0.33603065053918502</v>
      </c>
      <c r="V66" s="25">
        <f t="shared" si="2"/>
        <v>-3.4926314066755602</v>
      </c>
      <c r="W66" s="26">
        <v>397.99953932863099</v>
      </c>
    </row>
    <row r="67" spans="1:23" s="1" customFormat="1" x14ac:dyDescent="0.3">
      <c r="A67" s="31"/>
      <c r="B67" s="12" t="s">
        <v>93</v>
      </c>
      <c r="C67" s="15">
        <v>10.200758141225601</v>
      </c>
      <c r="D67" s="14">
        <v>0.523476846941619</v>
      </c>
      <c r="E67" s="14">
        <v>0.18745000000000001</v>
      </c>
      <c r="F67" s="15">
        <v>3327.7187068410199</v>
      </c>
      <c r="G67" s="15">
        <v>481.44408552886699</v>
      </c>
      <c r="H67" s="17">
        <v>9052.2440612249502</v>
      </c>
      <c r="I67" s="17">
        <v>594690.40048091905</v>
      </c>
      <c r="J67" s="17">
        <v>613.95614036262998</v>
      </c>
      <c r="K67" s="21">
        <v>0.14117594513871001</v>
      </c>
      <c r="L67" s="18" t="s">
        <v>29</v>
      </c>
      <c r="M67" s="21">
        <v>0.19531108199641101</v>
      </c>
      <c r="N67" s="17">
        <v>20.221065826258801</v>
      </c>
      <c r="O67" s="21">
        <v>2.87659256636018E-2</v>
      </c>
      <c r="P67" s="17">
        <v>12.875670785959</v>
      </c>
      <c r="Q67" s="22">
        <v>3.3436408059168099</v>
      </c>
      <c r="R67" s="21">
        <v>0.99566192887300697</v>
      </c>
      <c r="S67" s="23" t="s">
        <v>9</v>
      </c>
      <c r="T67" s="22">
        <v>1.7726603637717699</v>
      </c>
      <c r="U67" s="24">
        <v>1.1803582781522199</v>
      </c>
      <c r="V67" s="25">
        <f t="shared" si="2"/>
        <v>-3.6097296564471599</v>
      </c>
      <c r="W67" s="26">
        <v>404.36519277075098</v>
      </c>
    </row>
    <row r="68" spans="1:23" s="1" customFormat="1" x14ac:dyDescent="0.3">
      <c r="A68" s="31"/>
      <c r="B68" s="12" t="s">
        <v>94</v>
      </c>
      <c r="C68" s="15">
        <v>10.037342334437399</v>
      </c>
      <c r="D68" s="13">
        <v>1.05794623993098</v>
      </c>
      <c r="E68" s="14">
        <v>0.1573</v>
      </c>
      <c r="F68" s="15">
        <v>2916.1560663630798</v>
      </c>
      <c r="G68" s="15">
        <v>485.37364900903799</v>
      </c>
      <c r="H68" s="17">
        <v>9057.6308766119892</v>
      </c>
      <c r="I68" s="17">
        <v>595782.24314276897</v>
      </c>
      <c r="J68" s="17">
        <v>616.75865228775103</v>
      </c>
      <c r="K68" s="21">
        <v>0.15353687025622301</v>
      </c>
      <c r="L68" s="17">
        <v>324.51636454835602</v>
      </c>
      <c r="M68" s="22" t="s">
        <v>9</v>
      </c>
      <c r="N68" s="17">
        <v>17.547070886425399</v>
      </c>
      <c r="O68" s="21">
        <v>2.5902818927580399E-2</v>
      </c>
      <c r="P68" s="17">
        <v>12.2098368251377</v>
      </c>
      <c r="Q68" s="22">
        <v>2.26649665616329</v>
      </c>
      <c r="R68" s="21">
        <v>0.44285464618121301</v>
      </c>
      <c r="S68" s="23">
        <v>5.1178956752074203E-3</v>
      </c>
      <c r="T68" s="21">
        <v>0.73739476463192599</v>
      </c>
      <c r="U68" s="23">
        <v>0.62250322906604505</v>
      </c>
      <c r="V68" s="25">
        <f t="shared" si="2"/>
        <v>-3.4619514093307902</v>
      </c>
      <c r="W68" s="26">
        <v>396.325384950451</v>
      </c>
    </row>
    <row r="69" spans="1:23" s="1" customFormat="1" x14ac:dyDescent="0.3">
      <c r="A69" s="31"/>
      <c r="B69" s="12" t="s">
        <v>95</v>
      </c>
      <c r="C69" s="13">
        <v>9.8899136391710893</v>
      </c>
      <c r="D69" s="14">
        <v>0.84309297233250602</v>
      </c>
      <c r="E69" s="14">
        <v>0.14279</v>
      </c>
      <c r="F69" s="15">
        <v>2716.89615061516</v>
      </c>
      <c r="G69" s="15">
        <v>482.06963369520702</v>
      </c>
      <c r="H69" s="17">
        <v>9015.1554088593894</v>
      </c>
      <c r="I69" s="17">
        <v>596808.09066069801</v>
      </c>
      <c r="J69" s="17">
        <v>614.594841343702</v>
      </c>
      <c r="K69" s="21">
        <v>9.15923323502838E-2</v>
      </c>
      <c r="L69" s="17">
        <v>344.75765547578698</v>
      </c>
      <c r="M69" s="22" t="s">
        <v>9</v>
      </c>
      <c r="N69" s="17">
        <v>16.815940568580199</v>
      </c>
      <c r="O69" s="21">
        <v>3.0873819893354099E-2</v>
      </c>
      <c r="P69" s="22">
        <v>6.6790363702622697</v>
      </c>
      <c r="Q69" s="22">
        <v>1.3944675318498301</v>
      </c>
      <c r="R69" s="21">
        <v>0.12143702491385901</v>
      </c>
      <c r="S69" s="23" t="s">
        <v>9</v>
      </c>
      <c r="T69" s="22">
        <v>1.1546808640114401</v>
      </c>
      <c r="U69" s="24">
        <v>1.3625645846266901</v>
      </c>
      <c r="V69" s="25">
        <f t="shared" si="2"/>
        <v>-3.5128714633003701</v>
      </c>
      <c r="W69" s="26">
        <v>399.09983761684202</v>
      </c>
    </row>
    <row r="70" spans="1:23" s="1" customFormat="1" x14ac:dyDescent="0.3">
      <c r="A70" s="31"/>
      <c r="B70" s="12" t="s">
        <v>96</v>
      </c>
      <c r="C70" s="13">
        <v>9.7119693622204508</v>
      </c>
      <c r="D70" s="14">
        <v>1.15657402864902</v>
      </c>
      <c r="E70" s="14">
        <v>0.20738000000000001</v>
      </c>
      <c r="F70" s="18" t="s">
        <v>29</v>
      </c>
      <c r="G70" s="15">
        <v>477.922005660629</v>
      </c>
      <c r="H70" s="17">
        <v>8105.0982606668003</v>
      </c>
      <c r="I70" s="17">
        <v>598786.87274876295</v>
      </c>
      <c r="J70" s="17">
        <v>603.33462114938698</v>
      </c>
      <c r="K70" s="21">
        <v>0.40424430227764602</v>
      </c>
      <c r="L70" s="17">
        <v>302.37473810367902</v>
      </c>
      <c r="M70" s="22">
        <v>0.45477484006235203</v>
      </c>
      <c r="N70" s="17">
        <v>23.244047380964599</v>
      </c>
      <c r="O70" s="21">
        <v>2.72864904037411E-2</v>
      </c>
      <c r="P70" s="22">
        <v>5.0227354557997499</v>
      </c>
      <c r="Q70" s="18" t="s">
        <v>29</v>
      </c>
      <c r="R70" s="21">
        <v>0.889337465010821</v>
      </c>
      <c r="S70" s="23" t="s">
        <v>9</v>
      </c>
      <c r="T70" s="22">
        <v>1.85952379047717</v>
      </c>
      <c r="U70" s="24">
        <v>1.1116718312635301</v>
      </c>
      <c r="V70" s="25"/>
      <c r="W70" s="26"/>
    </row>
    <row r="71" spans="1:23" s="1" customFormat="1" x14ac:dyDescent="0.3">
      <c r="A71" s="31"/>
      <c r="B71" s="12" t="s">
        <v>97</v>
      </c>
      <c r="C71" s="13">
        <v>9.1744339469915595</v>
      </c>
      <c r="D71" s="14">
        <v>0.698640570931224</v>
      </c>
      <c r="E71" s="14">
        <v>0.12006</v>
      </c>
      <c r="F71" s="15">
        <v>1851.40267985439</v>
      </c>
      <c r="G71" s="15">
        <v>475.661646196677</v>
      </c>
      <c r="H71" s="17">
        <v>9019.7764756686993</v>
      </c>
      <c r="I71" s="17">
        <v>601604.83443591895</v>
      </c>
      <c r="J71" s="17">
        <v>610.22873870104104</v>
      </c>
      <c r="K71" s="21" t="s">
        <v>9</v>
      </c>
      <c r="L71" s="18" t="s">
        <v>29</v>
      </c>
      <c r="M71" s="22" t="s">
        <v>9</v>
      </c>
      <c r="N71" s="17">
        <v>19.952723152146099</v>
      </c>
      <c r="O71" s="21">
        <v>1.37473307842537E-2</v>
      </c>
      <c r="P71" s="17">
        <v>10.0240953635184</v>
      </c>
      <c r="Q71" s="21">
        <v>0.64631548200970701</v>
      </c>
      <c r="R71" s="21">
        <v>0.41719330227214502</v>
      </c>
      <c r="S71" s="23">
        <v>4.0669186903417302E-2</v>
      </c>
      <c r="T71" s="18" t="s">
        <v>29</v>
      </c>
      <c r="U71" s="18" t="s">
        <v>29</v>
      </c>
      <c r="V71" s="25">
        <f t="shared" ref="V71:V82" si="3">LN((D71^0.22*E71^0.22)/(C71^0.37*F71^0.2*G71^0.1))</f>
        <v>-3.48653026014795</v>
      </c>
      <c r="W71" s="26">
        <v>397.66874777163702</v>
      </c>
    </row>
    <row r="72" spans="1:23" s="1" customFormat="1" x14ac:dyDescent="0.3">
      <c r="A72" s="31"/>
      <c r="B72" s="12" t="s">
        <v>98</v>
      </c>
      <c r="C72" s="15">
        <v>10.041887610362799</v>
      </c>
      <c r="D72" s="13">
        <v>1.1659651993932101</v>
      </c>
      <c r="E72" s="14">
        <v>0.16070000000000001</v>
      </c>
      <c r="F72" s="15">
        <v>3078.3975962673198</v>
      </c>
      <c r="G72" s="15">
        <v>472.16966263718098</v>
      </c>
      <c r="H72" s="17">
        <v>9214.2939592278399</v>
      </c>
      <c r="I72" s="17">
        <v>595616.64286231203</v>
      </c>
      <c r="J72" s="17">
        <v>609.93234112058201</v>
      </c>
      <c r="K72" s="21">
        <v>0.10240426491316899</v>
      </c>
      <c r="L72" s="17">
        <v>287.98587153132098</v>
      </c>
      <c r="M72" s="22" t="s">
        <v>9</v>
      </c>
      <c r="N72" s="17">
        <v>21.212312017727999</v>
      </c>
      <c r="O72" s="21">
        <v>2.61235369676453E-2</v>
      </c>
      <c r="P72" s="22">
        <v>3.0721279473950802</v>
      </c>
      <c r="Q72" s="22">
        <v>0.95612145301581697</v>
      </c>
      <c r="R72" s="21" t="s">
        <v>9</v>
      </c>
      <c r="S72" s="23" t="s">
        <v>9</v>
      </c>
      <c r="T72" s="21">
        <v>0.241381481581042</v>
      </c>
      <c r="U72" s="23">
        <v>0.31034761917562598</v>
      </c>
      <c r="V72" s="25">
        <f t="shared" si="3"/>
        <v>-3.4440965108479298</v>
      </c>
      <c r="W72" s="26">
        <v>395.355489789231</v>
      </c>
    </row>
    <row r="73" spans="1:23" s="1" customFormat="1" x14ac:dyDescent="0.3">
      <c r="A73" s="31"/>
      <c r="B73" s="12" t="s">
        <v>99</v>
      </c>
      <c r="C73" s="15">
        <v>10.221152577809899</v>
      </c>
      <c r="D73" s="14">
        <v>0.74420401669056802</v>
      </c>
      <c r="E73" s="14">
        <v>0.17738000000000001</v>
      </c>
      <c r="F73" s="15">
        <v>3530.0734033039698</v>
      </c>
      <c r="G73" s="15">
        <v>482.62564914483397</v>
      </c>
      <c r="H73" s="17">
        <v>9056.5155254996407</v>
      </c>
      <c r="I73" s="17">
        <v>594549.87419310596</v>
      </c>
      <c r="J73" s="17">
        <v>611.14196370547199</v>
      </c>
      <c r="K73" s="21">
        <v>0.17549325445771499</v>
      </c>
      <c r="L73" s="17">
        <v>290.25520691824403</v>
      </c>
      <c r="M73" s="21">
        <v>6.7006515338400102E-2</v>
      </c>
      <c r="N73" s="17">
        <v>24.356336527767699</v>
      </c>
      <c r="O73" s="21">
        <v>2.8717078002171499E-2</v>
      </c>
      <c r="P73" s="22">
        <v>3.67897677072264</v>
      </c>
      <c r="Q73" s="22">
        <v>1.5432770437463299</v>
      </c>
      <c r="R73" s="21" t="s">
        <v>9</v>
      </c>
      <c r="S73" s="23" t="s">
        <v>9</v>
      </c>
      <c r="T73" s="21">
        <v>0.17017527704990501</v>
      </c>
      <c r="U73" s="23">
        <v>0.26802606135360102</v>
      </c>
      <c r="V73" s="25">
        <f t="shared" si="3"/>
        <v>-3.5572671046958999</v>
      </c>
      <c r="W73" s="26">
        <v>401.51932218788602</v>
      </c>
    </row>
    <row r="74" spans="1:23" s="1" customFormat="1" x14ac:dyDescent="0.3">
      <c r="A74" s="31"/>
      <c r="B74" s="12" t="s">
        <v>100</v>
      </c>
      <c r="C74" s="15">
        <v>10.229050507046001</v>
      </c>
      <c r="D74" s="14">
        <v>0.66698009365467004</v>
      </c>
      <c r="E74" s="14">
        <v>0.15121000000000001</v>
      </c>
      <c r="F74" s="15">
        <v>3479.5802401179399</v>
      </c>
      <c r="G74" s="15">
        <v>480.326836667392</v>
      </c>
      <c r="H74" s="17">
        <v>9079.4797944955808</v>
      </c>
      <c r="I74" s="17">
        <v>594477.07681427698</v>
      </c>
      <c r="J74" s="17">
        <v>608.95315245380095</v>
      </c>
      <c r="K74" s="21">
        <v>9.7926394032074301E-2</v>
      </c>
      <c r="L74" s="17">
        <v>290.90525531484701</v>
      </c>
      <c r="M74" s="22" t="s">
        <v>9</v>
      </c>
      <c r="N74" s="17">
        <v>30.5487772687014</v>
      </c>
      <c r="O74" s="21">
        <v>2.7355525289394701E-2</v>
      </c>
      <c r="P74" s="22">
        <v>3.77229500488773</v>
      </c>
      <c r="Q74" s="22">
        <v>1.6626198638923899</v>
      </c>
      <c r="R74" s="21" t="s">
        <v>9</v>
      </c>
      <c r="S74" s="23" t="s">
        <v>9</v>
      </c>
      <c r="T74" s="21">
        <v>0.23097855983652299</v>
      </c>
      <c r="U74" s="23">
        <v>0.33422704050077501</v>
      </c>
      <c r="V74" s="25">
        <f t="shared" si="3"/>
        <v>-3.6134135855163398</v>
      </c>
      <c r="W74" s="26">
        <v>404.56730860141698</v>
      </c>
    </row>
    <row r="75" spans="1:23" s="1" customFormat="1" x14ac:dyDescent="0.3">
      <c r="A75" s="31"/>
      <c r="B75" s="12" t="s">
        <v>101</v>
      </c>
      <c r="C75" s="15">
        <v>9.9662769741687107</v>
      </c>
      <c r="D75" s="14">
        <v>0.84452686942131905</v>
      </c>
      <c r="E75" s="14">
        <v>0.15192</v>
      </c>
      <c r="F75" s="15">
        <v>2869.9973879619702</v>
      </c>
      <c r="G75" s="15">
        <v>475.59047844011002</v>
      </c>
      <c r="H75" s="17">
        <v>9190.5459464186406</v>
      </c>
      <c r="I75" s="17">
        <v>596144.45514928701</v>
      </c>
      <c r="J75" s="17">
        <v>609.79925710834596</v>
      </c>
      <c r="K75" s="21">
        <v>7.77805174883094E-2</v>
      </c>
      <c r="L75" s="17">
        <v>290.58801333632402</v>
      </c>
      <c r="M75" s="22" t="s">
        <v>9</v>
      </c>
      <c r="N75" s="17">
        <v>26.756498015978401</v>
      </c>
      <c r="O75" s="21">
        <v>2.80009862957914E-2</v>
      </c>
      <c r="P75" s="22">
        <v>4.6046066353079196</v>
      </c>
      <c r="Q75" s="21">
        <v>0.80580616117888504</v>
      </c>
      <c r="R75" s="21" t="s">
        <v>9</v>
      </c>
      <c r="S75" s="23" t="s">
        <v>9</v>
      </c>
      <c r="T75" s="21">
        <v>0.69276514242920895</v>
      </c>
      <c r="U75" s="23">
        <v>0.73943345292219498</v>
      </c>
      <c r="V75" s="25">
        <f t="shared" si="3"/>
        <v>-3.51131920451737</v>
      </c>
      <c r="W75" s="26">
        <v>399.020456888345</v>
      </c>
    </row>
    <row r="76" spans="1:23" s="1" customFormat="1" x14ac:dyDescent="0.3">
      <c r="A76" s="31"/>
      <c r="B76" s="12" t="s">
        <v>102</v>
      </c>
      <c r="C76" s="13">
        <v>9.1820255394238401</v>
      </c>
      <c r="D76" s="14">
        <v>0.57484933957298601</v>
      </c>
      <c r="E76" s="14">
        <v>0.15687000000000001</v>
      </c>
      <c r="F76" s="15">
        <v>1824.6528795668801</v>
      </c>
      <c r="G76" s="15">
        <v>486.41431001468902</v>
      </c>
      <c r="H76" s="17">
        <v>8937.4263158970498</v>
      </c>
      <c r="I76" s="17">
        <v>601624.91307567304</v>
      </c>
      <c r="J76" s="17">
        <v>603.94987965346604</v>
      </c>
      <c r="K76" s="21" t="s">
        <v>9</v>
      </c>
      <c r="L76" s="17">
        <v>313.201662000326</v>
      </c>
      <c r="M76" s="22" t="s">
        <v>9</v>
      </c>
      <c r="N76" s="17">
        <v>15.8034029575515</v>
      </c>
      <c r="O76" s="21">
        <v>1.9109314338030901E-2</v>
      </c>
      <c r="P76" s="22">
        <v>5.9334421019585903</v>
      </c>
      <c r="Q76" s="21">
        <v>0.77774909355785704</v>
      </c>
      <c r="R76" s="21" t="s">
        <v>9</v>
      </c>
      <c r="S76" s="23" t="s">
        <v>9</v>
      </c>
      <c r="T76" s="22">
        <v>1.1465588602818499</v>
      </c>
      <c r="U76" s="24">
        <v>1.46186254685936</v>
      </c>
      <c r="V76" s="25">
        <f t="shared" si="3"/>
        <v>-3.4702335093432102</v>
      </c>
      <c r="W76" s="26">
        <v>396.77813694397003</v>
      </c>
    </row>
    <row r="77" spans="1:23" s="1" customFormat="1" x14ac:dyDescent="0.3">
      <c r="A77" s="31"/>
      <c r="B77" s="12" t="s">
        <v>103</v>
      </c>
      <c r="C77" s="13">
        <v>9.1275382571353703</v>
      </c>
      <c r="D77" s="14">
        <v>0.87331467610110203</v>
      </c>
      <c r="E77" s="14">
        <v>0.18364</v>
      </c>
      <c r="F77" s="15">
        <v>1992.6717235660799</v>
      </c>
      <c r="G77" s="15">
        <v>494.776193172874</v>
      </c>
      <c r="H77" s="17">
        <v>8728.6239940763808</v>
      </c>
      <c r="I77" s="17">
        <v>602170.57804618403</v>
      </c>
      <c r="J77" s="17">
        <v>597.23163955116797</v>
      </c>
      <c r="K77" s="21">
        <v>0.22130243641129499</v>
      </c>
      <c r="L77" s="18" t="s">
        <v>29</v>
      </c>
      <c r="M77" s="22">
        <v>1.0162815749359899</v>
      </c>
      <c r="N77" s="17">
        <v>18.6159989427527</v>
      </c>
      <c r="O77" s="21">
        <v>1.9945713152949299E-2</v>
      </c>
      <c r="P77" s="22">
        <v>7.9972811784682403</v>
      </c>
      <c r="Q77" s="22">
        <v>1.85210193563101</v>
      </c>
      <c r="R77" s="21">
        <v>0.27544080068358601</v>
      </c>
      <c r="S77" s="23" t="s">
        <v>9</v>
      </c>
      <c r="T77" s="18" t="s">
        <v>29</v>
      </c>
      <c r="U77" s="18" t="s">
        <v>29</v>
      </c>
      <c r="V77" s="25">
        <f t="shared" si="3"/>
        <v>-3.36068860519309</v>
      </c>
      <c r="W77" s="26">
        <v>390.82571253658102</v>
      </c>
    </row>
    <row r="78" spans="1:23" s="1" customFormat="1" x14ac:dyDescent="0.3">
      <c r="A78" s="31"/>
      <c r="B78" s="12" t="s">
        <v>104</v>
      </c>
      <c r="C78" s="13">
        <v>9.8095784217381397</v>
      </c>
      <c r="D78" s="13">
        <v>0.96752345642558801</v>
      </c>
      <c r="E78" s="14">
        <v>0.13638</v>
      </c>
      <c r="F78" s="15">
        <v>2580.5009625550501</v>
      </c>
      <c r="G78" s="15">
        <v>475.79618992046898</v>
      </c>
      <c r="H78" s="17">
        <v>9146.0793609546108</v>
      </c>
      <c r="I78" s="17">
        <v>597234.21868733503</v>
      </c>
      <c r="J78" s="17">
        <v>615.216744514212</v>
      </c>
      <c r="K78" s="21">
        <v>8.7786029580591105E-2</v>
      </c>
      <c r="L78" s="17">
        <v>312.25286568259099</v>
      </c>
      <c r="M78" s="21">
        <v>0.20721586052162799</v>
      </c>
      <c r="N78" s="17">
        <v>34.5019511607439</v>
      </c>
      <c r="O78" s="21">
        <v>2.0415355716416499E-2</v>
      </c>
      <c r="P78" s="22">
        <v>9.6768786095814399</v>
      </c>
      <c r="Q78" s="22">
        <v>1.5883146747372101</v>
      </c>
      <c r="R78" s="21">
        <v>0.60939836813503301</v>
      </c>
      <c r="S78" s="23" t="s">
        <v>9</v>
      </c>
      <c r="T78" s="21">
        <v>0.53692385534175502</v>
      </c>
      <c r="U78" s="23">
        <v>0.453220896904447</v>
      </c>
      <c r="V78" s="25">
        <f t="shared" si="3"/>
        <v>-3.4780613375236502</v>
      </c>
      <c r="W78" s="26">
        <v>397.21097037469298</v>
      </c>
    </row>
    <row r="79" spans="1:23" s="1" customFormat="1" x14ac:dyDescent="0.3">
      <c r="A79" s="31"/>
      <c r="B79" s="12" t="s">
        <v>105</v>
      </c>
      <c r="C79" s="15">
        <v>10.082430622629399</v>
      </c>
      <c r="D79" s="14">
        <v>0.56769234063417595</v>
      </c>
      <c r="E79" s="14">
        <v>0.14274999999999999</v>
      </c>
      <c r="F79" s="15">
        <v>3312.19911296992</v>
      </c>
      <c r="G79" s="15">
        <v>474.07545999057402</v>
      </c>
      <c r="H79" s="17">
        <v>9151.8254236416396</v>
      </c>
      <c r="I79" s="17">
        <v>595398.47849554406</v>
      </c>
      <c r="J79" s="17">
        <v>604.94583735776303</v>
      </c>
      <c r="K79" s="21">
        <v>9.5473588622192906E-2</v>
      </c>
      <c r="L79" s="17">
        <v>294.814048382816</v>
      </c>
      <c r="M79" s="22" t="s">
        <v>9</v>
      </c>
      <c r="N79" s="17">
        <v>30.635481184264101</v>
      </c>
      <c r="O79" s="21">
        <v>1.78357253470031E-2</v>
      </c>
      <c r="P79" s="22">
        <v>8.6660641980144408</v>
      </c>
      <c r="Q79" s="22">
        <v>1.15512550629708</v>
      </c>
      <c r="R79" s="21" t="s">
        <v>9</v>
      </c>
      <c r="S79" s="23" t="s">
        <v>9</v>
      </c>
      <c r="T79" s="21">
        <v>0.42595908769901503</v>
      </c>
      <c r="U79" s="23">
        <v>0.61270962368528203</v>
      </c>
      <c r="V79" s="25">
        <f t="shared" si="3"/>
        <v>-3.6450280329860898</v>
      </c>
      <c r="W79" s="26">
        <v>406.28800494815698</v>
      </c>
    </row>
    <row r="80" spans="1:23" s="1" customFormat="1" x14ac:dyDescent="0.3">
      <c r="A80" s="31"/>
      <c r="B80" s="12" t="s">
        <v>106</v>
      </c>
      <c r="C80" s="15">
        <v>10.1551079236033</v>
      </c>
      <c r="D80" s="14">
        <v>0.107415100133795</v>
      </c>
      <c r="E80" s="14">
        <v>0.13949</v>
      </c>
      <c r="F80" s="15">
        <v>3396.30768641635</v>
      </c>
      <c r="G80" s="15">
        <v>473.778904713342</v>
      </c>
      <c r="H80" s="17">
        <v>9123.7462864090794</v>
      </c>
      <c r="I80" s="17">
        <v>594935.04276677198</v>
      </c>
      <c r="J80" s="17">
        <v>609.20080311730806</v>
      </c>
      <c r="K80" s="21">
        <v>0.117296251771069</v>
      </c>
      <c r="L80" s="17">
        <v>287.32298068967202</v>
      </c>
      <c r="M80" s="22" t="s">
        <v>9</v>
      </c>
      <c r="N80" s="17">
        <v>81.261997848605304</v>
      </c>
      <c r="O80" s="21">
        <v>2.5784040929856599E-2</v>
      </c>
      <c r="P80" s="22">
        <v>4.9982997376320304</v>
      </c>
      <c r="Q80" s="22">
        <v>1.4170655281531801</v>
      </c>
      <c r="R80" s="21" t="s">
        <v>9</v>
      </c>
      <c r="S80" s="23" t="s">
        <v>9</v>
      </c>
      <c r="T80" s="21">
        <v>8.5594562103212299E-2</v>
      </c>
      <c r="U80" s="23">
        <v>0.237762672508923</v>
      </c>
      <c r="V80" s="25">
        <f t="shared" si="3"/>
        <v>-4.0239940426561001</v>
      </c>
      <c r="W80" s="26">
        <v>426.90682825863001</v>
      </c>
    </row>
    <row r="81" spans="1:23" s="1" customFormat="1" x14ac:dyDescent="0.3">
      <c r="A81" s="31"/>
      <c r="B81" s="12" t="s">
        <v>107</v>
      </c>
      <c r="C81" s="13">
        <v>9.9230142615781105</v>
      </c>
      <c r="D81" s="14">
        <v>0.14871754919167299</v>
      </c>
      <c r="E81" s="14">
        <v>0.16434000000000001</v>
      </c>
      <c r="F81" s="15">
        <v>3221.6237769119298</v>
      </c>
      <c r="G81" s="15">
        <v>467.82268812900202</v>
      </c>
      <c r="H81" s="17">
        <v>8935.8756940371404</v>
      </c>
      <c r="I81" s="17">
        <v>596654.36082017503</v>
      </c>
      <c r="J81" s="17">
        <v>601.26651451789098</v>
      </c>
      <c r="K81" s="21">
        <v>7.1247448912475503E-2</v>
      </c>
      <c r="L81" s="17">
        <v>286.12562454560799</v>
      </c>
      <c r="M81" s="22" t="s">
        <v>9</v>
      </c>
      <c r="N81" s="17">
        <v>64.019446848890993</v>
      </c>
      <c r="O81" s="21">
        <v>2.78794365309687E-2</v>
      </c>
      <c r="P81" s="22">
        <v>4.74982992749836</v>
      </c>
      <c r="Q81" s="22">
        <v>1.4672844189076499</v>
      </c>
      <c r="R81" s="21">
        <v>2.2716577914122599E-2</v>
      </c>
      <c r="S81" s="23" t="s">
        <v>9</v>
      </c>
      <c r="T81" s="21">
        <v>0.36036753145585398</v>
      </c>
      <c r="U81" s="23">
        <v>0.51422071823786597</v>
      </c>
      <c r="V81" s="25">
        <f t="shared" si="3"/>
        <v>-3.8959694172903001</v>
      </c>
      <c r="W81" s="26">
        <v>419.94406825156</v>
      </c>
    </row>
    <row r="82" spans="1:23" s="1" customFormat="1" x14ac:dyDescent="0.3">
      <c r="A82" s="31"/>
      <c r="B82" s="12" t="s">
        <v>108</v>
      </c>
      <c r="C82" s="15">
        <v>10.029877053358801</v>
      </c>
      <c r="D82" s="14">
        <v>0.203351029215569</v>
      </c>
      <c r="E82" s="14">
        <v>0.1633</v>
      </c>
      <c r="F82" s="15">
        <v>3100.8079839260099</v>
      </c>
      <c r="G82" s="15">
        <v>471.08030073935203</v>
      </c>
      <c r="H82" s="17">
        <v>8923.5638716147496</v>
      </c>
      <c r="I82" s="17">
        <v>595947.94978854002</v>
      </c>
      <c r="J82" s="17">
        <v>615.98683006164003</v>
      </c>
      <c r="K82" s="21">
        <v>5.2184584044530698E-2</v>
      </c>
      <c r="L82" s="17">
        <v>284.82345971504799</v>
      </c>
      <c r="M82" s="22" t="s">
        <v>9</v>
      </c>
      <c r="N82" s="17">
        <v>60.847224995922801</v>
      </c>
      <c r="O82" s="21">
        <v>2.27524786434154E-2</v>
      </c>
      <c r="P82" s="22">
        <v>5.6150612431914997</v>
      </c>
      <c r="Q82" s="22">
        <v>1.18876482453441</v>
      </c>
      <c r="R82" s="21" t="s">
        <v>9</v>
      </c>
      <c r="S82" s="23" t="s">
        <v>9</v>
      </c>
      <c r="T82" s="21">
        <v>0.48740401497591701</v>
      </c>
      <c r="U82" s="23">
        <v>0.76606969377371004</v>
      </c>
      <c r="V82" s="25">
        <f t="shared" si="3"/>
        <v>-3.8255440736747102</v>
      </c>
      <c r="W82" s="26">
        <v>416.10934393321799</v>
      </c>
    </row>
    <row r="83" spans="1:23" s="1" customFormat="1" x14ac:dyDescent="0.3">
      <c r="A83" s="31"/>
      <c r="B83" s="29" t="s">
        <v>10</v>
      </c>
      <c r="C83" s="13">
        <f t="shared" ref="C83:W83" si="4">MIN(C3:C82)</f>
        <v>6.9841518511346896</v>
      </c>
      <c r="D83" s="14">
        <f t="shared" si="4"/>
        <v>0.107415100133795</v>
      </c>
      <c r="E83" s="14">
        <f t="shared" si="4"/>
        <v>0.10045999999999999</v>
      </c>
      <c r="F83" s="15">
        <f t="shared" si="4"/>
        <v>1486.9081005211101</v>
      </c>
      <c r="G83" s="15">
        <f t="shared" si="4"/>
        <v>166.989296320394</v>
      </c>
      <c r="H83" s="15">
        <f t="shared" si="4"/>
        <v>7729.4356113682898</v>
      </c>
      <c r="I83" s="15">
        <f t="shared" si="4"/>
        <v>594332.00414387404</v>
      </c>
      <c r="J83" s="15">
        <f t="shared" si="4"/>
        <v>505.61094248760401</v>
      </c>
      <c r="K83" s="14">
        <f t="shared" si="4"/>
        <v>4.2680975211000297E-2</v>
      </c>
      <c r="L83" s="15">
        <f t="shared" si="4"/>
        <v>125.431703364879</v>
      </c>
      <c r="M83" s="22" t="s">
        <v>9</v>
      </c>
      <c r="N83" s="13">
        <f t="shared" si="4"/>
        <v>5.0427110220789801</v>
      </c>
      <c r="O83" s="21" t="s">
        <v>9</v>
      </c>
      <c r="P83" s="14">
        <f t="shared" si="4"/>
        <v>0.92025269805388299</v>
      </c>
      <c r="Q83" s="14">
        <f t="shared" si="4"/>
        <v>0.64631548200970701</v>
      </c>
      <c r="R83" s="21" t="s">
        <v>9</v>
      </c>
      <c r="S83" s="21" t="s">
        <v>9</v>
      </c>
      <c r="T83" s="14">
        <f t="shared" si="4"/>
        <v>2.7199499362446599E-2</v>
      </c>
      <c r="U83" s="14">
        <f t="shared" si="4"/>
        <v>2.42703225080293E-2</v>
      </c>
      <c r="V83" s="14">
        <f t="shared" si="4"/>
        <v>-4.0239940426561001</v>
      </c>
      <c r="W83" s="15">
        <f t="shared" si="4"/>
        <v>378.49859473728498</v>
      </c>
    </row>
    <row r="84" spans="1:23" s="1" customFormat="1" x14ac:dyDescent="0.3">
      <c r="A84" s="31"/>
      <c r="B84" s="29" t="s">
        <v>11</v>
      </c>
      <c r="C84" s="13">
        <f t="shared" ref="C84:W84" si="5">MAX(C3:C82)</f>
        <v>10.2817831859993</v>
      </c>
      <c r="D84" s="13">
        <f t="shared" si="5"/>
        <v>2.2215505747146298</v>
      </c>
      <c r="E84" s="14">
        <f t="shared" si="5"/>
        <v>0.25924999999999998</v>
      </c>
      <c r="F84" s="15">
        <f t="shared" si="5"/>
        <v>5316.6717080159397</v>
      </c>
      <c r="G84" s="15">
        <f t="shared" si="5"/>
        <v>746.85000995922303</v>
      </c>
      <c r="H84" s="15">
        <f t="shared" si="5"/>
        <v>9214.2939592278399</v>
      </c>
      <c r="I84" s="15">
        <f t="shared" si="5"/>
        <v>616533.696189309</v>
      </c>
      <c r="J84" s="15">
        <f t="shared" si="5"/>
        <v>861.93591003597805</v>
      </c>
      <c r="K84" s="13">
        <f t="shared" si="5"/>
        <v>2.8165703208430601</v>
      </c>
      <c r="L84" s="15">
        <f t="shared" si="5"/>
        <v>462.94534122505701</v>
      </c>
      <c r="M84" s="13">
        <f t="shared" si="5"/>
        <v>1.0162815749359899</v>
      </c>
      <c r="N84" s="15">
        <f t="shared" si="5"/>
        <v>133.845021090941</v>
      </c>
      <c r="O84" s="14">
        <f t="shared" si="5"/>
        <v>6.6278587966539806E-2</v>
      </c>
      <c r="P84" s="15">
        <f t="shared" si="5"/>
        <v>12.875670785959</v>
      </c>
      <c r="Q84" s="15">
        <f t="shared" si="5"/>
        <v>22.5016725992025</v>
      </c>
      <c r="R84" s="13">
        <f t="shared" si="5"/>
        <v>0.99566192887300697</v>
      </c>
      <c r="S84" s="14">
        <f t="shared" si="5"/>
        <v>4.0669186903417302E-2</v>
      </c>
      <c r="T84" s="13">
        <f t="shared" si="5"/>
        <v>2.1155817453272601</v>
      </c>
      <c r="U84" s="13">
        <f t="shared" si="5"/>
        <v>1.7690963454782</v>
      </c>
      <c r="V84" s="14">
        <f t="shared" si="5"/>
        <v>-3.1341378561486199</v>
      </c>
      <c r="W84" s="15">
        <f t="shared" si="5"/>
        <v>426.90682825863001</v>
      </c>
    </row>
    <row r="85" spans="1:23" s="1" customFormat="1" x14ac:dyDescent="0.3">
      <c r="A85" s="31"/>
      <c r="B85" s="29" t="s">
        <v>12</v>
      </c>
      <c r="C85" s="13">
        <f t="shared" ref="C85:W85" si="6">AVERAGE(C3:C82)</f>
        <v>9.5543852712215092</v>
      </c>
      <c r="D85" s="13">
        <f t="shared" si="6"/>
        <v>1.00897082834975</v>
      </c>
      <c r="E85" s="14">
        <f t="shared" si="6"/>
        <v>0.16500400000000001</v>
      </c>
      <c r="F85" s="15">
        <f t="shared" si="6"/>
        <v>3424.4109628844799</v>
      </c>
      <c r="G85" s="15">
        <f t="shared" si="6"/>
        <v>458.809067237818</v>
      </c>
      <c r="H85" s="15">
        <f t="shared" si="6"/>
        <v>8693.8459620544108</v>
      </c>
      <c r="I85" s="15">
        <f t="shared" si="6"/>
        <v>599336.50973848905</v>
      </c>
      <c r="J85" s="15">
        <f t="shared" si="6"/>
        <v>595.86007812232106</v>
      </c>
      <c r="K85" s="14">
        <f t="shared" si="6"/>
        <v>0.83558799602401201</v>
      </c>
      <c r="L85" s="15">
        <f t="shared" si="6"/>
        <v>262.23249343773301</v>
      </c>
      <c r="M85" s="14">
        <f t="shared" si="6"/>
        <v>0.167529554100777</v>
      </c>
      <c r="N85" s="15">
        <f t="shared" si="6"/>
        <v>44.383638040522499</v>
      </c>
      <c r="O85" s="14">
        <f t="shared" si="6"/>
        <v>3.1841209510622699E-2</v>
      </c>
      <c r="P85" s="13">
        <f t="shared" si="6"/>
        <v>5.0495727065222704</v>
      </c>
      <c r="Q85" s="13">
        <f t="shared" si="6"/>
        <v>5.9487222145875602</v>
      </c>
      <c r="R85" s="14">
        <f t="shared" si="6"/>
        <v>0.17698859262799399</v>
      </c>
      <c r="S85" s="14">
        <f t="shared" si="6"/>
        <v>1.8597729519075699E-2</v>
      </c>
      <c r="T85" s="14">
        <f t="shared" si="6"/>
        <v>0.490107334559167</v>
      </c>
      <c r="U85" s="14">
        <f t="shared" si="6"/>
        <v>0.493192187296285</v>
      </c>
      <c r="V85" s="14">
        <f t="shared" si="6"/>
        <v>-3.4960236398589353</v>
      </c>
      <c r="W85" s="15">
        <f t="shared" si="6"/>
        <v>398.03093001518101</v>
      </c>
    </row>
    <row r="86" spans="1:23" s="1" customFormat="1" x14ac:dyDescent="0.3">
      <c r="A86" s="30" t="s">
        <v>109</v>
      </c>
      <c r="B86" s="12" t="s">
        <v>110</v>
      </c>
      <c r="C86" s="13">
        <v>7.4842736419999998</v>
      </c>
      <c r="D86" s="14">
        <v>0.59424278137936104</v>
      </c>
      <c r="E86" s="14">
        <v>0.16700000000000001</v>
      </c>
      <c r="F86" s="15">
        <v>2252.2912977818901</v>
      </c>
      <c r="G86" s="15">
        <v>635.87217723901597</v>
      </c>
      <c r="H86" s="17">
        <v>8527.0876277364896</v>
      </c>
      <c r="I86" s="17">
        <v>613370.36235986196</v>
      </c>
      <c r="J86" s="17">
        <v>350.53814423638602</v>
      </c>
      <c r="K86" s="21">
        <v>0.197815349113624</v>
      </c>
      <c r="L86" s="17">
        <v>376.31644366812202</v>
      </c>
      <c r="M86" s="21">
        <v>6.8534451661413004E-2</v>
      </c>
      <c r="N86" s="17">
        <v>72.039054303189801</v>
      </c>
      <c r="O86" s="21">
        <v>1.8691214089476299E-2</v>
      </c>
      <c r="P86" s="22">
        <v>4.1510071290378496</v>
      </c>
      <c r="Q86" s="22">
        <v>6.9780532600711398</v>
      </c>
      <c r="R86" s="21" t="s">
        <v>9</v>
      </c>
      <c r="S86" s="21" t="s">
        <v>9</v>
      </c>
      <c r="T86" s="21">
        <v>0.19236374500419301</v>
      </c>
      <c r="U86" s="21">
        <v>0.23519777729257599</v>
      </c>
      <c r="V86" s="25">
        <f t="shared" ref="V86:V105" si="7">LN((D86^0.22*E86^0.22)/(C86^0.37*F86^0.2*G86^0.1))</f>
        <v>-3.44242822521529</v>
      </c>
      <c r="W86" s="26">
        <v>395.26778164372502</v>
      </c>
    </row>
    <row r="87" spans="1:23" s="1" customFormat="1" x14ac:dyDescent="0.3">
      <c r="A87" s="31"/>
      <c r="B87" s="12" t="s">
        <v>111</v>
      </c>
      <c r="C87" s="13">
        <v>7.2657036609999999</v>
      </c>
      <c r="D87" s="14">
        <v>0.617092012039405</v>
      </c>
      <c r="E87" s="14">
        <v>0.25613999999999998</v>
      </c>
      <c r="F87" s="15">
        <v>3309.25961743077</v>
      </c>
      <c r="G87" s="15">
        <v>645.75689985907604</v>
      </c>
      <c r="H87" s="17">
        <v>8569.9012482471408</v>
      </c>
      <c r="I87" s="17">
        <v>614800.00279661501</v>
      </c>
      <c r="J87" s="17">
        <v>317.84618304041402</v>
      </c>
      <c r="K87" s="21">
        <v>0.355346589031862</v>
      </c>
      <c r="L87" s="17">
        <v>388.15944427437802</v>
      </c>
      <c r="M87" s="21" t="s">
        <v>9</v>
      </c>
      <c r="N87" s="17">
        <v>26.688797006009999</v>
      </c>
      <c r="O87" s="21">
        <v>2.4949866889471199E-2</v>
      </c>
      <c r="P87" s="22">
        <v>5.9350440934044997</v>
      </c>
      <c r="Q87" s="22">
        <v>9.7153269554455797</v>
      </c>
      <c r="R87" s="21" t="s">
        <v>9</v>
      </c>
      <c r="S87" s="21" t="s">
        <v>9</v>
      </c>
      <c r="T87" s="21">
        <v>3.9314941765227297E-2</v>
      </c>
      <c r="U87" s="21">
        <v>6.5776921799514901E-2</v>
      </c>
      <c r="V87" s="25">
        <f t="shared" si="7"/>
        <v>-3.4075583836080199</v>
      </c>
      <c r="W87" s="26">
        <v>393.37237002338901</v>
      </c>
    </row>
    <row r="88" spans="1:23" s="1" customFormat="1" x14ac:dyDescent="0.3">
      <c r="A88" s="31"/>
      <c r="B88" s="12" t="s">
        <v>112</v>
      </c>
      <c r="C88" s="13">
        <v>7.237416896</v>
      </c>
      <c r="D88" s="14">
        <v>0.56059893299007002</v>
      </c>
      <c r="E88" s="14">
        <v>0.26527000000000001</v>
      </c>
      <c r="F88" s="15">
        <v>3707.5757938607098</v>
      </c>
      <c r="G88" s="15">
        <v>648.76347321126298</v>
      </c>
      <c r="H88" s="17">
        <v>8581.7237804271408</v>
      </c>
      <c r="I88" s="17">
        <v>614979.60599974799</v>
      </c>
      <c r="J88" s="17">
        <v>316.08156828830801</v>
      </c>
      <c r="K88" s="21">
        <v>0.32459174632418603</v>
      </c>
      <c r="L88" s="17">
        <v>381.67771934361298</v>
      </c>
      <c r="M88" s="21">
        <v>9.2632911363978804E-2</v>
      </c>
      <c r="N88" s="17">
        <v>18.752516202951799</v>
      </c>
      <c r="O88" s="21">
        <v>3.5396315724447201E-2</v>
      </c>
      <c r="P88" s="22">
        <v>5.5655058128439299</v>
      </c>
      <c r="Q88" s="22">
        <v>9.3536647084603004</v>
      </c>
      <c r="R88" s="21" t="s">
        <v>9</v>
      </c>
      <c r="S88" s="21" t="s">
        <v>9</v>
      </c>
      <c r="T88" s="21">
        <v>3.8408768126527798E-2</v>
      </c>
      <c r="U88" s="21">
        <v>5.4224143237450999E-2</v>
      </c>
      <c r="V88" s="25">
        <f t="shared" si="7"/>
        <v>-3.4427277994317098</v>
      </c>
      <c r="W88" s="26">
        <v>395.28762002318001</v>
      </c>
    </row>
    <row r="89" spans="1:23" s="1" customFormat="1" x14ac:dyDescent="0.3">
      <c r="A89" s="31"/>
      <c r="B89" s="12" t="s">
        <v>113</v>
      </c>
      <c r="C89" s="13">
        <v>7.4475677039999999</v>
      </c>
      <c r="D89" s="14">
        <v>0.64268271430518498</v>
      </c>
      <c r="E89" s="14">
        <v>0.22045000000000001</v>
      </c>
      <c r="F89" s="15">
        <v>3623.8112991365101</v>
      </c>
      <c r="G89" s="15">
        <v>651.11208159212902</v>
      </c>
      <c r="H89" s="17">
        <v>8556.5655589748094</v>
      </c>
      <c r="I89" s="17">
        <v>613591.23098617105</v>
      </c>
      <c r="J89" s="17">
        <v>322.93459545555697</v>
      </c>
      <c r="K89" s="21">
        <v>0.49598785959096803</v>
      </c>
      <c r="L89" s="17">
        <v>386.32804375952799</v>
      </c>
      <c r="M89" s="21" t="s">
        <v>9</v>
      </c>
      <c r="N89" s="17">
        <v>15.4996206122178</v>
      </c>
      <c r="O89" s="21">
        <v>2.7899317101992002E-2</v>
      </c>
      <c r="P89" s="22">
        <v>5.11487480203186</v>
      </c>
      <c r="Q89" s="22">
        <v>7.9435555637616</v>
      </c>
      <c r="R89" s="21" t="s">
        <v>9</v>
      </c>
      <c r="S89" s="21" t="s">
        <v>9</v>
      </c>
      <c r="T89" s="21">
        <v>6.5098406571314604E-2</v>
      </c>
      <c r="U89" s="21">
        <v>0.114697192530411</v>
      </c>
      <c r="V89" s="25">
        <f t="shared" si="7"/>
        <v>-3.4597643401549099</v>
      </c>
      <c r="W89" s="26">
        <v>396.21081012315</v>
      </c>
    </row>
    <row r="90" spans="1:23" s="1" customFormat="1" x14ac:dyDescent="0.3">
      <c r="A90" s="31"/>
      <c r="B90" s="12" t="s">
        <v>114</v>
      </c>
      <c r="C90" s="13">
        <v>7.3627162259999999</v>
      </c>
      <c r="D90" s="14">
        <v>0.64170248460961898</v>
      </c>
      <c r="E90" s="14">
        <v>0.25196000000000002</v>
      </c>
      <c r="F90" s="15">
        <v>3318.9684382627302</v>
      </c>
      <c r="G90" s="15">
        <v>648.22927567991906</v>
      </c>
      <c r="H90" s="17">
        <v>8587.0263748958296</v>
      </c>
      <c r="I90" s="17">
        <v>614134.29916222801</v>
      </c>
      <c r="J90" s="17">
        <v>322.09010421183098</v>
      </c>
      <c r="K90" s="21">
        <v>0.27658070318856098</v>
      </c>
      <c r="L90" s="17">
        <v>382.84592072943002</v>
      </c>
      <c r="M90" s="21" t="s">
        <v>9</v>
      </c>
      <c r="N90" s="17">
        <v>19.843324688597601</v>
      </c>
      <c r="O90" s="21">
        <v>3.9073728151292599E-2</v>
      </c>
      <c r="P90" s="22">
        <v>4.7424779854215897</v>
      </c>
      <c r="Q90" s="22">
        <v>8.8260656529978494</v>
      </c>
      <c r="R90" s="21" t="s">
        <v>9</v>
      </c>
      <c r="S90" s="21" t="s">
        <v>9</v>
      </c>
      <c r="T90" s="21">
        <v>6.3590577187397704E-2</v>
      </c>
      <c r="U90" s="21">
        <v>7.2784395575937202E-2</v>
      </c>
      <c r="V90" s="25">
        <f t="shared" si="7"/>
        <v>-3.4084504012471202</v>
      </c>
      <c r="W90" s="26">
        <v>393.417880847682</v>
      </c>
    </row>
    <row r="91" spans="1:23" s="1" customFormat="1" x14ac:dyDescent="0.3">
      <c r="A91" s="31"/>
      <c r="B91" s="12" t="s">
        <v>115</v>
      </c>
      <c r="C91" s="13">
        <v>7.2428973809999997</v>
      </c>
      <c r="D91" s="14">
        <v>0.59340458179741395</v>
      </c>
      <c r="E91" s="14">
        <v>0.19883999999999999</v>
      </c>
      <c r="F91" s="15">
        <v>3981.7093511390499</v>
      </c>
      <c r="G91" s="15">
        <v>656.82215275628596</v>
      </c>
      <c r="H91" s="17">
        <v>8654.5463712151704</v>
      </c>
      <c r="I91" s="17">
        <v>614880.03261485498</v>
      </c>
      <c r="J91" s="17">
        <v>316.99923397484099</v>
      </c>
      <c r="K91" s="21">
        <v>0.31654702394063999</v>
      </c>
      <c r="L91" s="17">
        <v>380.76084879717001</v>
      </c>
      <c r="M91" s="21" t="s">
        <v>9</v>
      </c>
      <c r="N91" s="17">
        <v>23.891763473615001</v>
      </c>
      <c r="O91" s="21">
        <v>3.8437852907077699E-2</v>
      </c>
      <c r="P91" s="22">
        <v>5.1325838881803802</v>
      </c>
      <c r="Q91" s="22">
        <v>9.0894216874383797</v>
      </c>
      <c r="R91" s="21" t="s">
        <v>9</v>
      </c>
      <c r="S91" s="21" t="s">
        <v>9</v>
      </c>
      <c r="T91" s="21">
        <v>4.9743103762100602E-2</v>
      </c>
      <c r="U91" s="21">
        <v>4.2959953249086899E-2</v>
      </c>
      <c r="V91" s="25">
        <f t="shared" si="7"/>
        <v>-3.5094119166509801</v>
      </c>
      <c r="W91" s="26">
        <v>398.91427521867598</v>
      </c>
    </row>
    <row r="92" spans="1:23" s="1" customFormat="1" x14ac:dyDescent="0.3">
      <c r="A92" s="31"/>
      <c r="B92" s="12" t="s">
        <v>116</v>
      </c>
      <c r="C92" s="13">
        <v>7.2549628019999997</v>
      </c>
      <c r="D92" s="14">
        <v>0.50172651850140804</v>
      </c>
      <c r="E92" s="14">
        <v>0.23780000000000001</v>
      </c>
      <c r="F92" s="15">
        <v>3798.8525304800701</v>
      </c>
      <c r="G92" s="15">
        <v>652.98845827560604</v>
      </c>
      <c r="H92" s="17">
        <v>8613.0978776325792</v>
      </c>
      <c r="I92" s="17">
        <v>614834.82015735505</v>
      </c>
      <c r="J92" s="17">
        <v>315.71544678989801</v>
      </c>
      <c r="K92" s="21">
        <v>0.38275402085719301</v>
      </c>
      <c r="L92" s="17">
        <v>382.60303307776201</v>
      </c>
      <c r="M92" s="21" t="s">
        <v>9</v>
      </c>
      <c r="N92" s="17">
        <v>31.405458121615801</v>
      </c>
      <c r="O92" s="21">
        <v>2.5667922503243699E-2</v>
      </c>
      <c r="P92" s="22">
        <v>5.3751649477381003</v>
      </c>
      <c r="Q92" s="22">
        <v>9.4065386585416704</v>
      </c>
      <c r="R92" s="21" t="s">
        <v>9</v>
      </c>
      <c r="S92" s="21" t="s">
        <v>9</v>
      </c>
      <c r="T92" s="21">
        <v>5.2090783903641698E-2</v>
      </c>
      <c r="U92" s="21">
        <v>7.0964256332497297E-2</v>
      </c>
      <c r="V92" s="25">
        <f t="shared" si="7"/>
        <v>-3.4975961281688002</v>
      </c>
      <c r="W92" s="26">
        <v>398.26974787267102</v>
      </c>
    </row>
    <row r="93" spans="1:23" s="1" customFormat="1" x14ac:dyDescent="0.3">
      <c r="A93" s="31"/>
      <c r="B93" s="12" t="s">
        <v>117</v>
      </c>
      <c r="C93" s="13">
        <v>7.3541157540000004</v>
      </c>
      <c r="D93" s="14">
        <v>0.64060729126768101</v>
      </c>
      <c r="E93" s="14">
        <v>0.21781</v>
      </c>
      <c r="F93" s="15">
        <v>4211.2069713094297</v>
      </c>
      <c r="G93" s="15">
        <v>655.46327613322705</v>
      </c>
      <c r="H93" s="17">
        <v>8598.4229565024107</v>
      </c>
      <c r="I93" s="17">
        <v>614182.178519006</v>
      </c>
      <c r="J93" s="17">
        <v>319.72420000237702</v>
      </c>
      <c r="K93" s="21">
        <v>0.37497572523016898</v>
      </c>
      <c r="L93" s="17">
        <v>392.500100960314</v>
      </c>
      <c r="M93" s="21">
        <v>5.3567960747167E-2</v>
      </c>
      <c r="N93" s="17">
        <v>100.784291862884</v>
      </c>
      <c r="O93" s="21">
        <v>4.4384881761938402E-2</v>
      </c>
      <c r="P93" s="22">
        <v>5.1425242317280304</v>
      </c>
      <c r="Q93" s="22">
        <v>8.3106864816319099</v>
      </c>
      <c r="R93" s="21" t="s">
        <v>9</v>
      </c>
      <c r="S93" s="21" t="s">
        <v>9</v>
      </c>
      <c r="T93" s="21">
        <v>4.3619625179836002E-2</v>
      </c>
      <c r="U93" s="21">
        <v>8.7239250359672005E-2</v>
      </c>
      <c r="V93" s="25">
        <f t="shared" si="7"/>
        <v>-3.4891649681612402</v>
      </c>
      <c r="W93" s="26">
        <v>397.80619322005202</v>
      </c>
    </row>
    <row r="94" spans="1:23" s="1" customFormat="1" x14ac:dyDescent="0.3">
      <c r="A94" s="31"/>
      <c r="B94" s="12" t="s">
        <v>118</v>
      </c>
      <c r="C94" s="13">
        <v>7.4433754419999998</v>
      </c>
      <c r="D94" s="14">
        <v>0.86975680611119</v>
      </c>
      <c r="E94" s="14">
        <v>0.23152</v>
      </c>
      <c r="F94" s="15">
        <v>3627.9678015151198</v>
      </c>
      <c r="G94" s="15">
        <v>656.57007862576904</v>
      </c>
      <c r="H94" s="17">
        <v>8465.7745667293493</v>
      </c>
      <c r="I94" s="17">
        <v>613697.65614869399</v>
      </c>
      <c r="J94" s="17">
        <v>329.10408173863698</v>
      </c>
      <c r="K94" s="21">
        <v>0.23933434045008001</v>
      </c>
      <c r="L94" s="17">
        <v>392.53930012977497</v>
      </c>
      <c r="M94" s="21" t="s">
        <v>9</v>
      </c>
      <c r="N94" s="17">
        <v>111.534449918484</v>
      </c>
      <c r="O94" s="21">
        <v>4.56981426749343E-2</v>
      </c>
      <c r="P94" s="22">
        <v>4.6550141945144903</v>
      </c>
      <c r="Q94" s="17">
        <v>10.316936617459699</v>
      </c>
      <c r="R94" s="21">
        <v>3.9501784346129602E-2</v>
      </c>
      <c r="S94" s="21" t="s">
        <v>9</v>
      </c>
      <c r="T94" s="21">
        <v>0.13012352490489801</v>
      </c>
      <c r="U94" s="21">
        <v>9.2945374932069696E-2</v>
      </c>
      <c r="V94" s="25">
        <f t="shared" si="7"/>
        <v>-3.3832773156111502</v>
      </c>
      <c r="W94" s="26">
        <v>392.05394346999799</v>
      </c>
    </row>
    <row r="95" spans="1:23" s="1" customFormat="1" x14ac:dyDescent="0.3">
      <c r="A95" s="31"/>
      <c r="B95" s="12" t="s">
        <v>119</v>
      </c>
      <c r="C95" s="13">
        <v>7.6047067420000003</v>
      </c>
      <c r="D95" s="14">
        <v>0.81692356136938105</v>
      </c>
      <c r="E95" s="14">
        <v>0.22958999999999999</v>
      </c>
      <c r="F95" s="15">
        <v>3306.1878011091499</v>
      </c>
      <c r="G95" s="15">
        <v>649.265326183345</v>
      </c>
      <c r="H95" s="17">
        <v>8685.6671385768495</v>
      </c>
      <c r="I95" s="17">
        <v>612425.52475069195</v>
      </c>
      <c r="J95" s="17">
        <v>352.69696097519102</v>
      </c>
      <c r="K95" s="21">
        <v>0.19387649862894801</v>
      </c>
      <c r="L95" s="18" t="s">
        <v>29</v>
      </c>
      <c r="M95" s="21" t="s">
        <v>9</v>
      </c>
      <c r="N95" s="17">
        <v>100.340979698574</v>
      </c>
      <c r="O95" s="21">
        <v>2.6905310013813102E-2</v>
      </c>
      <c r="P95" s="22">
        <v>4.8429558024863599</v>
      </c>
      <c r="Q95" s="18" t="s">
        <v>29</v>
      </c>
      <c r="R95" s="21" t="s">
        <v>9</v>
      </c>
      <c r="S95" s="21" t="s">
        <v>9</v>
      </c>
      <c r="T95" s="21">
        <v>0.32919438134547802</v>
      </c>
      <c r="U95" s="21">
        <v>0.27459242867038702</v>
      </c>
      <c r="V95" s="25">
        <f t="shared" si="7"/>
        <v>-3.3871456687850401</v>
      </c>
      <c r="W95" s="26">
        <v>392.25788280551802</v>
      </c>
    </row>
    <row r="96" spans="1:23" s="1" customFormat="1" x14ac:dyDescent="0.3">
      <c r="A96" s="31"/>
      <c r="B96" s="12" t="s">
        <v>120</v>
      </c>
      <c r="C96" s="13">
        <v>7.2685796160000002</v>
      </c>
      <c r="D96" s="14">
        <v>0.73099445294972998</v>
      </c>
      <c r="E96" s="14">
        <v>0.25152999999999998</v>
      </c>
      <c r="F96" s="15">
        <v>3896.7452841591098</v>
      </c>
      <c r="G96" s="15">
        <v>648.13963610993096</v>
      </c>
      <c r="H96" s="17">
        <v>8630.7764824417009</v>
      </c>
      <c r="I96" s="17">
        <v>614728.208404565</v>
      </c>
      <c r="J96" s="17">
        <v>318.95525743980897</v>
      </c>
      <c r="K96" s="21">
        <v>0.393305036444631</v>
      </c>
      <c r="L96" s="17">
        <v>388.918172576595</v>
      </c>
      <c r="M96" s="21" t="s">
        <v>9</v>
      </c>
      <c r="N96" s="17">
        <v>99.612064037995907</v>
      </c>
      <c r="O96" s="21">
        <v>2.7228810215397501E-2</v>
      </c>
      <c r="P96" s="22">
        <v>4.8558044884125602</v>
      </c>
      <c r="Q96" s="22">
        <v>9.4393208746711394</v>
      </c>
      <c r="R96" s="21" t="s">
        <v>9</v>
      </c>
      <c r="S96" s="21" t="s">
        <v>9</v>
      </c>
      <c r="T96" s="21">
        <v>4.0843215323096302E-2</v>
      </c>
      <c r="U96" s="21">
        <v>4.23559270017295E-2</v>
      </c>
      <c r="V96" s="25">
        <f t="shared" si="7"/>
        <v>-3.4074868683568398</v>
      </c>
      <c r="W96" s="26">
        <v>393.36682467329098</v>
      </c>
    </row>
    <row r="97" spans="1:23" s="1" customFormat="1" x14ac:dyDescent="0.3">
      <c r="A97" s="31"/>
      <c r="B97" s="12" t="s">
        <v>121</v>
      </c>
      <c r="C97" s="13">
        <v>7.3940782540000001</v>
      </c>
      <c r="D97" s="14">
        <v>0.63879280802862504</v>
      </c>
      <c r="E97" s="14">
        <v>0.22245000000000001</v>
      </c>
      <c r="F97" s="15">
        <v>3442.3627584844198</v>
      </c>
      <c r="G97" s="15">
        <v>642.26541502595705</v>
      </c>
      <c r="H97" s="17">
        <v>8506.6523598130807</v>
      </c>
      <c r="I97" s="17">
        <v>613993.17864786903</v>
      </c>
      <c r="J97" s="17">
        <v>319.61499550166002</v>
      </c>
      <c r="K97" s="21">
        <v>0.49011736190312299</v>
      </c>
      <c r="L97" s="17">
        <v>378.01359482418297</v>
      </c>
      <c r="M97" s="21" t="s">
        <v>9</v>
      </c>
      <c r="N97" s="17">
        <v>97.869589378457306</v>
      </c>
      <c r="O97" s="21">
        <v>3.3854260476824799E-2</v>
      </c>
      <c r="P97" s="22">
        <v>4.6934315661052599</v>
      </c>
      <c r="Q97" s="22">
        <v>7.5248788059851597</v>
      </c>
      <c r="R97" s="21" t="s">
        <v>9</v>
      </c>
      <c r="S97" s="21" t="s">
        <v>9</v>
      </c>
      <c r="T97" s="21" t="s">
        <v>9</v>
      </c>
      <c r="U97" s="21">
        <v>1.6234656728659199E-2</v>
      </c>
      <c r="V97" s="25">
        <f t="shared" si="7"/>
        <v>-3.4448044000328899</v>
      </c>
      <c r="W97" s="26">
        <v>395.393964224878</v>
      </c>
    </row>
    <row r="98" spans="1:23" s="1" customFormat="1" x14ac:dyDescent="0.3">
      <c r="A98" s="31"/>
      <c r="B98" s="12" t="s">
        <v>122</v>
      </c>
      <c r="C98" s="13">
        <v>7.3914913459999996</v>
      </c>
      <c r="D98" s="14">
        <v>0.53793824765891796</v>
      </c>
      <c r="E98" s="14">
        <v>0.23674999999999999</v>
      </c>
      <c r="F98" s="15">
        <v>3746.5092973523901</v>
      </c>
      <c r="G98" s="15">
        <v>645.04040845732902</v>
      </c>
      <c r="H98" s="17">
        <v>8552.9015369654298</v>
      </c>
      <c r="I98" s="17">
        <v>613970.65214772103</v>
      </c>
      <c r="J98" s="17">
        <v>325.19485340188697</v>
      </c>
      <c r="K98" s="21">
        <v>0.36149853618469002</v>
      </c>
      <c r="L98" s="18" t="s">
        <v>29</v>
      </c>
      <c r="M98" s="21" t="s">
        <v>9</v>
      </c>
      <c r="N98" s="17">
        <v>25.4587266972622</v>
      </c>
      <c r="O98" s="21">
        <v>2.61509579367648E-2</v>
      </c>
      <c r="P98" s="22">
        <v>4.51488597320028</v>
      </c>
      <c r="Q98" s="18" t="s">
        <v>29</v>
      </c>
      <c r="R98" s="21" t="s">
        <v>9</v>
      </c>
      <c r="S98" s="21" t="s">
        <v>9</v>
      </c>
      <c r="T98" s="21">
        <v>0.101527248460381</v>
      </c>
      <c r="U98" s="21">
        <v>6.3839103198572902E-2</v>
      </c>
      <c r="V98" s="25">
        <f t="shared" si="7"/>
        <v>-3.4861368370457302</v>
      </c>
      <c r="W98" s="26">
        <v>397.64692806176703</v>
      </c>
    </row>
    <row r="99" spans="1:23" s="1" customFormat="1" x14ac:dyDescent="0.3">
      <c r="A99" s="31"/>
      <c r="B99" s="12" t="s">
        <v>123</v>
      </c>
      <c r="C99" s="13">
        <v>7.4505949239999998</v>
      </c>
      <c r="D99" s="14">
        <v>0.72091921693293304</v>
      </c>
      <c r="E99" s="14">
        <v>0.18794</v>
      </c>
      <c r="F99" s="15">
        <v>2717.4126125935099</v>
      </c>
      <c r="G99" s="15">
        <v>633.009417574905</v>
      </c>
      <c r="H99" s="17">
        <v>8468.5586212150993</v>
      </c>
      <c r="I99" s="17">
        <v>613646.81394230097</v>
      </c>
      <c r="J99" s="17">
        <v>339.73472377702598</v>
      </c>
      <c r="K99" s="21">
        <v>0.24499354795422301</v>
      </c>
      <c r="L99" s="17">
        <v>382.53106506523199</v>
      </c>
      <c r="M99" s="21" t="s">
        <v>9</v>
      </c>
      <c r="N99" s="17">
        <v>23.413940342460499</v>
      </c>
      <c r="O99" s="21">
        <v>2.4809473210554201E-2</v>
      </c>
      <c r="P99" s="22">
        <v>4.3183989307120898</v>
      </c>
      <c r="Q99" s="22">
        <v>7.3420534782483804</v>
      </c>
      <c r="R99" s="21" t="s">
        <v>9</v>
      </c>
      <c r="S99" s="21" t="s">
        <v>9</v>
      </c>
      <c r="T99" s="21">
        <v>0.32717492796418302</v>
      </c>
      <c r="U99" s="21">
        <v>0.12637325416626</v>
      </c>
      <c r="V99" s="25">
        <f t="shared" si="7"/>
        <v>-3.4093537151378701</v>
      </c>
      <c r="W99" s="26">
        <v>393.46710902220701</v>
      </c>
    </row>
    <row r="100" spans="1:23" s="1" customFormat="1" x14ac:dyDescent="0.3">
      <c r="A100" s="31"/>
      <c r="B100" s="12" t="s">
        <v>124</v>
      </c>
      <c r="C100" s="13">
        <v>7.482569421</v>
      </c>
      <c r="D100" s="14">
        <v>0.60066081364336299</v>
      </c>
      <c r="E100" s="14">
        <v>0.20169999999999999</v>
      </c>
      <c r="F100" s="15">
        <v>3230.50785937404</v>
      </c>
      <c r="G100" s="15">
        <v>646.44316284222998</v>
      </c>
      <c r="H100" s="17">
        <v>8401.3448548194501</v>
      </c>
      <c r="I100" s="17">
        <v>613490.23480319604</v>
      </c>
      <c r="J100" s="17">
        <v>329.04618495335501</v>
      </c>
      <c r="K100" s="18" t="s">
        <v>29</v>
      </c>
      <c r="L100" s="18" t="s">
        <v>29</v>
      </c>
      <c r="M100" s="21" t="s">
        <v>9</v>
      </c>
      <c r="N100" s="17">
        <v>18.2976463473825</v>
      </c>
      <c r="O100" s="21">
        <v>2.1801450967093999E-2</v>
      </c>
      <c r="P100" s="18" t="s">
        <v>29</v>
      </c>
      <c r="Q100" s="18" t="s">
        <v>29</v>
      </c>
      <c r="R100" s="21">
        <v>3.11449299529915E-2</v>
      </c>
      <c r="S100" s="21" t="s">
        <v>9</v>
      </c>
      <c r="T100" s="18" t="s">
        <v>29</v>
      </c>
      <c r="U100" s="18" t="s">
        <v>29</v>
      </c>
      <c r="V100" s="25">
        <f t="shared" si="7"/>
        <v>-3.4722343790366499</v>
      </c>
      <c r="W100" s="26">
        <v>396.887476951449</v>
      </c>
    </row>
    <row r="101" spans="1:23" s="1" customFormat="1" x14ac:dyDescent="0.3">
      <c r="A101" s="31"/>
      <c r="B101" s="12" t="s">
        <v>125</v>
      </c>
      <c r="C101" s="13">
        <v>7.33065926</v>
      </c>
      <c r="D101" s="14">
        <v>0.49450914124211598</v>
      </c>
      <c r="E101" s="14">
        <v>0.26268000000000002</v>
      </c>
      <c r="F101" s="15">
        <v>3086.3524833178299</v>
      </c>
      <c r="G101" s="15">
        <v>642.652023073382</v>
      </c>
      <c r="H101" s="17">
        <v>8472.5944221975005</v>
      </c>
      <c r="I101" s="17">
        <v>614448.07842622604</v>
      </c>
      <c r="J101" s="17">
        <v>318.32300822751603</v>
      </c>
      <c r="K101" s="21">
        <v>0.27003677189681402</v>
      </c>
      <c r="L101" s="17">
        <v>378.05148065553999</v>
      </c>
      <c r="M101" s="21" t="s">
        <v>9</v>
      </c>
      <c r="N101" s="17">
        <v>105.192290521386</v>
      </c>
      <c r="O101" s="21">
        <v>2.51729194141098E-2</v>
      </c>
      <c r="P101" s="22">
        <v>5.0269557254237496</v>
      </c>
      <c r="Q101" s="22">
        <v>8.0477060551169206</v>
      </c>
      <c r="R101" s="21" t="s">
        <v>9</v>
      </c>
      <c r="S101" s="21" t="s">
        <v>9</v>
      </c>
      <c r="T101" s="21" t="s">
        <v>9</v>
      </c>
      <c r="U101" s="21">
        <v>2.5783172005967001E-2</v>
      </c>
      <c r="V101" s="25">
        <f t="shared" si="7"/>
        <v>-3.4395954457213702</v>
      </c>
      <c r="W101" s="26">
        <v>395.11569440396602</v>
      </c>
    </row>
    <row r="102" spans="1:23" s="1" customFormat="1" x14ac:dyDescent="0.3">
      <c r="A102" s="31"/>
      <c r="B102" s="12" t="s">
        <v>126</v>
      </c>
      <c r="C102" s="13">
        <v>7.3840193259999998</v>
      </c>
      <c r="D102" s="14">
        <v>0.576435386013325</v>
      </c>
      <c r="E102" s="14">
        <v>0.28305000000000002</v>
      </c>
      <c r="F102" s="15">
        <v>2315.8620445286401</v>
      </c>
      <c r="G102" s="15">
        <v>615.09630366103204</v>
      </c>
      <c r="H102" s="17">
        <v>8439.7573646657693</v>
      </c>
      <c r="I102" s="17">
        <v>614118.36067999899</v>
      </c>
      <c r="J102" s="17">
        <v>373.11964459957198</v>
      </c>
      <c r="K102" s="21">
        <v>0.19132370573577701</v>
      </c>
      <c r="L102" s="17">
        <v>382.64741147155399</v>
      </c>
      <c r="M102" s="18" t="s">
        <v>29</v>
      </c>
      <c r="N102" s="17">
        <v>70.997230562192001</v>
      </c>
      <c r="O102" s="21">
        <v>2.4587785476083798E-2</v>
      </c>
      <c r="P102" s="22">
        <v>4.7408323871074103</v>
      </c>
      <c r="Q102" s="22">
        <v>4.7638834359912403</v>
      </c>
      <c r="R102" s="21">
        <v>4.1491887990891402E-2</v>
      </c>
      <c r="S102" s="21">
        <v>1.5828386900228999E-2</v>
      </c>
      <c r="T102" s="18" t="s">
        <v>29</v>
      </c>
      <c r="U102" s="18" t="s">
        <v>29</v>
      </c>
      <c r="V102" s="25">
        <f t="shared" si="7"/>
        <v>-3.3302982648149602</v>
      </c>
      <c r="W102" s="26">
        <v>389.168021916123</v>
      </c>
    </row>
    <row r="103" spans="1:23" s="1" customFormat="1" x14ac:dyDescent="0.3">
      <c r="A103" s="31"/>
      <c r="B103" s="12" t="s">
        <v>127</v>
      </c>
      <c r="C103" s="13">
        <v>7.2816216489999999</v>
      </c>
      <c r="D103" s="14">
        <v>0.51295352272754202</v>
      </c>
      <c r="E103" s="14">
        <v>0.26547999999999999</v>
      </c>
      <c r="F103" s="15">
        <v>3700.6701493829901</v>
      </c>
      <c r="G103" s="15">
        <v>641.69723811910603</v>
      </c>
      <c r="H103" s="17">
        <v>8568.2182737966596</v>
      </c>
      <c r="I103" s="17">
        <v>614694.64756080101</v>
      </c>
      <c r="J103" s="17">
        <v>317.40596346775902</v>
      </c>
      <c r="K103" s="21">
        <v>0.431896393355509</v>
      </c>
      <c r="L103" s="17">
        <v>385.37281694844199</v>
      </c>
      <c r="M103" s="17" t="s">
        <v>9</v>
      </c>
      <c r="N103" s="17">
        <v>39.855702264034697</v>
      </c>
      <c r="O103" s="21">
        <v>3.3339370715162103E-2</v>
      </c>
      <c r="P103" s="22">
        <v>5.0690997746462401</v>
      </c>
      <c r="Q103" s="22">
        <v>8.8652417583499297</v>
      </c>
      <c r="R103" s="21" t="s">
        <v>9</v>
      </c>
      <c r="S103" s="21" t="s">
        <v>9</v>
      </c>
      <c r="T103" s="21">
        <v>5.60707598391363E-2</v>
      </c>
      <c r="U103" s="21">
        <v>5.1524482014341497E-2</v>
      </c>
      <c r="V103" s="25">
        <f t="shared" si="7"/>
        <v>-3.4628792072944701</v>
      </c>
      <c r="W103" s="26">
        <v>396.384164661113</v>
      </c>
    </row>
    <row r="104" spans="1:23" s="1" customFormat="1" x14ac:dyDescent="0.3">
      <c r="A104" s="31"/>
      <c r="B104" s="12" t="s">
        <v>128</v>
      </c>
      <c r="C104" s="13">
        <v>7.2723329870000004</v>
      </c>
      <c r="D104" s="14">
        <v>0.56615685918611702</v>
      </c>
      <c r="E104" s="14">
        <v>0.30408000000000002</v>
      </c>
      <c r="F104" s="15">
        <v>3425.0342456421999</v>
      </c>
      <c r="G104" s="15">
        <v>643.38634174051901</v>
      </c>
      <c r="H104" s="17">
        <v>8452.8573848482902</v>
      </c>
      <c r="I104" s="17">
        <v>614856.45704469399</v>
      </c>
      <c r="J104" s="17">
        <v>318.36321412763402</v>
      </c>
      <c r="K104" s="21">
        <v>0.31404975959821302</v>
      </c>
      <c r="L104" s="17">
        <v>390.55682151478999</v>
      </c>
      <c r="M104" s="17" t="s">
        <v>9</v>
      </c>
      <c r="N104" s="17">
        <v>97.998659922815904</v>
      </c>
      <c r="O104" s="21">
        <v>3.4053588390167699E-2</v>
      </c>
      <c r="P104" s="22">
        <v>4.9945262972245903</v>
      </c>
      <c r="Q104" s="22">
        <v>8.8236631250967807</v>
      </c>
      <c r="R104" s="21" t="s">
        <v>9</v>
      </c>
      <c r="S104" s="21" t="s">
        <v>9</v>
      </c>
      <c r="T104" s="18" t="s">
        <v>29</v>
      </c>
      <c r="U104" s="18" t="s">
        <v>29</v>
      </c>
      <c r="V104" s="25">
        <f t="shared" si="7"/>
        <v>-3.39561311513391</v>
      </c>
      <c r="W104" s="26">
        <v>392.71797707591998</v>
      </c>
    </row>
    <row r="105" spans="1:23" s="1" customFormat="1" x14ac:dyDescent="0.3">
      <c r="A105" s="31"/>
      <c r="B105" s="12" t="s">
        <v>129</v>
      </c>
      <c r="C105" s="13">
        <v>7.3951479449999997</v>
      </c>
      <c r="D105" s="14">
        <v>0.52747076390004899</v>
      </c>
      <c r="E105" s="14">
        <v>0.22611000000000001</v>
      </c>
      <c r="F105" s="15">
        <v>3288.18596973884</v>
      </c>
      <c r="G105" s="15">
        <v>640.19435812744405</v>
      </c>
      <c r="H105" s="17">
        <v>8544.0507423380204</v>
      </c>
      <c r="I105" s="17">
        <v>613953.74979092903</v>
      </c>
      <c r="J105" s="17">
        <v>322.27762324517403</v>
      </c>
      <c r="K105" s="21">
        <v>0.29318952831043699</v>
      </c>
      <c r="L105" s="17">
        <v>380.53076574674901</v>
      </c>
      <c r="M105" s="17" t="s">
        <v>9</v>
      </c>
      <c r="N105" s="17">
        <v>42.170042392157399</v>
      </c>
      <c r="O105" s="21">
        <v>3.1550579162015598E-2</v>
      </c>
      <c r="P105" s="22">
        <v>4.5094242412051502</v>
      </c>
      <c r="Q105" s="22">
        <v>7.8645590008731503</v>
      </c>
      <c r="R105" s="21" t="s">
        <v>9</v>
      </c>
      <c r="S105" s="21" t="s">
        <v>9</v>
      </c>
      <c r="T105" s="21">
        <v>3.53982107671394E-2</v>
      </c>
      <c r="U105" s="21">
        <v>3.77067897302137E-2</v>
      </c>
      <c r="V105" s="25">
        <f t="shared" si="7"/>
        <v>-3.4739073747162199</v>
      </c>
      <c r="W105" s="26">
        <v>396.97829403436299</v>
      </c>
    </row>
    <row r="106" spans="1:23" s="1" customFormat="1" x14ac:dyDescent="0.3">
      <c r="A106" s="31"/>
      <c r="B106" s="29" t="s">
        <v>10</v>
      </c>
      <c r="C106" s="13">
        <f t="shared" ref="C106:W106" si="8">MIN(C86:C105)</f>
        <v>7.237416896</v>
      </c>
      <c r="D106" s="14">
        <f t="shared" si="8"/>
        <v>0.49450914124211598</v>
      </c>
      <c r="E106" s="14">
        <f t="shared" si="8"/>
        <v>0.16700000000000001</v>
      </c>
      <c r="F106" s="15">
        <f t="shared" si="8"/>
        <v>2252.2912977818901</v>
      </c>
      <c r="G106" s="15">
        <f t="shared" si="8"/>
        <v>615.09630366103204</v>
      </c>
      <c r="H106" s="15">
        <f t="shared" si="8"/>
        <v>8401.3448548194501</v>
      </c>
      <c r="I106" s="15">
        <f t="shared" si="8"/>
        <v>612425.52475069195</v>
      </c>
      <c r="J106" s="15">
        <f t="shared" si="8"/>
        <v>315.71544678989801</v>
      </c>
      <c r="K106" s="14">
        <f t="shared" si="8"/>
        <v>0.19132370573577701</v>
      </c>
      <c r="L106" s="15">
        <f t="shared" si="8"/>
        <v>376.31644366812202</v>
      </c>
      <c r="M106" s="22" t="s">
        <v>9</v>
      </c>
      <c r="N106" s="15">
        <f t="shared" si="8"/>
        <v>15.4996206122178</v>
      </c>
      <c r="O106" s="14">
        <f t="shared" si="8"/>
        <v>1.8691214089476299E-2</v>
      </c>
      <c r="P106" s="13">
        <f t="shared" si="8"/>
        <v>4.1510071290378496</v>
      </c>
      <c r="Q106" s="13">
        <f t="shared" si="8"/>
        <v>4.7638834359912403</v>
      </c>
      <c r="R106" s="22" t="s">
        <v>9</v>
      </c>
      <c r="S106" s="22" t="s">
        <v>9</v>
      </c>
      <c r="T106" s="14">
        <f t="shared" si="8"/>
        <v>3.53982107671394E-2</v>
      </c>
      <c r="U106" s="14">
        <f t="shared" si="8"/>
        <v>1.6234656728659199E-2</v>
      </c>
      <c r="V106" s="14">
        <f t="shared" si="8"/>
        <v>-3.5094119166509801</v>
      </c>
      <c r="W106" s="15">
        <f t="shared" si="8"/>
        <v>389.168021916123</v>
      </c>
    </row>
    <row r="107" spans="1:23" s="1" customFormat="1" x14ac:dyDescent="0.3">
      <c r="A107" s="31"/>
      <c r="B107" s="29" t="s">
        <v>11</v>
      </c>
      <c r="C107" s="13">
        <f t="shared" ref="C107:W107" si="9">MAX(C86:C105)</f>
        <v>7.6047067420000003</v>
      </c>
      <c r="D107" s="14">
        <f t="shared" si="9"/>
        <v>0.86975680611119</v>
      </c>
      <c r="E107" s="14">
        <f t="shared" si="9"/>
        <v>0.30408000000000002</v>
      </c>
      <c r="F107" s="15">
        <f t="shared" si="9"/>
        <v>4211.2069713094297</v>
      </c>
      <c r="G107" s="15">
        <f t="shared" si="9"/>
        <v>656.82215275628596</v>
      </c>
      <c r="H107" s="15">
        <f t="shared" si="9"/>
        <v>8685.6671385768495</v>
      </c>
      <c r="I107" s="15">
        <f t="shared" si="9"/>
        <v>614979.60599974799</v>
      </c>
      <c r="J107" s="15">
        <f t="shared" si="9"/>
        <v>373.11964459957198</v>
      </c>
      <c r="K107" s="14">
        <f t="shared" si="9"/>
        <v>0.49598785959096803</v>
      </c>
      <c r="L107" s="15">
        <f t="shared" si="9"/>
        <v>392.53930012977497</v>
      </c>
      <c r="M107" s="14">
        <f t="shared" si="9"/>
        <v>9.2632911363978804E-2</v>
      </c>
      <c r="N107" s="15">
        <f t="shared" si="9"/>
        <v>111.534449918484</v>
      </c>
      <c r="O107" s="14">
        <f t="shared" si="9"/>
        <v>4.56981426749343E-2</v>
      </c>
      <c r="P107" s="13">
        <f t="shared" si="9"/>
        <v>5.9350440934044997</v>
      </c>
      <c r="Q107" s="15">
        <f t="shared" si="9"/>
        <v>10.316936617459699</v>
      </c>
      <c r="R107" s="14">
        <f t="shared" si="9"/>
        <v>4.1491887990891402E-2</v>
      </c>
      <c r="S107" s="14">
        <f t="shared" si="9"/>
        <v>1.5828386900228999E-2</v>
      </c>
      <c r="T107" s="14">
        <f t="shared" si="9"/>
        <v>0.32919438134547802</v>
      </c>
      <c r="U107" s="14">
        <f t="shared" si="9"/>
        <v>0.27459242867038702</v>
      </c>
      <c r="V107" s="14">
        <f t="shared" si="9"/>
        <v>-3.3302982648149602</v>
      </c>
      <c r="W107" s="15">
        <f t="shared" si="9"/>
        <v>398.91427521867598</v>
      </c>
    </row>
    <row r="108" spans="1:23" s="1" customFormat="1" x14ac:dyDescent="0.3">
      <c r="A108" s="31"/>
      <c r="B108" s="29" t="s">
        <v>12</v>
      </c>
      <c r="C108" s="13">
        <f t="shared" ref="C108:W108" si="10">AVERAGE(C86:C105)</f>
        <v>7.3674415488999996</v>
      </c>
      <c r="D108" s="14">
        <f t="shared" si="10"/>
        <v>0.61927844483267203</v>
      </c>
      <c r="E108" s="14">
        <f t="shared" si="10"/>
        <v>0.23590749999999999</v>
      </c>
      <c r="F108" s="15">
        <f t="shared" si="10"/>
        <v>3399.3736803299698</v>
      </c>
      <c r="G108" s="15">
        <f t="shared" si="10"/>
        <v>644.93837521437399</v>
      </c>
      <c r="H108" s="15">
        <f t="shared" si="10"/>
        <v>8543.87627720194</v>
      </c>
      <c r="I108" s="15">
        <f t="shared" si="10"/>
        <v>614139.80474717601</v>
      </c>
      <c r="J108" s="15">
        <f t="shared" si="10"/>
        <v>327.28829937274202</v>
      </c>
      <c r="K108" s="14">
        <f t="shared" si="10"/>
        <v>0.32359055251261298</v>
      </c>
      <c r="L108" s="15">
        <f t="shared" si="10"/>
        <v>384.13841079665701</v>
      </c>
      <c r="M108" s="14">
        <f t="shared" si="10"/>
        <v>7.1578441257519596E-2</v>
      </c>
      <c r="N108" s="15">
        <f t="shared" si="10"/>
        <v>57.082307417714198</v>
      </c>
      <c r="O108" s="14">
        <f t="shared" si="10"/>
        <v>3.0482687389093099E-2</v>
      </c>
      <c r="P108" s="13">
        <f t="shared" si="10"/>
        <v>4.9147638037591799</v>
      </c>
      <c r="Q108" s="13">
        <f t="shared" si="10"/>
        <v>8.3889150658906395</v>
      </c>
      <c r="R108" s="14">
        <f t="shared" si="10"/>
        <v>3.7379534096670802E-2</v>
      </c>
      <c r="S108" s="14">
        <f t="shared" si="10"/>
        <v>1.5828386900228999E-2</v>
      </c>
      <c r="T108" s="14">
        <f t="shared" si="10"/>
        <v>0.10430414800696999</v>
      </c>
      <c r="U108" s="14">
        <f t="shared" si="10"/>
        <v>8.6776416401491002E-2</v>
      </c>
      <c r="V108" s="14">
        <f t="shared" si="10"/>
        <v>-3.4374917377162602</v>
      </c>
      <c r="W108" s="15">
        <f t="shared" si="10"/>
        <v>394.99924801365597</v>
      </c>
    </row>
    <row r="109" spans="1:23" s="1" customFormat="1" x14ac:dyDescent="0.3">
      <c r="A109" s="32" t="s">
        <v>130</v>
      </c>
      <c r="B109" s="12" t="s">
        <v>131</v>
      </c>
      <c r="C109" s="13">
        <v>9.5586494022340194</v>
      </c>
      <c r="D109" s="13">
        <v>1.8716311183946399</v>
      </c>
      <c r="E109" s="14">
        <v>0.1706</v>
      </c>
      <c r="F109" s="15">
        <v>2212.1161571871498</v>
      </c>
      <c r="G109" s="15">
        <v>19.9094761126976</v>
      </c>
      <c r="H109" s="17">
        <v>9878.9288098843208</v>
      </c>
      <c r="I109" s="17">
        <v>598285.91211693699</v>
      </c>
      <c r="J109" s="17">
        <v>518.11659454981304</v>
      </c>
      <c r="K109" s="21">
        <v>0.21285650073653301</v>
      </c>
      <c r="L109" s="17">
        <v>38.1251853889313</v>
      </c>
      <c r="M109" s="17" t="s">
        <v>9</v>
      </c>
      <c r="N109" s="17">
        <v>177.24779640771101</v>
      </c>
      <c r="O109" s="21">
        <v>1.3427863364220499E-2</v>
      </c>
      <c r="P109" s="22">
        <v>1.40942832497041</v>
      </c>
      <c r="Q109" s="21">
        <v>0.57192751366124495</v>
      </c>
      <c r="R109" s="21" t="s">
        <v>9</v>
      </c>
      <c r="S109" s="21" t="s">
        <v>9</v>
      </c>
      <c r="T109" s="21">
        <v>9.6481684913288304E-2</v>
      </c>
      <c r="U109" s="21">
        <v>0.251648106010948</v>
      </c>
      <c r="V109" s="25">
        <f t="shared" ref="V109:V136" si="11">LN((D109^0.22*E109^0.22)/(C109^0.37*F109^0.2*G109^0.1))</f>
        <v>-2.9258728726717398</v>
      </c>
      <c r="W109" s="26">
        <v>367.191591343293</v>
      </c>
    </row>
    <row r="110" spans="1:23" s="1" customFormat="1" x14ac:dyDescent="0.3">
      <c r="A110" s="32"/>
      <c r="B110" s="12" t="s">
        <v>132</v>
      </c>
      <c r="C110" s="13">
        <v>9.7995254859326604</v>
      </c>
      <c r="D110" s="13">
        <v>1.8448952725779499</v>
      </c>
      <c r="E110" s="14">
        <v>0.16655</v>
      </c>
      <c r="F110" s="15">
        <v>2363.7148882821998</v>
      </c>
      <c r="G110" s="15">
        <v>20.0938326997756</v>
      </c>
      <c r="H110" s="17">
        <v>9638.4094581722602</v>
      </c>
      <c r="I110" s="17">
        <v>596877.09862288402</v>
      </c>
      <c r="J110" s="17">
        <v>471.62128379228398</v>
      </c>
      <c r="K110" s="21">
        <v>0.19884573046377399</v>
      </c>
      <c r="L110" s="18" t="s">
        <v>29</v>
      </c>
      <c r="M110" s="17" t="s">
        <v>9</v>
      </c>
      <c r="N110" s="17">
        <v>178.45129657005401</v>
      </c>
      <c r="O110" s="21">
        <v>2.75324857565225E-2</v>
      </c>
      <c r="P110" s="22">
        <v>1.13189108110148</v>
      </c>
      <c r="Q110" s="21">
        <v>0.57716247919228703</v>
      </c>
      <c r="R110" s="21" t="s">
        <v>9</v>
      </c>
      <c r="S110" s="21" t="s">
        <v>9</v>
      </c>
      <c r="T110" s="18" t="s">
        <v>29</v>
      </c>
      <c r="U110" s="18" t="s">
        <v>29</v>
      </c>
      <c r="V110" s="25">
        <f t="shared" si="11"/>
        <v>-2.9577109980600298</v>
      </c>
      <c r="W110" s="26">
        <v>368.87532775320102</v>
      </c>
    </row>
    <row r="111" spans="1:23" s="1" customFormat="1" x14ac:dyDescent="0.3">
      <c r="A111" s="32"/>
      <c r="B111" s="12" t="s">
        <v>133</v>
      </c>
      <c r="C111" s="15">
        <v>10.6918975328954</v>
      </c>
      <c r="D111" s="13">
        <v>1.7691302906502799</v>
      </c>
      <c r="E111" s="14">
        <v>0.12720000000000001</v>
      </c>
      <c r="F111" s="15">
        <v>2508.8687759291502</v>
      </c>
      <c r="G111" s="15">
        <v>20.2815480990735</v>
      </c>
      <c r="H111" s="17">
        <v>9765.1180693260103</v>
      </c>
      <c r="I111" s="17">
        <v>590780.186260922</v>
      </c>
      <c r="J111" s="17">
        <v>455.71292710447</v>
      </c>
      <c r="K111" s="21">
        <v>0.16243673671204301</v>
      </c>
      <c r="L111" s="17">
        <v>31.3191379345479</v>
      </c>
      <c r="M111" s="17" t="s">
        <v>9</v>
      </c>
      <c r="N111" s="17">
        <v>177.67908803365199</v>
      </c>
      <c r="O111" s="21">
        <v>1.7133737981955201E-2</v>
      </c>
      <c r="P111" s="21">
        <v>0.91676624007344598</v>
      </c>
      <c r="Q111" s="21">
        <v>0.70648854665854099</v>
      </c>
      <c r="R111" s="21" t="s">
        <v>9</v>
      </c>
      <c r="S111" s="21" t="s">
        <v>9</v>
      </c>
      <c r="T111" s="21">
        <v>0.14686061127390099</v>
      </c>
      <c r="U111" s="21">
        <v>0.344899920415981</v>
      </c>
      <c r="V111" s="25">
        <f t="shared" si="11"/>
        <v>-3.0713299433375498</v>
      </c>
      <c r="W111" s="26">
        <v>375.00487090816102</v>
      </c>
    </row>
    <row r="112" spans="1:23" s="1" customFormat="1" x14ac:dyDescent="0.3">
      <c r="A112" s="32"/>
      <c r="B112" s="12" t="s">
        <v>134</v>
      </c>
      <c r="C112" s="13">
        <v>9.4666468132834805</v>
      </c>
      <c r="D112" s="13">
        <v>1.85450153477505</v>
      </c>
      <c r="E112" s="14">
        <v>0.17297999999999999</v>
      </c>
      <c r="F112" s="15">
        <v>2239.0934658265701</v>
      </c>
      <c r="G112" s="15">
        <v>20.988732559040699</v>
      </c>
      <c r="H112" s="17">
        <v>9466.6468132834798</v>
      </c>
      <c r="I112" s="17">
        <v>599258.77330011595</v>
      </c>
      <c r="J112" s="17">
        <v>525.04919370240304</v>
      </c>
      <c r="K112" s="22">
        <v>1.3200111061186099</v>
      </c>
      <c r="L112" s="18" t="s">
        <v>29</v>
      </c>
      <c r="M112" s="21">
        <v>0.31522653280444501</v>
      </c>
      <c r="N112" s="17">
        <v>179.48210711553099</v>
      </c>
      <c r="O112" s="21">
        <v>2.9552487450416699E-2</v>
      </c>
      <c r="P112" s="18" t="s">
        <v>29</v>
      </c>
      <c r="Q112" s="22">
        <v>2.1474807547302799</v>
      </c>
      <c r="R112" s="21">
        <v>0.41077957556079198</v>
      </c>
      <c r="S112" s="21">
        <v>2.0194199757784699E-2</v>
      </c>
      <c r="T112" s="18" t="s">
        <v>29</v>
      </c>
      <c r="U112" s="18" t="s">
        <v>29</v>
      </c>
      <c r="V112" s="25">
        <f t="shared" si="11"/>
        <v>-2.9289724454358601</v>
      </c>
      <c r="W112" s="26">
        <v>367.33856644802501</v>
      </c>
    </row>
    <row r="113" spans="1:23" s="1" customFormat="1" x14ac:dyDescent="0.3">
      <c r="A113" s="32"/>
      <c r="B113" s="12" t="s">
        <v>135</v>
      </c>
      <c r="C113" s="13">
        <v>9.55720888543153</v>
      </c>
      <c r="D113" s="13">
        <v>1.8317005489823901</v>
      </c>
      <c r="E113" s="14">
        <v>0.16514000000000001</v>
      </c>
      <c r="F113" s="15">
        <v>2135.20577284303</v>
      </c>
      <c r="G113" s="15">
        <v>20.741915709289501</v>
      </c>
      <c r="H113" s="17">
        <v>9706.3848826026806</v>
      </c>
      <c r="I113" s="17">
        <v>598444.37531825399</v>
      </c>
      <c r="J113" s="17">
        <v>545.88469898161998</v>
      </c>
      <c r="K113" s="22">
        <v>4.9228079066478703</v>
      </c>
      <c r="L113" s="18" t="s">
        <v>29</v>
      </c>
      <c r="M113" s="21" t="s">
        <v>9</v>
      </c>
      <c r="N113" s="17">
        <v>180.602407241869</v>
      </c>
      <c r="O113" s="21">
        <v>1.6807162347949298E-2</v>
      </c>
      <c r="P113" s="18" t="s">
        <v>29</v>
      </c>
      <c r="Q113" s="22">
        <v>8.4533065063650401</v>
      </c>
      <c r="R113" s="21">
        <v>0.21978596916549101</v>
      </c>
      <c r="S113" s="21">
        <v>1.18346291089111E-2</v>
      </c>
      <c r="T113" s="18" t="s">
        <v>29</v>
      </c>
      <c r="U113" s="18" t="s">
        <v>29</v>
      </c>
      <c r="V113" s="25">
        <f t="shared" si="11"/>
        <v>-2.9347364501569899</v>
      </c>
      <c r="W113" s="26">
        <v>367.71588465595403</v>
      </c>
    </row>
    <row r="114" spans="1:23" s="1" customFormat="1" x14ac:dyDescent="0.3">
      <c r="A114" s="32"/>
      <c r="B114" s="12" t="s">
        <v>136</v>
      </c>
      <c r="C114" s="13">
        <v>9.7247998648916099</v>
      </c>
      <c r="D114" s="13">
        <v>1.86668071514052</v>
      </c>
      <c r="E114" s="14">
        <v>0.19647000000000001</v>
      </c>
      <c r="F114" s="15">
        <v>2253.6034650482402</v>
      </c>
      <c r="G114" s="15">
        <v>19.787571028537101</v>
      </c>
      <c r="H114" s="17">
        <v>9825.9944524555194</v>
      </c>
      <c r="I114" s="17">
        <v>597216.72427300003</v>
      </c>
      <c r="J114" s="17">
        <v>498.990511277633</v>
      </c>
      <c r="K114" s="21">
        <v>0.38453943274285202</v>
      </c>
      <c r="L114" s="18" t="s">
        <v>29</v>
      </c>
      <c r="M114" s="21" t="s">
        <v>9</v>
      </c>
      <c r="N114" s="17">
        <v>181.13831173939599</v>
      </c>
      <c r="O114" s="21" t="s">
        <v>9</v>
      </c>
      <c r="P114" s="18" t="s">
        <v>29</v>
      </c>
      <c r="Q114" s="21">
        <v>0.82878367214841098</v>
      </c>
      <c r="R114" s="21">
        <v>2.1250863388420801E-2</v>
      </c>
      <c r="S114" s="21" t="s">
        <v>9</v>
      </c>
      <c r="T114" s="21">
        <v>0.46853094042089699</v>
      </c>
      <c r="U114" s="21">
        <v>1.36612693211277</v>
      </c>
      <c r="V114" s="25">
        <f t="shared" si="11"/>
        <v>-2.9048723100802598</v>
      </c>
      <c r="W114" s="26">
        <v>366.08505762878701</v>
      </c>
    </row>
    <row r="115" spans="1:23" s="1" customFormat="1" x14ac:dyDescent="0.3">
      <c r="A115" s="32"/>
      <c r="B115" s="12" t="s">
        <v>137</v>
      </c>
      <c r="C115" s="13">
        <v>9.6049926786991904</v>
      </c>
      <c r="D115" s="13">
        <v>1.7867463168770501</v>
      </c>
      <c r="E115" s="14">
        <v>0.16477</v>
      </c>
      <c r="F115" s="15">
        <v>2312.7942828834498</v>
      </c>
      <c r="G115" s="15">
        <v>20.327315319797801</v>
      </c>
      <c r="H115" s="17">
        <v>9824.8780469940702</v>
      </c>
      <c r="I115" s="17">
        <v>598021.56983229402</v>
      </c>
      <c r="J115" s="17">
        <v>523.32717654181999</v>
      </c>
      <c r="K115" s="21">
        <v>0.15691819464680201</v>
      </c>
      <c r="L115" s="18" t="s">
        <v>29</v>
      </c>
      <c r="M115" s="21" t="s">
        <v>9</v>
      </c>
      <c r="N115" s="17">
        <v>187.80209410276601</v>
      </c>
      <c r="O115" s="21">
        <v>2.0489318409295899E-2</v>
      </c>
      <c r="P115" s="22">
        <v>1.6391454727436701</v>
      </c>
      <c r="Q115" s="21">
        <v>0.50173843129105</v>
      </c>
      <c r="R115" s="21">
        <v>4.9973947339746E-2</v>
      </c>
      <c r="S115" s="21" t="s">
        <v>9</v>
      </c>
      <c r="T115" s="18" t="s">
        <v>29</v>
      </c>
      <c r="U115" s="18" t="s">
        <v>29</v>
      </c>
      <c r="V115" s="25">
        <f t="shared" si="11"/>
        <v>-2.95650148195885</v>
      </c>
      <c r="W115" s="26">
        <v>368.746339225192</v>
      </c>
    </row>
    <row r="116" spans="1:23" s="1" customFormat="1" x14ac:dyDescent="0.3">
      <c r="A116" s="32"/>
      <c r="B116" s="12" t="s">
        <v>138</v>
      </c>
      <c r="C116" s="13">
        <v>9.7568710268567305</v>
      </c>
      <c r="D116" s="13">
        <v>1.8077128783373899</v>
      </c>
      <c r="E116" s="14">
        <v>0.14888000000000001</v>
      </c>
      <c r="F116" s="15">
        <v>2396.0682230366201</v>
      </c>
      <c r="G116" s="15">
        <v>20.351934351190401</v>
      </c>
      <c r="H116" s="17">
        <v>9647.22044715845</v>
      </c>
      <c r="I116" s="17">
        <v>597155.70332600398</v>
      </c>
      <c r="J116" s="17">
        <v>477.28460663114998</v>
      </c>
      <c r="K116" s="21">
        <v>0.49748874122370401</v>
      </c>
      <c r="L116" s="18" t="s">
        <v>29</v>
      </c>
      <c r="M116" s="21" t="s">
        <v>9</v>
      </c>
      <c r="N116" s="17">
        <v>183.56319268009301</v>
      </c>
      <c r="O116" s="21" t="s">
        <v>9</v>
      </c>
      <c r="P116" s="18" t="s">
        <v>29</v>
      </c>
      <c r="Q116" s="22">
        <v>4.6601496371771498</v>
      </c>
      <c r="R116" s="21">
        <v>3.9596042668825403E-2</v>
      </c>
      <c r="S116" s="21" t="s">
        <v>9</v>
      </c>
      <c r="T116" s="18" t="s">
        <v>29</v>
      </c>
      <c r="U116" s="18" t="s">
        <v>29</v>
      </c>
      <c r="V116" s="25">
        <f t="shared" si="11"/>
        <v>-2.9892455221129102</v>
      </c>
      <c r="W116" s="26">
        <v>370.51975295122099</v>
      </c>
    </row>
    <row r="117" spans="1:23" s="1" customFormat="1" x14ac:dyDescent="0.3">
      <c r="A117" s="32"/>
      <c r="B117" s="12" t="s">
        <v>139</v>
      </c>
      <c r="C117" s="13">
        <v>9.6329929986006206</v>
      </c>
      <c r="D117" s="13">
        <v>1.89521296174132</v>
      </c>
      <c r="E117" s="14">
        <v>0.16608999999999999</v>
      </c>
      <c r="F117" s="15">
        <v>2352.6154596998599</v>
      </c>
      <c r="G117" s="15">
        <v>20.667565298805101</v>
      </c>
      <c r="H117" s="17">
        <v>9522.7298113117504</v>
      </c>
      <c r="I117" s="17">
        <v>598094.25832449202</v>
      </c>
      <c r="J117" s="17">
        <v>485.75945963807101</v>
      </c>
      <c r="K117" s="21">
        <v>0.56133986256153501</v>
      </c>
      <c r="L117" s="18" t="s">
        <v>29</v>
      </c>
      <c r="M117" s="21" t="s">
        <v>9</v>
      </c>
      <c r="N117" s="17">
        <v>183.63832646655899</v>
      </c>
      <c r="O117" s="21">
        <v>3.20765635749449E-2</v>
      </c>
      <c r="P117" s="18" t="s">
        <v>29</v>
      </c>
      <c r="Q117" s="21">
        <v>0.77184231102210998</v>
      </c>
      <c r="R117" s="21">
        <v>5.9141164091304599E-2</v>
      </c>
      <c r="S117" s="21" t="s">
        <v>9</v>
      </c>
      <c r="T117" s="18" t="s">
        <v>29</v>
      </c>
      <c r="U117" s="18" t="s">
        <v>29</v>
      </c>
      <c r="V117" s="25">
        <f t="shared" si="11"/>
        <v>-2.9479316554775399</v>
      </c>
      <c r="W117" s="26">
        <v>368.45606559291298</v>
      </c>
    </row>
    <row r="118" spans="1:23" s="1" customFormat="1" x14ac:dyDescent="0.3">
      <c r="A118" s="32"/>
      <c r="B118" s="12" t="s">
        <v>140</v>
      </c>
      <c r="C118" s="15">
        <v>10.1476376457653</v>
      </c>
      <c r="D118" s="13">
        <v>1.8083305574896</v>
      </c>
      <c r="E118" s="14">
        <v>0.17935999999999999</v>
      </c>
      <c r="F118" s="15">
        <v>2381.0518342805499</v>
      </c>
      <c r="G118" s="15">
        <v>20.351925102271299</v>
      </c>
      <c r="H118" s="17">
        <v>9689.3572359565205</v>
      </c>
      <c r="I118" s="17">
        <v>594497.39797771606</v>
      </c>
      <c r="J118" s="17">
        <v>486.36856395832302</v>
      </c>
      <c r="K118" s="21">
        <v>0.17106319444474199</v>
      </c>
      <c r="L118" s="18" t="s">
        <v>29</v>
      </c>
      <c r="M118" s="21" t="s">
        <v>9</v>
      </c>
      <c r="N118" s="17">
        <v>179.61635416697999</v>
      </c>
      <c r="O118" s="21">
        <v>2.19636694101892E-2</v>
      </c>
      <c r="P118" s="22">
        <v>1.25235153463867</v>
      </c>
      <c r="Q118" s="21">
        <v>0.57021064814914102</v>
      </c>
      <c r="R118" s="21">
        <v>2.53426954732952E-2</v>
      </c>
      <c r="S118" s="21" t="s">
        <v>9</v>
      </c>
      <c r="T118" s="21">
        <v>0.36218935613917702</v>
      </c>
      <c r="U118" s="21">
        <v>0.62089603909573199</v>
      </c>
      <c r="V118" s="25">
        <f t="shared" si="11"/>
        <v>-2.9614665932419402</v>
      </c>
      <c r="W118" s="26">
        <v>369.008654636014</v>
      </c>
    </row>
    <row r="119" spans="1:23" s="1" customFormat="1" x14ac:dyDescent="0.3">
      <c r="A119" s="32"/>
      <c r="B119" s="12" t="s">
        <v>141</v>
      </c>
      <c r="C119" s="15">
        <v>10.0494148845479</v>
      </c>
      <c r="D119" s="13">
        <v>1.8742288459558001</v>
      </c>
      <c r="E119" s="14">
        <v>0.16359000000000001</v>
      </c>
      <c r="F119" s="15">
        <v>2386.3438882974401</v>
      </c>
      <c r="G119" s="15">
        <v>20.322347192734998</v>
      </c>
      <c r="H119" s="17">
        <v>9547.4670026974709</v>
      </c>
      <c r="I119" s="17">
        <v>595278.81613204104</v>
      </c>
      <c r="J119" s="17">
        <v>471.41271903789902</v>
      </c>
      <c r="K119" s="21">
        <v>0.3660036638493</v>
      </c>
      <c r="L119" s="18" t="s">
        <v>29</v>
      </c>
      <c r="M119" s="21">
        <v>6.2743485231308599E-2</v>
      </c>
      <c r="N119" s="17">
        <v>179.86465766308501</v>
      </c>
      <c r="O119" s="21">
        <v>1.5685871307827198E-2</v>
      </c>
      <c r="P119" s="18" t="s">
        <v>29</v>
      </c>
      <c r="Q119" s="21">
        <v>0.763379070314255</v>
      </c>
      <c r="R119" s="21" t="s">
        <v>9</v>
      </c>
      <c r="S119" s="21" t="s">
        <v>9</v>
      </c>
      <c r="T119" s="18" t="s">
        <v>29</v>
      </c>
      <c r="U119" s="18" t="s">
        <v>29</v>
      </c>
      <c r="V119" s="25">
        <f t="shared" si="11"/>
        <v>-2.9705388208028198</v>
      </c>
      <c r="W119" s="26">
        <v>369.508764482554</v>
      </c>
    </row>
    <row r="120" spans="1:23" s="1" customFormat="1" x14ac:dyDescent="0.3">
      <c r="A120" s="32"/>
      <c r="B120" s="12" t="s">
        <v>142</v>
      </c>
      <c r="C120" s="13">
        <v>9.1215491512027107</v>
      </c>
      <c r="D120" s="13">
        <v>1.79177053619204</v>
      </c>
      <c r="E120" s="14">
        <v>0.18323</v>
      </c>
      <c r="F120" s="15">
        <v>2151.8693112062101</v>
      </c>
      <c r="G120" s="15">
        <v>20.180950287238002</v>
      </c>
      <c r="H120" s="17">
        <v>9692.0019128960303</v>
      </c>
      <c r="I120" s="17">
        <v>601379.97048728901</v>
      </c>
      <c r="J120" s="17">
        <v>542.35725130044</v>
      </c>
      <c r="K120" s="21">
        <v>0.238242334750456</v>
      </c>
      <c r="L120" s="17">
        <v>60.747049498124198</v>
      </c>
      <c r="M120" s="21" t="s">
        <v>9</v>
      </c>
      <c r="N120" s="17">
        <v>178.15970610621699</v>
      </c>
      <c r="O120" s="21">
        <v>1.8603783908800499E-2</v>
      </c>
      <c r="P120" s="18" t="s">
        <v>29</v>
      </c>
      <c r="Q120" s="21">
        <v>0.444212799455033</v>
      </c>
      <c r="R120" s="21" t="s">
        <v>9</v>
      </c>
      <c r="S120" s="21" t="s">
        <v>9</v>
      </c>
      <c r="T120" s="18" t="s">
        <v>29</v>
      </c>
      <c r="U120" s="18" t="s">
        <v>29</v>
      </c>
      <c r="V120" s="25">
        <f t="shared" si="11"/>
        <v>-2.89826696204989</v>
      </c>
      <c r="W120" s="26">
        <v>365.61738632697302</v>
      </c>
    </row>
    <row r="121" spans="1:23" s="1" customFormat="1" x14ac:dyDescent="0.3">
      <c r="A121" s="32"/>
      <c r="B121" s="12" t="s">
        <v>143</v>
      </c>
      <c r="C121" s="13">
        <v>9.8844635797866207</v>
      </c>
      <c r="D121" s="13">
        <v>1.84361867333989</v>
      </c>
      <c r="E121" s="14">
        <v>0.18406</v>
      </c>
      <c r="F121" s="15">
        <v>2325.1632017133902</v>
      </c>
      <c r="G121" s="15">
        <v>20.278617547057099</v>
      </c>
      <c r="H121" s="17">
        <v>9935.8915900872798</v>
      </c>
      <c r="I121" s="17">
        <v>596050.63938463503</v>
      </c>
      <c r="J121" s="17">
        <v>501.320244410822</v>
      </c>
      <c r="K121" s="21">
        <v>0.248911569855189</v>
      </c>
      <c r="L121" s="18" t="s">
        <v>29</v>
      </c>
      <c r="M121" s="21" t="s">
        <v>9</v>
      </c>
      <c r="N121" s="17">
        <v>184.83226902056799</v>
      </c>
      <c r="O121" s="21">
        <v>2.4685444944316199E-2</v>
      </c>
      <c r="P121" s="22">
        <v>1.49964078036721</v>
      </c>
      <c r="Q121" s="21">
        <v>0.50913730197652196</v>
      </c>
      <c r="R121" s="21" t="s">
        <v>9</v>
      </c>
      <c r="S121" s="21" t="s">
        <v>9</v>
      </c>
      <c r="T121" s="21">
        <v>0.52148002444868002</v>
      </c>
      <c r="U121" s="21">
        <v>0.869133374081134</v>
      </c>
      <c r="V121" s="25">
        <f t="shared" si="11"/>
        <v>-2.9366904516796501</v>
      </c>
      <c r="W121" s="26">
        <v>367.67993592881101</v>
      </c>
    </row>
    <row r="122" spans="1:23" s="1" customFormat="1" x14ac:dyDescent="0.3">
      <c r="A122" s="32"/>
      <c r="B122" s="12" t="s">
        <v>144</v>
      </c>
      <c r="C122" s="13">
        <v>9.0424183667638793</v>
      </c>
      <c r="D122" s="13">
        <v>1.73404276089336</v>
      </c>
      <c r="E122" s="14">
        <v>0.14024</v>
      </c>
      <c r="F122" s="15">
        <v>2038.0726516556299</v>
      </c>
      <c r="G122" s="15">
        <v>19.674067060140398</v>
      </c>
      <c r="H122" s="17">
        <v>9447.0218941008698</v>
      </c>
      <c r="I122" s="17">
        <v>602122.18729084102</v>
      </c>
      <c r="J122" s="17">
        <v>571.99647504222298</v>
      </c>
      <c r="K122" s="22">
        <v>1.3361325786477301</v>
      </c>
      <c r="L122" s="18" t="s">
        <v>29</v>
      </c>
      <c r="M122" s="21" t="s">
        <v>9</v>
      </c>
      <c r="N122" s="17">
        <v>178.590115089676</v>
      </c>
      <c r="O122" s="21">
        <v>1.9759707149015801E-2</v>
      </c>
      <c r="P122" s="22">
        <v>7.7156951724728202</v>
      </c>
      <c r="Q122" s="22">
        <v>3.6414317460329002</v>
      </c>
      <c r="R122" s="21">
        <v>8.93891513884046E-2</v>
      </c>
      <c r="S122" s="21">
        <v>9.0330089824071993E-3</v>
      </c>
      <c r="T122" s="18" t="s">
        <v>29</v>
      </c>
      <c r="U122" s="18" t="s">
        <v>29</v>
      </c>
      <c r="V122" s="25">
        <f t="shared" si="11"/>
        <v>-2.9476627630252401</v>
      </c>
      <c r="W122" s="26">
        <v>368.44185054485399</v>
      </c>
    </row>
    <row r="123" spans="1:23" s="1" customFormat="1" x14ac:dyDescent="0.3">
      <c r="A123" s="32"/>
      <c r="B123" s="12" t="s">
        <v>145</v>
      </c>
      <c r="C123" s="13">
        <v>9.3562303666706903</v>
      </c>
      <c r="D123" s="13">
        <v>1.83326158906131</v>
      </c>
      <c r="E123" s="14">
        <v>0.14621000000000001</v>
      </c>
      <c r="F123" s="15">
        <v>2129.2482634660601</v>
      </c>
      <c r="G123" s="15">
        <v>19.297580232805501</v>
      </c>
      <c r="H123" s="17">
        <v>9399.0684661642899</v>
      </c>
      <c r="I123" s="17">
        <v>600057.92396718997</v>
      </c>
      <c r="J123" s="17">
        <v>546.47784649451103</v>
      </c>
      <c r="K123" s="21">
        <v>0.55494810707620101</v>
      </c>
      <c r="L123" s="18" t="s">
        <v>29</v>
      </c>
      <c r="M123" s="21" t="s">
        <v>9</v>
      </c>
      <c r="N123" s="17">
        <v>174.85733338751899</v>
      </c>
      <c r="O123" s="21">
        <v>3.40757609608194E-2</v>
      </c>
      <c r="P123" s="22">
        <v>5.1600438026383602</v>
      </c>
      <c r="Q123" s="22">
        <v>5.7441997048238296</v>
      </c>
      <c r="R123" s="21">
        <v>2.7260608768655499E-2</v>
      </c>
      <c r="S123" s="21" t="s">
        <v>9</v>
      </c>
      <c r="T123" s="18" t="s">
        <v>29</v>
      </c>
      <c r="U123" s="18" t="s">
        <v>29</v>
      </c>
      <c r="V123" s="25">
        <f t="shared" si="11"/>
        <v>-2.9456937653233899</v>
      </c>
      <c r="W123" s="26">
        <v>368.15993060354202</v>
      </c>
    </row>
    <row r="124" spans="1:23" s="1" customFormat="1" x14ac:dyDescent="0.3">
      <c r="A124" s="32"/>
      <c r="B124" s="12" t="s">
        <v>146</v>
      </c>
      <c r="C124" s="13">
        <v>9.68647220668025</v>
      </c>
      <c r="D124" s="13">
        <v>1.77015507047362</v>
      </c>
      <c r="E124" s="14">
        <v>0.14851</v>
      </c>
      <c r="F124" s="15">
        <v>2309.2307830909899</v>
      </c>
      <c r="G124" s="15">
        <v>19.480099867572299</v>
      </c>
      <c r="H124" s="17">
        <v>9444.5623909046808</v>
      </c>
      <c r="I124" s="17">
        <v>597802.83294262399</v>
      </c>
      <c r="J124" s="17">
        <v>505.692310727522</v>
      </c>
      <c r="K124" s="21">
        <v>0.81644562824255995</v>
      </c>
      <c r="L124" s="18" t="s">
        <v>29</v>
      </c>
      <c r="M124" s="21" t="s">
        <v>9</v>
      </c>
      <c r="N124" s="17">
        <v>180.12201699622901</v>
      </c>
      <c r="O124" s="21">
        <v>1.9755968288338501E-2</v>
      </c>
      <c r="P124" s="18" t="s">
        <v>29</v>
      </c>
      <c r="Q124" s="22">
        <v>3.1448276050824502</v>
      </c>
      <c r="R124" s="21">
        <v>5.74535812466987E-2</v>
      </c>
      <c r="S124" s="21">
        <v>6.4509284206819596E-3</v>
      </c>
      <c r="T124" s="18" t="s">
        <v>29</v>
      </c>
      <c r="U124" s="18" t="s">
        <v>29</v>
      </c>
      <c r="V124" s="25">
        <f t="shared" si="11"/>
        <v>-2.9799713846538101</v>
      </c>
      <c r="W124" s="26">
        <v>369.97360374640198</v>
      </c>
    </row>
    <row r="125" spans="1:23" s="1" customFormat="1" x14ac:dyDescent="0.3">
      <c r="A125" s="32"/>
      <c r="B125" s="12" t="s">
        <v>147</v>
      </c>
      <c r="C125" s="15">
        <v>10.1542449216034</v>
      </c>
      <c r="D125" s="13">
        <v>1.8025192472879701</v>
      </c>
      <c r="E125" s="14">
        <v>0.18165999999999999</v>
      </c>
      <c r="F125" s="15">
        <v>2411.2369314358998</v>
      </c>
      <c r="G125" s="15">
        <v>19.442475890855</v>
      </c>
      <c r="H125" s="17">
        <v>9903.8228564192195</v>
      </c>
      <c r="I125" s="17">
        <v>594268.11460198904</v>
      </c>
      <c r="J125" s="17">
        <v>482.564376243109</v>
      </c>
      <c r="K125" s="21">
        <v>0.22506286870983599</v>
      </c>
      <c r="L125" s="18" t="s">
        <v>29</v>
      </c>
      <c r="M125" s="21" t="s">
        <v>9</v>
      </c>
      <c r="N125" s="17">
        <v>182.903204571233</v>
      </c>
      <c r="O125" s="21">
        <v>9.8266886338097392E-3</v>
      </c>
      <c r="P125" s="22">
        <v>1.2732429896495401</v>
      </c>
      <c r="Q125" s="21">
        <v>0.49239106487691803</v>
      </c>
      <c r="R125" s="21" t="s">
        <v>9</v>
      </c>
      <c r="S125" s="21" t="s">
        <v>9</v>
      </c>
      <c r="T125" s="21">
        <v>0.324386388234365</v>
      </c>
      <c r="U125" s="21">
        <v>0.56846865429996196</v>
      </c>
      <c r="V125" s="25">
        <f t="shared" si="11"/>
        <v>-2.9575603282875602</v>
      </c>
      <c r="W125" s="26">
        <v>368.76497754163</v>
      </c>
    </row>
    <row r="126" spans="1:23" s="1" customFormat="1" x14ac:dyDescent="0.3">
      <c r="A126" s="32"/>
      <c r="B126" s="12" t="s">
        <v>148</v>
      </c>
      <c r="C126" s="15">
        <v>10.0247689843745</v>
      </c>
      <c r="D126" s="13">
        <v>1.75600515357708</v>
      </c>
      <c r="E126" s="14">
        <v>0.15722</v>
      </c>
      <c r="F126" s="15">
        <v>2331.4629219643002</v>
      </c>
      <c r="G126" s="15">
        <v>19.843527230869199</v>
      </c>
      <c r="H126" s="17">
        <v>9819.2664359954997</v>
      </c>
      <c r="I126" s="17">
        <v>595209.79219573305</v>
      </c>
      <c r="J126" s="17">
        <v>482.14861858250498</v>
      </c>
      <c r="K126" s="21">
        <v>0.56330647779003196</v>
      </c>
      <c r="L126" s="18" t="s">
        <v>29</v>
      </c>
      <c r="M126" s="21" t="s">
        <v>9</v>
      </c>
      <c r="N126" s="17">
        <v>184.847977526655</v>
      </c>
      <c r="O126" s="21">
        <v>1.91941466506233E-2</v>
      </c>
      <c r="P126" s="22">
        <v>2.1384782953140098</v>
      </c>
      <c r="Q126" s="21">
        <v>0.62172344585714601</v>
      </c>
      <c r="R126" s="21" t="s">
        <v>9</v>
      </c>
      <c r="S126" s="21" t="s">
        <v>9</v>
      </c>
      <c r="T126" s="18" t="s">
        <v>29</v>
      </c>
      <c r="U126" s="18" t="s">
        <v>29</v>
      </c>
      <c r="V126" s="25">
        <f t="shared" si="11"/>
        <v>-2.9856647384406201</v>
      </c>
      <c r="W126" s="26">
        <v>370.46072923326699</v>
      </c>
    </row>
    <row r="127" spans="1:23" s="1" customFormat="1" x14ac:dyDescent="0.3">
      <c r="A127" s="32"/>
      <c r="B127" s="12" t="s">
        <v>149</v>
      </c>
      <c r="C127" s="13">
        <v>9.8370461367335107</v>
      </c>
      <c r="D127" s="13">
        <v>1.8715616306752301</v>
      </c>
      <c r="E127" s="14">
        <v>0.17433999999999999</v>
      </c>
      <c r="F127" s="15">
        <v>2298.0404346479399</v>
      </c>
      <c r="G127" s="15">
        <v>19.791063313716499</v>
      </c>
      <c r="H127" s="17">
        <v>10158.464709775601</v>
      </c>
      <c r="I127" s="17">
        <v>596176.85960484296</v>
      </c>
      <c r="J127" s="17">
        <v>500.96257849296398</v>
      </c>
      <c r="K127" s="21">
        <v>0.167874668722611</v>
      </c>
      <c r="L127" s="18" t="s">
        <v>29</v>
      </c>
      <c r="M127" s="21" t="s">
        <v>9</v>
      </c>
      <c r="N127" s="17">
        <v>177.39439079041799</v>
      </c>
      <c r="O127" s="21">
        <v>2.66142767487067E-2</v>
      </c>
      <c r="P127" s="21">
        <v>0.74724700102137998</v>
      </c>
      <c r="Q127" s="21">
        <v>0.42582842797930698</v>
      </c>
      <c r="R127" s="21" t="s">
        <v>9</v>
      </c>
      <c r="S127" s="21" t="s">
        <v>9</v>
      </c>
      <c r="T127" s="18" t="s">
        <v>29</v>
      </c>
      <c r="U127" s="18" t="s">
        <v>29</v>
      </c>
      <c r="V127" s="25">
        <f t="shared" si="11"/>
        <v>-2.9387574164977801</v>
      </c>
      <c r="W127" s="26">
        <v>367.925341733077</v>
      </c>
    </row>
    <row r="128" spans="1:23" s="1" customFormat="1" x14ac:dyDescent="0.3">
      <c r="A128" s="32"/>
      <c r="B128" s="12" t="s">
        <v>150</v>
      </c>
      <c r="C128" s="13">
        <v>8.4218337676691792</v>
      </c>
      <c r="D128" s="13">
        <v>1.6095662942358799</v>
      </c>
      <c r="E128" s="14">
        <v>0.21981000000000001</v>
      </c>
      <c r="F128" s="15">
        <v>1949.0279187613201</v>
      </c>
      <c r="G128" s="15">
        <v>20.1039862317668</v>
      </c>
      <c r="H128" s="17">
        <v>9604.9217579244796</v>
      </c>
      <c r="I128" s="17">
        <v>606150.01969870098</v>
      </c>
      <c r="J128" s="17">
        <v>607.31850166438505</v>
      </c>
      <c r="K128" s="21">
        <v>0.47323519610211801</v>
      </c>
      <c r="L128" s="18" t="s">
        <v>29</v>
      </c>
      <c r="M128" s="21" t="s">
        <v>9</v>
      </c>
      <c r="N128" s="17">
        <v>163.79195953978899</v>
      </c>
      <c r="O128" s="21">
        <v>1.7614865632690001E-2</v>
      </c>
      <c r="P128" s="22">
        <v>3.6193728887069399</v>
      </c>
      <c r="Q128" s="22">
        <v>2.9708653977521902</v>
      </c>
      <c r="R128" s="21">
        <v>8.1501617106475993E-2</v>
      </c>
      <c r="S128" s="21">
        <v>4.7323519610211799E-2</v>
      </c>
      <c r="T128" s="18" t="s">
        <v>29</v>
      </c>
      <c r="U128" s="18" t="s">
        <v>29</v>
      </c>
      <c r="V128" s="25">
        <f t="shared" si="11"/>
        <v>-2.83210116128968</v>
      </c>
      <c r="W128" s="26">
        <v>362.037936344179</v>
      </c>
    </row>
    <row r="129" spans="1:23" s="1" customFormat="1" x14ac:dyDescent="0.3">
      <c r="A129" s="32"/>
      <c r="B129" s="12" t="s">
        <v>151</v>
      </c>
      <c r="C129" s="13">
        <v>3.9100595211064499</v>
      </c>
      <c r="D129" s="13">
        <v>1.5302617139519501</v>
      </c>
      <c r="E129" s="14">
        <v>0.48198999999999997</v>
      </c>
      <c r="F129" s="15">
        <v>2481.9316419093998</v>
      </c>
      <c r="G129" s="15">
        <v>35.082378181786702</v>
      </c>
      <c r="H129" s="17">
        <v>8430.4301016988302</v>
      </c>
      <c r="I129" s="17">
        <v>637435.99546307104</v>
      </c>
      <c r="J129" s="17">
        <v>325.092357686166</v>
      </c>
      <c r="K129" s="22">
        <v>8.2107181202839001</v>
      </c>
      <c r="L129" s="17">
        <v>37.473099052435401</v>
      </c>
      <c r="M129" s="21" t="s">
        <v>9</v>
      </c>
      <c r="N129" s="17">
        <v>356.828532779434</v>
      </c>
      <c r="O129" s="21">
        <v>2.3598694300122201E-2</v>
      </c>
      <c r="P129" s="21">
        <v>0.31288613649644798</v>
      </c>
      <c r="Q129" s="22">
        <v>4.54071428257524</v>
      </c>
      <c r="R129" s="21" t="s">
        <v>9</v>
      </c>
      <c r="S129" s="21" t="s">
        <v>9</v>
      </c>
      <c r="T129" s="21">
        <v>9.64291473987752E-2</v>
      </c>
      <c r="U129" s="21">
        <v>9.3987903160831499E-2</v>
      </c>
      <c r="V129" s="25">
        <f t="shared" si="11"/>
        <v>-2.4906093313737099</v>
      </c>
      <c r="W129" s="26">
        <v>343.47665840355398</v>
      </c>
    </row>
    <row r="130" spans="1:23" s="1" customFormat="1" x14ac:dyDescent="0.3">
      <c r="A130" s="32"/>
      <c r="B130" s="12" t="s">
        <v>152</v>
      </c>
      <c r="C130" s="13">
        <v>3.8453489570575101</v>
      </c>
      <c r="D130" s="13">
        <v>2.26832256416579</v>
      </c>
      <c r="E130" s="14">
        <v>0.44774000000000003</v>
      </c>
      <c r="F130" s="15">
        <v>2470.4666452521401</v>
      </c>
      <c r="G130" s="15">
        <v>35.889242444151201</v>
      </c>
      <c r="H130" s="17">
        <v>8406.9491766678802</v>
      </c>
      <c r="I130" s="17">
        <v>637890.44006685901</v>
      </c>
      <c r="J130" s="17">
        <v>307.82798674967199</v>
      </c>
      <c r="K130" s="22">
        <v>8.8871176208373903</v>
      </c>
      <c r="L130" s="17">
        <v>38.013335163419697</v>
      </c>
      <c r="M130" s="21" t="s">
        <v>9</v>
      </c>
      <c r="N130" s="17">
        <v>382.93433422518598</v>
      </c>
      <c r="O130" s="21">
        <v>3.1210948871018301E-2</v>
      </c>
      <c r="P130" s="21">
        <v>0.22687958987009499</v>
      </c>
      <c r="Q130" s="22">
        <v>3.9613896643984798</v>
      </c>
      <c r="R130" s="21" t="s">
        <v>9</v>
      </c>
      <c r="S130" s="21" t="s">
        <v>9</v>
      </c>
      <c r="T130" s="21">
        <v>8.8030881431077304E-2</v>
      </c>
      <c r="U130" s="21">
        <v>0.13764828732859399</v>
      </c>
      <c r="V130" s="25">
        <f t="shared" si="11"/>
        <v>-2.41540647235359</v>
      </c>
      <c r="W130" s="26">
        <v>339.412819279975</v>
      </c>
    </row>
    <row r="131" spans="1:23" s="1" customFormat="1" x14ac:dyDescent="0.3">
      <c r="A131" s="32"/>
      <c r="B131" s="12" t="s">
        <v>153</v>
      </c>
      <c r="C131" s="13">
        <v>3.8492608878641299</v>
      </c>
      <c r="D131" s="13">
        <v>1.64874967242682</v>
      </c>
      <c r="E131" s="14">
        <v>0.48620000000000002</v>
      </c>
      <c r="F131" s="15">
        <v>2471.3776980355501</v>
      </c>
      <c r="G131" s="15">
        <v>37.052215603041802</v>
      </c>
      <c r="H131" s="17">
        <v>8359.4250499192894</v>
      </c>
      <c r="I131" s="17">
        <v>637905.17540731304</v>
      </c>
      <c r="J131" s="17">
        <v>301.41194777500101</v>
      </c>
      <c r="K131" s="22">
        <v>8.5316604486478607</v>
      </c>
      <c r="L131" s="17">
        <v>37.971897208066501</v>
      </c>
      <c r="M131" s="21" t="s">
        <v>9</v>
      </c>
      <c r="N131" s="17">
        <v>386.52827854202701</v>
      </c>
      <c r="O131" s="21">
        <v>2.0027371945182799E-2</v>
      </c>
      <c r="P131" s="21">
        <v>0.25274543394820698</v>
      </c>
      <c r="Q131" s="22">
        <v>3.84525541347509</v>
      </c>
      <c r="R131" s="21" t="s">
        <v>9</v>
      </c>
      <c r="S131" s="21" t="s">
        <v>9</v>
      </c>
      <c r="T131" s="21">
        <v>0.12056477911000001</v>
      </c>
      <c r="U131" s="21">
        <v>0.17423813592309001</v>
      </c>
      <c r="V131" s="25">
        <f t="shared" si="11"/>
        <v>-2.47110100880895</v>
      </c>
      <c r="W131" s="26">
        <v>342.41856028108901</v>
      </c>
    </row>
    <row r="132" spans="1:23" s="1" customFormat="1" x14ac:dyDescent="0.3">
      <c r="A132" s="32"/>
      <c r="B132" s="12" t="s">
        <v>154</v>
      </c>
      <c r="C132" s="13">
        <v>3.9262199569691201</v>
      </c>
      <c r="D132" s="13">
        <v>1.9901211595900401</v>
      </c>
      <c r="E132" s="14">
        <v>0.36279</v>
      </c>
      <c r="F132" s="15">
        <v>2440.3029971879901</v>
      </c>
      <c r="G132" s="15">
        <v>34.655682402066098</v>
      </c>
      <c r="H132" s="17">
        <v>8408.0756206477108</v>
      </c>
      <c r="I132" s="17">
        <v>637346.84004909697</v>
      </c>
      <c r="J132" s="17">
        <v>333.25885732567201</v>
      </c>
      <c r="K132" s="22">
        <v>8.3631344973109094</v>
      </c>
      <c r="L132" s="17">
        <v>35.503487436068298</v>
      </c>
      <c r="M132" s="21" t="s">
        <v>9</v>
      </c>
      <c r="N132" s="17">
        <v>275.77507502124399</v>
      </c>
      <c r="O132" s="21">
        <v>3.0233119335662299E-2</v>
      </c>
      <c r="P132" s="21">
        <v>0.29130019035577298</v>
      </c>
      <c r="Q132" s="22">
        <v>3.7995677002927</v>
      </c>
      <c r="R132" s="21">
        <v>2.0427783334906999E-2</v>
      </c>
      <c r="S132" s="21" t="s">
        <v>9</v>
      </c>
      <c r="T132" s="21">
        <v>7.2722908672268799E-2</v>
      </c>
      <c r="U132" s="21">
        <v>0.127060812343121</v>
      </c>
      <c r="V132" s="25">
        <f t="shared" si="11"/>
        <v>-2.4922240357513901</v>
      </c>
      <c r="W132" s="26">
        <v>343.62941833074899</v>
      </c>
    </row>
    <row r="133" spans="1:23" s="1" customFormat="1" x14ac:dyDescent="0.3">
      <c r="A133" s="32"/>
      <c r="B133" s="12" t="s">
        <v>155</v>
      </c>
      <c r="C133" s="13">
        <v>3.9767526145705698</v>
      </c>
      <c r="D133" s="13">
        <v>1.8499105626637999</v>
      </c>
      <c r="E133" s="14">
        <v>0.45473000000000002</v>
      </c>
      <c r="F133" s="15">
        <v>2451.8479959761298</v>
      </c>
      <c r="G133" s="15">
        <v>34.877121404490602</v>
      </c>
      <c r="H133" s="17">
        <v>8499.7397193839206</v>
      </c>
      <c r="I133" s="17">
        <v>636928.72694344795</v>
      </c>
      <c r="J133" s="17">
        <v>336.51355111017602</v>
      </c>
      <c r="K133" s="22">
        <v>8.2017936337969495</v>
      </c>
      <c r="L133" s="17">
        <v>42.871131203903303</v>
      </c>
      <c r="M133" s="21" t="s">
        <v>9</v>
      </c>
      <c r="N133" s="17">
        <v>315.74008792063898</v>
      </c>
      <c r="O133" s="21">
        <v>1.6966374318147098E-2</v>
      </c>
      <c r="P133" s="21">
        <v>0.30208422566456999</v>
      </c>
      <c r="Q133" s="22">
        <v>3.87329911263065</v>
      </c>
      <c r="R133" s="21" t="s">
        <v>9</v>
      </c>
      <c r="S133" s="21" t="s">
        <v>9</v>
      </c>
      <c r="T133" s="21">
        <v>5.2968192993239599E-2</v>
      </c>
      <c r="U133" s="21">
        <v>5.8761589101875199E-2</v>
      </c>
      <c r="V133" s="25">
        <f t="shared" si="11"/>
        <v>-2.4649159375177701</v>
      </c>
      <c r="W133" s="26">
        <v>342.11123394491898</v>
      </c>
    </row>
    <row r="134" spans="1:23" s="1" customFormat="1" x14ac:dyDescent="0.3">
      <c r="A134" s="32"/>
      <c r="B134" s="12" t="s">
        <v>156</v>
      </c>
      <c r="C134" s="13">
        <v>3.9493495988915002</v>
      </c>
      <c r="D134" s="13">
        <v>1.95563638624541</v>
      </c>
      <c r="E134" s="14">
        <v>0.3301</v>
      </c>
      <c r="F134" s="15">
        <v>2453.0351462833901</v>
      </c>
      <c r="G134" s="15">
        <v>36.225618403012497</v>
      </c>
      <c r="H134" s="17">
        <v>8441.1696941968203</v>
      </c>
      <c r="I134" s="17">
        <v>637163.10516281996</v>
      </c>
      <c r="J134" s="17">
        <v>330.78371406324402</v>
      </c>
      <c r="K134" s="22">
        <v>8.0548649467506195</v>
      </c>
      <c r="L134" s="17">
        <v>34.849619769614897</v>
      </c>
      <c r="M134" s="21" t="s">
        <v>9</v>
      </c>
      <c r="N134" s="17">
        <v>270.00236071505901</v>
      </c>
      <c r="O134" s="21">
        <v>2.4657749836991701E-2</v>
      </c>
      <c r="P134" s="21">
        <v>0.22890611098673999</v>
      </c>
      <c r="Q134" s="22">
        <v>3.7109913504672498</v>
      </c>
      <c r="R134" s="21" t="s">
        <v>9</v>
      </c>
      <c r="S134" s="21" t="s">
        <v>9</v>
      </c>
      <c r="T134" s="21">
        <v>7.8904799478373394E-2</v>
      </c>
      <c r="U134" s="21">
        <v>0.123699711682242</v>
      </c>
      <c r="V134" s="25">
        <f t="shared" si="11"/>
        <v>-2.5244884419894098</v>
      </c>
      <c r="W134" s="26">
        <v>345.298028301589</v>
      </c>
    </row>
    <row r="135" spans="1:23" s="1" customFormat="1" x14ac:dyDescent="0.3">
      <c r="A135" s="32"/>
      <c r="B135" s="12" t="s">
        <v>157</v>
      </c>
      <c r="C135" s="13">
        <v>4.1149404858435004</v>
      </c>
      <c r="D135" s="14">
        <v>0.93015896656625896</v>
      </c>
      <c r="E135" s="14">
        <v>0.37029000000000001</v>
      </c>
      <c r="F135" s="15">
        <v>2392.3176372952798</v>
      </c>
      <c r="G135" s="15">
        <v>35.7446283809997</v>
      </c>
      <c r="H135" s="17">
        <v>8448.2597071479995</v>
      </c>
      <c r="I135" s="17">
        <v>636045.90843011101</v>
      </c>
      <c r="J135" s="17">
        <v>325.170219037415</v>
      </c>
      <c r="K135" s="22">
        <v>8.2341629076764296</v>
      </c>
      <c r="L135" s="17">
        <v>33.013726478515501</v>
      </c>
      <c r="M135" s="21" t="s">
        <v>9</v>
      </c>
      <c r="N135" s="17">
        <v>339.98571756084698</v>
      </c>
      <c r="O135" s="21">
        <v>1.7127743957725299E-2</v>
      </c>
      <c r="P135" s="21">
        <v>0.76218460611877503</v>
      </c>
      <c r="Q135" s="22">
        <v>4.0978127418857797</v>
      </c>
      <c r="R135" s="21" t="s">
        <v>9</v>
      </c>
      <c r="S135" s="21">
        <v>7.1080137424560002E-3</v>
      </c>
      <c r="T135" s="21">
        <v>9.9769108553749805E-2</v>
      </c>
      <c r="U135" s="21">
        <v>0.113899497318873</v>
      </c>
      <c r="V135" s="25">
        <f t="shared" si="11"/>
        <v>-2.6715456830933402</v>
      </c>
      <c r="W135" s="26">
        <v>353.36936749543003</v>
      </c>
    </row>
    <row r="136" spans="1:23" s="1" customFormat="1" x14ac:dyDescent="0.3">
      <c r="A136" s="32"/>
      <c r="B136" s="12" t="s">
        <v>158</v>
      </c>
      <c r="C136" s="13">
        <v>4.1826174787314301</v>
      </c>
      <c r="D136" s="13">
        <v>2.1626311490279702</v>
      </c>
      <c r="E136" s="14">
        <v>0.50763999999999998</v>
      </c>
      <c r="F136" s="15">
        <v>2415.9947580060498</v>
      </c>
      <c r="G136" s="15">
        <v>35.340133008216903</v>
      </c>
      <c r="H136" s="17">
        <v>8534.9769779316703</v>
      </c>
      <c r="I136" s="17">
        <v>635517.02620822203</v>
      </c>
      <c r="J136" s="17">
        <v>317.33053108668997</v>
      </c>
      <c r="K136" s="22">
        <v>8.0692745115172499</v>
      </c>
      <c r="L136" s="17">
        <v>43.436547802018403</v>
      </c>
      <c r="M136" s="21" t="s">
        <v>9</v>
      </c>
      <c r="N136" s="17">
        <v>333.39073763873802</v>
      </c>
      <c r="O136" s="21">
        <v>3.00312805444817E-2</v>
      </c>
      <c r="P136" s="21">
        <v>0.84000538334564601</v>
      </c>
      <c r="Q136" s="22">
        <v>7.4468871031316102</v>
      </c>
      <c r="R136" s="21">
        <v>0.14667451512304799</v>
      </c>
      <c r="S136" s="21" t="s">
        <v>9</v>
      </c>
      <c r="T136" s="21">
        <v>0.70508223887043897</v>
      </c>
      <c r="U136" s="21">
        <v>0.49616898290882699</v>
      </c>
      <c r="V136" s="25">
        <f t="shared" si="11"/>
        <v>-2.4233865509382699</v>
      </c>
      <c r="W136" s="26">
        <v>339.779640818958</v>
      </c>
    </row>
    <row r="137" spans="1:23" s="1" customFormat="1" x14ac:dyDescent="0.3">
      <c r="A137" s="32"/>
      <c r="B137" s="12" t="s">
        <v>159</v>
      </c>
      <c r="C137" s="13">
        <v>4.1760628936345503</v>
      </c>
      <c r="D137" s="13">
        <v>1.7122558981407601</v>
      </c>
      <c r="E137" s="14">
        <v>0.32923999999999998</v>
      </c>
      <c r="F137" s="15">
        <v>2433.5017902553</v>
      </c>
      <c r="G137" s="15">
        <v>35.3953811777615</v>
      </c>
      <c r="H137" s="17">
        <v>8565.0571939164402</v>
      </c>
      <c r="I137" s="17">
        <v>635535.06575863995</v>
      </c>
      <c r="J137" s="17">
        <v>338.64784734749298</v>
      </c>
      <c r="K137" s="22">
        <v>8.3434347094467594</v>
      </c>
      <c r="L137" s="17">
        <v>39.2402163678668</v>
      </c>
      <c r="M137" s="21" t="s">
        <v>9</v>
      </c>
      <c r="N137" s="17">
        <v>312.00969382201902</v>
      </c>
      <c r="O137" s="21">
        <v>3.3895203507127401E-2</v>
      </c>
      <c r="P137" s="21">
        <v>0.59533883083031502</v>
      </c>
      <c r="Q137" s="22">
        <v>3.9283671756978502</v>
      </c>
      <c r="R137" s="21" t="s">
        <v>9</v>
      </c>
      <c r="S137" s="21" t="s">
        <v>9</v>
      </c>
      <c r="T137" s="21">
        <v>0.119936873948297</v>
      </c>
      <c r="U137" s="21">
        <v>9.5167302154627098E-2</v>
      </c>
      <c r="V137" s="25">
        <f t="shared" ref="V137:V150" si="12">LN((D137^0.22*E137^0.22)/(C137^0.37*F137^0.2*G137^0.1))</f>
        <v>-2.5710363894216002</v>
      </c>
      <c r="W137" s="26">
        <v>347.80549780026303</v>
      </c>
    </row>
    <row r="138" spans="1:23" s="1" customFormat="1" x14ac:dyDescent="0.3">
      <c r="A138" s="32"/>
      <c r="B138" s="12" t="s">
        <v>160</v>
      </c>
      <c r="C138" s="13">
        <v>4.1179536057784603</v>
      </c>
      <c r="D138" s="13">
        <v>2.2189655010462199</v>
      </c>
      <c r="E138" s="14">
        <v>0.45582</v>
      </c>
      <c r="F138" s="15">
        <v>2449.77531365614</v>
      </c>
      <c r="G138" s="15">
        <v>34.894077043075001</v>
      </c>
      <c r="H138" s="17">
        <v>8505.8667091261595</v>
      </c>
      <c r="I138" s="17">
        <v>635976.01213071798</v>
      </c>
      <c r="J138" s="17">
        <v>350.56169041491802</v>
      </c>
      <c r="K138" s="22">
        <v>8.6644143505557203</v>
      </c>
      <c r="L138" s="17">
        <v>44.864697453174301</v>
      </c>
      <c r="M138" s="21">
        <v>0.10884081330569501</v>
      </c>
      <c r="N138" s="17">
        <v>328.23646847307998</v>
      </c>
      <c r="O138" s="21">
        <v>2.91384854519183E-2</v>
      </c>
      <c r="P138" s="22">
        <v>1.05412756193705</v>
      </c>
      <c r="Q138" s="22">
        <v>3.8822746793291198</v>
      </c>
      <c r="R138" s="21">
        <v>4.84213067068643E-2</v>
      </c>
      <c r="S138" s="21" t="s">
        <v>9</v>
      </c>
      <c r="T138" s="21">
        <v>0.98556641969723802</v>
      </c>
      <c r="U138" s="21">
        <v>0.213396555221402</v>
      </c>
      <c r="V138" s="25">
        <f t="shared" si="12"/>
        <v>-2.43715943629328</v>
      </c>
      <c r="W138" s="26">
        <v>340.59895958848301</v>
      </c>
    </row>
    <row r="139" spans="1:23" s="1" customFormat="1" x14ac:dyDescent="0.3">
      <c r="A139" s="32"/>
      <c r="B139" s="12" t="s">
        <v>161</v>
      </c>
      <c r="C139" s="13">
        <v>4.1160576636256598</v>
      </c>
      <c r="D139" s="13">
        <v>1.27185463701148</v>
      </c>
      <c r="E139" s="14">
        <v>0.39799000000000001</v>
      </c>
      <c r="F139" s="15">
        <v>2405.3881205953899</v>
      </c>
      <c r="G139" s="15">
        <v>34.996958812751402</v>
      </c>
      <c r="H139" s="17">
        <v>8446.2702525179993</v>
      </c>
      <c r="I139" s="17">
        <v>636040.12804205006</v>
      </c>
      <c r="J139" s="17">
        <v>355.32585200248099</v>
      </c>
      <c r="K139" s="22">
        <v>7.7823899841912798</v>
      </c>
      <c r="L139" s="17">
        <v>42.231351262590003</v>
      </c>
      <c r="M139" s="21">
        <v>0.10836239218494199</v>
      </c>
      <c r="N139" s="17">
        <v>334.93830311709303</v>
      </c>
      <c r="O139" s="21">
        <v>2.1415492526668401E-2</v>
      </c>
      <c r="P139" s="21">
        <v>0.66816336683205302</v>
      </c>
      <c r="Q139" s="22">
        <v>4.3901759679670098</v>
      </c>
      <c r="R139" s="21">
        <v>3.8976196398536403E-2</v>
      </c>
      <c r="S139" s="21" t="s">
        <v>9</v>
      </c>
      <c r="T139" s="21">
        <v>0.28139957180042202</v>
      </c>
      <c r="U139" s="21">
        <v>0.35849534489642798</v>
      </c>
      <c r="V139" s="25">
        <f t="shared" si="12"/>
        <v>-2.5859183713584399</v>
      </c>
      <c r="W139" s="26">
        <v>348.67267643124899</v>
      </c>
    </row>
    <row r="140" spans="1:23" s="1" customFormat="1" x14ac:dyDescent="0.3">
      <c r="A140" s="32"/>
      <c r="B140" s="12" t="s">
        <v>162</v>
      </c>
      <c r="C140" s="13">
        <v>4.0827669932984696</v>
      </c>
      <c r="D140" s="13">
        <v>1.3522905093550901</v>
      </c>
      <c r="E140" s="14">
        <v>0.35425000000000001</v>
      </c>
      <c r="F140" s="15">
        <v>2476.00062819391</v>
      </c>
      <c r="G140" s="15">
        <v>34.514947748314498</v>
      </c>
      <c r="H140" s="17">
        <v>8471.4228768336707</v>
      </c>
      <c r="I140" s="17">
        <v>636241.81093103404</v>
      </c>
      <c r="J140" s="17">
        <v>356.53049539813497</v>
      </c>
      <c r="K140" s="22">
        <v>8.5776342970547503</v>
      </c>
      <c r="L140" s="17">
        <v>39.850524866950799</v>
      </c>
      <c r="M140" s="21" t="s">
        <v>9</v>
      </c>
      <c r="N140" s="17">
        <v>344.97469287808099</v>
      </c>
      <c r="O140" s="21">
        <v>2.08174383633325E-2</v>
      </c>
      <c r="P140" s="21">
        <v>0.34115108175012199</v>
      </c>
      <c r="Q140" s="22">
        <v>3.8618472392386201</v>
      </c>
      <c r="R140" s="21" t="s">
        <v>9</v>
      </c>
      <c r="S140" s="21" t="s">
        <v>9</v>
      </c>
      <c r="T140" s="21">
        <v>8.8367901623941994E-2</v>
      </c>
      <c r="U140" s="21">
        <v>0.130427624031491</v>
      </c>
      <c r="V140" s="25">
        <f t="shared" si="12"/>
        <v>-2.5994355221686298</v>
      </c>
      <c r="W140" s="26">
        <v>349.48520790801098</v>
      </c>
    </row>
    <row r="141" spans="1:23" s="1" customFormat="1" x14ac:dyDescent="0.3">
      <c r="A141" s="32"/>
      <c r="B141" s="12" t="s">
        <v>163</v>
      </c>
      <c r="C141" s="13">
        <v>4.11769673291617</v>
      </c>
      <c r="D141" s="13">
        <v>1.36303987142168</v>
      </c>
      <c r="E141" s="14">
        <v>0.4244</v>
      </c>
      <c r="F141" s="15">
        <v>2458.1921078813798</v>
      </c>
      <c r="G141" s="15">
        <v>34.947794195715304</v>
      </c>
      <c r="H141" s="17">
        <v>8471.0576909211995</v>
      </c>
      <c r="I141" s="17">
        <v>636007.75413373997</v>
      </c>
      <c r="J141" s="17">
        <v>360.69480850872401</v>
      </c>
      <c r="K141" s="22">
        <v>9.1180631088924198</v>
      </c>
      <c r="L141" s="17">
        <v>40.619942797133497</v>
      </c>
      <c r="M141" s="21" t="s">
        <v>9</v>
      </c>
      <c r="N141" s="17">
        <v>363.77986745534099</v>
      </c>
      <c r="O141" s="21">
        <v>1.5853775142341101E-2</v>
      </c>
      <c r="P141" s="21">
        <v>0.43919241948377502</v>
      </c>
      <c r="Q141" s="22">
        <v>3.9463045692151901</v>
      </c>
      <c r="R141" s="21" t="s">
        <v>9</v>
      </c>
      <c r="S141" s="21" t="s">
        <v>9</v>
      </c>
      <c r="T141" s="21">
        <v>0.25066103941269102</v>
      </c>
      <c r="U141" s="21">
        <v>0.15596686896789699</v>
      </c>
      <c r="V141" s="25">
        <f t="shared" si="12"/>
        <v>-2.5609001126045499</v>
      </c>
      <c r="W141" s="26">
        <v>347.32023615133397</v>
      </c>
    </row>
    <row r="142" spans="1:23" s="1" customFormat="1" x14ac:dyDescent="0.3">
      <c r="A142" s="32"/>
      <c r="B142" s="12" t="s">
        <v>164</v>
      </c>
      <c r="C142" s="13">
        <v>4.0500837161253198</v>
      </c>
      <c r="D142" s="13">
        <v>1.2993199803858999</v>
      </c>
      <c r="E142" s="14">
        <v>0.36997000000000002</v>
      </c>
      <c r="F142" s="15">
        <v>2448.1723524424601</v>
      </c>
      <c r="G142" s="15">
        <v>35.0897941477782</v>
      </c>
      <c r="H142" s="17">
        <v>8441.5376518199992</v>
      </c>
      <c r="I142" s="17">
        <v>636486.88161064195</v>
      </c>
      <c r="J142" s="17">
        <v>353.12852713230097</v>
      </c>
      <c r="K142" s="22">
        <v>8.7196911640617003</v>
      </c>
      <c r="L142" s="17">
        <v>46.864652365570898</v>
      </c>
      <c r="M142" s="21" t="s">
        <v>9</v>
      </c>
      <c r="N142" s="17">
        <v>413.01582120736902</v>
      </c>
      <c r="O142" s="21">
        <v>2.82367959396875E-2</v>
      </c>
      <c r="P142" s="21">
        <v>0.53312756512991999</v>
      </c>
      <c r="Q142" s="22">
        <v>4.9561898544884304</v>
      </c>
      <c r="R142" s="21">
        <v>5.9423704887999002E-2</v>
      </c>
      <c r="S142" s="21" t="s">
        <v>9</v>
      </c>
      <c r="T142" s="21">
        <v>0.37972168868146899</v>
      </c>
      <c r="U142" s="21">
        <v>0.46780363422467303</v>
      </c>
      <c r="V142" s="25">
        <f t="shared" si="12"/>
        <v>-2.5950916465698901</v>
      </c>
      <c r="W142" s="26">
        <v>349.15828088534101</v>
      </c>
    </row>
    <row r="143" spans="1:23" s="1" customFormat="1" x14ac:dyDescent="0.3">
      <c r="A143" s="32"/>
      <c r="B143" s="12" t="s">
        <v>165</v>
      </c>
      <c r="C143" s="13">
        <v>4.0326287552827802</v>
      </c>
      <c r="D143" s="13">
        <v>1.42382254035667</v>
      </c>
      <c r="E143" s="14">
        <v>0.34161999999999998</v>
      </c>
      <c r="F143" s="15">
        <v>2474.1289428873301</v>
      </c>
      <c r="G143" s="15">
        <v>34.781935324953103</v>
      </c>
      <c r="H143" s="17">
        <v>8514.2598797801802</v>
      </c>
      <c r="I143" s="17">
        <v>636541.28713503596</v>
      </c>
      <c r="J143" s="17">
        <v>346.90678376610498</v>
      </c>
      <c r="K143" s="22">
        <v>8.7702331930707604</v>
      </c>
      <c r="L143" s="17">
        <v>34.829155742816901</v>
      </c>
      <c r="M143" s="21" t="s">
        <v>9</v>
      </c>
      <c r="N143" s="17">
        <v>344.93453036862002</v>
      </c>
      <c r="O143" s="21">
        <v>2.1820675887066002E-2</v>
      </c>
      <c r="P143" s="21">
        <v>0.22072452916532201</v>
      </c>
      <c r="Q143" s="22">
        <v>3.8395996993587298</v>
      </c>
      <c r="R143" s="21" t="s">
        <v>9</v>
      </c>
      <c r="S143" s="21" t="s">
        <v>9</v>
      </c>
      <c r="T143" s="21">
        <v>8.0988277811610401E-2</v>
      </c>
      <c r="U143" s="21">
        <v>0.104067838846007</v>
      </c>
      <c r="V143" s="25">
        <f t="shared" si="12"/>
        <v>-2.59212981847437</v>
      </c>
      <c r="W143" s="26">
        <v>349.04529458837499</v>
      </c>
    </row>
    <row r="144" spans="1:23" s="1" customFormat="1" x14ac:dyDescent="0.3">
      <c r="A144" s="32"/>
      <c r="B144" s="12" t="s">
        <v>166</v>
      </c>
      <c r="C144" s="13">
        <v>3.99170845910787</v>
      </c>
      <c r="D144" s="13">
        <v>1.7874081711708201</v>
      </c>
      <c r="E144" s="14">
        <v>0.40014</v>
      </c>
      <c r="F144" s="15">
        <v>2495.5446849448599</v>
      </c>
      <c r="G144" s="15">
        <v>34.8502677131927</v>
      </c>
      <c r="H144" s="17">
        <v>8415.4020168080697</v>
      </c>
      <c r="I144" s="17">
        <v>636901.10689893202</v>
      </c>
      <c r="J144" s="17">
        <v>341.72513520375099</v>
      </c>
      <c r="K144" s="22">
        <v>8.79754268094743</v>
      </c>
      <c r="L144" s="17">
        <v>38.754047787176297</v>
      </c>
      <c r="M144" s="21" t="s">
        <v>9</v>
      </c>
      <c r="N144" s="17">
        <v>311.94308561810698</v>
      </c>
      <c r="O144" s="21">
        <v>2.2429995503832002E-2</v>
      </c>
      <c r="P144" s="21">
        <v>0.22928439848361601</v>
      </c>
      <c r="Q144" s="22">
        <v>3.75910109832739</v>
      </c>
      <c r="R144" s="21" t="s">
        <v>9</v>
      </c>
      <c r="S144" s="21" t="s">
        <v>9</v>
      </c>
      <c r="T144" s="21">
        <v>9.1381463163759905E-2</v>
      </c>
      <c r="U144" s="21">
        <v>0.1142268289547</v>
      </c>
      <c r="V144" s="25">
        <f t="shared" si="12"/>
        <v>-2.50545800871555</v>
      </c>
      <c r="W144" s="26">
        <v>344.322223160161</v>
      </c>
    </row>
    <row r="145" spans="1:23" s="1" customFormat="1" x14ac:dyDescent="0.3">
      <c r="A145" s="32"/>
      <c r="B145" s="12" t="s">
        <v>167</v>
      </c>
      <c r="C145" s="13">
        <v>3.9000418890945201</v>
      </c>
      <c r="D145" s="13">
        <v>2.5944513041111299</v>
      </c>
      <c r="E145" s="14">
        <v>0.29394999999999999</v>
      </c>
      <c r="F145" s="15">
        <v>2484.5011909507498</v>
      </c>
      <c r="G145" s="15">
        <v>35.080604669736097</v>
      </c>
      <c r="H145" s="17">
        <v>8441.2977412243599</v>
      </c>
      <c r="I145" s="17">
        <v>637493.83983204805</v>
      </c>
      <c r="J145" s="17">
        <v>333.634176589449</v>
      </c>
      <c r="K145" s="22">
        <v>9.3909437371120994</v>
      </c>
      <c r="L145" s="17">
        <v>31.086702258547401</v>
      </c>
      <c r="M145" s="21" t="s">
        <v>9</v>
      </c>
      <c r="N145" s="17">
        <v>387.56919917640698</v>
      </c>
      <c r="O145" s="21">
        <v>1.7856591375666898E-2</v>
      </c>
      <c r="P145" s="21">
        <v>0.24674562628194299</v>
      </c>
      <c r="Q145" s="22">
        <v>3.65248459956823</v>
      </c>
      <c r="R145" s="21" t="s">
        <v>9</v>
      </c>
      <c r="S145" s="21" t="s">
        <v>9</v>
      </c>
      <c r="T145" s="21">
        <v>8.0760492812675402E-2</v>
      </c>
      <c r="U145" s="21">
        <v>0.12540197125184299</v>
      </c>
      <c r="V145" s="25">
        <f t="shared" si="12"/>
        <v>-2.4825090967775001</v>
      </c>
      <c r="W145" s="26">
        <v>343.03816513939398</v>
      </c>
    </row>
    <row r="146" spans="1:23" s="1" customFormat="1" x14ac:dyDescent="0.3">
      <c r="A146" s="32"/>
      <c r="B146" s="12" t="s">
        <v>168</v>
      </c>
      <c r="C146" s="13">
        <v>3.9061524144116699</v>
      </c>
      <c r="D146" s="13">
        <v>3.1117292707655202</v>
      </c>
      <c r="E146" s="14">
        <v>0.38518999999999998</v>
      </c>
      <c r="F146" s="15">
        <v>2488.3938689935699</v>
      </c>
      <c r="G146" s="15">
        <v>34.980657355395202</v>
      </c>
      <c r="H146" s="17">
        <v>8413.8766886910998</v>
      </c>
      <c r="I146" s="17">
        <v>637476.48663915705</v>
      </c>
      <c r="J146" s="17">
        <v>332.612333060673</v>
      </c>
      <c r="K146" s="22">
        <v>9.4706921181885306</v>
      </c>
      <c r="L146" s="17">
        <v>34.183914469513098</v>
      </c>
      <c r="M146" s="21" t="s">
        <v>9</v>
      </c>
      <c r="N146" s="17">
        <v>386.95703418521401</v>
      </c>
      <c r="O146" s="21">
        <v>2.3981580900134102E-2</v>
      </c>
      <c r="P146" s="21">
        <v>0.215834228101207</v>
      </c>
      <c r="Q146" s="22">
        <v>3.6744659548679999</v>
      </c>
      <c r="R146" s="21">
        <v>4.1459682234130102E-2</v>
      </c>
      <c r="S146" s="21" t="s">
        <v>9</v>
      </c>
      <c r="T146" s="21">
        <v>0.194291452038374</v>
      </c>
      <c r="U146" s="21">
        <v>0.24672575604036201</v>
      </c>
      <c r="V146" s="25">
        <f t="shared" si="12"/>
        <v>-2.38364742086257</v>
      </c>
      <c r="W146" s="26">
        <v>337.67170467447602</v>
      </c>
    </row>
    <row r="147" spans="1:23" s="1" customFormat="1" x14ac:dyDescent="0.3">
      <c r="A147" s="32"/>
      <c r="B147" s="12" t="s">
        <v>169</v>
      </c>
      <c r="C147" s="13">
        <v>3.8863697685245402</v>
      </c>
      <c r="D147" s="13">
        <v>2.6524447235859498</v>
      </c>
      <c r="E147" s="14">
        <v>0.32179000000000002</v>
      </c>
      <c r="F147" s="15">
        <v>2481.04875441187</v>
      </c>
      <c r="G147" s="15">
        <v>34.693292064299399</v>
      </c>
      <c r="H147" s="17">
        <v>8403.6174599313199</v>
      </c>
      <c r="I147" s="17">
        <v>637618.07163097803</v>
      </c>
      <c r="J147" s="17">
        <v>331.049145943204</v>
      </c>
      <c r="K147" s="22">
        <v>9.6047119669571099</v>
      </c>
      <c r="L147" s="17">
        <v>53.179773627573098</v>
      </c>
      <c r="M147" s="21" t="s">
        <v>9</v>
      </c>
      <c r="N147" s="17">
        <v>399.55601782541601</v>
      </c>
      <c r="O147" s="21">
        <v>2.66909890450177E-2</v>
      </c>
      <c r="P147" s="21">
        <v>0.38176202512873703</v>
      </c>
      <c r="Q147" s="22">
        <v>3.82166434053662</v>
      </c>
      <c r="R147" s="21">
        <v>3.1948305069036301E-2</v>
      </c>
      <c r="S147" s="21" t="s">
        <v>9</v>
      </c>
      <c r="T147" s="21">
        <v>0.62278974438374501</v>
      </c>
      <c r="U147" s="21">
        <v>0.55525345392135195</v>
      </c>
      <c r="V147" s="25">
        <f t="shared" si="12"/>
        <v>-2.4550502586888401</v>
      </c>
      <c r="W147" s="26">
        <v>341.60240155100001</v>
      </c>
    </row>
    <row r="148" spans="1:23" s="1" customFormat="1" x14ac:dyDescent="0.3">
      <c r="A148" s="32"/>
      <c r="B148" s="12" t="s">
        <v>170</v>
      </c>
      <c r="C148" s="13">
        <v>3.9445244489508302</v>
      </c>
      <c r="D148" s="13">
        <v>2.0837252012454202</v>
      </c>
      <c r="E148" s="14">
        <v>0.48837000000000003</v>
      </c>
      <c r="F148" s="15">
        <v>2492.7260123286601</v>
      </c>
      <c r="G148" s="15">
        <v>35.196329523160301</v>
      </c>
      <c r="H148" s="17">
        <v>8389.8105865301695</v>
      </c>
      <c r="I148" s="17">
        <v>637239.77179980895</v>
      </c>
      <c r="J148" s="17">
        <v>337.19321902321599</v>
      </c>
      <c r="K148" s="22">
        <v>9.1081162874317307</v>
      </c>
      <c r="L148" s="17">
        <v>39.240014289250702</v>
      </c>
      <c r="M148" s="21" t="s">
        <v>9</v>
      </c>
      <c r="N148" s="17">
        <v>306.20345878431999</v>
      </c>
      <c r="O148" s="21">
        <v>2.87322280360622E-2</v>
      </c>
      <c r="P148" s="21">
        <v>0.24873900271219601</v>
      </c>
      <c r="Q148" s="22">
        <v>3.7680264767292999</v>
      </c>
      <c r="R148" s="21" t="s">
        <v>9</v>
      </c>
      <c r="S148" s="21" t="s">
        <v>9</v>
      </c>
      <c r="T148" s="21">
        <v>8.0860698901489406E-2</v>
      </c>
      <c r="U148" s="21">
        <v>0.11082430813909699</v>
      </c>
      <c r="V148" s="25">
        <f t="shared" si="12"/>
        <v>-2.4242375599536099</v>
      </c>
      <c r="W148" s="26">
        <v>339.84928912009002</v>
      </c>
    </row>
    <row r="149" spans="1:23" s="1" customFormat="1" x14ac:dyDescent="0.3">
      <c r="A149" s="32"/>
      <c r="B149" s="12" t="s">
        <v>171</v>
      </c>
      <c r="C149" s="13">
        <v>3.9447255534938801</v>
      </c>
      <c r="D149" s="13">
        <v>2.5794530293265598</v>
      </c>
      <c r="E149" s="14">
        <v>0.37097999999999998</v>
      </c>
      <c r="F149" s="15">
        <v>2513.78764720047</v>
      </c>
      <c r="G149" s="15">
        <v>34.7426541504244</v>
      </c>
      <c r="H149" s="17">
        <v>8390.2383260577408</v>
      </c>
      <c r="I149" s="17">
        <v>637238.05355564901</v>
      </c>
      <c r="J149" s="17">
        <v>334.66542598996398</v>
      </c>
      <c r="K149" s="22">
        <v>8.5708501099846206</v>
      </c>
      <c r="L149" s="17">
        <v>41.007084577943601</v>
      </c>
      <c r="M149" s="21" t="s">
        <v>9</v>
      </c>
      <c r="N149" s="17">
        <v>315.66014054493098</v>
      </c>
      <c r="O149" s="21">
        <v>2.5039360953499099E-2</v>
      </c>
      <c r="P149" s="21">
        <v>0.28076922774087498</v>
      </c>
      <c r="Q149" s="22">
        <v>4.5029801583587696</v>
      </c>
      <c r="R149" s="21" t="s">
        <v>9</v>
      </c>
      <c r="S149" s="21" t="s">
        <v>9</v>
      </c>
      <c r="T149" s="21">
        <v>8.5790597365267507E-2</v>
      </c>
      <c r="U149" s="21">
        <v>9.0716373290546007E-2</v>
      </c>
      <c r="V149" s="25">
        <f t="shared" si="12"/>
        <v>-2.4381729171425199</v>
      </c>
      <c r="W149" s="26">
        <v>340.67767241505697</v>
      </c>
    </row>
    <row r="150" spans="1:23" s="1" customFormat="1" x14ac:dyDescent="0.3">
      <c r="A150" s="32"/>
      <c r="B150" s="12" t="s">
        <v>172</v>
      </c>
      <c r="C150" s="13">
        <v>3.8947075811512502</v>
      </c>
      <c r="D150" s="13">
        <v>2.5242760709062901</v>
      </c>
      <c r="E150" s="14">
        <v>0.42788999999999999</v>
      </c>
      <c r="F150" s="15">
        <v>2508.6618030516402</v>
      </c>
      <c r="G150" s="15">
        <v>35.144514915283303</v>
      </c>
      <c r="H150" s="17">
        <v>8397.3299772584796</v>
      </c>
      <c r="I150" s="17">
        <v>637567.54870771198</v>
      </c>
      <c r="J150" s="17">
        <v>322.23537958099502</v>
      </c>
      <c r="K150" s="22">
        <v>8.1379529895439298</v>
      </c>
      <c r="L150" s="17">
        <v>40.081850132763698</v>
      </c>
      <c r="M150" s="21" t="s">
        <v>9</v>
      </c>
      <c r="N150" s="17">
        <v>341.24284946195201</v>
      </c>
      <c r="O150" s="21">
        <v>2.1884933338414899E-2</v>
      </c>
      <c r="P150" s="21">
        <v>0.30638906673780902</v>
      </c>
      <c r="Q150" s="22">
        <v>4.4175143220133899</v>
      </c>
      <c r="R150" s="21" t="s">
        <v>9</v>
      </c>
      <c r="S150" s="21" t="s">
        <v>9</v>
      </c>
      <c r="T150" s="21">
        <v>5.1875397542909499E-2</v>
      </c>
      <c r="U150" s="21">
        <v>5.7954545692469203E-2</v>
      </c>
      <c r="V150" s="25">
        <f t="shared" si="12"/>
        <v>-2.40755234488473</v>
      </c>
      <c r="W150" s="26">
        <v>338.94989871148698</v>
      </c>
    </row>
    <row r="151" spans="1:23" s="1" customFormat="1" x14ac:dyDescent="0.3">
      <c r="A151" s="32"/>
      <c r="B151" s="29" t="s">
        <v>10</v>
      </c>
      <c r="C151" s="13">
        <f t="shared" ref="C151:W151" si="13">MIN(C109:C150)</f>
        <v>3.8453489570575101</v>
      </c>
      <c r="D151" s="14">
        <f t="shared" si="13"/>
        <v>0.93015896656625896</v>
      </c>
      <c r="E151" s="14">
        <f t="shared" si="13"/>
        <v>0.12720000000000001</v>
      </c>
      <c r="F151" s="15">
        <f t="shared" si="13"/>
        <v>1949.0279187613201</v>
      </c>
      <c r="G151" s="15">
        <f t="shared" si="13"/>
        <v>19.297580232805501</v>
      </c>
      <c r="H151" s="15">
        <f t="shared" si="13"/>
        <v>8359.4250499192894</v>
      </c>
      <c r="I151" s="15">
        <f t="shared" si="13"/>
        <v>590780.186260922</v>
      </c>
      <c r="J151" s="15">
        <f t="shared" si="13"/>
        <v>301.41194777500101</v>
      </c>
      <c r="K151" s="14">
        <f t="shared" si="13"/>
        <v>0.15691819464680201</v>
      </c>
      <c r="L151" s="15">
        <f t="shared" si="13"/>
        <v>31.086702258547401</v>
      </c>
      <c r="M151" s="22" t="s">
        <v>9</v>
      </c>
      <c r="N151" s="15">
        <f t="shared" si="13"/>
        <v>163.79195953978899</v>
      </c>
      <c r="O151" s="21" t="s">
        <v>9</v>
      </c>
      <c r="P151" s="14">
        <f t="shared" si="13"/>
        <v>0.215834228101207</v>
      </c>
      <c r="Q151" s="14">
        <f t="shared" si="13"/>
        <v>0.42582842797930698</v>
      </c>
      <c r="R151" s="22" t="s">
        <v>9</v>
      </c>
      <c r="S151" s="22" t="s">
        <v>9</v>
      </c>
      <c r="T151" s="14">
        <f t="shared" si="13"/>
        <v>5.1875397542909499E-2</v>
      </c>
      <c r="U151" s="14">
        <f t="shared" si="13"/>
        <v>5.7954545692469203E-2</v>
      </c>
      <c r="V151" s="14">
        <f t="shared" si="13"/>
        <v>-3.0713299433375498</v>
      </c>
      <c r="W151" s="15">
        <f t="shared" si="13"/>
        <v>337.67170467447602</v>
      </c>
    </row>
    <row r="152" spans="1:23" s="1" customFormat="1" x14ac:dyDescent="0.3">
      <c r="A152" s="32"/>
      <c r="B152" s="29" t="s">
        <v>11</v>
      </c>
      <c r="C152" s="13">
        <f t="shared" ref="C152:W152" si="14">MAX(C109:C150)</f>
        <v>10.6918975328954</v>
      </c>
      <c r="D152" s="13">
        <f t="shared" si="14"/>
        <v>3.1117292707655202</v>
      </c>
      <c r="E152" s="14">
        <f t="shared" si="14"/>
        <v>0.50763999999999998</v>
      </c>
      <c r="F152" s="15">
        <f t="shared" si="14"/>
        <v>2513.78764720047</v>
      </c>
      <c r="G152" s="15">
        <f t="shared" si="14"/>
        <v>37.052215603041802</v>
      </c>
      <c r="H152" s="15">
        <f t="shared" si="14"/>
        <v>10158.464709775601</v>
      </c>
      <c r="I152" s="15">
        <f t="shared" si="14"/>
        <v>637905.17540731304</v>
      </c>
      <c r="J152" s="15">
        <f t="shared" si="14"/>
        <v>607.31850166438505</v>
      </c>
      <c r="K152" s="13">
        <f t="shared" si="14"/>
        <v>9.6047119669571099</v>
      </c>
      <c r="L152" s="15">
        <f t="shared" si="14"/>
        <v>60.747049498124198</v>
      </c>
      <c r="M152" s="14">
        <f t="shared" si="14"/>
        <v>0.31522653280444501</v>
      </c>
      <c r="N152" s="15">
        <f t="shared" si="14"/>
        <v>413.01582120736902</v>
      </c>
      <c r="O152" s="14">
        <f t="shared" si="14"/>
        <v>3.40757609608194E-2</v>
      </c>
      <c r="P152" s="13">
        <f t="shared" si="14"/>
        <v>7.7156951724728202</v>
      </c>
      <c r="Q152" s="13">
        <f t="shared" si="14"/>
        <v>8.4533065063650401</v>
      </c>
      <c r="R152" s="14">
        <f t="shared" si="14"/>
        <v>0.41077957556079198</v>
      </c>
      <c r="S152" s="14">
        <f t="shared" si="14"/>
        <v>4.7323519610211799E-2</v>
      </c>
      <c r="T152" s="14">
        <f t="shared" si="14"/>
        <v>0.98556641969723802</v>
      </c>
      <c r="U152" s="13">
        <f t="shared" si="14"/>
        <v>1.36612693211277</v>
      </c>
      <c r="V152" s="14">
        <f t="shared" si="14"/>
        <v>-2.38364742086257</v>
      </c>
      <c r="W152" s="15">
        <f t="shared" si="14"/>
        <v>375.00487090816102</v>
      </c>
    </row>
    <row r="153" spans="1:23" s="1" customFormat="1" x14ac:dyDescent="0.3">
      <c r="A153" s="32"/>
      <c r="B153" s="29" t="s">
        <v>12</v>
      </c>
      <c r="C153" s="13">
        <f t="shared" ref="C153:W153" si="15">AVERAGE(C109:C150)</f>
        <v>6.7008498732631701</v>
      </c>
      <c r="D153" s="13">
        <f t="shared" si="15"/>
        <v>1.8698595447649</v>
      </c>
      <c r="E153" s="14">
        <f t="shared" si="15"/>
        <v>0.28952357142857099</v>
      </c>
      <c r="F153" s="15">
        <f t="shared" si="15"/>
        <v>2373.1411040237099</v>
      </c>
      <c r="G153" s="15">
        <f t="shared" si="15"/>
        <v>28.002208566781899</v>
      </c>
      <c r="H153" s="15">
        <f t="shared" si="15"/>
        <v>9040.8149557886009</v>
      </c>
      <c r="I153" s="15">
        <f t="shared" si="15"/>
        <v>618183.95695703803</v>
      </c>
      <c r="J153" s="15">
        <f t="shared" si="15"/>
        <v>418.39680768974802</v>
      </c>
      <c r="K153" s="13">
        <f t="shared" si="15"/>
        <v>4.8378063781977296</v>
      </c>
      <c r="L153" s="15">
        <f t="shared" si="15"/>
        <v>39.9743257973807</v>
      </c>
      <c r="M153" s="14">
        <f t="shared" si="15"/>
        <v>0.148793305881598</v>
      </c>
      <c r="N153" s="15">
        <f t="shared" si="15"/>
        <v>265.39978315564599</v>
      </c>
      <c r="O153" s="14">
        <f t="shared" si="15"/>
        <v>2.29111657900135E-2</v>
      </c>
      <c r="P153" s="13">
        <f t="shared" si="15"/>
        <v>1.1024012997293899</v>
      </c>
      <c r="Q153" s="13">
        <f t="shared" si="15"/>
        <v>3.1005714421214101</v>
      </c>
      <c r="R153" s="14">
        <f t="shared" si="15"/>
        <v>8.1600372775146202E-2</v>
      </c>
      <c r="S153" s="14">
        <f t="shared" si="15"/>
        <v>1.6990716603742101E-2</v>
      </c>
      <c r="T153" s="14">
        <f t="shared" si="15"/>
        <v>0.23674259575436099</v>
      </c>
      <c r="U153" s="14">
        <f t="shared" si="15"/>
        <v>0.29189522683631702</v>
      </c>
      <c r="V153" s="14">
        <f t="shared" si="15"/>
        <v>-2.7134172483411101</v>
      </c>
      <c r="W153" s="15">
        <f t="shared" si="15"/>
        <v>355.600138157358</v>
      </c>
    </row>
    <row r="154" spans="1:23" s="1" customFormat="1" x14ac:dyDescent="0.3">
      <c r="A154" s="1" t="s">
        <v>173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s="1" customFormat="1" x14ac:dyDescent="0.3"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s="1" customFormat="1" x14ac:dyDescent="0.3"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s="1" customFormat="1" x14ac:dyDescent="0.3"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s="1" customFormat="1" x14ac:dyDescent="0.3"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s="1" customFormat="1" x14ac:dyDescent="0.3"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s="1" customFormat="1" x14ac:dyDescent="0.3"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2:23" s="1" customFormat="1" x14ac:dyDescent="0.3"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2:23" s="1" customFormat="1" x14ac:dyDescent="0.3"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2:23" s="1" customFormat="1" x14ac:dyDescent="0.3"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2:23" s="1" customFormat="1" x14ac:dyDescent="0.3"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2:23" s="1" customFormat="1" x14ac:dyDescent="0.3"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2:23" s="1" customFormat="1" x14ac:dyDescent="0.3"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2:23" s="1" customFormat="1" x14ac:dyDescent="0.3"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2:23" s="1" customFormat="1" x14ac:dyDescent="0.3"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2:23" s="1" customFormat="1" x14ac:dyDescent="0.3"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2:23" s="1" customFormat="1" x14ac:dyDescent="0.3"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2:23" s="1" customFormat="1" x14ac:dyDescent="0.3"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2:23" s="1" customFormat="1" x14ac:dyDescent="0.3"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2:23" s="1" customFormat="1" x14ac:dyDescent="0.3"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</sheetData>
  <mergeCells count="3">
    <mergeCell ref="A3:A85"/>
    <mergeCell ref="A86:A108"/>
    <mergeCell ref="A109:A153"/>
  </mergeCells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E18600-E3EA-4C7E-BF81-9C62DC4CB87B}"/>
</file>

<file path=customXml/itemProps2.xml><?xml version="1.0" encoding="utf-8"?>
<ds:datastoreItem xmlns:ds="http://schemas.openxmlformats.org/officeDocument/2006/customXml" ds:itemID="{B846014A-1C6F-4C99-8FE8-F90CF8A50D58}"/>
</file>

<file path=customXml/itemProps3.xml><?xml version="1.0" encoding="utf-8"?>
<ds:datastoreItem xmlns:ds="http://schemas.openxmlformats.org/officeDocument/2006/customXml" ds:itemID="{393D9DF4-FC77-46C2-A0C7-850030F5A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Deja_Li</cp:lastModifiedBy>
  <dcterms:created xsi:type="dcterms:W3CDTF">2015-06-05T18:19:00Z</dcterms:created>
  <dcterms:modified xsi:type="dcterms:W3CDTF">2025-02-10T04:21:38Z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9846B8297CC34FA1A972B98146242E25_12</vt:lpwstr>
  </property>
  <property fmtid="{D5CDD505-2E9C-101B-9397-08002B2CF9AE}" pid="3" name="KSOProductBuildVer">
    <vt:lpwstr>2052-12.1.0.19770</vt:lpwstr>
  </property>
  <property fmtid="{D5CDD505-2E9C-101B-9397-08002B2CF9AE}" pid="4" name="ContentTypeId">
    <vt:lpwstr>0x010100E89770C754368F49BB2A63D8816AD496</vt:lpwstr>
  </property>
</Properties>
</file>