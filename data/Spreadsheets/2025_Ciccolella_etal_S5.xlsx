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cconorsk/Desktop/DOCUMENTI E PAPERS/Papers in preparazione/Paragenetic Evolution and Primary Genetic Evidence of Zn-Pb-(Cu-Fe) Mineralization in Northern Sila Massif (Calabria, Italy) Constrained by Sphalerite Trace Elements/tavole supplementary/"/>
    </mc:Choice>
  </mc:AlternateContent>
  <xr:revisionPtr revIDLastSave="0" documentId="13_ncr:1_{FE78A3B9-457F-5245-9942-EAC721CE0629}" xr6:coauthVersionLast="47" xr6:coauthVersionMax="47" xr10:uidLastSave="{00000000-0000-0000-0000-000000000000}"/>
  <bookViews>
    <workbookView xWindow="0" yWindow="500" windowWidth="33600" windowHeight="19240" xr2:uid="{4182DEA2-C514-B84A-A4D1-DA64E2690150}"/>
  </bookViews>
  <sheets>
    <sheet name="Table 3 EPM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4" l="1"/>
  <c r="D41" i="4"/>
  <c r="E41" i="4"/>
  <c r="F41" i="4"/>
  <c r="G41" i="4"/>
  <c r="B41" i="4"/>
  <c r="C38" i="4" l="1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2" i="4"/>
  <c r="D42" i="4"/>
  <c r="E42" i="4"/>
  <c r="F42" i="4"/>
  <c r="G42" i="4"/>
  <c r="B42" i="4"/>
  <c r="B40" i="4"/>
  <c r="B39" i="4"/>
  <c r="B38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" i="4"/>
  <c r="H41" i="4" l="1"/>
  <c r="H40" i="4"/>
  <c r="H38" i="4"/>
  <c r="H39" i="4"/>
  <c r="H42" i="4"/>
</calcChain>
</file>

<file path=xl/sharedStrings.xml><?xml version="1.0" encoding="utf-8"?>
<sst xmlns="http://schemas.openxmlformats.org/spreadsheetml/2006/main" count="97" uniqueCount="57">
  <si>
    <t>b.d.l.</t>
  </si>
  <si>
    <t>min</t>
  </si>
  <si>
    <t>max</t>
  </si>
  <si>
    <t>average</t>
  </si>
  <si>
    <t>S</t>
  </si>
  <si>
    <t>Fe</t>
  </si>
  <si>
    <t>Cu</t>
  </si>
  <si>
    <t>Zn</t>
  </si>
  <si>
    <t>S wt%</t>
  </si>
  <si>
    <t>Fe wt%</t>
  </si>
  <si>
    <t>Cu wt%</t>
  </si>
  <si>
    <t>Zn wt%</t>
  </si>
  <si>
    <t>Total</t>
  </si>
  <si>
    <t>D.L.</t>
  </si>
  <si>
    <t>below detection limit</t>
  </si>
  <si>
    <t>Comment</t>
  </si>
  <si>
    <t>Ag wt%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</si>
  <si>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</si>
  <si>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</si>
  <si>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</si>
  <si>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</si>
  <si>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</si>
  <si>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</si>
  <si>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</si>
  <si>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</si>
  <si>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</si>
  <si>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</si>
  <si>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</si>
  <si>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</si>
  <si>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</si>
  <si>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</si>
  <si>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</si>
  <si>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</si>
  <si>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</si>
  <si>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</si>
  <si>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</si>
  <si>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</si>
  <si>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</si>
  <si>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</si>
  <si>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</si>
  <si>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</si>
  <si>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</si>
  <si>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</si>
  <si>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</si>
  <si>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</si>
  <si>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</si>
  <si>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</si>
  <si>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</si>
  <si>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</si>
  <si>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</si>
  <si>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</si>
  <si>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Ag</t>
  </si>
  <si>
    <t>Sn</t>
  </si>
  <si>
    <t>median</t>
  </si>
  <si>
    <t>st.dev.</t>
  </si>
  <si>
    <t>Sn wt%</t>
  </si>
  <si>
    <r>
      <rPr>
        <b/>
        <sz val="11"/>
        <rFont val="Helvetica"/>
        <family val="2"/>
      </rPr>
      <t>Table S3</t>
    </r>
    <r>
      <rPr>
        <sz val="11"/>
        <rFont val="Helvetica"/>
        <family val="2"/>
      </rPr>
      <t>. EPMA analysis of chalcopyrite from the Fonte Argentila area (FAR)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</si>
</sst>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1"/>
      <name val="Helvetica"/>
      <family val="2"/>
    </font>
    <font>
      <sz val="11"/>
      <color theme="1"/>
      <name val="Helvetica"/>
      <family val="2"/>
    </font>
    <font>
      <sz val="11"/>
      <color theme="1"/>
      <name val="Calibri"/>
      <family val="2"/>
      <scheme val="minor"/>
    </font>
    <font>
      <b/>
      <sz val="11"/>
      <name val="Helvetic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left"/>
    </xf>
    <xf numFmtId="164" fontId="1" fillId="0" borderId="0" xfId="0" applyNumberFormat="1" applyFont="1" applyAlignment="1">
      <alignment vertical="center"/>
    </xf>
    <xf numFmtId="0" fontId="3" fillId="0" borderId="0" xfId="0" applyFont="1"/>
    <xf numFmtId="2" fontId="3" fillId="0" borderId="0" xfId="0" applyNumberFormat="1" applyFont="1"/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2" fontId="2" fillId="0" borderId="13" xfId="0" applyNumberFormat="1" applyFont="1" applyBorder="1"/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2" fontId="2" fillId="0" borderId="14" xfId="0" applyNumberFormat="1" applyFont="1" applyBorder="1"/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9" xfId="0" applyFont="1" applyBorder="1"/>
    <xf numFmtId="0" fontId="2" fillId="0" borderId="11" xfId="0" applyFont="1" applyBorder="1"/>
    <xf numFmtId="2" fontId="2" fillId="0" borderId="1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/>
    <xf numFmtId="0" fontId="2" fillId="0" borderId="12" xfId="0" applyFont="1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8845-5043-F443-8EA3-B93CCDC31935}">
  <dimension ref="A1:I48"/>
  <sheetViews>
    <sheetView tabSelected="1" workbookViewId="0">
      <selection sqref="A1:H1"/>
    </sheetView>
  </sheetViews>
  <sheetFormatPr baseColWidth="10" defaultRowHeight="15" x14ac:dyDescent="0.2"/>
  <cols>
    <col min="1" max="1" width="18.33203125" style="8" customWidth="1"/>
    <col min="2" max="8" width="9.1640625" style="8" customWidth="1"/>
    <col min="9" max="16384" width="10.83203125" style="8"/>
  </cols>
  <sheetData>
    <row r="1" spans="1:9" x14ac:dyDescent="0.2">
      <c r="A1" s="43" t="s">
        <v>56</v>
      </c>
      <c r="B1" s="44"/>
      <c r="C1" s="44"/>
      <c r="D1" s="44"/>
      <c r="E1" s="44"/>
      <c r="F1" s="44"/>
      <c r="G1" s="44"/>
      <c r="H1" s="45"/>
      <c r="I1" s="7"/>
    </row>
    <row r="2" spans="1:9" x14ac:dyDescent="0.2">
      <c r="A2" s="38" t="s">
        <v>15</v>
      </c>
      <c r="B2" s="36" t="s">
        <v>8</v>
      </c>
      <c r="C2" s="36" t="s">
        <v>9</v>
      </c>
      <c r="D2" s="36" t="s">
        <v>10</v>
      </c>
      <c r="E2" s="36" t="s">
        <v>11</v>
      </c>
      <c r="F2" s="36" t="s">
        <v>16</v>
      </c>
      <c r="G2" s="36" t="s">
        <v>55</v>
      </c>
      <c r="H2" s="37" t="s">
        <v>12</v>
      </c>
      <c r="I2" s="9"/>
    </row>
    <row r="3" spans="1:9" x14ac:dyDescent="0.2">
      <c r="A3" s="21" t="s">
        <v>17</v>
      </c>
      <c r="B3" s="22">
        <v>34.51</v>
      </c>
      <c r="C3" s="23">
        <v>30.05</v>
      </c>
      <c r="D3" s="23">
        <v>34.340000000000003</v>
      </c>
      <c r="E3" s="23">
        <v>1.11E-2</v>
      </c>
      <c r="F3" s="23">
        <v>5.6500000000000002E-2</v>
      </c>
      <c r="G3" s="24">
        <v>2.6499999999999999E-2</v>
      </c>
      <c r="H3" s="25">
        <f>SUM(B3:G3)</f>
        <v>98.994100000000003</v>
      </c>
      <c r="I3" s="9"/>
    </row>
    <row r="4" spans="1:9" x14ac:dyDescent="0.2">
      <c r="A4" s="21" t="s">
        <v>18</v>
      </c>
      <c r="B4" s="26">
        <v>34.619999999999997</v>
      </c>
      <c r="C4" s="27">
        <v>29.99</v>
      </c>
      <c r="D4" s="27">
        <v>34.61</v>
      </c>
      <c r="E4" s="27" t="s">
        <v>0</v>
      </c>
      <c r="F4" s="27">
        <v>3.6999999999999998E-2</v>
      </c>
      <c r="G4" s="28" t="s">
        <v>0</v>
      </c>
      <c r="H4" s="25">
        <f t="shared" ref="H4:H36" si="0">SUM(B4:G4)</f>
        <v>99.257000000000005</v>
      </c>
      <c r="I4" s="9"/>
    </row>
    <row r="5" spans="1:9" x14ac:dyDescent="0.2">
      <c r="A5" s="21" t="s">
        <v>19</v>
      </c>
      <c r="B5" s="26">
        <v>34.19</v>
      </c>
      <c r="C5" s="27">
        <v>29.89</v>
      </c>
      <c r="D5" s="27">
        <v>34.479999999999997</v>
      </c>
      <c r="E5" s="27" t="s">
        <v>0</v>
      </c>
      <c r="F5" s="27">
        <v>4.1799999999999997E-2</v>
      </c>
      <c r="G5" s="28">
        <v>2.7799999999999998E-2</v>
      </c>
      <c r="H5" s="25">
        <f t="shared" si="0"/>
        <v>98.629599999999996</v>
      </c>
      <c r="I5" s="9"/>
    </row>
    <row r="6" spans="1:9" x14ac:dyDescent="0.2">
      <c r="A6" s="21" t="s">
        <v>20</v>
      </c>
      <c r="B6" s="26">
        <v>34.89</v>
      </c>
      <c r="C6" s="27">
        <v>29.95</v>
      </c>
      <c r="D6" s="27">
        <v>34.630000000000003</v>
      </c>
      <c r="E6" s="27" t="s">
        <v>0</v>
      </c>
      <c r="F6" s="27">
        <v>2.5999999999999999E-2</v>
      </c>
      <c r="G6" s="28">
        <v>2.6100000000000002E-2</v>
      </c>
      <c r="H6" s="25">
        <f t="shared" si="0"/>
        <v>99.522099999999995</v>
      </c>
      <c r="I6" s="9"/>
    </row>
    <row r="7" spans="1:9" x14ac:dyDescent="0.2">
      <c r="A7" s="21" t="s">
        <v>21</v>
      </c>
      <c r="B7" s="26">
        <v>35.53</v>
      </c>
      <c r="C7" s="27">
        <v>29.94</v>
      </c>
      <c r="D7" s="27">
        <v>34.450000000000003</v>
      </c>
      <c r="E7" s="27" t="s">
        <v>0</v>
      </c>
      <c r="F7" s="27">
        <v>3.4200000000000001E-2</v>
      </c>
      <c r="G7" s="27" t="s">
        <v>0</v>
      </c>
      <c r="H7" s="25">
        <f t="shared" si="0"/>
        <v>99.9542</v>
      </c>
      <c r="I7" s="9"/>
    </row>
    <row r="8" spans="1:9" x14ac:dyDescent="0.2">
      <c r="A8" s="21" t="s">
        <v>22</v>
      </c>
      <c r="B8" s="26">
        <v>35</v>
      </c>
      <c r="C8" s="27">
        <v>29.16</v>
      </c>
      <c r="D8" s="27">
        <v>33.92</v>
      </c>
      <c r="E8" s="27">
        <v>0.14149999999999999</v>
      </c>
      <c r="F8" s="27">
        <v>4.8500000000000001E-2</v>
      </c>
      <c r="G8" s="28">
        <v>1.0999999999999999E-2</v>
      </c>
      <c r="H8" s="25">
        <f t="shared" si="0"/>
        <v>98.280999999999992</v>
      </c>
      <c r="I8" s="9"/>
    </row>
    <row r="9" spans="1:9" x14ac:dyDescent="0.2">
      <c r="A9" s="21" t="s">
        <v>23</v>
      </c>
      <c r="B9" s="26">
        <v>34.43</v>
      </c>
      <c r="C9" s="27">
        <v>29.53</v>
      </c>
      <c r="D9" s="27">
        <v>33.909999999999997</v>
      </c>
      <c r="E9" s="27" t="s">
        <v>0</v>
      </c>
      <c r="F9" s="27">
        <v>4.0300000000000002E-2</v>
      </c>
      <c r="G9" s="28">
        <v>6.7000000000000002E-3</v>
      </c>
      <c r="H9" s="25">
        <f t="shared" si="0"/>
        <v>97.917000000000002</v>
      </c>
      <c r="I9" s="9"/>
    </row>
    <row r="10" spans="1:9" x14ac:dyDescent="0.2">
      <c r="A10" s="21" t="s">
        <v>24</v>
      </c>
      <c r="B10" s="26">
        <v>35.229999999999997</v>
      </c>
      <c r="C10" s="27">
        <v>29.73</v>
      </c>
      <c r="D10" s="27">
        <v>34.1</v>
      </c>
      <c r="E10" s="27" t="s">
        <v>0</v>
      </c>
      <c r="F10" s="27">
        <v>3.9899999999999998E-2</v>
      </c>
      <c r="G10" s="27" t="s">
        <v>0</v>
      </c>
      <c r="H10" s="25">
        <f t="shared" si="0"/>
        <v>99.099900000000005</v>
      </c>
      <c r="I10" s="9"/>
    </row>
    <row r="11" spans="1:9" x14ac:dyDescent="0.2">
      <c r="A11" s="21" t="s">
        <v>25</v>
      </c>
      <c r="B11" s="26">
        <v>35.17</v>
      </c>
      <c r="C11" s="27">
        <v>29.42</v>
      </c>
      <c r="D11" s="27">
        <v>33.74</v>
      </c>
      <c r="E11" s="27">
        <v>1.01E-2</v>
      </c>
      <c r="F11" s="27">
        <v>3.5099999999999999E-2</v>
      </c>
      <c r="G11" s="27" t="s">
        <v>0</v>
      </c>
      <c r="H11" s="25">
        <f t="shared" si="0"/>
        <v>98.375200000000007</v>
      </c>
      <c r="I11" s="9"/>
    </row>
    <row r="12" spans="1:9" x14ac:dyDescent="0.2">
      <c r="A12" s="21" t="s">
        <v>26</v>
      </c>
      <c r="B12" s="26">
        <v>33</v>
      </c>
      <c r="C12" s="27">
        <v>29.51</v>
      </c>
      <c r="D12" s="27">
        <v>33.909999999999997</v>
      </c>
      <c r="E12" s="27" t="s">
        <v>0</v>
      </c>
      <c r="F12" s="27">
        <v>3.3099999999999997E-2</v>
      </c>
      <c r="G12" s="28">
        <v>3.7499999999999999E-2</v>
      </c>
      <c r="H12" s="25">
        <f t="shared" si="0"/>
        <v>96.490600000000001</v>
      </c>
      <c r="I12" s="9"/>
    </row>
    <row r="13" spans="1:9" x14ac:dyDescent="0.2">
      <c r="A13" s="21" t="s">
        <v>27</v>
      </c>
      <c r="B13" s="26">
        <v>34.729999999999997</v>
      </c>
      <c r="C13" s="27">
        <v>30.02</v>
      </c>
      <c r="D13" s="27">
        <v>34.57</v>
      </c>
      <c r="E13" s="27" t="s">
        <v>0</v>
      </c>
      <c r="F13" s="27">
        <v>5.0200000000000002E-2</v>
      </c>
      <c r="G13" s="27" t="s">
        <v>0</v>
      </c>
      <c r="H13" s="25">
        <f t="shared" si="0"/>
        <v>99.370199999999997</v>
      </c>
    </row>
    <row r="14" spans="1:9" x14ac:dyDescent="0.2">
      <c r="A14" s="21" t="s">
        <v>28</v>
      </c>
      <c r="B14" s="26">
        <v>24.92</v>
      </c>
      <c r="C14" s="27">
        <v>29.34</v>
      </c>
      <c r="D14" s="27">
        <v>34.1</v>
      </c>
      <c r="E14" s="27" t="s">
        <v>0</v>
      </c>
      <c r="F14" s="27">
        <v>3.4500000000000003E-2</v>
      </c>
      <c r="G14" s="28">
        <v>0.74619999999999997</v>
      </c>
      <c r="H14" s="25">
        <f t="shared" si="0"/>
        <v>89.14070000000001</v>
      </c>
    </row>
    <row r="15" spans="1:9" x14ac:dyDescent="0.2">
      <c r="A15" s="21" t="s">
        <v>29</v>
      </c>
      <c r="B15" s="26">
        <v>36</v>
      </c>
      <c r="C15" s="27">
        <v>29.75</v>
      </c>
      <c r="D15" s="27">
        <v>34.36</v>
      </c>
      <c r="E15" s="27" t="s">
        <v>0</v>
      </c>
      <c r="F15" s="27">
        <v>3.2599999999999997E-2</v>
      </c>
      <c r="G15" s="28">
        <v>0.17610000000000001</v>
      </c>
      <c r="H15" s="25">
        <f t="shared" si="0"/>
        <v>100.31870000000001</v>
      </c>
    </row>
    <row r="16" spans="1:9" x14ac:dyDescent="0.2">
      <c r="A16" s="21" t="s">
        <v>30</v>
      </c>
      <c r="B16" s="26">
        <v>34.130000000000003</v>
      </c>
      <c r="C16" s="27">
        <v>27.54</v>
      </c>
      <c r="D16" s="27">
        <v>32.17</v>
      </c>
      <c r="E16" s="27" t="s">
        <v>0</v>
      </c>
      <c r="F16" s="27">
        <v>5.2499999999999998E-2</v>
      </c>
      <c r="G16" s="28">
        <v>0.1239</v>
      </c>
      <c r="H16" s="25">
        <f t="shared" si="0"/>
        <v>94.016400000000004</v>
      </c>
    </row>
    <row r="17" spans="1:8" x14ac:dyDescent="0.2">
      <c r="A17" s="21" t="s">
        <v>31</v>
      </c>
      <c r="B17" s="26">
        <v>35.1</v>
      </c>
      <c r="C17" s="27">
        <v>30.1</v>
      </c>
      <c r="D17" s="27">
        <v>34.61</v>
      </c>
      <c r="E17" s="27" t="s">
        <v>0</v>
      </c>
      <c r="F17" s="27">
        <v>6.1100000000000002E-2</v>
      </c>
      <c r="G17" s="27" t="s">
        <v>0</v>
      </c>
      <c r="H17" s="25">
        <f t="shared" si="0"/>
        <v>99.871099999999998</v>
      </c>
    </row>
    <row r="18" spans="1:8" x14ac:dyDescent="0.2">
      <c r="A18" s="21" t="s">
        <v>32</v>
      </c>
      <c r="B18" s="26">
        <v>35.119999999999997</v>
      </c>
      <c r="C18" s="27">
        <v>30.21</v>
      </c>
      <c r="D18" s="27">
        <v>34.5</v>
      </c>
      <c r="E18" s="27" t="s">
        <v>0</v>
      </c>
      <c r="F18" s="27">
        <v>3.32E-2</v>
      </c>
      <c r="G18" s="27" t="s">
        <v>0</v>
      </c>
      <c r="H18" s="25">
        <f t="shared" si="0"/>
        <v>99.863199999999992</v>
      </c>
    </row>
    <row r="19" spans="1:8" x14ac:dyDescent="0.2">
      <c r="A19" s="21" t="s">
        <v>33</v>
      </c>
      <c r="B19" s="26">
        <v>25.01</v>
      </c>
      <c r="C19" s="27">
        <v>25.89</v>
      </c>
      <c r="D19" s="27">
        <v>28.78</v>
      </c>
      <c r="E19" s="27">
        <v>3.1600000000000003E-2</v>
      </c>
      <c r="F19" s="27">
        <v>9.7999999999999997E-3</v>
      </c>
      <c r="G19" s="28">
        <v>1.37E-2</v>
      </c>
      <c r="H19" s="25">
        <f t="shared" si="0"/>
        <v>79.735100000000003</v>
      </c>
    </row>
    <row r="20" spans="1:8" x14ac:dyDescent="0.2">
      <c r="A20" s="21" t="s">
        <v>34</v>
      </c>
      <c r="B20" s="26">
        <v>35.01</v>
      </c>
      <c r="C20" s="27">
        <v>30.03</v>
      </c>
      <c r="D20" s="27">
        <v>34.22</v>
      </c>
      <c r="E20" s="27" t="s">
        <v>0</v>
      </c>
      <c r="F20" s="27">
        <v>3.5200000000000002E-2</v>
      </c>
      <c r="G20" s="27" t="s">
        <v>0</v>
      </c>
      <c r="H20" s="25">
        <f t="shared" si="0"/>
        <v>99.295199999999994</v>
      </c>
    </row>
    <row r="21" spans="1:8" x14ac:dyDescent="0.2">
      <c r="A21" s="21" t="s">
        <v>35</v>
      </c>
      <c r="B21" s="26">
        <v>33.520000000000003</v>
      </c>
      <c r="C21" s="27">
        <v>29.67</v>
      </c>
      <c r="D21" s="27">
        <v>34.36</v>
      </c>
      <c r="E21" s="27" t="s">
        <v>0</v>
      </c>
      <c r="F21" s="27">
        <v>1.29E-2</v>
      </c>
      <c r="G21" s="28">
        <v>5.79E-2</v>
      </c>
      <c r="H21" s="25">
        <f t="shared" si="0"/>
        <v>97.620800000000017</v>
      </c>
    </row>
    <row r="22" spans="1:8" x14ac:dyDescent="0.2">
      <c r="A22" s="21" t="s">
        <v>36</v>
      </c>
      <c r="B22" s="26">
        <v>32.840000000000003</v>
      </c>
      <c r="C22" s="27">
        <v>28.69</v>
      </c>
      <c r="D22" s="27">
        <v>33.03</v>
      </c>
      <c r="E22" s="27" t="s">
        <v>0</v>
      </c>
      <c r="F22" s="27">
        <v>3.7400000000000003E-2</v>
      </c>
      <c r="G22" s="28">
        <v>3.95E-2</v>
      </c>
      <c r="H22" s="25">
        <f t="shared" si="0"/>
        <v>94.636900000000011</v>
      </c>
    </row>
    <row r="23" spans="1:8" x14ac:dyDescent="0.2">
      <c r="A23" s="21" t="s">
        <v>37</v>
      </c>
      <c r="B23" s="26">
        <v>35.020000000000003</v>
      </c>
      <c r="C23" s="27">
        <v>29.86</v>
      </c>
      <c r="D23" s="27">
        <v>34.42</v>
      </c>
      <c r="E23" s="27" t="s">
        <v>0</v>
      </c>
      <c r="F23" s="27">
        <v>0.03</v>
      </c>
      <c r="G23" s="28">
        <v>4.7199999999999999E-2</v>
      </c>
      <c r="H23" s="25">
        <f t="shared" si="0"/>
        <v>99.377200000000002</v>
      </c>
    </row>
    <row r="24" spans="1:8" x14ac:dyDescent="0.2">
      <c r="A24" s="21" t="s">
        <v>38</v>
      </c>
      <c r="B24" s="26">
        <v>33.49</v>
      </c>
      <c r="C24" s="27">
        <v>29.12</v>
      </c>
      <c r="D24" s="27">
        <v>34.08</v>
      </c>
      <c r="E24" s="27">
        <v>1.15E-2</v>
      </c>
      <c r="F24" s="27">
        <v>1.5800000000000002E-2</v>
      </c>
      <c r="G24" s="28">
        <v>2.1100000000000001E-2</v>
      </c>
      <c r="H24" s="25">
        <f t="shared" si="0"/>
        <v>96.738399999999999</v>
      </c>
    </row>
    <row r="25" spans="1:8" x14ac:dyDescent="0.2">
      <c r="A25" s="21" t="s">
        <v>39</v>
      </c>
      <c r="B25" s="26">
        <v>35.69</v>
      </c>
      <c r="C25" s="27">
        <v>29.85</v>
      </c>
      <c r="D25" s="27">
        <v>34.46</v>
      </c>
      <c r="E25" s="27" t="s">
        <v>0</v>
      </c>
      <c r="F25" s="27">
        <v>4.2900000000000001E-2</v>
      </c>
      <c r="G25" s="28">
        <v>7.0000000000000001E-3</v>
      </c>
      <c r="H25" s="25">
        <f t="shared" si="0"/>
        <v>100.04990000000001</v>
      </c>
    </row>
    <row r="26" spans="1:8" x14ac:dyDescent="0.2">
      <c r="A26" s="21" t="s">
        <v>40</v>
      </c>
      <c r="B26" s="26">
        <v>35.049999999999997</v>
      </c>
      <c r="C26" s="27">
        <v>29.72</v>
      </c>
      <c r="D26" s="27">
        <v>34.479999999999997</v>
      </c>
      <c r="E26" s="27" t="s">
        <v>0</v>
      </c>
      <c r="F26" s="27">
        <v>3.7999999999999999E-2</v>
      </c>
      <c r="G26" s="28">
        <v>1.14E-2</v>
      </c>
      <c r="H26" s="25">
        <f t="shared" si="0"/>
        <v>99.299399999999991</v>
      </c>
    </row>
    <row r="27" spans="1:8" x14ac:dyDescent="0.2">
      <c r="A27" s="21" t="s">
        <v>41</v>
      </c>
      <c r="B27" s="26">
        <v>35.229999999999997</v>
      </c>
      <c r="C27" s="27">
        <v>29.73</v>
      </c>
      <c r="D27" s="27">
        <v>34.4</v>
      </c>
      <c r="E27" s="27" t="s">
        <v>0</v>
      </c>
      <c r="F27" s="27">
        <v>6.7999999999999996E-3</v>
      </c>
      <c r="G27" s="28">
        <v>9.7000000000000003E-3</v>
      </c>
      <c r="H27" s="25">
        <f t="shared" si="0"/>
        <v>99.376499999999979</v>
      </c>
    </row>
    <row r="28" spans="1:8" x14ac:dyDescent="0.2">
      <c r="A28" s="21" t="s">
        <v>42</v>
      </c>
      <c r="B28" s="26">
        <v>34.880000000000003</v>
      </c>
      <c r="C28" s="27">
        <v>28.63</v>
      </c>
      <c r="D28" s="27">
        <v>32.36</v>
      </c>
      <c r="E28" s="27" t="s">
        <v>0</v>
      </c>
      <c r="F28" s="27">
        <v>8.6599999999999996E-2</v>
      </c>
      <c r="G28" s="27" t="s">
        <v>0</v>
      </c>
      <c r="H28" s="25">
        <f t="shared" si="0"/>
        <v>95.956600000000009</v>
      </c>
    </row>
    <row r="29" spans="1:8" x14ac:dyDescent="0.2">
      <c r="A29" s="21" t="s">
        <v>43</v>
      </c>
      <c r="B29" s="26">
        <v>35.76</v>
      </c>
      <c r="C29" s="27">
        <v>29.48</v>
      </c>
      <c r="D29" s="27">
        <v>33.97</v>
      </c>
      <c r="E29" s="27" t="s">
        <v>0</v>
      </c>
      <c r="F29" s="27">
        <v>4.87E-2</v>
      </c>
      <c r="G29" s="27" t="s">
        <v>0</v>
      </c>
      <c r="H29" s="25">
        <f t="shared" si="0"/>
        <v>99.25869999999999</v>
      </c>
    </row>
    <row r="30" spans="1:8" x14ac:dyDescent="0.2">
      <c r="A30" s="21" t="s">
        <v>44</v>
      </c>
      <c r="B30" s="26">
        <v>35</v>
      </c>
      <c r="C30" s="27">
        <v>29.66</v>
      </c>
      <c r="D30" s="27">
        <v>34.200000000000003</v>
      </c>
      <c r="E30" s="27" t="s">
        <v>0</v>
      </c>
      <c r="F30" s="27">
        <v>3.1600000000000003E-2</v>
      </c>
      <c r="G30" s="27" t="s">
        <v>0</v>
      </c>
      <c r="H30" s="25">
        <f t="shared" si="0"/>
        <v>98.891599999999997</v>
      </c>
    </row>
    <row r="31" spans="1:8" x14ac:dyDescent="0.2">
      <c r="A31" s="21" t="s">
        <v>45</v>
      </c>
      <c r="B31" s="26">
        <v>34.92</v>
      </c>
      <c r="C31" s="27">
        <v>29.35</v>
      </c>
      <c r="D31" s="27">
        <v>32.979999999999997</v>
      </c>
      <c r="E31" s="27">
        <v>9.7999999999999997E-3</v>
      </c>
      <c r="F31" s="27">
        <v>2.8899999999999999E-2</v>
      </c>
      <c r="G31" s="28">
        <v>0.1951</v>
      </c>
      <c r="H31" s="25">
        <f t="shared" si="0"/>
        <v>97.483799999999988</v>
      </c>
    </row>
    <row r="32" spans="1:8" x14ac:dyDescent="0.2">
      <c r="A32" s="21" t="s">
        <v>46</v>
      </c>
      <c r="B32" s="26">
        <v>35.43</v>
      </c>
      <c r="C32" s="27">
        <v>29.55</v>
      </c>
      <c r="D32" s="27">
        <v>34.32</v>
      </c>
      <c r="E32" s="27">
        <v>3.5400000000000001E-2</v>
      </c>
      <c r="F32" s="27">
        <v>2.2200000000000001E-2</v>
      </c>
      <c r="G32" s="28">
        <v>0.21959999999999999</v>
      </c>
      <c r="H32" s="25">
        <f t="shared" si="0"/>
        <v>99.577200000000005</v>
      </c>
    </row>
    <row r="33" spans="1:8" x14ac:dyDescent="0.2">
      <c r="A33" s="21" t="s">
        <v>47</v>
      </c>
      <c r="B33" s="26">
        <v>38</v>
      </c>
      <c r="C33" s="27">
        <v>29.34</v>
      </c>
      <c r="D33" s="27">
        <v>33.369999999999997</v>
      </c>
      <c r="E33" s="27" t="s">
        <v>0</v>
      </c>
      <c r="F33" s="27">
        <v>2.93E-2</v>
      </c>
      <c r="G33" s="28">
        <v>0.14660000000000001</v>
      </c>
      <c r="H33" s="25">
        <f t="shared" si="0"/>
        <v>100.88590000000002</v>
      </c>
    </row>
    <row r="34" spans="1:8" x14ac:dyDescent="0.2">
      <c r="A34" s="21" t="s">
        <v>48</v>
      </c>
      <c r="B34" s="26">
        <v>30.96</v>
      </c>
      <c r="C34" s="27">
        <v>30.21</v>
      </c>
      <c r="D34" s="27">
        <v>34.619999999999997</v>
      </c>
      <c r="E34" s="27" t="s">
        <v>0</v>
      </c>
      <c r="F34" s="27">
        <v>3.5000000000000003E-2</v>
      </c>
      <c r="G34" s="27" t="s">
        <v>0</v>
      </c>
      <c r="H34" s="25">
        <f t="shared" si="0"/>
        <v>95.824999999999989</v>
      </c>
    </row>
    <row r="35" spans="1:8" x14ac:dyDescent="0.2">
      <c r="A35" s="21" t="s">
        <v>49</v>
      </c>
      <c r="B35" s="26">
        <v>39.049999999999997</v>
      </c>
      <c r="C35" s="27">
        <v>29.3</v>
      </c>
      <c r="D35" s="27">
        <v>33.51</v>
      </c>
      <c r="E35" s="27" t="s">
        <v>0</v>
      </c>
      <c r="F35" s="27">
        <v>2.8000000000000001E-2</v>
      </c>
      <c r="G35" s="28">
        <v>0.14899999999999999</v>
      </c>
      <c r="H35" s="25">
        <f t="shared" si="0"/>
        <v>102.03699999999999</v>
      </c>
    </row>
    <row r="36" spans="1:8" x14ac:dyDescent="0.2">
      <c r="A36" s="29" t="s">
        <v>50</v>
      </c>
      <c r="B36" s="30">
        <v>35.4</v>
      </c>
      <c r="C36" s="18">
        <v>29.64</v>
      </c>
      <c r="D36" s="18">
        <v>34.130000000000003</v>
      </c>
      <c r="E36" s="18" t="s">
        <v>0</v>
      </c>
      <c r="F36" s="18">
        <v>2.8899999999999999E-2</v>
      </c>
      <c r="G36" s="31">
        <v>8.3999999999999995E-3</v>
      </c>
      <c r="H36" s="32">
        <f t="shared" si="0"/>
        <v>99.207299999999975</v>
      </c>
    </row>
    <row r="37" spans="1:8" x14ac:dyDescent="0.2">
      <c r="A37" s="1"/>
      <c r="B37" s="33"/>
      <c r="C37" s="33"/>
      <c r="D37" s="33"/>
      <c r="E37" s="33"/>
      <c r="F37" s="33"/>
      <c r="G37" s="33"/>
      <c r="H37" s="33"/>
    </row>
    <row r="38" spans="1:8" x14ac:dyDescent="0.2">
      <c r="A38" s="40" t="s">
        <v>1</v>
      </c>
      <c r="B38" s="10">
        <f>MIN(B3:B36)</f>
        <v>24.92</v>
      </c>
      <c r="C38" s="10">
        <f t="shared" ref="C38:H38" si="1">MIN(C3:C36)</f>
        <v>25.89</v>
      </c>
      <c r="D38" s="10">
        <f t="shared" si="1"/>
        <v>28.78</v>
      </c>
      <c r="E38" s="10">
        <f t="shared" si="1"/>
        <v>9.7999999999999997E-3</v>
      </c>
      <c r="F38" s="10">
        <f t="shared" si="1"/>
        <v>6.7999999999999996E-3</v>
      </c>
      <c r="G38" s="10">
        <f t="shared" si="1"/>
        <v>6.7000000000000002E-3</v>
      </c>
      <c r="H38" s="11">
        <f t="shared" si="1"/>
        <v>79.735100000000003</v>
      </c>
    </row>
    <row r="39" spans="1:8" x14ac:dyDescent="0.2">
      <c r="A39" s="41" t="s">
        <v>2</v>
      </c>
      <c r="B39" s="12">
        <f>MAX(B3:B36)</f>
        <v>39.049999999999997</v>
      </c>
      <c r="C39" s="12">
        <f t="shared" ref="C39:H39" si="2">MAX(C3:C36)</f>
        <v>30.21</v>
      </c>
      <c r="D39" s="12">
        <f t="shared" si="2"/>
        <v>34.630000000000003</v>
      </c>
      <c r="E39" s="12">
        <f t="shared" si="2"/>
        <v>0.14149999999999999</v>
      </c>
      <c r="F39" s="12">
        <f t="shared" si="2"/>
        <v>8.6599999999999996E-2</v>
      </c>
      <c r="G39" s="12">
        <f t="shared" si="2"/>
        <v>0.74619999999999997</v>
      </c>
      <c r="H39" s="13">
        <f t="shared" si="2"/>
        <v>102.03699999999999</v>
      </c>
    </row>
    <row r="40" spans="1:8" x14ac:dyDescent="0.2">
      <c r="A40" s="41" t="s">
        <v>3</v>
      </c>
      <c r="B40" s="12">
        <f>AVERAGE(B3:B36)</f>
        <v>34.318529411764708</v>
      </c>
      <c r="C40" s="12">
        <f t="shared" ref="C40:H40" si="3">AVERAGE(C3:C36)</f>
        <v>29.466176470588238</v>
      </c>
      <c r="D40" s="12">
        <f t="shared" si="3"/>
        <v>33.885000000000005</v>
      </c>
      <c r="E40" s="12">
        <f t="shared" si="3"/>
        <v>3.5857142857142858E-2</v>
      </c>
      <c r="F40" s="12">
        <f t="shared" si="3"/>
        <v>3.6014705882352949E-2</v>
      </c>
      <c r="G40" s="12">
        <f t="shared" si="3"/>
        <v>9.5818181818181802E-2</v>
      </c>
      <c r="H40" s="13">
        <f t="shared" si="3"/>
        <v>97.775102941176442</v>
      </c>
    </row>
    <row r="41" spans="1:8" x14ac:dyDescent="0.2">
      <c r="A41" s="41" t="s">
        <v>53</v>
      </c>
      <c r="B41" s="12">
        <f>MEDIAN(B3:B36)</f>
        <v>35</v>
      </c>
      <c r="C41" s="12">
        <f t="shared" ref="C41:H41" si="4">MEDIAN(C3:C36)</f>
        <v>29.664999999999999</v>
      </c>
      <c r="D41" s="12">
        <f t="shared" si="4"/>
        <v>34.21</v>
      </c>
      <c r="E41" s="12">
        <f t="shared" si="4"/>
        <v>1.15E-2</v>
      </c>
      <c r="F41" s="12">
        <f t="shared" si="4"/>
        <v>3.4750000000000003E-2</v>
      </c>
      <c r="G41" s="12">
        <f t="shared" si="4"/>
        <v>3.2649999999999998E-2</v>
      </c>
      <c r="H41" s="13">
        <f t="shared" si="4"/>
        <v>99.153599999999983</v>
      </c>
    </row>
    <row r="42" spans="1:8" x14ac:dyDescent="0.2">
      <c r="A42" s="42" t="s">
        <v>54</v>
      </c>
      <c r="B42" s="14">
        <f>STDEV(B3:B36)</f>
        <v>2.7277853514070998</v>
      </c>
      <c r="C42" s="14">
        <f t="shared" ref="C42:H42" si="5">STDEV(C3:C36)</f>
        <v>0.81992244535644176</v>
      </c>
      <c r="D42" s="14">
        <f t="shared" si="5"/>
        <v>1.0936074582441693</v>
      </c>
      <c r="E42" s="14">
        <f t="shared" si="5"/>
        <v>4.7831888148070448E-2</v>
      </c>
      <c r="F42" s="14">
        <f t="shared" si="5"/>
        <v>1.5171686795274392E-2</v>
      </c>
      <c r="G42" s="14">
        <f t="shared" si="5"/>
        <v>0.16080427510416162</v>
      </c>
      <c r="H42" s="15">
        <f t="shared" si="5"/>
        <v>3.9612238360236582</v>
      </c>
    </row>
    <row r="43" spans="1:8" x14ac:dyDescent="0.2">
      <c r="A43" s="2"/>
      <c r="B43" s="5"/>
      <c r="C43" s="5"/>
      <c r="D43" s="5"/>
      <c r="E43" s="5"/>
      <c r="F43" s="5"/>
      <c r="G43" s="5"/>
      <c r="H43" s="5"/>
    </row>
    <row r="44" spans="1:8" x14ac:dyDescent="0.2">
      <c r="A44" s="16" t="s">
        <v>13</v>
      </c>
      <c r="B44" s="3" t="s">
        <v>4</v>
      </c>
      <c r="C44" s="3" t="s">
        <v>5</v>
      </c>
      <c r="D44" s="3" t="s">
        <v>6</v>
      </c>
      <c r="E44" s="3" t="s">
        <v>7</v>
      </c>
      <c r="F44" s="3" t="s">
        <v>51</v>
      </c>
      <c r="G44" s="3" t="s">
        <v>52</v>
      </c>
      <c r="H44" s="4"/>
    </row>
    <row r="45" spans="1:8" x14ac:dyDescent="0.2">
      <c r="A45" s="17" t="s">
        <v>3</v>
      </c>
      <c r="B45" s="18">
        <v>1.0111764705882353E-2</v>
      </c>
      <c r="C45" s="18">
        <v>1.1808823529411766E-2</v>
      </c>
      <c r="D45" s="18">
        <v>1.6538235294117649E-2</v>
      </c>
      <c r="E45" s="18">
        <v>9.1852941176470554E-3</v>
      </c>
      <c r="F45" s="18">
        <v>6.6794117647058825E-3</v>
      </c>
      <c r="G45" s="18">
        <v>7.1999999999999998E-3</v>
      </c>
      <c r="H45" s="34"/>
    </row>
    <row r="46" spans="1:8" x14ac:dyDescent="0.2">
      <c r="A46" s="19"/>
      <c r="B46" s="1"/>
      <c r="C46" s="1"/>
      <c r="D46" s="1"/>
      <c r="E46" s="1"/>
      <c r="F46" s="1"/>
      <c r="G46" s="1"/>
      <c r="H46" s="1"/>
    </row>
    <row r="47" spans="1:8" x14ac:dyDescent="0.2">
      <c r="A47" s="20" t="s">
        <v>0</v>
      </c>
      <c r="B47" s="6" t="s">
        <v>14</v>
      </c>
      <c r="C47" s="35"/>
      <c r="D47" s="35"/>
      <c r="E47" s="35"/>
      <c r="F47" s="35"/>
      <c r="G47" s="35"/>
      <c r="H47" s="39"/>
    </row>
    <row r="48" spans="1:8" x14ac:dyDescent="0.2">
      <c r="A48" s="19"/>
      <c r="B48" s="19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9D3DA7-A131-4AC0-94D1-BEE6AA0A81E2}"/>
</file>

<file path=customXml/itemProps2.xml><?xml version="1.0" encoding="utf-8"?>
<ds:datastoreItem xmlns:ds="http://schemas.openxmlformats.org/officeDocument/2006/customXml" ds:itemID="{60718FA7-AD46-4BDC-9083-D4265826002E}"/>
</file>

<file path=customXml/itemProps3.xml><?xml version="1.0" encoding="utf-8"?>
<ds:datastoreItem xmlns:ds="http://schemas.openxmlformats.org/officeDocument/2006/customXml" ds:itemID="{F6B1D0FA-E628-49FC-AC7E-7E014D3E3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3 EPMA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Ciccolella</dc:creator>
  <cp:lastModifiedBy>Antonio Ciccolella</cp:lastModifiedBy>
  <dcterms:created xsi:type="dcterms:W3CDTF">2023-12-13T18:52:29Z</dcterms:created>
  <dcterms:modified xsi:type="dcterms:W3CDTF">2024-07-25T16:33:59Z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