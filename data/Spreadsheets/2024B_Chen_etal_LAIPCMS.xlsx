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showInkAnnotation="0"/>
  <mc:AlternateContent xmlns:mc="http://schemas.openxmlformats.org/markup-compatibility/2006">
    <mc:Choice Requires="x15">
      <x15ac:absPath xmlns:x15ac="http://schemas.microsoft.com/office/spreadsheetml/2010/11/ac" url="D:\working\waccache\CY4PEPF000130F2\EXCELCNV\ccc9dba1-9feb-42d0-a3cd-71150b9ca26a\"/>
    </mc:Choice>
  </mc:AlternateContent>
  <xr:revisionPtr revIDLastSave="0" documentId="8_{E43B51DE-FD6E-4A50-8F4A-1DC549DAF06D}" xr6:coauthVersionLast="47" xr6:coauthVersionMax="47" xr10:uidLastSave="{00000000-0000-0000-0000-000000000000}"/>
  <bookViews>
    <workbookView xWindow="-60" yWindow="-60" windowWidth="15480" windowHeight="11640" xr2:uid="{D5EAEDE1-43FB-4833-BBE4-AD77E128EE45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6" i="1" l="1"/>
  <c r="O116" i="1"/>
  <c r="N116" i="1"/>
  <c r="L116" i="1"/>
  <c r="K116" i="1"/>
  <c r="J116" i="1"/>
  <c r="I116" i="1"/>
  <c r="H116" i="1"/>
  <c r="G116" i="1"/>
  <c r="F116" i="1"/>
  <c r="E116" i="1"/>
  <c r="D116" i="1"/>
  <c r="C116" i="1"/>
  <c r="B116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</calcChain>
</file>

<file path=xl/sharedStrings.xml><?xml version="1.0" encoding="utf-8"?>
<sst xmlns="http://schemas.openxmlformats.org/spreadsheetml/2006/main" count="230" uniqueCount="128">
  <si>
    <t>Table S2. In situ laser ablation-inductively coupled plasma-mass spectrometry analysis (LA-ICP-MS) minor/trace elements results (ppm) of sphalerite in the Dafang deposit.</t>
    <phoneticPr fontId="2" type="noConversion"/>
  </si>
  <si>
    <t>Samples No.</t>
    <phoneticPr fontId="2" type="noConversion"/>
  </si>
  <si>
    <t>Mn55</t>
    <phoneticPr fontId="2" type="noConversion"/>
  </si>
  <si>
    <t>Fe57</t>
    <phoneticPr fontId="2" type="noConversion"/>
  </si>
  <si>
    <t>Co59</t>
    <phoneticPr fontId="2" type="noConversion"/>
  </si>
  <si>
    <t>Cu65</t>
    <phoneticPr fontId="2" type="noConversion"/>
  </si>
  <si>
    <t>Ga71</t>
    <phoneticPr fontId="2" type="noConversion"/>
  </si>
  <si>
    <t>Ge72</t>
    <phoneticPr fontId="2" type="noConversion"/>
  </si>
  <si>
    <t>Se77</t>
    <phoneticPr fontId="2" type="noConversion"/>
  </si>
  <si>
    <t>Ag107</t>
    <phoneticPr fontId="2" type="noConversion"/>
  </si>
  <si>
    <t>Cd111</t>
    <phoneticPr fontId="2" type="noConversion"/>
  </si>
  <si>
    <t>In115</t>
    <phoneticPr fontId="2" type="noConversion"/>
  </si>
  <si>
    <t>Sn118</t>
    <phoneticPr fontId="2" type="noConversion"/>
  </si>
  <si>
    <t>Sb121</t>
    <phoneticPr fontId="2" type="noConversion"/>
  </si>
  <si>
    <t>Hg202</t>
    <phoneticPr fontId="2" type="noConversion"/>
  </si>
  <si>
    <t>Pb206</t>
    <phoneticPr fontId="2" type="noConversion"/>
  </si>
  <si>
    <t>SpA  n=36</t>
    <phoneticPr fontId="2" type="noConversion"/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</si>
  <si>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</si>
  <si>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</si>
  <si>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</si>
  <si>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</si>
  <si>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</si>
  <si>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</si>
  <si>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</si>
  <si>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</si>
  <si>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b.d.I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</si>
  <si>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</si>
  <si>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</si>
  <si>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</si>
  <si>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</si>
  <si>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</si>
  <si>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</si>
  <si>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</si>
  <si>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</si>
  <si>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</si>
  <si>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</si>
  <si>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</si>
  <si>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</si>
  <si>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</si>
  <si>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</si>
  <si>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</si>
  <si>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</si>
  <si>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</si>
  <si>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</si>
  <si>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</si>
  <si>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</si>
  <si>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</si>
  <si>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</si>
  <si>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</si>
  <si>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</si>
  <si>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</si>
  <si>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</si>
  <si>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</si>
  <si>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</si>
  <si>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Average</t>
    <phoneticPr fontId="2" type="noConversion"/>
  </si>
  <si>
    <t>SpB  n=28</t>
    <phoneticPr fontId="2" type="noConversion"/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</si>
  <si>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</si>
  <si>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</si>
  <si>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</si>
  <si>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</si>
  <si>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</si>
  <si>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</si>
  <si>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</si>
  <si>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</si>
  <si>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</si>
  <si>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</si>
  <si>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</si>
  <si>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</si>
  <si>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</si>
  <si>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</si>
  <si>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</si>
  <si>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</si>
  <si>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</si>
  <si>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</si>
  <si>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</si>
  <si>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</si>
  <si>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</si>
  <si>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</si>
  <si>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</si>
  <si>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</si>
  <si>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</si>
  <si>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</si>
  <si>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</si>
  <si>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</si>
  <si>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SpC  n=15</t>
    <phoneticPr fontId="2" type="noConversion"/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</si>
  <si>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</si>
  <si>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</si>
  <si>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</si>
  <si>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</si>
  <si>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</si>
  <si>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</si>
  <si>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</si>
  <si>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</si>
  <si>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</si>
  <si>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</si>
  <si>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</si>
  <si>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</si>
  <si>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</si>
  <si>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</si>
  <si>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</si>
  <si>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SpD  n=26</t>
    <phoneticPr fontId="2" type="noConversion"/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</si>
  <si>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</si>
  <si>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</si>
  <si>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</si>
  <si>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</si>
  <si>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</si>
  <si>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</si>
  <si>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</si>
  <si>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</si>
  <si>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</si>
  <si>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</si>
  <si>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</si>
  <si>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</si>
  <si>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</si>
  <si>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</si>
  <si>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</si>
  <si>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</si>
  <si>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</si>
  <si>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</si>
  <si>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</si>
  <si>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</si>
  <si>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</si>
  <si>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</si>
  <si>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</si>
  <si>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</si>
  <si>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</si>
  <si>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</si>
  <si>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Notes: b.d.l means concentration low than detection limits.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</si>
</sst>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_ "/>
  </numFmts>
  <fonts count="6">
    <font>
      <sz val="12"/>
      <name val="宋体"/>
      <charset val="134"/>
    </font>
    <font>
      <sz val="11"/>
      <name val="Times New Roman"/>
      <family val="1"/>
    </font>
    <font>
      <sz val="9"/>
      <name val="宋体"/>
      <charset val="134"/>
    </font>
    <font>
      <sz val="10"/>
      <name val="Times New Roman"/>
      <family val="1"/>
    </font>
    <font>
      <sz val="12"/>
      <name val="宋体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>
      <alignment vertical="center"/>
    </xf>
    <xf numFmtId="164" fontId="0" fillId="0" borderId="0" xfId="0" applyNumberFormat="1" applyBorder="1">
      <alignment vertical="center"/>
    </xf>
    <xf numFmtId="165" fontId="0" fillId="0" borderId="0" xfId="0" applyNumberFormat="1" applyBorder="1">
      <alignment vertical="center"/>
    </xf>
    <xf numFmtId="0" fontId="1" fillId="0" borderId="0" xfId="0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inden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FC17-85C4-4FEB-987B-F20EC306C5C9}">
  <dimension ref="A1:O118"/>
  <sheetViews>
    <sheetView tabSelected="1" zoomScale="85" zoomScaleNormal="85" zoomScaleSheetLayoutView="100" workbookViewId="0">
      <selection activeCell="K12" sqref="K12"/>
    </sheetView>
  </sheetViews>
  <sheetFormatPr defaultRowHeight="14.1" customHeight="1"/>
  <cols>
    <col min="1" max="1" width="12.625" style="1" customWidth="1"/>
    <col min="2" max="2" width="9.125" style="2" bestFit="1" customWidth="1"/>
    <col min="3" max="3" width="10.125" style="2" bestFit="1" customWidth="1"/>
    <col min="4" max="4" width="9.125" style="3" bestFit="1" customWidth="1"/>
    <col min="5" max="5" width="9.625" style="3" bestFit="1" customWidth="1"/>
    <col min="6" max="9" width="9.125" style="3" bestFit="1" customWidth="1"/>
    <col min="10" max="10" width="10.125" style="2" bestFit="1" customWidth="1"/>
    <col min="11" max="15" width="9.125" style="3" bestFit="1" customWidth="1"/>
    <col min="16" max="16384" width="9" style="1"/>
  </cols>
  <sheetData>
    <row r="1" spans="1:15" ht="14.1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4.1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s="14" customFormat="1" ht="14.1" customHeight="1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</row>
    <row r="4" spans="1:15" ht="14.1" customHeight="1">
      <c r="A4" s="40" t="s">
        <v>16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4.1" customHeight="1">
      <c r="A5" s="18" t="s">
        <v>17</v>
      </c>
      <c r="B5" s="19">
        <v>9168.5128002578294</v>
      </c>
      <c r="C5" s="19">
        <v>111522.901267422</v>
      </c>
      <c r="D5" s="20">
        <v>26.338283334190798</v>
      </c>
      <c r="E5" s="21">
        <v>246.70491295803001</v>
      </c>
      <c r="F5" s="20">
        <v>9.0485181878642393</v>
      </c>
      <c r="G5" s="20">
        <v>1.86184820610292</v>
      </c>
      <c r="H5" s="20">
        <v>231.88305083653</v>
      </c>
      <c r="I5" s="20">
        <v>5.5646243421228396</v>
      </c>
      <c r="J5" s="19">
        <v>20547.5951103753</v>
      </c>
      <c r="K5" s="20">
        <v>43.092229579764002</v>
      </c>
      <c r="L5" s="20">
        <v>1.5606898960748601</v>
      </c>
      <c r="M5" s="22">
        <v>1.4858057653110901</v>
      </c>
      <c r="N5" s="20">
        <v>5.64718333327128</v>
      </c>
      <c r="O5" s="20">
        <v>467.15541598688901</v>
      </c>
    </row>
    <row r="6" spans="1:15" ht="14.1" customHeight="1">
      <c r="A6" s="23" t="s">
        <v>18</v>
      </c>
      <c r="B6" s="5">
        <v>9301.0985253133895</v>
      </c>
      <c r="C6" s="5">
        <v>114269.73515254899</v>
      </c>
      <c r="D6" s="6">
        <v>26.021172777472501</v>
      </c>
      <c r="E6" s="7">
        <v>354.01791641394698</v>
      </c>
      <c r="F6" s="6">
        <v>9.1452654713965291</v>
      </c>
      <c r="G6" s="6">
        <v>1.4532043758031401</v>
      </c>
      <c r="H6" s="6">
        <v>211.03765746217701</v>
      </c>
      <c r="I6" s="6">
        <v>6.11165304081067</v>
      </c>
      <c r="J6" s="5">
        <v>20573.742435219399</v>
      </c>
      <c r="K6" s="6">
        <v>42.362127769955997</v>
      </c>
      <c r="L6" s="6">
        <v>1.57695309001749</v>
      </c>
      <c r="M6" s="8">
        <v>1.21250455364877</v>
      </c>
      <c r="N6" s="6">
        <v>5.1076645269393799</v>
      </c>
      <c r="O6" s="6">
        <v>4.61822773789895</v>
      </c>
    </row>
    <row r="7" spans="1:15" ht="14.1" customHeight="1">
      <c r="A7" s="23" t="s">
        <v>19</v>
      </c>
      <c r="B7" s="5">
        <v>8548.6429357542802</v>
      </c>
      <c r="C7" s="5">
        <v>113024.526052042</v>
      </c>
      <c r="D7" s="6">
        <v>26.4166527893886</v>
      </c>
      <c r="E7" s="7">
        <v>257.58200491066901</v>
      </c>
      <c r="F7" s="6">
        <v>6.8833507178323403</v>
      </c>
      <c r="G7" s="6">
        <v>1.7999993808165999</v>
      </c>
      <c r="H7" s="6">
        <v>207.520927924728</v>
      </c>
      <c r="I7" s="6">
        <v>5.2913653756159</v>
      </c>
      <c r="J7" s="5">
        <v>20896.665351864402</v>
      </c>
      <c r="K7" s="6">
        <v>42.853458715208902</v>
      </c>
      <c r="L7" s="6">
        <v>2.4397465286623401</v>
      </c>
      <c r="M7" s="8">
        <v>1.3914784588843301</v>
      </c>
      <c r="N7" s="6">
        <v>5.1657664786297701</v>
      </c>
      <c r="O7" s="6">
        <v>32.442186259491798</v>
      </c>
    </row>
    <row r="8" spans="1:15" ht="14.1" customHeight="1">
      <c r="A8" s="23" t="s">
        <v>20</v>
      </c>
      <c r="B8" s="5">
        <v>8894.4546662607299</v>
      </c>
      <c r="C8" s="5">
        <v>116745.99672471599</v>
      </c>
      <c r="D8" s="6">
        <v>28.1805783207895</v>
      </c>
      <c r="E8" s="9">
        <v>1058.9695746173199</v>
      </c>
      <c r="F8" s="6">
        <v>5.6628051781708004</v>
      </c>
      <c r="G8" s="6">
        <v>1.4549746204288101</v>
      </c>
      <c r="H8" s="6">
        <v>218.672285631856</v>
      </c>
      <c r="I8" s="6">
        <v>6.3727122329331296</v>
      </c>
      <c r="J8" s="5">
        <v>21157.014432538599</v>
      </c>
      <c r="K8" s="6">
        <v>41.717711211354803</v>
      </c>
      <c r="L8" s="6">
        <v>3.0088599857629901</v>
      </c>
      <c r="M8" s="8">
        <v>1.63844203516496</v>
      </c>
      <c r="N8" s="6">
        <v>5.2933349873387696</v>
      </c>
      <c r="O8" s="6">
        <v>7.1319653889458001</v>
      </c>
    </row>
    <row r="9" spans="1:15" ht="14.1" customHeight="1">
      <c r="A9" s="23" t="s">
        <v>21</v>
      </c>
      <c r="B9" s="5">
        <v>8946.2854087689502</v>
      </c>
      <c r="C9" s="5">
        <v>110148.291988467</v>
      </c>
      <c r="D9" s="6">
        <v>21.442751743311199</v>
      </c>
      <c r="E9" s="7">
        <v>170.11457336128399</v>
      </c>
      <c r="F9" s="6">
        <v>8.71278629721097</v>
      </c>
      <c r="G9" s="6">
        <v>2.0442877895470501</v>
      </c>
      <c r="H9" s="6">
        <v>218.055270514558</v>
      </c>
      <c r="I9" s="6">
        <v>2.5902494662136699</v>
      </c>
      <c r="J9" s="5">
        <v>20241.140470235099</v>
      </c>
      <c r="K9" s="6">
        <v>43.024892836383103</v>
      </c>
      <c r="L9" s="6">
        <v>1.8992358795226301</v>
      </c>
      <c r="M9" s="8">
        <v>2.0281864154376699</v>
      </c>
      <c r="N9" s="6">
        <v>4.85550654438671</v>
      </c>
      <c r="O9" s="6">
        <v>7.2094443521071998</v>
      </c>
    </row>
    <row r="10" spans="1:15" ht="14.1" customHeight="1">
      <c r="A10" s="23" t="s">
        <v>22</v>
      </c>
      <c r="B10" s="5">
        <v>8460.6906675682494</v>
      </c>
      <c r="C10" s="5">
        <v>113983.926352358</v>
      </c>
      <c r="D10" s="6">
        <v>18.146493335407801</v>
      </c>
      <c r="E10" s="7">
        <v>917.35735653715994</v>
      </c>
      <c r="F10" s="6">
        <v>9.8189236779813793</v>
      </c>
      <c r="G10" s="6">
        <v>1.4015048571169999</v>
      </c>
      <c r="H10" s="6">
        <v>259.97830990417998</v>
      </c>
      <c r="I10" s="6">
        <v>23.233325785422899</v>
      </c>
      <c r="J10" s="5">
        <v>20082.183009958</v>
      </c>
      <c r="K10" s="6">
        <v>44.218098554205298</v>
      </c>
      <c r="L10" s="6">
        <v>4.9202868389733796</v>
      </c>
      <c r="M10" s="8">
        <v>2.5220525286571398</v>
      </c>
      <c r="N10" s="6">
        <v>6.7602959288015496</v>
      </c>
      <c r="O10" s="5">
        <v>1212.9460191637399</v>
      </c>
    </row>
    <row r="11" spans="1:15" ht="14.1" customHeight="1">
      <c r="A11" s="23" t="s">
        <v>23</v>
      </c>
      <c r="B11" s="5">
        <v>4139.6547155902699</v>
      </c>
      <c r="C11" s="5">
        <v>112639.431391886</v>
      </c>
      <c r="D11" s="6">
        <v>30.030525991459399</v>
      </c>
      <c r="E11" s="7">
        <v>469.284992669308</v>
      </c>
      <c r="F11" s="6">
        <v>7.7505687095733</v>
      </c>
      <c r="G11" s="6">
        <v>1.76341541547845</v>
      </c>
      <c r="H11" s="6">
        <v>268.40731552172201</v>
      </c>
      <c r="I11" s="6">
        <v>3.0312200230178901</v>
      </c>
      <c r="J11" s="5">
        <v>20432.7451423606</v>
      </c>
      <c r="K11" s="6">
        <v>47.098149877763802</v>
      </c>
      <c r="L11" s="6">
        <v>0.81381157493932899</v>
      </c>
      <c r="M11" s="8">
        <v>0.63718503066630106</v>
      </c>
      <c r="N11" s="6">
        <v>6.3908336268651897</v>
      </c>
      <c r="O11" s="6">
        <v>974.46182085477301</v>
      </c>
    </row>
    <row r="12" spans="1:15" ht="14.1" customHeight="1">
      <c r="A12" s="23" t="s">
        <v>24</v>
      </c>
      <c r="B12" s="5">
        <v>4317.5477778382001</v>
      </c>
      <c r="C12" s="5">
        <v>115576.010997291</v>
      </c>
      <c r="D12" s="6">
        <v>30.894194269688601</v>
      </c>
      <c r="E12" s="7">
        <v>190.79805870460299</v>
      </c>
      <c r="F12" s="6">
        <v>7.8968521039672304</v>
      </c>
      <c r="G12" s="6" t="s">
        <v>25</v>
      </c>
      <c r="H12" s="6">
        <v>249.52366998293201</v>
      </c>
      <c r="I12" s="6">
        <v>0.38214745546517598</v>
      </c>
      <c r="J12" s="5">
        <v>22051.897050875799</v>
      </c>
      <c r="K12" s="6">
        <v>45.129972250004499</v>
      </c>
      <c r="L12" s="6">
        <v>0.56265444910662299</v>
      </c>
      <c r="M12" s="8" t="s">
        <v>25</v>
      </c>
      <c r="N12" s="6">
        <v>4.9270759622711102</v>
      </c>
      <c r="O12" s="6">
        <v>6.9642463465971902</v>
      </c>
    </row>
    <row r="13" spans="1:15" ht="14.1" customHeight="1">
      <c r="A13" s="23" t="s">
        <v>26</v>
      </c>
      <c r="B13" s="5">
        <v>4298.4708261312198</v>
      </c>
      <c r="C13" s="5">
        <v>114091.50263741901</v>
      </c>
      <c r="D13" s="6">
        <v>29.573635684364</v>
      </c>
      <c r="E13" s="7">
        <v>219.12343790071799</v>
      </c>
      <c r="F13" s="6">
        <v>7.1950509908780402</v>
      </c>
      <c r="G13" s="6" t="s">
        <v>25</v>
      </c>
      <c r="H13" s="6">
        <v>198.73142930347501</v>
      </c>
      <c r="I13" s="6">
        <v>0.386711737903979</v>
      </c>
      <c r="J13" s="5">
        <v>22157.178553115202</v>
      </c>
      <c r="K13" s="6">
        <v>46.190992124659303</v>
      </c>
      <c r="L13" s="6">
        <v>0.51919709781541801</v>
      </c>
      <c r="M13" s="8" t="s">
        <v>25</v>
      </c>
      <c r="N13" s="6">
        <v>4.9423375337363398</v>
      </c>
      <c r="O13" s="6">
        <v>5.7162528630829597</v>
      </c>
    </row>
    <row r="14" spans="1:15" ht="14.1" customHeight="1">
      <c r="A14" s="23" t="s">
        <v>27</v>
      </c>
      <c r="B14" s="5">
        <v>4436.6921882610004</v>
      </c>
      <c r="C14" s="5">
        <v>113652.405173794</v>
      </c>
      <c r="D14" s="6">
        <v>31.222654365297</v>
      </c>
      <c r="E14" s="7">
        <v>240.712004084444</v>
      </c>
      <c r="F14" s="6">
        <v>6.97970706740987</v>
      </c>
      <c r="G14" s="6">
        <v>1.9306422154412199</v>
      </c>
      <c r="H14" s="6">
        <v>244.91729116837001</v>
      </c>
      <c r="I14" s="6">
        <v>0.41585582032110702</v>
      </c>
      <c r="J14" s="5">
        <v>22090.178574149199</v>
      </c>
      <c r="K14" s="6">
        <v>46.361854024758401</v>
      </c>
      <c r="L14" s="6">
        <v>0.450644417936238</v>
      </c>
      <c r="M14" s="8" t="s">
        <v>25</v>
      </c>
      <c r="N14" s="6">
        <v>5.2071552281026197</v>
      </c>
      <c r="O14" s="6">
        <v>8.5466565624866995</v>
      </c>
    </row>
    <row r="15" spans="1:15" ht="14.1" customHeight="1">
      <c r="A15" s="23" t="s">
        <v>28</v>
      </c>
      <c r="B15" s="5">
        <v>4312.5965213877898</v>
      </c>
      <c r="C15" s="5">
        <v>112059.450181825</v>
      </c>
      <c r="D15" s="6">
        <v>29.282072491043099</v>
      </c>
      <c r="E15" s="7">
        <v>98.348056310721006</v>
      </c>
      <c r="F15" s="6">
        <v>7.54588889287227</v>
      </c>
      <c r="G15" s="6">
        <v>1.94700195356779</v>
      </c>
      <c r="H15" s="6">
        <v>229.911601603902</v>
      </c>
      <c r="I15" s="6">
        <v>0.39349138730781302</v>
      </c>
      <c r="J15" s="5">
        <v>20914.453331781599</v>
      </c>
      <c r="K15" s="6">
        <v>46.573547185910698</v>
      </c>
      <c r="L15" s="6">
        <v>0.60325832167487403</v>
      </c>
      <c r="M15" s="8">
        <v>0.42886984638447601</v>
      </c>
      <c r="N15" s="6">
        <v>6.7150751581269104</v>
      </c>
      <c r="O15" s="6">
        <v>40.170619747843197</v>
      </c>
    </row>
    <row r="16" spans="1:15" ht="14.1" customHeight="1">
      <c r="A16" s="23" t="s">
        <v>29</v>
      </c>
      <c r="B16" s="5">
        <v>4821.2341521697999</v>
      </c>
      <c r="C16" s="5">
        <v>112763.75682808</v>
      </c>
      <c r="D16" s="6">
        <v>18.4290277929986</v>
      </c>
      <c r="E16" s="7">
        <v>223.44945311455101</v>
      </c>
      <c r="F16" s="6">
        <v>7.1011426264395903</v>
      </c>
      <c r="G16" s="6" t="s">
        <v>25</v>
      </c>
      <c r="H16" s="6">
        <v>262.40322560087702</v>
      </c>
      <c r="I16" s="6">
        <v>0.54451840171940902</v>
      </c>
      <c r="J16" s="5">
        <v>21134.305618345901</v>
      </c>
      <c r="K16" s="6">
        <v>46.546651120033701</v>
      </c>
      <c r="L16" s="6">
        <v>0.87272913813811004</v>
      </c>
      <c r="M16" s="8">
        <v>1.0916525099488901</v>
      </c>
      <c r="N16" s="6">
        <v>5.8266157588801404</v>
      </c>
      <c r="O16" s="6">
        <v>39.640306318005301</v>
      </c>
    </row>
    <row r="17" spans="1:15" ht="14.1" customHeight="1">
      <c r="A17" s="23" t="s">
        <v>30</v>
      </c>
      <c r="B17" s="5">
        <v>5172.1379833317496</v>
      </c>
      <c r="C17" s="5">
        <v>113827.55710780701</v>
      </c>
      <c r="D17" s="6">
        <v>17.475063566464701</v>
      </c>
      <c r="E17" s="7">
        <v>128.01957437848901</v>
      </c>
      <c r="F17" s="6">
        <v>9.0806216496148693</v>
      </c>
      <c r="G17" s="6" t="s">
        <v>25</v>
      </c>
      <c r="H17" s="6">
        <v>269.96286761234097</v>
      </c>
      <c r="I17" s="6">
        <v>0.25921098057888198</v>
      </c>
      <c r="J17" s="5">
        <v>21884.788098745001</v>
      </c>
      <c r="K17" s="6">
        <v>47.138564374326002</v>
      </c>
      <c r="L17" s="6">
        <v>0.46183745186738601</v>
      </c>
      <c r="M17" s="8" t="s">
        <v>25</v>
      </c>
      <c r="N17" s="6">
        <v>3.9280923046746401</v>
      </c>
      <c r="O17" s="6">
        <v>2.9561550352043899</v>
      </c>
    </row>
    <row r="18" spans="1:15" ht="14.1" customHeight="1">
      <c r="A18" s="23" t="s">
        <v>31</v>
      </c>
      <c r="B18" s="5">
        <v>2289.5357682478002</v>
      </c>
      <c r="C18" s="5">
        <v>103426.82400757</v>
      </c>
      <c r="D18" s="6">
        <v>3.5727031371132698</v>
      </c>
      <c r="E18" s="7">
        <v>162.55105282100601</v>
      </c>
      <c r="F18" s="6">
        <v>2.4098435503900899</v>
      </c>
      <c r="G18" s="6">
        <v>1.5429001670671201</v>
      </c>
      <c r="H18" s="6">
        <v>228.77301594767701</v>
      </c>
      <c r="I18" s="6">
        <v>1.16562447626036</v>
      </c>
      <c r="J18" s="5">
        <v>20849.8656707638</v>
      </c>
      <c r="K18" s="6">
        <v>57.478467630938603</v>
      </c>
      <c r="L18" s="6" t="s">
        <v>25</v>
      </c>
      <c r="M18" s="8" t="s">
        <v>25</v>
      </c>
      <c r="N18" s="6">
        <v>4.5147061689208101</v>
      </c>
      <c r="O18" s="6">
        <v>1.4284323967219801</v>
      </c>
    </row>
    <row r="19" spans="1:15" ht="14.1" customHeight="1">
      <c r="A19" s="23" t="s">
        <v>32</v>
      </c>
      <c r="B19" s="5">
        <v>2280.6628351494101</v>
      </c>
      <c r="C19" s="5">
        <v>106748.12777469501</v>
      </c>
      <c r="D19" s="6">
        <v>6.9810372083148096</v>
      </c>
      <c r="E19" s="7">
        <v>175.74733078766599</v>
      </c>
      <c r="F19" s="6">
        <v>2.2313597406082102</v>
      </c>
      <c r="G19" s="6">
        <v>1.56010729407815</v>
      </c>
      <c r="H19" s="6">
        <v>231.49879393959301</v>
      </c>
      <c r="I19" s="6">
        <v>0.64923102190675397</v>
      </c>
      <c r="J19" s="5">
        <v>21698.0991461128</v>
      </c>
      <c r="K19" s="6">
        <v>58.8334440249428</v>
      </c>
      <c r="L19" s="6" t="s">
        <v>25</v>
      </c>
      <c r="M19" s="8" t="s">
        <v>25</v>
      </c>
      <c r="N19" s="6">
        <v>4.3793025055089103</v>
      </c>
      <c r="O19" s="6">
        <v>1.18153432359224</v>
      </c>
    </row>
    <row r="20" spans="1:15" ht="14.1" customHeight="1">
      <c r="A20" s="23" t="s">
        <v>33</v>
      </c>
      <c r="B20" s="5">
        <v>2302.9409317905001</v>
      </c>
      <c r="C20" s="5">
        <v>100101.51004449</v>
      </c>
      <c r="D20" s="6">
        <v>1.5510700668573001</v>
      </c>
      <c r="E20" s="7">
        <v>343.11043501426798</v>
      </c>
      <c r="F20" s="6">
        <v>2.3598679710573101</v>
      </c>
      <c r="G20" s="6">
        <v>1.82778541822767</v>
      </c>
      <c r="H20" s="6">
        <v>216.454193452601</v>
      </c>
      <c r="I20" s="6">
        <v>2.35729639803872</v>
      </c>
      <c r="J20" s="5">
        <v>19652.373271549899</v>
      </c>
      <c r="K20" s="6">
        <v>58.879904789115699</v>
      </c>
      <c r="L20" s="6">
        <v>1.98523901962367</v>
      </c>
      <c r="M20" s="8">
        <v>2.44413726637735</v>
      </c>
      <c r="N20" s="6">
        <v>6.0092382193327101</v>
      </c>
      <c r="O20" s="6">
        <v>24.600726619550599</v>
      </c>
    </row>
    <row r="21" spans="1:15" ht="14.1" customHeight="1">
      <c r="A21" s="23" t="s">
        <v>34</v>
      </c>
      <c r="B21" s="5">
        <v>2731.7415758051102</v>
      </c>
      <c r="C21" s="5">
        <v>96744.569077489694</v>
      </c>
      <c r="D21" s="6">
        <v>20.032368845646602</v>
      </c>
      <c r="E21" s="7">
        <v>103.41359433709199</v>
      </c>
      <c r="F21" s="6">
        <v>1.90762609000996</v>
      </c>
      <c r="G21" s="6" t="s">
        <v>25</v>
      </c>
      <c r="H21" s="6">
        <v>220.01452940342401</v>
      </c>
      <c r="I21" s="6">
        <v>4.3065146157608396</v>
      </c>
      <c r="J21" s="5">
        <v>21185.7338238704</v>
      </c>
      <c r="K21" s="6">
        <v>62.826208240879502</v>
      </c>
      <c r="L21" s="6">
        <v>0.41836738681504998</v>
      </c>
      <c r="M21" s="8">
        <v>1.0595004955393399</v>
      </c>
      <c r="N21" s="6">
        <v>4.7429641446246</v>
      </c>
      <c r="O21" s="6">
        <v>7.3339299699209297</v>
      </c>
    </row>
    <row r="22" spans="1:15" ht="14.1" customHeight="1">
      <c r="A22" s="23" t="s">
        <v>35</v>
      </c>
      <c r="B22" s="5">
        <v>2652.6114683390401</v>
      </c>
      <c r="C22" s="5">
        <v>100986.201155081</v>
      </c>
      <c r="D22" s="6">
        <v>15.746807058942901</v>
      </c>
      <c r="E22" s="7">
        <v>521.84269793517603</v>
      </c>
      <c r="F22" s="6">
        <v>1.7112061130287499</v>
      </c>
      <c r="G22" s="6">
        <v>1.53188911549482</v>
      </c>
      <c r="H22" s="6">
        <v>225.05075061705199</v>
      </c>
      <c r="I22" s="6">
        <v>4.2287629100452397</v>
      </c>
      <c r="J22" s="5">
        <v>21239.874598352999</v>
      </c>
      <c r="K22" s="6">
        <v>62.837778519174897</v>
      </c>
      <c r="L22" s="6">
        <v>2.1099594608642498</v>
      </c>
      <c r="M22" s="8">
        <v>2.2588009568009801</v>
      </c>
      <c r="N22" s="6">
        <v>4.0948402553109302</v>
      </c>
      <c r="O22" s="6">
        <v>53.691475358328603</v>
      </c>
    </row>
    <row r="23" spans="1:15" ht="14.1" customHeight="1">
      <c r="A23" s="23" t="s">
        <v>36</v>
      </c>
      <c r="B23" s="5">
        <v>2613.09980396522</v>
      </c>
      <c r="C23" s="5">
        <v>103590.88845979</v>
      </c>
      <c r="D23" s="6">
        <v>10.5735612170891</v>
      </c>
      <c r="E23" s="7">
        <v>135.67700818957499</v>
      </c>
      <c r="F23" s="6">
        <v>2.4394012527995601</v>
      </c>
      <c r="G23" s="6">
        <v>1.47899790137986</v>
      </c>
      <c r="H23" s="6">
        <v>231.75620858536601</v>
      </c>
      <c r="I23" s="6">
        <v>1.2633706146707</v>
      </c>
      <c r="J23" s="5">
        <v>21715.6377774627</v>
      </c>
      <c r="K23" s="6">
        <v>60.5393675345628</v>
      </c>
      <c r="L23" s="6">
        <v>0.91083798363989399</v>
      </c>
      <c r="M23" s="8">
        <v>4.48743541440958</v>
      </c>
      <c r="N23" s="6">
        <v>4.3955786837709603</v>
      </c>
      <c r="O23" s="6">
        <v>2.1428342277011398</v>
      </c>
    </row>
    <row r="24" spans="1:15" ht="14.1" customHeight="1">
      <c r="A24" s="23" t="s">
        <v>37</v>
      </c>
      <c r="B24" s="5">
        <v>2589.9313947876599</v>
      </c>
      <c r="C24" s="5">
        <v>104214.820685561</v>
      </c>
      <c r="D24" s="6">
        <v>25.300279563022801</v>
      </c>
      <c r="E24" s="7">
        <v>466.14795720746298</v>
      </c>
      <c r="F24" s="6">
        <v>1.6308319064785699</v>
      </c>
      <c r="G24" s="6" t="s">
        <v>25</v>
      </c>
      <c r="H24" s="6">
        <v>241.62203421648999</v>
      </c>
      <c r="I24" s="6">
        <v>1.3288309501235001</v>
      </c>
      <c r="J24" s="5">
        <v>21649.560390138598</v>
      </c>
      <c r="K24" s="6">
        <v>61.708500900858901</v>
      </c>
      <c r="L24" s="6" t="s">
        <v>25</v>
      </c>
      <c r="M24" s="8">
        <v>0.81428792448703402</v>
      </c>
      <c r="N24" s="6">
        <v>4.7485658980075396</v>
      </c>
      <c r="O24" s="6">
        <v>6.0643119542724504</v>
      </c>
    </row>
    <row r="25" spans="1:15" ht="14.1" customHeight="1">
      <c r="A25" s="23" t="s">
        <v>38</v>
      </c>
      <c r="B25" s="5">
        <v>2392.6918112860099</v>
      </c>
      <c r="C25" s="5">
        <v>98784.113970235296</v>
      </c>
      <c r="D25" s="6">
        <v>12.9697865070736</v>
      </c>
      <c r="E25" s="7">
        <v>107.988620102032</v>
      </c>
      <c r="F25" s="6">
        <v>2.3808725750906699</v>
      </c>
      <c r="G25" s="6" t="s">
        <v>25</v>
      </c>
      <c r="H25" s="6">
        <v>242.39270749284799</v>
      </c>
      <c r="I25" s="6">
        <v>0.70147563818571501</v>
      </c>
      <c r="J25" s="5">
        <v>21714.531219412798</v>
      </c>
      <c r="K25" s="6">
        <v>58.675933180053597</v>
      </c>
      <c r="L25" s="6">
        <v>0.36397927383779199</v>
      </c>
      <c r="M25" s="8">
        <v>0.27382715340548403</v>
      </c>
      <c r="N25" s="6">
        <v>4.9217372904869903</v>
      </c>
      <c r="O25" s="6">
        <v>2.7186781884665998</v>
      </c>
    </row>
    <row r="26" spans="1:15" ht="14.1" customHeight="1">
      <c r="A26" s="23" t="s">
        <v>39</v>
      </c>
      <c r="B26" s="5">
        <v>2251.7374841913702</v>
      </c>
      <c r="C26" s="5">
        <v>83425.297982689503</v>
      </c>
      <c r="D26" s="6">
        <v>4.1270946234120096</v>
      </c>
      <c r="E26" s="7">
        <v>61.499192660876503</v>
      </c>
      <c r="F26" s="6">
        <v>1.8933027774430999</v>
      </c>
      <c r="G26" s="6" t="s">
        <v>25</v>
      </c>
      <c r="H26" s="6">
        <v>234.829640700791</v>
      </c>
      <c r="I26" s="6">
        <v>0.74717096905136804</v>
      </c>
      <c r="J26" s="5">
        <v>21224.203307664899</v>
      </c>
      <c r="K26" s="6">
        <v>57.414254676303898</v>
      </c>
      <c r="L26" s="6" t="s">
        <v>25</v>
      </c>
      <c r="M26" s="8" t="s">
        <v>25</v>
      </c>
      <c r="N26" s="6">
        <v>4.05964975136005</v>
      </c>
      <c r="O26" s="6">
        <v>1.8767302852960299</v>
      </c>
    </row>
    <row r="27" spans="1:15" ht="14.1" customHeight="1">
      <c r="A27" s="23" t="s">
        <v>40</v>
      </c>
      <c r="B27" s="5">
        <v>11019.8237564313</v>
      </c>
      <c r="C27" s="5">
        <v>120110.167382685</v>
      </c>
      <c r="D27" s="6">
        <v>42.375235005507399</v>
      </c>
      <c r="E27" s="7">
        <v>877.06656255562996</v>
      </c>
      <c r="F27" s="6">
        <v>9.9346206380658497</v>
      </c>
      <c r="G27" s="6">
        <v>2.3275872187714102</v>
      </c>
      <c r="H27" s="6">
        <v>180.04457772030801</v>
      </c>
      <c r="I27" s="6">
        <v>2.9842217783140801</v>
      </c>
      <c r="J27" s="5">
        <v>19764.382066431099</v>
      </c>
      <c r="K27" s="6">
        <v>60.033626275300499</v>
      </c>
      <c r="L27" s="6">
        <v>4.98062833907845</v>
      </c>
      <c r="M27" s="8">
        <v>3.1765526804843298</v>
      </c>
      <c r="N27" s="6">
        <v>5.1676469635081901</v>
      </c>
      <c r="O27" s="6">
        <v>7.21147034659292</v>
      </c>
    </row>
    <row r="28" spans="1:15" ht="14.1" customHeight="1">
      <c r="A28" s="23" t="s">
        <v>41</v>
      </c>
      <c r="B28" s="5">
        <v>9995.1130925413108</v>
      </c>
      <c r="C28" s="5">
        <v>117615.91095218901</v>
      </c>
      <c r="D28" s="6">
        <v>58.372771666009001</v>
      </c>
      <c r="E28" s="9">
        <v>1049.5842437798401</v>
      </c>
      <c r="F28" s="6">
        <v>8.9205920571441499</v>
      </c>
      <c r="G28" s="6" t="s">
        <v>25</v>
      </c>
      <c r="H28" s="6">
        <v>207.28969563510199</v>
      </c>
      <c r="I28" s="6">
        <v>14.981184936775</v>
      </c>
      <c r="J28" s="5">
        <v>22347.614122954899</v>
      </c>
      <c r="K28" s="6">
        <v>76.576143966310696</v>
      </c>
      <c r="L28" s="6">
        <v>2.5759574078956402</v>
      </c>
      <c r="M28" s="8">
        <v>1.99050754750032</v>
      </c>
      <c r="N28" s="6">
        <v>4.7363232690908896</v>
      </c>
      <c r="O28" s="6">
        <v>14.4060703742883</v>
      </c>
    </row>
    <row r="29" spans="1:15" ht="14.1" customHeight="1">
      <c r="A29" s="23" t="s">
        <v>42</v>
      </c>
      <c r="B29" s="5">
        <v>8984.2996134273308</v>
      </c>
      <c r="C29" s="5">
        <v>109693.05588114999</v>
      </c>
      <c r="D29" s="6">
        <v>55.753277127837599</v>
      </c>
      <c r="E29" s="7">
        <v>869.98415588854596</v>
      </c>
      <c r="F29" s="6">
        <v>6.5620161363558198</v>
      </c>
      <c r="G29" s="6">
        <v>1.6336863258860499</v>
      </c>
      <c r="H29" s="6">
        <v>199.03626906934201</v>
      </c>
      <c r="I29" s="6">
        <v>20.322394221491201</v>
      </c>
      <c r="J29" s="5">
        <v>21786.2456332937</v>
      </c>
      <c r="K29" s="6">
        <v>79.012296726209399</v>
      </c>
      <c r="L29" s="6">
        <v>11.3774775466922</v>
      </c>
      <c r="M29" s="8">
        <v>19.8050948386154</v>
      </c>
      <c r="N29" s="6">
        <v>4.86878064372618</v>
      </c>
      <c r="O29" s="6">
        <v>141.331402366438</v>
      </c>
    </row>
    <row r="30" spans="1:15" ht="14.1" customHeight="1">
      <c r="A30" s="23" t="s">
        <v>43</v>
      </c>
      <c r="B30" s="5">
        <v>10141.9262257177</v>
      </c>
      <c r="C30" s="5">
        <v>119736.49689259</v>
      </c>
      <c r="D30" s="6">
        <v>64.162312275076104</v>
      </c>
      <c r="E30" s="7">
        <v>279.130367101118</v>
      </c>
      <c r="F30" s="6">
        <v>6.3868845617679204</v>
      </c>
      <c r="G30" s="6">
        <v>2.2540102869444998</v>
      </c>
      <c r="H30" s="6">
        <v>205.845508727658</v>
      </c>
      <c r="I30" s="6">
        <v>3.32424470119612</v>
      </c>
      <c r="J30" s="5">
        <v>22238.239232547301</v>
      </c>
      <c r="K30" s="6">
        <v>69.814566239415598</v>
      </c>
      <c r="L30" s="6">
        <v>1.6652473239669801</v>
      </c>
      <c r="M30" s="8" t="s">
        <v>25</v>
      </c>
      <c r="N30" s="6">
        <v>5.1383794096173903</v>
      </c>
      <c r="O30" s="6">
        <v>5.26381809672516</v>
      </c>
    </row>
    <row r="31" spans="1:15" ht="14.1" customHeight="1">
      <c r="A31" s="23" t="s">
        <v>44</v>
      </c>
      <c r="B31" s="5">
        <v>10236.3837992715</v>
      </c>
      <c r="C31" s="5">
        <v>117804.00283738101</v>
      </c>
      <c r="D31" s="6">
        <v>61.227817978668803</v>
      </c>
      <c r="E31" s="7">
        <v>594.32054024231002</v>
      </c>
      <c r="F31" s="6">
        <v>12.187640956527099</v>
      </c>
      <c r="G31" s="6">
        <v>2.1595636754534602</v>
      </c>
      <c r="H31" s="6">
        <v>185.838339258432</v>
      </c>
      <c r="I31" s="6">
        <v>12.7906741113317</v>
      </c>
      <c r="J31" s="5">
        <v>22301.426055665499</v>
      </c>
      <c r="K31" s="6">
        <v>61.262209881261903</v>
      </c>
      <c r="L31" s="6">
        <v>2.70178409568015</v>
      </c>
      <c r="M31" s="8">
        <v>8.0982974678248798</v>
      </c>
      <c r="N31" s="6">
        <v>4.8171699999516502</v>
      </c>
      <c r="O31" s="6">
        <v>10.5027832855446</v>
      </c>
    </row>
    <row r="32" spans="1:15" ht="14.1" customHeight="1">
      <c r="A32" s="23" t="s">
        <v>45</v>
      </c>
      <c r="B32" s="5">
        <v>10999.5522734972</v>
      </c>
      <c r="C32" s="5">
        <v>124999.27764645001</v>
      </c>
      <c r="D32" s="6">
        <v>71.951805185991503</v>
      </c>
      <c r="E32" s="9">
        <v>2868.4789657522201</v>
      </c>
      <c r="F32" s="6">
        <v>5.9875839494814498</v>
      </c>
      <c r="G32" s="6">
        <v>1.8633208676142701</v>
      </c>
      <c r="H32" s="6">
        <v>86.899229286400399</v>
      </c>
      <c r="I32" s="6">
        <v>9.0513542820075994</v>
      </c>
      <c r="J32" s="5">
        <v>21668.845048977098</v>
      </c>
      <c r="K32" s="6">
        <v>81.682307082763103</v>
      </c>
      <c r="L32" s="6">
        <v>12.5903258295935</v>
      </c>
      <c r="M32" s="8">
        <v>6.5620991087960903</v>
      </c>
      <c r="N32" s="6">
        <v>4.4324022805500203</v>
      </c>
      <c r="O32" s="6">
        <v>92.429498655900503</v>
      </c>
    </row>
    <row r="33" spans="1:15" ht="14.1" customHeight="1">
      <c r="A33" s="23" t="s">
        <v>46</v>
      </c>
      <c r="B33" s="5">
        <v>10378.2146610045</v>
      </c>
      <c r="C33" s="5">
        <v>127317.019692948</v>
      </c>
      <c r="D33" s="6">
        <v>77.847513715444904</v>
      </c>
      <c r="E33" s="9">
        <v>1954.1965828550699</v>
      </c>
      <c r="F33" s="6">
        <v>6.4698939662528003</v>
      </c>
      <c r="G33" s="6">
        <v>1.4628363821918899</v>
      </c>
      <c r="H33" s="6">
        <v>105.792415751547</v>
      </c>
      <c r="I33" s="6">
        <v>9.8323962197194898</v>
      </c>
      <c r="J33" s="5">
        <v>22049.9174272829</v>
      </c>
      <c r="K33" s="6">
        <v>96.894668960983196</v>
      </c>
      <c r="L33" s="6">
        <v>6.5891038723433004</v>
      </c>
      <c r="M33" s="8">
        <v>4.863489103739</v>
      </c>
      <c r="N33" s="6">
        <v>3.9105583148164098</v>
      </c>
      <c r="O33" s="6">
        <v>13.6783067320643</v>
      </c>
    </row>
    <row r="34" spans="1:15" ht="14.1" customHeight="1">
      <c r="A34" s="23" t="s">
        <v>47</v>
      </c>
      <c r="B34" s="5">
        <v>11974.412420214499</v>
      </c>
      <c r="C34" s="5">
        <v>132517.95345050399</v>
      </c>
      <c r="D34" s="6">
        <v>75.859472691853497</v>
      </c>
      <c r="E34" s="7">
        <v>519.65310429716806</v>
      </c>
      <c r="F34" s="6">
        <v>8.9780499190657999</v>
      </c>
      <c r="G34" s="6">
        <v>2.1297078115279402</v>
      </c>
      <c r="H34" s="6">
        <v>107.961780652952</v>
      </c>
      <c r="I34" s="6">
        <v>3.7840017665749901</v>
      </c>
      <c r="J34" s="5">
        <v>21648.2043875368</v>
      </c>
      <c r="K34" s="6">
        <v>74.018701718446493</v>
      </c>
      <c r="L34" s="6">
        <v>3.3806732625949101</v>
      </c>
      <c r="M34" s="8">
        <v>1.6578204965933101</v>
      </c>
      <c r="N34" s="6">
        <v>4.0475644527621997</v>
      </c>
      <c r="O34" s="6">
        <v>4.01797151627337</v>
      </c>
    </row>
    <row r="35" spans="1:15" ht="14.1" customHeight="1">
      <c r="A35" s="23" t="s">
        <v>48</v>
      </c>
      <c r="B35" s="5">
        <v>10803.3489947542</v>
      </c>
      <c r="C35" s="5">
        <v>128687.264609823</v>
      </c>
      <c r="D35" s="6">
        <v>85.814739757039604</v>
      </c>
      <c r="E35" s="9">
        <v>2366.8602127121499</v>
      </c>
      <c r="F35" s="6">
        <v>9.0466249056070502</v>
      </c>
      <c r="G35" s="6">
        <v>2.4162890155162202</v>
      </c>
      <c r="H35" s="6">
        <v>90.229576705760707</v>
      </c>
      <c r="I35" s="6">
        <v>10.2338794901007</v>
      </c>
      <c r="J35" s="5">
        <v>22363.378237306701</v>
      </c>
      <c r="K35" s="6">
        <v>89.401031023260103</v>
      </c>
      <c r="L35" s="6">
        <v>6.2465972389891</v>
      </c>
      <c r="M35" s="8">
        <v>6.45150044702023</v>
      </c>
      <c r="N35" s="6">
        <v>4.2311148966454599</v>
      </c>
      <c r="O35" s="6">
        <v>14.3656121413589</v>
      </c>
    </row>
    <row r="36" spans="1:15" ht="14.1" customHeight="1">
      <c r="A36" s="23" t="s">
        <v>49</v>
      </c>
      <c r="B36" s="5">
        <v>12922.096261635799</v>
      </c>
      <c r="C36" s="5">
        <v>132280.274498396</v>
      </c>
      <c r="D36" s="6">
        <v>64.838127078434098</v>
      </c>
      <c r="E36" s="9">
        <v>1217.9047325981601</v>
      </c>
      <c r="F36" s="6">
        <v>9.8543608151374595</v>
      </c>
      <c r="G36" s="6">
        <v>2.2326004171392002</v>
      </c>
      <c r="H36" s="6">
        <v>88.4002226648755</v>
      </c>
      <c r="I36" s="6">
        <v>6.7521874620885596</v>
      </c>
      <c r="J36" s="5">
        <v>21019.918357062699</v>
      </c>
      <c r="K36" s="6">
        <v>66.565132059992095</v>
      </c>
      <c r="L36" s="6">
        <v>4.6519120791453004</v>
      </c>
      <c r="M36" s="8">
        <v>4.4083374336404804</v>
      </c>
      <c r="N36" s="6">
        <v>3.7691958070897802</v>
      </c>
      <c r="O36" s="6">
        <v>8.7081832263367307</v>
      </c>
    </row>
    <row r="37" spans="1:15" ht="14.1" customHeight="1">
      <c r="A37" s="23" t="s">
        <v>50</v>
      </c>
      <c r="B37" s="5">
        <v>12397.332700474601</v>
      </c>
      <c r="C37" s="5">
        <v>132300.78152539901</v>
      </c>
      <c r="D37" s="6">
        <v>69.371003334185701</v>
      </c>
      <c r="E37" s="7">
        <v>803.67658095628303</v>
      </c>
      <c r="F37" s="6">
        <v>8.2109421765366601</v>
      </c>
      <c r="G37" s="6">
        <v>1.7288172690525201</v>
      </c>
      <c r="H37" s="6">
        <v>108.67014708916101</v>
      </c>
      <c r="I37" s="6">
        <v>6.0447670104098696</v>
      </c>
      <c r="J37" s="5">
        <v>21618.504868349301</v>
      </c>
      <c r="K37" s="6">
        <v>73.852185210531403</v>
      </c>
      <c r="L37" s="6">
        <v>4.56750419118588</v>
      </c>
      <c r="M37" s="8">
        <v>1.83205703327852</v>
      </c>
      <c r="N37" s="6">
        <v>3.8842343044744498</v>
      </c>
      <c r="O37" s="6">
        <v>10.912446955589701</v>
      </c>
    </row>
    <row r="38" spans="1:15" ht="14.1" customHeight="1">
      <c r="A38" s="23" t="s">
        <v>51</v>
      </c>
      <c r="B38" s="5">
        <v>12050.238106283799</v>
      </c>
      <c r="C38" s="5">
        <v>131866.839358481</v>
      </c>
      <c r="D38" s="6">
        <v>72.010820828314095</v>
      </c>
      <c r="E38" s="9">
        <v>1090.55087047098</v>
      </c>
      <c r="F38" s="6">
        <v>4.7724209233985802</v>
      </c>
      <c r="G38" s="6">
        <v>2.06087696395576</v>
      </c>
      <c r="H38" s="6">
        <v>112.513456617738</v>
      </c>
      <c r="I38" s="6">
        <v>8.6219540493400899</v>
      </c>
      <c r="J38" s="5">
        <v>21815.651297674201</v>
      </c>
      <c r="K38" s="6">
        <v>76.084764921600893</v>
      </c>
      <c r="L38" s="6">
        <v>5.4835524036915304</v>
      </c>
      <c r="M38" s="8">
        <v>2.4555392602610802</v>
      </c>
      <c r="N38" s="6">
        <v>4.0932167611926999</v>
      </c>
      <c r="O38" s="6">
        <v>22.561574376043101</v>
      </c>
    </row>
    <row r="39" spans="1:15" ht="14.1" customHeight="1">
      <c r="A39" s="23" t="s">
        <v>52</v>
      </c>
      <c r="B39" s="5">
        <v>10748.4620076474</v>
      </c>
      <c r="C39" s="5">
        <v>127805.79581399501</v>
      </c>
      <c r="D39" s="6">
        <v>76.561773838312206</v>
      </c>
      <c r="E39" s="9">
        <v>1950.94669961826</v>
      </c>
      <c r="F39" s="6">
        <v>6.3982537177547796</v>
      </c>
      <c r="G39" s="6">
        <v>2.1544081444374301</v>
      </c>
      <c r="H39" s="6">
        <v>103.619532271004</v>
      </c>
      <c r="I39" s="6">
        <v>13.968096138995101</v>
      </c>
      <c r="J39" s="5">
        <v>21935.1476263654</v>
      </c>
      <c r="K39" s="6">
        <v>91.186481223482303</v>
      </c>
      <c r="L39" s="6">
        <v>8.4962530075715499</v>
      </c>
      <c r="M39" s="8">
        <v>7.36456577815225</v>
      </c>
      <c r="N39" s="6">
        <v>4.0198321895916402</v>
      </c>
      <c r="O39" s="6">
        <v>246.36655982335799</v>
      </c>
    </row>
    <row r="40" spans="1:15" ht="14.1" customHeight="1">
      <c r="A40" s="23" t="s">
        <v>53</v>
      </c>
      <c r="B40" s="5">
        <v>9562.8657432769796</v>
      </c>
      <c r="C40" s="5">
        <v>122396.884530353</v>
      </c>
      <c r="D40" s="6">
        <v>80.694307547805195</v>
      </c>
      <c r="E40" s="9">
        <v>1295.3605602845901</v>
      </c>
      <c r="F40" s="6">
        <v>4.6349638486879501</v>
      </c>
      <c r="G40" s="6">
        <v>1.7015587924378801</v>
      </c>
      <c r="H40" s="6">
        <v>100.152478343376</v>
      </c>
      <c r="I40" s="6">
        <v>11.654605099086099</v>
      </c>
      <c r="J40" s="5">
        <v>21179.175094542199</v>
      </c>
      <c r="K40" s="6">
        <v>93.812942038817297</v>
      </c>
      <c r="L40" s="6">
        <v>5.2353724911305397</v>
      </c>
      <c r="M40" s="8">
        <v>5.2122027803761704</v>
      </c>
      <c r="N40" s="6">
        <v>4.0852246562474797</v>
      </c>
      <c r="O40" s="6">
        <v>10.743963731677001</v>
      </c>
    </row>
    <row r="41" spans="1:15" ht="14.1" customHeight="1">
      <c r="A41" s="24" t="s">
        <v>54</v>
      </c>
      <c r="B41" s="25">
        <f t="shared" ref="B41:O41" si="0">AVERAGE(B5:B40)</f>
        <v>7198.2511638437145</v>
      </c>
      <c r="C41" s="25">
        <f t="shared" si="0"/>
        <v>114373.87694682226</v>
      </c>
      <c r="D41" s="26">
        <f t="shared" si="0"/>
        <v>38.643022019995215</v>
      </c>
      <c r="E41" s="27">
        <f t="shared" si="0"/>
        <v>677.50483289246438</v>
      </c>
      <c r="F41" s="26">
        <f t="shared" si="0"/>
        <v>6.3925178366639184</v>
      </c>
      <c r="G41" s="26">
        <f t="shared" si="0"/>
        <v>1.8416230326473753</v>
      </c>
      <c r="H41" s="26">
        <f t="shared" si="0"/>
        <v>195.15805575603181</v>
      </c>
      <c r="I41" s="26">
        <f t="shared" si="0"/>
        <v>5.7130923586363096</v>
      </c>
      <c r="J41" s="25">
        <f t="shared" si="0"/>
        <v>21356.400440024521</v>
      </c>
      <c r="K41" s="26">
        <f t="shared" si="0"/>
        <v>61.436087956931502</v>
      </c>
      <c r="L41" s="26">
        <f t="shared" si="0"/>
        <v>3.3131461526509796</v>
      </c>
      <c r="M41" s="28">
        <f t="shared" si="0"/>
        <v>3.4875796546930524</v>
      </c>
      <c r="N41" s="26">
        <f t="shared" si="0"/>
        <v>4.8287545621836765</v>
      </c>
      <c r="O41" s="26">
        <f t="shared" si="0"/>
        <v>97.597156432475188</v>
      </c>
    </row>
    <row r="42" spans="1:15" ht="14.1" customHeight="1">
      <c r="A42" s="41" t="s">
        <v>55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</row>
    <row r="43" spans="1:15" ht="14.1" customHeight="1">
      <c r="A43" s="18" t="s">
        <v>56</v>
      </c>
      <c r="B43" s="29">
        <v>19523.7621018358</v>
      </c>
      <c r="C43" s="29">
        <v>141496.46770372501</v>
      </c>
      <c r="D43" s="30">
        <v>36.757757942726798</v>
      </c>
      <c r="E43" s="31">
        <v>2485.30117454317</v>
      </c>
      <c r="F43" s="30">
        <v>13.401592496169</v>
      </c>
      <c r="G43" s="30" t="s">
        <v>25</v>
      </c>
      <c r="H43" s="30">
        <v>34.485031126189703</v>
      </c>
      <c r="I43" s="30">
        <v>16.6454219812268</v>
      </c>
      <c r="J43" s="29">
        <v>17804.257656003101</v>
      </c>
      <c r="K43" s="30">
        <v>47.592402580468203</v>
      </c>
      <c r="L43" s="30">
        <v>14.828707145008799</v>
      </c>
      <c r="M43" s="22" t="s">
        <v>25</v>
      </c>
      <c r="N43" s="30">
        <v>5.0575367316922497</v>
      </c>
      <c r="O43" s="30">
        <v>12.782629802704699</v>
      </c>
    </row>
    <row r="44" spans="1:15" ht="14.1" customHeight="1">
      <c r="A44" s="23" t="s">
        <v>57</v>
      </c>
      <c r="B44" s="10">
        <v>17803.464326833498</v>
      </c>
      <c r="C44" s="10">
        <v>139531.33595142799</v>
      </c>
      <c r="D44" s="11">
        <v>36.786291236936997</v>
      </c>
      <c r="E44" s="12">
        <v>2713.6777049972802</v>
      </c>
      <c r="F44" s="11">
        <v>26.6968138762325</v>
      </c>
      <c r="G44" s="11">
        <v>1.9932985547529301</v>
      </c>
      <c r="H44" s="11">
        <v>33.356414368572104</v>
      </c>
      <c r="I44" s="11">
        <v>14.247680790592099</v>
      </c>
      <c r="J44" s="10">
        <v>18221.487318205101</v>
      </c>
      <c r="K44" s="11">
        <v>30.8757736458487</v>
      </c>
      <c r="L44" s="11">
        <v>12.001314961150801</v>
      </c>
      <c r="M44" s="8" t="s">
        <v>25</v>
      </c>
      <c r="N44" s="11">
        <v>4.9419860319842899</v>
      </c>
      <c r="O44" s="11">
        <v>2.2291199844935199</v>
      </c>
    </row>
    <row r="45" spans="1:15" ht="14.1" customHeight="1">
      <c r="A45" s="23" t="s">
        <v>58</v>
      </c>
      <c r="B45" s="10">
        <v>19277.317277710601</v>
      </c>
      <c r="C45" s="10">
        <v>137952.96201282699</v>
      </c>
      <c r="D45" s="11">
        <v>36.674643129104403</v>
      </c>
      <c r="E45" s="12">
        <v>1491.54897983203</v>
      </c>
      <c r="F45" s="11">
        <v>25.429139358476899</v>
      </c>
      <c r="G45" s="11">
        <v>2.0929566843276199</v>
      </c>
      <c r="H45" s="11">
        <v>28.6539925262203</v>
      </c>
      <c r="I45" s="11">
        <v>8.1804443410427208</v>
      </c>
      <c r="J45" s="10">
        <v>17510.9929013828</v>
      </c>
      <c r="K45" s="11">
        <v>38.222223408141403</v>
      </c>
      <c r="L45" s="11">
        <v>12.5052485960907</v>
      </c>
      <c r="M45" s="8">
        <v>0.95341563350702396</v>
      </c>
      <c r="N45" s="11">
        <v>5.96497857349872</v>
      </c>
      <c r="O45" s="11">
        <v>17.680981589838201</v>
      </c>
    </row>
    <row r="46" spans="1:15" ht="14.1" customHeight="1">
      <c r="A46" s="23" t="s">
        <v>59</v>
      </c>
      <c r="B46" s="10">
        <v>21773.6227114293</v>
      </c>
      <c r="C46" s="10">
        <v>145576.54193198099</v>
      </c>
      <c r="D46" s="11">
        <v>27.389979707724201</v>
      </c>
      <c r="E46" s="12">
        <v>4385.3533829390599</v>
      </c>
      <c r="F46" s="11">
        <v>9.7532932014448495</v>
      </c>
      <c r="G46" s="11">
        <v>2.5933955191653499</v>
      </c>
      <c r="H46" s="11">
        <v>28.7099961355262</v>
      </c>
      <c r="I46" s="11">
        <v>25.4537720578906</v>
      </c>
      <c r="J46" s="10">
        <v>19512.0809880665</v>
      </c>
      <c r="K46" s="11">
        <v>64.0820190032656</v>
      </c>
      <c r="L46" s="11">
        <v>3.2789098200972502</v>
      </c>
      <c r="M46" s="8" t="s">
        <v>25</v>
      </c>
      <c r="N46" s="11">
        <v>5.5205821892345996</v>
      </c>
      <c r="O46" s="11">
        <v>11.3804342221033</v>
      </c>
    </row>
    <row r="47" spans="1:15" ht="14.1" customHeight="1">
      <c r="A47" s="23" t="s">
        <v>60</v>
      </c>
      <c r="B47" s="10">
        <v>20007.858615150701</v>
      </c>
      <c r="C47" s="10">
        <v>153055.06125548799</v>
      </c>
      <c r="D47" s="11">
        <v>26.2834076816183</v>
      </c>
      <c r="E47" s="12">
        <v>9236.5443505037492</v>
      </c>
      <c r="F47" s="11">
        <v>12.828727834469801</v>
      </c>
      <c r="G47" s="11">
        <v>2.34854237061128</v>
      </c>
      <c r="H47" s="11">
        <v>40.451377028298197</v>
      </c>
      <c r="I47" s="11">
        <v>56.1481971053433</v>
      </c>
      <c r="J47" s="10">
        <v>17930.313440991598</v>
      </c>
      <c r="K47" s="11">
        <v>85.244305344327699</v>
      </c>
      <c r="L47" s="11">
        <v>7.3715007996084498</v>
      </c>
      <c r="M47" s="8" t="s">
        <v>25</v>
      </c>
      <c r="N47" s="11">
        <v>6.2288265339916604</v>
      </c>
      <c r="O47" s="11">
        <v>19.791809000342599</v>
      </c>
    </row>
    <row r="48" spans="1:15" ht="14.1" customHeight="1">
      <c r="A48" s="23" t="s">
        <v>61</v>
      </c>
      <c r="B48" s="10">
        <v>16576.155921765101</v>
      </c>
      <c r="C48" s="10">
        <v>153325.17331098701</v>
      </c>
      <c r="D48" s="11">
        <v>32.573564343335597</v>
      </c>
      <c r="E48" s="12">
        <v>2745.09706382794</v>
      </c>
      <c r="F48" s="11">
        <v>14.8707793688232</v>
      </c>
      <c r="G48" s="11">
        <v>3.1377990175422399</v>
      </c>
      <c r="H48" s="11">
        <v>44.225131900828202</v>
      </c>
      <c r="I48" s="11">
        <v>8.6985496633412502</v>
      </c>
      <c r="J48" s="10">
        <v>19465.366259954899</v>
      </c>
      <c r="K48" s="11">
        <v>95.876610996104603</v>
      </c>
      <c r="L48" s="11">
        <v>6.8554881093613496</v>
      </c>
      <c r="M48" s="8" t="s">
        <v>25</v>
      </c>
      <c r="N48" s="11">
        <v>3.6573021612415801</v>
      </c>
      <c r="O48" s="11">
        <v>0.61724023289667096</v>
      </c>
    </row>
    <row r="49" spans="1:15" ht="14.1" customHeight="1">
      <c r="A49" s="23" t="s">
        <v>62</v>
      </c>
      <c r="B49" s="10">
        <v>16261.756329817699</v>
      </c>
      <c r="C49" s="10">
        <v>148843.137775535</v>
      </c>
      <c r="D49" s="11">
        <v>23.717540568867701</v>
      </c>
      <c r="E49" s="12">
        <v>3458.5306443883401</v>
      </c>
      <c r="F49" s="11">
        <v>15.098130562332599</v>
      </c>
      <c r="G49" s="11" t="s">
        <v>25</v>
      </c>
      <c r="H49" s="11">
        <v>26.205220231190001</v>
      </c>
      <c r="I49" s="11">
        <v>23.957804913070301</v>
      </c>
      <c r="J49" s="10">
        <v>18880.216578444401</v>
      </c>
      <c r="K49" s="11">
        <v>81.8257731998699</v>
      </c>
      <c r="L49" s="11">
        <v>12.5498861806915</v>
      </c>
      <c r="M49" s="8">
        <v>0.62648763055371803</v>
      </c>
      <c r="N49" s="11">
        <v>5.9513901101995597</v>
      </c>
      <c r="O49" s="11">
        <v>9.4875292832257703</v>
      </c>
    </row>
    <row r="50" spans="1:15" ht="14.1" customHeight="1">
      <c r="A50" s="23" t="s">
        <v>63</v>
      </c>
      <c r="B50" s="10">
        <v>17055.4108538049</v>
      </c>
      <c r="C50" s="10">
        <v>160030.740549312</v>
      </c>
      <c r="D50" s="11">
        <v>23.3087749287848</v>
      </c>
      <c r="E50" s="12">
        <v>3837.8953907709401</v>
      </c>
      <c r="F50" s="11">
        <v>15.725049544866</v>
      </c>
      <c r="G50" s="11">
        <v>2.9563548675720801</v>
      </c>
      <c r="H50" s="11">
        <v>36.487305682112101</v>
      </c>
      <c r="I50" s="11">
        <v>15.223538691905199</v>
      </c>
      <c r="J50" s="10">
        <v>19100.609329533399</v>
      </c>
      <c r="K50" s="11">
        <v>134.67246987132799</v>
      </c>
      <c r="L50" s="11">
        <v>12.6325061093786</v>
      </c>
      <c r="M50" s="8" t="s">
        <v>25</v>
      </c>
      <c r="N50" s="11">
        <v>5.1855750886866501</v>
      </c>
      <c r="O50" s="11">
        <v>31.201825059569199</v>
      </c>
    </row>
    <row r="51" spans="1:15" ht="14.1" customHeight="1">
      <c r="A51" s="23" t="s">
        <v>64</v>
      </c>
      <c r="B51" s="10">
        <v>17013.016349373898</v>
      </c>
      <c r="C51" s="10">
        <v>152816.393423623</v>
      </c>
      <c r="D51" s="11">
        <v>17.6819853593442</v>
      </c>
      <c r="E51" s="12">
        <v>6751.7709439221198</v>
      </c>
      <c r="F51" s="11">
        <v>12.6670325703027</v>
      </c>
      <c r="G51" s="11">
        <v>2.5365662966316398</v>
      </c>
      <c r="H51" s="11">
        <v>48.701019401207198</v>
      </c>
      <c r="I51" s="11">
        <v>24.939493397998501</v>
      </c>
      <c r="J51" s="10">
        <v>19122.374316259298</v>
      </c>
      <c r="K51" s="11">
        <v>108.843720415893</v>
      </c>
      <c r="L51" s="11">
        <v>8.4298067967774895</v>
      </c>
      <c r="M51" s="8" t="s">
        <v>25</v>
      </c>
      <c r="N51" s="11">
        <v>5.38075789832578</v>
      </c>
      <c r="O51" s="11">
        <v>8.6546338773682105</v>
      </c>
    </row>
    <row r="52" spans="1:15" ht="14.1" customHeight="1">
      <c r="A52" s="23" t="s">
        <v>65</v>
      </c>
      <c r="B52" s="10">
        <v>16572.649662330001</v>
      </c>
      <c r="C52" s="10">
        <v>158426.85855255101</v>
      </c>
      <c r="D52" s="11">
        <v>18.282486274686701</v>
      </c>
      <c r="E52" s="12">
        <v>5798.60082752981</v>
      </c>
      <c r="F52" s="11">
        <v>13.8604670569476</v>
      </c>
      <c r="G52" s="11">
        <v>2.9518837752081</v>
      </c>
      <c r="H52" s="11">
        <v>44.863799210269903</v>
      </c>
      <c r="I52" s="11">
        <v>24.574569396400801</v>
      </c>
      <c r="J52" s="10">
        <v>19392.959999096802</v>
      </c>
      <c r="K52" s="11">
        <v>88.660407751910896</v>
      </c>
      <c r="L52" s="11">
        <v>4.2048905277058601</v>
      </c>
      <c r="M52" s="8" t="s">
        <v>25</v>
      </c>
      <c r="N52" s="11">
        <v>4.6805030611179204</v>
      </c>
      <c r="O52" s="11">
        <v>11.849961759274599</v>
      </c>
    </row>
    <row r="53" spans="1:15" ht="14.1" customHeight="1">
      <c r="A53" s="23" t="s">
        <v>66</v>
      </c>
      <c r="B53" s="10">
        <v>19894.2837294661</v>
      </c>
      <c r="C53" s="10">
        <v>206246.130378884</v>
      </c>
      <c r="D53" s="11">
        <v>18.083747859729101</v>
      </c>
      <c r="E53" s="12">
        <v>4773.2267170431296</v>
      </c>
      <c r="F53" s="11">
        <v>20.070186527719802</v>
      </c>
      <c r="G53" s="11">
        <v>4.02748437783083</v>
      </c>
      <c r="H53" s="11">
        <v>39.1817035227755</v>
      </c>
      <c r="I53" s="11">
        <v>47.629409737010299</v>
      </c>
      <c r="J53" s="10">
        <v>18672.9685442316</v>
      </c>
      <c r="K53" s="11">
        <v>121.29200842965901</v>
      </c>
      <c r="L53" s="11">
        <v>18.155745706152501</v>
      </c>
      <c r="M53" s="8" t="s">
        <v>25</v>
      </c>
      <c r="N53" s="11">
        <v>5.5306401062820196</v>
      </c>
      <c r="O53" s="11">
        <v>56.494890876703501</v>
      </c>
    </row>
    <row r="54" spans="1:15" ht="14.1" customHeight="1">
      <c r="A54" s="23" t="s">
        <v>67</v>
      </c>
      <c r="B54" s="10">
        <v>22369.918022903199</v>
      </c>
      <c r="C54" s="10">
        <v>165476.90493711599</v>
      </c>
      <c r="D54" s="11">
        <v>23.046873177062199</v>
      </c>
      <c r="E54" s="12">
        <v>8908.0669808477705</v>
      </c>
      <c r="F54" s="11">
        <v>35.891704896380702</v>
      </c>
      <c r="G54" s="11">
        <v>3.4854970421109299</v>
      </c>
      <c r="H54" s="11">
        <v>34.705020814511201</v>
      </c>
      <c r="I54" s="11">
        <v>27.635691245632799</v>
      </c>
      <c r="J54" s="10">
        <v>18557.206361534099</v>
      </c>
      <c r="K54" s="11">
        <v>80.231859143661893</v>
      </c>
      <c r="L54" s="11">
        <v>12.0366775584134</v>
      </c>
      <c r="M54" s="8" t="s">
        <v>25</v>
      </c>
      <c r="N54" s="11">
        <v>7.6308110795123296</v>
      </c>
      <c r="O54" s="11">
        <v>52.732959922334103</v>
      </c>
    </row>
    <row r="55" spans="1:15" ht="14.1" customHeight="1">
      <c r="A55" s="23" t="s">
        <v>68</v>
      </c>
      <c r="B55" s="10">
        <v>21566.102872882901</v>
      </c>
      <c r="C55" s="10">
        <v>152800.312091695</v>
      </c>
      <c r="D55" s="11">
        <v>21.618114727889701</v>
      </c>
      <c r="E55" s="12">
        <v>6640.9492585776197</v>
      </c>
      <c r="F55" s="11">
        <v>19.647364970344601</v>
      </c>
      <c r="G55" s="11">
        <v>2.75578873742543</v>
      </c>
      <c r="H55" s="11">
        <v>50.883347659163803</v>
      </c>
      <c r="I55" s="11">
        <v>16.7670974458382</v>
      </c>
      <c r="J55" s="10">
        <v>19332.779758667599</v>
      </c>
      <c r="K55" s="11">
        <v>86.348428693181305</v>
      </c>
      <c r="L55" s="11">
        <v>9.9134366617763501</v>
      </c>
      <c r="M55" s="8" t="s">
        <v>25</v>
      </c>
      <c r="N55" s="11">
        <v>4.9641906909774196</v>
      </c>
      <c r="O55" s="11">
        <v>15.9758598135541</v>
      </c>
    </row>
    <row r="56" spans="1:15" ht="14.1" customHeight="1">
      <c r="A56" s="23" t="s">
        <v>69</v>
      </c>
      <c r="B56" s="10">
        <v>21535.083323975101</v>
      </c>
      <c r="C56" s="10">
        <v>149709.23617401699</v>
      </c>
      <c r="D56" s="11">
        <v>23.085132171815602</v>
      </c>
      <c r="E56" s="12">
        <v>6966.4073661376797</v>
      </c>
      <c r="F56" s="11">
        <v>29.7244193606391</v>
      </c>
      <c r="G56" s="11">
        <v>2.0599188999412199</v>
      </c>
      <c r="H56" s="11">
        <v>44.7958021341124</v>
      </c>
      <c r="I56" s="11">
        <v>28.659009358355501</v>
      </c>
      <c r="J56" s="10">
        <v>19196.309073058801</v>
      </c>
      <c r="K56" s="11">
        <v>92.327958888594495</v>
      </c>
      <c r="L56" s="11">
        <v>13.638237761008</v>
      </c>
      <c r="M56" s="8" t="s">
        <v>25</v>
      </c>
      <c r="N56" s="11">
        <v>6.7492781624060196</v>
      </c>
      <c r="O56" s="11">
        <v>41.243294955904901</v>
      </c>
    </row>
    <row r="57" spans="1:15" ht="14.1" customHeight="1">
      <c r="A57" s="23" t="s">
        <v>70</v>
      </c>
      <c r="B57" s="10">
        <v>12782.9852362363</v>
      </c>
      <c r="C57" s="10">
        <v>151674.11069828301</v>
      </c>
      <c r="D57" s="11">
        <v>41.053341215713502</v>
      </c>
      <c r="E57" s="12">
        <v>20251.006734090599</v>
      </c>
      <c r="F57" s="11">
        <v>24.2543631846968</v>
      </c>
      <c r="G57" s="11">
        <v>2.1687518318095602</v>
      </c>
      <c r="H57" s="11">
        <v>10.761206048914</v>
      </c>
      <c r="I57" s="11">
        <v>209.46786033425801</v>
      </c>
      <c r="J57" s="10">
        <v>18384.172330167799</v>
      </c>
      <c r="K57" s="11">
        <v>90.271241359286705</v>
      </c>
      <c r="L57" s="11">
        <v>18.3714382000265</v>
      </c>
      <c r="M57" s="8">
        <v>2.1052428095741198</v>
      </c>
      <c r="N57" s="11">
        <v>9.3759358086188005</v>
      </c>
      <c r="O57" s="11">
        <v>155.69875875239001</v>
      </c>
    </row>
    <row r="58" spans="1:15" ht="14.1" customHeight="1">
      <c r="A58" s="23" t="s">
        <v>71</v>
      </c>
      <c r="B58" s="10">
        <v>13171.1148854325</v>
      </c>
      <c r="C58" s="10">
        <v>150985.13729615501</v>
      </c>
      <c r="D58" s="11">
        <v>36.317441457425403</v>
      </c>
      <c r="E58" s="12">
        <v>5200.6472356922905</v>
      </c>
      <c r="F58" s="11">
        <v>10.1284673641005</v>
      </c>
      <c r="G58" s="11">
        <v>2.93779923489162</v>
      </c>
      <c r="H58" s="11">
        <v>19.2262290491824</v>
      </c>
      <c r="I58" s="11">
        <v>29.485667421287999</v>
      </c>
      <c r="J58" s="10">
        <v>20735.271368637801</v>
      </c>
      <c r="K58" s="11">
        <v>66.501294167993095</v>
      </c>
      <c r="L58" s="11">
        <v>7.0699366360436899</v>
      </c>
      <c r="M58" s="8" t="s">
        <v>25</v>
      </c>
      <c r="N58" s="11">
        <v>5.4820435747697402</v>
      </c>
      <c r="O58" s="11">
        <v>0.44157453103184102</v>
      </c>
    </row>
    <row r="59" spans="1:15" ht="14.1" customHeight="1">
      <c r="A59" s="23" t="s">
        <v>72</v>
      </c>
      <c r="B59" s="10">
        <v>13246.2418270133</v>
      </c>
      <c r="C59" s="10">
        <v>147094.44534636501</v>
      </c>
      <c r="D59" s="11">
        <v>25.717348620918798</v>
      </c>
      <c r="E59" s="12">
        <v>7098.2251845628198</v>
      </c>
      <c r="F59" s="11">
        <v>6.1390614372719599</v>
      </c>
      <c r="G59" s="11">
        <v>2.1551805172798599</v>
      </c>
      <c r="H59" s="11">
        <v>11.7152035062272</v>
      </c>
      <c r="I59" s="11">
        <v>13.3852359649294</v>
      </c>
      <c r="J59" s="10">
        <v>20265.782762195999</v>
      </c>
      <c r="K59" s="11">
        <v>29.4351064632815</v>
      </c>
      <c r="L59" s="11">
        <v>9.0146288658633793</v>
      </c>
      <c r="M59" s="8">
        <v>0.34683298508086602</v>
      </c>
      <c r="N59" s="11">
        <v>5.04441486710029</v>
      </c>
      <c r="O59" s="11">
        <v>3.0815499617143698</v>
      </c>
    </row>
    <row r="60" spans="1:15" ht="14.1" customHeight="1">
      <c r="A60" s="23" t="s">
        <v>73</v>
      </c>
      <c r="B60" s="10">
        <v>18997.446161069201</v>
      </c>
      <c r="C60" s="10">
        <v>154738.491109272</v>
      </c>
      <c r="D60" s="11">
        <v>19.889128386635999</v>
      </c>
      <c r="E60" s="12">
        <v>8789.79549465534</v>
      </c>
      <c r="F60" s="11">
        <v>12.4316653995552</v>
      </c>
      <c r="G60" s="11">
        <v>1.91471158863105</v>
      </c>
      <c r="H60" s="11">
        <v>37.669128887567297</v>
      </c>
      <c r="I60" s="11">
        <v>30.065933390176301</v>
      </c>
      <c r="J60" s="10">
        <v>20516.800777843899</v>
      </c>
      <c r="K60" s="11">
        <v>81.197567425543099</v>
      </c>
      <c r="L60" s="11">
        <v>15.230387881624599</v>
      </c>
      <c r="M60" s="8" t="s">
        <v>25</v>
      </c>
      <c r="N60" s="11">
        <v>5.4793958502046003</v>
      </c>
      <c r="O60" s="11">
        <v>0.50907347157997995</v>
      </c>
    </row>
    <row r="61" spans="1:15" ht="14.1" customHeight="1">
      <c r="A61" s="23" t="s">
        <v>74</v>
      </c>
      <c r="B61" s="10">
        <v>20232.212195359702</v>
      </c>
      <c r="C61" s="10">
        <v>157347.90940956699</v>
      </c>
      <c r="D61" s="11">
        <v>21.277972313007002</v>
      </c>
      <c r="E61" s="12">
        <v>9308.9775843892803</v>
      </c>
      <c r="F61" s="11">
        <v>26.8654925520555</v>
      </c>
      <c r="G61" s="11">
        <v>2.7893841850541299</v>
      </c>
      <c r="H61" s="11">
        <v>33.856706137823799</v>
      </c>
      <c r="I61" s="11">
        <v>60.870329094222697</v>
      </c>
      <c r="J61" s="10">
        <v>20905.8179812089</v>
      </c>
      <c r="K61" s="11">
        <v>64.8945451478709</v>
      </c>
      <c r="L61" s="11">
        <v>12.171313072208999</v>
      </c>
      <c r="M61" s="8" t="s">
        <v>25</v>
      </c>
      <c r="N61" s="11">
        <v>5.7105718356930897</v>
      </c>
      <c r="O61" s="11">
        <v>0.98100141484092795</v>
      </c>
    </row>
    <row r="62" spans="1:15" ht="14.1" customHeight="1">
      <c r="A62" s="23" t="s">
        <v>75</v>
      </c>
      <c r="B62" s="10">
        <v>18676.827185687001</v>
      </c>
      <c r="C62" s="10">
        <v>152107.14986353199</v>
      </c>
      <c r="D62" s="11">
        <v>18.942982985407401</v>
      </c>
      <c r="E62" s="12">
        <v>5638.4151662812501</v>
      </c>
      <c r="F62" s="11">
        <v>9.6636268762656101</v>
      </c>
      <c r="G62" s="11">
        <v>2.9031342725992202</v>
      </c>
      <c r="H62" s="11">
        <v>38.836444744020604</v>
      </c>
      <c r="I62" s="11">
        <v>31.296316352866999</v>
      </c>
      <c r="J62" s="10">
        <v>20659.803458731101</v>
      </c>
      <c r="K62" s="11">
        <v>77.287294194496596</v>
      </c>
      <c r="L62" s="11">
        <v>3.1336982608492301</v>
      </c>
      <c r="M62" s="8" t="s">
        <v>25</v>
      </c>
      <c r="N62" s="11">
        <v>5.8428290498170101</v>
      </c>
      <c r="O62" s="11">
        <v>3.1820252268530602</v>
      </c>
    </row>
    <row r="63" spans="1:15" ht="14.1" customHeight="1">
      <c r="A63" s="23" t="s">
        <v>76</v>
      </c>
      <c r="B63" s="10">
        <v>12406.2096086323</v>
      </c>
      <c r="C63" s="10">
        <v>157439.162335211</v>
      </c>
      <c r="D63" s="11">
        <v>17.300465622110099</v>
      </c>
      <c r="E63" s="12">
        <v>3040.0950852053402</v>
      </c>
      <c r="F63" s="11">
        <v>14.006448929170199</v>
      </c>
      <c r="G63" s="11">
        <v>2.5162930427936101</v>
      </c>
      <c r="H63" s="11">
        <v>31.814706345768499</v>
      </c>
      <c r="I63" s="11">
        <v>20.720604251095001</v>
      </c>
      <c r="J63" s="10">
        <v>19721.4242177751</v>
      </c>
      <c r="K63" s="11">
        <v>36.326808130243798</v>
      </c>
      <c r="L63" s="11">
        <v>5.75042989266941</v>
      </c>
      <c r="M63" s="8">
        <v>0.55398224214403802</v>
      </c>
      <c r="N63" s="11">
        <v>5.9505514423453398</v>
      </c>
      <c r="O63" s="11">
        <v>2.7543623234495098</v>
      </c>
    </row>
    <row r="64" spans="1:15" ht="14.1" customHeight="1">
      <c r="A64" s="23" t="s">
        <v>77</v>
      </c>
      <c r="B64" s="10">
        <v>17194.675641595601</v>
      </c>
      <c r="C64" s="10">
        <v>151824.366114239</v>
      </c>
      <c r="D64" s="11">
        <v>21.156800105809499</v>
      </c>
      <c r="E64" s="12">
        <v>6510.5339178277</v>
      </c>
      <c r="F64" s="11">
        <v>11.187767187021301</v>
      </c>
      <c r="G64" s="11">
        <v>2.28037140182923</v>
      </c>
      <c r="H64" s="11">
        <v>32.567205410831498</v>
      </c>
      <c r="I64" s="11">
        <v>19.948579822596901</v>
      </c>
      <c r="J64" s="10">
        <v>19957.5827402504</v>
      </c>
      <c r="K64" s="11">
        <v>53.913591926608198</v>
      </c>
      <c r="L64" s="11">
        <v>5.4768201025438996</v>
      </c>
      <c r="M64" s="8" t="s">
        <v>25</v>
      </c>
      <c r="N64" s="11">
        <v>5.83155897215069</v>
      </c>
      <c r="O64" s="11">
        <v>1.6443186220883601</v>
      </c>
    </row>
    <row r="65" spans="1:15" ht="14.1" customHeight="1">
      <c r="A65" s="23" t="s">
        <v>78</v>
      </c>
      <c r="B65" s="10">
        <v>14067.7242257985</v>
      </c>
      <c r="C65" s="10">
        <v>155066.939635452</v>
      </c>
      <c r="D65" s="11">
        <v>16.628622240257101</v>
      </c>
      <c r="E65" s="12">
        <v>4275.3463956410596</v>
      </c>
      <c r="F65" s="11">
        <v>20.204793269498801</v>
      </c>
      <c r="G65" s="11">
        <v>1.97366119030396</v>
      </c>
      <c r="H65" s="11">
        <v>20.6547810368026</v>
      </c>
      <c r="I65" s="11">
        <v>20.548222794068302</v>
      </c>
      <c r="J65" s="10">
        <v>19921.329924289399</v>
      </c>
      <c r="K65" s="11">
        <v>36.2845550189191</v>
      </c>
      <c r="L65" s="11">
        <v>6.5871025093605597</v>
      </c>
      <c r="M65" s="8" t="s">
        <v>25</v>
      </c>
      <c r="N65" s="11">
        <v>5.6517716267587197</v>
      </c>
      <c r="O65" s="11">
        <v>1.99123883523075</v>
      </c>
    </row>
    <row r="66" spans="1:15" ht="14.1" customHeight="1">
      <c r="A66" s="23" t="s">
        <v>79</v>
      </c>
      <c r="B66" s="10">
        <v>19824.106579990101</v>
      </c>
      <c r="C66" s="10">
        <v>151124.105284627</v>
      </c>
      <c r="D66" s="11">
        <v>20.750164839693699</v>
      </c>
      <c r="E66" s="12">
        <v>8230.1109633298092</v>
      </c>
      <c r="F66" s="11">
        <v>7.0042913281582804</v>
      </c>
      <c r="G66" s="11">
        <v>2.0961701761296498</v>
      </c>
      <c r="H66" s="11">
        <v>23.627765082360799</v>
      </c>
      <c r="I66" s="11">
        <v>34.069047910621897</v>
      </c>
      <c r="J66" s="10">
        <v>20079.5451432437</v>
      </c>
      <c r="K66" s="11">
        <v>70.272510223866504</v>
      </c>
      <c r="L66" s="11">
        <v>17.357693383427801</v>
      </c>
      <c r="M66" s="8" t="s">
        <v>25</v>
      </c>
      <c r="N66" s="11">
        <v>5.4256939395994097</v>
      </c>
      <c r="O66" s="11">
        <v>5.9400390026409404</v>
      </c>
    </row>
    <row r="67" spans="1:15" ht="14.1" customHeight="1">
      <c r="A67" s="23" t="s">
        <v>80</v>
      </c>
      <c r="B67" s="10">
        <v>20342.339559464301</v>
      </c>
      <c r="C67" s="10">
        <v>160473.46425323599</v>
      </c>
      <c r="D67" s="11">
        <v>19.449717194880101</v>
      </c>
      <c r="E67" s="12">
        <v>13767.505931112901</v>
      </c>
      <c r="F67" s="11">
        <v>7.96574606232838</v>
      </c>
      <c r="G67" s="11">
        <v>2.3644666499254399</v>
      </c>
      <c r="H67" s="11">
        <v>49.548562694630199</v>
      </c>
      <c r="I67" s="11">
        <v>66.412642447682401</v>
      </c>
      <c r="J67" s="10">
        <v>20872.618448445101</v>
      </c>
      <c r="K67" s="11">
        <v>94.753627148436806</v>
      </c>
      <c r="L67" s="11">
        <v>8.3493252423913198</v>
      </c>
      <c r="M67" s="8" t="s">
        <v>25</v>
      </c>
      <c r="N67" s="11">
        <v>5.4809213916308801</v>
      </c>
      <c r="O67" s="11">
        <v>1.29239542582788</v>
      </c>
    </row>
    <row r="68" spans="1:15" ht="14.1" customHeight="1">
      <c r="A68" s="23" t="s">
        <v>81</v>
      </c>
      <c r="B68" s="10">
        <v>13240.029122875099</v>
      </c>
      <c r="C68" s="10">
        <v>157055.90394145</v>
      </c>
      <c r="D68" s="11">
        <v>23.2122264488893</v>
      </c>
      <c r="E68" s="12">
        <v>3446.1110572716698</v>
      </c>
      <c r="F68" s="11">
        <v>9.2775449115871194</v>
      </c>
      <c r="G68" s="11">
        <v>2.5073284105787699</v>
      </c>
      <c r="H68" s="11">
        <v>20.776568838977401</v>
      </c>
      <c r="I68" s="11">
        <v>24.1226499239114</v>
      </c>
      <c r="J68" s="10">
        <v>20917.383214377802</v>
      </c>
      <c r="K68" s="11">
        <v>35.2451267823253</v>
      </c>
      <c r="L68" s="11">
        <v>4.4692380921780099</v>
      </c>
      <c r="M68" s="8" t="s">
        <v>25</v>
      </c>
      <c r="N68" s="11">
        <v>5.7119070452037803</v>
      </c>
      <c r="O68" s="11">
        <v>0.22416144644169</v>
      </c>
    </row>
    <row r="69" spans="1:15" ht="14.1" customHeight="1">
      <c r="A69" s="23" t="s">
        <v>82</v>
      </c>
      <c r="B69" s="10">
        <v>13714.7503365967</v>
      </c>
      <c r="C69" s="10">
        <v>166617.005620009</v>
      </c>
      <c r="D69" s="11">
        <v>17.418489772795599</v>
      </c>
      <c r="E69" s="12">
        <v>6544.1037603600498</v>
      </c>
      <c r="F69" s="11">
        <v>9.3864715598559894</v>
      </c>
      <c r="G69" s="11">
        <v>2.6564021230676702</v>
      </c>
      <c r="H69" s="11">
        <v>36.644867317028002</v>
      </c>
      <c r="I69" s="11">
        <v>20.490192491217599</v>
      </c>
      <c r="J69" s="10">
        <v>21517.896007860101</v>
      </c>
      <c r="K69" s="11">
        <v>75.3011494247923</v>
      </c>
      <c r="L69" s="11">
        <v>4.1891349190566203</v>
      </c>
      <c r="M69" s="8" t="s">
        <v>25</v>
      </c>
      <c r="N69" s="11">
        <v>4.6146493291117796</v>
      </c>
      <c r="O69" s="11">
        <v>6.4776351953144795E-2</v>
      </c>
    </row>
    <row r="70" spans="1:15" ht="14.1" customHeight="1">
      <c r="A70" s="23" t="s">
        <v>83</v>
      </c>
      <c r="B70" s="10">
        <v>16254.0442628198</v>
      </c>
      <c r="C70" s="10">
        <v>161977.89694728699</v>
      </c>
      <c r="D70" s="11">
        <v>18.024037381255301</v>
      </c>
      <c r="E70" s="12">
        <v>5511.4535919877198</v>
      </c>
      <c r="F70" s="11">
        <v>13.881778021297499</v>
      </c>
      <c r="G70" s="11">
        <v>2.6645170946254702</v>
      </c>
      <c r="H70" s="11">
        <v>28.7406128688684</v>
      </c>
      <c r="I70" s="11">
        <v>46.447321510782103</v>
      </c>
      <c r="J70" s="10">
        <v>20567.449170152198</v>
      </c>
      <c r="K70" s="11">
        <v>70.872414379550406</v>
      </c>
      <c r="L70" s="11">
        <v>10.515356704387701</v>
      </c>
      <c r="M70" s="8" t="s">
        <v>25</v>
      </c>
      <c r="N70" s="11">
        <v>4.6387497598359504</v>
      </c>
      <c r="O70" s="11">
        <v>5.2893312606831298E-2</v>
      </c>
    </row>
    <row r="71" spans="1:15" ht="14.1" customHeight="1">
      <c r="A71" s="24" t="s">
        <v>54</v>
      </c>
      <c r="B71" s="32">
        <f>AVERAGE(B43:B70)</f>
        <v>17549.325318851763</v>
      </c>
      <c r="C71" s="32">
        <f>AVERAGE(C43:C70)</f>
        <v>155029.04799656622</v>
      </c>
      <c r="D71" s="33">
        <f>AVERAGE(D43:D70)</f>
        <v>24.372465631943751</v>
      </c>
      <c r="E71" s="34">
        <f>AVERAGE(E43:E70)</f>
        <v>6350.1892460095887</v>
      </c>
      <c r="F71" s="33">
        <f>AVERAGE(F43:F70)</f>
        <v>16.002222132429015</v>
      </c>
      <c r="G71" s="33">
        <f>AVERAGE(G44:G70)</f>
        <v>2.5718329947168801</v>
      </c>
      <c r="H71" s="33">
        <f>AVERAGE(H43:H70)</f>
        <v>33.290898203927846</v>
      </c>
      <c r="I71" s="33">
        <f>AVERAGE(I43:I70)</f>
        <v>34.503260136977339</v>
      </c>
      <c r="J71" s="32">
        <f>AVERAGE(J43:J70)</f>
        <v>19561.528573950334</v>
      </c>
      <c r="K71" s="33">
        <f>AVERAGE(K43:K70)</f>
        <v>72.809028327338197</v>
      </c>
      <c r="L71" s="33">
        <f>AVERAGE(L43:L70)</f>
        <v>9.8603164462804553</v>
      </c>
      <c r="M71" s="28">
        <f>AVERAGE(M45:M70)</f>
        <v>0.9171922601719531</v>
      </c>
      <c r="N71" s="33">
        <f>AVERAGE(N43:N70)</f>
        <v>5.6316197468568179</v>
      </c>
      <c r="O71" s="33">
        <f>AVERAGE(O43:O70)</f>
        <v>16.785047823534384</v>
      </c>
    </row>
    <row r="72" spans="1:15" ht="14.1" customHeight="1">
      <c r="A72" s="41" t="s">
        <v>84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</row>
    <row r="73" spans="1:15" ht="14.1" customHeight="1">
      <c r="A73" s="18" t="s">
        <v>85</v>
      </c>
      <c r="B73" s="29">
        <v>32262.7344293151</v>
      </c>
      <c r="C73" s="29">
        <v>142326.20226011999</v>
      </c>
      <c r="D73" s="30">
        <v>8.7017436309730503</v>
      </c>
      <c r="E73" s="22">
        <v>564.33520949404101</v>
      </c>
      <c r="F73" s="30">
        <v>6.1436631688266203</v>
      </c>
      <c r="G73" s="30">
        <v>1.5767278884804901</v>
      </c>
      <c r="H73" s="30">
        <v>27.882737127694501</v>
      </c>
      <c r="I73" s="30">
        <v>23.063394658657099</v>
      </c>
      <c r="J73" s="29">
        <v>17921.7582046965</v>
      </c>
      <c r="K73" s="30">
        <v>21.530965664732399</v>
      </c>
      <c r="L73" s="30">
        <v>14.3771009147046</v>
      </c>
      <c r="M73" s="22">
        <v>0.86389581717751696</v>
      </c>
      <c r="N73" s="30">
        <v>7.3682401637709098</v>
      </c>
      <c r="O73" s="30">
        <v>26.888312978543102</v>
      </c>
    </row>
    <row r="74" spans="1:15" ht="14.1" customHeight="1">
      <c r="A74" s="23" t="s">
        <v>86</v>
      </c>
      <c r="B74" s="10">
        <v>30203.717464185102</v>
      </c>
      <c r="C74" s="10">
        <v>137546.045774328</v>
      </c>
      <c r="D74" s="11">
        <v>10.950065285019299</v>
      </c>
      <c r="E74" s="8">
        <v>127.829936691561</v>
      </c>
      <c r="F74" s="11">
        <v>4.4541662732356304</v>
      </c>
      <c r="G74" s="11">
        <v>3.1187321368339398</v>
      </c>
      <c r="H74" s="11">
        <v>26.540971484608502</v>
      </c>
      <c r="I74" s="11">
        <v>21.0392757010456</v>
      </c>
      <c r="J74" s="10">
        <v>17552.432755667101</v>
      </c>
      <c r="K74" s="11">
        <v>19.493780468816599</v>
      </c>
      <c r="L74" s="11">
        <v>8.4273421545074694</v>
      </c>
      <c r="M74" s="8">
        <v>4.2343595372934804</v>
      </c>
      <c r="N74" s="11">
        <v>6.9594293123318698</v>
      </c>
      <c r="O74" s="11">
        <v>100.393168920492</v>
      </c>
    </row>
    <row r="75" spans="1:15" ht="14.1" customHeight="1">
      <c r="A75" s="23" t="s">
        <v>87</v>
      </c>
      <c r="B75" s="10">
        <v>32582.042260349299</v>
      </c>
      <c r="C75" s="10">
        <v>138461.544519441</v>
      </c>
      <c r="D75" s="11">
        <v>5.9365078488714298</v>
      </c>
      <c r="E75" s="8">
        <v>64.929358469321897</v>
      </c>
      <c r="F75" s="11">
        <v>4.9499774953629103</v>
      </c>
      <c r="G75" s="11">
        <v>2.9276663651199302</v>
      </c>
      <c r="H75" s="11">
        <v>34.876323559014899</v>
      </c>
      <c r="I75" s="11">
        <v>12.718737919172799</v>
      </c>
      <c r="J75" s="10">
        <v>17253.5740202372</v>
      </c>
      <c r="K75" s="11">
        <v>24.863948497654199</v>
      </c>
      <c r="L75" s="11">
        <v>8.6772468880863798</v>
      </c>
      <c r="M75" s="8">
        <v>2.0839784871468798</v>
      </c>
      <c r="N75" s="11">
        <v>5.0599173162040696</v>
      </c>
      <c r="O75" s="11">
        <v>32.595116005516999</v>
      </c>
    </row>
    <row r="76" spans="1:15" ht="14.1" customHeight="1">
      <c r="A76" s="23" t="s">
        <v>88</v>
      </c>
      <c r="B76" s="10">
        <v>34035.227594855198</v>
      </c>
      <c r="C76" s="10">
        <v>141857.79653625801</v>
      </c>
      <c r="D76" s="11">
        <v>12.7641832110063</v>
      </c>
      <c r="E76" s="8">
        <v>273.39051061574401</v>
      </c>
      <c r="F76" s="11">
        <v>4.2380810549845096</v>
      </c>
      <c r="G76" s="11">
        <v>2.0272953127459199</v>
      </c>
      <c r="H76" s="11">
        <v>28.806091987153</v>
      </c>
      <c r="I76" s="11">
        <v>13.336512118258399</v>
      </c>
      <c r="J76" s="10">
        <v>17877.9187931054</v>
      </c>
      <c r="K76" s="11">
        <v>27.612881484101798</v>
      </c>
      <c r="L76" s="11">
        <v>13.623505826104701</v>
      </c>
      <c r="M76" s="8">
        <v>1.13359058845681</v>
      </c>
      <c r="N76" s="11">
        <v>4.62593676455029</v>
      </c>
      <c r="O76" s="11">
        <v>53.696715982745701</v>
      </c>
    </row>
    <row r="77" spans="1:15" ht="14.1" customHeight="1">
      <c r="A77" s="23" t="s">
        <v>89</v>
      </c>
      <c r="B77" s="10">
        <v>32965.588262705904</v>
      </c>
      <c r="C77" s="10">
        <v>138272.692018139</v>
      </c>
      <c r="D77" s="11">
        <v>3.3266352164216801</v>
      </c>
      <c r="E77" s="12">
        <v>1098.5903107566801</v>
      </c>
      <c r="F77" s="11">
        <v>6.6289172947857198</v>
      </c>
      <c r="G77" s="11">
        <v>1.8001159185403199</v>
      </c>
      <c r="H77" s="11">
        <v>22.7067750831803</v>
      </c>
      <c r="I77" s="11">
        <v>89.683813223322701</v>
      </c>
      <c r="J77" s="10">
        <v>17865.378975205698</v>
      </c>
      <c r="K77" s="11">
        <v>30.1491266309881</v>
      </c>
      <c r="L77" s="11">
        <v>72.986831830621995</v>
      </c>
      <c r="M77" s="8">
        <v>9.5235285653717607</v>
      </c>
      <c r="N77" s="11">
        <v>4.54582297299131</v>
      </c>
      <c r="O77" s="11">
        <v>22.9853591713326</v>
      </c>
    </row>
    <row r="78" spans="1:15" ht="14.1" customHeight="1">
      <c r="A78" s="23" t="s">
        <v>90</v>
      </c>
      <c r="B78" s="10">
        <v>34468.778910490197</v>
      </c>
      <c r="C78" s="10">
        <v>138266.183822324</v>
      </c>
      <c r="D78" s="11">
        <v>1.05633679699521</v>
      </c>
      <c r="E78" s="12">
        <v>3014.5564764025098</v>
      </c>
      <c r="F78" s="11">
        <v>7.4736150476550902</v>
      </c>
      <c r="G78" s="11">
        <v>1.90713386868047</v>
      </c>
      <c r="H78" s="11">
        <v>28.0725744704026</v>
      </c>
      <c r="I78" s="11">
        <v>267.51125256754602</v>
      </c>
      <c r="J78" s="10">
        <v>18474.8370059025</v>
      </c>
      <c r="K78" s="11">
        <v>25.527299282059602</v>
      </c>
      <c r="L78" s="11">
        <v>12.6588855809036</v>
      </c>
      <c r="M78" s="8">
        <v>23.281759412299301</v>
      </c>
      <c r="N78" s="11">
        <v>4.3397411086240796</v>
      </c>
      <c r="O78" s="35">
        <v>8197.4174251580807</v>
      </c>
    </row>
    <row r="79" spans="1:15" ht="14.1" customHeight="1">
      <c r="A79" s="23" t="s">
        <v>91</v>
      </c>
      <c r="B79" s="10">
        <v>33121.988134506501</v>
      </c>
      <c r="C79" s="10">
        <v>144050.02550276599</v>
      </c>
      <c r="D79" s="11">
        <v>1.95922857345094</v>
      </c>
      <c r="E79" s="12">
        <v>1016.4807878758101</v>
      </c>
      <c r="F79" s="11">
        <v>9.3517589523100799</v>
      </c>
      <c r="G79" s="11">
        <v>2.5968303443362699</v>
      </c>
      <c r="H79" s="11">
        <v>26.581663001111199</v>
      </c>
      <c r="I79" s="11">
        <v>12.6479228726702</v>
      </c>
      <c r="J79" s="10">
        <v>19400.101516937801</v>
      </c>
      <c r="K79" s="11">
        <v>28.2101945640234</v>
      </c>
      <c r="L79" s="11">
        <v>13.331396781627101</v>
      </c>
      <c r="M79" s="8">
        <v>3.9158819994823002</v>
      </c>
      <c r="N79" s="11">
        <v>4.1897394040373896</v>
      </c>
      <c r="O79" s="11">
        <v>76.721837877373801</v>
      </c>
    </row>
    <row r="80" spans="1:15" ht="14.1" customHeight="1">
      <c r="A80" s="23" t="s">
        <v>92</v>
      </c>
      <c r="B80" s="13">
        <v>14916.241728253501</v>
      </c>
      <c r="C80" s="13">
        <v>79957.765655002499</v>
      </c>
      <c r="D80" s="6" t="s">
        <v>25</v>
      </c>
      <c r="E80" s="9">
        <v>83845.589994947295</v>
      </c>
      <c r="F80" s="6">
        <v>28.851297166787401</v>
      </c>
      <c r="G80" s="6">
        <v>2.0515700156749901</v>
      </c>
      <c r="H80" s="6">
        <v>8.9018974976041196</v>
      </c>
      <c r="I80" s="6">
        <v>232.952884973598</v>
      </c>
      <c r="J80" s="13">
        <v>20137.283461901799</v>
      </c>
      <c r="K80" s="6">
        <v>19.683554596612499</v>
      </c>
      <c r="L80" s="6">
        <v>151.87682748551799</v>
      </c>
      <c r="M80" s="8">
        <v>7.3442738432543004</v>
      </c>
      <c r="N80" s="6">
        <v>4.0561413332945104</v>
      </c>
      <c r="O80" s="6">
        <v>71.031069000152002</v>
      </c>
    </row>
    <row r="81" spans="1:15" ht="14.1" customHeight="1">
      <c r="A81" s="23" t="s">
        <v>93</v>
      </c>
      <c r="B81" s="13">
        <v>11037.608452059299</v>
      </c>
      <c r="C81" s="13">
        <v>91612.098010502697</v>
      </c>
      <c r="D81" s="6" t="s">
        <v>25</v>
      </c>
      <c r="E81" s="9">
        <v>92744.246344708503</v>
      </c>
      <c r="F81" s="6">
        <v>28.120817360419199</v>
      </c>
      <c r="G81" s="6">
        <v>1.91651363060624</v>
      </c>
      <c r="H81" s="6">
        <v>11.8584048115309</v>
      </c>
      <c r="I81" s="5">
        <v>1556.85684044237</v>
      </c>
      <c r="J81" s="13">
        <v>19154.2112000575</v>
      </c>
      <c r="K81" s="6">
        <v>20.262442870927899</v>
      </c>
      <c r="L81" s="6">
        <v>132.37325679628199</v>
      </c>
      <c r="M81" s="8">
        <v>5.0334288754641801</v>
      </c>
      <c r="N81" s="6">
        <v>4.2444649345475298</v>
      </c>
      <c r="O81" s="6">
        <v>153.69855520272799</v>
      </c>
    </row>
    <row r="82" spans="1:15" ht="14.1" customHeight="1">
      <c r="A82" s="23" t="s">
        <v>94</v>
      </c>
      <c r="B82" s="13">
        <v>28207.5339072317</v>
      </c>
      <c r="C82" s="13">
        <v>143492.62043490799</v>
      </c>
      <c r="D82" s="6" t="s">
        <v>25</v>
      </c>
      <c r="E82" s="9">
        <v>12200.844976787999</v>
      </c>
      <c r="F82" s="6">
        <v>18.319206897772599</v>
      </c>
      <c r="G82" s="6">
        <v>2.8801095821180902</v>
      </c>
      <c r="H82" s="6">
        <v>22.4789603514261</v>
      </c>
      <c r="I82" s="6">
        <v>49.929292898595698</v>
      </c>
      <c r="J82" s="13">
        <v>20226.906761211099</v>
      </c>
      <c r="K82" s="6">
        <v>26.871520769194198</v>
      </c>
      <c r="L82" s="6">
        <v>48.849888776561599</v>
      </c>
      <c r="M82" s="8">
        <v>5.8964607185090898</v>
      </c>
      <c r="N82" s="6">
        <v>3.1402475440293198</v>
      </c>
      <c r="O82" s="6">
        <v>26.976091747153401</v>
      </c>
    </row>
    <row r="83" spans="1:15" ht="14.1" customHeight="1">
      <c r="A83" s="23" t="s">
        <v>95</v>
      </c>
      <c r="B83" s="13">
        <v>28202.114920415501</v>
      </c>
      <c r="C83" s="13">
        <v>132294.214626806</v>
      </c>
      <c r="D83" s="6" t="s">
        <v>25</v>
      </c>
      <c r="E83" s="9">
        <v>14250.029544463599</v>
      </c>
      <c r="F83" s="6">
        <v>13.397385108112999</v>
      </c>
      <c r="G83" s="6">
        <v>1.9923881126282199</v>
      </c>
      <c r="H83" s="6">
        <v>19.2604518050472</v>
      </c>
      <c r="I83" s="6">
        <v>109.71729598492099</v>
      </c>
      <c r="J83" s="13">
        <v>19208.6650124792</v>
      </c>
      <c r="K83" s="6">
        <v>21.864227856334701</v>
      </c>
      <c r="L83" s="6">
        <v>24.251067977737002</v>
      </c>
      <c r="M83" s="8">
        <v>7.0699913988212399</v>
      </c>
      <c r="N83" s="6">
        <v>4.6318697123214196</v>
      </c>
      <c r="O83" s="6">
        <v>23.637809870473902</v>
      </c>
    </row>
    <row r="84" spans="1:15" ht="14.1" customHeight="1">
      <c r="A84" s="23" t="s">
        <v>96</v>
      </c>
      <c r="B84" s="13">
        <v>30621.108819868299</v>
      </c>
      <c r="C84" s="13">
        <v>139977.585022074</v>
      </c>
      <c r="D84" s="6">
        <v>0.73046455207462102</v>
      </c>
      <c r="E84" s="9">
        <v>2139.6671034567898</v>
      </c>
      <c r="F84" s="6">
        <v>18.8969601372699</v>
      </c>
      <c r="G84" s="6">
        <v>2.0236776744236198</v>
      </c>
      <c r="H84" s="6">
        <v>15.1494281066425</v>
      </c>
      <c r="I84" s="6">
        <v>11.723719569666001</v>
      </c>
      <c r="J84" s="13">
        <v>19076.425109907701</v>
      </c>
      <c r="K84" s="6">
        <v>19.481302483571898</v>
      </c>
      <c r="L84" s="6">
        <v>33.031842173896301</v>
      </c>
      <c r="M84" s="8" t="s">
        <v>25</v>
      </c>
      <c r="N84" s="6">
        <v>4.2528747142891197</v>
      </c>
      <c r="O84" s="6">
        <v>0.96037407647259798</v>
      </c>
    </row>
    <row r="85" spans="1:15" ht="14.1" customHeight="1">
      <c r="A85" s="23" t="s">
        <v>97</v>
      </c>
      <c r="B85" s="13">
        <v>10757.9948170272</v>
      </c>
      <c r="C85" s="13">
        <v>81277.298835333801</v>
      </c>
      <c r="D85" s="6" t="s">
        <v>25</v>
      </c>
      <c r="E85" s="9">
        <v>93633.617801045693</v>
      </c>
      <c r="F85" s="6">
        <v>27.1843407725937</v>
      </c>
      <c r="G85" s="6" t="s">
        <v>25</v>
      </c>
      <c r="H85" s="6">
        <v>12.648175565542299</v>
      </c>
      <c r="I85" s="6">
        <v>194.23158408356301</v>
      </c>
      <c r="J85" s="13">
        <v>19446.946915886499</v>
      </c>
      <c r="K85" s="6">
        <v>16.6417331548673</v>
      </c>
      <c r="L85" s="6">
        <v>27.759690822362</v>
      </c>
      <c r="M85" s="8">
        <v>5.41464653168652</v>
      </c>
      <c r="N85" s="6">
        <v>3.30163717944454</v>
      </c>
      <c r="O85" s="6">
        <v>46.958743938760797</v>
      </c>
    </row>
    <row r="86" spans="1:15" ht="14.1" customHeight="1">
      <c r="A86" s="23" t="s">
        <v>98</v>
      </c>
      <c r="B86" s="13">
        <v>17261.161640580201</v>
      </c>
      <c r="C86" s="13">
        <v>79743.499884039295</v>
      </c>
      <c r="D86" s="6" t="s">
        <v>25</v>
      </c>
      <c r="E86" s="9">
        <v>93719.204632124703</v>
      </c>
      <c r="F86" s="6">
        <v>14.7943557300474</v>
      </c>
      <c r="G86" s="6">
        <v>1.7919671930801799</v>
      </c>
      <c r="H86" s="6">
        <v>13.1276591305051</v>
      </c>
      <c r="I86" s="6">
        <v>181.69134502252999</v>
      </c>
      <c r="J86" s="13">
        <v>18973.825207026999</v>
      </c>
      <c r="K86" s="6">
        <v>16.885378304927901</v>
      </c>
      <c r="L86" s="6">
        <v>19.7303157180806</v>
      </c>
      <c r="M86" s="8">
        <v>10.415176243861501</v>
      </c>
      <c r="N86" s="6">
        <v>3.01517081141388</v>
      </c>
      <c r="O86" s="6">
        <v>109.34719023188801</v>
      </c>
    </row>
    <row r="87" spans="1:15" ht="14.1" customHeight="1">
      <c r="A87" s="23" t="s">
        <v>99</v>
      </c>
      <c r="B87" s="13">
        <v>9644.9986046174199</v>
      </c>
      <c r="C87" s="13">
        <v>83066.898620597305</v>
      </c>
      <c r="D87" s="6" t="s">
        <v>25</v>
      </c>
      <c r="E87" s="9">
        <v>101261.842184255</v>
      </c>
      <c r="F87" s="6">
        <v>31.9846070197427</v>
      </c>
      <c r="G87" s="6">
        <v>2.7590098460580599</v>
      </c>
      <c r="H87" s="6">
        <v>17.6868208357957</v>
      </c>
      <c r="I87" s="6">
        <v>198.249576283679</v>
      </c>
      <c r="J87" s="13">
        <v>18439.617039001201</v>
      </c>
      <c r="K87" s="6">
        <v>20.063755277567999</v>
      </c>
      <c r="L87" s="6">
        <v>58.723668112874797</v>
      </c>
      <c r="M87" s="8">
        <v>3.3160699276219598</v>
      </c>
      <c r="N87" s="6">
        <v>2.8726664791956802</v>
      </c>
      <c r="O87" s="6">
        <v>287.652531482982</v>
      </c>
    </row>
    <row r="88" spans="1:15" ht="14.1" customHeight="1">
      <c r="A88" s="24" t="s">
        <v>54</v>
      </c>
      <c r="B88" s="36">
        <f t="shared" ref="B88:O88" si="1">AVERAGE(B73:B87)</f>
        <v>25352.589329764025</v>
      </c>
      <c r="C88" s="36">
        <f t="shared" si="1"/>
        <v>120813.49810150934</v>
      </c>
      <c r="D88" s="26">
        <f t="shared" si="1"/>
        <v>5.6781456393515661</v>
      </c>
      <c r="E88" s="27">
        <f t="shared" si="1"/>
        <v>33330.343678139689</v>
      </c>
      <c r="F88" s="26">
        <f t="shared" si="1"/>
        <v>14.98594329866043</v>
      </c>
      <c r="G88" s="26">
        <f t="shared" si="1"/>
        <v>2.2406955635233383</v>
      </c>
      <c r="H88" s="26">
        <f t="shared" si="1"/>
        <v>21.105262321150594</v>
      </c>
      <c r="I88" s="26">
        <f t="shared" si="1"/>
        <v>198.35689655463969</v>
      </c>
      <c r="J88" s="36">
        <f t="shared" si="1"/>
        <v>18733.992131948282</v>
      </c>
      <c r="K88" s="26">
        <f t="shared" si="1"/>
        <v>22.609474127092035</v>
      </c>
      <c r="L88" s="26">
        <f t="shared" si="1"/>
        <v>42.711924522657881</v>
      </c>
      <c r="M88" s="28">
        <f t="shared" si="1"/>
        <v>6.3947887104604879</v>
      </c>
      <c r="N88" s="26">
        <f t="shared" si="1"/>
        <v>4.4402599834030623</v>
      </c>
      <c r="O88" s="26">
        <f t="shared" si="1"/>
        <v>615.39735344297981</v>
      </c>
    </row>
    <row r="89" spans="1:15" ht="14.1" customHeight="1">
      <c r="A89" s="41" t="s">
        <v>100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</row>
    <row r="90" spans="1:15" ht="14.1" customHeight="1">
      <c r="A90" s="18" t="s">
        <v>101</v>
      </c>
      <c r="B90" s="37">
        <v>11856.818870872999</v>
      </c>
      <c r="C90" s="37">
        <v>107636.407059091</v>
      </c>
      <c r="D90" s="20" t="s">
        <v>25</v>
      </c>
      <c r="E90" s="21">
        <v>634.23024434184595</v>
      </c>
      <c r="F90" s="20">
        <v>38.420643299528798</v>
      </c>
      <c r="G90" s="20">
        <v>1.7248694422210999</v>
      </c>
      <c r="H90" s="20">
        <v>10.6632776186387</v>
      </c>
      <c r="I90" s="20">
        <v>3.4979397321627901</v>
      </c>
      <c r="J90" s="37">
        <v>16907.022410735299</v>
      </c>
      <c r="K90" s="20">
        <v>24.5086864757548</v>
      </c>
      <c r="L90" s="20">
        <v>69.536672087021799</v>
      </c>
      <c r="M90" s="22" t="s">
        <v>25</v>
      </c>
      <c r="N90" s="20">
        <v>4.33937945217418</v>
      </c>
      <c r="O90" s="20" t="s">
        <v>25</v>
      </c>
    </row>
    <row r="91" spans="1:15" ht="14.1" customHeight="1">
      <c r="A91" s="23" t="s">
        <v>102</v>
      </c>
      <c r="B91" s="13">
        <v>12229.882986046799</v>
      </c>
      <c r="C91" s="13">
        <v>103468.267633966</v>
      </c>
      <c r="D91" s="6">
        <v>0.73182280142643896</v>
      </c>
      <c r="E91" s="9">
        <v>1400.5158059993601</v>
      </c>
      <c r="F91" s="6">
        <v>13.8250110905398</v>
      </c>
      <c r="G91" s="6">
        <v>1.9916274135520899</v>
      </c>
      <c r="H91" s="6">
        <v>6.3249876963426397</v>
      </c>
      <c r="I91" s="6">
        <v>6.3522299719813002</v>
      </c>
      <c r="J91" s="13">
        <v>16962.4889535123</v>
      </c>
      <c r="K91" s="6">
        <v>8.7426550005412107</v>
      </c>
      <c r="L91" s="6">
        <v>7.96443619250861</v>
      </c>
      <c r="M91" s="8" t="s">
        <v>25</v>
      </c>
      <c r="N91" s="6">
        <v>4.1472892110758401</v>
      </c>
      <c r="O91" s="6">
        <v>0.12170366851627799</v>
      </c>
    </row>
    <row r="92" spans="1:15" ht="14.1" customHeight="1">
      <c r="A92" s="23" t="s">
        <v>103</v>
      </c>
      <c r="B92" s="13">
        <v>12091.1189878309</v>
      </c>
      <c r="C92" s="13">
        <v>120395.604783508</v>
      </c>
      <c r="D92" s="6">
        <v>1.19323746958905</v>
      </c>
      <c r="E92" s="9">
        <v>3627.2776696802498</v>
      </c>
      <c r="F92" s="6">
        <v>9.67972831688264</v>
      </c>
      <c r="G92" s="6">
        <v>1.9921293991853</v>
      </c>
      <c r="H92" s="6">
        <v>7.1858244050093099</v>
      </c>
      <c r="I92" s="6">
        <v>28.265931635725099</v>
      </c>
      <c r="J92" s="13">
        <v>18767.050728922601</v>
      </c>
      <c r="K92" s="6">
        <v>7.7683534086917598</v>
      </c>
      <c r="L92" s="6">
        <v>57.213295275705299</v>
      </c>
      <c r="M92" s="8">
        <v>19.137580759597402</v>
      </c>
      <c r="N92" s="6">
        <v>4.5078497401842803</v>
      </c>
      <c r="O92" s="6">
        <v>6.3159501158013596</v>
      </c>
    </row>
    <row r="93" spans="1:15" ht="14.1" customHeight="1">
      <c r="A93" s="23" t="s">
        <v>104</v>
      </c>
      <c r="B93" s="13">
        <v>10937.955678447801</v>
      </c>
      <c r="C93" s="13">
        <v>104865.607638071</v>
      </c>
      <c r="D93" s="6" t="s">
        <v>25</v>
      </c>
      <c r="E93" s="9">
        <v>6860.5803205883603</v>
      </c>
      <c r="F93" s="6">
        <v>13.7093756337326</v>
      </c>
      <c r="G93" s="6">
        <v>1.37276081816247</v>
      </c>
      <c r="H93" s="6">
        <v>14.2767699601517</v>
      </c>
      <c r="I93" s="6">
        <v>64.805451477100803</v>
      </c>
      <c r="J93" s="13">
        <v>17412.355212001301</v>
      </c>
      <c r="K93" s="6">
        <v>18.867571082670899</v>
      </c>
      <c r="L93" s="6">
        <v>55.0429112178822</v>
      </c>
      <c r="M93" s="8">
        <v>12.9547011990207</v>
      </c>
      <c r="N93" s="6">
        <v>4.7462157165090098</v>
      </c>
      <c r="O93" s="6">
        <v>16.234788555644599</v>
      </c>
    </row>
    <row r="94" spans="1:15" ht="14.1" customHeight="1">
      <c r="A94" s="23" t="s">
        <v>105</v>
      </c>
      <c r="B94" s="13">
        <v>11815.056672824499</v>
      </c>
      <c r="C94" s="13">
        <v>105587.887621715</v>
      </c>
      <c r="D94" s="6" t="s">
        <v>25</v>
      </c>
      <c r="E94" s="9">
        <v>1465.09315881458</v>
      </c>
      <c r="F94" s="6">
        <v>18.402227919217601</v>
      </c>
      <c r="G94" s="6">
        <v>2.1549409537952502</v>
      </c>
      <c r="H94" s="6" t="s">
        <v>25</v>
      </c>
      <c r="I94" s="6">
        <v>16.293068057016399</v>
      </c>
      <c r="J94" s="13">
        <v>17191.7673287619</v>
      </c>
      <c r="K94" s="6">
        <v>10.6574334539622</v>
      </c>
      <c r="L94" s="6">
        <v>15.9249213687549</v>
      </c>
      <c r="M94" s="8" t="s">
        <v>25</v>
      </c>
      <c r="N94" s="6">
        <v>4.2182502666544801</v>
      </c>
      <c r="O94" s="6">
        <v>0.38450524423669802</v>
      </c>
    </row>
    <row r="95" spans="1:15" ht="14.1" customHeight="1">
      <c r="A95" s="23" t="s">
        <v>106</v>
      </c>
      <c r="B95" s="13">
        <v>11460.0895741024</v>
      </c>
      <c r="C95" s="13">
        <v>116954.21418100801</v>
      </c>
      <c r="D95" s="6" t="s">
        <v>25</v>
      </c>
      <c r="E95" s="9">
        <v>3578.3479888112302</v>
      </c>
      <c r="F95" s="6">
        <v>11.9045856279203</v>
      </c>
      <c r="G95" s="6">
        <v>1.37671769107227</v>
      </c>
      <c r="H95" s="6" t="s">
        <v>25</v>
      </c>
      <c r="I95" s="6">
        <v>19.104673310661099</v>
      </c>
      <c r="J95" s="13">
        <v>17818.722985081498</v>
      </c>
      <c r="K95" s="6">
        <v>6.4478031367640396</v>
      </c>
      <c r="L95" s="6">
        <v>16.896732016208102</v>
      </c>
      <c r="M95" s="8" t="s">
        <v>25</v>
      </c>
      <c r="N95" s="6">
        <v>3.9423963313696699</v>
      </c>
      <c r="O95" s="6">
        <v>1.66409029304852</v>
      </c>
    </row>
    <row r="96" spans="1:15" ht="14.1" customHeight="1">
      <c r="A96" s="23" t="s">
        <v>107</v>
      </c>
      <c r="B96" s="13">
        <v>12722.7209416599</v>
      </c>
      <c r="C96" s="13">
        <v>101730.73095690399</v>
      </c>
      <c r="D96" s="6" t="s">
        <v>25</v>
      </c>
      <c r="E96" s="9">
        <v>2392.63197637232</v>
      </c>
      <c r="F96" s="6">
        <v>26.147748777709499</v>
      </c>
      <c r="G96" s="6">
        <v>1.91075432198346</v>
      </c>
      <c r="H96" s="6">
        <v>6.6291058295347796</v>
      </c>
      <c r="I96" s="6">
        <v>34.119991877103701</v>
      </c>
      <c r="J96" s="13">
        <v>17258.296720043701</v>
      </c>
      <c r="K96" s="6">
        <v>12.383722129855</v>
      </c>
      <c r="L96" s="6">
        <v>99.014249411583606</v>
      </c>
      <c r="M96" s="8">
        <v>23.245978254457601</v>
      </c>
      <c r="N96" s="6">
        <v>4.4199190511672599</v>
      </c>
      <c r="O96" s="6">
        <v>22.133962044418801</v>
      </c>
    </row>
    <row r="97" spans="1:15" ht="14.1" customHeight="1">
      <c r="A97" s="23" t="s">
        <v>108</v>
      </c>
      <c r="B97" s="13">
        <v>11289.865764230601</v>
      </c>
      <c r="C97" s="13">
        <v>99695.7539666745</v>
      </c>
      <c r="D97" s="6" t="s">
        <v>25</v>
      </c>
      <c r="E97" s="9">
        <v>1054.71480009226</v>
      </c>
      <c r="F97" s="6">
        <v>27.715445619301502</v>
      </c>
      <c r="G97" s="6">
        <v>1.7550226580271</v>
      </c>
      <c r="H97" s="6">
        <v>8.7333901093507205</v>
      </c>
      <c r="I97" s="6">
        <v>14.3297116953018</v>
      </c>
      <c r="J97" s="13">
        <v>17205.2527789987</v>
      </c>
      <c r="K97" s="6">
        <v>13.761997823532999</v>
      </c>
      <c r="L97" s="6">
        <v>20.289541244609399</v>
      </c>
      <c r="M97" s="8">
        <v>0.29150688918734602</v>
      </c>
      <c r="N97" s="6">
        <v>4.9338370081411602</v>
      </c>
      <c r="O97" s="6">
        <v>6.4547453723347896</v>
      </c>
    </row>
    <row r="98" spans="1:15" ht="14.1" customHeight="1">
      <c r="A98" s="23" t="s">
        <v>109</v>
      </c>
      <c r="B98" s="13">
        <v>12113.9184588148</v>
      </c>
      <c r="C98" s="13">
        <v>102081.25926499</v>
      </c>
      <c r="D98" s="6" t="s">
        <v>25</v>
      </c>
      <c r="E98" s="7">
        <v>897.021401262425</v>
      </c>
      <c r="F98" s="6">
        <v>25.506387696005799</v>
      </c>
      <c r="G98" s="6">
        <v>1.59290660110688</v>
      </c>
      <c r="H98" s="6">
        <v>10.0617764729702</v>
      </c>
      <c r="I98" s="6">
        <v>13.5500783632052</v>
      </c>
      <c r="J98" s="13">
        <v>17074.211884002601</v>
      </c>
      <c r="K98" s="6">
        <v>11.5261184755072</v>
      </c>
      <c r="L98" s="6">
        <v>28.188425031433201</v>
      </c>
      <c r="M98" s="8">
        <v>4.7290955706258497</v>
      </c>
      <c r="N98" s="6">
        <v>5.11288700649974</v>
      </c>
      <c r="O98" s="6">
        <v>2.3225857971043902</v>
      </c>
    </row>
    <row r="99" spans="1:15" ht="14.1" customHeight="1">
      <c r="A99" s="23" t="s">
        <v>110</v>
      </c>
      <c r="B99" s="13">
        <v>9814.1743261755691</v>
      </c>
      <c r="C99" s="13">
        <v>77725.391306526697</v>
      </c>
      <c r="D99" s="6" t="s">
        <v>25</v>
      </c>
      <c r="E99" s="7">
        <v>965.64525627579405</v>
      </c>
      <c r="F99" s="6">
        <v>18.038105929928498</v>
      </c>
      <c r="G99" s="6">
        <v>1.0689602112340599</v>
      </c>
      <c r="H99" s="6">
        <v>6.0836736823580901</v>
      </c>
      <c r="I99" s="6">
        <v>15.3016598315807</v>
      </c>
      <c r="J99" s="13">
        <v>15330.181867343401</v>
      </c>
      <c r="K99" s="6">
        <v>13.684023418032</v>
      </c>
      <c r="L99" s="6">
        <v>13.4001169757661</v>
      </c>
      <c r="M99" s="8">
        <v>0.59521350862976596</v>
      </c>
      <c r="N99" s="6">
        <v>5.16468576673486</v>
      </c>
      <c r="O99" s="6">
        <v>7.46755809783971</v>
      </c>
    </row>
    <row r="100" spans="1:15" ht="14.1" customHeight="1">
      <c r="A100" s="23" t="s">
        <v>111</v>
      </c>
      <c r="B100" s="13">
        <v>12442.9006982186</v>
      </c>
      <c r="C100" s="13">
        <v>83349.456545746099</v>
      </c>
      <c r="D100" s="6" t="s">
        <v>25</v>
      </c>
      <c r="E100" s="7">
        <v>839.51064732332202</v>
      </c>
      <c r="F100" s="6">
        <v>15.3708372586918</v>
      </c>
      <c r="G100" s="6">
        <v>1.7348244039027301</v>
      </c>
      <c r="H100" s="6" t="s">
        <v>25</v>
      </c>
      <c r="I100" s="6">
        <v>13.6604819032738</v>
      </c>
      <c r="J100" s="13">
        <v>16168.350818831501</v>
      </c>
      <c r="K100" s="6">
        <v>8.4592610949142593</v>
      </c>
      <c r="L100" s="6">
        <v>11.951978424181799</v>
      </c>
      <c r="M100" s="8">
        <v>1.53404913019019</v>
      </c>
      <c r="N100" s="6">
        <v>5.1699760882535504</v>
      </c>
      <c r="O100" s="6">
        <v>3.70311115562785</v>
      </c>
    </row>
    <row r="101" spans="1:15" ht="14.1" customHeight="1">
      <c r="A101" s="23" t="s">
        <v>112</v>
      </c>
      <c r="B101" s="13">
        <v>10775.431224123</v>
      </c>
      <c r="C101" s="13">
        <v>108386.41860806099</v>
      </c>
      <c r="D101" s="6" t="s">
        <v>25</v>
      </c>
      <c r="E101" s="9">
        <v>4177.4931393527404</v>
      </c>
      <c r="F101" s="6">
        <v>11.708547695130299</v>
      </c>
      <c r="G101" s="6" t="s">
        <v>25</v>
      </c>
      <c r="H101" s="6" t="s">
        <v>25</v>
      </c>
      <c r="I101" s="6">
        <v>8.1887669662364804</v>
      </c>
      <c r="J101" s="13">
        <v>15475.4185863891</v>
      </c>
      <c r="K101" s="6">
        <v>13.8495789734563</v>
      </c>
      <c r="L101" s="6">
        <v>23.317168290870502</v>
      </c>
      <c r="M101" s="8">
        <v>2.2555129215842</v>
      </c>
      <c r="N101" s="6">
        <v>5.7814621089952603</v>
      </c>
      <c r="O101" s="6">
        <v>1.9258790522995499</v>
      </c>
    </row>
    <row r="102" spans="1:15" ht="14.1" customHeight="1">
      <c r="A102" s="23" t="s">
        <v>113</v>
      </c>
      <c r="B102" s="13">
        <v>11224.7837112385</v>
      </c>
      <c r="C102" s="13">
        <v>113612.385929204</v>
      </c>
      <c r="D102" s="6" t="s">
        <v>25</v>
      </c>
      <c r="E102" s="9">
        <v>2061.5575754230999</v>
      </c>
      <c r="F102" s="6">
        <v>13.265647004870999</v>
      </c>
      <c r="G102" s="6" t="s">
        <v>25</v>
      </c>
      <c r="H102" s="6" t="s">
        <v>25</v>
      </c>
      <c r="I102" s="6">
        <v>3.4556799406752701</v>
      </c>
      <c r="J102" s="13">
        <v>16486.659451858999</v>
      </c>
      <c r="K102" s="6">
        <v>4.39549506884293</v>
      </c>
      <c r="L102" s="6">
        <v>8.5164872159117095</v>
      </c>
      <c r="M102" s="8">
        <v>0.31267245476608901</v>
      </c>
      <c r="N102" s="6">
        <v>5.8515917315496297</v>
      </c>
      <c r="O102" s="6">
        <v>1.0187528930301</v>
      </c>
    </row>
    <row r="103" spans="1:15" ht="14.1" customHeight="1">
      <c r="A103" s="23" t="s">
        <v>114</v>
      </c>
      <c r="B103" s="13">
        <v>13982.6881198348</v>
      </c>
      <c r="C103" s="13">
        <v>92613.115945079699</v>
      </c>
      <c r="D103" s="6" t="s">
        <v>25</v>
      </c>
      <c r="E103" s="7">
        <v>203.10100937373801</v>
      </c>
      <c r="F103" s="6">
        <v>22.412517268519299</v>
      </c>
      <c r="G103" s="6" t="s">
        <v>25</v>
      </c>
      <c r="H103" s="6" t="s">
        <v>25</v>
      </c>
      <c r="I103" s="6">
        <v>0.738789764948943</v>
      </c>
      <c r="J103" s="13">
        <v>15733.3189278722</v>
      </c>
      <c r="K103" s="6">
        <v>11.250948364983101</v>
      </c>
      <c r="L103" s="6">
        <v>35.378960389097898</v>
      </c>
      <c r="M103" s="8" t="s">
        <v>25</v>
      </c>
      <c r="N103" s="6">
        <v>5.8897878222534903</v>
      </c>
      <c r="O103" s="6" t="s">
        <v>25</v>
      </c>
    </row>
    <row r="104" spans="1:15" ht="14.1" customHeight="1">
      <c r="A104" s="23" t="s">
        <v>115</v>
      </c>
      <c r="B104" s="13">
        <v>16571.083915946801</v>
      </c>
      <c r="C104" s="13">
        <v>105127.549962023</v>
      </c>
      <c r="D104" s="6" t="s">
        <v>25</v>
      </c>
      <c r="E104" s="9">
        <v>2077.2672773583299</v>
      </c>
      <c r="F104" s="6">
        <v>22.897086772987802</v>
      </c>
      <c r="G104" s="6">
        <v>1.5232756246978201</v>
      </c>
      <c r="H104" s="6">
        <v>9.1542461985907693</v>
      </c>
      <c r="I104" s="6">
        <v>23.8826190372769</v>
      </c>
      <c r="J104" s="13">
        <v>16379.233264872801</v>
      </c>
      <c r="K104" s="6">
        <v>7.1315718532991204</v>
      </c>
      <c r="L104" s="6">
        <v>32.028851121385799</v>
      </c>
      <c r="M104" s="8">
        <v>26.173102233208301</v>
      </c>
      <c r="N104" s="6">
        <v>6.0316500117923004</v>
      </c>
      <c r="O104" s="6">
        <v>6.6800081423074902</v>
      </c>
    </row>
    <row r="105" spans="1:15" ht="14.1" customHeight="1">
      <c r="A105" s="23" t="s">
        <v>116</v>
      </c>
      <c r="B105" s="13">
        <v>13088.7827282506</v>
      </c>
      <c r="C105" s="13">
        <v>116447.778387424</v>
      </c>
      <c r="D105" s="6" t="s">
        <v>25</v>
      </c>
      <c r="E105" s="9">
        <v>4426.0914138036096</v>
      </c>
      <c r="F105" s="6">
        <v>21.257211630554199</v>
      </c>
      <c r="G105" s="6">
        <v>2.2280261757991799</v>
      </c>
      <c r="H105" s="6" t="s">
        <v>25</v>
      </c>
      <c r="I105" s="6">
        <v>12.4661148468401</v>
      </c>
      <c r="J105" s="13">
        <v>16758.440697205999</v>
      </c>
      <c r="K105" s="6">
        <v>8.2035820182823898</v>
      </c>
      <c r="L105" s="6">
        <v>32.723550854824701</v>
      </c>
      <c r="M105" s="8">
        <v>11.526482735482301</v>
      </c>
      <c r="N105" s="6">
        <v>4.9172054738107498</v>
      </c>
      <c r="O105" s="6">
        <v>14.6829056543001</v>
      </c>
    </row>
    <row r="106" spans="1:15" ht="14.1" customHeight="1">
      <c r="A106" s="23" t="s">
        <v>117</v>
      </c>
      <c r="B106" s="13">
        <v>12837.672562014401</v>
      </c>
      <c r="C106" s="13">
        <v>98426.819334858694</v>
      </c>
      <c r="D106" s="6" t="s">
        <v>25</v>
      </c>
      <c r="E106" s="7">
        <v>276.35992815599099</v>
      </c>
      <c r="F106" s="6">
        <v>22.004487408419099</v>
      </c>
      <c r="G106" s="6">
        <v>1.7319665367439501</v>
      </c>
      <c r="H106" s="6">
        <v>10.8759033693118</v>
      </c>
      <c r="I106" s="6">
        <v>0.77865609005516401</v>
      </c>
      <c r="J106" s="13">
        <v>15405.4196627482</v>
      </c>
      <c r="K106" s="6">
        <v>10.0417248635239</v>
      </c>
      <c r="L106" s="6">
        <v>11.493253042525801</v>
      </c>
      <c r="M106" s="8" t="s">
        <v>25</v>
      </c>
      <c r="N106" s="6">
        <v>5.6845646382681601</v>
      </c>
      <c r="O106" s="6">
        <v>0.14166681536116199</v>
      </c>
    </row>
    <row r="107" spans="1:15" ht="14.1" customHeight="1">
      <c r="A107" s="23" t="s">
        <v>118</v>
      </c>
      <c r="B107" s="13">
        <v>11914.6235075971</v>
      </c>
      <c r="C107" s="13">
        <v>115780.75184794801</v>
      </c>
      <c r="D107" s="6">
        <v>4.5711787177609304</v>
      </c>
      <c r="E107" s="9">
        <v>20954.152111698499</v>
      </c>
      <c r="F107" s="6">
        <v>9.3490558835973996</v>
      </c>
      <c r="G107" s="6" t="s">
        <v>25</v>
      </c>
      <c r="H107" s="6">
        <v>13.617907345464699</v>
      </c>
      <c r="I107" s="6">
        <v>85.7724653767593</v>
      </c>
      <c r="J107" s="13">
        <v>19258.083198926801</v>
      </c>
      <c r="K107" s="6">
        <v>9.3636137043297492</v>
      </c>
      <c r="L107" s="6">
        <v>62.089015729295802</v>
      </c>
      <c r="M107" s="8">
        <v>45.809825409796701</v>
      </c>
      <c r="N107" s="6">
        <v>4.7113090136669298</v>
      </c>
      <c r="O107" s="6">
        <v>26.853398881454201</v>
      </c>
    </row>
    <row r="108" spans="1:15" ht="14.1" customHeight="1">
      <c r="A108" s="23" t="s">
        <v>119</v>
      </c>
      <c r="B108" s="13">
        <v>13920.466514991</v>
      </c>
      <c r="C108" s="13">
        <v>117896.066968933</v>
      </c>
      <c r="D108" s="6">
        <v>0.87839162755678402</v>
      </c>
      <c r="E108" s="7">
        <v>804.829274202536</v>
      </c>
      <c r="F108" s="6">
        <v>15.450129137668799</v>
      </c>
      <c r="G108" s="6">
        <v>1.61427618130551</v>
      </c>
      <c r="H108" s="6">
        <v>16.539289073091101</v>
      </c>
      <c r="I108" s="6">
        <v>10.608657095291001</v>
      </c>
      <c r="J108" s="13">
        <v>17126.933192771699</v>
      </c>
      <c r="K108" s="6">
        <v>17.425636776472999</v>
      </c>
      <c r="L108" s="6">
        <v>18.660820936943601</v>
      </c>
      <c r="M108" s="8">
        <v>4.1842426057969</v>
      </c>
      <c r="N108" s="6">
        <v>5.7483656308382303</v>
      </c>
      <c r="O108" s="6">
        <v>1.00357768343265</v>
      </c>
    </row>
    <row r="109" spans="1:15" ht="14.1" customHeight="1">
      <c r="A109" s="23" t="s">
        <v>120</v>
      </c>
      <c r="B109" s="13">
        <v>9102.8820351107206</v>
      </c>
      <c r="C109" s="13">
        <v>123672.33055887</v>
      </c>
      <c r="D109" s="6">
        <v>7.6208050903447599</v>
      </c>
      <c r="E109" s="9">
        <v>3215.9584422267098</v>
      </c>
      <c r="F109" s="6">
        <v>9.3896059255390991</v>
      </c>
      <c r="G109" s="6" t="s">
        <v>25</v>
      </c>
      <c r="H109" s="6">
        <v>31.5674009578536</v>
      </c>
      <c r="I109" s="6">
        <v>11.557231603726899</v>
      </c>
      <c r="J109" s="13">
        <v>18208.774410186401</v>
      </c>
      <c r="K109" s="6">
        <v>12.6741447766259</v>
      </c>
      <c r="L109" s="6">
        <v>9.5915208164437402</v>
      </c>
      <c r="M109" s="8" t="s">
        <v>25</v>
      </c>
      <c r="N109" s="6">
        <v>4.9662138054732399</v>
      </c>
      <c r="O109" s="6">
        <v>0.78481303170561501</v>
      </c>
    </row>
    <row r="110" spans="1:15" ht="14.1" customHeight="1">
      <c r="A110" s="23" t="s">
        <v>121</v>
      </c>
      <c r="B110" s="13">
        <v>12378.648283521399</v>
      </c>
      <c r="C110" s="13">
        <v>105758.72264499099</v>
      </c>
      <c r="D110" s="6">
        <v>0.94111202789696202</v>
      </c>
      <c r="E110" s="7">
        <v>914.39027099692498</v>
      </c>
      <c r="F110" s="6">
        <v>17.063579240701799</v>
      </c>
      <c r="G110" s="6" t="s">
        <v>25</v>
      </c>
      <c r="H110" s="6">
        <v>9.5426150139314192</v>
      </c>
      <c r="I110" s="6">
        <v>11.716221531252099</v>
      </c>
      <c r="J110" s="13">
        <v>16011.819170680399</v>
      </c>
      <c r="K110" s="6">
        <v>12.6832625802184</v>
      </c>
      <c r="L110" s="6">
        <v>9.8166083480258894</v>
      </c>
      <c r="M110" s="8">
        <v>2.06336148706592</v>
      </c>
      <c r="N110" s="6">
        <v>4.9324321346270104</v>
      </c>
      <c r="O110" s="6">
        <v>1.44216178483399</v>
      </c>
    </row>
    <row r="111" spans="1:15" ht="14.1" customHeight="1">
      <c r="A111" s="23" t="s">
        <v>122</v>
      </c>
      <c r="B111" s="13">
        <v>11639.611143402</v>
      </c>
      <c r="C111" s="13">
        <v>107280.648849637</v>
      </c>
      <c r="D111" s="6">
        <v>1.57581658656913</v>
      </c>
      <c r="E111" s="9">
        <v>3113.1557397710399</v>
      </c>
      <c r="F111" s="6">
        <v>26.806584367386499</v>
      </c>
      <c r="G111" s="6" t="s">
        <v>25</v>
      </c>
      <c r="H111" s="6" t="s">
        <v>25</v>
      </c>
      <c r="I111" s="6">
        <v>13.3103952690591</v>
      </c>
      <c r="J111" s="13">
        <v>16374.1615947215</v>
      </c>
      <c r="K111" s="6">
        <v>12.7734791868996</v>
      </c>
      <c r="L111" s="6">
        <v>15.6759175773553</v>
      </c>
      <c r="M111" s="8">
        <v>0.47655531576448501</v>
      </c>
      <c r="N111" s="6">
        <v>4.90855146993818</v>
      </c>
      <c r="O111" s="6">
        <v>1.5957371426767399</v>
      </c>
    </row>
    <row r="112" spans="1:15" ht="14.1" customHeight="1">
      <c r="A112" s="23" t="s">
        <v>123</v>
      </c>
      <c r="B112" s="13">
        <v>11880.2078287042</v>
      </c>
      <c r="C112" s="13">
        <v>102631.58981195099</v>
      </c>
      <c r="D112" s="6">
        <v>0.87195774951239702</v>
      </c>
      <c r="E112" s="9">
        <v>6328.9676161833304</v>
      </c>
      <c r="F112" s="6">
        <v>18.454084173814302</v>
      </c>
      <c r="G112" s="6">
        <v>1.93017494571517</v>
      </c>
      <c r="H112" s="6">
        <v>8.1176665383551896</v>
      </c>
      <c r="I112" s="6">
        <v>24.849089520337898</v>
      </c>
      <c r="J112" s="13">
        <v>16501.148622246601</v>
      </c>
      <c r="K112" s="6">
        <v>11.9523415185741</v>
      </c>
      <c r="L112" s="6">
        <v>22.551378714549799</v>
      </c>
      <c r="M112" s="8">
        <v>21.084659177508101</v>
      </c>
      <c r="N112" s="6">
        <v>5.4043556822339696</v>
      </c>
      <c r="O112" s="6">
        <v>8.2552079507314104</v>
      </c>
    </row>
    <row r="113" spans="1:15" ht="14.1" customHeight="1">
      <c r="A113" s="23" t="s">
        <v>124</v>
      </c>
      <c r="B113" s="13">
        <v>11298.6240543363</v>
      </c>
      <c r="C113" s="13">
        <v>110584.962995536</v>
      </c>
      <c r="D113" s="6" t="s">
        <v>25</v>
      </c>
      <c r="E113" s="9">
        <v>2101.69541602546</v>
      </c>
      <c r="F113" s="6">
        <v>19.319130932069701</v>
      </c>
      <c r="G113" s="6">
        <v>2.53586450114955</v>
      </c>
      <c r="H113" s="6" t="s">
        <v>25</v>
      </c>
      <c r="I113" s="6">
        <v>17.600189376040099</v>
      </c>
      <c r="J113" s="13">
        <v>16460.682370595699</v>
      </c>
      <c r="K113" s="6">
        <v>14.201011849929101</v>
      </c>
      <c r="L113" s="6">
        <v>39.875564208416598</v>
      </c>
      <c r="M113" s="8">
        <v>18.113221172809499</v>
      </c>
      <c r="N113" s="6">
        <v>5.6188420301733002</v>
      </c>
      <c r="O113" s="6">
        <v>54.455136490230501</v>
      </c>
    </row>
    <row r="114" spans="1:15" ht="14.1" customHeight="1">
      <c r="A114" s="23" t="s">
        <v>125</v>
      </c>
      <c r="B114" s="13">
        <v>9785.7690449420297</v>
      </c>
      <c r="C114" s="13">
        <v>101437.002634192</v>
      </c>
      <c r="D114" s="6" t="s">
        <v>25</v>
      </c>
      <c r="E114" s="9">
        <v>1172.01719242076</v>
      </c>
      <c r="F114" s="6">
        <v>13.521103455578301</v>
      </c>
      <c r="G114" s="6" t="s">
        <v>25</v>
      </c>
      <c r="H114" s="6">
        <v>10.0617352546015</v>
      </c>
      <c r="I114" s="6">
        <v>26.6733513269916</v>
      </c>
      <c r="J114" s="13">
        <v>15539.950157249799</v>
      </c>
      <c r="K114" s="6">
        <v>13.4129717970371</v>
      </c>
      <c r="L114" s="6">
        <v>30.767357469700102</v>
      </c>
      <c r="M114" s="8">
        <v>30.467555372143099</v>
      </c>
      <c r="N114" s="6">
        <v>5.2240424008557902</v>
      </c>
      <c r="O114" s="6">
        <v>50.070376447581602</v>
      </c>
    </row>
    <row r="115" spans="1:15" ht="14.1" customHeight="1">
      <c r="A115" s="23" t="s">
        <v>126</v>
      </c>
      <c r="B115" s="13">
        <v>14335.9248458579</v>
      </c>
      <c r="C115" s="13">
        <v>120306.26724771901</v>
      </c>
      <c r="D115" s="6">
        <v>2.0626743403667098</v>
      </c>
      <c r="E115" s="9">
        <v>10689.705645170499</v>
      </c>
      <c r="F115" s="6">
        <v>11.2262840662332</v>
      </c>
      <c r="G115" s="6" t="s">
        <v>25</v>
      </c>
      <c r="H115" s="6">
        <v>2.9143882443120002</v>
      </c>
      <c r="I115" s="6">
        <v>17.155368207855101</v>
      </c>
      <c r="J115" s="13">
        <v>18177.413644334902</v>
      </c>
      <c r="K115" s="6">
        <v>6.2348494844729601</v>
      </c>
      <c r="L115" s="6">
        <v>18.852408335641002</v>
      </c>
      <c r="M115" s="8" t="s">
        <v>25</v>
      </c>
      <c r="N115" s="6">
        <v>4.3559646182958698</v>
      </c>
      <c r="O115" s="6">
        <v>0.75853496755328698</v>
      </c>
    </row>
    <row r="116" spans="1:15" ht="14.1" customHeight="1">
      <c r="A116" s="24" t="s">
        <v>54</v>
      </c>
      <c r="B116" s="36">
        <f>AVERAGE(B90:B115)</f>
        <v>12058.14240304214</v>
      </c>
      <c r="C116" s="36">
        <f>AVERAGE(C90:C115)</f>
        <v>106286.65356479338</v>
      </c>
      <c r="D116" s="26">
        <f>AVERAGE(D91:D115)</f>
        <v>2.2718884901136844</v>
      </c>
      <c r="E116" s="27">
        <f t="shared" ref="E116:L116" si="2">AVERAGE(E90:E115)</f>
        <v>3316.627358527885</v>
      </c>
      <c r="F116" s="26">
        <f t="shared" si="2"/>
        <v>18.186352005097294</v>
      </c>
      <c r="G116" s="26">
        <f t="shared" si="2"/>
        <v>1.7787704635090524</v>
      </c>
      <c r="H116" s="26">
        <f t="shared" si="2"/>
        <v>10.726468104109896</v>
      </c>
      <c r="I116" s="26">
        <f t="shared" si="2"/>
        <v>19.155185146479177</v>
      </c>
      <c r="J116" s="36">
        <f t="shared" si="2"/>
        <v>16845.890716957532</v>
      </c>
      <c r="K116" s="26">
        <f t="shared" si="2"/>
        <v>11.630839935275922</v>
      </c>
      <c r="L116" s="26">
        <f t="shared" si="2"/>
        <v>29.490851626793976</v>
      </c>
      <c r="M116" s="28">
        <f>AVERAGE(M92:M115)</f>
        <v>12.497517566535246</v>
      </c>
      <c r="N116" s="26">
        <f>AVERAGE(N90:N115)</f>
        <v>5.0280393927513902</v>
      </c>
      <c r="O116" s="26">
        <f>AVERAGE(O91:O115)</f>
        <v>9.8529648867529733</v>
      </c>
    </row>
    <row r="117" spans="1:15" ht="14.1" customHeight="1">
      <c r="A117" s="42" t="s">
        <v>127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1:15" ht="14.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</sheetData>
  <mergeCells count="6">
    <mergeCell ref="A117:O117"/>
    <mergeCell ref="A1:O2"/>
    <mergeCell ref="A4:O4"/>
    <mergeCell ref="A42:O42"/>
    <mergeCell ref="A72:O72"/>
    <mergeCell ref="A89:O89"/>
  </mergeCells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  <ignoredErrors>
    <ignoredError sqref="D116 M116 M71 G7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D663-E192-499A-A986-35ADF98CE451}">
  <dimension ref="A1"/>
  <sheetViews>
    <sheetView zoomScaleSheetLayoutView="100" workbookViewId="0"/>
  </sheetViews>
  <sheetFormatPr defaultRowHeight="14.2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E8FF-B7ED-4F06-9CA1-FE2EA76F1BCB}">
  <dimension ref="A1"/>
  <sheetViews>
    <sheetView zoomScaleSheetLayoutView="100" workbookViewId="0"/>
  </sheetViews>
  <sheetFormatPr defaultRowHeight="14.2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711CCF-1A23-44FD-AF9D-50D5E7C27A4C}"/>
</file>

<file path=customXml/itemProps2.xml><?xml version="1.0" encoding="utf-8"?>
<ds:datastoreItem xmlns:ds="http://schemas.openxmlformats.org/officeDocument/2006/customXml" ds:itemID="{DD91E565-2F82-41F3-937D-0C72D7C658C2}"/>
</file>

<file path=customXml/itemProps3.xml><?xml version="1.0" encoding="utf-8"?>
<ds:datastoreItem xmlns:ds="http://schemas.openxmlformats.org/officeDocument/2006/customXml" ds:itemID="{C9401BD5-6C12-40D2-BB08-19F328F8D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王振凯</dc:creator>
  <cp:keywords/>
  <dc:description/>
  <cp:lastModifiedBy>X</cp:lastModifiedBy>
  <cp:revision/>
  <dcterms:created xsi:type="dcterms:W3CDTF">2016-12-02T08:54:00Z</dcterms:created>
  <dcterms:modified xsi:type="dcterms:W3CDTF">2025-02-12T17:25:32Z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ACEDDE89D0134DE496C04D6B39FA85A3_12</vt:lpwstr>
  </property>
  <property fmtid="{D5CDD505-2E9C-101B-9397-08002B2CF9AE}" pid="4" name="ContentTypeId">
    <vt:lpwstr>0x010100E89770C754368F49BB2A63D8816AD496</vt:lpwstr>
  </property>
</Properties>
</file>