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8_{17B3842F-F956-4B14-B2D9-15954D30C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S1_EPMA" sheetId="1" r:id="rId1"/>
    <sheet name="Table S2_LA-ICPMS" sheetId="2" r:id="rId2"/>
    <sheet name="Table S3_S-Pb isotope" sheetId="4" r:id="rId3"/>
    <sheet name="Table S4_SSIM" sheetId="5" r:id="rId4"/>
  </sheets>
  <definedNames>
    <definedName name="OLE_LINK1" localSheetId="3">'Table S4_SSIM'!$A$20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4" l="1"/>
  <c r="H20" i="4"/>
  <c r="I20" i="4"/>
  <c r="J20" i="4"/>
  <c r="J21" i="4" s="1"/>
  <c r="J22" i="4" s="1"/>
  <c r="K20" i="4"/>
  <c r="L20" i="4"/>
  <c r="G21" i="4"/>
  <c r="H21" i="4"/>
  <c r="H22" i="4" s="1"/>
  <c r="I21" i="4"/>
  <c r="K21" i="4"/>
  <c r="L21" i="4"/>
  <c r="L22" i="4" s="1"/>
  <c r="G22" i="4"/>
  <c r="I22" i="4"/>
  <c r="K22" i="4"/>
  <c r="F21" i="4"/>
  <c r="F22" i="4" s="1"/>
  <c r="F20" i="4"/>
  <c r="L52" i="4" l="1"/>
  <c r="L53" i="4" s="1"/>
  <c r="L54" i="4" s="1"/>
  <c r="K52" i="4"/>
  <c r="K53" i="4" s="1"/>
  <c r="J52" i="4"/>
  <c r="J53" i="4" s="1"/>
  <c r="I52" i="4"/>
  <c r="I53" i="4" s="1"/>
  <c r="I54" i="4" s="1"/>
  <c r="H52" i="4"/>
  <c r="H53" i="4" s="1"/>
  <c r="H54" i="4" s="1"/>
  <c r="G52" i="4"/>
  <c r="G53" i="4" s="1"/>
  <c r="F52" i="4"/>
  <c r="F53" i="4" s="1"/>
  <c r="L41" i="4"/>
  <c r="L42" i="4" s="1"/>
  <c r="K41" i="4"/>
  <c r="K42" i="4" s="1"/>
  <c r="J41" i="4"/>
  <c r="J42" i="4" s="1"/>
  <c r="J43" i="4" s="1"/>
  <c r="I41" i="4"/>
  <c r="H41" i="4"/>
  <c r="H42" i="4" s="1"/>
  <c r="G41" i="4"/>
  <c r="G42" i="4" s="1"/>
  <c r="F41" i="4"/>
  <c r="F42" i="4" s="1"/>
  <c r="F43" i="4" s="1"/>
  <c r="I42" i="4" l="1"/>
  <c r="I43" i="4" s="1"/>
  <c r="G43" i="4"/>
  <c r="K43" i="4"/>
  <c r="F54" i="4"/>
  <c r="J54" i="4"/>
  <c r="H43" i="4"/>
  <c r="L43" i="4"/>
  <c r="G54" i="4"/>
  <c r="K54" i="4"/>
  <c r="F108" i="1"/>
  <c r="F109" i="1" s="1"/>
  <c r="F110" i="1" s="1"/>
  <c r="G108" i="1"/>
  <c r="H108" i="1"/>
  <c r="I108" i="1"/>
  <c r="I109" i="1" s="1"/>
  <c r="J108" i="1"/>
  <c r="J109" i="1" s="1"/>
  <c r="J110" i="1" s="1"/>
  <c r="K108" i="1"/>
  <c r="L108" i="1"/>
  <c r="M108" i="1"/>
  <c r="N108" i="1"/>
  <c r="O108" i="1"/>
  <c r="P108" i="1"/>
  <c r="Q108" i="1"/>
  <c r="Q109" i="1" s="1"/>
  <c r="R108" i="1"/>
  <c r="S108" i="1"/>
  <c r="S109" i="1" s="1"/>
  <c r="T108" i="1"/>
  <c r="N109" i="1"/>
  <c r="N110" i="1" s="1"/>
  <c r="O109" i="1"/>
  <c r="O110" i="1" s="1"/>
  <c r="R109" i="1"/>
  <c r="R110" i="1" s="1"/>
  <c r="U108" i="1"/>
  <c r="F62" i="1"/>
  <c r="F63" i="1" s="1"/>
  <c r="F64" i="1" s="1"/>
  <c r="G62" i="1"/>
  <c r="G63" i="1" s="1"/>
  <c r="G64" i="1" s="1"/>
  <c r="H62" i="1"/>
  <c r="I62" i="1"/>
  <c r="J62" i="1"/>
  <c r="J63" i="1" s="1"/>
  <c r="J64" i="1" s="1"/>
  <c r="K62" i="1"/>
  <c r="K63" i="1" s="1"/>
  <c r="K64" i="1" s="1"/>
  <c r="L62" i="1"/>
  <c r="M62" i="1"/>
  <c r="M63" i="1" s="1"/>
  <c r="N62" i="1"/>
  <c r="N63" i="1" s="1"/>
  <c r="N64" i="1" s="1"/>
  <c r="O62" i="1"/>
  <c r="P62" i="1"/>
  <c r="Q62" i="1"/>
  <c r="Q63" i="1" s="1"/>
  <c r="R62" i="1"/>
  <c r="S62" i="1"/>
  <c r="S64" i="1" s="1"/>
  <c r="T62" i="1"/>
  <c r="O63" i="1"/>
  <c r="O64" i="1" s="1"/>
  <c r="R63" i="1"/>
  <c r="R64" i="1" s="1"/>
  <c r="S63" i="1"/>
  <c r="U62" i="1"/>
  <c r="F31" i="1"/>
  <c r="G31" i="1"/>
  <c r="G32" i="1" s="1"/>
  <c r="G33" i="1" s="1"/>
  <c r="H31" i="1"/>
  <c r="H33" i="1" s="1"/>
  <c r="I31" i="1"/>
  <c r="J31" i="1"/>
  <c r="J32" i="1" s="1"/>
  <c r="J33" i="1" s="1"/>
  <c r="K31" i="1"/>
  <c r="L31" i="1"/>
  <c r="M31" i="1"/>
  <c r="M32" i="1" s="1"/>
  <c r="N31" i="1"/>
  <c r="N32" i="1" s="1"/>
  <c r="N33" i="1" s="1"/>
  <c r="O31" i="1"/>
  <c r="O32" i="1" s="1"/>
  <c r="P31" i="1"/>
  <c r="Q31" i="1"/>
  <c r="R31" i="1"/>
  <c r="S31" i="1"/>
  <c r="T31" i="1"/>
  <c r="F32" i="1"/>
  <c r="F33" i="1" s="1"/>
  <c r="H32" i="1"/>
  <c r="R32" i="1"/>
  <c r="R33" i="1" s="1"/>
  <c r="S32" i="1"/>
  <c r="S33" i="1" s="1"/>
  <c r="T32" i="1"/>
  <c r="T33" i="1" s="1"/>
  <c r="U31" i="1"/>
  <c r="U32" i="1" s="1"/>
  <c r="K109" i="1" l="1"/>
  <c r="K110" i="1" s="1"/>
  <c r="G109" i="1"/>
  <c r="G110" i="1" s="1"/>
  <c r="P32" i="1"/>
  <c r="P33" i="1" s="1"/>
  <c r="L32" i="1"/>
  <c r="L33" i="1" s="1"/>
  <c r="U33" i="1"/>
  <c r="U109" i="1"/>
  <c r="U110" i="1" s="1"/>
  <c r="U63" i="1"/>
  <c r="U64" i="1" s="1"/>
  <c r="S110" i="1"/>
  <c r="K32" i="1"/>
  <c r="K33" i="1" s="1"/>
  <c r="O33" i="1"/>
  <c r="M109" i="1"/>
  <c r="M110" i="1" s="1"/>
  <c r="Q110" i="1"/>
  <c r="I110" i="1"/>
  <c r="T109" i="1"/>
  <c r="T110" i="1" s="1"/>
  <c r="P109" i="1"/>
  <c r="P110" i="1" s="1"/>
  <c r="L109" i="1"/>
  <c r="L110" i="1" s="1"/>
  <c r="H109" i="1"/>
  <c r="H110" i="1" s="1"/>
  <c r="I63" i="1"/>
  <c r="I64" i="1" s="1"/>
  <c r="Q64" i="1"/>
  <c r="M64" i="1"/>
  <c r="T63" i="1"/>
  <c r="T64" i="1" s="1"/>
  <c r="P63" i="1"/>
  <c r="P64" i="1" s="1"/>
  <c r="L63" i="1"/>
  <c r="L64" i="1" s="1"/>
  <c r="H63" i="1"/>
  <c r="H64" i="1" s="1"/>
  <c r="I32" i="1"/>
  <c r="I33" i="1" s="1"/>
  <c r="Q32" i="1"/>
  <c r="Q33" i="1" s="1"/>
  <c r="M33" i="1"/>
  <c r="X108" i="2" l="1"/>
  <c r="V108" i="2"/>
  <c r="V109" i="2" s="1"/>
  <c r="V110" i="2" s="1"/>
  <c r="T108" i="2"/>
  <c r="R108" i="2"/>
  <c r="R109" i="2" s="1"/>
  <c r="R110" i="2" s="1"/>
  <c r="P108" i="2"/>
  <c r="N108" i="2"/>
  <c r="N109" i="2" s="1"/>
  <c r="N110" i="2" s="1"/>
  <c r="L108" i="2"/>
  <c r="J108" i="2"/>
  <c r="J109" i="2" s="1"/>
  <c r="J110" i="2" s="1"/>
  <c r="H108" i="2"/>
  <c r="Y107" i="2"/>
  <c r="U107" i="2"/>
  <c r="S107" i="2"/>
  <c r="Q107" i="2"/>
  <c r="O107" i="2"/>
  <c r="M107" i="2"/>
  <c r="K107" i="2"/>
  <c r="I107" i="2"/>
  <c r="AE106" i="2"/>
  <c r="AF106" i="2" s="1"/>
  <c r="Z106" i="2"/>
  <c r="AA106" i="2" s="1"/>
  <c r="AB106" i="2" s="1"/>
  <c r="AD106" i="2" s="1"/>
  <c r="Y106" i="2"/>
  <c r="W106" i="2"/>
  <c r="U106" i="2"/>
  <c r="S106" i="2"/>
  <c r="Q106" i="2"/>
  <c r="O106" i="2"/>
  <c r="M106" i="2"/>
  <c r="K106" i="2"/>
  <c r="I106" i="2"/>
  <c r="AE105" i="2"/>
  <c r="AF105" i="2" s="1"/>
  <c r="Z105" i="2"/>
  <c r="AA105" i="2" s="1"/>
  <c r="AB105" i="2" s="1"/>
  <c r="AD105" i="2" s="1"/>
  <c r="Y105" i="2"/>
  <c r="W105" i="2"/>
  <c r="U105" i="2"/>
  <c r="S105" i="2"/>
  <c r="Q105" i="2"/>
  <c r="O105" i="2"/>
  <c r="M105" i="2"/>
  <c r="K105" i="2"/>
  <c r="I105" i="2"/>
  <c r="Y104" i="2"/>
  <c r="U104" i="2"/>
  <c r="S104" i="2"/>
  <c r="Q104" i="2"/>
  <c r="O104" i="2"/>
  <c r="M104" i="2"/>
  <c r="K104" i="2"/>
  <c r="I104" i="2"/>
  <c r="Y103" i="2"/>
  <c r="U103" i="2"/>
  <c r="S103" i="2"/>
  <c r="Q103" i="2"/>
  <c r="O103" i="2"/>
  <c r="M103" i="2"/>
  <c r="K103" i="2"/>
  <c r="I103" i="2"/>
  <c r="Y102" i="2"/>
  <c r="U102" i="2"/>
  <c r="S102" i="2"/>
  <c r="Q102" i="2"/>
  <c r="O102" i="2"/>
  <c r="M102" i="2"/>
  <c r="K102" i="2"/>
  <c r="I102" i="2"/>
  <c r="AE101" i="2"/>
  <c r="AF101" i="2" s="1"/>
  <c r="Z101" i="2"/>
  <c r="AA101" i="2" s="1"/>
  <c r="AB101" i="2" s="1"/>
  <c r="AD101" i="2" s="1"/>
  <c r="Y101" i="2"/>
  <c r="W101" i="2"/>
  <c r="U101" i="2"/>
  <c r="S101" i="2"/>
  <c r="Q101" i="2"/>
  <c r="O101" i="2"/>
  <c r="M101" i="2"/>
  <c r="K101" i="2"/>
  <c r="I101" i="2"/>
  <c r="Y100" i="2"/>
  <c r="U100" i="2"/>
  <c r="S100" i="2"/>
  <c r="Q100" i="2"/>
  <c r="O100" i="2"/>
  <c r="M100" i="2"/>
  <c r="K100" i="2"/>
  <c r="I100" i="2"/>
  <c r="Y99" i="2"/>
  <c r="U99" i="2"/>
  <c r="S99" i="2"/>
  <c r="Q99" i="2"/>
  <c r="O99" i="2"/>
  <c r="M99" i="2"/>
  <c r="K99" i="2"/>
  <c r="I99" i="2"/>
  <c r="Y98" i="2"/>
  <c r="U98" i="2"/>
  <c r="S98" i="2"/>
  <c r="Q98" i="2"/>
  <c r="O98" i="2"/>
  <c r="M98" i="2"/>
  <c r="K98" i="2"/>
  <c r="I98" i="2"/>
  <c r="Y97" i="2"/>
  <c r="U97" i="2"/>
  <c r="S97" i="2"/>
  <c r="Q97" i="2"/>
  <c r="O97" i="2"/>
  <c r="M97" i="2"/>
  <c r="K97" i="2"/>
  <c r="I97" i="2"/>
  <c r="Y96" i="2"/>
  <c r="U96" i="2"/>
  <c r="S96" i="2"/>
  <c r="Q96" i="2"/>
  <c r="O96" i="2"/>
  <c r="M96" i="2"/>
  <c r="K96" i="2"/>
  <c r="I96" i="2"/>
  <c r="Y95" i="2"/>
  <c r="U95" i="2"/>
  <c r="S95" i="2"/>
  <c r="Q95" i="2"/>
  <c r="O95" i="2"/>
  <c r="M95" i="2"/>
  <c r="K95" i="2"/>
  <c r="I95" i="2"/>
  <c r="Y94" i="2"/>
  <c r="U94" i="2"/>
  <c r="S94" i="2"/>
  <c r="Q94" i="2"/>
  <c r="O94" i="2"/>
  <c r="M94" i="2"/>
  <c r="K94" i="2"/>
  <c r="I94" i="2"/>
  <c r="Y93" i="2"/>
  <c r="U93" i="2"/>
  <c r="S93" i="2"/>
  <c r="Q93" i="2"/>
  <c r="O93" i="2"/>
  <c r="K93" i="2"/>
  <c r="I93" i="2"/>
  <c r="Y92" i="2"/>
  <c r="U92" i="2"/>
  <c r="S92" i="2"/>
  <c r="Q92" i="2"/>
  <c r="O92" i="2"/>
  <c r="M92" i="2"/>
  <c r="K92" i="2"/>
  <c r="I92" i="2"/>
  <c r="Y91" i="2"/>
  <c r="U91" i="2"/>
  <c r="S91" i="2"/>
  <c r="Q91" i="2"/>
  <c r="O91" i="2"/>
  <c r="M91" i="2"/>
  <c r="K91" i="2"/>
  <c r="I91" i="2"/>
  <c r="Y90" i="2"/>
  <c r="U90" i="2"/>
  <c r="S90" i="2"/>
  <c r="Q90" i="2"/>
  <c r="O90" i="2"/>
  <c r="M90" i="2"/>
  <c r="K90" i="2"/>
  <c r="I90" i="2"/>
  <c r="Y89" i="2"/>
  <c r="U89" i="2"/>
  <c r="S89" i="2"/>
  <c r="Q89" i="2"/>
  <c r="O89" i="2"/>
  <c r="M89" i="2"/>
  <c r="K89" i="2"/>
  <c r="I89" i="2"/>
  <c r="Y88" i="2"/>
  <c r="U88" i="2"/>
  <c r="S88" i="2"/>
  <c r="Q88" i="2"/>
  <c r="O88" i="2"/>
  <c r="M88" i="2"/>
  <c r="K88" i="2"/>
  <c r="I88" i="2"/>
  <c r="Y87" i="2"/>
  <c r="U87" i="2"/>
  <c r="S87" i="2"/>
  <c r="Q87" i="2"/>
  <c r="O87" i="2"/>
  <c r="M87" i="2"/>
  <c r="K87" i="2"/>
  <c r="I87" i="2"/>
  <c r="Y86" i="2"/>
  <c r="U86" i="2"/>
  <c r="S86" i="2"/>
  <c r="Q86" i="2"/>
  <c r="O86" i="2"/>
  <c r="M86" i="2"/>
  <c r="K86" i="2"/>
  <c r="I86" i="2"/>
  <c r="Y85" i="2"/>
  <c r="U85" i="2"/>
  <c r="S85" i="2"/>
  <c r="Q85" i="2"/>
  <c r="O85" i="2"/>
  <c r="M85" i="2"/>
  <c r="K85" i="2"/>
  <c r="I85" i="2"/>
  <c r="Y84" i="2"/>
  <c r="U84" i="2"/>
  <c r="S84" i="2"/>
  <c r="Q84" i="2"/>
  <c r="O84" i="2"/>
  <c r="M84" i="2"/>
  <c r="K84" i="2"/>
  <c r="I84" i="2"/>
  <c r="Y83" i="2"/>
  <c r="U83" i="2"/>
  <c r="S83" i="2"/>
  <c r="Q83" i="2"/>
  <c r="O83" i="2"/>
  <c r="M83" i="2"/>
  <c r="K83" i="2"/>
  <c r="I83" i="2"/>
  <c r="Y82" i="2"/>
  <c r="U82" i="2"/>
  <c r="S82" i="2"/>
  <c r="Q82" i="2"/>
  <c r="O82" i="2"/>
  <c r="M82" i="2"/>
  <c r="K82" i="2"/>
  <c r="I82" i="2"/>
  <c r="Y81" i="2"/>
  <c r="U81" i="2"/>
  <c r="S81" i="2"/>
  <c r="Q81" i="2"/>
  <c r="O81" i="2"/>
  <c r="M81" i="2"/>
  <c r="K81" i="2"/>
  <c r="I81" i="2"/>
  <c r="Y80" i="2"/>
  <c r="U80" i="2"/>
  <c r="S80" i="2"/>
  <c r="Q80" i="2"/>
  <c r="O80" i="2"/>
  <c r="M80" i="2"/>
  <c r="K80" i="2"/>
  <c r="I80" i="2"/>
  <c r="Y79" i="2"/>
  <c r="U79" i="2"/>
  <c r="S79" i="2"/>
  <c r="Q79" i="2"/>
  <c r="O79" i="2"/>
  <c r="M79" i="2"/>
  <c r="K79" i="2"/>
  <c r="I79" i="2"/>
  <c r="Y78" i="2"/>
  <c r="U78" i="2"/>
  <c r="S78" i="2"/>
  <c r="Q78" i="2"/>
  <c r="O78" i="2"/>
  <c r="M78" i="2"/>
  <c r="K78" i="2"/>
  <c r="I78" i="2"/>
  <c r="Y77" i="2"/>
  <c r="U77" i="2"/>
  <c r="S77" i="2"/>
  <c r="Q77" i="2"/>
  <c r="O77" i="2"/>
  <c r="M77" i="2"/>
  <c r="K77" i="2"/>
  <c r="I77" i="2"/>
  <c r="Y76" i="2"/>
  <c r="U76" i="2"/>
  <c r="S76" i="2"/>
  <c r="Q76" i="2"/>
  <c r="O76" i="2"/>
  <c r="M76" i="2"/>
  <c r="K76" i="2"/>
  <c r="I76" i="2"/>
  <c r="AE75" i="2"/>
  <c r="AF75" i="2" s="1"/>
  <c r="Z75" i="2"/>
  <c r="AA75" i="2" s="1"/>
  <c r="AB75" i="2" s="1"/>
  <c r="AD75" i="2" s="1"/>
  <c r="Y75" i="2"/>
  <c r="W75" i="2"/>
  <c r="U75" i="2"/>
  <c r="S75" i="2"/>
  <c r="Q75" i="2"/>
  <c r="O75" i="2"/>
  <c r="M75" i="2"/>
  <c r="K75" i="2"/>
  <c r="I75" i="2"/>
  <c r="Y74" i="2"/>
  <c r="U74" i="2"/>
  <c r="S74" i="2"/>
  <c r="Q74" i="2"/>
  <c r="O74" i="2"/>
  <c r="M74" i="2"/>
  <c r="K74" i="2"/>
  <c r="I74" i="2"/>
  <c r="Y73" i="2"/>
  <c r="U73" i="2"/>
  <c r="S73" i="2"/>
  <c r="Q73" i="2"/>
  <c r="O73" i="2"/>
  <c r="M73" i="2"/>
  <c r="K73" i="2"/>
  <c r="I73" i="2"/>
  <c r="AE72" i="2"/>
  <c r="AF72" i="2" s="1"/>
  <c r="Z72" i="2"/>
  <c r="AA72" i="2" s="1"/>
  <c r="AB72" i="2" s="1"/>
  <c r="AD72" i="2" s="1"/>
  <c r="Y72" i="2"/>
  <c r="W72" i="2"/>
  <c r="U72" i="2"/>
  <c r="S72" i="2"/>
  <c r="Q72" i="2"/>
  <c r="O72" i="2"/>
  <c r="M72" i="2"/>
  <c r="K72" i="2"/>
  <c r="I72" i="2"/>
  <c r="AE71" i="2"/>
  <c r="AF71" i="2" s="1"/>
  <c r="Z71" i="2"/>
  <c r="Y71" i="2"/>
  <c r="W71" i="2"/>
  <c r="U71" i="2"/>
  <c r="S71" i="2"/>
  <c r="Q71" i="2"/>
  <c r="O71" i="2"/>
  <c r="M71" i="2"/>
  <c r="K71" i="2"/>
  <c r="I71" i="2"/>
  <c r="Y70" i="2"/>
  <c r="U70" i="2"/>
  <c r="S70" i="2"/>
  <c r="Q70" i="2"/>
  <c r="O70" i="2"/>
  <c r="M70" i="2"/>
  <c r="K70" i="2"/>
  <c r="I70" i="2"/>
  <c r="Y69" i="2"/>
  <c r="U69" i="2"/>
  <c r="S69" i="2"/>
  <c r="Q69" i="2"/>
  <c r="O69" i="2"/>
  <c r="M69" i="2"/>
  <c r="K69" i="2"/>
  <c r="I69" i="2"/>
  <c r="Y68" i="2"/>
  <c r="U68" i="2"/>
  <c r="S68" i="2"/>
  <c r="Q68" i="2"/>
  <c r="O68" i="2"/>
  <c r="M68" i="2"/>
  <c r="K68" i="2"/>
  <c r="I68" i="2"/>
  <c r="Y67" i="2"/>
  <c r="U67" i="2"/>
  <c r="S67" i="2"/>
  <c r="Q67" i="2"/>
  <c r="O67" i="2"/>
  <c r="M67" i="2"/>
  <c r="K67" i="2"/>
  <c r="I67" i="2"/>
  <c r="Y66" i="2"/>
  <c r="U66" i="2"/>
  <c r="S66" i="2"/>
  <c r="Q66" i="2"/>
  <c r="O66" i="2"/>
  <c r="M66" i="2"/>
  <c r="K66" i="2"/>
  <c r="I66" i="2"/>
  <c r="Y65" i="2"/>
  <c r="U65" i="2"/>
  <c r="S65" i="2"/>
  <c r="Q65" i="2"/>
  <c r="O65" i="2"/>
  <c r="M65" i="2"/>
  <c r="K65" i="2"/>
  <c r="I65" i="2"/>
  <c r="X62" i="2"/>
  <c r="X63" i="2" s="1"/>
  <c r="X64" i="2" s="1"/>
  <c r="V62" i="2"/>
  <c r="T62" i="2"/>
  <c r="T63" i="2" s="1"/>
  <c r="T64" i="2" s="1"/>
  <c r="R62" i="2"/>
  <c r="P62" i="2"/>
  <c r="P63" i="2" s="1"/>
  <c r="P64" i="2" s="1"/>
  <c r="N62" i="2"/>
  <c r="L62" i="2"/>
  <c r="L63" i="2" s="1"/>
  <c r="L64" i="2" s="1"/>
  <c r="J62" i="2"/>
  <c r="H62" i="2"/>
  <c r="H63" i="2" s="1"/>
  <c r="H64" i="2" s="1"/>
  <c r="AE61" i="2"/>
  <c r="AF61" i="2" s="1"/>
  <c r="Z61" i="2"/>
  <c r="AA61" i="2" s="1"/>
  <c r="AB61" i="2" s="1"/>
  <c r="AD61" i="2" s="1"/>
  <c r="Y61" i="2"/>
  <c r="W61" i="2"/>
  <c r="U61" i="2"/>
  <c r="S61" i="2"/>
  <c r="Q61" i="2"/>
  <c r="O61" i="2"/>
  <c r="M61" i="2"/>
  <c r="K61" i="2"/>
  <c r="I61" i="2"/>
  <c r="AE60" i="2"/>
  <c r="AF60" i="2" s="1"/>
  <c r="Z60" i="2"/>
  <c r="AA60" i="2" s="1"/>
  <c r="AB60" i="2" s="1"/>
  <c r="AD60" i="2" s="1"/>
  <c r="Y60" i="2"/>
  <c r="W60" i="2"/>
  <c r="U60" i="2"/>
  <c r="S60" i="2"/>
  <c r="Q60" i="2"/>
  <c r="O60" i="2"/>
  <c r="M60" i="2"/>
  <c r="K60" i="2"/>
  <c r="I60" i="2"/>
  <c r="AE59" i="2"/>
  <c r="AF59" i="2" s="1"/>
  <c r="Z59" i="2"/>
  <c r="AA59" i="2" s="1"/>
  <c r="AB59" i="2" s="1"/>
  <c r="AD59" i="2" s="1"/>
  <c r="Y59" i="2"/>
  <c r="W59" i="2"/>
  <c r="U59" i="2"/>
  <c r="S59" i="2"/>
  <c r="Q59" i="2"/>
  <c r="O59" i="2"/>
  <c r="M59" i="2"/>
  <c r="K59" i="2"/>
  <c r="I59" i="2"/>
  <c r="Y58" i="2"/>
  <c r="U58" i="2"/>
  <c r="S58" i="2"/>
  <c r="Q58" i="2"/>
  <c r="O58" i="2"/>
  <c r="M58" i="2"/>
  <c r="K58" i="2"/>
  <c r="I58" i="2"/>
  <c r="Y57" i="2"/>
  <c r="U57" i="2"/>
  <c r="S57" i="2"/>
  <c r="Q57" i="2"/>
  <c r="O57" i="2"/>
  <c r="M57" i="2"/>
  <c r="K57" i="2"/>
  <c r="I57" i="2"/>
  <c r="Y56" i="2"/>
  <c r="U56" i="2"/>
  <c r="S56" i="2"/>
  <c r="Q56" i="2"/>
  <c r="O56" i="2"/>
  <c r="M56" i="2"/>
  <c r="K56" i="2"/>
  <c r="I56" i="2"/>
  <c r="AE55" i="2"/>
  <c r="AF55" i="2" s="1"/>
  <c r="Z55" i="2"/>
  <c r="AA55" i="2" s="1"/>
  <c r="AB55" i="2" s="1"/>
  <c r="AD55" i="2" s="1"/>
  <c r="Y55" i="2"/>
  <c r="W55" i="2"/>
  <c r="U55" i="2"/>
  <c r="S55" i="2"/>
  <c r="Q55" i="2"/>
  <c r="O55" i="2"/>
  <c r="M55" i="2"/>
  <c r="K55" i="2"/>
  <c r="I55" i="2"/>
  <c r="AE54" i="2"/>
  <c r="AF54" i="2" s="1"/>
  <c r="Z54" i="2"/>
  <c r="AA54" i="2" s="1"/>
  <c r="AB54" i="2" s="1"/>
  <c r="AD54" i="2" s="1"/>
  <c r="Y54" i="2"/>
  <c r="W54" i="2"/>
  <c r="U54" i="2"/>
  <c r="S54" i="2"/>
  <c r="Q54" i="2"/>
  <c r="O54" i="2"/>
  <c r="M54" i="2"/>
  <c r="K54" i="2"/>
  <c r="I54" i="2"/>
  <c r="Y53" i="2"/>
  <c r="U53" i="2"/>
  <c r="S53" i="2"/>
  <c r="Q53" i="2"/>
  <c r="O53" i="2"/>
  <c r="M53" i="2"/>
  <c r="K53" i="2"/>
  <c r="I53" i="2"/>
  <c r="Y52" i="2"/>
  <c r="U52" i="2"/>
  <c r="S52" i="2"/>
  <c r="Q52" i="2"/>
  <c r="O52" i="2"/>
  <c r="M52" i="2"/>
  <c r="K52" i="2"/>
  <c r="I52" i="2"/>
  <c r="Y51" i="2"/>
  <c r="U51" i="2"/>
  <c r="S51" i="2"/>
  <c r="Q51" i="2"/>
  <c r="O51" i="2"/>
  <c r="M51" i="2"/>
  <c r="K51" i="2"/>
  <c r="I51" i="2"/>
  <c r="Y50" i="2"/>
  <c r="U50" i="2"/>
  <c r="S50" i="2"/>
  <c r="Q50" i="2"/>
  <c r="O50" i="2"/>
  <c r="M50" i="2"/>
  <c r="K50" i="2"/>
  <c r="I50" i="2"/>
  <c r="Y49" i="2"/>
  <c r="U49" i="2"/>
  <c r="S49" i="2"/>
  <c r="Q49" i="2"/>
  <c r="O49" i="2"/>
  <c r="M49" i="2"/>
  <c r="K49" i="2"/>
  <c r="I49" i="2"/>
  <c r="Y48" i="2"/>
  <c r="U48" i="2"/>
  <c r="S48" i="2"/>
  <c r="Q48" i="2"/>
  <c r="O48" i="2"/>
  <c r="M48" i="2"/>
  <c r="K48" i="2"/>
  <c r="I48" i="2"/>
  <c r="AE47" i="2"/>
  <c r="AF47" i="2" s="1"/>
  <c r="Z47" i="2"/>
  <c r="AA47" i="2" s="1"/>
  <c r="AB47" i="2" s="1"/>
  <c r="AD47" i="2" s="1"/>
  <c r="Y47" i="2"/>
  <c r="W47" i="2"/>
  <c r="U47" i="2"/>
  <c r="S47" i="2"/>
  <c r="Q47" i="2"/>
  <c r="O47" i="2"/>
  <c r="M47" i="2"/>
  <c r="K47" i="2"/>
  <c r="I47" i="2"/>
  <c r="AE46" i="2"/>
  <c r="AF46" i="2" s="1"/>
  <c r="Z46" i="2"/>
  <c r="AA46" i="2" s="1"/>
  <c r="AB46" i="2" s="1"/>
  <c r="AD46" i="2" s="1"/>
  <c r="Y46" i="2"/>
  <c r="W46" i="2"/>
  <c r="U46" i="2"/>
  <c r="S46" i="2"/>
  <c r="Q46" i="2"/>
  <c r="O46" i="2"/>
  <c r="M46" i="2"/>
  <c r="K46" i="2"/>
  <c r="I46" i="2"/>
  <c r="AE45" i="2"/>
  <c r="AF45" i="2" s="1"/>
  <c r="Z45" i="2"/>
  <c r="AA45" i="2" s="1"/>
  <c r="AB45" i="2" s="1"/>
  <c r="AD45" i="2" s="1"/>
  <c r="Y45" i="2"/>
  <c r="W45" i="2"/>
  <c r="U45" i="2"/>
  <c r="S45" i="2"/>
  <c r="Q45" i="2"/>
  <c r="O45" i="2"/>
  <c r="M45" i="2"/>
  <c r="K45" i="2"/>
  <c r="I45" i="2"/>
  <c r="AE44" i="2"/>
  <c r="AF44" i="2" s="1"/>
  <c r="Z44" i="2"/>
  <c r="AA44" i="2" s="1"/>
  <c r="AB44" i="2" s="1"/>
  <c r="AD44" i="2" s="1"/>
  <c r="Y44" i="2"/>
  <c r="W44" i="2"/>
  <c r="U44" i="2"/>
  <c r="S44" i="2"/>
  <c r="Q44" i="2"/>
  <c r="O44" i="2"/>
  <c r="M44" i="2"/>
  <c r="K44" i="2"/>
  <c r="I44" i="2"/>
  <c r="Y43" i="2"/>
  <c r="U43" i="2"/>
  <c r="S43" i="2"/>
  <c r="Q43" i="2"/>
  <c r="O43" i="2"/>
  <c r="M43" i="2"/>
  <c r="K43" i="2"/>
  <c r="I43" i="2"/>
  <c r="Y42" i="2"/>
  <c r="U42" i="2"/>
  <c r="S42" i="2"/>
  <c r="Q42" i="2"/>
  <c r="O42" i="2"/>
  <c r="M42" i="2"/>
  <c r="K42" i="2"/>
  <c r="I42" i="2"/>
  <c r="Y41" i="2"/>
  <c r="U41" i="2"/>
  <c r="S41" i="2"/>
  <c r="Q41" i="2"/>
  <c r="O41" i="2"/>
  <c r="M41" i="2"/>
  <c r="K41" i="2"/>
  <c r="I41" i="2"/>
  <c r="Y40" i="2"/>
  <c r="U40" i="2"/>
  <c r="S40" i="2"/>
  <c r="Q40" i="2"/>
  <c r="O40" i="2"/>
  <c r="M40" i="2"/>
  <c r="K40" i="2"/>
  <c r="I40" i="2"/>
  <c r="Y39" i="2"/>
  <c r="U39" i="2"/>
  <c r="S39" i="2"/>
  <c r="Q39" i="2"/>
  <c r="O39" i="2"/>
  <c r="M39" i="2"/>
  <c r="K39" i="2"/>
  <c r="I39" i="2"/>
  <c r="AE38" i="2"/>
  <c r="AF38" i="2" s="1"/>
  <c r="Z38" i="2"/>
  <c r="AA38" i="2" s="1"/>
  <c r="AB38" i="2" s="1"/>
  <c r="AD38" i="2" s="1"/>
  <c r="Y38" i="2"/>
  <c r="W38" i="2"/>
  <c r="U38" i="2"/>
  <c r="S38" i="2"/>
  <c r="Q38" i="2"/>
  <c r="O38" i="2"/>
  <c r="M38" i="2"/>
  <c r="K38" i="2"/>
  <c r="I38" i="2"/>
  <c r="Y37" i="2"/>
  <c r="U37" i="2"/>
  <c r="S37" i="2"/>
  <c r="Q37" i="2"/>
  <c r="O37" i="2"/>
  <c r="M37" i="2"/>
  <c r="K37" i="2"/>
  <c r="I37" i="2"/>
  <c r="AE36" i="2"/>
  <c r="AF36" i="2" s="1"/>
  <c r="Z36" i="2"/>
  <c r="AA36" i="2" s="1"/>
  <c r="AB36" i="2" s="1"/>
  <c r="AD36" i="2" s="1"/>
  <c r="Y36" i="2"/>
  <c r="W36" i="2"/>
  <c r="U36" i="2"/>
  <c r="S36" i="2"/>
  <c r="Q36" i="2"/>
  <c r="O36" i="2"/>
  <c r="M36" i="2"/>
  <c r="K36" i="2"/>
  <c r="I36" i="2"/>
  <c r="Y35" i="2"/>
  <c r="U35" i="2"/>
  <c r="S35" i="2"/>
  <c r="Q35" i="2"/>
  <c r="O35" i="2"/>
  <c r="M35" i="2"/>
  <c r="K35" i="2"/>
  <c r="I35" i="2"/>
  <c r="Y34" i="2"/>
  <c r="U34" i="2"/>
  <c r="S34" i="2"/>
  <c r="Q34" i="2"/>
  <c r="O34" i="2"/>
  <c r="M34" i="2"/>
  <c r="K34" i="2"/>
  <c r="I34" i="2"/>
  <c r="X31" i="2"/>
  <c r="X32" i="2" s="1"/>
  <c r="V31" i="2"/>
  <c r="V32" i="2" s="1"/>
  <c r="V33" i="2" s="1"/>
  <c r="T31" i="2"/>
  <c r="T32" i="2" s="1"/>
  <c r="R31" i="2"/>
  <c r="P31" i="2"/>
  <c r="N31" i="2"/>
  <c r="L31" i="2"/>
  <c r="L32" i="2" s="1"/>
  <c r="J31" i="2"/>
  <c r="H31" i="2"/>
  <c r="H32" i="2" s="1"/>
  <c r="AE30" i="2"/>
  <c r="AF30" i="2" s="1"/>
  <c r="Z30" i="2"/>
  <c r="AA30" i="2" s="1"/>
  <c r="AB30" i="2" s="1"/>
  <c r="AD30" i="2" s="1"/>
  <c r="Y30" i="2"/>
  <c r="W30" i="2"/>
  <c r="U30" i="2"/>
  <c r="S30" i="2"/>
  <c r="Q30" i="2"/>
  <c r="O30" i="2"/>
  <c r="M30" i="2"/>
  <c r="K30" i="2"/>
  <c r="I30" i="2"/>
  <c r="AE29" i="2"/>
  <c r="AF29" i="2" s="1"/>
  <c r="Z29" i="2"/>
  <c r="AA29" i="2" s="1"/>
  <c r="AB29" i="2" s="1"/>
  <c r="AD29" i="2" s="1"/>
  <c r="Y29" i="2"/>
  <c r="W29" i="2"/>
  <c r="U29" i="2"/>
  <c r="S29" i="2"/>
  <c r="Q29" i="2"/>
  <c r="O29" i="2"/>
  <c r="M29" i="2"/>
  <c r="K29" i="2"/>
  <c r="I29" i="2"/>
  <c r="AE28" i="2"/>
  <c r="AF28" i="2" s="1"/>
  <c r="Z28" i="2"/>
  <c r="AA28" i="2" s="1"/>
  <c r="AB28" i="2" s="1"/>
  <c r="AD28" i="2" s="1"/>
  <c r="Y28" i="2"/>
  <c r="W28" i="2"/>
  <c r="U28" i="2"/>
  <c r="S28" i="2"/>
  <c r="Q28" i="2"/>
  <c r="O28" i="2"/>
  <c r="M28" i="2"/>
  <c r="K28" i="2"/>
  <c r="I28" i="2"/>
  <c r="AE27" i="2"/>
  <c r="AF27" i="2" s="1"/>
  <c r="Z27" i="2"/>
  <c r="AA27" i="2" s="1"/>
  <c r="AB27" i="2" s="1"/>
  <c r="AD27" i="2" s="1"/>
  <c r="Y27" i="2"/>
  <c r="W27" i="2"/>
  <c r="U27" i="2"/>
  <c r="S27" i="2"/>
  <c r="Q27" i="2"/>
  <c r="O27" i="2"/>
  <c r="M27" i="2"/>
  <c r="K27" i="2"/>
  <c r="I27" i="2"/>
  <c r="AE26" i="2"/>
  <c r="AF26" i="2" s="1"/>
  <c r="Z26" i="2"/>
  <c r="AA26" i="2" s="1"/>
  <c r="AB26" i="2" s="1"/>
  <c r="AD26" i="2" s="1"/>
  <c r="Y26" i="2"/>
  <c r="W26" i="2"/>
  <c r="U26" i="2"/>
  <c r="S26" i="2"/>
  <c r="Q26" i="2"/>
  <c r="O26" i="2"/>
  <c r="M26" i="2"/>
  <c r="K26" i="2"/>
  <c r="I26" i="2"/>
  <c r="AE25" i="2"/>
  <c r="AF25" i="2" s="1"/>
  <c r="Z25" i="2"/>
  <c r="AA25" i="2" s="1"/>
  <c r="AB25" i="2" s="1"/>
  <c r="AD25" i="2" s="1"/>
  <c r="Y25" i="2"/>
  <c r="W25" i="2"/>
  <c r="U25" i="2"/>
  <c r="S25" i="2"/>
  <c r="Q25" i="2"/>
  <c r="O25" i="2"/>
  <c r="M25" i="2"/>
  <c r="K25" i="2"/>
  <c r="I25" i="2"/>
  <c r="AE24" i="2"/>
  <c r="AF24" i="2" s="1"/>
  <c r="Z24" i="2"/>
  <c r="AA24" i="2" s="1"/>
  <c r="AB24" i="2" s="1"/>
  <c r="AD24" i="2" s="1"/>
  <c r="Y24" i="2"/>
  <c r="W24" i="2"/>
  <c r="U24" i="2"/>
  <c r="S24" i="2"/>
  <c r="Q24" i="2"/>
  <c r="O24" i="2"/>
  <c r="M24" i="2"/>
  <c r="K24" i="2"/>
  <c r="I24" i="2"/>
  <c r="AE23" i="2"/>
  <c r="AF23" i="2" s="1"/>
  <c r="Z23" i="2"/>
  <c r="AA23" i="2" s="1"/>
  <c r="AB23" i="2" s="1"/>
  <c r="AD23" i="2" s="1"/>
  <c r="Y23" i="2"/>
  <c r="W23" i="2"/>
  <c r="U23" i="2"/>
  <c r="S23" i="2"/>
  <c r="Q23" i="2"/>
  <c r="O23" i="2"/>
  <c r="M23" i="2"/>
  <c r="K23" i="2"/>
  <c r="I23" i="2"/>
  <c r="AE22" i="2"/>
  <c r="AF22" i="2" s="1"/>
  <c r="Z22" i="2"/>
  <c r="AA22" i="2" s="1"/>
  <c r="AB22" i="2" s="1"/>
  <c r="AD22" i="2" s="1"/>
  <c r="Y22" i="2"/>
  <c r="W22" i="2"/>
  <c r="U22" i="2"/>
  <c r="S22" i="2"/>
  <c r="Q22" i="2"/>
  <c r="O22" i="2"/>
  <c r="M22" i="2"/>
  <c r="K22" i="2"/>
  <c r="I22" i="2"/>
  <c r="AE21" i="2"/>
  <c r="AF21" i="2" s="1"/>
  <c r="Z21" i="2"/>
  <c r="AA21" i="2" s="1"/>
  <c r="AB21" i="2" s="1"/>
  <c r="AD21" i="2" s="1"/>
  <c r="Y21" i="2"/>
  <c r="W21" i="2"/>
  <c r="U21" i="2"/>
  <c r="S21" i="2"/>
  <c r="Q21" i="2"/>
  <c r="O21" i="2"/>
  <c r="M21" i="2"/>
  <c r="K21" i="2"/>
  <c r="I21" i="2"/>
  <c r="AE20" i="2"/>
  <c r="AF20" i="2" s="1"/>
  <c r="Z20" i="2"/>
  <c r="AA20" i="2" s="1"/>
  <c r="AB20" i="2" s="1"/>
  <c r="AD20" i="2" s="1"/>
  <c r="Y20" i="2"/>
  <c r="W20" i="2"/>
  <c r="U20" i="2"/>
  <c r="S20" i="2"/>
  <c r="Q20" i="2"/>
  <c r="O20" i="2"/>
  <c r="M20" i="2"/>
  <c r="K20" i="2"/>
  <c r="I20" i="2"/>
  <c r="AE19" i="2"/>
  <c r="AF19" i="2" s="1"/>
  <c r="Z19" i="2"/>
  <c r="AA19" i="2" s="1"/>
  <c r="AB19" i="2" s="1"/>
  <c r="AD19" i="2" s="1"/>
  <c r="Y19" i="2"/>
  <c r="W19" i="2"/>
  <c r="U19" i="2"/>
  <c r="S19" i="2"/>
  <c r="Q19" i="2"/>
  <c r="O19" i="2"/>
  <c r="M19" i="2"/>
  <c r="K19" i="2"/>
  <c r="I19" i="2"/>
  <c r="AE18" i="2"/>
  <c r="AF18" i="2" s="1"/>
  <c r="Z18" i="2"/>
  <c r="AA18" i="2" s="1"/>
  <c r="AB18" i="2" s="1"/>
  <c r="AD18" i="2" s="1"/>
  <c r="Y18" i="2"/>
  <c r="W18" i="2"/>
  <c r="U18" i="2"/>
  <c r="S18" i="2"/>
  <c r="Q18" i="2"/>
  <c r="O18" i="2"/>
  <c r="M18" i="2"/>
  <c r="K18" i="2"/>
  <c r="I18" i="2"/>
  <c r="AE17" i="2"/>
  <c r="AF17" i="2" s="1"/>
  <c r="Z17" i="2"/>
  <c r="AA17" i="2" s="1"/>
  <c r="AB17" i="2" s="1"/>
  <c r="AD17" i="2" s="1"/>
  <c r="Y17" i="2"/>
  <c r="W17" i="2"/>
  <c r="U17" i="2"/>
  <c r="S17" i="2"/>
  <c r="Q17" i="2"/>
  <c r="O17" i="2"/>
  <c r="M17" i="2"/>
  <c r="K17" i="2"/>
  <c r="I17" i="2"/>
  <c r="AE16" i="2"/>
  <c r="AF16" i="2" s="1"/>
  <c r="Z16" i="2"/>
  <c r="AA16" i="2" s="1"/>
  <c r="AB16" i="2" s="1"/>
  <c r="AD16" i="2" s="1"/>
  <c r="Y16" i="2"/>
  <c r="W16" i="2"/>
  <c r="U16" i="2"/>
  <c r="S16" i="2"/>
  <c r="Q16" i="2"/>
  <c r="O16" i="2"/>
  <c r="M16" i="2"/>
  <c r="K16" i="2"/>
  <c r="I16" i="2"/>
  <c r="AE15" i="2"/>
  <c r="AF15" i="2" s="1"/>
  <c r="Z15" i="2"/>
  <c r="AA15" i="2" s="1"/>
  <c r="AB15" i="2" s="1"/>
  <c r="AD15" i="2" s="1"/>
  <c r="Y15" i="2"/>
  <c r="W15" i="2"/>
  <c r="U15" i="2"/>
  <c r="S15" i="2"/>
  <c r="Q15" i="2"/>
  <c r="O15" i="2"/>
  <c r="M15" i="2"/>
  <c r="K15" i="2"/>
  <c r="I15" i="2"/>
  <c r="AE14" i="2"/>
  <c r="AF14" i="2" s="1"/>
  <c r="Z14" i="2"/>
  <c r="AA14" i="2" s="1"/>
  <c r="Y14" i="2"/>
  <c r="W14" i="2"/>
  <c r="U14" i="2"/>
  <c r="S14" i="2"/>
  <c r="Q14" i="2"/>
  <c r="O14" i="2"/>
  <c r="M14" i="2"/>
  <c r="K14" i="2"/>
  <c r="I14" i="2"/>
  <c r="AE13" i="2"/>
  <c r="AF13" i="2" s="1"/>
  <c r="Z13" i="2"/>
  <c r="AA13" i="2" s="1"/>
  <c r="AB13" i="2" s="1"/>
  <c r="AD13" i="2" s="1"/>
  <c r="Y13" i="2"/>
  <c r="W13" i="2"/>
  <c r="U13" i="2"/>
  <c r="S13" i="2"/>
  <c r="Q13" i="2"/>
  <c r="O13" i="2"/>
  <c r="M13" i="2"/>
  <c r="K13" i="2"/>
  <c r="I13" i="2"/>
  <c r="AE12" i="2"/>
  <c r="AF12" i="2" s="1"/>
  <c r="Z12" i="2"/>
  <c r="AA12" i="2" s="1"/>
  <c r="AB12" i="2" s="1"/>
  <c r="AD12" i="2" s="1"/>
  <c r="Y12" i="2"/>
  <c r="W12" i="2"/>
  <c r="U12" i="2"/>
  <c r="S12" i="2"/>
  <c r="Q12" i="2"/>
  <c r="O12" i="2"/>
  <c r="M12" i="2"/>
  <c r="K12" i="2"/>
  <c r="I12" i="2"/>
  <c r="AE11" i="2"/>
  <c r="AF11" i="2" s="1"/>
  <c r="Z11" i="2"/>
  <c r="AA11" i="2" s="1"/>
  <c r="AB11" i="2" s="1"/>
  <c r="AD11" i="2" s="1"/>
  <c r="Y11" i="2"/>
  <c r="W11" i="2"/>
  <c r="U11" i="2"/>
  <c r="S11" i="2"/>
  <c r="Q11" i="2"/>
  <c r="O11" i="2"/>
  <c r="M11" i="2"/>
  <c r="K11" i="2"/>
  <c r="I11" i="2"/>
  <c r="AE10" i="2"/>
  <c r="AF10" i="2" s="1"/>
  <c r="Z10" i="2"/>
  <c r="AA10" i="2" s="1"/>
  <c r="AB10" i="2" s="1"/>
  <c r="AD10" i="2" s="1"/>
  <c r="Y10" i="2"/>
  <c r="W10" i="2"/>
  <c r="U10" i="2"/>
  <c r="S10" i="2"/>
  <c r="Q10" i="2"/>
  <c r="O10" i="2"/>
  <c r="M10" i="2"/>
  <c r="K10" i="2"/>
  <c r="I10" i="2"/>
  <c r="AE9" i="2"/>
  <c r="AF9" i="2" s="1"/>
  <c r="Z9" i="2"/>
  <c r="AA9" i="2" s="1"/>
  <c r="AB9" i="2" s="1"/>
  <c r="AD9" i="2" s="1"/>
  <c r="Y9" i="2"/>
  <c r="W9" i="2"/>
  <c r="U9" i="2"/>
  <c r="S9" i="2"/>
  <c r="Q9" i="2"/>
  <c r="O9" i="2"/>
  <c r="M9" i="2"/>
  <c r="K9" i="2"/>
  <c r="I9" i="2"/>
  <c r="AE8" i="2"/>
  <c r="AF8" i="2" s="1"/>
  <c r="Z8" i="2"/>
  <c r="AA8" i="2" s="1"/>
  <c r="AB8" i="2" s="1"/>
  <c r="AD8" i="2" s="1"/>
  <c r="Y8" i="2"/>
  <c r="W8" i="2"/>
  <c r="U8" i="2"/>
  <c r="S8" i="2"/>
  <c r="Q8" i="2"/>
  <c r="O8" i="2"/>
  <c r="M8" i="2"/>
  <c r="K8" i="2"/>
  <c r="I8" i="2"/>
  <c r="AE7" i="2"/>
  <c r="AF7" i="2" s="1"/>
  <c r="Z7" i="2"/>
  <c r="AA7" i="2" s="1"/>
  <c r="AB7" i="2" s="1"/>
  <c r="AD7" i="2" s="1"/>
  <c r="Y7" i="2"/>
  <c r="W7" i="2"/>
  <c r="U7" i="2"/>
  <c r="S7" i="2"/>
  <c r="Q7" i="2"/>
  <c r="O7" i="2"/>
  <c r="M7" i="2"/>
  <c r="K7" i="2"/>
  <c r="I7" i="2"/>
  <c r="AE6" i="2"/>
  <c r="AF6" i="2" s="1"/>
  <c r="Z6" i="2"/>
  <c r="AA6" i="2" s="1"/>
  <c r="AB6" i="2" s="1"/>
  <c r="AD6" i="2" s="1"/>
  <c r="Y6" i="2"/>
  <c r="W6" i="2"/>
  <c r="U6" i="2"/>
  <c r="S6" i="2"/>
  <c r="Q6" i="2"/>
  <c r="O6" i="2"/>
  <c r="M6" i="2"/>
  <c r="K6" i="2"/>
  <c r="I6" i="2"/>
  <c r="AE5" i="2"/>
  <c r="AF5" i="2" s="1"/>
  <c r="Z5" i="2"/>
  <c r="AA5" i="2" s="1"/>
  <c r="AB5" i="2" s="1"/>
  <c r="AD5" i="2" s="1"/>
  <c r="Y5" i="2"/>
  <c r="W5" i="2"/>
  <c r="U5" i="2"/>
  <c r="S5" i="2"/>
  <c r="Q5" i="2"/>
  <c r="O5" i="2"/>
  <c r="M5" i="2"/>
  <c r="K5" i="2"/>
  <c r="I5" i="2"/>
  <c r="AE4" i="2"/>
  <c r="AF4" i="2" s="1"/>
  <c r="Z4" i="2"/>
  <c r="AA4" i="2" s="1"/>
  <c r="AB4" i="2" s="1"/>
  <c r="AD4" i="2" s="1"/>
  <c r="Y4" i="2"/>
  <c r="W4" i="2"/>
  <c r="U4" i="2"/>
  <c r="S4" i="2"/>
  <c r="Q4" i="2"/>
  <c r="O4" i="2"/>
  <c r="M4" i="2"/>
  <c r="K4" i="2"/>
  <c r="I4" i="2"/>
  <c r="AE3" i="2"/>
  <c r="AF3" i="2" s="1"/>
  <c r="Z3" i="2"/>
  <c r="AA3" i="2" s="1"/>
  <c r="AB3" i="2" s="1"/>
  <c r="AD3" i="2" s="1"/>
  <c r="Y3" i="2"/>
  <c r="W3" i="2"/>
  <c r="U3" i="2"/>
  <c r="S3" i="2"/>
  <c r="Q3" i="2"/>
  <c r="O3" i="2"/>
  <c r="M3" i="2"/>
  <c r="K3" i="2"/>
  <c r="I3" i="2"/>
  <c r="AE2" i="2"/>
  <c r="AF2" i="2" s="1"/>
  <c r="Z2" i="2"/>
  <c r="AA2" i="2" s="1"/>
  <c r="AB2" i="2" s="1"/>
  <c r="AD2" i="2" s="1"/>
  <c r="Y2" i="2"/>
  <c r="W2" i="2"/>
  <c r="U2" i="2"/>
  <c r="S2" i="2"/>
  <c r="Q2" i="2"/>
  <c r="O2" i="2"/>
  <c r="M2" i="2"/>
  <c r="K2" i="2"/>
  <c r="I2" i="2"/>
  <c r="AB14" i="2" l="1"/>
  <c r="AD14" i="2" s="1"/>
  <c r="AA31" i="2"/>
  <c r="AA32" i="2" s="1"/>
  <c r="AG54" i="2"/>
  <c r="AH54" i="2" s="1"/>
  <c r="AI54" i="2" s="1"/>
  <c r="AG9" i="2"/>
  <c r="AH9" i="2" s="1"/>
  <c r="AI9" i="2" s="1"/>
  <c r="AG2" i="2"/>
  <c r="AH2" i="2" s="1"/>
  <c r="AI2" i="2" s="1"/>
  <c r="AG10" i="2"/>
  <c r="AH10" i="2" s="1"/>
  <c r="AI10" i="2" s="1"/>
  <c r="AG3" i="2"/>
  <c r="AH3" i="2" s="1"/>
  <c r="AI3" i="2" s="1"/>
  <c r="AG17" i="2"/>
  <c r="AH17" i="2" s="1"/>
  <c r="AI17" i="2" s="1"/>
  <c r="AG106" i="2"/>
  <c r="AH106" i="2" s="1"/>
  <c r="AI106" i="2" s="1"/>
  <c r="AG7" i="2"/>
  <c r="AH7" i="2" s="1"/>
  <c r="AI7" i="2" s="1"/>
  <c r="AG72" i="2"/>
  <c r="AH72" i="2" s="1"/>
  <c r="AI72" i="2" s="1"/>
  <c r="AG38" i="2"/>
  <c r="AH38" i="2" s="1"/>
  <c r="AI38" i="2" s="1"/>
  <c r="AG15" i="2"/>
  <c r="AH15" i="2" s="1"/>
  <c r="AI15" i="2" s="1"/>
  <c r="T33" i="2"/>
  <c r="AG8" i="2"/>
  <c r="AH8" i="2" s="1"/>
  <c r="AI8" i="2" s="1"/>
  <c r="AG13" i="2"/>
  <c r="AH13" i="2" s="1"/>
  <c r="AI13" i="2" s="1"/>
  <c r="AG26" i="2"/>
  <c r="AH26" i="2" s="1"/>
  <c r="AI26" i="2" s="1"/>
  <c r="I62" i="2"/>
  <c r="I63" i="2" s="1"/>
  <c r="I64" i="2" s="1"/>
  <c r="AG59" i="2"/>
  <c r="AH59" i="2" s="1"/>
  <c r="AI59" i="2" s="1"/>
  <c r="AG30" i="2"/>
  <c r="AH30" i="2" s="1"/>
  <c r="AI30" i="2" s="1"/>
  <c r="AG5" i="2"/>
  <c r="AH5" i="2" s="1"/>
  <c r="AI5" i="2" s="1"/>
  <c r="AG21" i="2"/>
  <c r="AH21" i="2" s="1"/>
  <c r="AI21" i="2" s="1"/>
  <c r="AG25" i="2"/>
  <c r="AH25" i="2" s="1"/>
  <c r="AI25" i="2" s="1"/>
  <c r="AG18" i="2"/>
  <c r="AH18" i="2" s="1"/>
  <c r="AI18" i="2" s="1"/>
  <c r="H33" i="2"/>
  <c r="Q62" i="2"/>
  <c r="Q63" i="2" s="1"/>
  <c r="Q64" i="2" s="1"/>
  <c r="AG16" i="2"/>
  <c r="AH16" i="2" s="1"/>
  <c r="AI16" i="2" s="1"/>
  <c r="AG22" i="2"/>
  <c r="AH22" i="2" s="1"/>
  <c r="AI22" i="2" s="1"/>
  <c r="L33" i="2"/>
  <c r="Y62" i="2"/>
  <c r="Y63" i="2" s="1"/>
  <c r="Y64" i="2" s="1"/>
  <c r="U62" i="2"/>
  <c r="U63" i="2" s="1"/>
  <c r="U64" i="2" s="1"/>
  <c r="S108" i="2"/>
  <c r="S109" i="2" s="1"/>
  <c r="S110" i="2" s="1"/>
  <c r="AG101" i="2"/>
  <c r="AH101" i="2" s="1"/>
  <c r="AI101" i="2" s="1"/>
  <c r="AG105" i="2"/>
  <c r="AH105" i="2" s="1"/>
  <c r="AI105" i="2" s="1"/>
  <c r="AG20" i="2"/>
  <c r="AH20" i="2" s="1"/>
  <c r="AI20" i="2" s="1"/>
  <c r="AG11" i="2"/>
  <c r="AH11" i="2" s="1"/>
  <c r="AI11" i="2" s="1"/>
  <c r="AG24" i="2"/>
  <c r="AH24" i="2" s="1"/>
  <c r="AI24" i="2" s="1"/>
  <c r="X33" i="2"/>
  <c r="AG44" i="2"/>
  <c r="AH44" i="2" s="1"/>
  <c r="AI44" i="2" s="1"/>
  <c r="AA71" i="2"/>
  <c r="K108" i="2"/>
  <c r="K109" i="2" s="1"/>
  <c r="K110" i="2" s="1"/>
  <c r="AG55" i="2"/>
  <c r="AH55" i="2" s="1"/>
  <c r="AI55" i="2" s="1"/>
  <c r="W108" i="2"/>
  <c r="W109" i="2" s="1"/>
  <c r="W110" i="2" s="1"/>
  <c r="AG4" i="2"/>
  <c r="AH4" i="2" s="1"/>
  <c r="AI4" i="2" s="1"/>
  <c r="AG12" i="2"/>
  <c r="AH12" i="2" s="1"/>
  <c r="AI12" i="2" s="1"/>
  <c r="AG6" i="2"/>
  <c r="AH6" i="2" s="1"/>
  <c r="AI6" i="2" s="1"/>
  <c r="AG14" i="2"/>
  <c r="AH14" i="2" s="1"/>
  <c r="AI14" i="2" s="1"/>
  <c r="AG27" i="2"/>
  <c r="AH27" i="2" s="1"/>
  <c r="AI27" i="2" s="1"/>
  <c r="O108" i="2"/>
  <c r="O109" i="2" s="1"/>
  <c r="O110" i="2" s="1"/>
  <c r="M31" i="2"/>
  <c r="M32" i="2" s="1"/>
  <c r="U31" i="2"/>
  <c r="U32" i="2" s="1"/>
  <c r="U33" i="2" s="1"/>
  <c r="AG19" i="2"/>
  <c r="AH19" i="2" s="1"/>
  <c r="AI19" i="2" s="1"/>
  <c r="AG23" i="2"/>
  <c r="AH23" i="2" s="1"/>
  <c r="AI23" i="2" s="1"/>
  <c r="P32" i="2"/>
  <c r="P33" i="2" s="1"/>
  <c r="O62" i="2"/>
  <c r="O63" i="2" s="1"/>
  <c r="O64" i="2" s="1"/>
  <c r="W62" i="2"/>
  <c r="W63" i="2" s="1"/>
  <c r="W64" i="2" s="1"/>
  <c r="AG47" i="2"/>
  <c r="AH47" i="2" s="1"/>
  <c r="AI47" i="2" s="1"/>
  <c r="S31" i="2"/>
  <c r="S32" i="2" s="1"/>
  <c r="W31" i="2"/>
  <c r="W32" i="2" s="1"/>
  <c r="W33" i="2" s="1"/>
  <c r="AG36" i="2"/>
  <c r="AH36" i="2" s="1"/>
  <c r="AI36" i="2" s="1"/>
  <c r="AG28" i="2"/>
  <c r="AH28" i="2" s="1"/>
  <c r="AI28" i="2" s="1"/>
  <c r="AG29" i="2"/>
  <c r="AH29" i="2" s="1"/>
  <c r="AI29" i="2" s="1"/>
  <c r="K31" i="2"/>
  <c r="K32" i="2" s="1"/>
  <c r="AG45" i="2"/>
  <c r="AH45" i="2" s="1"/>
  <c r="AI45" i="2" s="1"/>
  <c r="AG46" i="2"/>
  <c r="AH46" i="2" s="1"/>
  <c r="AI46" i="2" s="1"/>
  <c r="AG75" i="2"/>
  <c r="AH75" i="2" s="1"/>
  <c r="AI75" i="2" s="1"/>
  <c r="R32" i="2"/>
  <c r="R33" i="2" s="1"/>
  <c r="N32" i="2"/>
  <c r="K62" i="2"/>
  <c r="K63" i="2" s="1"/>
  <c r="S62" i="2"/>
  <c r="S63" i="2" s="1"/>
  <c r="AG60" i="2"/>
  <c r="AH60" i="2" s="1"/>
  <c r="AI60" i="2" s="1"/>
  <c r="AG61" i="2"/>
  <c r="AH61" i="2" s="1"/>
  <c r="AI61" i="2" s="1"/>
  <c r="M108" i="2"/>
  <c r="U108" i="2"/>
  <c r="U109" i="2" s="1"/>
  <c r="U110" i="2" s="1"/>
  <c r="I31" i="2"/>
  <c r="Q31" i="2"/>
  <c r="Y31" i="2"/>
  <c r="Y32" i="2" s="1"/>
  <c r="O31" i="2"/>
  <c r="J32" i="2"/>
  <c r="J33" i="2" s="1"/>
  <c r="M62" i="2"/>
  <c r="J63" i="2"/>
  <c r="J64" i="2" s="1"/>
  <c r="N63" i="2"/>
  <c r="R63" i="2"/>
  <c r="R64" i="2" s="1"/>
  <c r="V63" i="2"/>
  <c r="V64" i="2" s="1"/>
  <c r="I108" i="2"/>
  <c r="Q108" i="2"/>
  <c r="Q109" i="2" s="1"/>
  <c r="Y108" i="2"/>
  <c r="Y109" i="2" s="1"/>
  <c r="H109" i="2"/>
  <c r="H110" i="2" s="1"/>
  <c r="L109" i="2"/>
  <c r="L110" i="2" s="1"/>
  <c r="P109" i="2"/>
  <c r="P110" i="2" s="1"/>
  <c r="T109" i="2"/>
  <c r="T110" i="2" s="1"/>
  <c r="X109" i="2"/>
  <c r="X110" i="2" s="1"/>
  <c r="AI31" i="2" l="1"/>
  <c r="AA33" i="2"/>
  <c r="AA62" i="2"/>
  <c r="AA63" i="2" s="1"/>
  <c r="AI62" i="2"/>
  <c r="AI63" i="2" s="1"/>
  <c r="AI64" i="2" s="1"/>
  <c r="AA108" i="2"/>
  <c r="AA109" i="2" s="1"/>
  <c r="AA110" i="2" s="1"/>
  <c r="AB71" i="2"/>
  <c r="AD71" i="2" s="1"/>
  <c r="AG71" i="2" s="1"/>
  <c r="AH71" i="2" s="1"/>
  <c r="AI71" i="2" s="1"/>
  <c r="AI108" i="2" s="1"/>
  <c r="AI109" i="2" s="1"/>
  <c r="AI110" i="2" s="1"/>
  <c r="S33" i="2"/>
  <c r="S64" i="2"/>
  <c r="O32" i="2"/>
  <c r="O33" i="2" s="1"/>
  <c r="Q110" i="2"/>
  <c r="M33" i="2"/>
  <c r="K64" i="2"/>
  <c r="I32" i="2"/>
  <c r="I33" i="2" s="1"/>
  <c r="I109" i="2"/>
  <c r="I110" i="2" s="1"/>
  <c r="Y110" i="2"/>
  <c r="Y33" i="2"/>
  <c r="Q32" i="2"/>
  <c r="Q33" i="2" s="1"/>
  <c r="M63" i="2"/>
  <c r="M64" i="2" s="1"/>
  <c r="M109" i="2"/>
  <c r="M110" i="2" s="1"/>
  <c r="N33" i="2"/>
  <c r="K33" i="2"/>
  <c r="N64" i="2"/>
  <c r="AI32" i="2" l="1"/>
  <c r="AI33" i="2" s="1"/>
  <c r="AA64" i="2"/>
</calcChain>
</file>

<file path=xl/sharedStrings.xml><?xml version="1.0" encoding="utf-8"?>
<sst xmlns="http://schemas.openxmlformats.org/spreadsheetml/2006/main" count="913" uniqueCount="201">
  <si>
    <t xml:space="preserve">  Total  </t>
  </si>
  <si>
    <t>Sample</t>
  </si>
  <si>
    <t>Texture</t>
    <phoneticPr fontId="1" type="noConversion"/>
  </si>
  <si>
    <t>Color</t>
  </si>
  <si>
    <t>Type</t>
    <phoneticPr fontId="1" type="noConversion"/>
  </si>
  <si>
    <t>ZLG-1-1</t>
    <phoneticPr fontId="1" type="noConversion"/>
  </si>
  <si>
    <t>1170m</t>
    <phoneticPr fontId="1" type="noConversion"/>
  </si>
  <si>
    <t>Colloform, acicular</t>
  </si>
  <si>
    <t>Dark brown</t>
    <phoneticPr fontId="1" type="noConversion"/>
  </si>
  <si>
    <t>Sp1</t>
    <phoneticPr fontId="1" type="noConversion"/>
  </si>
  <si>
    <t>Light brown</t>
    <phoneticPr fontId="1" type="noConversion"/>
  </si>
  <si>
    <t>Yellow</t>
    <phoneticPr fontId="1" type="noConversion"/>
  </si>
  <si>
    <t>ZLG-1-2</t>
    <phoneticPr fontId="1" type="noConversion"/>
  </si>
  <si>
    <t>1165m</t>
    <phoneticPr fontId="1" type="noConversion"/>
  </si>
  <si>
    <t>Colloform, acicular</t>
    <phoneticPr fontId="1" type="noConversion"/>
  </si>
  <si>
    <t>ZLG-2-1</t>
    <phoneticPr fontId="1" type="noConversion"/>
  </si>
  <si>
    <t>1090m</t>
    <phoneticPr fontId="1" type="noConversion"/>
  </si>
  <si>
    <t>Acicular-euhedral</t>
    <phoneticPr fontId="1" type="noConversion"/>
  </si>
  <si>
    <t>Sp2</t>
    <phoneticPr fontId="1" type="noConversion"/>
  </si>
  <si>
    <t>ZLG-2-2</t>
    <phoneticPr fontId="1" type="noConversion"/>
  </si>
  <si>
    <t>1080m</t>
    <phoneticPr fontId="1" type="noConversion"/>
  </si>
  <si>
    <t>ZLG-3-1</t>
    <phoneticPr fontId="1" type="noConversion"/>
  </si>
  <si>
    <t>1030m</t>
    <phoneticPr fontId="1" type="noConversion"/>
  </si>
  <si>
    <t>Euhedral</t>
    <phoneticPr fontId="1" type="noConversion"/>
  </si>
  <si>
    <t>Sp3</t>
    <phoneticPr fontId="1" type="noConversion"/>
  </si>
  <si>
    <t>ZLG-3-2</t>
    <phoneticPr fontId="1" type="noConversion"/>
  </si>
  <si>
    <t>1025m</t>
    <phoneticPr fontId="1" type="noConversion"/>
  </si>
  <si>
    <t>ZLG-3-3</t>
    <phoneticPr fontId="1" type="noConversion"/>
  </si>
  <si>
    <t>ZLG-3-4</t>
    <phoneticPr fontId="1" type="noConversion"/>
  </si>
  <si>
    <t>1010m</t>
    <phoneticPr fontId="1" type="noConversion"/>
  </si>
  <si>
    <t>Max</t>
    <phoneticPr fontId="1" type="noConversion"/>
  </si>
  <si>
    <t>Min</t>
    <phoneticPr fontId="1" type="noConversion"/>
  </si>
  <si>
    <t>Mean</t>
    <phoneticPr fontId="1" type="noConversion"/>
  </si>
  <si>
    <t>Texture</t>
    <phoneticPr fontId="1" type="noConversion"/>
  </si>
  <si>
    <t>Type</t>
    <phoneticPr fontId="1" type="noConversion"/>
  </si>
  <si>
    <t>Mn55_ppm</t>
  </si>
  <si>
    <t>Fe57_ppm</t>
  </si>
  <si>
    <t>Cu65_ppm</t>
  </si>
  <si>
    <t>Ga71_ppm</t>
  </si>
  <si>
    <t>Ge74_ppm</t>
  </si>
  <si>
    <t>Ag107_ppm</t>
  </si>
  <si>
    <t>Cd111_ppm</t>
  </si>
  <si>
    <t>In115_ppm</t>
  </si>
  <si>
    <t>Pb208_ppm</t>
  </si>
  <si>
    <t>PC1*</t>
  </si>
  <si>
    <t>Tmean</t>
  </si>
  <si>
    <t>FeSmax</t>
    <phoneticPr fontId="1" type="noConversion"/>
  </si>
  <si>
    <t>(Fe/Zn)mol</t>
    <phoneticPr fontId="1" type="noConversion"/>
  </si>
  <si>
    <t>FeSmol.%</t>
    <phoneticPr fontId="1" type="noConversion"/>
  </si>
  <si>
    <t>log10[FeS(sp)]</t>
    <phoneticPr fontId="1" type="noConversion"/>
  </si>
  <si>
    <t>ZLG-1-1</t>
    <phoneticPr fontId="1" type="noConversion"/>
  </si>
  <si>
    <t>1170m</t>
    <phoneticPr fontId="1" type="noConversion"/>
  </si>
  <si>
    <t>Dark brown</t>
    <phoneticPr fontId="1" type="noConversion"/>
  </si>
  <si>
    <t>Dark brown</t>
    <phoneticPr fontId="1" type="noConversion"/>
  </si>
  <si>
    <t>Sp1</t>
    <phoneticPr fontId="1" type="noConversion"/>
  </si>
  <si>
    <t>Sp1</t>
    <phoneticPr fontId="1" type="noConversion"/>
  </si>
  <si>
    <t>Sp1</t>
    <phoneticPr fontId="1" type="noConversion"/>
  </si>
  <si>
    <t>Dark brown</t>
    <phoneticPr fontId="1" type="noConversion"/>
  </si>
  <si>
    <t>Light brown</t>
    <phoneticPr fontId="1" type="noConversion"/>
  </si>
  <si>
    <t>Yellow</t>
    <phoneticPr fontId="1" type="noConversion"/>
  </si>
  <si>
    <t>Yellow</t>
    <phoneticPr fontId="1" type="noConversion"/>
  </si>
  <si>
    <t>ZLG-1-2</t>
    <phoneticPr fontId="1" type="noConversion"/>
  </si>
  <si>
    <t>1165m</t>
    <phoneticPr fontId="1" type="noConversion"/>
  </si>
  <si>
    <t>Colloform, acicular</t>
    <phoneticPr fontId="1" type="noConversion"/>
  </si>
  <si>
    <t>Light brown</t>
    <phoneticPr fontId="1" type="noConversion"/>
  </si>
  <si>
    <t>Colloform, acicular</t>
    <phoneticPr fontId="1" type="noConversion"/>
  </si>
  <si>
    <t>Max</t>
  </si>
  <si>
    <t>Min</t>
  </si>
  <si>
    <t>Mean</t>
  </si>
  <si>
    <t>ZLG-2-1</t>
    <phoneticPr fontId="1" type="noConversion"/>
  </si>
  <si>
    <t>1090m</t>
    <phoneticPr fontId="1" type="noConversion"/>
  </si>
  <si>
    <t>Acicular-euhedral</t>
    <phoneticPr fontId="1" type="noConversion"/>
  </si>
  <si>
    <t>Yellow</t>
    <phoneticPr fontId="1" type="noConversion"/>
  </si>
  <si>
    <t>Sp2</t>
    <phoneticPr fontId="1" type="noConversion"/>
  </si>
  <si>
    <t>Light brown</t>
    <phoneticPr fontId="1" type="noConversion"/>
  </si>
  <si>
    <t>Sp2</t>
    <phoneticPr fontId="1" type="noConversion"/>
  </si>
  <si>
    <t>Acicular-euhedral</t>
    <phoneticPr fontId="1" type="noConversion"/>
  </si>
  <si>
    <t>ZLG-2-2</t>
    <phoneticPr fontId="1" type="noConversion"/>
  </si>
  <si>
    <t>1080m</t>
    <phoneticPr fontId="1" type="noConversion"/>
  </si>
  <si>
    <t>Yellow</t>
    <phoneticPr fontId="1" type="noConversion"/>
  </si>
  <si>
    <t>Sp2</t>
    <phoneticPr fontId="1" type="noConversion"/>
  </si>
  <si>
    <t>ZLG-3-1</t>
    <phoneticPr fontId="1" type="noConversion"/>
  </si>
  <si>
    <t>1030m</t>
    <phoneticPr fontId="1" type="noConversion"/>
  </si>
  <si>
    <t>Euhedral</t>
    <phoneticPr fontId="1" type="noConversion"/>
  </si>
  <si>
    <t>Euhedral</t>
    <phoneticPr fontId="1" type="noConversion"/>
  </si>
  <si>
    <t>Sp3</t>
    <phoneticPr fontId="1" type="noConversion"/>
  </si>
  <si>
    <t>Sp3</t>
    <phoneticPr fontId="1" type="noConversion"/>
  </si>
  <si>
    <t>ZLG-3-2</t>
    <phoneticPr fontId="1" type="noConversion"/>
  </si>
  <si>
    <t>1025m</t>
    <phoneticPr fontId="1" type="noConversion"/>
  </si>
  <si>
    <t>ZLG-3-3</t>
    <phoneticPr fontId="1" type="noConversion"/>
  </si>
  <si>
    <t>ZLG-3-4</t>
    <phoneticPr fontId="1" type="noConversion"/>
  </si>
  <si>
    <t>1010m</t>
    <phoneticPr fontId="1" type="noConversion"/>
  </si>
  <si>
    <t>S34_wt%</t>
  </si>
  <si>
    <t>Zn wt%</t>
  </si>
  <si>
    <t xml:space="preserve">   Sb  wt%</t>
  </si>
  <si>
    <t xml:space="preserve">   Sn wt%</t>
  </si>
  <si>
    <t xml:space="preserve">   In wt%</t>
  </si>
  <si>
    <t xml:space="preserve">   Ge wt%    </t>
  </si>
  <si>
    <t xml:space="preserve">   As wt% </t>
  </si>
  <si>
    <t xml:space="preserve">   Ga wt%</t>
  </si>
  <si>
    <t xml:space="preserve">   Cu wt%</t>
  </si>
  <si>
    <t xml:space="preserve">   Fe wt%    </t>
  </si>
  <si>
    <t xml:space="preserve">   Mn wt%   </t>
  </si>
  <si>
    <t xml:space="preserve">   Hg wt%    </t>
  </si>
  <si>
    <t xml:space="preserve">   S wt%     </t>
  </si>
  <si>
    <t xml:space="preserve">   Pb wt% </t>
  </si>
  <si>
    <t xml:space="preserve">   Ag wt%   </t>
  </si>
  <si>
    <t xml:space="preserve">   Cd wt%    </t>
  </si>
  <si>
    <t>Zn66_wt%</t>
  </si>
  <si>
    <t>Elevation</t>
  </si>
  <si>
    <t>Mn55_molar</t>
  </si>
  <si>
    <t>Fe57_molar</t>
  </si>
  <si>
    <t>Cu65_molar</t>
  </si>
  <si>
    <t>Ga71_molar</t>
  </si>
  <si>
    <t>Ge74_molar</t>
  </si>
  <si>
    <t>Ag107_molar</t>
  </si>
  <si>
    <t>Cd111_molar</t>
  </si>
  <si>
    <t>In115_molar</t>
  </si>
  <si>
    <t>Pb208_molar</t>
  </si>
  <si>
    <t>Detection limit</t>
    <phoneticPr fontId="1" type="noConversion"/>
  </si>
  <si>
    <t>Colloform, acicular</t>
    <phoneticPr fontId="1" type="noConversion"/>
  </si>
  <si>
    <t>Electronic supplementary material</t>
    <phoneticPr fontId="1" type="noConversion"/>
  </si>
  <si>
    <t>ESM1-Table S1</t>
    <phoneticPr fontId="1" type="noConversion"/>
  </si>
  <si>
    <t>Journal: Mineralium Deposita</t>
  </si>
  <si>
    <t>Affiliation of the corresponding author: School of Earth Sciences, Yunnan University, China</t>
    <phoneticPr fontId="1" type="noConversion"/>
  </si>
  <si>
    <t>e-mail address: zhoujiaxi@ynu.edu.cn</t>
    <phoneticPr fontId="1" type="noConversion"/>
  </si>
  <si>
    <t>Type</t>
  </si>
  <si>
    <r>
      <t>S isotope (δ</t>
    </r>
    <r>
      <rPr>
        <b/>
        <vertAlign val="superscript"/>
        <sz val="10"/>
        <color theme="1"/>
        <rFont val="Times New Roman"/>
        <family val="1"/>
      </rPr>
      <t>34</t>
    </r>
    <r>
      <rPr>
        <b/>
        <sz val="10"/>
        <color theme="1"/>
        <rFont val="Times New Roman"/>
        <family val="1"/>
      </rPr>
      <t>S; ‰)</t>
    </r>
    <phoneticPr fontId="1" type="noConversion"/>
  </si>
  <si>
    <r>
      <t>208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204</t>
    </r>
    <r>
      <rPr>
        <b/>
        <sz val="10"/>
        <color theme="1"/>
        <rFont val="Times New Roman"/>
        <family val="1"/>
      </rPr>
      <t>Pb</t>
    </r>
  </si>
  <si>
    <t>2SE</t>
  </si>
  <si>
    <r>
      <t>207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204</t>
    </r>
    <r>
      <rPr>
        <b/>
        <sz val="10"/>
        <color theme="1"/>
        <rFont val="Times New Roman"/>
        <family val="1"/>
      </rPr>
      <t>Pb</t>
    </r>
  </si>
  <si>
    <r>
      <t>206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204</t>
    </r>
    <r>
      <rPr>
        <b/>
        <sz val="10"/>
        <color theme="1"/>
        <rFont val="Times New Roman"/>
        <family val="1"/>
      </rPr>
      <t>Pb</t>
    </r>
  </si>
  <si>
    <t>1170m</t>
    <phoneticPr fontId="1" type="noConversion"/>
  </si>
  <si>
    <t>Dark brown</t>
    <phoneticPr fontId="1" type="noConversion"/>
  </si>
  <si>
    <t>Dark brown</t>
    <phoneticPr fontId="1" type="noConversion"/>
  </si>
  <si>
    <t>Light brown</t>
    <phoneticPr fontId="1" type="noConversion"/>
  </si>
  <si>
    <t>Sp1</t>
    <phoneticPr fontId="1" type="noConversion"/>
  </si>
  <si>
    <t>Min</t>
    <phoneticPr fontId="1" type="noConversion"/>
  </si>
  <si>
    <t>Mean</t>
    <phoneticPr fontId="1" type="noConversion"/>
  </si>
  <si>
    <t>Py1</t>
    <phoneticPr fontId="1" type="noConversion"/>
  </si>
  <si>
    <t>Py1</t>
    <phoneticPr fontId="1" type="noConversion"/>
  </si>
  <si>
    <t>Dark brown</t>
    <phoneticPr fontId="1" type="noConversion"/>
  </si>
  <si>
    <t>Py2</t>
    <phoneticPr fontId="1" type="noConversion"/>
  </si>
  <si>
    <t>Py2</t>
    <phoneticPr fontId="1" type="noConversion"/>
  </si>
  <si>
    <t>Acicular-euhedral</t>
    <phoneticPr fontId="1" type="noConversion"/>
  </si>
  <si>
    <t>Sp2</t>
    <phoneticPr fontId="1" type="noConversion"/>
  </si>
  <si>
    <t>Yellow</t>
    <phoneticPr fontId="1" type="noConversion"/>
  </si>
  <si>
    <t>Sp2</t>
    <phoneticPr fontId="1" type="noConversion"/>
  </si>
  <si>
    <t>Acicular-euhedral</t>
    <phoneticPr fontId="1" type="noConversion"/>
  </si>
  <si>
    <t>Light brown</t>
    <phoneticPr fontId="1" type="noConversion"/>
  </si>
  <si>
    <t>Light brown</t>
    <phoneticPr fontId="1" type="noConversion"/>
  </si>
  <si>
    <t>Euhedral</t>
    <phoneticPr fontId="1" type="noConversion"/>
  </si>
  <si>
    <t>Element pair</t>
  </si>
  <si>
    <t>SSIM from LA-ICP-MS maps</t>
  </si>
  <si>
    <r>
      <t>r</t>
    </r>
    <r>
      <rPr>
        <b/>
        <vertAlign val="superscript"/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>from spot analyses (n=100).</t>
    </r>
  </si>
  <si>
    <t>Sp1</t>
  </si>
  <si>
    <t>Sp2</t>
  </si>
  <si>
    <t>Sp3</t>
  </si>
  <si>
    <t>Sp1 (n=29)</t>
  </si>
  <si>
    <t>Sp2 (n=28)</t>
  </si>
  <si>
    <t>Sp3 (n=43)</t>
  </si>
  <si>
    <t>Cd-Fe</t>
  </si>
  <si>
    <t>Cd-Ga</t>
  </si>
  <si>
    <r>
      <t>Cd-</t>
    </r>
    <r>
      <rPr>
        <b/>
        <sz val="11"/>
        <color rgb="FF000000"/>
        <rFont val="Times New Roman"/>
        <family val="1"/>
      </rPr>
      <t>Ge</t>
    </r>
  </si>
  <si>
    <t>Cd-Mn</t>
  </si>
  <si>
    <t>Cd-Pb</t>
  </si>
  <si>
    <t>Fe-Ga</t>
  </si>
  <si>
    <r>
      <t>Fe-</t>
    </r>
    <r>
      <rPr>
        <b/>
        <sz val="11"/>
        <color rgb="FF000000"/>
        <rFont val="Times New Roman"/>
        <family val="1"/>
      </rPr>
      <t>Ge</t>
    </r>
  </si>
  <si>
    <t>Fe-Mn</t>
  </si>
  <si>
    <t>Fe-Pb</t>
  </si>
  <si>
    <r>
      <t>Ga-</t>
    </r>
    <r>
      <rPr>
        <b/>
        <sz val="11"/>
        <color rgb="FF000000"/>
        <rFont val="Times New Roman"/>
        <family val="1"/>
      </rPr>
      <t>Ge</t>
    </r>
  </si>
  <si>
    <t>Ga-Mn</t>
  </si>
  <si>
    <t>Ga-Pb</t>
  </si>
  <si>
    <t>Ge-Mn</t>
  </si>
  <si>
    <t>Ge-Pb</t>
  </si>
  <si>
    <t>Mn-Pb</t>
  </si>
  <si>
    <t>ESM1-Table S2</t>
    <phoneticPr fontId="1" type="noConversion"/>
  </si>
  <si>
    <t>In situ LA-ICPMS dataset of Sp1-Sp3</t>
    <phoneticPr fontId="1" type="noConversion"/>
  </si>
  <si>
    <t>EPMA dataset of Sp1-Sp3</t>
    <phoneticPr fontId="1" type="noConversion"/>
  </si>
  <si>
    <t>Sulfur and lead isotopic dataset of Sp1-Sp3</t>
    <phoneticPr fontId="1" type="noConversion"/>
  </si>
  <si>
    <t>ESM1-Table S4</t>
    <phoneticPr fontId="1" type="noConversion"/>
  </si>
  <si>
    <t>ESM1-Table S3</t>
    <phoneticPr fontId="1" type="noConversion"/>
  </si>
  <si>
    <t>Max</t>
    <phoneticPr fontId="1" type="noConversion"/>
  </si>
  <si>
    <t>Min</t>
    <phoneticPr fontId="1" type="noConversion"/>
  </si>
  <si>
    <t>Mean</t>
    <phoneticPr fontId="1" type="noConversion"/>
  </si>
  <si>
    <t>T(Kelvin)</t>
    <phoneticPr fontId="1" type="noConversion"/>
  </si>
  <si>
    <t>p</t>
    <phoneticPr fontId="1" type="noConversion"/>
  </si>
  <si>
    <t>Note: Sphalerite formation temperatures were estimated using the GGIMFis geothermometer (Frenzel et al. 2016); An average formation pressure of 0.01 kbar; The detailed estimation procedure of sulfur fugacity from sphalerite composition see Frenzel et al. (2021)</t>
    <phoneticPr fontId="1" type="noConversion"/>
  </si>
  <si>
    <t>Anhedral</t>
    <phoneticPr fontId="1" type="noConversion"/>
  </si>
  <si>
    <t>Colloform, acicular</t>
    <phoneticPr fontId="1" type="noConversion"/>
  </si>
  <si>
    <t>Article Title: Germanium enrichment in sphalerite with acicular and euhedral textures: An example from the Zhulingou carbonate-hosted Zn(-Ge) deposit, South China.</t>
    <phoneticPr fontId="1" type="noConversion"/>
  </si>
  <si>
    <t>Authors: Kai Luo, Alexandre Cugerone, Mei-Fu Zhou, Jia-Xi Zhou, Guo-Tao Sun, Jing Xu, Kang-Jian He, Mao-Da Lu</t>
    <phoneticPr fontId="1" type="noConversion"/>
  </si>
  <si>
    <t>Authors: Kai Luo, Alexandre Cugerone, Mei-Fu Zhou, Jia-Xi Zhou, Guo-Tao Sun, Jing Xu, Kang-Jian He, Mao-Da Lu</t>
    <phoneticPr fontId="1" type="noConversion"/>
  </si>
  <si>
    <t>Authors: Kai Luo, Alexandre Cugerone, Mei-Fu Zhou, Jia-Xi Zhou, Guo-Tao Sun, Jing Xu, Kang-Jian He, Mao-Da Lu</t>
    <phoneticPr fontId="1" type="noConversion"/>
  </si>
  <si>
    <r>
      <t>log10fS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</si>
  <si>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dfS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</si>
  <si>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t>Comparison between the SSIM values and correlation coefficient (r) of elements of sphalerite from the Zhulingou carbonate-hosted Zn(-Ge) deposit</t>
    <phoneticPr fontId="1" type="noConversion"/>
  </si>
  <si>
    <t>Article Title: Germanium enrichment in sphalerite with acicular and euhedral textures: An example from the Zhulingou carbonate-hosted Zn(-Ge) deposit, South China</t>
    <phoneticPr fontId="1" type="noConversion"/>
  </si>
  <si>
    <t>Article Title: Germanium enrichment in sphalerite with acicular and euhedral textures: An example from the Zhulingou carbonate-hosted Zn(-Ge) deposit, South China</t>
    <phoneticPr fontId="1" type="noConversion"/>
  </si>
  <si>
    <t>Article Title: Germanium enrichment in sphalerite with acicular and euhedral textures: An example from the Zhulingou carbonate-hosted Zn(-Ge) deposit, South China</t>
    <phoneticPr fontId="1" type="noConversion"/>
  </si>
  <si>
    <r>
      <t xml:space="preserve">Note: The structural similarity (SSIM) applied to our LA-ICPMS mapping images reflects the affinity between the element pairs, reflecting both the coupled and competitive degree. The correlation coefficient (r) are from the data of LA-ICPMS spot analyses (see </t>
    </r>
    <r>
      <rPr>
        <sz val="11"/>
        <color rgb="FF0000FF"/>
        <rFont val="Times New Roman"/>
        <family val="1"/>
      </rPr>
      <t>Figure 12</t>
    </r>
    <r>
      <rPr>
        <sz val="11"/>
        <color rgb="FF000000"/>
        <rFont val="Times New Roman"/>
        <family val="1"/>
      </rPr>
      <t>). This study first calculated SSIM values to reveal the similarities between LA-ICP-MS maps and their potential correlations. The increase in the SSIM value from 0 to 1 indicates high affinity in the maps. The r (with a separate ± representing positive or negative correlation) was used on the spot analyses (n=100) to compare the degree of correlation between different elements. As a result, some significant differences appear between the SSIM and R2 but, in this study, SSIM data represent the strongest evidence to determine correlation related to the original material used (LA-ICP-MS maps). Detailed calculation procedure see</t>
    </r>
    <r>
      <rPr>
        <sz val="11"/>
        <color rgb="FF0000FF"/>
        <rFont val="Times New Roman"/>
        <family val="1"/>
      </rPr>
      <t xml:space="preserve"> ESM 2</t>
    </r>
    <r>
      <rPr>
        <sz val="11"/>
        <color rgb="FF000000"/>
        <rFont val="Times New Roman"/>
        <family val="1"/>
      </rPr>
      <t xml:space="preserve"> and </t>
    </r>
    <r>
      <rPr>
        <sz val="11"/>
        <color rgb="FF0000FF"/>
        <rFont val="Times New Roman"/>
        <family val="1"/>
      </rPr>
      <t>ESM 3-Figure S4</t>
    </r>
    <r>
      <rPr>
        <sz val="11"/>
        <color rgb="FF000000"/>
        <rFont val="Times New Roman"/>
        <family val="1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</si>
</sst>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_);[Red]\(0.0\)"/>
    <numFmt numFmtId="165" formatCode="0.00_);[Red]\(0.00\)"/>
    <numFmt numFmtId="166" formatCode="0.000_);[Red]\(0.000\)"/>
    <numFmt numFmtId="167" formatCode="0.0"/>
    <numFmt numFmtId="168" formatCode="0.000"/>
    <numFmt numFmtId="169" formatCode="0.0_ "/>
    <numFmt numFmtId="170" formatCode="0.000_ "/>
    <numFmt numFmtId="171" formatCode="0.00_ "/>
  </numFmts>
  <fonts count="2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FF"/>
      <name val="Times New Roman"/>
      <family val="1"/>
    </font>
    <font>
      <b/>
      <i/>
      <sz val="11"/>
      <name val="Times New Roman"/>
      <family val="1"/>
    </font>
    <font>
      <b/>
      <sz val="11"/>
      <color rgb="FFFF0000"/>
      <name val="Calibri"/>
      <family val="3"/>
      <charset val="134"/>
      <scheme val="minor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ill="1"/>
    <xf numFmtId="165" fontId="3" fillId="0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wrapText="1"/>
    </xf>
    <xf numFmtId="165" fontId="5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 vertical="center" wrapText="1"/>
    </xf>
    <xf numFmtId="165" fontId="5" fillId="0" borderId="0" xfId="1" applyNumberFormat="1" applyFont="1" applyFill="1" applyAlignment="1">
      <alignment horizontal="center" wrapText="1"/>
    </xf>
    <xf numFmtId="165" fontId="5" fillId="0" borderId="0" xfId="0" applyNumberFormat="1" applyFont="1" applyFill="1" applyAlignment="1">
      <alignment horizontal="center" wrapText="1"/>
    </xf>
    <xf numFmtId="165" fontId="2" fillId="0" borderId="0" xfId="0" applyNumberFormat="1" applyFont="1" applyFill="1" applyAlignment="1">
      <alignment horizontal="center" vertical="top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 vertical="top" wrapText="1"/>
    </xf>
    <xf numFmtId="165" fontId="5" fillId="0" borderId="0" xfId="0" applyNumberFormat="1" applyFont="1" applyFill="1" applyAlignment="1">
      <alignment horizontal="center"/>
    </xf>
    <xf numFmtId="165" fontId="5" fillId="0" borderId="0" xfId="1" applyNumberFormat="1" applyFont="1" applyFill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6" fillId="0" borderId="0" xfId="1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165" fontId="2" fillId="0" borderId="2" xfId="0" applyNumberFormat="1" applyFont="1" applyFill="1" applyBorder="1" applyAlignment="1">
      <alignment horizontal="center"/>
    </xf>
    <xf numFmtId="165" fontId="6" fillId="0" borderId="2" xfId="1" applyNumberFormat="1" applyFont="1" applyFill="1" applyBorder="1" applyAlignment="1">
      <alignment horizontal="center"/>
    </xf>
    <xf numFmtId="165" fontId="5" fillId="0" borderId="2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5" fontId="2" fillId="0" borderId="1" xfId="0" applyNumberFormat="1" applyFont="1" applyFill="1" applyBorder="1"/>
    <xf numFmtId="165" fontId="2" fillId="0" borderId="2" xfId="0" applyNumberFormat="1" applyFont="1" applyFill="1" applyBorder="1"/>
    <xf numFmtId="165" fontId="7" fillId="0" borderId="2" xfId="0" applyNumberFormat="1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7" fontId="3" fillId="2" borderId="4" xfId="0" applyNumberFormat="1" applyFont="1" applyFill="1" applyBorder="1" applyAlignment="1">
      <alignment horizontal="center" vertical="center" wrapText="1"/>
    </xf>
    <xf numFmtId="167" fontId="3" fillId="2" borderId="0" xfId="0" applyNumberFormat="1" applyFont="1" applyFill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167" fontId="5" fillId="2" borderId="6" xfId="0" applyNumberFormat="1" applyFont="1" applyFill="1" applyBorder="1" applyAlignment="1">
      <alignment horizontal="center" wrapText="1"/>
    </xf>
    <xf numFmtId="167" fontId="5" fillId="2" borderId="5" xfId="0" applyNumberFormat="1" applyFont="1" applyFill="1" applyBorder="1" applyAlignment="1">
      <alignment horizontal="center" wrapText="1"/>
    </xf>
    <xf numFmtId="2" fontId="5" fillId="2" borderId="6" xfId="0" applyNumberFormat="1" applyFont="1" applyFill="1" applyBorder="1" applyAlignment="1">
      <alignment horizontal="center" wrapText="1"/>
    </xf>
    <xf numFmtId="168" fontId="5" fillId="2" borderId="6" xfId="0" applyNumberFormat="1" applyFont="1" applyFill="1" applyBorder="1" applyAlignment="1">
      <alignment horizontal="center" wrapText="1"/>
    </xf>
    <xf numFmtId="2" fontId="5" fillId="2" borderId="5" xfId="0" applyNumberFormat="1" applyFont="1" applyFill="1" applyBorder="1" applyAlignment="1">
      <alignment horizontal="center" wrapText="1"/>
    </xf>
    <xf numFmtId="2" fontId="2" fillId="2" borderId="5" xfId="0" applyNumberFormat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67" fontId="5" fillId="2" borderId="4" xfId="0" applyNumberFormat="1" applyFont="1" applyFill="1" applyBorder="1" applyAlignment="1">
      <alignment horizontal="center" wrapText="1"/>
    </xf>
    <xf numFmtId="167" fontId="5" fillId="2" borderId="0" xfId="0" applyNumberFormat="1" applyFont="1" applyFill="1" applyAlignment="1">
      <alignment horizontal="center" wrapText="1"/>
    </xf>
    <xf numFmtId="2" fontId="5" fillId="2" borderId="4" xfId="0" applyNumberFormat="1" applyFont="1" applyFill="1" applyBorder="1" applyAlignment="1">
      <alignment horizontal="center" wrapText="1"/>
    </xf>
    <xf numFmtId="168" fontId="5" fillId="2" borderId="4" xfId="0" applyNumberFormat="1" applyFont="1" applyFill="1" applyBorder="1" applyAlignment="1">
      <alignment horizontal="center" wrapText="1"/>
    </xf>
    <xf numFmtId="2" fontId="5" fillId="2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168" fontId="2" fillId="2" borderId="0" xfId="0" applyNumberFormat="1" applyFont="1" applyFill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167" fontId="5" fillId="2" borderId="7" xfId="0" applyNumberFormat="1" applyFont="1" applyFill="1" applyBorder="1" applyAlignment="1">
      <alignment horizontal="center" wrapText="1"/>
    </xf>
    <xf numFmtId="167" fontId="5" fillId="2" borderId="2" xfId="0" applyNumberFormat="1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167" fontId="5" fillId="2" borderId="0" xfId="0" applyNumberFormat="1" applyFont="1" applyFill="1" applyBorder="1" applyAlignment="1">
      <alignment horizontal="center" wrapText="1"/>
    </xf>
    <xf numFmtId="2" fontId="2" fillId="2" borderId="0" xfId="0" applyNumberFormat="1" applyFont="1" applyFill="1" applyBorder="1" applyAlignment="1">
      <alignment horizontal="center" wrapText="1"/>
    </xf>
    <xf numFmtId="168" fontId="2" fillId="2" borderId="0" xfId="0" applyNumberFormat="1" applyFont="1" applyFill="1" applyBorder="1" applyAlignment="1">
      <alignment horizontal="center" wrapText="1"/>
    </xf>
    <xf numFmtId="167" fontId="3" fillId="2" borderId="0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 vertical="center"/>
    </xf>
    <xf numFmtId="168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164" fontId="7" fillId="0" borderId="8" xfId="0" applyNumberFormat="1" applyFont="1" applyFill="1" applyBorder="1" applyAlignment="1">
      <alignment horizontal="center" vertical="center"/>
    </xf>
    <xf numFmtId="165" fontId="7" fillId="0" borderId="2" xfId="0" applyNumberFormat="1" applyFont="1" applyFill="1" applyBorder="1"/>
    <xf numFmtId="165" fontId="7" fillId="0" borderId="0" xfId="0" applyNumberFormat="1" applyFont="1" applyFill="1" applyBorder="1"/>
    <xf numFmtId="165" fontId="7" fillId="0" borderId="1" xfId="0" applyNumberFormat="1" applyFont="1" applyFill="1" applyBorder="1"/>
    <xf numFmtId="165" fontId="5" fillId="0" borderId="0" xfId="1" applyNumberFormat="1" applyFont="1" applyFill="1" applyAlignment="1">
      <alignment wrapText="1"/>
    </xf>
    <xf numFmtId="0" fontId="2" fillId="0" borderId="0" xfId="0" applyFont="1" applyFill="1"/>
    <xf numFmtId="0" fontId="2" fillId="0" borderId="0" xfId="0" applyFont="1"/>
    <xf numFmtId="16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9" fontId="10" fillId="0" borderId="1" xfId="0" applyNumberFormat="1" applyFont="1" applyBorder="1" applyAlignment="1">
      <alignment horizontal="left" vertical="center"/>
    </xf>
    <xf numFmtId="170" fontId="11" fillId="0" borderId="1" xfId="0" applyNumberFormat="1" applyFont="1" applyBorder="1" applyAlignment="1">
      <alignment horizontal="left" vertical="center"/>
    </xf>
    <xf numFmtId="170" fontId="10" fillId="0" borderId="1" xfId="0" applyNumberFormat="1" applyFont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169" fontId="13" fillId="0" borderId="0" xfId="0" applyNumberFormat="1" applyFont="1" applyBorder="1" applyAlignment="1">
      <alignment horizontal="left" vertical="center"/>
    </xf>
    <xf numFmtId="170" fontId="14" fillId="0" borderId="0" xfId="0" applyNumberFormat="1" applyFont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/>
    </xf>
    <xf numFmtId="169" fontId="10" fillId="0" borderId="2" xfId="0" applyNumberFormat="1" applyFont="1" applyBorder="1" applyAlignment="1">
      <alignment horizontal="left" vertical="center"/>
    </xf>
    <xf numFmtId="170" fontId="10" fillId="0" borderId="2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169" fontId="10" fillId="0" borderId="0" xfId="0" applyNumberFormat="1" applyFont="1" applyBorder="1" applyAlignment="1">
      <alignment horizontal="left" vertical="center"/>
    </xf>
    <xf numFmtId="170" fontId="10" fillId="0" borderId="0" xfId="0" applyNumberFormat="1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170" fontId="13" fillId="0" borderId="0" xfId="0" applyNumberFormat="1" applyFont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169" fontId="14" fillId="0" borderId="0" xfId="0" applyNumberFormat="1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6" fillId="0" borderId="0" xfId="0" applyFont="1" applyAlignment="1">
      <alignment horizontal="justify" vertical="center"/>
    </xf>
    <xf numFmtId="0" fontId="16" fillId="0" borderId="9" xfId="0" applyFont="1" applyBorder="1" applyAlignment="1">
      <alignment horizontal="justify" vertical="center"/>
    </xf>
    <xf numFmtId="0" fontId="16" fillId="0" borderId="3" xfId="0" applyFont="1" applyBorder="1" applyAlignment="1">
      <alignment horizontal="justify" vertical="center"/>
    </xf>
    <xf numFmtId="0" fontId="16" fillId="0" borderId="10" xfId="0" applyFont="1" applyBorder="1" applyAlignment="1">
      <alignment horizontal="justify" vertical="center"/>
    </xf>
    <xf numFmtId="0" fontId="19" fillId="0" borderId="0" xfId="0" applyFont="1" applyAlignment="1">
      <alignment horizontal="justify" vertical="center"/>
    </xf>
    <xf numFmtId="171" fontId="19" fillId="0" borderId="0" xfId="0" applyNumberFormat="1" applyFont="1" applyAlignment="1">
      <alignment horizontal="justify" vertical="center"/>
    </xf>
    <xf numFmtId="171" fontId="16" fillId="0" borderId="0" xfId="0" applyNumberFormat="1" applyFont="1" applyAlignment="1">
      <alignment horizontal="justify" vertical="center"/>
    </xf>
    <xf numFmtId="171" fontId="19" fillId="0" borderId="11" xfId="0" applyNumberFormat="1" applyFont="1" applyBorder="1" applyAlignment="1">
      <alignment horizontal="justify" vertical="center"/>
    </xf>
    <xf numFmtId="171" fontId="16" fillId="0" borderId="11" xfId="0" applyNumberFormat="1" applyFont="1" applyBorder="1" applyAlignment="1">
      <alignment horizontal="justify" vertical="center"/>
    </xf>
    <xf numFmtId="171" fontId="16" fillId="0" borderId="3" xfId="0" applyNumberFormat="1" applyFont="1" applyBorder="1" applyAlignment="1">
      <alignment horizontal="justify" vertical="center"/>
    </xf>
    <xf numFmtId="171" fontId="16" fillId="0" borderId="12" xfId="0" applyNumberFormat="1" applyFont="1" applyBorder="1" applyAlignment="1">
      <alignment horizontal="justify" vertical="center"/>
    </xf>
    <xf numFmtId="171" fontId="19" fillId="0" borderId="3" xfId="0" applyNumberFormat="1" applyFont="1" applyBorder="1" applyAlignment="1">
      <alignment horizontal="justify" vertical="center"/>
    </xf>
    <xf numFmtId="2" fontId="2" fillId="2" borderId="1" xfId="0" applyNumberFormat="1" applyFont="1" applyFill="1" applyBorder="1" applyAlignment="1">
      <alignment horizontal="center" wrapText="1"/>
    </xf>
    <xf numFmtId="168" fontId="2" fillId="2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/>
    </xf>
    <xf numFmtId="168" fontId="7" fillId="0" borderId="1" xfId="0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8" fontId="0" fillId="0" borderId="0" xfId="0" applyNumberFormat="1" applyFill="1" applyAlignment="1">
      <alignment horizontal="center" vertical="center"/>
    </xf>
    <xf numFmtId="2" fontId="0" fillId="0" borderId="0" xfId="0" applyNumberFormat="1"/>
    <xf numFmtId="0" fontId="9" fillId="0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22" fillId="0" borderId="0" xfId="0" applyFont="1"/>
    <xf numFmtId="0" fontId="0" fillId="0" borderId="0" xfId="0" applyFill="1" applyBorder="1"/>
    <xf numFmtId="0" fontId="7" fillId="2" borderId="3" xfId="0" applyFont="1" applyFill="1" applyBorder="1" applyAlignment="1">
      <alignment horizontal="center" wrapText="1"/>
    </xf>
    <xf numFmtId="167" fontId="5" fillId="2" borderId="3" xfId="0" applyNumberFormat="1" applyFont="1" applyFill="1" applyBorder="1" applyAlignment="1">
      <alignment horizontal="center" wrapText="1"/>
    </xf>
    <xf numFmtId="0" fontId="7" fillId="0" borderId="0" xfId="0" applyFont="1"/>
    <xf numFmtId="167" fontId="3" fillId="2" borderId="2" xfId="0" applyNumberFormat="1" applyFont="1" applyFill="1" applyBorder="1" applyAlignment="1">
      <alignment horizontal="center" wrapText="1"/>
    </xf>
    <xf numFmtId="2" fontId="3" fillId="2" borderId="7" xfId="0" applyNumberFormat="1" applyFont="1" applyFill="1" applyBorder="1" applyAlignment="1">
      <alignment horizontal="center" wrapText="1"/>
    </xf>
    <xf numFmtId="168" fontId="3" fillId="2" borderId="7" xfId="0" applyNumberFormat="1" applyFont="1" applyFill="1" applyBorder="1" applyAlignment="1">
      <alignment horizontal="center" wrapText="1"/>
    </xf>
    <xf numFmtId="2" fontId="3" fillId="2" borderId="2" xfId="0" applyNumberFormat="1" applyFont="1" applyFill="1" applyBorder="1" applyAlignment="1">
      <alignment horizontal="center" wrapText="1"/>
    </xf>
    <xf numFmtId="2" fontId="7" fillId="2" borderId="2" xfId="0" applyNumberFormat="1" applyFont="1" applyFill="1" applyBorder="1" applyAlignment="1">
      <alignment horizontal="center" wrapText="1"/>
    </xf>
    <xf numFmtId="2" fontId="7" fillId="2" borderId="0" xfId="0" applyNumberFormat="1" applyFont="1" applyFill="1" applyBorder="1" applyAlignment="1">
      <alignment horizontal="center" wrapText="1"/>
    </xf>
    <xf numFmtId="168" fontId="7" fillId="2" borderId="0" xfId="0" applyNumberFormat="1" applyFont="1" applyFill="1" applyBorder="1" applyAlignment="1">
      <alignment horizontal="center" wrapText="1"/>
    </xf>
    <xf numFmtId="167" fontId="3" fillId="2" borderId="0" xfId="0" applyNumberFormat="1" applyFont="1" applyFill="1" applyBorder="1" applyAlignment="1">
      <alignment horizontal="center" wrapText="1"/>
    </xf>
    <xf numFmtId="2" fontId="3" fillId="2" borderId="4" xfId="0" applyNumberFormat="1" applyFont="1" applyFill="1" applyBorder="1" applyAlignment="1">
      <alignment horizontal="center" wrapText="1"/>
    </xf>
    <xf numFmtId="168" fontId="3" fillId="2" borderId="4" xfId="0" applyNumberFormat="1" applyFont="1" applyFill="1" applyBorder="1" applyAlignment="1">
      <alignment horizontal="center" wrapText="1"/>
    </xf>
    <xf numFmtId="2" fontId="3" fillId="2" borderId="0" xfId="0" applyNumberFormat="1" applyFont="1" applyFill="1" applyBorder="1" applyAlignment="1">
      <alignment horizontal="center" wrapText="1"/>
    </xf>
    <xf numFmtId="2" fontId="7" fillId="2" borderId="3" xfId="0" applyNumberFormat="1" applyFont="1" applyFill="1" applyBorder="1" applyAlignment="1">
      <alignment horizontal="center" wrapText="1"/>
    </xf>
    <xf numFmtId="168" fontId="7" fillId="2" borderId="3" xfId="0" applyNumberFormat="1" applyFont="1" applyFill="1" applyBorder="1" applyAlignment="1">
      <alignment horizontal="center" wrapText="1"/>
    </xf>
    <xf numFmtId="2" fontId="7" fillId="2" borderId="14" xfId="0" applyNumberFormat="1" applyFont="1" applyFill="1" applyBorder="1" applyAlignment="1">
      <alignment horizontal="center" wrapText="1"/>
    </xf>
    <xf numFmtId="2" fontId="7" fillId="2" borderId="15" xfId="0" applyNumberFormat="1" applyFont="1" applyFill="1" applyBorder="1" applyAlignment="1">
      <alignment horizontal="center" wrapText="1"/>
    </xf>
    <xf numFmtId="167" fontId="3" fillId="2" borderId="3" xfId="0" applyNumberFormat="1" applyFont="1" applyFill="1" applyBorder="1" applyAlignment="1">
      <alignment horizontal="center" wrapText="1"/>
    </xf>
    <xf numFmtId="2" fontId="3" fillId="2" borderId="16" xfId="0" applyNumberFormat="1" applyFont="1" applyFill="1" applyBorder="1" applyAlignment="1">
      <alignment horizontal="center" wrapText="1"/>
    </xf>
    <xf numFmtId="168" fontId="3" fillId="2" borderId="16" xfId="0" applyNumberFormat="1" applyFont="1" applyFill="1" applyBorder="1" applyAlignment="1">
      <alignment horizontal="center" wrapText="1"/>
    </xf>
    <xf numFmtId="2" fontId="3" fillId="2" borderId="3" xfId="0" applyNumberFormat="1" applyFont="1" applyFill="1" applyBorder="1" applyAlignment="1">
      <alignment horizontal="center" wrapText="1"/>
    </xf>
    <xf numFmtId="2" fontId="7" fillId="2" borderId="17" xfId="0" applyNumberFormat="1" applyFont="1" applyFill="1" applyBorder="1" applyAlignment="1">
      <alignment horizontal="center" wrapText="1"/>
    </xf>
    <xf numFmtId="167" fontId="3" fillId="2" borderId="14" xfId="0" applyNumberFormat="1" applyFont="1" applyFill="1" applyBorder="1" applyAlignment="1">
      <alignment horizontal="center" wrapText="1"/>
    </xf>
    <xf numFmtId="167" fontId="3" fillId="2" borderId="15" xfId="0" applyNumberFormat="1" applyFont="1" applyFill="1" applyBorder="1" applyAlignment="1">
      <alignment horizontal="center" wrapText="1"/>
    </xf>
    <xf numFmtId="167" fontId="3" fillId="2" borderId="17" xfId="0" applyNumberFormat="1" applyFont="1" applyFill="1" applyBorder="1" applyAlignment="1">
      <alignment horizontal="center" wrapText="1"/>
    </xf>
    <xf numFmtId="2" fontId="21" fillId="2" borderId="3" xfId="0" applyNumberFormat="1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168" fontId="7" fillId="2" borderId="3" xfId="0" applyNumberFormat="1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6" fillId="2" borderId="0" xfId="1" applyFon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justify" vertical="center"/>
    </xf>
    <xf numFmtId="0" fontId="16" fillId="0" borderId="3" xfId="0" applyFont="1" applyBorder="1" applyAlignment="1">
      <alignment horizontal="justify" vertical="center"/>
    </xf>
    <xf numFmtId="0" fontId="16" fillId="0" borderId="9" xfId="0" applyFont="1" applyBorder="1" applyAlignment="1">
      <alignment horizontal="justify" vertical="center"/>
    </xf>
    <xf numFmtId="0" fontId="16" fillId="0" borderId="10" xfId="0" applyFont="1" applyBorder="1" applyAlignment="1">
      <alignment horizontal="justify" vertical="center"/>
    </xf>
    <xf numFmtId="0" fontId="17" fillId="0" borderId="13" xfId="0" applyFont="1" applyBorder="1" applyAlignment="1">
      <alignment horizontal="justify" vertical="center"/>
    </xf>
    <xf numFmtId="0" fontId="17" fillId="0" borderId="9" xfId="0" applyFont="1" applyBorder="1" applyAlignment="1">
      <alignment horizontal="justify" vertical="center"/>
    </xf>
    <xf numFmtId="0" fontId="19" fillId="0" borderId="0" xfId="0" applyFont="1" applyFill="1" applyBorder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100965</xdr:colOff>
      <xdr:row>13</xdr:row>
      <xdr:rowOff>161290</xdr:rowOff>
    </xdr:from>
    <xdr:to>
      <xdr:col>9</xdr:col>
      <xdr:colOff>100965</xdr:colOff>
      <xdr:row>14</xdr:row>
      <xdr:rowOff>151765</xdr:rowOff>
    </xdr:to>
    <xdr:sp macro="" textlink="">
      <xdr:nvSpPr>
        <xdr:cNvPr id="2" name="文本框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0549890" y="2533015"/>
          <a:ext cx="0" cy="714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zh-CN" altLang="en-US"/>
        </a:p>
      </xdr:txBody>
    </xdr:sp>
    <xdr:clientData/>
  </xdr:twoCellAnchor>
  <xdr:twoCellAnchor>
    <xdr:from>
      <xdr:col>6</xdr:col>
      <xdr:colOff>596265</xdr:colOff>
      <xdr:row>43</xdr:row>
      <xdr:rowOff>9525</xdr:rowOff>
    </xdr:from>
    <xdr:to>
      <xdr:col>6</xdr:col>
      <xdr:colOff>596265</xdr:colOff>
      <xdr:row>44</xdr:row>
      <xdr:rowOff>0</xdr:rowOff>
    </xdr:to>
    <xdr:sp macro="" textlink="">
      <xdr:nvSpPr>
        <xdr:cNvPr id="3" name="文本框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330440" y="78105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zh-CN" altLang="en-US"/>
        </a:p>
      </xdr:txBody>
    </xdr:sp>
    <xdr:clientData/>
  </xdr:twoCellAnchor>
  <xdr:twoCellAnchor>
    <xdr:from>
      <xdr:col>6</xdr:col>
      <xdr:colOff>596265</xdr:colOff>
      <xdr:row>43</xdr:row>
      <xdr:rowOff>9525</xdr:rowOff>
    </xdr:from>
    <xdr:to>
      <xdr:col>6</xdr:col>
      <xdr:colOff>596265</xdr:colOff>
      <xdr:row>44</xdr:row>
      <xdr:rowOff>0</xdr:rowOff>
    </xdr:to>
    <xdr:sp macro="" textlink="">
      <xdr:nvSpPr>
        <xdr:cNvPr id="4" name="文本框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330440" y="78105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W16" sqref="W16"/>
    </sheetView>
  </sheetViews>
  <sheetFormatPr defaultColWidth="8.88671875" defaultRowHeight="14.4"/>
  <cols>
    <col min="1" max="1" width="12.77734375" style="1" bestFit="1" customWidth="1"/>
    <col min="2" max="2" width="12.21875" style="2" bestFit="1" customWidth="1"/>
    <col min="3" max="3" width="19" style="3" customWidth="1"/>
    <col min="4" max="4" width="16.21875" style="1" bestFit="1" customWidth="1"/>
    <col min="5" max="5" width="6" bestFit="1" customWidth="1"/>
    <col min="6" max="11" width="8.88671875" style="68"/>
    <col min="12" max="12" width="10.6640625" style="133" customWidth="1"/>
    <col min="13" max="16" width="8.88671875" style="134"/>
    <col min="17" max="17" width="8.88671875" style="133"/>
    <col min="18" max="18" width="8.88671875" style="134"/>
    <col min="19" max="20" width="8.88671875" style="64"/>
    <col min="21" max="21" width="9" style="66"/>
  </cols>
  <sheetData>
    <row r="1" spans="1:23">
      <c r="A1" s="31" t="s">
        <v>1</v>
      </c>
      <c r="B1" s="31" t="s">
        <v>109</v>
      </c>
      <c r="C1" s="4" t="s">
        <v>2</v>
      </c>
      <c r="D1" s="4" t="s">
        <v>3</v>
      </c>
      <c r="E1" s="5" t="s">
        <v>4</v>
      </c>
      <c r="F1" s="67" t="s">
        <v>94</v>
      </c>
      <c r="G1" s="67" t="s">
        <v>95</v>
      </c>
      <c r="H1" s="67" t="s">
        <v>96</v>
      </c>
      <c r="I1" s="67" t="s">
        <v>97</v>
      </c>
      <c r="J1" s="67" t="s">
        <v>98</v>
      </c>
      <c r="K1" s="67" t="s">
        <v>99</v>
      </c>
      <c r="L1" s="131" t="s">
        <v>93</v>
      </c>
      <c r="M1" s="132" t="s">
        <v>100</v>
      </c>
      <c r="N1" s="132" t="s">
        <v>101</v>
      </c>
      <c r="O1" s="132" t="s">
        <v>102</v>
      </c>
      <c r="P1" s="132" t="s">
        <v>103</v>
      </c>
      <c r="Q1" s="79" t="s">
        <v>104</v>
      </c>
      <c r="R1" s="132" t="s">
        <v>105</v>
      </c>
      <c r="S1" s="62" t="s">
        <v>106</v>
      </c>
      <c r="T1" s="62" t="s">
        <v>107</v>
      </c>
      <c r="U1" s="65" t="s">
        <v>0</v>
      </c>
      <c r="W1" s="146" t="s">
        <v>121</v>
      </c>
    </row>
    <row r="2" spans="1:23">
      <c r="A2" s="6" t="s">
        <v>5</v>
      </c>
      <c r="B2" s="7" t="s">
        <v>6</v>
      </c>
      <c r="C2" s="8" t="s">
        <v>7</v>
      </c>
      <c r="D2" s="9" t="s">
        <v>8</v>
      </c>
      <c r="E2" s="8" t="s">
        <v>9</v>
      </c>
      <c r="F2" s="69">
        <v>1.7999999999999999E-2</v>
      </c>
      <c r="G2" s="70"/>
      <c r="H2" s="70">
        <v>1.9E-2</v>
      </c>
      <c r="I2" s="70">
        <v>3.7999999999999999E-2</v>
      </c>
      <c r="J2" s="70">
        <v>1.6E-2</v>
      </c>
      <c r="K2" s="70"/>
      <c r="L2" s="63">
        <v>64.778999999999996</v>
      </c>
      <c r="M2" s="70"/>
      <c r="N2" s="70">
        <v>0.28999999999999998</v>
      </c>
      <c r="O2" s="70">
        <v>7.0000000000000001E-3</v>
      </c>
      <c r="P2" s="70"/>
      <c r="Q2" s="63">
        <v>33.112000000000002</v>
      </c>
      <c r="R2" s="70">
        <v>0.56100000000000005</v>
      </c>
      <c r="S2" s="71"/>
      <c r="T2" s="71">
        <v>7.3999999999999996E-2</v>
      </c>
      <c r="U2" s="72">
        <v>98.914000000000001</v>
      </c>
      <c r="W2" s="146" t="s">
        <v>122</v>
      </c>
    </row>
    <row r="3" spans="1:23">
      <c r="A3" s="10"/>
      <c r="B3" s="85"/>
      <c r="C3" s="8" t="s">
        <v>7</v>
      </c>
      <c r="D3" s="9" t="s">
        <v>8</v>
      </c>
      <c r="E3" s="13" t="s">
        <v>9</v>
      </c>
      <c r="F3" s="69"/>
      <c r="G3" s="70"/>
      <c r="H3" s="70"/>
      <c r="I3" s="70">
        <v>9.2999999999999999E-2</v>
      </c>
      <c r="J3" s="70"/>
      <c r="K3" s="70"/>
      <c r="L3" s="63">
        <v>64.552999999999997</v>
      </c>
      <c r="M3" s="70"/>
      <c r="N3" s="70">
        <v>0.623</v>
      </c>
      <c r="O3" s="70">
        <v>1.9E-2</v>
      </c>
      <c r="P3" s="70"/>
      <c r="Q3" s="63">
        <v>33.462000000000003</v>
      </c>
      <c r="R3" s="70">
        <v>0.59199999999999997</v>
      </c>
      <c r="S3" s="71"/>
      <c r="T3" s="71">
        <v>6.9000000000000006E-2</v>
      </c>
      <c r="U3" s="72">
        <v>99.438000000000002</v>
      </c>
      <c r="W3" s="87" t="s">
        <v>178</v>
      </c>
    </row>
    <row r="4" spans="1:23">
      <c r="A4" s="10"/>
      <c r="B4" s="85"/>
      <c r="C4" s="8" t="s">
        <v>7</v>
      </c>
      <c r="D4" s="9" t="s">
        <v>8</v>
      </c>
      <c r="E4" s="13" t="s">
        <v>9</v>
      </c>
      <c r="F4" s="69"/>
      <c r="G4" s="70"/>
      <c r="H4" s="70"/>
      <c r="I4" s="70">
        <v>6.2E-2</v>
      </c>
      <c r="J4" s="70"/>
      <c r="K4" s="70"/>
      <c r="L4" s="63">
        <v>64.408000000000001</v>
      </c>
      <c r="M4" s="70"/>
      <c r="N4" s="70">
        <v>0.49900000000000005</v>
      </c>
      <c r="O4" s="70">
        <v>3.0000000000000001E-3</v>
      </c>
      <c r="P4" s="70"/>
      <c r="Q4" s="63">
        <v>33.704999999999998</v>
      </c>
      <c r="R4" s="70">
        <v>0.51700000000000002</v>
      </c>
      <c r="S4" s="71"/>
      <c r="T4" s="71">
        <v>6.9000000000000006E-2</v>
      </c>
      <c r="U4" s="72">
        <v>99.28700000000002</v>
      </c>
      <c r="W4" s="87"/>
    </row>
    <row r="5" spans="1:23">
      <c r="A5" s="10"/>
      <c r="B5" s="85"/>
      <c r="C5" s="8" t="s">
        <v>7</v>
      </c>
      <c r="D5" s="9" t="s">
        <v>8</v>
      </c>
      <c r="E5" s="13" t="s">
        <v>9</v>
      </c>
      <c r="F5" s="69"/>
      <c r="G5" s="70"/>
      <c r="H5" s="70"/>
      <c r="I5" s="70">
        <v>4.5999999999999999E-2</v>
      </c>
      <c r="J5" s="70"/>
      <c r="K5" s="70"/>
      <c r="L5" s="63">
        <v>65.061999999999998</v>
      </c>
      <c r="M5" s="70"/>
      <c r="N5" s="70">
        <v>8.5999999999999993E-2</v>
      </c>
      <c r="O5" s="70">
        <v>0.01</v>
      </c>
      <c r="P5" s="70"/>
      <c r="Q5" s="63">
        <v>33.143000000000001</v>
      </c>
      <c r="R5" s="70">
        <v>0.29099999999999998</v>
      </c>
      <c r="S5" s="71">
        <v>1E-3</v>
      </c>
      <c r="T5" s="71">
        <v>8.5999999999999993E-2</v>
      </c>
      <c r="U5" s="72">
        <v>98.727000000000004</v>
      </c>
      <c r="W5" s="87" t="s">
        <v>199</v>
      </c>
    </row>
    <row r="6" spans="1:23">
      <c r="A6" s="10"/>
      <c r="B6" s="11"/>
      <c r="C6" s="8" t="s">
        <v>7</v>
      </c>
      <c r="D6" s="9" t="s">
        <v>8</v>
      </c>
      <c r="E6" s="13" t="s">
        <v>9</v>
      </c>
      <c r="F6" s="69"/>
      <c r="G6" s="70"/>
      <c r="H6" s="70"/>
      <c r="I6" s="70">
        <v>9.4E-2</v>
      </c>
      <c r="J6" s="70"/>
      <c r="K6" s="70"/>
      <c r="L6" s="63">
        <v>64.900000000000006</v>
      </c>
      <c r="M6" s="70"/>
      <c r="N6" s="70">
        <v>0.05</v>
      </c>
      <c r="O6" s="70">
        <v>0.01</v>
      </c>
      <c r="P6" s="70"/>
      <c r="Q6" s="63">
        <v>34.200000000000003</v>
      </c>
      <c r="R6" s="70">
        <v>0.32800000000000001</v>
      </c>
      <c r="S6" s="71"/>
      <c r="T6" s="71">
        <v>8.8999999999999996E-2</v>
      </c>
      <c r="U6" s="72">
        <v>99.671000000000006</v>
      </c>
      <c r="W6" s="87" t="s">
        <v>123</v>
      </c>
    </row>
    <row r="7" spans="1:23">
      <c r="A7" s="10"/>
      <c r="B7" s="11"/>
      <c r="C7" s="8" t="s">
        <v>7</v>
      </c>
      <c r="D7" s="9" t="s">
        <v>8</v>
      </c>
      <c r="E7" s="13" t="s">
        <v>9</v>
      </c>
      <c r="F7" s="69"/>
      <c r="G7" s="70"/>
      <c r="H7" s="70"/>
      <c r="I7" s="70">
        <v>0.02</v>
      </c>
      <c r="J7" s="70"/>
      <c r="K7" s="70"/>
      <c r="L7" s="63">
        <v>65.278000000000006</v>
      </c>
      <c r="M7" s="70"/>
      <c r="N7" s="70">
        <v>7.4999999999999997E-2</v>
      </c>
      <c r="O7" s="70"/>
      <c r="P7" s="70"/>
      <c r="Q7" s="63">
        <v>33.253</v>
      </c>
      <c r="R7" s="70">
        <v>0.26800000000000002</v>
      </c>
      <c r="S7" s="71">
        <v>8.9999999999999993E-3</v>
      </c>
      <c r="T7" s="71">
        <v>7.3999999999999996E-2</v>
      </c>
      <c r="U7" s="72">
        <v>98.994000000000014</v>
      </c>
      <c r="W7" s="87" t="s">
        <v>191</v>
      </c>
    </row>
    <row r="8" spans="1:23">
      <c r="A8" s="10"/>
      <c r="B8" s="11"/>
      <c r="C8" s="8" t="s">
        <v>7</v>
      </c>
      <c r="D8" s="9" t="s">
        <v>8</v>
      </c>
      <c r="E8" s="13" t="s">
        <v>9</v>
      </c>
      <c r="F8" s="69"/>
      <c r="G8" s="70"/>
      <c r="H8" s="70"/>
      <c r="I8" s="70">
        <v>5.3999999999999999E-2</v>
      </c>
      <c r="J8" s="70">
        <v>1.7999999999999999E-2</v>
      </c>
      <c r="K8" s="70"/>
      <c r="L8" s="63">
        <v>65.046999999999997</v>
      </c>
      <c r="M8" s="70"/>
      <c r="N8" s="70">
        <v>0.371</v>
      </c>
      <c r="O8" s="70">
        <v>6.0000000000000001E-3</v>
      </c>
      <c r="P8" s="70"/>
      <c r="Q8" s="63">
        <v>33.265999999999998</v>
      </c>
      <c r="R8" s="70">
        <v>0.50700000000000001</v>
      </c>
      <c r="S8" s="71"/>
      <c r="T8" s="71">
        <v>6.4000000000000001E-2</v>
      </c>
      <c r="U8" s="72">
        <v>99.344999999999999</v>
      </c>
      <c r="W8" s="87" t="s">
        <v>124</v>
      </c>
    </row>
    <row r="9" spans="1:23">
      <c r="A9" s="10"/>
      <c r="B9" s="11"/>
      <c r="C9" s="8" t="s">
        <v>7</v>
      </c>
      <c r="D9" s="9" t="s">
        <v>8</v>
      </c>
      <c r="E9" s="13" t="s">
        <v>9</v>
      </c>
      <c r="F9" s="69">
        <v>2.1999999999999999E-2</v>
      </c>
      <c r="G9" s="70"/>
      <c r="H9" s="70"/>
      <c r="I9" s="70">
        <v>7.4999999999999997E-2</v>
      </c>
      <c r="J9" s="70"/>
      <c r="K9" s="70"/>
      <c r="L9" s="63">
        <v>64.623999999999995</v>
      </c>
      <c r="M9" s="70"/>
      <c r="N9" s="70">
        <v>0.78200000000000003</v>
      </c>
      <c r="O9" s="70">
        <v>6.0000000000000001E-3</v>
      </c>
      <c r="P9" s="70"/>
      <c r="Q9" s="63">
        <v>33.576999999999998</v>
      </c>
      <c r="R9" s="70">
        <v>0.42199999999999999</v>
      </c>
      <c r="S9" s="71"/>
      <c r="T9" s="71">
        <v>4.9000000000000002E-2</v>
      </c>
      <c r="U9" s="72">
        <v>99.557000000000002</v>
      </c>
      <c r="W9" s="87" t="s">
        <v>125</v>
      </c>
    </row>
    <row r="10" spans="1:23">
      <c r="A10" s="12"/>
      <c r="B10" s="11"/>
      <c r="C10" s="8" t="s">
        <v>7</v>
      </c>
      <c r="D10" s="9" t="s">
        <v>10</v>
      </c>
      <c r="E10" s="13" t="s">
        <v>9</v>
      </c>
      <c r="F10" s="69"/>
      <c r="G10" s="70"/>
      <c r="H10" s="70"/>
      <c r="I10" s="70">
        <v>9.4E-2</v>
      </c>
      <c r="J10" s="70">
        <v>1.9E-2</v>
      </c>
      <c r="K10" s="70"/>
      <c r="L10" s="63">
        <v>64.128</v>
      </c>
      <c r="M10" s="70"/>
      <c r="N10" s="70">
        <v>0.56799999999999995</v>
      </c>
      <c r="O10" s="70"/>
      <c r="P10" s="70"/>
      <c r="Q10" s="63">
        <v>33.563000000000002</v>
      </c>
      <c r="R10" s="70">
        <v>0.82499999999999996</v>
      </c>
      <c r="S10" s="71"/>
      <c r="T10" s="71">
        <v>0.06</v>
      </c>
      <c r="U10" s="72">
        <v>99.263000000000005</v>
      </c>
    </row>
    <row r="11" spans="1:23">
      <c r="A11" s="12"/>
      <c r="B11" s="11"/>
      <c r="C11" s="8" t="s">
        <v>7</v>
      </c>
      <c r="D11" s="9" t="s">
        <v>10</v>
      </c>
      <c r="E11" s="13" t="s">
        <v>9</v>
      </c>
      <c r="F11" s="69"/>
      <c r="G11" s="70"/>
      <c r="H11" s="70"/>
      <c r="I11" s="70">
        <v>7.0999999999999994E-2</v>
      </c>
      <c r="J11" s="70"/>
      <c r="K11" s="70"/>
      <c r="L11" s="63">
        <v>64.298000000000002</v>
      </c>
      <c r="M11" s="70"/>
      <c r="N11" s="70">
        <v>0.28000000000000003</v>
      </c>
      <c r="O11" s="70">
        <v>1.9E-2</v>
      </c>
      <c r="P11" s="70">
        <v>2.3E-2</v>
      </c>
      <c r="Q11" s="63">
        <v>33.215000000000003</v>
      </c>
      <c r="R11" s="70">
        <v>0.84300000000000008</v>
      </c>
      <c r="S11" s="71"/>
      <c r="T11" s="71">
        <v>6.1000000000000006E-2</v>
      </c>
      <c r="U11" s="72">
        <v>98.816999999999993</v>
      </c>
    </row>
    <row r="12" spans="1:23">
      <c r="A12" s="12"/>
      <c r="B12" s="11"/>
      <c r="C12" s="8" t="s">
        <v>7</v>
      </c>
      <c r="D12" s="9" t="s">
        <v>10</v>
      </c>
      <c r="E12" s="13" t="s">
        <v>9</v>
      </c>
      <c r="F12" s="69">
        <v>1.7999999999999999E-2</v>
      </c>
      <c r="G12" s="70"/>
      <c r="H12" s="70"/>
      <c r="I12" s="70">
        <v>4.5999999999999999E-2</v>
      </c>
      <c r="J12" s="70">
        <v>4.1000000000000002E-2</v>
      </c>
      <c r="K12" s="70"/>
      <c r="L12" s="63">
        <v>64.239000000000004</v>
      </c>
      <c r="M12" s="70"/>
      <c r="N12" s="70">
        <v>0.56499999999999995</v>
      </c>
      <c r="O12" s="70">
        <v>8.9999999999999993E-3</v>
      </c>
      <c r="P12" s="70"/>
      <c r="Q12" s="63">
        <v>33.515000000000001</v>
      </c>
      <c r="R12" s="70">
        <v>0.81799999999999995</v>
      </c>
      <c r="S12" s="71"/>
      <c r="T12" s="71">
        <v>7.0000000000000007E-2</v>
      </c>
      <c r="U12" s="72">
        <v>99.320999999999998</v>
      </c>
    </row>
    <row r="13" spans="1:23">
      <c r="A13" s="12"/>
      <c r="B13" s="11"/>
      <c r="C13" s="8" t="s">
        <v>7</v>
      </c>
      <c r="D13" s="13" t="s">
        <v>11</v>
      </c>
      <c r="E13" s="13" t="s">
        <v>9</v>
      </c>
      <c r="F13" s="69"/>
      <c r="G13" s="70"/>
      <c r="H13" s="70"/>
      <c r="I13" s="70">
        <v>8.5000000000000006E-2</v>
      </c>
      <c r="J13" s="70"/>
      <c r="K13" s="70"/>
      <c r="L13" s="63">
        <v>64.960999999999999</v>
      </c>
      <c r="M13" s="70"/>
      <c r="N13" s="70">
        <v>0.55400000000000005</v>
      </c>
      <c r="O13" s="70"/>
      <c r="P13" s="70"/>
      <c r="Q13" s="63">
        <v>33.286000000000001</v>
      </c>
      <c r="R13" s="70">
        <v>0.247</v>
      </c>
      <c r="S13" s="71"/>
      <c r="T13" s="71">
        <v>5.6000000000000001E-2</v>
      </c>
      <c r="U13" s="72">
        <v>99.188999999999993</v>
      </c>
    </row>
    <row r="14" spans="1:23">
      <c r="A14" s="12"/>
      <c r="B14" s="11"/>
      <c r="C14" s="8" t="s">
        <v>7</v>
      </c>
      <c r="D14" s="13" t="s">
        <v>11</v>
      </c>
      <c r="E14" s="13" t="s">
        <v>9</v>
      </c>
      <c r="F14" s="69"/>
      <c r="G14" s="70"/>
      <c r="H14" s="70"/>
      <c r="I14" s="70">
        <v>0.08</v>
      </c>
      <c r="J14" s="70">
        <v>4.1000000000000002E-2</v>
      </c>
      <c r="K14" s="70"/>
      <c r="L14" s="63">
        <v>64.513999999999996</v>
      </c>
      <c r="M14" s="70"/>
      <c r="N14" s="70">
        <v>0.70899999999999996</v>
      </c>
      <c r="O14" s="70">
        <v>8.9999999999999993E-3</v>
      </c>
      <c r="P14" s="70"/>
      <c r="Q14" s="63">
        <v>33.591000000000001</v>
      </c>
      <c r="R14" s="70">
        <v>0.39299999999999996</v>
      </c>
      <c r="S14" s="71"/>
      <c r="T14" s="71">
        <v>5.3999999999999999E-2</v>
      </c>
      <c r="U14" s="72">
        <v>99.40100000000001</v>
      </c>
    </row>
    <row r="15" spans="1:23">
      <c r="A15" s="14"/>
      <c r="B15" s="11"/>
      <c r="C15" s="8" t="s">
        <v>7</v>
      </c>
      <c r="D15" s="13" t="s">
        <v>11</v>
      </c>
      <c r="E15" s="13" t="s">
        <v>9</v>
      </c>
      <c r="F15" s="69"/>
      <c r="G15" s="70">
        <v>1.4999999999999999E-2</v>
      </c>
      <c r="H15" s="70">
        <v>3.5000000000000003E-2</v>
      </c>
      <c r="I15" s="70">
        <v>5.6000000000000001E-2</v>
      </c>
      <c r="J15" s="70">
        <v>2.5000000000000001E-2</v>
      </c>
      <c r="K15" s="70"/>
      <c r="L15" s="63">
        <v>64.444999999999993</v>
      </c>
      <c r="M15" s="70"/>
      <c r="N15" s="70">
        <v>0.86699999999999999</v>
      </c>
      <c r="O15" s="70">
        <v>1.3000000000000001E-2</v>
      </c>
      <c r="P15" s="70"/>
      <c r="Q15" s="63">
        <v>32.814999999999998</v>
      </c>
      <c r="R15" s="70">
        <v>0.40400000000000003</v>
      </c>
      <c r="S15" s="71"/>
      <c r="T15" s="71">
        <v>4.9000000000000002E-2</v>
      </c>
      <c r="U15" s="72">
        <v>98.724000000000004</v>
      </c>
    </row>
    <row r="16" spans="1:23">
      <c r="A16" s="13" t="s">
        <v>12</v>
      </c>
      <c r="B16" s="15" t="s">
        <v>13</v>
      </c>
      <c r="C16" s="13" t="s">
        <v>14</v>
      </c>
      <c r="D16" s="9" t="s">
        <v>8</v>
      </c>
      <c r="E16" s="13" t="s">
        <v>9</v>
      </c>
      <c r="F16" s="69"/>
      <c r="G16" s="70"/>
      <c r="H16" s="70"/>
      <c r="I16" s="70">
        <v>0.10999999999999999</v>
      </c>
      <c r="J16" s="70"/>
      <c r="K16" s="70"/>
      <c r="L16" s="63">
        <v>64.584999999999994</v>
      </c>
      <c r="M16" s="70"/>
      <c r="N16" s="70">
        <v>0.61399999999999999</v>
      </c>
      <c r="O16" s="70">
        <v>1.2E-2</v>
      </c>
      <c r="P16" s="70"/>
      <c r="Q16" s="63">
        <v>33.435000000000002</v>
      </c>
      <c r="R16" s="70">
        <v>0.32900000000000001</v>
      </c>
      <c r="S16" s="71">
        <v>8.0000000000000002E-3</v>
      </c>
      <c r="T16" s="71">
        <v>0.05</v>
      </c>
      <c r="U16" s="72">
        <v>99.142999999999986</v>
      </c>
    </row>
    <row r="17" spans="1:21">
      <c r="A17" s="13"/>
      <c r="B17" s="16"/>
      <c r="C17" s="13" t="s">
        <v>14</v>
      </c>
      <c r="D17" s="9" t="s">
        <v>8</v>
      </c>
      <c r="E17" s="13" t="s">
        <v>9</v>
      </c>
      <c r="F17" s="69"/>
      <c r="G17" s="70">
        <v>1.7999999999999999E-2</v>
      </c>
      <c r="H17" s="70"/>
      <c r="I17" s="70">
        <v>7.4999999999999997E-2</v>
      </c>
      <c r="J17" s="70">
        <v>3.7999999999999999E-2</v>
      </c>
      <c r="K17" s="70"/>
      <c r="L17" s="63">
        <v>65.292000000000002</v>
      </c>
      <c r="M17" s="70"/>
      <c r="N17" s="70">
        <v>0.14299999999999999</v>
      </c>
      <c r="O17" s="70">
        <v>1.9E-2</v>
      </c>
      <c r="P17" s="70"/>
      <c r="Q17" s="63">
        <v>33.335000000000001</v>
      </c>
      <c r="R17" s="70">
        <v>0.224</v>
      </c>
      <c r="S17" s="71"/>
      <c r="T17" s="71">
        <v>7.4999999999999997E-2</v>
      </c>
      <c r="U17" s="72">
        <v>99.219000000000008</v>
      </c>
    </row>
    <row r="18" spans="1:21">
      <c r="A18" s="13"/>
      <c r="B18" s="15"/>
      <c r="C18" s="13" t="s">
        <v>14</v>
      </c>
      <c r="D18" s="9" t="s">
        <v>8</v>
      </c>
      <c r="E18" s="13" t="s">
        <v>9</v>
      </c>
      <c r="F18" s="69"/>
      <c r="G18" s="70"/>
      <c r="H18" s="70">
        <v>2.4E-2</v>
      </c>
      <c r="I18" s="70">
        <v>2.8000000000000001E-2</v>
      </c>
      <c r="J18" s="70"/>
      <c r="K18" s="70"/>
      <c r="L18" s="63">
        <v>65.676000000000002</v>
      </c>
      <c r="M18" s="70"/>
      <c r="N18" s="70">
        <v>6.5000000000000002E-2</v>
      </c>
      <c r="O18" s="70"/>
      <c r="P18" s="70"/>
      <c r="Q18" s="63">
        <v>33.468000000000004</v>
      </c>
      <c r="R18" s="70">
        <v>0.22499999999999998</v>
      </c>
      <c r="S18" s="71"/>
      <c r="T18" s="71">
        <v>8.1000000000000003E-2</v>
      </c>
      <c r="U18" s="72">
        <v>99.581999999999994</v>
      </c>
    </row>
    <row r="19" spans="1:21">
      <c r="A19" s="13"/>
      <c r="B19" s="15"/>
      <c r="C19" s="13" t="s">
        <v>14</v>
      </c>
      <c r="D19" s="9" t="s">
        <v>8</v>
      </c>
      <c r="E19" s="13" t="s">
        <v>9</v>
      </c>
      <c r="F19" s="69">
        <v>1.9E-2</v>
      </c>
      <c r="G19" s="70"/>
      <c r="H19" s="70"/>
      <c r="I19" s="70">
        <v>9.9000000000000005E-2</v>
      </c>
      <c r="J19" s="70"/>
      <c r="K19" s="70"/>
      <c r="L19" s="63">
        <v>65.475999999999999</v>
      </c>
      <c r="M19" s="70"/>
      <c r="N19" s="70">
        <v>0.127</v>
      </c>
      <c r="O19" s="70"/>
      <c r="P19" s="70"/>
      <c r="Q19" s="63">
        <v>33.582999999999998</v>
      </c>
      <c r="R19" s="70">
        <v>0.20200000000000001</v>
      </c>
      <c r="S19" s="71"/>
      <c r="T19" s="71">
        <v>7.3999999999999996E-2</v>
      </c>
      <c r="U19" s="72">
        <v>99.596000000000004</v>
      </c>
    </row>
    <row r="20" spans="1:21">
      <c r="A20" s="13"/>
      <c r="B20" s="15"/>
      <c r="C20" s="13" t="s">
        <v>14</v>
      </c>
      <c r="D20" s="9" t="s">
        <v>8</v>
      </c>
      <c r="E20" s="13" t="s">
        <v>9</v>
      </c>
      <c r="F20" s="69"/>
      <c r="G20" s="70">
        <v>2.1999999999999999E-2</v>
      </c>
      <c r="H20" s="70">
        <v>2.6000000000000002E-2</v>
      </c>
      <c r="I20" s="70">
        <v>6.6000000000000003E-2</v>
      </c>
      <c r="J20" s="70"/>
      <c r="K20" s="70"/>
      <c r="L20" s="63">
        <v>65.430000000000007</v>
      </c>
      <c r="M20" s="70"/>
      <c r="N20" s="70">
        <v>0.13900000000000001</v>
      </c>
      <c r="O20" s="70">
        <v>8.0000000000000002E-3</v>
      </c>
      <c r="P20" s="70"/>
      <c r="Q20" s="63">
        <v>33.287999999999997</v>
      </c>
      <c r="R20" s="70">
        <v>0.23500000000000001</v>
      </c>
      <c r="S20" s="71">
        <v>8.0000000000000002E-3</v>
      </c>
      <c r="T20" s="71">
        <v>7.4999999999999997E-2</v>
      </c>
      <c r="U20" s="72">
        <v>99.299000000000007</v>
      </c>
    </row>
    <row r="21" spans="1:21">
      <c r="A21" s="13"/>
      <c r="B21" s="15"/>
      <c r="C21" s="13" t="s">
        <v>14</v>
      </c>
      <c r="D21" s="9" t="s">
        <v>8</v>
      </c>
      <c r="E21" s="13" t="s">
        <v>9</v>
      </c>
      <c r="F21" s="69"/>
      <c r="G21" s="70"/>
      <c r="H21" s="70"/>
      <c r="I21" s="70">
        <v>7.4999999999999997E-2</v>
      </c>
      <c r="J21" s="70"/>
      <c r="K21" s="70"/>
      <c r="L21" s="63">
        <v>65.084999999999994</v>
      </c>
      <c r="M21" s="70"/>
      <c r="N21" s="70">
        <v>0.16900000000000001</v>
      </c>
      <c r="O21" s="70">
        <v>7.0000000000000001E-3</v>
      </c>
      <c r="P21" s="70"/>
      <c r="Q21" s="63">
        <v>33.26</v>
      </c>
      <c r="R21" s="70">
        <v>0.34899999999999998</v>
      </c>
      <c r="S21" s="71"/>
      <c r="T21" s="71">
        <v>0.08</v>
      </c>
      <c r="U21" s="72">
        <v>99.025000000000006</v>
      </c>
    </row>
    <row r="22" spans="1:21">
      <c r="A22" s="13"/>
      <c r="B22" s="15"/>
      <c r="C22" s="13" t="s">
        <v>14</v>
      </c>
      <c r="D22" s="13" t="s">
        <v>10</v>
      </c>
      <c r="E22" s="13" t="s">
        <v>9</v>
      </c>
      <c r="F22" s="69"/>
      <c r="G22" s="70">
        <v>4.2999999999999997E-2</v>
      </c>
      <c r="H22" s="70"/>
      <c r="I22" s="70">
        <v>0.14099999999999999</v>
      </c>
      <c r="J22" s="70">
        <v>3.1E-2</v>
      </c>
      <c r="K22" s="70"/>
      <c r="L22" s="63">
        <v>64.228999999999999</v>
      </c>
      <c r="M22" s="70"/>
      <c r="N22" s="70">
        <v>0.57499999999999996</v>
      </c>
      <c r="O22" s="70">
        <v>1.7999999999999999E-2</v>
      </c>
      <c r="P22" s="70"/>
      <c r="Q22" s="63">
        <v>33.268000000000001</v>
      </c>
      <c r="R22" s="70">
        <v>0.86099999999999999</v>
      </c>
      <c r="S22" s="71"/>
      <c r="T22" s="71">
        <v>0.04</v>
      </c>
      <c r="U22" s="72">
        <v>99.206000000000003</v>
      </c>
    </row>
    <row r="23" spans="1:21">
      <c r="A23" s="13"/>
      <c r="B23" s="15"/>
      <c r="C23" s="13" t="s">
        <v>14</v>
      </c>
      <c r="D23" s="13" t="s">
        <v>10</v>
      </c>
      <c r="E23" s="13" t="s">
        <v>9</v>
      </c>
      <c r="F23" s="69"/>
      <c r="G23" s="70"/>
      <c r="H23" s="70">
        <v>3.6999999999999998E-2</v>
      </c>
      <c r="I23" s="70">
        <v>8.2000000000000003E-2</v>
      </c>
      <c r="J23" s="70"/>
      <c r="K23" s="70"/>
      <c r="L23" s="63">
        <v>63.996999999999993</v>
      </c>
      <c r="M23" s="70"/>
      <c r="N23" s="70">
        <v>0.73099999999999998</v>
      </c>
      <c r="O23" s="70">
        <v>1.7000000000000001E-2</v>
      </c>
      <c r="P23" s="70"/>
      <c r="Q23" s="63">
        <v>33.142000000000003</v>
      </c>
      <c r="R23" s="70">
        <v>0.87100000000000011</v>
      </c>
      <c r="S23" s="71"/>
      <c r="T23" s="71">
        <v>2.8000000000000001E-2</v>
      </c>
      <c r="U23" s="72">
        <v>98.915000000000006</v>
      </c>
    </row>
    <row r="24" spans="1:21">
      <c r="A24" s="13"/>
      <c r="B24" s="17"/>
      <c r="C24" s="13" t="s">
        <v>14</v>
      </c>
      <c r="D24" s="13" t="s">
        <v>10</v>
      </c>
      <c r="E24" s="13" t="s">
        <v>9</v>
      </c>
      <c r="F24" s="69"/>
      <c r="G24" s="70"/>
      <c r="H24" s="70"/>
      <c r="I24" s="70">
        <v>4.5999999999999999E-2</v>
      </c>
      <c r="J24" s="70"/>
      <c r="K24" s="70"/>
      <c r="L24" s="63">
        <v>64.733999999999995</v>
      </c>
      <c r="M24" s="70">
        <v>3.9E-2</v>
      </c>
      <c r="N24" s="70">
        <v>0.23</v>
      </c>
      <c r="O24" s="70">
        <v>8.9999999999999993E-3</v>
      </c>
      <c r="P24" s="70"/>
      <c r="Q24" s="63">
        <v>33.454000000000001</v>
      </c>
      <c r="R24" s="70">
        <v>0.88200000000000001</v>
      </c>
      <c r="S24" s="71"/>
      <c r="T24" s="71">
        <v>5.0999999999999997E-2</v>
      </c>
      <c r="U24" s="72">
        <v>99.444999999999993</v>
      </c>
    </row>
    <row r="25" spans="1:21">
      <c r="A25" s="13"/>
      <c r="B25" s="17"/>
      <c r="C25" s="13" t="s">
        <v>14</v>
      </c>
      <c r="D25" s="13" t="s">
        <v>10</v>
      </c>
      <c r="E25" s="13" t="s">
        <v>9</v>
      </c>
      <c r="F25" s="69">
        <v>2.8000000000000001E-2</v>
      </c>
      <c r="G25" s="70"/>
      <c r="H25" s="70"/>
      <c r="I25" s="70">
        <v>6.2E-2</v>
      </c>
      <c r="J25" s="70"/>
      <c r="K25" s="70"/>
      <c r="L25" s="63">
        <v>65.537999999999997</v>
      </c>
      <c r="M25" s="70"/>
      <c r="N25" s="70">
        <v>0.08</v>
      </c>
      <c r="O25" s="70">
        <v>6.0000000000000001E-3</v>
      </c>
      <c r="P25" s="70"/>
      <c r="Q25" s="63">
        <v>33.686999999999998</v>
      </c>
      <c r="R25" s="70">
        <v>0.46400000000000008</v>
      </c>
      <c r="S25" s="71"/>
      <c r="T25" s="71">
        <v>6.6000000000000003E-2</v>
      </c>
      <c r="U25" s="72">
        <v>99.945999999999998</v>
      </c>
    </row>
    <row r="26" spans="1:21">
      <c r="A26" s="13"/>
      <c r="B26" s="17"/>
      <c r="C26" s="13" t="s">
        <v>14</v>
      </c>
      <c r="D26" s="13" t="s">
        <v>11</v>
      </c>
      <c r="E26" s="13" t="s">
        <v>9</v>
      </c>
      <c r="F26" s="69"/>
      <c r="G26" s="70"/>
      <c r="H26" s="70"/>
      <c r="I26" s="70">
        <v>3.1E-2</v>
      </c>
      <c r="J26" s="70">
        <v>3.5000000000000003E-2</v>
      </c>
      <c r="K26" s="70"/>
      <c r="L26" s="63">
        <v>64.822999999999993</v>
      </c>
      <c r="M26" s="70"/>
      <c r="N26" s="70">
        <v>9.6000000000000002E-2</v>
      </c>
      <c r="O26" s="70">
        <v>2.5000000000000001E-2</v>
      </c>
      <c r="P26" s="70"/>
      <c r="Q26" s="63">
        <v>33.448</v>
      </c>
      <c r="R26" s="70">
        <v>0.58299999999999996</v>
      </c>
      <c r="S26" s="71"/>
      <c r="T26" s="71">
        <v>8.5999999999999993E-2</v>
      </c>
      <c r="U26" s="72">
        <v>99.13</v>
      </c>
    </row>
    <row r="27" spans="1:21">
      <c r="A27" s="13"/>
      <c r="B27" s="17"/>
      <c r="C27" s="13" t="s">
        <v>14</v>
      </c>
      <c r="D27" s="13" t="s">
        <v>11</v>
      </c>
      <c r="E27" s="13" t="s">
        <v>9</v>
      </c>
      <c r="F27" s="69"/>
      <c r="G27" s="70"/>
      <c r="H27" s="70"/>
      <c r="I27" s="70">
        <v>5.2999999999999999E-2</v>
      </c>
      <c r="J27" s="70">
        <v>2.1000000000000001E-2</v>
      </c>
      <c r="K27" s="70"/>
      <c r="L27" s="63">
        <v>64.777000000000001</v>
      </c>
      <c r="M27" s="70"/>
      <c r="N27" s="70">
        <v>7.0000000000000007E-2</v>
      </c>
      <c r="O27" s="70">
        <v>1.7999999999999999E-2</v>
      </c>
      <c r="P27" s="70"/>
      <c r="Q27" s="63">
        <v>33.280999999999999</v>
      </c>
      <c r="R27" s="70">
        <v>0.51</v>
      </c>
      <c r="S27" s="71"/>
      <c r="T27" s="71">
        <v>7.8E-2</v>
      </c>
      <c r="U27" s="72">
        <v>98.811999999999998</v>
      </c>
    </row>
    <row r="28" spans="1:21">
      <c r="A28" s="13"/>
      <c r="B28" s="17"/>
      <c r="C28" s="13" t="s">
        <v>14</v>
      </c>
      <c r="D28" s="13" t="s">
        <v>11</v>
      </c>
      <c r="E28" s="13" t="s">
        <v>9</v>
      </c>
      <c r="F28" s="69"/>
      <c r="G28" s="70"/>
      <c r="H28" s="70"/>
      <c r="I28" s="70">
        <v>8.6999999999999994E-2</v>
      </c>
      <c r="J28" s="70"/>
      <c r="K28" s="70"/>
      <c r="L28" s="63">
        <v>64.774000000000001</v>
      </c>
      <c r="M28" s="70"/>
      <c r="N28" s="70">
        <v>7.3999999999999996E-2</v>
      </c>
      <c r="O28" s="70">
        <v>1.4E-2</v>
      </c>
      <c r="P28" s="70"/>
      <c r="Q28" s="63">
        <v>33.011000000000003</v>
      </c>
      <c r="R28" s="70">
        <v>0.40100000000000008</v>
      </c>
      <c r="S28" s="71"/>
      <c r="T28" s="71">
        <v>6.1000000000000006E-2</v>
      </c>
      <c r="U28" s="72">
        <v>98.423000000000002</v>
      </c>
    </row>
    <row r="29" spans="1:21">
      <c r="A29" s="13"/>
      <c r="B29" s="17"/>
      <c r="C29" s="13" t="s">
        <v>14</v>
      </c>
      <c r="D29" s="13" t="s">
        <v>11</v>
      </c>
      <c r="E29" s="13" t="s">
        <v>9</v>
      </c>
      <c r="F29" s="69"/>
      <c r="G29" s="70"/>
      <c r="H29" s="70">
        <v>3.2000000000000001E-2</v>
      </c>
      <c r="I29" s="70">
        <v>5.3999999999999999E-2</v>
      </c>
      <c r="J29" s="70"/>
      <c r="K29" s="70"/>
      <c r="L29" s="63">
        <v>64.822000000000003</v>
      </c>
      <c r="M29" s="70"/>
      <c r="N29" s="70">
        <v>0.182</v>
      </c>
      <c r="O29" s="70">
        <v>1.9E-2</v>
      </c>
      <c r="P29" s="70"/>
      <c r="Q29" s="63">
        <v>33.045000000000002</v>
      </c>
      <c r="R29" s="70">
        <v>0.58499999999999996</v>
      </c>
      <c r="S29" s="71">
        <v>6.0000000000000001E-3</v>
      </c>
      <c r="T29" s="71">
        <v>8.3000000000000004E-2</v>
      </c>
      <c r="U29" s="72">
        <v>98.834000000000003</v>
      </c>
    </row>
    <row r="30" spans="1:21">
      <c r="A30" s="13"/>
      <c r="B30" s="17"/>
      <c r="C30" s="13" t="s">
        <v>14</v>
      </c>
      <c r="D30" s="13" t="s">
        <v>11</v>
      </c>
      <c r="E30" s="13" t="s">
        <v>9</v>
      </c>
      <c r="F30" s="69"/>
      <c r="G30" s="70"/>
      <c r="H30" s="70"/>
      <c r="I30" s="70">
        <v>2.8000000000000001E-2</v>
      </c>
      <c r="J30" s="70"/>
      <c r="K30" s="70"/>
      <c r="L30" s="63">
        <v>63.589999999999996</v>
      </c>
      <c r="M30" s="70"/>
      <c r="N30" s="70">
        <v>1.2789999999999999</v>
      </c>
      <c r="O30" s="70">
        <v>0.01</v>
      </c>
      <c r="P30" s="70"/>
      <c r="Q30" s="63">
        <v>33.176000000000002</v>
      </c>
      <c r="R30" s="70">
        <v>0.56799999999999995</v>
      </c>
      <c r="S30" s="71">
        <v>1.4E-2</v>
      </c>
      <c r="T30" s="71">
        <v>6.1000000000000006E-2</v>
      </c>
      <c r="U30" s="72">
        <v>98.728999999999999</v>
      </c>
    </row>
    <row r="31" spans="1:21">
      <c r="A31" s="21"/>
      <c r="B31" s="22"/>
      <c r="C31" s="21"/>
      <c r="D31" s="28" t="s">
        <v>30</v>
      </c>
      <c r="E31" s="28"/>
      <c r="F31" s="74">
        <f t="shared" ref="F31:T31" si="0">MAX(F2:F30)</f>
        <v>2.8000000000000001E-2</v>
      </c>
      <c r="G31" s="74">
        <f t="shared" si="0"/>
        <v>4.2999999999999997E-2</v>
      </c>
      <c r="H31" s="74">
        <f t="shared" si="0"/>
        <v>3.6999999999999998E-2</v>
      </c>
      <c r="I31" s="74">
        <f t="shared" si="0"/>
        <v>0.14099999999999999</v>
      </c>
      <c r="J31" s="74">
        <f t="shared" si="0"/>
        <v>4.1000000000000002E-2</v>
      </c>
      <c r="K31" s="74">
        <f t="shared" si="0"/>
        <v>0</v>
      </c>
      <c r="L31" s="73">
        <f t="shared" si="0"/>
        <v>65.676000000000002</v>
      </c>
      <c r="M31" s="74">
        <f t="shared" si="0"/>
        <v>3.9E-2</v>
      </c>
      <c r="N31" s="74">
        <f t="shared" si="0"/>
        <v>1.2789999999999999</v>
      </c>
      <c r="O31" s="74">
        <f t="shared" si="0"/>
        <v>2.5000000000000001E-2</v>
      </c>
      <c r="P31" s="74">
        <f t="shared" si="0"/>
        <v>2.3E-2</v>
      </c>
      <c r="Q31" s="73">
        <f t="shared" si="0"/>
        <v>34.200000000000003</v>
      </c>
      <c r="R31" s="74">
        <f t="shared" si="0"/>
        <v>0.88200000000000001</v>
      </c>
      <c r="S31" s="74">
        <f t="shared" si="0"/>
        <v>1.4E-2</v>
      </c>
      <c r="T31" s="74">
        <f t="shared" si="0"/>
        <v>8.8999999999999996E-2</v>
      </c>
      <c r="U31" s="75">
        <f>MAX(U2:U30)</f>
        <v>99.945999999999998</v>
      </c>
    </row>
    <row r="32" spans="1:21">
      <c r="A32" s="8"/>
      <c r="B32" s="18"/>
      <c r="C32" s="8"/>
      <c r="D32" s="29" t="s">
        <v>31</v>
      </c>
      <c r="E32" s="29"/>
      <c r="F32" s="77">
        <f t="shared" ref="F32:T32" si="1">MIN(F2:F31)</f>
        <v>1.7999999999999999E-2</v>
      </c>
      <c r="G32" s="77">
        <f t="shared" si="1"/>
        <v>1.4999999999999999E-2</v>
      </c>
      <c r="H32" s="77">
        <f t="shared" si="1"/>
        <v>1.9E-2</v>
      </c>
      <c r="I32" s="77">
        <f t="shared" si="1"/>
        <v>0.02</v>
      </c>
      <c r="J32" s="77">
        <f t="shared" si="1"/>
        <v>1.6E-2</v>
      </c>
      <c r="K32" s="77">
        <f t="shared" si="1"/>
        <v>0</v>
      </c>
      <c r="L32" s="76">
        <f t="shared" si="1"/>
        <v>63.589999999999996</v>
      </c>
      <c r="M32" s="77">
        <f t="shared" si="1"/>
        <v>3.9E-2</v>
      </c>
      <c r="N32" s="77">
        <f t="shared" si="1"/>
        <v>0.05</v>
      </c>
      <c r="O32" s="77">
        <f t="shared" si="1"/>
        <v>3.0000000000000001E-3</v>
      </c>
      <c r="P32" s="77">
        <f t="shared" si="1"/>
        <v>2.3E-2</v>
      </c>
      <c r="Q32" s="76">
        <f t="shared" si="1"/>
        <v>32.814999999999998</v>
      </c>
      <c r="R32" s="77">
        <f t="shared" si="1"/>
        <v>0.20200000000000001</v>
      </c>
      <c r="S32" s="77">
        <f t="shared" si="1"/>
        <v>1E-3</v>
      </c>
      <c r="T32" s="77">
        <f t="shared" si="1"/>
        <v>2.8000000000000001E-2</v>
      </c>
      <c r="U32" s="78">
        <f>MIN(U2:U31)</f>
        <v>98.423000000000002</v>
      </c>
    </row>
    <row r="33" spans="1:21">
      <c r="A33" s="19"/>
      <c r="B33" s="20"/>
      <c r="C33" s="19"/>
      <c r="D33" s="30" t="s">
        <v>32</v>
      </c>
      <c r="E33" s="30"/>
      <c r="F33" s="80">
        <f t="shared" ref="F33:T33" si="2">AVERAGE(F2:F32)</f>
        <v>2.1571428571428571E-2</v>
      </c>
      <c r="G33" s="80">
        <f t="shared" si="2"/>
        <v>2.6000000000000006E-2</v>
      </c>
      <c r="H33" s="80">
        <f t="shared" si="2"/>
        <v>2.8625000000000001E-2</v>
      </c>
      <c r="I33" s="80">
        <f t="shared" si="2"/>
        <v>6.812903225806452E-2</v>
      </c>
      <c r="J33" s="80">
        <f t="shared" si="2"/>
        <v>2.8500000000000001E-2</v>
      </c>
      <c r="K33" s="80">
        <f t="shared" si="2"/>
        <v>0</v>
      </c>
      <c r="L33" s="79">
        <f t="shared" si="2"/>
        <v>64.752580645161288</v>
      </c>
      <c r="M33" s="80">
        <f t="shared" si="2"/>
        <v>3.9E-2</v>
      </c>
      <c r="N33" s="80">
        <f t="shared" si="2"/>
        <v>0.39425806451612905</v>
      </c>
      <c r="O33" s="80">
        <f t="shared" si="2"/>
        <v>1.2346153846153849E-2</v>
      </c>
      <c r="P33" s="80">
        <f t="shared" si="2"/>
        <v>2.3000000000000003E-2</v>
      </c>
      <c r="Q33" s="79">
        <f t="shared" si="2"/>
        <v>33.374161290322576</v>
      </c>
      <c r="R33" s="80">
        <f t="shared" si="2"/>
        <v>0.49641935483870958</v>
      </c>
      <c r="S33" s="80">
        <f t="shared" si="2"/>
        <v>7.6249999999999998E-3</v>
      </c>
      <c r="T33" s="80">
        <f t="shared" si="2"/>
        <v>6.5483870967741956E-2</v>
      </c>
      <c r="U33" s="81">
        <f>AVERAGE(U2:U32)</f>
        <v>99.171645161290314</v>
      </c>
    </row>
    <row r="34" spans="1:21">
      <c r="A34" s="8" t="s">
        <v>15</v>
      </c>
      <c r="B34" s="7" t="s">
        <v>16</v>
      </c>
      <c r="C34" s="8" t="s">
        <v>17</v>
      </c>
      <c r="D34" s="8" t="s">
        <v>11</v>
      </c>
      <c r="E34" s="8" t="s">
        <v>18</v>
      </c>
      <c r="F34" s="69"/>
      <c r="G34" s="70"/>
      <c r="H34" s="70"/>
      <c r="I34" s="70">
        <v>1E-3</v>
      </c>
      <c r="J34" s="70">
        <v>2.1000000000000001E-2</v>
      </c>
      <c r="K34" s="70">
        <v>1E-3</v>
      </c>
      <c r="L34" s="63">
        <v>65.86</v>
      </c>
      <c r="M34" s="70"/>
      <c r="N34" s="70">
        <v>0.09</v>
      </c>
      <c r="O34" s="70"/>
      <c r="P34" s="70"/>
      <c r="Q34" s="63">
        <v>33.847999999999999</v>
      </c>
      <c r="R34" s="70">
        <v>1.4E-2</v>
      </c>
      <c r="S34" s="71"/>
      <c r="T34" s="71">
        <v>0.38800000000000007</v>
      </c>
      <c r="U34" s="72">
        <v>100.227</v>
      </c>
    </row>
    <row r="35" spans="1:21">
      <c r="A35" s="13"/>
      <c r="B35" s="15"/>
      <c r="C35" s="8" t="s">
        <v>17</v>
      </c>
      <c r="D35" s="8" t="s">
        <v>10</v>
      </c>
      <c r="E35" s="13" t="s">
        <v>18</v>
      </c>
      <c r="F35" s="69"/>
      <c r="G35" s="70"/>
      <c r="H35" s="70">
        <v>1.7999999999999999E-2</v>
      </c>
      <c r="I35" s="70">
        <v>9.7000000000000017E-2</v>
      </c>
      <c r="J35" s="70">
        <v>2.1000000000000001E-2</v>
      </c>
      <c r="K35" s="70"/>
      <c r="L35" s="63">
        <v>64.242000000000004</v>
      </c>
      <c r="M35" s="70"/>
      <c r="N35" s="70">
        <v>0.35199999999999998</v>
      </c>
      <c r="O35" s="70"/>
      <c r="P35" s="70"/>
      <c r="Q35" s="63">
        <v>33.255000000000003</v>
      </c>
      <c r="R35" s="70">
        <v>0.245</v>
      </c>
      <c r="S35" s="71"/>
      <c r="T35" s="71">
        <v>8.5999999999999993E-2</v>
      </c>
      <c r="U35" s="72">
        <v>98.325000000000003</v>
      </c>
    </row>
    <row r="36" spans="1:21">
      <c r="A36" s="13"/>
      <c r="B36" s="15"/>
      <c r="C36" s="8" t="s">
        <v>17</v>
      </c>
      <c r="D36" s="8" t="s">
        <v>10</v>
      </c>
      <c r="E36" s="13" t="s">
        <v>18</v>
      </c>
      <c r="F36" s="69"/>
      <c r="G36" s="70"/>
      <c r="H36" s="70"/>
      <c r="I36" s="70">
        <v>4.7E-2</v>
      </c>
      <c r="J36" s="70">
        <v>2.1000000000000001E-2</v>
      </c>
      <c r="K36" s="70"/>
      <c r="L36" s="63">
        <v>64.873000000000005</v>
      </c>
      <c r="M36" s="70"/>
      <c r="N36" s="70">
        <v>1.08</v>
      </c>
      <c r="O36" s="70">
        <v>1.2E-2</v>
      </c>
      <c r="P36" s="70"/>
      <c r="Q36" s="63">
        <v>33.731000000000002</v>
      </c>
      <c r="R36" s="70">
        <v>0.193</v>
      </c>
      <c r="S36" s="71"/>
      <c r="T36" s="71">
        <v>0.16</v>
      </c>
      <c r="U36" s="72">
        <v>100.126</v>
      </c>
    </row>
    <row r="37" spans="1:21">
      <c r="A37" s="13"/>
      <c r="B37" s="15"/>
      <c r="C37" s="8" t="s">
        <v>17</v>
      </c>
      <c r="D37" s="13" t="s">
        <v>11</v>
      </c>
      <c r="E37" s="13" t="s">
        <v>18</v>
      </c>
      <c r="F37" s="69"/>
      <c r="G37" s="70"/>
      <c r="H37" s="70"/>
      <c r="I37" s="70">
        <v>8.0000000000000002E-3</v>
      </c>
      <c r="J37" s="70">
        <v>1.7000000000000001E-2</v>
      </c>
      <c r="K37" s="70"/>
      <c r="L37" s="63">
        <v>65.003</v>
      </c>
      <c r="M37" s="70"/>
      <c r="N37" s="70">
        <v>0.83099999999999996</v>
      </c>
      <c r="O37" s="70"/>
      <c r="P37" s="70"/>
      <c r="Q37" s="63">
        <v>33.670999999999999</v>
      </c>
      <c r="R37" s="70">
        <v>0.14599999999999999</v>
      </c>
      <c r="S37" s="71"/>
      <c r="T37" s="71">
        <v>0.17599999999999999</v>
      </c>
      <c r="U37" s="72">
        <v>99.852999999999994</v>
      </c>
    </row>
    <row r="38" spans="1:21">
      <c r="A38" s="13"/>
      <c r="B38" s="15"/>
      <c r="C38" s="8" t="s">
        <v>17</v>
      </c>
      <c r="D38" s="8" t="s">
        <v>10</v>
      </c>
      <c r="E38" s="13" t="s">
        <v>18</v>
      </c>
      <c r="F38" s="69"/>
      <c r="G38" s="70"/>
      <c r="H38" s="70"/>
      <c r="I38" s="70">
        <v>9.4999999999999987E-2</v>
      </c>
      <c r="J38" s="70"/>
      <c r="K38" s="70"/>
      <c r="L38" s="63">
        <v>64.349999999999994</v>
      </c>
      <c r="M38" s="70"/>
      <c r="N38" s="70">
        <v>0.79100000000000004</v>
      </c>
      <c r="O38" s="70">
        <v>1.2E-2</v>
      </c>
      <c r="P38" s="70"/>
      <c r="Q38" s="63">
        <v>33.290999999999997</v>
      </c>
      <c r="R38" s="70">
        <v>0.438</v>
      </c>
      <c r="S38" s="71"/>
      <c r="T38" s="71">
        <v>0.112</v>
      </c>
      <c r="U38" s="72">
        <v>99.096999999999994</v>
      </c>
    </row>
    <row r="39" spans="1:21">
      <c r="A39" s="13"/>
      <c r="B39" s="15"/>
      <c r="C39" s="8" t="s">
        <v>17</v>
      </c>
      <c r="D39" s="8" t="s">
        <v>10</v>
      </c>
      <c r="E39" s="13" t="s">
        <v>18</v>
      </c>
      <c r="F39" s="69"/>
      <c r="G39" s="70"/>
      <c r="H39" s="70"/>
      <c r="I39" s="70">
        <v>3.6999999999999998E-2</v>
      </c>
      <c r="J39" s="70">
        <v>2.1999999999999999E-2</v>
      </c>
      <c r="K39" s="70"/>
      <c r="L39" s="63">
        <v>66.034000000000006</v>
      </c>
      <c r="M39" s="70"/>
      <c r="N39" s="70">
        <v>0.27300000000000002</v>
      </c>
      <c r="O39" s="70"/>
      <c r="P39" s="70"/>
      <c r="Q39" s="63">
        <v>33.954000000000001</v>
      </c>
      <c r="R39" s="70">
        <v>0.27900000000000003</v>
      </c>
      <c r="S39" s="71"/>
      <c r="T39" s="71">
        <v>2E-3</v>
      </c>
      <c r="U39" s="72">
        <v>100.601</v>
      </c>
    </row>
    <row r="40" spans="1:21">
      <c r="A40" s="13"/>
      <c r="B40" s="15"/>
      <c r="C40" s="8" t="s">
        <v>17</v>
      </c>
      <c r="D40" s="13" t="s">
        <v>11</v>
      </c>
      <c r="E40" s="13" t="s">
        <v>18</v>
      </c>
      <c r="F40" s="69"/>
      <c r="G40" s="70"/>
      <c r="H40" s="70"/>
      <c r="I40" s="70"/>
      <c r="J40" s="70"/>
      <c r="K40" s="70"/>
      <c r="L40" s="63">
        <v>65.686999999999998</v>
      </c>
      <c r="M40" s="70"/>
      <c r="N40" s="70">
        <v>0.35199999999999998</v>
      </c>
      <c r="O40" s="70"/>
      <c r="P40" s="70"/>
      <c r="Q40" s="63">
        <v>33.576999999999998</v>
      </c>
      <c r="R40" s="70">
        <v>5.6000000000000001E-2</v>
      </c>
      <c r="S40" s="71"/>
      <c r="T40" s="71">
        <v>0.222</v>
      </c>
      <c r="U40" s="72">
        <v>99.896000000000001</v>
      </c>
    </row>
    <row r="41" spans="1:21">
      <c r="A41" s="13"/>
      <c r="B41" s="15"/>
      <c r="C41" s="8" t="s">
        <v>17</v>
      </c>
      <c r="D41" s="13" t="s">
        <v>11</v>
      </c>
      <c r="E41" s="13" t="s">
        <v>18</v>
      </c>
      <c r="F41" s="69"/>
      <c r="G41" s="70"/>
      <c r="H41" s="70"/>
      <c r="I41" s="70"/>
      <c r="J41" s="70"/>
      <c r="K41" s="70"/>
      <c r="L41" s="63">
        <v>65.081999999999994</v>
      </c>
      <c r="M41" s="70"/>
      <c r="N41" s="70">
        <v>0.79200000000000004</v>
      </c>
      <c r="O41" s="70"/>
      <c r="P41" s="70"/>
      <c r="Q41" s="63">
        <v>33.448</v>
      </c>
      <c r="R41" s="70">
        <v>3.9E-2</v>
      </c>
      <c r="S41" s="71"/>
      <c r="T41" s="71">
        <v>0.38200000000000001</v>
      </c>
      <c r="U41" s="72">
        <v>99.743999999999986</v>
      </c>
    </row>
    <row r="42" spans="1:21">
      <c r="A42" s="13"/>
      <c r="B42" s="15"/>
      <c r="C42" s="8" t="s">
        <v>17</v>
      </c>
      <c r="D42" s="13" t="s">
        <v>11</v>
      </c>
      <c r="E42" s="13" t="s">
        <v>18</v>
      </c>
      <c r="F42" s="69"/>
      <c r="G42" s="70"/>
      <c r="H42" s="70"/>
      <c r="I42" s="70"/>
      <c r="J42" s="70"/>
      <c r="K42" s="70"/>
      <c r="L42" s="63">
        <v>64.853999999999999</v>
      </c>
      <c r="M42" s="70"/>
      <c r="N42" s="70">
        <v>0.997</v>
      </c>
      <c r="O42" s="70"/>
      <c r="P42" s="70"/>
      <c r="Q42" s="63">
        <v>33.670999999999999</v>
      </c>
      <c r="R42" s="70">
        <v>6.2E-2</v>
      </c>
      <c r="S42" s="71"/>
      <c r="T42" s="71">
        <v>0.187</v>
      </c>
      <c r="U42" s="72">
        <v>99.771000000000001</v>
      </c>
    </row>
    <row r="43" spans="1:21">
      <c r="A43" s="13"/>
      <c r="B43" s="15"/>
      <c r="C43" s="8" t="s">
        <v>17</v>
      </c>
      <c r="D43" s="8" t="s">
        <v>10</v>
      </c>
      <c r="E43" s="13" t="s">
        <v>18</v>
      </c>
      <c r="F43" s="69"/>
      <c r="G43" s="70">
        <v>0.03</v>
      </c>
      <c r="H43" s="70"/>
      <c r="I43" s="70"/>
      <c r="J43" s="70"/>
      <c r="K43" s="70"/>
      <c r="L43" s="63">
        <v>65.271000000000001</v>
      </c>
      <c r="M43" s="70"/>
      <c r="N43" s="70">
        <v>0.63800000000000001</v>
      </c>
      <c r="O43" s="70"/>
      <c r="P43" s="70"/>
      <c r="Q43" s="63">
        <v>33.558999999999997</v>
      </c>
      <c r="R43" s="70">
        <v>0.09</v>
      </c>
      <c r="S43" s="71"/>
      <c r="T43" s="71">
        <v>0.44900000000000001</v>
      </c>
      <c r="U43" s="72">
        <v>100.05</v>
      </c>
    </row>
    <row r="44" spans="1:21">
      <c r="A44" s="13"/>
      <c r="B44" s="15"/>
      <c r="C44" s="8" t="s">
        <v>17</v>
      </c>
      <c r="D44" s="8" t="s">
        <v>10</v>
      </c>
      <c r="E44" s="13" t="s">
        <v>18</v>
      </c>
      <c r="F44" s="69">
        <v>1.9E-2</v>
      </c>
      <c r="G44" s="70"/>
      <c r="H44" s="70"/>
      <c r="I44" s="70">
        <v>6.6000000000000003E-2</v>
      </c>
      <c r="J44" s="70"/>
      <c r="K44" s="70"/>
      <c r="L44" s="63">
        <v>65.503</v>
      </c>
      <c r="M44" s="70"/>
      <c r="N44" s="70">
        <v>0.55900000000000005</v>
      </c>
      <c r="O44" s="70">
        <v>1.6E-2</v>
      </c>
      <c r="P44" s="70"/>
      <c r="Q44" s="63">
        <v>33.804000000000002</v>
      </c>
      <c r="R44" s="70">
        <v>0.20800000000000002</v>
      </c>
      <c r="S44" s="71">
        <v>4.0000000000000001E-3</v>
      </c>
      <c r="T44" s="71">
        <v>5.0999999999999997E-2</v>
      </c>
      <c r="U44" s="72">
        <v>100.23</v>
      </c>
    </row>
    <row r="45" spans="1:21">
      <c r="A45" s="13"/>
      <c r="B45" s="15"/>
      <c r="C45" s="8" t="s">
        <v>17</v>
      </c>
      <c r="D45" s="13" t="s">
        <v>11</v>
      </c>
      <c r="E45" s="13" t="s">
        <v>18</v>
      </c>
      <c r="F45" s="69"/>
      <c r="G45" s="70"/>
      <c r="H45" s="70"/>
      <c r="I45" s="70">
        <v>1.7000000000000001E-2</v>
      </c>
      <c r="J45" s="70">
        <v>2.7E-2</v>
      </c>
      <c r="K45" s="70"/>
      <c r="L45" s="63">
        <v>65.77</v>
      </c>
      <c r="M45" s="70"/>
      <c r="N45" s="70">
        <v>0.34300000000000003</v>
      </c>
      <c r="O45" s="70"/>
      <c r="P45" s="70"/>
      <c r="Q45" s="63">
        <v>33.697000000000003</v>
      </c>
      <c r="R45" s="70">
        <v>0.113</v>
      </c>
      <c r="S45" s="71">
        <v>8.9999999999999993E-3</v>
      </c>
      <c r="T45" s="71">
        <v>0.124</v>
      </c>
      <c r="U45" s="72">
        <v>100.105</v>
      </c>
    </row>
    <row r="46" spans="1:21">
      <c r="A46" s="13"/>
      <c r="B46" s="15"/>
      <c r="C46" s="8" t="s">
        <v>17</v>
      </c>
      <c r="D46" s="8" t="s">
        <v>10</v>
      </c>
      <c r="E46" s="13" t="s">
        <v>18</v>
      </c>
      <c r="F46" s="69"/>
      <c r="G46" s="70"/>
      <c r="H46" s="70"/>
      <c r="I46" s="70">
        <v>4.2000000000000003E-2</v>
      </c>
      <c r="J46" s="70">
        <v>3.5999999999999997E-2</v>
      </c>
      <c r="K46" s="70"/>
      <c r="L46" s="63">
        <v>65.614000000000004</v>
      </c>
      <c r="M46" s="70"/>
      <c r="N46" s="70">
        <v>0.27700000000000002</v>
      </c>
      <c r="O46" s="70">
        <v>7.0000000000000001E-3</v>
      </c>
      <c r="P46" s="70"/>
      <c r="Q46" s="63">
        <v>34.198</v>
      </c>
      <c r="R46" s="70">
        <v>0.155</v>
      </c>
      <c r="S46" s="71"/>
      <c r="T46" s="71">
        <v>9.9000000000000005E-2</v>
      </c>
      <c r="U46" s="72">
        <v>100.43600000000001</v>
      </c>
    </row>
    <row r="47" spans="1:21">
      <c r="A47" s="13" t="s">
        <v>19</v>
      </c>
      <c r="B47" s="15" t="s">
        <v>20</v>
      </c>
      <c r="C47" s="8" t="s">
        <v>17</v>
      </c>
      <c r="D47" s="8" t="s">
        <v>10</v>
      </c>
      <c r="E47" s="13" t="s">
        <v>18</v>
      </c>
      <c r="F47" s="69">
        <v>3.9E-2</v>
      </c>
      <c r="G47" s="70"/>
      <c r="H47" s="70"/>
      <c r="I47" s="70">
        <v>7.0000000000000007E-2</v>
      </c>
      <c r="J47" s="70">
        <v>4.9000000000000002E-2</v>
      </c>
      <c r="K47" s="70">
        <v>7.0000000000000001E-3</v>
      </c>
      <c r="L47" s="63">
        <v>64.721999999999994</v>
      </c>
      <c r="M47" s="70"/>
      <c r="N47" s="70">
        <v>0.51600000000000001</v>
      </c>
      <c r="O47" s="70">
        <v>6.0000000000000001E-3</v>
      </c>
      <c r="P47" s="70"/>
      <c r="Q47" s="63">
        <v>33.277999999999999</v>
      </c>
      <c r="R47" s="70">
        <v>0.43300000000000005</v>
      </c>
      <c r="S47" s="71"/>
      <c r="T47" s="71">
        <v>4.7E-2</v>
      </c>
      <c r="U47" s="72">
        <v>99.179000000000002</v>
      </c>
    </row>
    <row r="48" spans="1:21">
      <c r="A48" s="13"/>
      <c r="B48" s="15"/>
      <c r="C48" s="13" t="s">
        <v>17</v>
      </c>
      <c r="D48" s="13" t="s">
        <v>11</v>
      </c>
      <c r="E48" s="13" t="s">
        <v>18</v>
      </c>
      <c r="F48" s="69"/>
      <c r="G48" s="70"/>
      <c r="H48" s="70">
        <v>2.3E-2</v>
      </c>
      <c r="I48" s="70">
        <v>4.7E-2</v>
      </c>
      <c r="J48" s="70">
        <v>1.3000000000000001E-2</v>
      </c>
      <c r="K48" s="70"/>
      <c r="L48" s="63">
        <v>65.373000000000005</v>
      </c>
      <c r="M48" s="70"/>
      <c r="N48" s="70">
        <v>0.32800000000000001</v>
      </c>
      <c r="O48" s="70"/>
      <c r="P48" s="70"/>
      <c r="Q48" s="63">
        <v>33.363999999999997</v>
      </c>
      <c r="R48" s="70">
        <v>8.7999999999999995E-2</v>
      </c>
      <c r="S48" s="71"/>
      <c r="T48" s="71">
        <v>0.11600000000000002</v>
      </c>
      <c r="U48" s="72">
        <v>99.352000000000004</v>
      </c>
    </row>
    <row r="49" spans="1:21">
      <c r="A49" s="13"/>
      <c r="B49" s="15"/>
      <c r="C49" s="13" t="s">
        <v>17</v>
      </c>
      <c r="D49" s="8" t="s">
        <v>10</v>
      </c>
      <c r="E49" s="13" t="s">
        <v>18</v>
      </c>
      <c r="F49" s="69">
        <v>2.4E-2</v>
      </c>
      <c r="G49" s="70"/>
      <c r="H49" s="70"/>
      <c r="I49" s="70">
        <v>4.4999999999999998E-2</v>
      </c>
      <c r="J49" s="70"/>
      <c r="K49" s="70"/>
      <c r="L49" s="63">
        <v>65.674999999999997</v>
      </c>
      <c r="M49" s="70"/>
      <c r="N49" s="70">
        <v>0.14799999999999999</v>
      </c>
      <c r="O49" s="70"/>
      <c r="P49" s="70"/>
      <c r="Q49" s="63">
        <v>33.206000000000003</v>
      </c>
      <c r="R49" s="70">
        <v>0.46</v>
      </c>
      <c r="S49" s="71"/>
      <c r="T49" s="71">
        <v>0.107</v>
      </c>
      <c r="U49" s="72">
        <v>99.665999999999997</v>
      </c>
    </row>
    <row r="50" spans="1:21">
      <c r="A50" s="13"/>
      <c r="B50" s="15"/>
      <c r="C50" s="13" t="s">
        <v>17</v>
      </c>
      <c r="D50" s="8" t="s">
        <v>10</v>
      </c>
      <c r="E50" s="13" t="s">
        <v>18</v>
      </c>
      <c r="F50" s="69"/>
      <c r="G50" s="70"/>
      <c r="H50" s="70"/>
      <c r="I50" s="70">
        <v>3.0000000000000001E-3</v>
      </c>
      <c r="J50" s="70"/>
      <c r="K50" s="70"/>
      <c r="L50" s="63">
        <v>64.88</v>
      </c>
      <c r="M50" s="70"/>
      <c r="N50" s="70">
        <v>0.68899999999999995</v>
      </c>
      <c r="O50" s="70">
        <v>7.0000000000000001E-3</v>
      </c>
      <c r="P50" s="70"/>
      <c r="Q50" s="63">
        <v>33.4</v>
      </c>
      <c r="R50" s="70">
        <v>0.04</v>
      </c>
      <c r="S50" s="71"/>
      <c r="T50" s="71">
        <v>0.36799999999999999</v>
      </c>
      <c r="U50" s="72">
        <v>99.396000000000001</v>
      </c>
    </row>
    <row r="51" spans="1:21">
      <c r="A51" s="13"/>
      <c r="B51" s="15"/>
      <c r="C51" s="13" t="s">
        <v>17</v>
      </c>
      <c r="D51" s="13" t="s">
        <v>11</v>
      </c>
      <c r="E51" s="13" t="s">
        <v>18</v>
      </c>
      <c r="F51" s="69"/>
      <c r="G51" s="70">
        <v>1.9E-2</v>
      </c>
      <c r="H51" s="70"/>
      <c r="I51" s="70">
        <v>4.3999999999999997E-2</v>
      </c>
      <c r="J51" s="70"/>
      <c r="K51" s="70"/>
      <c r="L51" s="63">
        <v>65.825999999999993</v>
      </c>
      <c r="M51" s="70"/>
      <c r="N51" s="70">
        <v>0.13</v>
      </c>
      <c r="O51" s="70"/>
      <c r="P51" s="70">
        <v>8.9999999999999993E-3</v>
      </c>
      <c r="Q51" s="63">
        <v>33.356999999999999</v>
      </c>
      <c r="R51" s="70">
        <v>0.33600000000000002</v>
      </c>
      <c r="S51" s="71"/>
      <c r="T51" s="71">
        <v>0.11400000000000002</v>
      </c>
      <c r="U51" s="72">
        <v>99.841999999999999</v>
      </c>
    </row>
    <row r="52" spans="1:21">
      <c r="A52" s="13"/>
      <c r="B52" s="15"/>
      <c r="C52" s="13" t="s">
        <v>17</v>
      </c>
      <c r="D52" s="8" t="s">
        <v>10</v>
      </c>
      <c r="E52" s="13" t="s">
        <v>18</v>
      </c>
      <c r="F52" s="69"/>
      <c r="G52" s="70"/>
      <c r="H52" s="70"/>
      <c r="I52" s="70">
        <v>1.9E-2</v>
      </c>
      <c r="J52" s="70"/>
      <c r="K52" s="70"/>
      <c r="L52" s="63">
        <v>64.844999999999999</v>
      </c>
      <c r="M52" s="70"/>
      <c r="N52" s="70">
        <v>0.86099999999999999</v>
      </c>
      <c r="O52" s="70"/>
      <c r="P52" s="70"/>
      <c r="Q52" s="63">
        <v>33.332000000000001</v>
      </c>
      <c r="R52" s="70">
        <v>5.3999999999999999E-2</v>
      </c>
      <c r="S52" s="71"/>
      <c r="T52" s="71">
        <v>0.185</v>
      </c>
      <c r="U52" s="72">
        <v>99.304000000000002</v>
      </c>
    </row>
    <row r="53" spans="1:21">
      <c r="A53" s="13"/>
      <c r="B53" s="15"/>
      <c r="C53" s="13" t="s">
        <v>17</v>
      </c>
      <c r="D53" s="13" t="s">
        <v>11</v>
      </c>
      <c r="E53" s="13" t="s">
        <v>18</v>
      </c>
      <c r="F53" s="69"/>
      <c r="G53" s="70"/>
      <c r="H53" s="70"/>
      <c r="I53" s="70">
        <v>4.2000000000000003E-2</v>
      </c>
      <c r="J53" s="70"/>
      <c r="K53" s="70"/>
      <c r="L53" s="63">
        <v>65.677999999999997</v>
      </c>
      <c r="M53" s="70"/>
      <c r="N53" s="70">
        <v>0.182</v>
      </c>
      <c r="O53" s="70">
        <v>8.0000000000000002E-3</v>
      </c>
      <c r="P53" s="70"/>
      <c r="Q53" s="63">
        <v>33.222999999999999</v>
      </c>
      <c r="R53" s="70">
        <v>3.5000000000000003E-2</v>
      </c>
      <c r="S53" s="71"/>
      <c r="T53" s="71">
        <v>0.222</v>
      </c>
      <c r="U53" s="72">
        <v>99.39</v>
      </c>
    </row>
    <row r="54" spans="1:21">
      <c r="A54" s="13"/>
      <c r="B54" s="15"/>
      <c r="C54" s="13" t="s">
        <v>17</v>
      </c>
      <c r="D54" s="13" t="s">
        <v>11</v>
      </c>
      <c r="E54" s="13" t="s">
        <v>18</v>
      </c>
      <c r="F54" s="69"/>
      <c r="G54" s="70"/>
      <c r="H54" s="70"/>
      <c r="I54" s="70">
        <v>3.7999999999999999E-2</v>
      </c>
      <c r="J54" s="70"/>
      <c r="K54" s="70"/>
      <c r="L54" s="63">
        <v>65.150000000000006</v>
      </c>
      <c r="M54" s="70"/>
      <c r="N54" s="70">
        <v>0.39299999999999996</v>
      </c>
      <c r="O54" s="70">
        <v>1.2E-2</v>
      </c>
      <c r="P54" s="70"/>
      <c r="Q54" s="63">
        <v>33.243000000000002</v>
      </c>
      <c r="R54" s="70">
        <v>0.247</v>
      </c>
      <c r="S54" s="71"/>
      <c r="T54" s="71">
        <v>8.8999999999999996E-2</v>
      </c>
      <c r="U54" s="72">
        <v>99.183000000000007</v>
      </c>
    </row>
    <row r="55" spans="1:21">
      <c r="A55" s="13"/>
      <c r="B55" s="15"/>
      <c r="C55" s="13" t="s">
        <v>17</v>
      </c>
      <c r="D55" s="13" t="s">
        <v>11</v>
      </c>
      <c r="E55" s="13" t="s">
        <v>18</v>
      </c>
      <c r="F55" s="69">
        <v>2.8000000000000001E-2</v>
      </c>
      <c r="G55" s="70"/>
      <c r="H55" s="70"/>
      <c r="I55" s="70">
        <v>0.09</v>
      </c>
      <c r="J55" s="70">
        <v>1.3000000000000001E-2</v>
      </c>
      <c r="K55" s="70"/>
      <c r="L55" s="63">
        <v>65.489999999999995</v>
      </c>
      <c r="M55" s="70"/>
      <c r="N55" s="70">
        <v>0.23100000000000001</v>
      </c>
      <c r="O55" s="70">
        <v>5.0000000000000001E-3</v>
      </c>
      <c r="P55" s="70"/>
      <c r="Q55" s="63">
        <v>33.231999999999999</v>
      </c>
      <c r="R55" s="70">
        <v>0.15</v>
      </c>
      <c r="S55" s="71"/>
      <c r="T55" s="71">
        <v>9.0999999999999998E-2</v>
      </c>
      <c r="U55" s="72">
        <v>99.338999999999999</v>
      </c>
    </row>
    <row r="56" spans="1:21">
      <c r="A56" s="13"/>
      <c r="B56" s="15"/>
      <c r="C56" s="13" t="s">
        <v>17</v>
      </c>
      <c r="D56" s="8" t="s">
        <v>10</v>
      </c>
      <c r="E56" s="13" t="s">
        <v>18</v>
      </c>
      <c r="F56" s="69"/>
      <c r="G56" s="70"/>
      <c r="H56" s="70"/>
      <c r="I56" s="70">
        <v>4.5999999999999999E-2</v>
      </c>
      <c r="J56" s="70"/>
      <c r="K56" s="70"/>
      <c r="L56" s="63">
        <v>65.078999999999994</v>
      </c>
      <c r="M56" s="70"/>
      <c r="N56" s="70">
        <v>0.45300000000000007</v>
      </c>
      <c r="O56" s="70">
        <v>1.9E-2</v>
      </c>
      <c r="P56" s="70"/>
      <c r="Q56" s="63">
        <v>33.167999999999999</v>
      </c>
      <c r="R56" s="70">
        <v>0.11799999999999999</v>
      </c>
      <c r="S56" s="71"/>
      <c r="T56" s="71">
        <v>9.7000000000000017E-2</v>
      </c>
      <c r="U56" s="72">
        <v>98.984999999999999</v>
      </c>
    </row>
    <row r="57" spans="1:21">
      <c r="A57" s="13"/>
      <c r="B57" s="15"/>
      <c r="C57" s="13" t="s">
        <v>17</v>
      </c>
      <c r="D57" s="8" t="s">
        <v>10</v>
      </c>
      <c r="E57" s="13" t="s">
        <v>18</v>
      </c>
      <c r="F57" s="69"/>
      <c r="G57" s="70">
        <v>0.03</v>
      </c>
      <c r="H57" s="70"/>
      <c r="I57" s="70">
        <v>3.7999999999999999E-2</v>
      </c>
      <c r="J57" s="70"/>
      <c r="K57" s="70"/>
      <c r="L57" s="63">
        <v>65.352999999999994</v>
      </c>
      <c r="M57" s="70"/>
      <c r="N57" s="70">
        <v>0.504</v>
      </c>
      <c r="O57" s="70"/>
      <c r="P57" s="70"/>
      <c r="Q57" s="63">
        <v>33.521000000000001</v>
      </c>
      <c r="R57" s="70">
        <v>7.1999999999999995E-2</v>
      </c>
      <c r="S57" s="71"/>
      <c r="T57" s="71">
        <v>0.10400000000000001</v>
      </c>
      <c r="U57" s="72">
        <v>99.635999999999996</v>
      </c>
    </row>
    <row r="58" spans="1:21">
      <c r="A58" s="13"/>
      <c r="B58" s="15"/>
      <c r="C58" s="13" t="s">
        <v>17</v>
      </c>
      <c r="D58" s="13" t="s">
        <v>11</v>
      </c>
      <c r="E58" s="13" t="s">
        <v>18</v>
      </c>
      <c r="F58" s="69"/>
      <c r="G58" s="70"/>
      <c r="H58" s="70"/>
      <c r="I58" s="70">
        <v>7.3999999999999996E-2</v>
      </c>
      <c r="J58" s="70"/>
      <c r="K58" s="70"/>
      <c r="L58" s="63">
        <v>65.186999999999998</v>
      </c>
      <c r="M58" s="70"/>
      <c r="N58" s="70">
        <v>0.505</v>
      </c>
      <c r="O58" s="70"/>
      <c r="P58" s="70"/>
      <c r="Q58" s="63">
        <v>33.42</v>
      </c>
      <c r="R58" s="70">
        <v>0.10299999999999999</v>
      </c>
      <c r="S58" s="71"/>
      <c r="T58" s="71">
        <v>1.6E-2</v>
      </c>
      <c r="U58" s="72">
        <v>99.305999999999983</v>
      </c>
    </row>
    <row r="59" spans="1:21">
      <c r="A59" s="13"/>
      <c r="B59" s="15"/>
      <c r="C59" s="13" t="s">
        <v>17</v>
      </c>
      <c r="D59" s="8" t="s">
        <v>10</v>
      </c>
      <c r="E59" s="13" t="s">
        <v>18</v>
      </c>
      <c r="F59" s="69">
        <v>2.3E-2</v>
      </c>
      <c r="G59" s="70"/>
      <c r="H59" s="70"/>
      <c r="I59" s="70">
        <v>4.1000000000000002E-2</v>
      </c>
      <c r="J59" s="70"/>
      <c r="K59" s="70"/>
      <c r="L59" s="63">
        <v>64.77</v>
      </c>
      <c r="M59" s="70">
        <v>1.6E-2</v>
      </c>
      <c r="N59" s="70">
        <v>0.63800000000000001</v>
      </c>
      <c r="O59" s="70"/>
      <c r="P59" s="70"/>
      <c r="Q59" s="63">
        <v>33.378999999999998</v>
      </c>
      <c r="R59" s="70">
        <v>7.9000000000000001E-2</v>
      </c>
      <c r="S59" s="71"/>
      <c r="T59" s="71">
        <v>0.11899999999999999</v>
      </c>
      <c r="U59" s="72">
        <v>99.064999999999998</v>
      </c>
    </row>
    <row r="60" spans="1:21">
      <c r="A60" s="13"/>
      <c r="B60" s="15"/>
      <c r="C60" s="13" t="s">
        <v>17</v>
      </c>
      <c r="D60" s="13" t="s">
        <v>11</v>
      </c>
      <c r="E60" s="13" t="s">
        <v>18</v>
      </c>
      <c r="F60" s="69"/>
      <c r="G60" s="70">
        <v>1.4999999999999999E-2</v>
      </c>
      <c r="H60" s="70"/>
      <c r="I60" s="70"/>
      <c r="J60" s="70"/>
      <c r="K60" s="70"/>
      <c r="L60" s="63">
        <v>63.91299999999999</v>
      </c>
      <c r="M60" s="70"/>
      <c r="N60" s="70">
        <v>1.56</v>
      </c>
      <c r="O60" s="70"/>
      <c r="P60" s="70"/>
      <c r="Q60" s="63">
        <v>33.356999999999999</v>
      </c>
      <c r="R60" s="70">
        <v>5.3999999999999999E-2</v>
      </c>
      <c r="S60" s="71"/>
      <c r="T60" s="71">
        <v>0.04</v>
      </c>
      <c r="U60" s="72">
        <v>98.938999999999979</v>
      </c>
    </row>
    <row r="61" spans="1:21">
      <c r="A61" s="13"/>
      <c r="B61" s="15"/>
      <c r="C61" s="13" t="s">
        <v>17</v>
      </c>
      <c r="D61" s="13" t="s">
        <v>10</v>
      </c>
      <c r="E61" s="13" t="s">
        <v>18</v>
      </c>
      <c r="F61" s="69"/>
      <c r="G61" s="70"/>
      <c r="H61" s="70"/>
      <c r="I61" s="70">
        <v>0.112</v>
      </c>
      <c r="J61" s="70">
        <v>2.9000000000000005E-2</v>
      </c>
      <c r="K61" s="70"/>
      <c r="L61" s="63">
        <v>64.959000000000003</v>
      </c>
      <c r="M61" s="70"/>
      <c r="N61" s="70">
        <v>0.73899999999999999</v>
      </c>
      <c r="O61" s="70"/>
      <c r="P61" s="70"/>
      <c r="Q61" s="63">
        <v>33.482999999999997</v>
      </c>
      <c r="R61" s="70">
        <v>0.184</v>
      </c>
      <c r="S61" s="71">
        <v>0.01</v>
      </c>
      <c r="T61" s="71">
        <v>1.3000000000000001E-2</v>
      </c>
      <c r="U61" s="72">
        <v>99.534999999999997</v>
      </c>
    </row>
    <row r="62" spans="1:21">
      <c r="A62" s="21"/>
      <c r="B62" s="23"/>
      <c r="C62" s="21"/>
      <c r="D62" s="28" t="s">
        <v>30</v>
      </c>
      <c r="E62" s="28"/>
      <c r="F62" s="74">
        <f t="shared" ref="F62:T62" si="3">MAX(F34:F61)</f>
        <v>3.9E-2</v>
      </c>
      <c r="G62" s="74">
        <f t="shared" si="3"/>
        <v>0.03</v>
      </c>
      <c r="H62" s="74">
        <f t="shared" si="3"/>
        <v>2.3E-2</v>
      </c>
      <c r="I62" s="74">
        <f t="shared" si="3"/>
        <v>0.112</v>
      </c>
      <c r="J62" s="74">
        <f t="shared" si="3"/>
        <v>4.9000000000000002E-2</v>
      </c>
      <c r="K62" s="74">
        <f t="shared" si="3"/>
        <v>7.0000000000000001E-3</v>
      </c>
      <c r="L62" s="73">
        <f t="shared" si="3"/>
        <v>66.034000000000006</v>
      </c>
      <c r="M62" s="74">
        <f t="shared" si="3"/>
        <v>1.6E-2</v>
      </c>
      <c r="N62" s="74">
        <f t="shared" si="3"/>
        <v>1.56</v>
      </c>
      <c r="O62" s="74">
        <f t="shared" si="3"/>
        <v>1.9E-2</v>
      </c>
      <c r="P62" s="74">
        <f t="shared" si="3"/>
        <v>8.9999999999999993E-3</v>
      </c>
      <c r="Q62" s="73">
        <f t="shared" si="3"/>
        <v>34.198</v>
      </c>
      <c r="R62" s="74">
        <f t="shared" si="3"/>
        <v>0.46</v>
      </c>
      <c r="S62" s="74">
        <f t="shared" si="3"/>
        <v>0.01</v>
      </c>
      <c r="T62" s="74">
        <f t="shared" si="3"/>
        <v>0.44900000000000001</v>
      </c>
      <c r="U62" s="75">
        <f>MAX(U34:U61)</f>
        <v>100.601</v>
      </c>
    </row>
    <row r="63" spans="1:21">
      <c r="A63" s="8"/>
      <c r="B63" s="7"/>
      <c r="C63" s="8"/>
      <c r="D63" s="29" t="s">
        <v>31</v>
      </c>
      <c r="E63" s="29"/>
      <c r="F63" s="77">
        <f t="shared" ref="F63:T63" si="4">MIN(F34:F62)</f>
        <v>1.9E-2</v>
      </c>
      <c r="G63" s="77">
        <f t="shared" si="4"/>
        <v>1.4999999999999999E-2</v>
      </c>
      <c r="H63" s="77">
        <f t="shared" si="4"/>
        <v>1.7999999999999999E-2</v>
      </c>
      <c r="I63" s="77">
        <f t="shared" si="4"/>
        <v>1E-3</v>
      </c>
      <c r="J63" s="77">
        <f t="shared" si="4"/>
        <v>1.3000000000000001E-2</v>
      </c>
      <c r="K63" s="77">
        <f t="shared" si="4"/>
        <v>1E-3</v>
      </c>
      <c r="L63" s="76">
        <f t="shared" si="4"/>
        <v>63.91299999999999</v>
      </c>
      <c r="M63" s="77">
        <f t="shared" si="4"/>
        <v>1.6E-2</v>
      </c>
      <c r="N63" s="77">
        <f t="shared" si="4"/>
        <v>0.09</v>
      </c>
      <c r="O63" s="77">
        <f t="shared" si="4"/>
        <v>5.0000000000000001E-3</v>
      </c>
      <c r="P63" s="77">
        <f t="shared" si="4"/>
        <v>8.9999999999999993E-3</v>
      </c>
      <c r="Q63" s="76">
        <f t="shared" si="4"/>
        <v>33.167999999999999</v>
      </c>
      <c r="R63" s="77">
        <f t="shared" si="4"/>
        <v>1.4E-2</v>
      </c>
      <c r="S63" s="77">
        <f t="shared" si="4"/>
        <v>4.0000000000000001E-3</v>
      </c>
      <c r="T63" s="77">
        <f t="shared" si="4"/>
        <v>2E-3</v>
      </c>
      <c r="U63" s="78">
        <f>MIN(U34:U62)</f>
        <v>98.325000000000003</v>
      </c>
    </row>
    <row r="64" spans="1:21">
      <c r="A64" s="19"/>
      <c r="B64" s="24"/>
      <c r="C64" s="19"/>
      <c r="D64" s="30" t="s">
        <v>32</v>
      </c>
      <c r="E64" s="30"/>
      <c r="F64" s="80">
        <f t="shared" ref="F64:T64" si="5">AVERAGE(F34:F63)</f>
        <v>2.7285714285714281E-2</v>
      </c>
      <c r="G64" s="80">
        <f t="shared" si="5"/>
        <v>2.3166666666666669E-2</v>
      </c>
      <c r="H64" s="80">
        <f t="shared" si="5"/>
        <v>2.0500000000000001E-2</v>
      </c>
      <c r="I64" s="80">
        <f t="shared" si="5"/>
        <v>4.9280000000000011E-2</v>
      </c>
      <c r="J64" s="80">
        <f t="shared" si="5"/>
        <v>2.5461538461538466E-2</v>
      </c>
      <c r="K64" s="80">
        <f t="shared" si="5"/>
        <v>4.0000000000000001E-3</v>
      </c>
      <c r="L64" s="79">
        <f t="shared" si="5"/>
        <v>65.166333333333355</v>
      </c>
      <c r="M64" s="80">
        <f t="shared" si="5"/>
        <v>1.6E-2</v>
      </c>
      <c r="N64" s="80">
        <f t="shared" si="5"/>
        <v>0.56340000000000001</v>
      </c>
      <c r="O64" s="80">
        <f t="shared" si="5"/>
        <v>1.0666666666666666E-2</v>
      </c>
      <c r="P64" s="80">
        <f t="shared" si="5"/>
        <v>8.9999999999999993E-3</v>
      </c>
      <c r="Q64" s="79">
        <f t="shared" si="5"/>
        <v>33.501099999999987</v>
      </c>
      <c r="R64" s="80">
        <f t="shared" si="5"/>
        <v>0.16550000000000001</v>
      </c>
      <c r="S64" s="80">
        <f t="shared" si="5"/>
        <v>7.4000000000000012E-3</v>
      </c>
      <c r="T64" s="80">
        <f t="shared" si="5"/>
        <v>0.15390000000000004</v>
      </c>
      <c r="U64" s="81">
        <f>AVERAGE(U34:U63)</f>
        <v>99.583466666666666</v>
      </c>
    </row>
    <row r="65" spans="1:21">
      <c r="A65" s="8" t="s">
        <v>21</v>
      </c>
      <c r="B65" s="7" t="s">
        <v>22</v>
      </c>
      <c r="C65" s="8" t="s">
        <v>23</v>
      </c>
      <c r="D65" s="8" t="s">
        <v>11</v>
      </c>
      <c r="E65" s="8" t="s">
        <v>24</v>
      </c>
      <c r="F65" s="69"/>
      <c r="G65" s="70"/>
      <c r="H65" s="70"/>
      <c r="I65" s="70">
        <v>5.0000000000000001E-3</v>
      </c>
      <c r="J65" s="70">
        <v>1.7999999999999999E-2</v>
      </c>
      <c r="K65" s="70"/>
      <c r="L65" s="63">
        <v>64.578000000000003</v>
      </c>
      <c r="M65" s="70"/>
      <c r="N65" s="70">
        <v>1.0629999999999999</v>
      </c>
      <c r="O65" s="70">
        <v>6.0000000000000001E-3</v>
      </c>
      <c r="P65" s="70"/>
      <c r="Q65" s="63">
        <v>33.076999999999998</v>
      </c>
      <c r="R65" s="70">
        <v>0.05</v>
      </c>
      <c r="S65" s="71"/>
      <c r="T65" s="71">
        <v>7.6999999999999999E-2</v>
      </c>
      <c r="U65" s="72">
        <v>98.879000000000005</v>
      </c>
    </row>
    <row r="66" spans="1:21">
      <c r="A66" s="13"/>
      <c r="B66" s="15"/>
      <c r="C66" s="8" t="s">
        <v>23</v>
      </c>
      <c r="D66" s="13" t="s">
        <v>11</v>
      </c>
      <c r="E66" s="13" t="s">
        <v>24</v>
      </c>
      <c r="F66" s="69"/>
      <c r="G66" s="70"/>
      <c r="H66" s="70"/>
      <c r="I66" s="70">
        <v>3.6999999999999998E-2</v>
      </c>
      <c r="J66" s="70"/>
      <c r="K66" s="70"/>
      <c r="L66" s="63">
        <v>65.465999999999994</v>
      </c>
      <c r="M66" s="70"/>
      <c r="N66" s="70">
        <v>0.53600000000000003</v>
      </c>
      <c r="O66" s="70">
        <v>1.6E-2</v>
      </c>
      <c r="P66" s="70"/>
      <c r="Q66" s="63">
        <v>33.350999999999999</v>
      </c>
      <c r="R66" s="70">
        <v>0.17299999999999999</v>
      </c>
      <c r="S66" s="71"/>
      <c r="T66" s="71">
        <v>7.4999999999999997E-2</v>
      </c>
      <c r="U66" s="72">
        <v>99.656000000000006</v>
      </c>
    </row>
    <row r="67" spans="1:21">
      <c r="A67" s="13"/>
      <c r="B67" s="15"/>
      <c r="C67" s="8" t="s">
        <v>23</v>
      </c>
      <c r="D67" s="13" t="s">
        <v>11</v>
      </c>
      <c r="E67" s="13" t="s">
        <v>24</v>
      </c>
      <c r="F67" s="69"/>
      <c r="G67" s="70">
        <v>1.4999999999999999E-2</v>
      </c>
      <c r="H67" s="70"/>
      <c r="I67" s="70">
        <v>7.9000000000000001E-2</v>
      </c>
      <c r="J67" s="70"/>
      <c r="K67" s="70"/>
      <c r="L67" s="63">
        <v>64.683999999999997</v>
      </c>
      <c r="M67" s="70"/>
      <c r="N67" s="70">
        <v>0.77100000000000002</v>
      </c>
      <c r="O67" s="70"/>
      <c r="P67" s="70"/>
      <c r="Q67" s="63">
        <v>33.341999999999999</v>
      </c>
      <c r="R67" s="70">
        <v>0.14099999999999999</v>
      </c>
      <c r="S67" s="71"/>
      <c r="T67" s="71">
        <v>6.6000000000000003E-2</v>
      </c>
      <c r="U67" s="72">
        <v>99.103999999999999</v>
      </c>
    </row>
    <row r="68" spans="1:21">
      <c r="A68" s="13"/>
      <c r="B68" s="15"/>
      <c r="C68" s="8" t="s">
        <v>23</v>
      </c>
      <c r="D68" s="8" t="s">
        <v>10</v>
      </c>
      <c r="E68" s="13" t="s">
        <v>24</v>
      </c>
      <c r="F68" s="69"/>
      <c r="G68" s="70"/>
      <c r="H68" s="70"/>
      <c r="I68" s="70">
        <v>6.7000000000000004E-2</v>
      </c>
      <c r="J68" s="70"/>
      <c r="K68" s="70"/>
      <c r="L68" s="63">
        <v>65.382999999999996</v>
      </c>
      <c r="M68" s="70"/>
      <c r="N68" s="70">
        <v>0.23500000000000001</v>
      </c>
      <c r="O68" s="70"/>
      <c r="P68" s="70"/>
      <c r="Q68" s="63">
        <v>33.167000000000002</v>
      </c>
      <c r="R68" s="70">
        <v>0.54400000000000004</v>
      </c>
      <c r="S68" s="71"/>
      <c r="T68" s="71">
        <v>3.9E-2</v>
      </c>
      <c r="U68" s="72">
        <v>99.436999999999998</v>
      </c>
    </row>
    <row r="69" spans="1:21">
      <c r="A69" s="13"/>
      <c r="B69" s="15"/>
      <c r="C69" s="8" t="s">
        <v>23</v>
      </c>
      <c r="D69" s="8" t="s">
        <v>10</v>
      </c>
      <c r="E69" s="13" t="s">
        <v>24</v>
      </c>
      <c r="F69" s="69"/>
      <c r="G69" s="70"/>
      <c r="H69" s="70"/>
      <c r="I69" s="70">
        <v>3.3000000000000002E-2</v>
      </c>
      <c r="J69" s="70">
        <v>2.4E-2</v>
      </c>
      <c r="K69" s="70"/>
      <c r="L69" s="63">
        <v>64.248999999999995</v>
      </c>
      <c r="M69" s="70"/>
      <c r="N69" s="70">
        <v>1.236</v>
      </c>
      <c r="O69" s="70">
        <v>4.0000000000000001E-3</v>
      </c>
      <c r="P69" s="70"/>
      <c r="Q69" s="63">
        <v>33.478999999999999</v>
      </c>
      <c r="R69" s="70">
        <v>5.8999999999999997E-2</v>
      </c>
      <c r="S69" s="71">
        <v>8.9999999999999993E-3</v>
      </c>
      <c r="T69" s="71">
        <v>0.11700000000000001</v>
      </c>
      <c r="U69" s="72">
        <v>99.211999999999989</v>
      </c>
    </row>
    <row r="70" spans="1:21">
      <c r="A70" s="13"/>
      <c r="B70" s="15"/>
      <c r="C70" s="8" t="s">
        <v>23</v>
      </c>
      <c r="D70" s="8" t="s">
        <v>10</v>
      </c>
      <c r="E70" s="13" t="s">
        <v>24</v>
      </c>
      <c r="F70" s="69"/>
      <c r="G70" s="70"/>
      <c r="H70" s="70"/>
      <c r="I70" s="70">
        <v>8.5999999999999993E-2</v>
      </c>
      <c r="J70" s="70"/>
      <c r="K70" s="70"/>
      <c r="L70" s="63">
        <v>65.275999999999996</v>
      </c>
      <c r="M70" s="70"/>
      <c r="N70" s="70">
        <v>0.32900000000000001</v>
      </c>
      <c r="O70" s="70">
        <v>4.0000000000000001E-3</v>
      </c>
      <c r="P70" s="70"/>
      <c r="Q70" s="63">
        <v>33.311999999999998</v>
      </c>
      <c r="R70" s="70">
        <v>0.30599999999999999</v>
      </c>
      <c r="S70" s="71">
        <v>0.01</v>
      </c>
      <c r="T70" s="71">
        <v>5.8999999999999997E-2</v>
      </c>
      <c r="U70" s="72">
        <v>99.394999999999996</v>
      </c>
    </row>
    <row r="71" spans="1:21">
      <c r="A71" s="13"/>
      <c r="B71" s="15"/>
      <c r="C71" s="8" t="s">
        <v>23</v>
      </c>
      <c r="D71" s="13" t="s">
        <v>11</v>
      </c>
      <c r="E71" s="13" t="s">
        <v>24</v>
      </c>
      <c r="F71" s="69"/>
      <c r="G71" s="70"/>
      <c r="H71" s="70"/>
      <c r="I71" s="70">
        <v>7.0000000000000001E-3</v>
      </c>
      <c r="J71" s="70"/>
      <c r="K71" s="70"/>
      <c r="L71" s="63">
        <v>63.94</v>
      </c>
      <c r="M71" s="70"/>
      <c r="N71" s="70">
        <v>1.5629999999999999</v>
      </c>
      <c r="O71" s="70">
        <v>1.4999999999999999E-2</v>
      </c>
      <c r="P71" s="70"/>
      <c r="Q71" s="63">
        <v>33.372999999999998</v>
      </c>
      <c r="R71" s="70">
        <v>0.09</v>
      </c>
      <c r="S71" s="71"/>
      <c r="T71" s="71">
        <v>5.4999999999999993E-2</v>
      </c>
      <c r="U71" s="72">
        <v>99.055000000000007</v>
      </c>
    </row>
    <row r="72" spans="1:21">
      <c r="A72" s="13"/>
      <c r="B72" s="15"/>
      <c r="C72" s="8" t="s">
        <v>23</v>
      </c>
      <c r="D72" s="13" t="s">
        <v>11</v>
      </c>
      <c r="E72" s="13" t="s">
        <v>24</v>
      </c>
      <c r="F72" s="69"/>
      <c r="G72" s="70"/>
      <c r="H72" s="70"/>
      <c r="I72" s="70">
        <v>8.6999999999999994E-2</v>
      </c>
      <c r="J72" s="70">
        <v>2.1000000000000001E-2</v>
      </c>
      <c r="K72" s="70"/>
      <c r="L72" s="63">
        <v>65.578000000000003</v>
      </c>
      <c r="M72" s="70"/>
      <c r="N72" s="70">
        <v>0.23</v>
      </c>
      <c r="O72" s="70"/>
      <c r="P72" s="70"/>
      <c r="Q72" s="63">
        <v>33.177</v>
      </c>
      <c r="R72" s="70">
        <v>0.36099999999999999</v>
      </c>
      <c r="S72" s="71"/>
      <c r="T72" s="71">
        <v>4.5999999999999999E-2</v>
      </c>
      <c r="U72" s="72">
        <v>99.51</v>
      </c>
    </row>
    <row r="73" spans="1:21">
      <c r="A73" s="13"/>
      <c r="B73" s="15"/>
      <c r="C73" s="8" t="s">
        <v>23</v>
      </c>
      <c r="D73" s="8" t="s">
        <v>10</v>
      </c>
      <c r="E73" s="13" t="s">
        <v>24</v>
      </c>
      <c r="F73" s="69"/>
      <c r="G73" s="70"/>
      <c r="H73" s="70"/>
      <c r="I73" s="70">
        <v>3.5999999999999997E-2</v>
      </c>
      <c r="J73" s="70">
        <v>5.6000000000000001E-2</v>
      </c>
      <c r="K73" s="70"/>
      <c r="L73" s="63">
        <v>64.763999999999996</v>
      </c>
      <c r="M73" s="70"/>
      <c r="N73" s="70">
        <v>0.85399999999999998</v>
      </c>
      <c r="O73" s="70">
        <v>1.7000000000000001E-2</v>
      </c>
      <c r="P73" s="70"/>
      <c r="Q73" s="63">
        <v>33.423000000000002</v>
      </c>
      <c r="R73" s="70">
        <v>6.1000000000000006E-2</v>
      </c>
      <c r="S73" s="71">
        <v>7.0000000000000001E-3</v>
      </c>
      <c r="T73" s="71">
        <v>5.2000000000000005E-2</v>
      </c>
      <c r="U73" s="72">
        <v>99.277999999999992</v>
      </c>
    </row>
    <row r="74" spans="1:21">
      <c r="A74" s="13" t="s">
        <v>25</v>
      </c>
      <c r="B74" s="15" t="s">
        <v>26</v>
      </c>
      <c r="C74" s="8" t="s">
        <v>23</v>
      </c>
      <c r="D74" s="13" t="s">
        <v>11</v>
      </c>
      <c r="E74" s="13" t="s">
        <v>24</v>
      </c>
      <c r="F74" s="69"/>
      <c r="G74" s="70"/>
      <c r="H74" s="70"/>
      <c r="I74" s="70">
        <v>2.3E-2</v>
      </c>
      <c r="J74" s="70"/>
      <c r="K74" s="70"/>
      <c r="L74" s="63">
        <v>64.823999999999998</v>
      </c>
      <c r="M74" s="70"/>
      <c r="N74" s="70">
        <v>0.75900000000000001</v>
      </c>
      <c r="O74" s="70">
        <v>8.9999999999999993E-3</v>
      </c>
      <c r="P74" s="70"/>
      <c r="Q74" s="63">
        <v>33.630000000000003</v>
      </c>
      <c r="R74" s="70">
        <v>5.6000000000000001E-2</v>
      </c>
      <c r="S74" s="71"/>
      <c r="T74" s="71">
        <v>0.21999999999999997</v>
      </c>
      <c r="U74" s="72">
        <v>99.522000000000006</v>
      </c>
    </row>
    <row r="75" spans="1:21">
      <c r="A75" s="13"/>
      <c r="B75" s="15"/>
      <c r="C75" s="8" t="s">
        <v>23</v>
      </c>
      <c r="D75" s="13" t="s">
        <v>11</v>
      </c>
      <c r="E75" s="13" t="s">
        <v>24</v>
      </c>
      <c r="F75" s="69"/>
      <c r="G75" s="70"/>
      <c r="H75" s="70"/>
      <c r="I75" s="70">
        <v>1.4999999999999999E-2</v>
      </c>
      <c r="J75" s="70">
        <v>2.9000000000000005E-2</v>
      </c>
      <c r="K75" s="70"/>
      <c r="L75" s="63">
        <v>65.713999999999999</v>
      </c>
      <c r="M75" s="70"/>
      <c r="N75" s="70">
        <v>0.21999999999999997</v>
      </c>
      <c r="O75" s="70"/>
      <c r="P75" s="70"/>
      <c r="Q75" s="63">
        <v>33.396999999999998</v>
      </c>
      <c r="R75" s="70">
        <v>0.18</v>
      </c>
      <c r="S75" s="71"/>
      <c r="T75" s="71">
        <v>6.4000000000000001E-2</v>
      </c>
      <c r="U75" s="72">
        <v>99.620999999999995</v>
      </c>
    </row>
    <row r="76" spans="1:21">
      <c r="A76" s="13"/>
      <c r="B76" s="15"/>
      <c r="C76" s="8" t="s">
        <v>23</v>
      </c>
      <c r="D76" s="13" t="s">
        <v>11</v>
      </c>
      <c r="E76" s="13" t="s">
        <v>24</v>
      </c>
      <c r="F76" s="69">
        <v>0.03</v>
      </c>
      <c r="G76" s="70"/>
      <c r="H76" s="70"/>
      <c r="I76" s="70"/>
      <c r="J76" s="70"/>
      <c r="K76" s="70"/>
      <c r="L76" s="63">
        <v>64.611999999999995</v>
      </c>
      <c r="M76" s="70"/>
      <c r="N76" s="70">
        <v>0.81700000000000006</v>
      </c>
      <c r="O76" s="70">
        <v>8.9999999999999993E-3</v>
      </c>
      <c r="P76" s="70"/>
      <c r="Q76" s="63">
        <v>33.35</v>
      </c>
      <c r="R76" s="70">
        <v>3.1E-2</v>
      </c>
      <c r="S76" s="71"/>
      <c r="T76" s="71">
        <v>0.36399999999999999</v>
      </c>
      <c r="U76" s="72">
        <v>99.22</v>
      </c>
    </row>
    <row r="77" spans="1:21">
      <c r="A77" s="13"/>
      <c r="B77" s="15"/>
      <c r="C77" s="8" t="s">
        <v>23</v>
      </c>
      <c r="D77" s="8" t="s">
        <v>10</v>
      </c>
      <c r="E77" s="13" t="s">
        <v>24</v>
      </c>
      <c r="F77" s="69"/>
      <c r="G77" s="70"/>
      <c r="H77" s="70"/>
      <c r="I77" s="70">
        <v>8.9999999999999993E-3</v>
      </c>
      <c r="J77" s="70">
        <v>1.3000000000000001E-2</v>
      </c>
      <c r="K77" s="70"/>
      <c r="L77" s="63">
        <v>64.391000000000005</v>
      </c>
      <c r="M77" s="70"/>
      <c r="N77" s="70">
        <v>0.86499999999999988</v>
      </c>
      <c r="O77" s="70">
        <v>6.0000000000000001E-3</v>
      </c>
      <c r="P77" s="70"/>
      <c r="Q77" s="63">
        <v>33.31</v>
      </c>
      <c r="R77" s="70">
        <v>5.0999999999999997E-2</v>
      </c>
      <c r="S77" s="71"/>
      <c r="T77" s="71">
        <v>0.53600000000000003</v>
      </c>
      <c r="U77" s="72">
        <v>99.183999999999997</v>
      </c>
    </row>
    <row r="78" spans="1:21">
      <c r="A78" s="13"/>
      <c r="B78" s="15"/>
      <c r="C78" s="8" t="s">
        <v>23</v>
      </c>
      <c r="D78" s="13" t="s">
        <v>11</v>
      </c>
      <c r="E78" s="13" t="s">
        <v>24</v>
      </c>
      <c r="F78" s="69"/>
      <c r="G78" s="70"/>
      <c r="H78" s="70"/>
      <c r="I78" s="70"/>
      <c r="J78" s="70">
        <v>3.4000000000000002E-2</v>
      </c>
      <c r="K78" s="70"/>
      <c r="L78" s="63">
        <v>65.504999999999995</v>
      </c>
      <c r="M78" s="70"/>
      <c r="N78" s="70">
        <v>0.13700000000000001</v>
      </c>
      <c r="O78" s="70"/>
      <c r="P78" s="70"/>
      <c r="Q78" s="63">
        <v>33.305999999999997</v>
      </c>
      <c r="R78" s="70">
        <v>0.36099999999999999</v>
      </c>
      <c r="S78" s="71"/>
      <c r="T78" s="71">
        <v>0.157</v>
      </c>
      <c r="U78" s="72">
        <v>99.5</v>
      </c>
    </row>
    <row r="79" spans="1:21">
      <c r="A79" s="13"/>
      <c r="B79" s="15"/>
      <c r="C79" s="8" t="s">
        <v>23</v>
      </c>
      <c r="D79" s="13" t="s">
        <v>11</v>
      </c>
      <c r="E79" s="13" t="s">
        <v>24</v>
      </c>
      <c r="F79" s="69"/>
      <c r="G79" s="70"/>
      <c r="H79" s="70">
        <v>1.7999999999999999E-2</v>
      </c>
      <c r="I79" s="70">
        <v>0.03</v>
      </c>
      <c r="J79" s="70">
        <v>1.7999999999999999E-2</v>
      </c>
      <c r="K79" s="70"/>
      <c r="L79" s="63">
        <v>65.727000000000004</v>
      </c>
      <c r="M79" s="70"/>
      <c r="N79" s="70">
        <v>0.219</v>
      </c>
      <c r="O79" s="70">
        <v>7.0000000000000001E-3</v>
      </c>
      <c r="P79" s="70"/>
      <c r="Q79" s="63">
        <v>33.204999999999998</v>
      </c>
      <c r="R79" s="70">
        <v>0.107</v>
      </c>
      <c r="S79" s="71"/>
      <c r="T79" s="71">
        <v>0.18</v>
      </c>
      <c r="U79" s="72">
        <v>99.512</v>
      </c>
    </row>
    <row r="80" spans="1:21">
      <c r="A80" s="13"/>
      <c r="B80" s="15"/>
      <c r="C80" s="8" t="s">
        <v>23</v>
      </c>
      <c r="D80" s="8" t="s">
        <v>10</v>
      </c>
      <c r="E80" s="13" t="s">
        <v>24</v>
      </c>
      <c r="F80" s="69"/>
      <c r="G80" s="70"/>
      <c r="H80" s="70">
        <v>2.1000000000000001E-2</v>
      </c>
      <c r="I80" s="70"/>
      <c r="J80" s="70">
        <v>1.6E-2</v>
      </c>
      <c r="K80" s="70"/>
      <c r="L80" s="63">
        <v>64.626000000000005</v>
      </c>
      <c r="M80" s="70"/>
      <c r="N80" s="70">
        <v>0.77</v>
      </c>
      <c r="O80" s="70"/>
      <c r="P80" s="70"/>
      <c r="Q80" s="63">
        <v>33.445999999999998</v>
      </c>
      <c r="R80" s="70">
        <v>0.10100000000000001</v>
      </c>
      <c r="S80" s="71"/>
      <c r="T80" s="71">
        <v>0.31</v>
      </c>
      <c r="U80" s="72">
        <v>99.293999999999997</v>
      </c>
    </row>
    <row r="81" spans="1:21">
      <c r="A81" s="13"/>
      <c r="B81" s="15"/>
      <c r="C81" s="8" t="s">
        <v>23</v>
      </c>
      <c r="D81" s="13" t="s">
        <v>11</v>
      </c>
      <c r="E81" s="13" t="s">
        <v>24</v>
      </c>
      <c r="F81" s="69"/>
      <c r="G81" s="70">
        <v>1.9E-2</v>
      </c>
      <c r="H81" s="70"/>
      <c r="I81" s="70">
        <v>2.3E-2</v>
      </c>
      <c r="J81" s="70"/>
      <c r="K81" s="70"/>
      <c r="L81" s="63">
        <v>65.024000000000001</v>
      </c>
      <c r="M81" s="70"/>
      <c r="N81" s="70">
        <v>0.68</v>
      </c>
      <c r="O81" s="70"/>
      <c r="P81" s="70"/>
      <c r="Q81" s="63">
        <v>33.298000000000002</v>
      </c>
      <c r="R81" s="70">
        <v>5.800000000000001E-2</v>
      </c>
      <c r="S81" s="71">
        <v>5.0000000000000001E-3</v>
      </c>
      <c r="T81" s="71">
        <v>0.26700000000000002</v>
      </c>
      <c r="U81" s="72">
        <v>99.38</v>
      </c>
    </row>
    <row r="82" spans="1:21">
      <c r="A82" s="13"/>
      <c r="B82" s="15"/>
      <c r="C82" s="8" t="s">
        <v>23</v>
      </c>
      <c r="D82" s="13" t="s">
        <v>11</v>
      </c>
      <c r="E82" s="13" t="s">
        <v>24</v>
      </c>
      <c r="F82" s="69"/>
      <c r="G82" s="70"/>
      <c r="H82" s="70"/>
      <c r="I82" s="70"/>
      <c r="J82" s="70">
        <v>5.3999999999999999E-2</v>
      </c>
      <c r="K82" s="70"/>
      <c r="L82" s="63">
        <v>64.772000000000006</v>
      </c>
      <c r="M82" s="70"/>
      <c r="N82" s="70">
        <v>0.74</v>
      </c>
      <c r="O82" s="70"/>
      <c r="P82" s="70"/>
      <c r="Q82" s="63">
        <v>33.095999999999997</v>
      </c>
      <c r="R82" s="70">
        <v>4.2999999999999997E-2</v>
      </c>
      <c r="S82" s="71"/>
      <c r="T82" s="71">
        <v>0.26500000000000001</v>
      </c>
      <c r="U82" s="72">
        <v>98.973000000000013</v>
      </c>
    </row>
    <row r="83" spans="1:21">
      <c r="A83" s="13"/>
      <c r="B83" s="15"/>
      <c r="C83" s="8" t="s">
        <v>23</v>
      </c>
      <c r="D83" s="8" t="s">
        <v>10</v>
      </c>
      <c r="E83" s="13" t="s">
        <v>24</v>
      </c>
      <c r="F83" s="69"/>
      <c r="G83" s="70"/>
      <c r="H83" s="70"/>
      <c r="I83" s="70">
        <v>0.01</v>
      </c>
      <c r="J83" s="70">
        <v>2.7E-2</v>
      </c>
      <c r="K83" s="70"/>
      <c r="L83" s="63">
        <v>64.5</v>
      </c>
      <c r="M83" s="70"/>
      <c r="N83" s="70">
        <v>0.90800000000000003</v>
      </c>
      <c r="O83" s="70"/>
      <c r="P83" s="70"/>
      <c r="Q83" s="63">
        <v>33.357999999999997</v>
      </c>
      <c r="R83" s="70">
        <v>6.5000000000000002E-2</v>
      </c>
      <c r="S83" s="71"/>
      <c r="T83" s="71">
        <v>0.28399999999999997</v>
      </c>
      <c r="U83" s="72">
        <v>99.156999999999996</v>
      </c>
    </row>
    <row r="84" spans="1:21">
      <c r="A84" s="13"/>
      <c r="B84" s="15"/>
      <c r="C84" s="8" t="s">
        <v>23</v>
      </c>
      <c r="D84" s="13" t="s">
        <v>11</v>
      </c>
      <c r="E84" s="13" t="s">
        <v>24</v>
      </c>
      <c r="F84" s="69"/>
      <c r="G84" s="70">
        <v>3.4000000000000002E-2</v>
      </c>
      <c r="H84" s="70"/>
      <c r="I84" s="70"/>
      <c r="J84" s="70"/>
      <c r="K84" s="70"/>
      <c r="L84" s="63">
        <v>64.869</v>
      </c>
      <c r="M84" s="70"/>
      <c r="N84" s="70">
        <v>0.66200000000000003</v>
      </c>
      <c r="O84" s="70">
        <v>1.0999999999999999E-2</v>
      </c>
      <c r="P84" s="70"/>
      <c r="Q84" s="63">
        <v>33.271000000000001</v>
      </c>
      <c r="R84" s="70">
        <v>3.4000000000000002E-2</v>
      </c>
      <c r="S84" s="71">
        <v>1E-3</v>
      </c>
      <c r="T84" s="71">
        <v>0.307</v>
      </c>
      <c r="U84" s="72">
        <v>99.19</v>
      </c>
    </row>
    <row r="85" spans="1:21">
      <c r="A85" s="13"/>
      <c r="B85" s="15"/>
      <c r="C85" s="8" t="s">
        <v>23</v>
      </c>
      <c r="D85" s="13" t="s">
        <v>11</v>
      </c>
      <c r="E85" s="13" t="s">
        <v>24</v>
      </c>
      <c r="F85" s="69"/>
      <c r="G85" s="70"/>
      <c r="H85" s="70">
        <v>3.1E-2</v>
      </c>
      <c r="I85" s="70">
        <v>1.4E-2</v>
      </c>
      <c r="J85" s="70">
        <v>3.7999999999999999E-2</v>
      </c>
      <c r="K85" s="70"/>
      <c r="L85" s="63">
        <v>63.990999999999993</v>
      </c>
      <c r="M85" s="70"/>
      <c r="N85" s="70">
        <v>1.2729999999999999</v>
      </c>
      <c r="O85" s="70">
        <v>6.0000000000000001E-3</v>
      </c>
      <c r="P85" s="70"/>
      <c r="Q85" s="63">
        <v>33.323</v>
      </c>
      <c r="R85" s="70"/>
      <c r="S85" s="71"/>
      <c r="T85" s="71">
        <v>4.7E-2</v>
      </c>
      <c r="U85" s="72">
        <v>98.727999999999994</v>
      </c>
    </row>
    <row r="86" spans="1:21">
      <c r="A86" s="13"/>
      <c r="B86" s="15"/>
      <c r="C86" s="8" t="s">
        <v>23</v>
      </c>
      <c r="D86" s="13" t="s">
        <v>11</v>
      </c>
      <c r="E86" s="13" t="s">
        <v>24</v>
      </c>
      <c r="F86" s="69"/>
      <c r="G86" s="70"/>
      <c r="H86" s="70"/>
      <c r="I86" s="70"/>
      <c r="J86" s="70"/>
      <c r="K86" s="70"/>
      <c r="L86" s="63">
        <v>64.38</v>
      </c>
      <c r="M86" s="70"/>
      <c r="N86" s="70">
        <v>0.73499999999999999</v>
      </c>
      <c r="O86" s="70"/>
      <c r="P86" s="70"/>
      <c r="Q86" s="63">
        <v>33.247</v>
      </c>
      <c r="R86" s="70">
        <v>0.06</v>
      </c>
      <c r="S86" s="71"/>
      <c r="T86" s="71">
        <v>0.23699999999999999</v>
      </c>
      <c r="U86" s="72">
        <v>98.659000000000006</v>
      </c>
    </row>
    <row r="87" spans="1:21">
      <c r="A87" s="13"/>
      <c r="B87" s="15"/>
      <c r="C87" s="8" t="s">
        <v>23</v>
      </c>
      <c r="D87" s="13" t="s">
        <v>11</v>
      </c>
      <c r="E87" s="13" t="s">
        <v>24</v>
      </c>
      <c r="F87" s="69"/>
      <c r="G87" s="70"/>
      <c r="H87" s="70"/>
      <c r="I87" s="70">
        <v>4.5999999999999999E-2</v>
      </c>
      <c r="J87" s="70">
        <v>2.1999999999999999E-2</v>
      </c>
      <c r="K87" s="70"/>
      <c r="L87" s="63">
        <v>65.385000000000005</v>
      </c>
      <c r="M87" s="70"/>
      <c r="N87" s="70">
        <v>0.36099999999999999</v>
      </c>
      <c r="O87" s="70"/>
      <c r="P87" s="70"/>
      <c r="Q87" s="63">
        <v>33.469000000000001</v>
      </c>
      <c r="R87" s="70">
        <v>7.3999999999999996E-2</v>
      </c>
      <c r="S87" s="71"/>
      <c r="T87" s="71">
        <v>0.1</v>
      </c>
      <c r="U87" s="72">
        <v>99.459000000000003</v>
      </c>
    </row>
    <row r="88" spans="1:21">
      <c r="A88" s="13" t="s">
        <v>27</v>
      </c>
      <c r="B88" s="15" t="s">
        <v>26</v>
      </c>
      <c r="C88" s="8" t="s">
        <v>23</v>
      </c>
      <c r="D88" s="13" t="s">
        <v>11</v>
      </c>
      <c r="E88" s="13" t="s">
        <v>24</v>
      </c>
      <c r="F88" s="69"/>
      <c r="G88" s="70">
        <v>1.9E-2</v>
      </c>
      <c r="H88" s="70"/>
      <c r="I88" s="70">
        <v>2.5000000000000001E-2</v>
      </c>
      <c r="J88" s="70">
        <v>3.3000000000000002E-2</v>
      </c>
      <c r="K88" s="70"/>
      <c r="L88" s="63">
        <v>64.869</v>
      </c>
      <c r="M88" s="70"/>
      <c r="N88" s="70">
        <v>0.68700000000000006</v>
      </c>
      <c r="O88" s="70"/>
      <c r="P88" s="70"/>
      <c r="Q88" s="63">
        <v>33.613999999999997</v>
      </c>
      <c r="R88" s="70">
        <v>2.9000000000000005E-2</v>
      </c>
      <c r="S88" s="71"/>
      <c r="T88" s="71">
        <v>0.36599999999999999</v>
      </c>
      <c r="U88" s="72">
        <v>99.644000000000005</v>
      </c>
    </row>
    <row r="89" spans="1:21">
      <c r="A89" s="13"/>
      <c r="B89" s="15"/>
      <c r="C89" s="8" t="s">
        <v>23</v>
      </c>
      <c r="D89" s="13" t="s">
        <v>11</v>
      </c>
      <c r="E89" s="13" t="s">
        <v>24</v>
      </c>
      <c r="F89" s="69"/>
      <c r="G89" s="70"/>
      <c r="H89" s="70"/>
      <c r="I89" s="70"/>
      <c r="J89" s="70">
        <v>4.2999999999999997E-2</v>
      </c>
      <c r="K89" s="70"/>
      <c r="L89" s="63">
        <v>65.42</v>
      </c>
      <c r="M89" s="70"/>
      <c r="N89" s="70">
        <v>0.25</v>
      </c>
      <c r="O89" s="70"/>
      <c r="P89" s="70"/>
      <c r="Q89" s="63">
        <v>33.417000000000002</v>
      </c>
      <c r="R89" s="70">
        <v>4.7E-2</v>
      </c>
      <c r="S89" s="71"/>
      <c r="T89" s="71">
        <v>0.32</v>
      </c>
      <c r="U89" s="72">
        <v>99.5</v>
      </c>
    </row>
    <row r="90" spans="1:21">
      <c r="A90" s="13"/>
      <c r="B90" s="15"/>
      <c r="C90" s="8" t="s">
        <v>23</v>
      </c>
      <c r="D90" s="13" t="s">
        <v>11</v>
      </c>
      <c r="E90" s="13" t="s">
        <v>24</v>
      </c>
      <c r="F90" s="69"/>
      <c r="G90" s="70">
        <v>3.3000000000000002E-2</v>
      </c>
      <c r="H90" s="70"/>
      <c r="I90" s="70"/>
      <c r="J90" s="70"/>
      <c r="K90" s="70"/>
      <c r="L90" s="63">
        <v>64.308999999999997</v>
      </c>
      <c r="M90" s="70"/>
      <c r="N90" s="70">
        <v>0.84499999999999997</v>
      </c>
      <c r="O90" s="70"/>
      <c r="P90" s="70"/>
      <c r="Q90" s="63">
        <v>33.332999999999998</v>
      </c>
      <c r="R90" s="70">
        <v>5.7000000000000009E-2</v>
      </c>
      <c r="S90" s="71"/>
      <c r="T90" s="71">
        <v>0.35499999999999998</v>
      </c>
      <c r="U90" s="72">
        <v>98.938000000000002</v>
      </c>
    </row>
    <row r="91" spans="1:21">
      <c r="A91" s="13"/>
      <c r="B91" s="15"/>
      <c r="C91" s="8" t="s">
        <v>23</v>
      </c>
      <c r="D91" s="13" t="s">
        <v>11</v>
      </c>
      <c r="E91" s="13" t="s">
        <v>24</v>
      </c>
      <c r="F91" s="69"/>
      <c r="G91" s="70"/>
      <c r="H91" s="70"/>
      <c r="I91" s="70"/>
      <c r="J91" s="70"/>
      <c r="K91" s="70"/>
      <c r="L91" s="63">
        <v>64.534999999999997</v>
      </c>
      <c r="M91" s="70"/>
      <c r="N91" s="70">
        <v>0.99299999999999999</v>
      </c>
      <c r="O91" s="70">
        <v>8.9999999999999993E-3</v>
      </c>
      <c r="P91" s="70">
        <v>3.0000000000000001E-3</v>
      </c>
      <c r="Q91" s="63">
        <v>33.511000000000003</v>
      </c>
      <c r="R91" s="70">
        <v>8.5000000000000006E-2</v>
      </c>
      <c r="S91" s="71"/>
      <c r="T91" s="71">
        <v>0.23</v>
      </c>
      <c r="U91" s="72">
        <v>99.366</v>
      </c>
    </row>
    <row r="92" spans="1:21">
      <c r="A92" s="13"/>
      <c r="B92" s="15"/>
      <c r="C92" s="8" t="s">
        <v>23</v>
      </c>
      <c r="D92" s="13" t="s">
        <v>11</v>
      </c>
      <c r="E92" s="13" t="s">
        <v>24</v>
      </c>
      <c r="F92" s="69"/>
      <c r="G92" s="70"/>
      <c r="H92" s="70"/>
      <c r="I92" s="70">
        <v>0.09</v>
      </c>
      <c r="J92" s="70">
        <v>1.7000000000000001E-2</v>
      </c>
      <c r="K92" s="70"/>
      <c r="L92" s="63">
        <v>65.522999999999996</v>
      </c>
      <c r="M92" s="70"/>
      <c r="N92" s="70">
        <v>0.16700000000000001</v>
      </c>
      <c r="O92" s="70">
        <v>8.0000000000000002E-3</v>
      </c>
      <c r="P92" s="70"/>
      <c r="Q92" s="63">
        <v>33.283999999999999</v>
      </c>
      <c r="R92" s="70">
        <v>0.38800000000000007</v>
      </c>
      <c r="S92" s="71"/>
      <c r="T92" s="71">
        <v>0.17599999999999999</v>
      </c>
      <c r="U92" s="72">
        <v>99.665000000000006</v>
      </c>
    </row>
    <row r="93" spans="1:21">
      <c r="A93" s="13"/>
      <c r="B93" s="15"/>
      <c r="C93" s="8" t="s">
        <v>23</v>
      </c>
      <c r="D93" s="13" t="s">
        <v>11</v>
      </c>
      <c r="E93" s="13" t="s">
        <v>24</v>
      </c>
      <c r="F93" s="69"/>
      <c r="G93" s="70"/>
      <c r="H93" s="70"/>
      <c r="I93" s="70"/>
      <c r="J93" s="70"/>
      <c r="K93" s="70"/>
      <c r="L93" s="63">
        <v>64.441000000000003</v>
      </c>
      <c r="M93" s="70"/>
      <c r="N93" s="70">
        <v>1.0680000000000001</v>
      </c>
      <c r="O93" s="70"/>
      <c r="P93" s="70"/>
      <c r="Q93" s="63">
        <v>33.426000000000002</v>
      </c>
      <c r="R93" s="70">
        <v>8.5000000000000006E-2</v>
      </c>
      <c r="S93" s="71"/>
      <c r="T93" s="71">
        <v>0.315</v>
      </c>
      <c r="U93" s="72">
        <v>99.34</v>
      </c>
    </row>
    <row r="94" spans="1:21">
      <c r="A94" s="13"/>
      <c r="B94" s="15"/>
      <c r="C94" s="8" t="s">
        <v>23</v>
      </c>
      <c r="D94" s="13" t="s">
        <v>11</v>
      </c>
      <c r="E94" s="13" t="s">
        <v>24</v>
      </c>
      <c r="F94" s="69">
        <v>0.02</v>
      </c>
      <c r="G94" s="70"/>
      <c r="H94" s="70"/>
      <c r="I94" s="70">
        <v>2.1000000000000001E-2</v>
      </c>
      <c r="J94" s="70"/>
      <c r="K94" s="70"/>
      <c r="L94" s="63">
        <v>64.093999999999994</v>
      </c>
      <c r="M94" s="70"/>
      <c r="N94" s="70">
        <v>0.96300000000000008</v>
      </c>
      <c r="O94" s="70"/>
      <c r="P94" s="70"/>
      <c r="Q94" s="63">
        <v>33.216000000000001</v>
      </c>
      <c r="R94" s="70">
        <v>0.09</v>
      </c>
      <c r="S94" s="71"/>
      <c r="T94" s="71">
        <v>0.37</v>
      </c>
      <c r="U94" s="72">
        <v>98.774000000000001</v>
      </c>
    </row>
    <row r="95" spans="1:21">
      <c r="A95" s="13"/>
      <c r="B95" s="15"/>
      <c r="C95" s="8" t="s">
        <v>23</v>
      </c>
      <c r="D95" s="13" t="s">
        <v>11</v>
      </c>
      <c r="E95" s="13" t="s">
        <v>24</v>
      </c>
      <c r="F95" s="69"/>
      <c r="G95" s="70"/>
      <c r="H95" s="70">
        <v>2.3E-2</v>
      </c>
      <c r="I95" s="70"/>
      <c r="J95" s="70"/>
      <c r="K95" s="70"/>
      <c r="L95" s="63">
        <v>64.433999999999997</v>
      </c>
      <c r="M95" s="70"/>
      <c r="N95" s="70">
        <v>0.73399999999999987</v>
      </c>
      <c r="O95" s="70"/>
      <c r="P95" s="70"/>
      <c r="Q95" s="63">
        <v>33.279000000000003</v>
      </c>
      <c r="R95" s="70">
        <v>6.6000000000000003E-2</v>
      </c>
      <c r="S95" s="71"/>
      <c r="T95" s="71">
        <v>0.39600000000000002</v>
      </c>
      <c r="U95" s="72">
        <v>98.947000000000003</v>
      </c>
    </row>
    <row r="96" spans="1:21">
      <c r="A96" s="13"/>
      <c r="B96" s="15"/>
      <c r="C96" s="8" t="s">
        <v>23</v>
      </c>
      <c r="D96" s="8" t="s">
        <v>10</v>
      </c>
      <c r="E96" s="13" t="s">
        <v>24</v>
      </c>
      <c r="F96" s="69"/>
      <c r="G96" s="70"/>
      <c r="H96" s="70"/>
      <c r="I96" s="70">
        <v>6.5000000000000002E-2</v>
      </c>
      <c r="J96" s="70"/>
      <c r="K96" s="70"/>
      <c r="L96" s="63">
        <v>65.617000000000004</v>
      </c>
      <c r="M96" s="70"/>
      <c r="N96" s="70">
        <v>0.13500000000000001</v>
      </c>
      <c r="O96" s="70">
        <v>1.4E-2</v>
      </c>
      <c r="P96" s="70"/>
      <c r="Q96" s="63">
        <v>33.271000000000001</v>
      </c>
      <c r="R96" s="70">
        <v>0.318</v>
      </c>
      <c r="S96" s="71">
        <v>1.4E-2</v>
      </c>
      <c r="T96" s="71">
        <v>0.13</v>
      </c>
      <c r="U96" s="72">
        <v>99.581999999999994</v>
      </c>
    </row>
    <row r="97" spans="1:21">
      <c r="A97" s="13"/>
      <c r="B97" s="15"/>
      <c r="C97" s="8" t="s">
        <v>23</v>
      </c>
      <c r="D97" s="13" t="s">
        <v>11</v>
      </c>
      <c r="E97" s="13" t="s">
        <v>24</v>
      </c>
      <c r="F97" s="69"/>
      <c r="G97" s="70"/>
      <c r="H97" s="70"/>
      <c r="I97" s="70"/>
      <c r="J97" s="70"/>
      <c r="K97" s="70"/>
      <c r="L97" s="63">
        <v>63.951999999999991</v>
      </c>
      <c r="M97" s="70"/>
      <c r="N97" s="70">
        <v>1.478</v>
      </c>
      <c r="O97" s="70">
        <v>6.0000000000000001E-3</v>
      </c>
      <c r="P97" s="70"/>
      <c r="Q97" s="63">
        <v>33.499000000000002</v>
      </c>
      <c r="R97" s="70">
        <v>0.05</v>
      </c>
      <c r="S97" s="71"/>
      <c r="T97" s="71">
        <v>5.6000000000000001E-2</v>
      </c>
      <c r="U97" s="72">
        <v>99.041000000000011</v>
      </c>
    </row>
    <row r="98" spans="1:21">
      <c r="A98" s="13"/>
      <c r="B98" s="15"/>
      <c r="C98" s="8" t="s">
        <v>23</v>
      </c>
      <c r="D98" s="13" t="s">
        <v>11</v>
      </c>
      <c r="E98" s="13" t="s">
        <v>24</v>
      </c>
      <c r="F98" s="69"/>
      <c r="G98" s="70"/>
      <c r="H98" s="70"/>
      <c r="I98" s="70"/>
      <c r="J98" s="70"/>
      <c r="K98" s="70"/>
      <c r="L98" s="63">
        <v>63.850999999999992</v>
      </c>
      <c r="M98" s="70"/>
      <c r="N98" s="70">
        <v>1.2569999999999999</v>
      </c>
      <c r="O98" s="70">
        <v>7.0000000000000001E-3</v>
      </c>
      <c r="P98" s="70"/>
      <c r="Q98" s="63">
        <v>33.177</v>
      </c>
      <c r="R98" s="70">
        <v>3.1E-2</v>
      </c>
      <c r="S98" s="71"/>
      <c r="T98" s="71">
        <v>8.1000000000000003E-2</v>
      </c>
      <c r="U98" s="72">
        <v>98.403999999999996</v>
      </c>
    </row>
    <row r="99" spans="1:21">
      <c r="A99" s="13"/>
      <c r="B99" s="15"/>
      <c r="C99" s="8" t="s">
        <v>23</v>
      </c>
      <c r="D99" s="13" t="s">
        <v>11</v>
      </c>
      <c r="E99" s="13" t="s">
        <v>24</v>
      </c>
      <c r="F99" s="69"/>
      <c r="G99" s="70"/>
      <c r="H99" s="70"/>
      <c r="I99" s="70">
        <v>3.4000000000000002E-2</v>
      </c>
      <c r="J99" s="70">
        <v>2.1999999999999999E-2</v>
      </c>
      <c r="K99" s="70"/>
      <c r="L99" s="63">
        <v>64.513000000000005</v>
      </c>
      <c r="M99" s="70"/>
      <c r="N99" s="70">
        <v>0.96899999999999997</v>
      </c>
      <c r="O99" s="70"/>
      <c r="P99" s="70"/>
      <c r="Q99" s="63">
        <v>33.43</v>
      </c>
      <c r="R99" s="70">
        <v>0.06</v>
      </c>
      <c r="S99" s="71"/>
      <c r="T99" s="71">
        <v>0.32</v>
      </c>
      <c r="U99" s="72">
        <v>99.361000000000018</v>
      </c>
    </row>
    <row r="100" spans="1:21">
      <c r="A100" s="13"/>
      <c r="B100" s="15"/>
      <c r="C100" s="8" t="s">
        <v>23</v>
      </c>
      <c r="D100" s="13" t="s">
        <v>11</v>
      </c>
      <c r="E100" s="13" t="s">
        <v>24</v>
      </c>
      <c r="F100" s="69"/>
      <c r="G100" s="70"/>
      <c r="H100" s="70"/>
      <c r="I100" s="70">
        <v>1.4E-2</v>
      </c>
      <c r="J100" s="70"/>
      <c r="K100" s="70"/>
      <c r="L100" s="63">
        <v>64.423000000000002</v>
      </c>
      <c r="M100" s="70"/>
      <c r="N100" s="70">
        <v>0.86899999999999999</v>
      </c>
      <c r="O100" s="70"/>
      <c r="P100" s="70"/>
      <c r="Q100" s="63">
        <v>33.433999999999997</v>
      </c>
      <c r="R100" s="70">
        <v>7.9000000000000001E-2</v>
      </c>
      <c r="S100" s="71"/>
      <c r="T100" s="71">
        <v>0.38200000000000001</v>
      </c>
      <c r="U100" s="72">
        <v>99.209000000000003</v>
      </c>
    </row>
    <row r="101" spans="1:21">
      <c r="A101" s="13" t="s">
        <v>28</v>
      </c>
      <c r="B101" s="15" t="s">
        <v>29</v>
      </c>
      <c r="C101" s="8" t="s">
        <v>23</v>
      </c>
      <c r="D101" s="13" t="s">
        <v>11</v>
      </c>
      <c r="E101" s="13" t="s">
        <v>24</v>
      </c>
      <c r="F101" s="69"/>
      <c r="G101" s="70"/>
      <c r="H101" s="70"/>
      <c r="I101" s="70">
        <v>4.5999999999999999E-2</v>
      </c>
      <c r="J101" s="70"/>
      <c r="K101" s="70"/>
      <c r="L101" s="63">
        <v>65.164000000000001</v>
      </c>
      <c r="M101" s="70"/>
      <c r="N101" s="70">
        <v>0.77500000000000002</v>
      </c>
      <c r="O101" s="70"/>
      <c r="P101" s="70"/>
      <c r="Q101" s="63">
        <v>33.591999999999999</v>
      </c>
      <c r="R101" s="70">
        <v>0.17100000000000001</v>
      </c>
      <c r="S101" s="71"/>
      <c r="T101" s="71">
        <v>0.111</v>
      </c>
      <c r="U101" s="72">
        <v>99.865000000000009</v>
      </c>
    </row>
    <row r="102" spans="1:21">
      <c r="A102" s="13"/>
      <c r="B102" s="15"/>
      <c r="C102" s="8" t="s">
        <v>23</v>
      </c>
      <c r="D102" s="8" t="s">
        <v>10</v>
      </c>
      <c r="E102" s="13" t="s">
        <v>24</v>
      </c>
      <c r="F102" s="69"/>
      <c r="G102" s="70"/>
      <c r="H102" s="70"/>
      <c r="I102" s="70">
        <v>3.3000000000000002E-2</v>
      </c>
      <c r="J102" s="70"/>
      <c r="K102" s="70"/>
      <c r="L102" s="63">
        <v>66.275000000000006</v>
      </c>
      <c r="M102" s="70"/>
      <c r="N102" s="70">
        <v>0.128</v>
      </c>
      <c r="O102" s="70">
        <v>1.4999999999999999E-2</v>
      </c>
      <c r="P102" s="70"/>
      <c r="Q102" s="63">
        <v>33.228000000000002</v>
      </c>
      <c r="R102" s="70">
        <v>0.30399999999999999</v>
      </c>
      <c r="S102" s="71"/>
      <c r="T102" s="71">
        <v>0.19400000000000003</v>
      </c>
      <c r="U102" s="72">
        <v>100.18600000000001</v>
      </c>
    </row>
    <row r="103" spans="1:21">
      <c r="A103" s="13"/>
      <c r="B103" s="15"/>
      <c r="C103" s="8" t="s">
        <v>23</v>
      </c>
      <c r="D103" s="13" t="s">
        <v>11</v>
      </c>
      <c r="E103" s="13" t="s">
        <v>24</v>
      </c>
      <c r="F103" s="69">
        <v>0.02</v>
      </c>
      <c r="G103" s="70">
        <v>2.3E-2</v>
      </c>
      <c r="H103" s="70"/>
      <c r="I103" s="70">
        <v>6.4000000000000001E-2</v>
      </c>
      <c r="J103" s="70"/>
      <c r="K103" s="70"/>
      <c r="L103" s="63">
        <v>65.552999999999997</v>
      </c>
      <c r="M103" s="70"/>
      <c r="N103" s="70">
        <v>0.48399999999999993</v>
      </c>
      <c r="O103" s="70"/>
      <c r="P103" s="70"/>
      <c r="Q103" s="63">
        <v>33.119</v>
      </c>
      <c r="R103" s="70">
        <v>0.10299999999999999</v>
      </c>
      <c r="S103" s="71"/>
      <c r="T103" s="71">
        <v>0.222</v>
      </c>
      <c r="U103" s="72">
        <v>99.602000000000004</v>
      </c>
    </row>
    <row r="104" spans="1:21">
      <c r="A104" s="13"/>
      <c r="B104" s="15"/>
      <c r="C104" s="8" t="s">
        <v>23</v>
      </c>
      <c r="D104" s="13" t="s">
        <v>11</v>
      </c>
      <c r="E104" s="13" t="s">
        <v>24</v>
      </c>
      <c r="F104" s="69"/>
      <c r="G104" s="70"/>
      <c r="H104" s="70"/>
      <c r="I104" s="70">
        <v>6.5000000000000002E-2</v>
      </c>
      <c r="J104" s="70">
        <v>1.4E-2</v>
      </c>
      <c r="K104" s="70"/>
      <c r="L104" s="63">
        <v>65.962999999999994</v>
      </c>
      <c r="M104" s="70"/>
      <c r="N104" s="70">
        <v>0.14599999999999999</v>
      </c>
      <c r="O104" s="70"/>
      <c r="P104" s="70"/>
      <c r="Q104" s="63">
        <v>33.173999999999999</v>
      </c>
      <c r="R104" s="70">
        <v>0.48800000000000004</v>
      </c>
      <c r="S104" s="71"/>
      <c r="T104" s="71">
        <v>0.15</v>
      </c>
      <c r="U104" s="72">
        <v>100.01600000000001</v>
      </c>
    </row>
    <row r="105" spans="1:21">
      <c r="A105" s="13"/>
      <c r="B105" s="15"/>
      <c r="C105" s="8" t="s">
        <v>23</v>
      </c>
      <c r="D105" s="8" t="s">
        <v>10</v>
      </c>
      <c r="E105" s="13" t="s">
        <v>24</v>
      </c>
      <c r="F105" s="69"/>
      <c r="G105" s="70"/>
      <c r="H105" s="70"/>
      <c r="I105" s="70">
        <v>0.01</v>
      </c>
      <c r="J105" s="70"/>
      <c r="K105" s="70"/>
      <c r="L105" s="63">
        <v>64.411000000000001</v>
      </c>
      <c r="M105" s="70"/>
      <c r="N105" s="70">
        <v>1.1879999999999999</v>
      </c>
      <c r="O105" s="70">
        <v>7.0000000000000001E-3</v>
      </c>
      <c r="P105" s="70"/>
      <c r="Q105" s="63">
        <v>33.188000000000002</v>
      </c>
      <c r="R105" s="70">
        <v>7.8E-2</v>
      </c>
      <c r="S105" s="71"/>
      <c r="T105" s="71">
        <v>0.27500000000000002</v>
      </c>
      <c r="U105" s="72">
        <v>99.162999999999997</v>
      </c>
    </row>
    <row r="106" spans="1:21">
      <c r="A106" s="13"/>
      <c r="B106" s="15"/>
      <c r="C106" s="8" t="s">
        <v>23</v>
      </c>
      <c r="D106" s="13" t="s">
        <v>11</v>
      </c>
      <c r="E106" s="13" t="s">
        <v>24</v>
      </c>
      <c r="F106" s="69"/>
      <c r="G106" s="70">
        <v>1.4999999999999999E-2</v>
      </c>
      <c r="H106" s="70"/>
      <c r="I106" s="70"/>
      <c r="J106" s="70">
        <v>1.9E-2</v>
      </c>
      <c r="K106" s="70"/>
      <c r="L106" s="63">
        <v>64.623000000000005</v>
      </c>
      <c r="M106" s="70"/>
      <c r="N106" s="70">
        <v>1.038</v>
      </c>
      <c r="O106" s="70">
        <v>8.0000000000000002E-3</v>
      </c>
      <c r="P106" s="70"/>
      <c r="Q106" s="63">
        <v>33.338000000000001</v>
      </c>
      <c r="R106" s="70">
        <v>0.106</v>
      </c>
      <c r="S106" s="71"/>
      <c r="T106" s="71">
        <v>0.193</v>
      </c>
      <c r="U106" s="72">
        <v>99.34</v>
      </c>
    </row>
    <row r="107" spans="1:21">
      <c r="A107" s="13"/>
      <c r="B107" s="15"/>
      <c r="C107" s="8" t="s">
        <v>23</v>
      </c>
      <c r="D107" s="8" t="s">
        <v>11</v>
      </c>
      <c r="E107" s="13" t="s">
        <v>24</v>
      </c>
      <c r="F107" s="69">
        <v>0.02</v>
      </c>
      <c r="G107" s="70"/>
      <c r="H107" s="70"/>
      <c r="I107" s="70">
        <v>6.0000000000000001E-3</v>
      </c>
      <c r="J107" s="70">
        <v>0.03</v>
      </c>
      <c r="K107" s="70"/>
      <c r="L107" s="63">
        <v>64.540999999999997</v>
      </c>
      <c r="M107" s="70"/>
      <c r="N107" s="70">
        <v>1.1579999999999999</v>
      </c>
      <c r="O107" s="70"/>
      <c r="P107" s="70"/>
      <c r="Q107" s="63">
        <v>33.478000000000002</v>
      </c>
      <c r="R107" s="70">
        <v>3.5999999999999997E-2</v>
      </c>
      <c r="S107" s="71"/>
      <c r="T107" s="71">
        <v>0.157</v>
      </c>
      <c r="U107" s="72">
        <v>99.439000000000007</v>
      </c>
    </row>
    <row r="108" spans="1:21">
      <c r="A108" s="21"/>
      <c r="B108" s="23"/>
      <c r="C108" s="27"/>
      <c r="D108" s="28" t="s">
        <v>30</v>
      </c>
      <c r="E108" s="82"/>
      <c r="F108" s="74">
        <f t="shared" ref="F108:T108" si="6">MAX(F65:F107)</f>
        <v>0.03</v>
      </c>
      <c r="G108" s="74">
        <f t="shared" si="6"/>
        <v>3.4000000000000002E-2</v>
      </c>
      <c r="H108" s="74">
        <f t="shared" si="6"/>
        <v>3.1E-2</v>
      </c>
      <c r="I108" s="74">
        <f t="shared" si="6"/>
        <v>0.09</v>
      </c>
      <c r="J108" s="74">
        <f t="shared" si="6"/>
        <v>5.6000000000000001E-2</v>
      </c>
      <c r="K108" s="74">
        <f t="shared" si="6"/>
        <v>0</v>
      </c>
      <c r="L108" s="73">
        <f t="shared" si="6"/>
        <v>66.275000000000006</v>
      </c>
      <c r="M108" s="74">
        <f t="shared" si="6"/>
        <v>0</v>
      </c>
      <c r="N108" s="74">
        <f t="shared" si="6"/>
        <v>1.5629999999999999</v>
      </c>
      <c r="O108" s="74">
        <f t="shared" si="6"/>
        <v>1.7000000000000001E-2</v>
      </c>
      <c r="P108" s="74">
        <f t="shared" si="6"/>
        <v>3.0000000000000001E-3</v>
      </c>
      <c r="Q108" s="73">
        <f t="shared" si="6"/>
        <v>33.630000000000003</v>
      </c>
      <c r="R108" s="74">
        <f t="shared" si="6"/>
        <v>0.54400000000000004</v>
      </c>
      <c r="S108" s="74">
        <f t="shared" si="6"/>
        <v>1.4E-2</v>
      </c>
      <c r="T108" s="74">
        <f t="shared" si="6"/>
        <v>0.53600000000000003</v>
      </c>
      <c r="U108" s="75">
        <f>MAX(U65:U107)</f>
        <v>100.18600000000001</v>
      </c>
    </row>
    <row r="109" spans="1:21">
      <c r="A109" s="8"/>
      <c r="B109" s="7"/>
      <c r="C109" s="25"/>
      <c r="D109" s="29" t="s">
        <v>31</v>
      </c>
      <c r="E109" s="83"/>
      <c r="F109" s="77">
        <f t="shared" ref="F109:T109" si="7">MIN(F65:F108)</f>
        <v>0.02</v>
      </c>
      <c r="G109" s="77">
        <f t="shared" si="7"/>
        <v>1.4999999999999999E-2</v>
      </c>
      <c r="H109" s="77">
        <f t="shared" si="7"/>
        <v>1.7999999999999999E-2</v>
      </c>
      <c r="I109" s="77">
        <f t="shared" si="7"/>
        <v>5.0000000000000001E-3</v>
      </c>
      <c r="J109" s="77">
        <f t="shared" si="7"/>
        <v>1.3000000000000001E-2</v>
      </c>
      <c r="K109" s="77">
        <f t="shared" si="7"/>
        <v>0</v>
      </c>
      <c r="L109" s="76">
        <f t="shared" si="7"/>
        <v>63.850999999999992</v>
      </c>
      <c r="M109" s="77">
        <f t="shared" si="7"/>
        <v>0</v>
      </c>
      <c r="N109" s="77">
        <f t="shared" si="7"/>
        <v>0.128</v>
      </c>
      <c r="O109" s="77">
        <f t="shared" si="7"/>
        <v>4.0000000000000001E-3</v>
      </c>
      <c r="P109" s="77">
        <f t="shared" si="7"/>
        <v>3.0000000000000001E-3</v>
      </c>
      <c r="Q109" s="76">
        <f t="shared" si="7"/>
        <v>33.076999999999998</v>
      </c>
      <c r="R109" s="77">
        <f t="shared" si="7"/>
        <v>2.9000000000000005E-2</v>
      </c>
      <c r="S109" s="77">
        <f t="shared" si="7"/>
        <v>1E-3</v>
      </c>
      <c r="T109" s="77">
        <f t="shared" si="7"/>
        <v>3.9E-2</v>
      </c>
      <c r="U109" s="78">
        <f>MIN(U65:U108)</f>
        <v>98.403999999999996</v>
      </c>
    </row>
    <row r="110" spans="1:21">
      <c r="A110" s="19"/>
      <c r="B110" s="24"/>
      <c r="C110" s="26"/>
      <c r="D110" s="30" t="s">
        <v>32</v>
      </c>
      <c r="E110" s="84"/>
      <c r="F110" s="80">
        <f t="shared" ref="F110:T110" si="8">AVERAGE(F65:F109)</f>
        <v>2.3333333333333334E-2</v>
      </c>
      <c r="G110" s="80">
        <f t="shared" si="8"/>
        <v>2.3000000000000003E-2</v>
      </c>
      <c r="H110" s="80">
        <f t="shared" si="8"/>
        <v>2.3666666666666666E-2</v>
      </c>
      <c r="I110" s="80">
        <f t="shared" si="8"/>
        <v>3.7903225806451613E-2</v>
      </c>
      <c r="J110" s="80">
        <f t="shared" si="8"/>
        <v>2.804545454545455E-2</v>
      </c>
      <c r="K110" s="80">
        <f t="shared" si="8"/>
        <v>0</v>
      </c>
      <c r="L110" s="79">
        <f t="shared" si="8"/>
        <v>64.863888888888894</v>
      </c>
      <c r="M110" s="80">
        <f t="shared" si="8"/>
        <v>0</v>
      </c>
      <c r="N110" s="80">
        <f t="shared" si="8"/>
        <v>0.73302222222222235</v>
      </c>
      <c r="O110" s="80">
        <f t="shared" si="8"/>
        <v>9.3181818181818209E-3</v>
      </c>
      <c r="P110" s="80">
        <f t="shared" si="8"/>
        <v>3.0000000000000005E-3</v>
      </c>
      <c r="Q110" s="79">
        <f t="shared" si="8"/>
        <v>33.336044444444454</v>
      </c>
      <c r="R110" s="80">
        <f t="shared" si="8"/>
        <v>0.1420454545454545</v>
      </c>
      <c r="S110" s="80">
        <f t="shared" si="8"/>
        <v>7.6249999999999998E-3</v>
      </c>
      <c r="T110" s="80">
        <f t="shared" si="8"/>
        <v>0.20662222222222223</v>
      </c>
      <c r="U110" s="81">
        <f>AVERAGE(U65:U109)</f>
        <v>99.308822222222204</v>
      </c>
    </row>
    <row r="111" spans="1:21">
      <c r="A111" s="1" t="s">
        <v>119</v>
      </c>
      <c r="C111" s="86"/>
      <c r="E111" s="87"/>
      <c r="F111" s="88">
        <v>1.4E-2</v>
      </c>
      <c r="G111" s="88">
        <v>1.4999999999999999E-2</v>
      </c>
      <c r="H111" s="88">
        <v>1.7000000000000001E-2</v>
      </c>
      <c r="I111" s="88">
        <v>8.0000000000000002E-3</v>
      </c>
      <c r="J111" s="88">
        <v>1.2E-2</v>
      </c>
      <c r="K111" s="88">
        <v>1.2999999999999999E-2</v>
      </c>
      <c r="L111" s="71">
        <v>1.2E-2</v>
      </c>
      <c r="M111" s="70">
        <v>1.0999999999999999E-2</v>
      </c>
      <c r="N111" s="70">
        <v>7.0000000000000001E-3</v>
      </c>
      <c r="O111" s="70">
        <v>6.0000000000000001E-3</v>
      </c>
      <c r="P111" s="70">
        <v>1.7000000000000001E-2</v>
      </c>
      <c r="Q111" s="71">
        <v>4.0000000000000001E-3</v>
      </c>
      <c r="R111" s="70">
        <v>1.6E-2</v>
      </c>
      <c r="S111" s="89">
        <v>7.0000000000000001E-3</v>
      </c>
      <c r="T111" s="89">
        <v>7.0000000000000001E-3</v>
      </c>
      <c r="U111" s="9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11"/>
  <sheetViews>
    <sheetView zoomScale="55" zoomScaleNormal="55" workbookViewId="0">
      <pane xSplit="5" ySplit="1" topLeftCell="N2" activePane="bottomRight" state="frozen"/>
      <selection pane="topRight" activeCell="F1" sqref="F1"/>
      <selection pane="bottomLeft" activeCell="A2" sqref="A2"/>
      <selection pane="bottomRight" activeCell="AK24" sqref="AK24"/>
    </sheetView>
  </sheetViews>
  <sheetFormatPr defaultColWidth="8.88671875" defaultRowHeight="14.4"/>
  <cols>
    <col min="3" max="3" width="16.88671875" bestFit="1" customWidth="1"/>
    <col min="4" max="4" width="11.21875" bestFit="1" customWidth="1"/>
    <col min="7" max="7" width="10.6640625" bestFit="1" customWidth="1"/>
    <col min="8" max="8" width="11.21875" bestFit="1" customWidth="1"/>
    <col min="9" max="9" width="8" customWidth="1"/>
    <col min="12" max="12" width="10.88671875" bestFit="1" customWidth="1"/>
    <col min="14" max="14" width="10.88671875" bestFit="1" customWidth="1"/>
    <col min="16" max="16" width="10.6640625" bestFit="1" customWidth="1"/>
    <col min="18" max="18" width="11.77734375" bestFit="1" customWidth="1"/>
    <col min="20" max="20" width="11.88671875" bestFit="1" customWidth="1"/>
    <col min="22" max="22" width="11.21875" bestFit="1" customWidth="1"/>
    <col min="24" max="24" width="11.77734375" bestFit="1" customWidth="1"/>
    <col min="31" max="31" width="10.44140625" bestFit="1" customWidth="1"/>
    <col min="33" max="33" width="13" bestFit="1" customWidth="1"/>
    <col min="34" max="34" width="8.88671875" style="3"/>
    <col min="35" max="35" width="6.77734375" style="3" bestFit="1" customWidth="1"/>
  </cols>
  <sheetData>
    <row r="1" spans="1:37" ht="28.2" thickBot="1">
      <c r="A1" s="190" t="s">
        <v>1</v>
      </c>
      <c r="B1" s="190"/>
      <c r="C1" s="34" t="s">
        <v>33</v>
      </c>
      <c r="D1" s="34" t="s">
        <v>3</v>
      </c>
      <c r="E1" s="35" t="s">
        <v>34</v>
      </c>
      <c r="F1" s="61" t="s">
        <v>92</v>
      </c>
      <c r="G1" s="36" t="s">
        <v>108</v>
      </c>
      <c r="H1" s="37" t="s">
        <v>35</v>
      </c>
      <c r="I1" s="38" t="s">
        <v>110</v>
      </c>
      <c r="J1" s="37" t="s">
        <v>36</v>
      </c>
      <c r="K1" s="38" t="s">
        <v>111</v>
      </c>
      <c r="L1" s="37" t="s">
        <v>37</v>
      </c>
      <c r="M1" s="38" t="s">
        <v>112</v>
      </c>
      <c r="N1" s="37" t="s">
        <v>38</v>
      </c>
      <c r="O1" s="38" t="s">
        <v>113</v>
      </c>
      <c r="P1" s="37" t="s">
        <v>39</v>
      </c>
      <c r="Q1" s="38" t="s">
        <v>114</v>
      </c>
      <c r="R1" s="37" t="s">
        <v>40</v>
      </c>
      <c r="S1" s="38" t="s">
        <v>115</v>
      </c>
      <c r="T1" s="37" t="s">
        <v>41</v>
      </c>
      <c r="U1" s="38" t="s">
        <v>116</v>
      </c>
      <c r="V1" s="33" t="s">
        <v>42</v>
      </c>
      <c r="W1" s="38" t="s">
        <v>117</v>
      </c>
      <c r="X1" s="37" t="s">
        <v>43</v>
      </c>
      <c r="Y1" s="38" t="s">
        <v>118</v>
      </c>
      <c r="Z1" s="32" t="s">
        <v>44</v>
      </c>
      <c r="AA1" s="33" t="s">
        <v>45</v>
      </c>
      <c r="AB1" s="33" t="s">
        <v>185</v>
      </c>
      <c r="AC1" s="170" t="s">
        <v>186</v>
      </c>
      <c r="AD1" s="171" t="s">
        <v>46</v>
      </c>
      <c r="AE1" s="172" t="s">
        <v>47</v>
      </c>
      <c r="AF1" s="172" t="s">
        <v>48</v>
      </c>
      <c r="AG1" s="171" t="s">
        <v>49</v>
      </c>
      <c r="AH1" s="173" t="s">
        <v>194</v>
      </c>
      <c r="AI1" s="173" t="s">
        <v>195</v>
      </c>
      <c r="AK1" s="146" t="s">
        <v>121</v>
      </c>
    </row>
    <row r="2" spans="1:37">
      <c r="A2" s="174" t="s">
        <v>50</v>
      </c>
      <c r="B2" s="175" t="s">
        <v>51</v>
      </c>
      <c r="C2" s="39" t="s">
        <v>7</v>
      </c>
      <c r="D2" s="176" t="s">
        <v>53</v>
      </c>
      <c r="E2" s="39" t="s">
        <v>54</v>
      </c>
      <c r="F2" s="41">
        <v>15.5201603467911</v>
      </c>
      <c r="G2" s="40">
        <v>64.778999999999996</v>
      </c>
      <c r="H2" s="41">
        <v>163.62204752110199</v>
      </c>
      <c r="I2" s="42">
        <f t="shared" ref="I2:I30" si="0">H2/55</f>
        <v>2.9749463185654905</v>
      </c>
      <c r="J2" s="41">
        <v>1127.2018600705601</v>
      </c>
      <c r="K2" s="42">
        <f t="shared" ref="K2:K30" si="1">J2/57</f>
        <v>19.775471229308071</v>
      </c>
      <c r="L2" s="41">
        <v>0.478161278735178</v>
      </c>
      <c r="M2" s="43">
        <f t="shared" ref="M2:M30" si="2">L2/65</f>
        <v>7.3563273651565848E-3</v>
      </c>
      <c r="N2" s="41">
        <v>139.348457161619</v>
      </c>
      <c r="O2" s="42">
        <f t="shared" ref="O2:O30" si="3">N2/71</f>
        <v>1.9626543262199858</v>
      </c>
      <c r="P2" s="41">
        <v>773.73667914742202</v>
      </c>
      <c r="Q2" s="42">
        <f t="shared" ref="Q2:Q30" si="4">P2/74</f>
        <v>10.455901069559758</v>
      </c>
      <c r="R2" s="41">
        <v>2.1009416920860802</v>
      </c>
      <c r="S2" s="42">
        <f t="shared" ref="S2:S30" si="5">R2/107</f>
        <v>1.9634969084916638E-2</v>
      </c>
      <c r="T2" s="41">
        <v>625.06604245869403</v>
      </c>
      <c r="U2" s="42">
        <f t="shared" ref="U2:U30" si="6">T2/111</f>
        <v>5.6312256077359821</v>
      </c>
      <c r="V2" s="44">
        <v>0.25648724433549902</v>
      </c>
      <c r="W2" s="43">
        <f t="shared" ref="W2:W30" si="7">V2/115</f>
        <v>2.230323863786948E-3</v>
      </c>
      <c r="X2" s="41">
        <v>2899.2424083948899</v>
      </c>
      <c r="Y2" s="42">
        <f t="shared" ref="Y2:Y30" si="8">X2/208</f>
        <v>13.938665424975433</v>
      </c>
      <c r="Z2" s="45">
        <f>LN(((N2^0.22)*(P2^0.22))/(((J2/10000)^0.37)*(H2^0.2)*(V2^0.11)))</f>
        <v>2.4872219074740669</v>
      </c>
      <c r="AA2" s="45">
        <f>-54.4*Z2+208</f>
        <v>72.69512823341077</v>
      </c>
      <c r="AB2" s="45">
        <f>273.15+AA2</f>
        <v>345.84512823341072</v>
      </c>
      <c r="AC2" s="59">
        <v>0.01</v>
      </c>
      <c r="AD2" s="59">
        <f>44.09+0.0125*AB2-3600*AC2/AB2</f>
        <v>48.308971267538148</v>
      </c>
      <c r="AE2" s="60">
        <f t="shared" ref="AE2:AE30" si="9">J2/(G2*10000)*(65/57)</f>
        <v>1.9842937215841937E-3</v>
      </c>
      <c r="AF2" s="60">
        <f>AE2/(AE2+1)</f>
        <v>1.9803640975389965E-3</v>
      </c>
      <c r="AG2" s="59">
        <f t="shared" ref="AG2:AG30" si="10">0.8*LOG10(53.1*AF2/AD2)-1.38</f>
        <v>-3.5097505791652703</v>
      </c>
      <c r="AH2" s="59">
        <f>-2*AG2-1.5*10000/AB2+14.5</f>
        <v>-21.852513583124789</v>
      </c>
      <c r="AI2" s="59">
        <f>AH2-(-11.39*1000/AB2+10.756)</f>
        <v>0.32530294388696035</v>
      </c>
      <c r="AK2" s="146" t="s">
        <v>176</v>
      </c>
    </row>
    <row r="3" spans="1:37">
      <c r="A3" s="177"/>
      <c r="B3" s="178"/>
      <c r="C3" s="179" t="s">
        <v>7</v>
      </c>
      <c r="D3" s="180" t="s">
        <v>52</v>
      </c>
      <c r="E3" s="46" t="s">
        <v>56</v>
      </c>
      <c r="F3" s="58">
        <v>15.972976780242499</v>
      </c>
      <c r="G3" s="47">
        <v>64.552999999999997</v>
      </c>
      <c r="H3" s="48">
        <v>108.114299540555</v>
      </c>
      <c r="I3" s="49">
        <f t="shared" si="0"/>
        <v>1.9657145371009999</v>
      </c>
      <c r="J3" s="48">
        <v>12028.4478108113</v>
      </c>
      <c r="K3" s="49">
        <f t="shared" si="1"/>
        <v>211.02540018967193</v>
      </c>
      <c r="L3" s="48">
        <v>0.294319514921978</v>
      </c>
      <c r="M3" s="50">
        <f t="shared" si="2"/>
        <v>4.5279925372611997E-3</v>
      </c>
      <c r="N3" s="48">
        <v>35.770882749020302</v>
      </c>
      <c r="O3" s="49">
        <f t="shared" si="3"/>
        <v>0.50381524998620142</v>
      </c>
      <c r="P3" s="48">
        <v>1347.1385455515699</v>
      </c>
      <c r="Q3" s="49">
        <f t="shared" si="4"/>
        <v>18.204574939886079</v>
      </c>
      <c r="R3" s="48">
        <v>1.64513826122625</v>
      </c>
      <c r="S3" s="49">
        <f t="shared" si="5"/>
        <v>1.5375123936693925E-2</v>
      </c>
      <c r="T3" s="48">
        <v>358.94716892982802</v>
      </c>
      <c r="U3" s="49">
        <f t="shared" si="6"/>
        <v>3.2337582786470995</v>
      </c>
      <c r="V3" s="51">
        <v>5.6136580017091903E-2</v>
      </c>
      <c r="W3" s="50">
        <f t="shared" si="7"/>
        <v>4.881441740616687E-4</v>
      </c>
      <c r="X3" s="48">
        <v>5325.7292133675301</v>
      </c>
      <c r="Y3" s="49">
        <f t="shared" si="8"/>
        <v>25.604467371959281</v>
      </c>
      <c r="Z3" s="52">
        <f t="shared" ref="Z3:Z61" si="11">LN(((N3^0.22)*(P3^0.22))/(((J3/10000)^0.37)*(H3^0.2)*(V3^0.11)))</f>
        <v>1.6840554576985012</v>
      </c>
      <c r="AA3" s="52">
        <f t="shared" ref="AA3:AA61" si="12">-54.4*Z3+208</f>
        <v>116.38738310120154</v>
      </c>
      <c r="AB3" s="59">
        <f t="shared" ref="AB3:AB61" si="13">273.15+AA3</f>
        <v>389.5373831012015</v>
      </c>
      <c r="AC3" s="59">
        <v>0.01</v>
      </c>
      <c r="AD3" s="59">
        <f t="shared" ref="AD3:AD30" si="14">44.09+0.0125*AB3-3600*AC3/AB3</f>
        <v>48.866799971296302</v>
      </c>
      <c r="AE3" s="53">
        <f t="shared" si="9"/>
        <v>2.1248665456800885E-2</v>
      </c>
      <c r="AF3" s="53">
        <f t="shared" ref="AF3:AF61" si="15">AE3/(AE3+1)</f>
        <v>2.0806553952554183E-2</v>
      </c>
      <c r="AG3" s="52">
        <f t="shared" si="10"/>
        <v>-2.6965753778297099</v>
      </c>
      <c r="AH3" s="59">
        <f t="shared" ref="AH3:AH61" si="16">-2*AG3-1.5*10000/AB3+14.5</f>
        <v>-18.614064856309234</v>
      </c>
      <c r="AI3" s="59">
        <f t="shared" ref="AI3:AI61" si="17">AH3-(-11.39*1000/AB3+10.756)</f>
        <v>-0.1302524682877042</v>
      </c>
      <c r="AK3" s="87" t="s">
        <v>177</v>
      </c>
    </row>
    <row r="4" spans="1:37">
      <c r="A4" s="177"/>
      <c r="B4" s="178"/>
      <c r="C4" s="179" t="s">
        <v>7</v>
      </c>
      <c r="D4" s="180" t="s">
        <v>57</v>
      </c>
      <c r="E4" s="46" t="s">
        <v>54</v>
      </c>
      <c r="F4" s="58">
        <v>15.932657330046899</v>
      </c>
      <c r="G4" s="47">
        <v>64.408000000000001</v>
      </c>
      <c r="H4" s="48">
        <v>85.607177664688606</v>
      </c>
      <c r="I4" s="49">
        <f t="shared" si="0"/>
        <v>1.5564941393579748</v>
      </c>
      <c r="J4" s="48">
        <v>9183.5843801431693</v>
      </c>
      <c r="K4" s="49">
        <f t="shared" si="1"/>
        <v>161.11551544110824</v>
      </c>
      <c r="L4" s="48">
        <v>0.29064185809627802</v>
      </c>
      <c r="M4" s="50">
        <f t="shared" si="2"/>
        <v>4.4714132014812003E-3</v>
      </c>
      <c r="N4" s="48">
        <v>63.8145182163207</v>
      </c>
      <c r="O4" s="49">
        <f t="shared" si="3"/>
        <v>0.89879603121578455</v>
      </c>
      <c r="P4" s="48">
        <v>1108.3427760858699</v>
      </c>
      <c r="Q4" s="49">
        <f t="shared" si="4"/>
        <v>14.977605082241485</v>
      </c>
      <c r="R4" s="48">
        <v>1.63287530216361</v>
      </c>
      <c r="S4" s="49">
        <f t="shared" si="5"/>
        <v>1.526051684265056E-2</v>
      </c>
      <c r="T4" s="48">
        <v>457.37272645572898</v>
      </c>
      <c r="U4" s="49">
        <f t="shared" si="6"/>
        <v>4.1204750131146755</v>
      </c>
      <c r="V4" s="51">
        <v>8.8223724314993507E-2</v>
      </c>
      <c r="W4" s="50">
        <f t="shared" si="7"/>
        <v>7.6716282013037827E-4</v>
      </c>
      <c r="X4" s="48">
        <v>3922.5614995864498</v>
      </c>
      <c r="Y4" s="49">
        <f t="shared" si="8"/>
        <v>18.858468748011777</v>
      </c>
      <c r="Z4" s="52">
        <f t="shared" si="11"/>
        <v>1.8652773023387739</v>
      </c>
      <c r="AA4" s="52">
        <f t="shared" si="12"/>
        <v>106.5289147527707</v>
      </c>
      <c r="AB4" s="59">
        <f t="shared" si="13"/>
        <v>379.67891475277065</v>
      </c>
      <c r="AC4" s="59">
        <v>0.01</v>
      </c>
      <c r="AD4" s="59">
        <f t="shared" si="14"/>
        <v>48.741169475655312</v>
      </c>
      <c r="AE4" s="53">
        <f t="shared" si="9"/>
        <v>1.6259639336219159E-2</v>
      </c>
      <c r="AF4" s="53">
        <f t="shared" si="15"/>
        <v>1.5999493344869345E-2</v>
      </c>
      <c r="AG4" s="52">
        <f t="shared" si="10"/>
        <v>-2.7869561552667532</v>
      </c>
      <c r="AH4" s="59">
        <f t="shared" si="16"/>
        <v>-19.433153837101543</v>
      </c>
      <c r="AI4" s="59">
        <f t="shared" si="17"/>
        <v>-0.19012160899732677</v>
      </c>
      <c r="AK4" s="87"/>
    </row>
    <row r="5" spans="1:37">
      <c r="A5" s="177"/>
      <c r="B5" s="178"/>
      <c r="C5" s="179" t="s">
        <v>7</v>
      </c>
      <c r="D5" s="180" t="s">
        <v>57</v>
      </c>
      <c r="E5" s="46" t="s">
        <v>54</v>
      </c>
      <c r="F5" s="58">
        <v>16.132914492384998</v>
      </c>
      <c r="G5" s="47">
        <v>65.061999999999998</v>
      </c>
      <c r="H5" s="48">
        <v>143.88532789693599</v>
      </c>
      <c r="I5" s="49">
        <f t="shared" si="0"/>
        <v>2.6160968708533816</v>
      </c>
      <c r="J5" s="48">
        <v>1227.9379195840199</v>
      </c>
      <c r="K5" s="49">
        <f t="shared" si="1"/>
        <v>21.542770519017893</v>
      </c>
      <c r="L5" s="48">
        <v>0.78555464026233501</v>
      </c>
      <c r="M5" s="50">
        <f t="shared" si="2"/>
        <v>1.2085456004035924E-2</v>
      </c>
      <c r="N5" s="48">
        <v>121.894861806791</v>
      </c>
      <c r="O5" s="49">
        <f t="shared" si="3"/>
        <v>1.7168290395322676</v>
      </c>
      <c r="P5" s="48">
        <v>778.204127216399</v>
      </c>
      <c r="Q5" s="49">
        <f t="shared" si="4"/>
        <v>10.516271989410797</v>
      </c>
      <c r="R5" s="48">
        <v>2.1296529610620598</v>
      </c>
      <c r="S5" s="49">
        <f t="shared" si="5"/>
        <v>1.9903298701514579E-2</v>
      </c>
      <c r="T5" s="48">
        <v>626.36548587315497</v>
      </c>
      <c r="U5" s="49">
        <f t="shared" si="6"/>
        <v>5.6429323051635585</v>
      </c>
      <c r="V5" s="51">
        <v>0.23145961807624599</v>
      </c>
      <c r="W5" s="50">
        <f t="shared" si="7"/>
        <v>2.0126923310977911E-3</v>
      </c>
      <c r="X5" s="48">
        <v>2358.1136504022102</v>
      </c>
      <c r="Y5" s="49">
        <f t="shared" si="8"/>
        <v>11.337084857702934</v>
      </c>
      <c r="Z5" s="52">
        <f t="shared" si="11"/>
        <v>2.4643797221995167</v>
      </c>
      <c r="AA5" s="52">
        <f t="shared" si="12"/>
        <v>73.937743112346283</v>
      </c>
      <c r="AB5" s="59">
        <f t="shared" si="13"/>
        <v>347.08774311234629</v>
      </c>
      <c r="AC5" s="59">
        <v>0.01</v>
      </c>
      <c r="AD5" s="59">
        <f t="shared" si="14"/>
        <v>48.32487661809914</v>
      </c>
      <c r="AE5" s="53">
        <f t="shared" si="9"/>
        <v>2.1522241611634488E-3</v>
      </c>
      <c r="AF5" s="53">
        <f t="shared" si="15"/>
        <v>2.1476020401640442E-3</v>
      </c>
      <c r="AG5" s="52">
        <f t="shared" si="10"/>
        <v>-3.4816979399447772</v>
      </c>
      <c r="AH5" s="59">
        <f t="shared" si="16"/>
        <v>-21.75334195560572</v>
      </c>
      <c r="AI5" s="59">
        <f t="shared" si="17"/>
        <v>0.30656764081368948</v>
      </c>
      <c r="AK5" s="87" t="s">
        <v>198</v>
      </c>
    </row>
    <row r="6" spans="1:37">
      <c r="A6" s="177"/>
      <c r="B6" s="178"/>
      <c r="C6" s="179" t="s">
        <v>7</v>
      </c>
      <c r="D6" s="180" t="s">
        <v>57</v>
      </c>
      <c r="E6" s="46" t="s">
        <v>54</v>
      </c>
      <c r="F6" s="58">
        <v>16.0859163287667</v>
      </c>
      <c r="G6" s="47">
        <v>64.900000000000006</v>
      </c>
      <c r="H6" s="48">
        <v>137.10781043441199</v>
      </c>
      <c r="I6" s="49">
        <f t="shared" si="0"/>
        <v>2.4928692806256727</v>
      </c>
      <c r="J6" s="48">
        <v>1071.58703022032</v>
      </c>
      <c r="K6" s="49">
        <f t="shared" si="1"/>
        <v>18.799772460005613</v>
      </c>
      <c r="L6" s="48">
        <v>0.40580625817803601</v>
      </c>
      <c r="M6" s="50">
        <f t="shared" si="2"/>
        <v>6.2431732027390151E-3</v>
      </c>
      <c r="N6" s="48">
        <v>125.499658378036</v>
      </c>
      <c r="O6" s="49">
        <f t="shared" si="3"/>
        <v>1.7676008222258592</v>
      </c>
      <c r="P6" s="48">
        <v>803.97797653825398</v>
      </c>
      <c r="Q6" s="49">
        <f t="shared" si="4"/>
        <v>10.864567250516945</v>
      </c>
      <c r="R6" s="48">
        <v>2.2286155354460599</v>
      </c>
      <c r="S6" s="49">
        <f t="shared" si="5"/>
        <v>2.0828182574262243E-2</v>
      </c>
      <c r="T6" s="48">
        <v>648.89929152829495</v>
      </c>
      <c r="U6" s="49">
        <f t="shared" si="6"/>
        <v>5.8459395633179723</v>
      </c>
      <c r="V6" s="51">
        <v>0.23303830666952299</v>
      </c>
      <c r="W6" s="50">
        <f t="shared" si="7"/>
        <v>2.0264200579958522E-3</v>
      </c>
      <c r="X6" s="48">
        <v>2373.5557187889899</v>
      </c>
      <c r="Y6" s="49">
        <f t="shared" si="8"/>
        <v>11.411325571100914</v>
      </c>
      <c r="Z6" s="52">
        <f t="shared" si="11"/>
        <v>2.5372541425651569</v>
      </c>
      <c r="AA6" s="52">
        <f t="shared" si="12"/>
        <v>69.973374644455475</v>
      </c>
      <c r="AB6" s="59">
        <f t="shared" si="13"/>
        <v>343.12337464445545</v>
      </c>
      <c r="AC6" s="59">
        <v>0.01</v>
      </c>
      <c r="AD6" s="59">
        <f t="shared" si="14"/>
        <v>48.274123653278167</v>
      </c>
      <c r="AE6" s="53">
        <f t="shared" si="9"/>
        <v>1.8828739751931662E-3</v>
      </c>
      <c r="AF6" s="53">
        <f t="shared" si="15"/>
        <v>1.8793354234337241E-3</v>
      </c>
      <c r="AG6" s="52">
        <f t="shared" si="10"/>
        <v>-3.527692462110938</v>
      </c>
      <c r="AH6" s="59">
        <f t="shared" si="16"/>
        <v>-22.160669149747889</v>
      </c>
      <c r="AI6" s="59">
        <f t="shared" si="17"/>
        <v>0.27838791041981636</v>
      </c>
      <c r="AK6" s="87" t="s">
        <v>123</v>
      </c>
    </row>
    <row r="7" spans="1:37">
      <c r="A7" s="177"/>
      <c r="B7" s="178"/>
      <c r="C7" s="179" t="s">
        <v>7</v>
      </c>
      <c r="D7" s="180" t="s">
        <v>57</v>
      </c>
      <c r="E7" s="46" t="s">
        <v>55</v>
      </c>
      <c r="F7" s="58">
        <v>16.226062050082501</v>
      </c>
      <c r="G7" s="47">
        <v>65.278000000000006</v>
      </c>
      <c r="H7" s="48">
        <v>134.59822183333799</v>
      </c>
      <c r="I7" s="49">
        <f t="shared" si="0"/>
        <v>2.4472403969697818</v>
      </c>
      <c r="J7" s="48">
        <v>1082.4489765293899</v>
      </c>
      <c r="K7" s="49">
        <f t="shared" si="1"/>
        <v>18.990332921568246</v>
      </c>
      <c r="L7" s="48">
        <v>0.29578523149598901</v>
      </c>
      <c r="M7" s="50">
        <f t="shared" si="2"/>
        <v>4.5505420230152159E-3</v>
      </c>
      <c r="N7" s="48">
        <v>122.85841726400901</v>
      </c>
      <c r="O7" s="49">
        <f t="shared" si="3"/>
        <v>1.7304002431550565</v>
      </c>
      <c r="P7" s="48">
        <v>820.15100839773504</v>
      </c>
      <c r="Q7" s="49">
        <f t="shared" si="4"/>
        <v>11.083121735104527</v>
      </c>
      <c r="R7" s="48">
        <v>2.1980887454161602</v>
      </c>
      <c r="S7" s="49">
        <f t="shared" si="5"/>
        <v>2.0542885471179068E-2</v>
      </c>
      <c r="T7" s="48">
        <v>649.51580110478005</v>
      </c>
      <c r="U7" s="49">
        <f t="shared" si="6"/>
        <v>5.8514937036466668</v>
      </c>
      <c r="V7" s="51">
        <v>0.20328926606442899</v>
      </c>
      <c r="W7" s="50">
        <f t="shared" si="7"/>
        <v>1.767732748386339E-3</v>
      </c>
      <c r="X7" s="48">
        <v>2417.8972809335701</v>
      </c>
      <c r="Y7" s="49">
        <f t="shared" si="8"/>
        <v>11.624506158334471</v>
      </c>
      <c r="Z7" s="52">
        <f t="shared" si="11"/>
        <v>2.5519424363954069</v>
      </c>
      <c r="AA7" s="52">
        <f t="shared" si="12"/>
        <v>69.17433146008986</v>
      </c>
      <c r="AB7" s="59">
        <f t="shared" si="13"/>
        <v>342.32433146008987</v>
      </c>
      <c r="AC7" s="59">
        <v>0.01</v>
      </c>
      <c r="AD7" s="59">
        <f t="shared" si="14"/>
        <v>48.263890715789074</v>
      </c>
      <c r="AE7" s="53">
        <f t="shared" si="9"/>
        <v>1.8909458621617328E-3</v>
      </c>
      <c r="AF7" s="53">
        <f t="shared" si="15"/>
        <v>1.8873769345569931E-3</v>
      </c>
      <c r="AG7" s="52">
        <f t="shared" si="10"/>
        <v>-3.5261353316612181</v>
      </c>
      <c r="AH7" s="59">
        <f t="shared" si="16"/>
        <v>-22.265824112534261</v>
      </c>
      <c r="AI7" s="59">
        <f t="shared" si="17"/>
        <v>0.25071585393292395</v>
      </c>
      <c r="AK7" s="87" t="s">
        <v>192</v>
      </c>
    </row>
    <row r="8" spans="1:37">
      <c r="A8" s="177"/>
      <c r="B8" s="178"/>
      <c r="C8" s="179" t="s">
        <v>7</v>
      </c>
      <c r="D8" s="180" t="s">
        <v>57</v>
      </c>
      <c r="E8" s="46" t="s">
        <v>54</v>
      </c>
      <c r="F8" s="58">
        <v>15.664458646953399</v>
      </c>
      <c r="G8" s="47">
        <v>65.046999999999997</v>
      </c>
      <c r="H8" s="48">
        <v>92.529723282130306</v>
      </c>
      <c r="I8" s="49">
        <f t="shared" si="0"/>
        <v>1.682358605129642</v>
      </c>
      <c r="J8" s="48">
        <v>9307.3536586057307</v>
      </c>
      <c r="K8" s="49">
        <f t="shared" si="1"/>
        <v>163.28690629132862</v>
      </c>
      <c r="L8" s="48">
        <v>0.31776409868531802</v>
      </c>
      <c r="M8" s="50">
        <f t="shared" si="2"/>
        <v>4.888678441312585E-3</v>
      </c>
      <c r="N8" s="48">
        <v>44.282655092614696</v>
      </c>
      <c r="O8" s="49">
        <f t="shared" si="3"/>
        <v>0.62369936750161548</v>
      </c>
      <c r="P8" s="48">
        <v>1058.1288024343</v>
      </c>
      <c r="Q8" s="49">
        <f t="shared" si="4"/>
        <v>14.299037870733784</v>
      </c>
      <c r="R8" s="48">
        <v>1.66629421310752</v>
      </c>
      <c r="S8" s="49">
        <f t="shared" si="5"/>
        <v>1.5572843113154393E-2</v>
      </c>
      <c r="T8" s="48">
        <v>437.73812708522701</v>
      </c>
      <c r="U8" s="49">
        <f t="shared" si="6"/>
        <v>3.9435867304975405</v>
      </c>
      <c r="V8" s="51">
        <v>7.25056332351251E-2</v>
      </c>
      <c r="W8" s="50">
        <f t="shared" si="7"/>
        <v>6.3048376726195735E-4</v>
      </c>
      <c r="X8" s="48">
        <v>4795.8783492859502</v>
      </c>
      <c r="Y8" s="49">
        <f t="shared" si="8"/>
        <v>23.057107448490147</v>
      </c>
      <c r="Z8" s="52">
        <f t="shared" si="11"/>
        <v>1.7757698252083514</v>
      </c>
      <c r="AA8" s="52">
        <f t="shared" si="12"/>
        <v>111.39812150866568</v>
      </c>
      <c r="AB8" s="59">
        <f t="shared" si="13"/>
        <v>384.54812150866564</v>
      </c>
      <c r="AC8" s="59">
        <v>0.01</v>
      </c>
      <c r="AD8" s="59">
        <f t="shared" si="14"/>
        <v>48.803235146845473</v>
      </c>
      <c r="AE8" s="53">
        <f t="shared" si="9"/>
        <v>1.6316892260882686E-2</v>
      </c>
      <c r="AF8" s="53">
        <f t="shared" si="15"/>
        <v>1.6054925766887905E-2</v>
      </c>
      <c r="AG8" s="52">
        <f t="shared" si="10"/>
        <v>-2.7861966313768818</v>
      </c>
      <c r="AH8" s="59">
        <f t="shared" si="16"/>
        <v>-18.934428409269358</v>
      </c>
      <c r="AI8" s="59">
        <f t="shared" si="17"/>
        <v>-7.1248486313134407E-2</v>
      </c>
      <c r="AK8" s="87" t="s">
        <v>124</v>
      </c>
    </row>
    <row r="9" spans="1:37">
      <c r="A9" s="177"/>
      <c r="B9" s="178"/>
      <c r="C9" s="179" t="s">
        <v>7</v>
      </c>
      <c r="D9" s="180" t="s">
        <v>57</v>
      </c>
      <c r="E9" s="46" t="s">
        <v>54</v>
      </c>
      <c r="F9" s="58">
        <v>15.6870628017109</v>
      </c>
      <c r="G9" s="47">
        <v>64.623999999999995</v>
      </c>
      <c r="H9" s="48">
        <v>107.85327443369501</v>
      </c>
      <c r="I9" s="49">
        <f t="shared" si="0"/>
        <v>1.9609686260671819</v>
      </c>
      <c r="J9" s="48">
        <v>10312.3375521526</v>
      </c>
      <c r="K9" s="49">
        <f t="shared" si="1"/>
        <v>180.91820266934386</v>
      </c>
      <c r="L9" s="48">
        <v>0.25510995816970999</v>
      </c>
      <c r="M9" s="50">
        <f t="shared" si="2"/>
        <v>3.9247685872263079E-3</v>
      </c>
      <c r="N9" s="48">
        <v>51.476490792766498</v>
      </c>
      <c r="O9" s="49">
        <f t="shared" si="3"/>
        <v>0.72502099708121825</v>
      </c>
      <c r="P9" s="48">
        <v>1380.72291011794</v>
      </c>
      <c r="Q9" s="49">
        <f t="shared" si="4"/>
        <v>18.658417704296486</v>
      </c>
      <c r="R9" s="48">
        <v>1.55580057295216</v>
      </c>
      <c r="S9" s="49">
        <f t="shared" si="5"/>
        <v>1.4540192270580935E-2</v>
      </c>
      <c r="T9" s="48">
        <v>400.821725617813</v>
      </c>
      <c r="U9" s="49">
        <f t="shared" si="6"/>
        <v>3.6110065370974143</v>
      </c>
      <c r="V9" s="51">
        <v>6.9767164203016097E-2</v>
      </c>
      <c r="W9" s="50">
        <f t="shared" si="7"/>
        <v>6.0667099306970515E-4</v>
      </c>
      <c r="X9" s="48">
        <v>4757.3506264282996</v>
      </c>
      <c r="Y9" s="49">
        <f t="shared" si="8"/>
        <v>22.871878011674518</v>
      </c>
      <c r="Z9" s="52">
        <f t="shared" si="11"/>
        <v>1.8030783614788162</v>
      </c>
      <c r="AA9" s="52">
        <f t="shared" si="12"/>
        <v>109.9125371355524</v>
      </c>
      <c r="AB9" s="59">
        <f t="shared" si="13"/>
        <v>383.06253713555236</v>
      </c>
      <c r="AC9" s="59">
        <v>0.01</v>
      </c>
      <c r="AD9" s="59">
        <f t="shared" si="14"/>
        <v>48.784302281308072</v>
      </c>
      <c r="AE9" s="53">
        <f t="shared" si="9"/>
        <v>1.8197083395499119E-2</v>
      </c>
      <c r="AF9" s="53">
        <f t="shared" si="15"/>
        <v>1.7871867531593401E-2</v>
      </c>
      <c r="AG9" s="52">
        <f t="shared" si="10"/>
        <v>-2.7488125121745921</v>
      </c>
      <c r="AH9" s="59">
        <f t="shared" si="16"/>
        <v>-19.160472011623895</v>
      </c>
      <c r="AI9" s="59">
        <f t="shared" si="17"/>
        <v>-0.18242366230833795</v>
      </c>
      <c r="AK9" s="87" t="s">
        <v>125</v>
      </c>
    </row>
    <row r="10" spans="1:37">
      <c r="A10" s="181"/>
      <c r="B10" s="178"/>
      <c r="C10" s="179" t="s">
        <v>7</v>
      </c>
      <c r="D10" s="180" t="s">
        <v>58</v>
      </c>
      <c r="E10" s="46" t="s">
        <v>54</v>
      </c>
      <c r="F10" s="58">
        <v>15.526979206834099</v>
      </c>
      <c r="G10" s="47">
        <v>64.128</v>
      </c>
      <c r="H10" s="48">
        <v>104.971720015182</v>
      </c>
      <c r="I10" s="49">
        <f t="shared" si="0"/>
        <v>1.9085767275487637</v>
      </c>
      <c r="J10" s="48">
        <v>8512.3671033942101</v>
      </c>
      <c r="K10" s="49">
        <f t="shared" si="1"/>
        <v>149.33977374375806</v>
      </c>
      <c r="L10" s="48">
        <v>0.29514816979485498</v>
      </c>
      <c r="M10" s="50">
        <f t="shared" si="2"/>
        <v>4.5407410737669995E-3</v>
      </c>
      <c r="N10" s="48">
        <v>40.9046220803803</v>
      </c>
      <c r="O10" s="49">
        <f t="shared" si="3"/>
        <v>0.57612143775183522</v>
      </c>
      <c r="P10" s="48">
        <v>1163.70687753932</v>
      </c>
      <c r="Q10" s="49">
        <f t="shared" si="4"/>
        <v>15.725768615396216</v>
      </c>
      <c r="R10" s="48">
        <v>1.68396775172252</v>
      </c>
      <c r="S10" s="49">
        <f t="shared" si="5"/>
        <v>1.5738016371238506E-2</v>
      </c>
      <c r="T10" s="48">
        <v>437.38284859477199</v>
      </c>
      <c r="U10" s="49">
        <f t="shared" si="6"/>
        <v>3.9403860233763242</v>
      </c>
      <c r="V10" s="51">
        <v>7.8497862005204005E-2</v>
      </c>
      <c r="W10" s="50">
        <f t="shared" si="7"/>
        <v>6.8259010439307834E-4</v>
      </c>
      <c r="X10" s="48">
        <v>6134.5803884139305</v>
      </c>
      <c r="Y10" s="49">
        <f t="shared" si="8"/>
        <v>29.493174944297742</v>
      </c>
      <c r="Z10" s="52">
        <f t="shared" si="11"/>
        <v>1.7783050388102053</v>
      </c>
      <c r="AA10" s="52">
        <f t="shared" si="12"/>
        <v>111.26020588872484</v>
      </c>
      <c r="AB10" s="59">
        <f t="shared" si="13"/>
        <v>384.41020588872482</v>
      </c>
      <c r="AC10" s="59">
        <v>0.01</v>
      </c>
      <c r="AD10" s="59">
        <f t="shared" si="14"/>
        <v>48.801477614662815</v>
      </c>
      <c r="AE10" s="53">
        <f t="shared" si="9"/>
        <v>1.5137046677495439E-2</v>
      </c>
      <c r="AF10" s="53">
        <f t="shared" si="15"/>
        <v>1.491133313185487E-2</v>
      </c>
      <c r="AG10" s="52">
        <f t="shared" si="10"/>
        <v>-2.811857582316553</v>
      </c>
      <c r="AH10" s="59">
        <f t="shared" si="16"/>
        <v>-18.897101062972588</v>
      </c>
      <c r="AI10" s="59">
        <f t="shared" si="17"/>
        <v>-2.329460747732881E-2</v>
      </c>
    </row>
    <row r="11" spans="1:37">
      <c r="A11" s="181"/>
      <c r="B11" s="178"/>
      <c r="C11" s="179" t="s">
        <v>7</v>
      </c>
      <c r="D11" s="180" t="s">
        <v>58</v>
      </c>
      <c r="E11" s="46" t="s">
        <v>54</v>
      </c>
      <c r="F11" s="58">
        <v>15.5537773447081</v>
      </c>
      <c r="G11" s="47">
        <v>64.298000000000002</v>
      </c>
      <c r="H11" s="48">
        <v>114.857141855557</v>
      </c>
      <c r="I11" s="49">
        <f t="shared" si="0"/>
        <v>2.0883116701010365</v>
      </c>
      <c r="J11" s="48">
        <v>5551.6138089535698</v>
      </c>
      <c r="K11" s="49">
        <f t="shared" si="1"/>
        <v>97.39673349041351</v>
      </c>
      <c r="L11" s="48">
        <v>0.44947726151044198</v>
      </c>
      <c r="M11" s="50">
        <f t="shared" si="2"/>
        <v>6.9150347924683379E-3</v>
      </c>
      <c r="N11" s="48">
        <v>56.701687425831302</v>
      </c>
      <c r="O11" s="49">
        <f t="shared" si="3"/>
        <v>0.79861531585677892</v>
      </c>
      <c r="P11" s="48">
        <v>998.57146760389503</v>
      </c>
      <c r="Q11" s="49">
        <f t="shared" si="4"/>
        <v>13.494209021674257</v>
      </c>
      <c r="R11" s="48">
        <v>1.68402867142291</v>
      </c>
      <c r="S11" s="49">
        <f t="shared" si="5"/>
        <v>1.5738585714232804E-2</v>
      </c>
      <c r="T11" s="48">
        <v>478.96727217346398</v>
      </c>
      <c r="U11" s="49">
        <f t="shared" si="6"/>
        <v>4.3150204700312074</v>
      </c>
      <c r="V11" s="51">
        <v>0.100382841179416</v>
      </c>
      <c r="W11" s="50">
        <f t="shared" si="7"/>
        <v>8.7289427112535647E-4</v>
      </c>
      <c r="X11" s="48">
        <v>7529.0303025568401</v>
      </c>
      <c r="Y11" s="49">
        <f t="shared" si="8"/>
        <v>36.197261069984805</v>
      </c>
      <c r="Z11" s="52">
        <f t="shared" si="11"/>
        <v>1.9295784293854588</v>
      </c>
      <c r="AA11" s="52">
        <f t="shared" si="12"/>
        <v>103.03093344143105</v>
      </c>
      <c r="AB11" s="59">
        <f t="shared" si="13"/>
        <v>376.18093344143102</v>
      </c>
      <c r="AC11" s="59">
        <v>0.01</v>
      </c>
      <c r="AD11" s="59">
        <f t="shared" si="14"/>
        <v>48.696563037918118</v>
      </c>
      <c r="AE11" s="53">
        <f t="shared" si="9"/>
        <v>9.8460102598477064E-3</v>
      </c>
      <c r="AF11" s="53">
        <f t="shared" si="15"/>
        <v>9.7500115461308691E-3</v>
      </c>
      <c r="AG11" s="52">
        <f t="shared" si="10"/>
        <v>-2.9587189272649042</v>
      </c>
      <c r="AH11" s="59">
        <f t="shared" si="16"/>
        <v>-19.456991353710229</v>
      </c>
      <c r="AI11" s="59">
        <f t="shared" si="17"/>
        <v>6.4991891746707608E-2</v>
      </c>
      <c r="AK11" s="87" t="s">
        <v>187</v>
      </c>
    </row>
    <row r="12" spans="1:37">
      <c r="A12" s="181"/>
      <c r="B12" s="178"/>
      <c r="C12" s="179" t="s">
        <v>7</v>
      </c>
      <c r="D12" s="180" t="s">
        <v>58</v>
      </c>
      <c r="E12" s="46" t="s">
        <v>54</v>
      </c>
      <c r="F12" s="58">
        <v>15.7463558249274</v>
      </c>
      <c r="G12" s="47">
        <v>64.239000000000004</v>
      </c>
      <c r="H12" s="48">
        <v>103.34445592095901</v>
      </c>
      <c r="I12" s="49">
        <f t="shared" si="0"/>
        <v>1.8789901076538</v>
      </c>
      <c r="J12" s="48">
        <v>9461.2681515420209</v>
      </c>
      <c r="K12" s="49">
        <f t="shared" si="1"/>
        <v>165.9871605533688</v>
      </c>
      <c r="L12" s="48">
        <v>0.42459915050213998</v>
      </c>
      <c r="M12" s="50">
        <f t="shared" si="2"/>
        <v>6.532294623109846E-3</v>
      </c>
      <c r="N12" s="48">
        <v>45.800172885333801</v>
      </c>
      <c r="O12" s="49">
        <f t="shared" si="3"/>
        <v>0.64507285753991273</v>
      </c>
      <c r="P12" s="48">
        <v>1180.2965029064401</v>
      </c>
      <c r="Q12" s="49">
        <f t="shared" si="4"/>
        <v>15.949952741978921</v>
      </c>
      <c r="R12" s="48">
        <v>1.5832000280843901</v>
      </c>
      <c r="S12" s="49">
        <f t="shared" si="5"/>
        <v>1.4796261944713927E-2</v>
      </c>
      <c r="T12" s="48">
        <v>439.95888375186598</v>
      </c>
      <c r="U12" s="49">
        <f t="shared" si="6"/>
        <v>3.9635935473141077</v>
      </c>
      <c r="V12" s="51">
        <v>6.7774585396050205E-2</v>
      </c>
      <c r="W12" s="50">
        <f t="shared" si="7"/>
        <v>5.8934422083521914E-4</v>
      </c>
      <c r="X12" s="48">
        <v>5220.3175954097296</v>
      </c>
      <c r="Y12" s="49">
        <f t="shared" si="8"/>
        <v>25.097680747162162</v>
      </c>
      <c r="Z12" s="52">
        <f t="shared" si="11"/>
        <v>1.7864669995038922</v>
      </c>
      <c r="AA12" s="52">
        <f t="shared" si="12"/>
        <v>110.81619522698827</v>
      </c>
      <c r="AB12" s="59">
        <f t="shared" si="13"/>
        <v>383.96619522698825</v>
      </c>
      <c r="AC12" s="59">
        <v>0.01</v>
      </c>
      <c r="AD12" s="59">
        <f t="shared" si="14"/>
        <v>48.795819186492331</v>
      </c>
      <c r="AE12" s="53">
        <f t="shared" si="9"/>
        <v>1.6795350855351065E-2</v>
      </c>
      <c r="AF12" s="53">
        <f t="shared" si="15"/>
        <v>1.6517926484638661E-2</v>
      </c>
      <c r="AG12" s="52">
        <f t="shared" si="10"/>
        <v>-2.7762660507047081</v>
      </c>
      <c r="AH12" s="59">
        <f t="shared" si="16"/>
        <v>-19.013407000683905</v>
      </c>
      <c r="AI12" s="59">
        <f t="shared" si="17"/>
        <v>-0.10533724249437171</v>
      </c>
    </row>
    <row r="13" spans="1:37">
      <c r="A13" s="181"/>
      <c r="B13" s="178"/>
      <c r="C13" s="179" t="s">
        <v>7</v>
      </c>
      <c r="D13" s="46" t="s">
        <v>60</v>
      </c>
      <c r="E13" s="46" t="s">
        <v>54</v>
      </c>
      <c r="F13" s="58">
        <v>15.9057760842747</v>
      </c>
      <c r="G13" s="47">
        <v>64.960999999999999</v>
      </c>
      <c r="H13" s="48">
        <v>98.863004377892693</v>
      </c>
      <c r="I13" s="49">
        <f t="shared" si="0"/>
        <v>1.79750917050714</v>
      </c>
      <c r="J13" s="48">
        <v>12335.4269976452</v>
      </c>
      <c r="K13" s="49">
        <f t="shared" si="1"/>
        <v>216.41099995868771</v>
      </c>
      <c r="L13" s="48">
        <v>0.242280752543033</v>
      </c>
      <c r="M13" s="50">
        <f t="shared" si="2"/>
        <v>3.7273961929697383E-3</v>
      </c>
      <c r="N13" s="48">
        <v>46.666555804384402</v>
      </c>
      <c r="O13" s="49">
        <f t="shared" si="3"/>
        <v>0.65727543386456899</v>
      </c>
      <c r="P13" s="48">
        <v>1276.61200181239</v>
      </c>
      <c r="Q13" s="49">
        <f t="shared" si="4"/>
        <v>17.25151353800527</v>
      </c>
      <c r="R13" s="48">
        <v>1.66213762916871</v>
      </c>
      <c r="S13" s="49">
        <f t="shared" si="5"/>
        <v>1.553399653428701E-2</v>
      </c>
      <c r="T13" s="48">
        <v>394.24036138551998</v>
      </c>
      <c r="U13" s="49">
        <f t="shared" si="6"/>
        <v>3.5517149674371167</v>
      </c>
      <c r="V13" s="51">
        <v>6.42869310283634E-2</v>
      </c>
      <c r="W13" s="50">
        <f t="shared" si="7"/>
        <v>5.5901679155098607E-4</v>
      </c>
      <c r="X13" s="48">
        <v>4723.5344640764197</v>
      </c>
      <c r="Y13" s="49">
        <f t="shared" si="8"/>
        <v>22.70930030805971</v>
      </c>
      <c r="Z13" s="52">
        <f t="shared" si="11"/>
        <v>1.7243758615733551</v>
      </c>
      <c r="AA13" s="52">
        <f t="shared" si="12"/>
        <v>114.19395313040948</v>
      </c>
      <c r="AB13" s="59">
        <f t="shared" si="13"/>
        <v>387.34395313040943</v>
      </c>
      <c r="AC13" s="59">
        <v>0.01</v>
      </c>
      <c r="AD13" s="59">
        <f t="shared" si="14"/>
        <v>48.838858760974041</v>
      </c>
      <c r="AE13" s="53">
        <f t="shared" si="9"/>
        <v>2.1654092451339577E-2</v>
      </c>
      <c r="AF13" s="53">
        <f t="shared" si="15"/>
        <v>2.1195131122494808E-2</v>
      </c>
      <c r="AG13" s="52">
        <f t="shared" si="10"/>
        <v>-2.6899479026474125</v>
      </c>
      <c r="AH13" s="59">
        <f t="shared" si="16"/>
        <v>-18.845376343073681</v>
      </c>
      <c r="AI13" s="59">
        <f t="shared" si="17"/>
        <v>-0.19598635841252943</v>
      </c>
    </row>
    <row r="14" spans="1:37">
      <c r="A14" s="181"/>
      <c r="B14" s="178"/>
      <c r="C14" s="179" t="s">
        <v>7</v>
      </c>
      <c r="D14" s="46" t="s">
        <v>60</v>
      </c>
      <c r="E14" s="46" t="s">
        <v>54</v>
      </c>
      <c r="F14" s="58">
        <v>15.737200862002201</v>
      </c>
      <c r="G14" s="47">
        <v>64.513999999999996</v>
      </c>
      <c r="H14" s="48">
        <v>91.226857594308299</v>
      </c>
      <c r="I14" s="49">
        <f t="shared" si="0"/>
        <v>1.6586701380783326</v>
      </c>
      <c r="J14" s="48">
        <v>10101.0639499234</v>
      </c>
      <c r="K14" s="49">
        <f t="shared" si="1"/>
        <v>177.21164824427018</v>
      </c>
      <c r="L14" s="48">
        <v>0.30168561183276599</v>
      </c>
      <c r="M14" s="50">
        <f t="shared" si="2"/>
        <v>4.6413171051194763E-3</v>
      </c>
      <c r="N14" s="48">
        <v>61.016730922739903</v>
      </c>
      <c r="O14" s="49">
        <f t="shared" si="3"/>
        <v>0.85939057637661831</v>
      </c>
      <c r="P14" s="48">
        <v>1182.41585212118</v>
      </c>
      <c r="Q14" s="49">
        <f t="shared" si="4"/>
        <v>15.978592596232163</v>
      </c>
      <c r="R14" s="48">
        <v>1.73598415617694</v>
      </c>
      <c r="S14" s="49">
        <f t="shared" si="5"/>
        <v>1.622415099230785E-2</v>
      </c>
      <c r="T14" s="48">
        <v>444.348292903588</v>
      </c>
      <c r="U14" s="49">
        <f t="shared" si="6"/>
        <v>4.0031377739061984</v>
      </c>
      <c r="V14" s="51">
        <v>8.5400067983358793E-2</v>
      </c>
      <c r="W14" s="50">
        <f t="shared" si="7"/>
        <v>7.4260928681181559E-4</v>
      </c>
      <c r="X14" s="48">
        <v>4177.9835825173705</v>
      </c>
      <c r="Y14" s="49">
        <f t="shared" si="8"/>
        <v>20.08645953133351</v>
      </c>
      <c r="Z14" s="52">
        <f t="shared" si="11"/>
        <v>1.825276329691218</v>
      </c>
      <c r="AA14" s="52">
        <f t="shared" si="12"/>
        <v>108.70496766479775</v>
      </c>
      <c r="AB14" s="59">
        <f t="shared" si="13"/>
        <v>381.85496766479775</v>
      </c>
      <c r="AC14" s="59">
        <v>0.01</v>
      </c>
      <c r="AD14" s="59">
        <f t="shared" si="14"/>
        <v>48.76891046450109</v>
      </c>
      <c r="AE14" s="53">
        <f t="shared" si="9"/>
        <v>1.7854662764481447E-2</v>
      </c>
      <c r="AF14" s="53">
        <f t="shared" si="15"/>
        <v>1.7541465808083433E-2</v>
      </c>
      <c r="AG14" s="52">
        <f t="shared" si="10"/>
        <v>-2.7551861207025246</v>
      </c>
      <c r="AH14" s="59">
        <f t="shared" si="16"/>
        <v>-19.271557470629993</v>
      </c>
      <c r="AI14" s="59">
        <f t="shared" si="17"/>
        <v>-0.1994788426247176</v>
      </c>
    </row>
    <row r="15" spans="1:37">
      <c r="A15" s="181"/>
      <c r="B15" s="178"/>
      <c r="C15" s="179" t="s">
        <v>7</v>
      </c>
      <c r="D15" s="46" t="s">
        <v>60</v>
      </c>
      <c r="E15" s="46" t="s">
        <v>54</v>
      </c>
      <c r="F15" s="58">
        <v>15.781293646949299</v>
      </c>
      <c r="G15" s="47">
        <v>64.444999999999993</v>
      </c>
      <c r="H15" s="48">
        <v>101.505612659362</v>
      </c>
      <c r="I15" s="49">
        <f t="shared" si="0"/>
        <v>1.8455565938065819</v>
      </c>
      <c r="J15" s="48">
        <v>9031.1259223771904</v>
      </c>
      <c r="K15" s="49">
        <f t="shared" si="1"/>
        <v>158.44080565574018</v>
      </c>
      <c r="L15" s="48">
        <v>0.274722391473599</v>
      </c>
      <c r="M15" s="50">
        <f t="shared" si="2"/>
        <v>4.226498330363062E-3</v>
      </c>
      <c r="N15" s="48">
        <v>40.075806469887397</v>
      </c>
      <c r="O15" s="49">
        <f t="shared" si="3"/>
        <v>0.56444797844911831</v>
      </c>
      <c r="P15" s="48">
        <v>1235.4069432014501</v>
      </c>
      <c r="Q15" s="49">
        <f t="shared" si="4"/>
        <v>16.694688421641217</v>
      </c>
      <c r="R15" s="48">
        <v>1.6447318571810201</v>
      </c>
      <c r="S15" s="49">
        <f t="shared" si="5"/>
        <v>1.5371325768046918E-2</v>
      </c>
      <c r="T15" s="48">
        <v>420.78120878521901</v>
      </c>
      <c r="U15" s="49">
        <f t="shared" si="6"/>
        <v>3.7908217007677387</v>
      </c>
      <c r="V15" s="51">
        <v>6.9117985050788006E-2</v>
      </c>
      <c r="W15" s="50">
        <f t="shared" si="7"/>
        <v>6.0102595696337393E-4</v>
      </c>
      <c r="X15" s="48">
        <v>5687.6529503666497</v>
      </c>
      <c r="Y15" s="49">
        <f t="shared" si="8"/>
        <v>27.344485338301201</v>
      </c>
      <c r="Z15" s="52">
        <f t="shared" si="11"/>
        <v>1.7857808677459035</v>
      </c>
      <c r="AA15" s="52">
        <f t="shared" si="12"/>
        <v>110.85352079462285</v>
      </c>
      <c r="AB15" s="59">
        <f t="shared" si="13"/>
        <v>384.00352079462283</v>
      </c>
      <c r="AC15" s="59">
        <v>0.01</v>
      </c>
      <c r="AD15" s="59">
        <f t="shared" si="14"/>
        <v>48.796294869493906</v>
      </c>
      <c r="AE15" s="53">
        <f t="shared" si="9"/>
        <v>1.5980529703814281E-2</v>
      </c>
      <c r="AF15" s="53">
        <f t="shared" si="15"/>
        <v>1.5729169247439258E-2</v>
      </c>
      <c r="AG15" s="52">
        <f t="shared" si="10"/>
        <v>-2.793269232347714</v>
      </c>
      <c r="AH15" s="59">
        <f t="shared" si="16"/>
        <v>-18.975603384838479</v>
      </c>
      <c r="AI15" s="59">
        <f t="shared" si="17"/>
        <v>-7.041700709239862E-2</v>
      </c>
    </row>
    <row r="16" spans="1:37">
      <c r="A16" s="46" t="s">
        <v>61</v>
      </c>
      <c r="B16" s="178" t="s">
        <v>62</v>
      </c>
      <c r="C16" s="46" t="s">
        <v>63</v>
      </c>
      <c r="D16" s="180" t="s">
        <v>57</v>
      </c>
      <c r="E16" s="46" t="s">
        <v>54</v>
      </c>
      <c r="F16" s="58">
        <v>17.162093003394197</v>
      </c>
      <c r="G16" s="47">
        <v>64.584999999999994</v>
      </c>
      <c r="H16" s="48">
        <v>80.734613681895894</v>
      </c>
      <c r="I16" s="49">
        <f t="shared" si="0"/>
        <v>1.4679020669435616</v>
      </c>
      <c r="J16" s="48">
        <v>9225.6825270514892</v>
      </c>
      <c r="K16" s="49">
        <f t="shared" si="1"/>
        <v>161.85407942195596</v>
      </c>
      <c r="L16" s="48">
        <v>0.27586726031759101</v>
      </c>
      <c r="M16" s="50">
        <f t="shared" si="2"/>
        <v>4.2441116971937082E-3</v>
      </c>
      <c r="N16" s="48">
        <v>61.527387105616299</v>
      </c>
      <c r="O16" s="49">
        <f t="shared" si="3"/>
        <v>0.86658291698051126</v>
      </c>
      <c r="P16" s="48">
        <v>1172.69877725533</v>
      </c>
      <c r="Q16" s="49">
        <f t="shared" si="4"/>
        <v>15.847280773720676</v>
      </c>
      <c r="R16" s="48">
        <v>1.8647039397152001</v>
      </c>
      <c r="S16" s="49">
        <f t="shared" si="5"/>
        <v>1.7427139623506543E-2</v>
      </c>
      <c r="T16" s="48">
        <v>423.506266148858</v>
      </c>
      <c r="U16" s="49">
        <f t="shared" si="6"/>
        <v>3.815371767106829</v>
      </c>
      <c r="V16" s="51">
        <v>9.4855712449739102E-2</v>
      </c>
      <c r="W16" s="50">
        <f t="shared" si="7"/>
        <v>8.248322821716444E-4</v>
      </c>
      <c r="X16" s="48">
        <v>3285.00567573137</v>
      </c>
      <c r="Y16" s="49">
        <f t="shared" si="8"/>
        <v>15.793296517939279</v>
      </c>
      <c r="Z16" s="52">
        <f t="shared" si="11"/>
        <v>1.8717200801463743</v>
      </c>
      <c r="AA16" s="52">
        <f t="shared" si="12"/>
        <v>106.17842764003724</v>
      </c>
      <c r="AB16" s="59">
        <f t="shared" si="13"/>
        <v>379.32842764003721</v>
      </c>
      <c r="AC16" s="59">
        <v>0.01</v>
      </c>
      <c r="AD16" s="59">
        <f t="shared" si="14"/>
        <v>48.736700778964362</v>
      </c>
      <c r="AE16" s="53">
        <f t="shared" si="9"/>
        <v>1.6289409557059903E-2</v>
      </c>
      <c r="AF16" s="53">
        <f t="shared" si="15"/>
        <v>1.6028317725124665E-2</v>
      </c>
      <c r="AG16" s="52">
        <f t="shared" si="10"/>
        <v>-2.7862989300276304</v>
      </c>
      <c r="AH16" s="59">
        <f t="shared" si="16"/>
        <v>-19.470971529988489</v>
      </c>
      <c r="AI16" s="59">
        <f t="shared" si="17"/>
        <v>-0.20022117314860211</v>
      </c>
    </row>
    <row r="17" spans="1:38">
      <c r="A17" s="46"/>
      <c r="B17" s="177"/>
      <c r="C17" s="46" t="s">
        <v>63</v>
      </c>
      <c r="D17" s="180" t="s">
        <v>52</v>
      </c>
      <c r="E17" s="46" t="s">
        <v>54</v>
      </c>
      <c r="F17" s="58">
        <v>17.240024609118102</v>
      </c>
      <c r="G17" s="47">
        <v>65.292000000000002</v>
      </c>
      <c r="H17" s="48">
        <v>135.036260888903</v>
      </c>
      <c r="I17" s="49">
        <f t="shared" si="0"/>
        <v>2.4552047434345998</v>
      </c>
      <c r="J17" s="48">
        <v>2125.75151637717</v>
      </c>
      <c r="K17" s="49">
        <f t="shared" si="1"/>
        <v>37.293886252231054</v>
      </c>
      <c r="L17" s="48">
        <v>0.40294875124938101</v>
      </c>
      <c r="M17" s="50">
        <f t="shared" si="2"/>
        <v>6.199211557682785E-3</v>
      </c>
      <c r="N17" s="48">
        <v>109.71964203712</v>
      </c>
      <c r="O17" s="49">
        <f t="shared" si="3"/>
        <v>1.5453470709453521</v>
      </c>
      <c r="P17" s="48">
        <v>824.26698854985295</v>
      </c>
      <c r="Q17" s="49">
        <f t="shared" si="4"/>
        <v>11.138743088511527</v>
      </c>
      <c r="R17" s="48">
        <v>2.3825002051272</v>
      </c>
      <c r="S17" s="49">
        <f t="shared" si="5"/>
        <v>2.2266357057263552E-2</v>
      </c>
      <c r="T17" s="48">
        <v>614.12630831927299</v>
      </c>
      <c r="U17" s="49">
        <f t="shared" si="6"/>
        <v>5.5326694443177749</v>
      </c>
      <c r="V17" s="51">
        <v>0.20394255008346501</v>
      </c>
      <c r="W17" s="50">
        <f t="shared" si="7"/>
        <v>1.7734134789866524E-3</v>
      </c>
      <c r="X17" s="48">
        <v>2258.9089106298802</v>
      </c>
      <c r="Y17" s="49">
        <f t="shared" si="8"/>
        <v>10.860138993412885</v>
      </c>
      <c r="Z17" s="52">
        <f t="shared" si="11"/>
        <v>2.2774453208784569</v>
      </c>
      <c r="AA17" s="52">
        <f t="shared" si="12"/>
        <v>84.106974544211951</v>
      </c>
      <c r="AB17" s="59">
        <f t="shared" si="13"/>
        <v>357.25697454421191</v>
      </c>
      <c r="AC17" s="59">
        <v>0.01</v>
      </c>
      <c r="AD17" s="59">
        <f t="shared" si="14"/>
        <v>48.454944380009763</v>
      </c>
      <c r="AE17" s="53">
        <f t="shared" si="9"/>
        <v>3.712709989577618E-3</v>
      </c>
      <c r="AF17" s="53">
        <f t="shared" si="15"/>
        <v>3.6989767616035971E-3</v>
      </c>
      <c r="AG17" s="52">
        <f t="shared" si="10"/>
        <v>-3.2937295803140723</v>
      </c>
      <c r="AH17" s="59">
        <f t="shared" si="16"/>
        <v>-20.89912491974421</v>
      </c>
      <c r="AI17" s="59">
        <f t="shared" si="17"/>
        <v>0.22668792528519788</v>
      </c>
    </row>
    <row r="18" spans="1:38">
      <c r="A18" s="46"/>
      <c r="B18" s="178"/>
      <c r="C18" s="46" t="s">
        <v>63</v>
      </c>
      <c r="D18" s="180" t="s">
        <v>57</v>
      </c>
      <c r="E18" s="46" t="s">
        <v>54</v>
      </c>
      <c r="F18" s="58">
        <v>17.4545854211778</v>
      </c>
      <c r="G18" s="47">
        <v>65.676000000000002</v>
      </c>
      <c r="H18" s="48">
        <v>117.163747399811</v>
      </c>
      <c r="I18" s="49">
        <f t="shared" si="0"/>
        <v>2.1302499527238363</v>
      </c>
      <c r="J18" s="48">
        <v>2316.6422238312698</v>
      </c>
      <c r="K18" s="49">
        <f t="shared" si="1"/>
        <v>40.642846032127544</v>
      </c>
      <c r="L18" s="48">
        <v>0.31083876253370601</v>
      </c>
      <c r="M18" s="50">
        <f t="shared" si="2"/>
        <v>4.7821348082108615E-3</v>
      </c>
      <c r="N18" s="48">
        <v>92.5761218051165</v>
      </c>
      <c r="O18" s="49">
        <f t="shared" si="3"/>
        <v>1.3038890395086831</v>
      </c>
      <c r="P18" s="48">
        <v>852.962888566282</v>
      </c>
      <c r="Q18" s="49">
        <f t="shared" si="4"/>
        <v>11.526525521165974</v>
      </c>
      <c r="R18" s="48">
        <v>2.2664574805252502</v>
      </c>
      <c r="S18" s="49">
        <f t="shared" si="5"/>
        <v>2.1181845612385515E-2</v>
      </c>
      <c r="T18" s="48">
        <v>614.23394531777205</v>
      </c>
      <c r="U18" s="49">
        <f t="shared" si="6"/>
        <v>5.533639147006955</v>
      </c>
      <c r="V18" s="51">
        <v>0.17055407226593</v>
      </c>
      <c r="W18" s="50">
        <f t="shared" si="7"/>
        <v>1.4830788892689565E-3</v>
      </c>
      <c r="X18" s="48">
        <v>2400.2410329501099</v>
      </c>
      <c r="Y18" s="49">
        <f t="shared" si="8"/>
        <v>11.539620350721682</v>
      </c>
      <c r="Z18" s="52">
        <f t="shared" si="11"/>
        <v>2.263839740409836</v>
      </c>
      <c r="AA18" s="52">
        <f t="shared" si="12"/>
        <v>84.847118121704924</v>
      </c>
      <c r="AB18" s="59">
        <f t="shared" si="13"/>
        <v>357.99711812170489</v>
      </c>
      <c r="AC18" s="59">
        <v>0.01</v>
      </c>
      <c r="AD18" s="59">
        <f t="shared" si="14"/>
        <v>48.46440450780581</v>
      </c>
      <c r="AE18" s="53">
        <f t="shared" si="9"/>
        <v>4.0224511116515775E-3</v>
      </c>
      <c r="AF18" s="53">
        <f t="shared" si="15"/>
        <v>4.0063358216720435E-3</v>
      </c>
      <c r="AG18" s="52">
        <f t="shared" si="10"/>
        <v>-3.266064807649558</v>
      </c>
      <c r="AH18" s="59">
        <f t="shared" si="16"/>
        <v>-20.867649016160684</v>
      </c>
      <c r="AI18" s="59">
        <f t="shared" si="17"/>
        <v>0.19224955799445809</v>
      </c>
    </row>
    <row r="19" spans="1:38">
      <c r="A19" s="46"/>
      <c r="B19" s="178"/>
      <c r="C19" s="46" t="s">
        <v>63</v>
      </c>
      <c r="D19" s="180" t="s">
        <v>57</v>
      </c>
      <c r="E19" s="46" t="s">
        <v>54</v>
      </c>
      <c r="F19" s="58">
        <v>17.4172108968781</v>
      </c>
      <c r="G19" s="47">
        <v>65.475999999999999</v>
      </c>
      <c r="H19" s="48">
        <v>108.792215229142</v>
      </c>
      <c r="I19" s="49">
        <f t="shared" si="0"/>
        <v>1.978040276893491</v>
      </c>
      <c r="J19" s="48">
        <v>3471.2816772493402</v>
      </c>
      <c r="K19" s="49">
        <f t="shared" si="1"/>
        <v>60.899678548234036</v>
      </c>
      <c r="L19" s="48">
        <v>0.28306039124407201</v>
      </c>
      <c r="M19" s="50">
        <f t="shared" si="2"/>
        <v>4.3547752499088002E-3</v>
      </c>
      <c r="N19" s="48">
        <v>77.359481765451704</v>
      </c>
      <c r="O19" s="49">
        <f t="shared" si="3"/>
        <v>1.0895701657105874</v>
      </c>
      <c r="P19" s="48">
        <v>848.78550974585903</v>
      </c>
      <c r="Q19" s="49">
        <f t="shared" si="4"/>
        <v>11.470074456025122</v>
      </c>
      <c r="R19" s="48">
        <v>2.2276956407632098</v>
      </c>
      <c r="S19" s="49">
        <f t="shared" si="5"/>
        <v>2.0819585427693549E-2</v>
      </c>
      <c r="T19" s="48">
        <v>580.87671461689297</v>
      </c>
      <c r="U19" s="49">
        <f t="shared" si="6"/>
        <v>5.2331235551071442</v>
      </c>
      <c r="V19" s="51">
        <v>0.14980483496372399</v>
      </c>
      <c r="W19" s="50">
        <f t="shared" si="7"/>
        <v>1.3026507388149912E-3</v>
      </c>
      <c r="X19" s="48">
        <v>2543.44225636394</v>
      </c>
      <c r="Y19" s="49">
        <f t="shared" si="8"/>
        <v>12.228087770980482</v>
      </c>
      <c r="Z19" s="52">
        <f t="shared" si="11"/>
        <v>2.102720430224382</v>
      </c>
      <c r="AA19" s="52">
        <f t="shared" si="12"/>
        <v>93.612008595793625</v>
      </c>
      <c r="AB19" s="59">
        <f t="shared" si="13"/>
        <v>366.76200859579359</v>
      </c>
      <c r="AC19" s="59">
        <v>0.01</v>
      </c>
      <c r="AD19" s="59">
        <f t="shared" si="14"/>
        <v>48.576368812203455</v>
      </c>
      <c r="AE19" s="53">
        <f t="shared" si="9"/>
        <v>6.0456947669912837E-3</v>
      </c>
      <c r="AF19" s="53">
        <f t="shared" si="15"/>
        <v>6.0093639865846423E-3</v>
      </c>
      <c r="AG19" s="52">
        <f t="shared" si="10"/>
        <v>-3.1260016129381638</v>
      </c>
      <c r="AH19" s="59">
        <f t="shared" si="16"/>
        <v>-20.146453125777633</v>
      </c>
      <c r="AI19" s="59">
        <f t="shared" si="17"/>
        <v>0.1531080639116098</v>
      </c>
      <c r="AK19" s="142"/>
      <c r="AL19" s="142"/>
    </row>
    <row r="20" spans="1:38">
      <c r="A20" s="46"/>
      <c r="B20" s="178"/>
      <c r="C20" s="46" t="s">
        <v>63</v>
      </c>
      <c r="D20" s="180" t="s">
        <v>57</v>
      </c>
      <c r="E20" s="46" t="s">
        <v>54</v>
      </c>
      <c r="F20" s="58">
        <v>17.373010473798001</v>
      </c>
      <c r="G20" s="47">
        <v>65.430000000000007</v>
      </c>
      <c r="H20" s="48">
        <v>119.312459421537</v>
      </c>
      <c r="I20" s="49">
        <f t="shared" si="0"/>
        <v>2.1693174440279455</v>
      </c>
      <c r="J20" s="48">
        <v>3380.1162328420501</v>
      </c>
      <c r="K20" s="49">
        <f t="shared" si="1"/>
        <v>59.300284786702633</v>
      </c>
      <c r="L20" s="48">
        <v>0.31041228818754202</v>
      </c>
      <c r="M20" s="50">
        <f t="shared" si="2"/>
        <v>4.7755736644237235E-3</v>
      </c>
      <c r="N20" s="48">
        <v>80.359473637498994</v>
      </c>
      <c r="O20" s="49">
        <f t="shared" si="3"/>
        <v>1.1318235723591408</v>
      </c>
      <c r="P20" s="48">
        <v>837.17130825817003</v>
      </c>
      <c r="Q20" s="49">
        <f t="shared" si="4"/>
        <v>11.313125787272568</v>
      </c>
      <c r="R20" s="48">
        <v>2.2200408007871602</v>
      </c>
      <c r="S20" s="49">
        <f t="shared" si="5"/>
        <v>2.0748044867169722E-2</v>
      </c>
      <c r="T20" s="48">
        <v>608.48806851762004</v>
      </c>
      <c r="U20" s="49">
        <f t="shared" si="6"/>
        <v>5.4818744911497301</v>
      </c>
      <c r="V20" s="51">
        <v>0.16291592325848001</v>
      </c>
      <c r="W20" s="50">
        <f t="shared" si="7"/>
        <v>1.4166602022476521E-3</v>
      </c>
      <c r="X20" s="48">
        <v>2438.5842987886799</v>
      </c>
      <c r="Y20" s="49">
        <f t="shared" si="8"/>
        <v>11.723962974945577</v>
      </c>
      <c r="Z20" s="52">
        <f t="shared" si="11"/>
        <v>2.0902164241980117</v>
      </c>
      <c r="AA20" s="52">
        <f t="shared" si="12"/>
        <v>94.292226523628173</v>
      </c>
      <c r="AB20" s="59">
        <f t="shared" si="13"/>
        <v>367.44222652362816</v>
      </c>
      <c r="AC20" s="59">
        <v>0.01</v>
      </c>
      <c r="AD20" s="59">
        <f t="shared" si="14"/>
        <v>48.58505324560678</v>
      </c>
      <c r="AE20" s="53">
        <f t="shared" si="9"/>
        <v>5.8910568716730406E-3</v>
      </c>
      <c r="AF20" s="53">
        <f t="shared" si="15"/>
        <v>5.8565555697395917E-3</v>
      </c>
      <c r="AG20" s="52">
        <f t="shared" si="10"/>
        <v>-3.1350127148067157</v>
      </c>
      <c r="AH20" s="59">
        <f t="shared" si="16"/>
        <v>-20.052718711458859</v>
      </c>
      <c r="AI20" s="59">
        <f t="shared" si="17"/>
        <v>0.18935167299536815</v>
      </c>
      <c r="AK20" s="142"/>
      <c r="AL20" s="142"/>
    </row>
    <row r="21" spans="1:38">
      <c r="A21" s="46"/>
      <c r="B21" s="178"/>
      <c r="C21" s="46" t="s">
        <v>120</v>
      </c>
      <c r="D21" s="180" t="s">
        <v>57</v>
      </c>
      <c r="E21" s="46" t="s">
        <v>54</v>
      </c>
      <c r="F21" s="58">
        <v>17.377292826169302</v>
      </c>
      <c r="G21" s="47">
        <v>65.084999999999994</v>
      </c>
      <c r="H21" s="48">
        <v>114.48256715567</v>
      </c>
      <c r="I21" s="49">
        <f t="shared" si="0"/>
        <v>2.0815012210121817</v>
      </c>
      <c r="J21" s="48">
        <v>4120.2625449381603</v>
      </c>
      <c r="K21" s="49">
        <f t="shared" si="1"/>
        <v>72.285307805932632</v>
      </c>
      <c r="L21" s="48">
        <v>0.21107125377234201</v>
      </c>
      <c r="M21" s="50">
        <f t="shared" si="2"/>
        <v>3.247250058036031E-3</v>
      </c>
      <c r="N21" s="48">
        <v>78.228610217223405</v>
      </c>
      <c r="O21" s="49">
        <f t="shared" si="3"/>
        <v>1.1018114115101889</v>
      </c>
      <c r="P21" s="48">
        <v>833.33134517538303</v>
      </c>
      <c r="Q21" s="49">
        <f t="shared" si="4"/>
        <v>11.261234394261933</v>
      </c>
      <c r="R21" s="48">
        <v>2.1172740024793502</v>
      </c>
      <c r="S21" s="49">
        <f t="shared" si="5"/>
        <v>1.978760749980701E-2</v>
      </c>
      <c r="T21" s="48">
        <v>610.95902788563706</v>
      </c>
      <c r="U21" s="49">
        <f t="shared" si="6"/>
        <v>5.504135386357091</v>
      </c>
      <c r="V21" s="51">
        <v>0.13810415954309099</v>
      </c>
      <c r="W21" s="50">
        <f t="shared" si="7"/>
        <v>1.200905735157313E-3</v>
      </c>
      <c r="X21" s="48">
        <v>2387.4324299365298</v>
      </c>
      <c r="Y21" s="49">
        <f t="shared" si="8"/>
        <v>11.478040528541008</v>
      </c>
      <c r="Z21" s="52">
        <f t="shared" si="11"/>
        <v>2.0364695965185327</v>
      </c>
      <c r="AA21" s="52">
        <f t="shared" si="12"/>
        <v>97.216053949391821</v>
      </c>
      <c r="AB21" s="59">
        <f t="shared" si="13"/>
        <v>370.36605394939181</v>
      </c>
      <c r="AC21" s="59">
        <v>0.01</v>
      </c>
      <c r="AD21" s="59">
        <f t="shared" si="14"/>
        <v>48.622374541552674</v>
      </c>
      <c r="AE21" s="53">
        <f t="shared" si="9"/>
        <v>7.2190904315673687E-3</v>
      </c>
      <c r="AF21" s="53">
        <f t="shared" si="15"/>
        <v>7.1673486931966056E-3</v>
      </c>
      <c r="AG21" s="52">
        <f t="shared" si="10"/>
        <v>-3.0651064878473426</v>
      </c>
      <c r="AH21" s="59">
        <f t="shared" si="16"/>
        <v>-19.870259030440238</v>
      </c>
      <c r="AI21" s="59">
        <f t="shared" si="17"/>
        <v>0.12709937955154871</v>
      </c>
    </row>
    <row r="22" spans="1:38">
      <c r="A22" s="46"/>
      <c r="B22" s="178"/>
      <c r="C22" s="46" t="s">
        <v>63</v>
      </c>
      <c r="D22" s="46" t="s">
        <v>58</v>
      </c>
      <c r="E22" s="46" t="s">
        <v>54</v>
      </c>
      <c r="F22" s="58">
        <v>16.2972742459751</v>
      </c>
      <c r="G22" s="47">
        <v>64.228999999999999</v>
      </c>
      <c r="H22" s="48">
        <v>145.49307334964101</v>
      </c>
      <c r="I22" s="49">
        <f t="shared" si="0"/>
        <v>2.6453286063571091</v>
      </c>
      <c r="J22" s="48">
        <v>7322.8087724531797</v>
      </c>
      <c r="K22" s="49">
        <f t="shared" si="1"/>
        <v>128.47032934128384</v>
      </c>
      <c r="L22" s="48">
        <v>0.26950455622122299</v>
      </c>
      <c r="M22" s="50">
        <f t="shared" si="2"/>
        <v>4.1462239418649689E-3</v>
      </c>
      <c r="N22" s="48">
        <v>31.169846053469499</v>
      </c>
      <c r="O22" s="49">
        <f t="shared" si="3"/>
        <v>0.43901191624604929</v>
      </c>
      <c r="P22" s="48">
        <v>1251.56455886812</v>
      </c>
      <c r="Q22" s="49">
        <f t="shared" si="4"/>
        <v>16.91303457929892</v>
      </c>
      <c r="R22" s="48">
        <v>1.73940943431128</v>
      </c>
      <c r="S22" s="49">
        <f t="shared" si="5"/>
        <v>1.6256162937488598E-2</v>
      </c>
      <c r="T22" s="48">
        <v>303.47765489756199</v>
      </c>
      <c r="U22" s="49">
        <f t="shared" si="6"/>
        <v>2.734032927005063</v>
      </c>
      <c r="V22" s="51">
        <v>6.3665559334599706E-2</v>
      </c>
      <c r="W22" s="50">
        <f t="shared" si="7"/>
        <v>5.5361355943130174E-4</v>
      </c>
      <c r="X22" s="48">
        <v>9859.7774657897407</v>
      </c>
      <c r="Y22" s="49">
        <f t="shared" si="8"/>
        <v>47.402776277835294</v>
      </c>
      <c r="Z22" s="52">
        <f t="shared" si="11"/>
        <v>1.7479674763609527</v>
      </c>
      <c r="AA22" s="52">
        <f t="shared" si="12"/>
        <v>112.91056928596417</v>
      </c>
      <c r="AB22" s="59">
        <f t="shared" si="13"/>
        <v>386.06056928596416</v>
      </c>
      <c r="AC22" s="59">
        <v>0.01</v>
      </c>
      <c r="AD22" s="59">
        <f t="shared" si="14"/>
        <v>48.822507499656638</v>
      </c>
      <c r="AE22" s="53">
        <f t="shared" si="9"/>
        <v>1.3001247734175296E-2</v>
      </c>
      <c r="AF22" s="53">
        <f t="shared" si="15"/>
        <v>1.2834384718928791E-2</v>
      </c>
      <c r="AG22" s="52">
        <f t="shared" si="10"/>
        <v>-2.8641204050513958</v>
      </c>
      <c r="AH22" s="59">
        <f t="shared" si="16"/>
        <v>-18.625766030697228</v>
      </c>
      <c r="AI22" s="59">
        <f t="shared" si="17"/>
        <v>0.12137649708358467</v>
      </c>
    </row>
    <row r="23" spans="1:38">
      <c r="A23" s="46"/>
      <c r="B23" s="178"/>
      <c r="C23" s="46" t="s">
        <v>63</v>
      </c>
      <c r="D23" s="46" t="s">
        <v>58</v>
      </c>
      <c r="E23" s="46" t="s">
        <v>54</v>
      </c>
      <c r="F23" s="58">
        <v>16.4342343692404</v>
      </c>
      <c r="G23" s="47">
        <v>63.997</v>
      </c>
      <c r="H23" s="48">
        <v>131.27944145915501</v>
      </c>
      <c r="I23" s="49">
        <f t="shared" si="0"/>
        <v>2.3868989356210002</v>
      </c>
      <c r="J23" s="48">
        <v>9842.3089211067108</v>
      </c>
      <c r="K23" s="49">
        <f t="shared" si="1"/>
        <v>172.67208633520545</v>
      </c>
      <c r="L23" s="48">
        <v>0.37977677787091502</v>
      </c>
      <c r="M23" s="50">
        <f t="shared" si="2"/>
        <v>5.842719659552539E-3</v>
      </c>
      <c r="N23" s="48">
        <v>23.389374411026701</v>
      </c>
      <c r="O23" s="49">
        <f t="shared" si="3"/>
        <v>0.3294278086060099</v>
      </c>
      <c r="P23" s="48">
        <v>1140.7071283831201</v>
      </c>
      <c r="Q23" s="49">
        <f t="shared" si="4"/>
        <v>15.414961194366487</v>
      </c>
      <c r="R23" s="48">
        <v>1.6808553828613499</v>
      </c>
      <c r="S23" s="49">
        <f t="shared" si="5"/>
        <v>1.5708928811788318E-2</v>
      </c>
      <c r="T23" s="48">
        <v>300.53053729752401</v>
      </c>
      <c r="U23" s="49">
        <f t="shared" si="6"/>
        <v>2.7074823179957117</v>
      </c>
      <c r="V23" s="51">
        <v>5.7693349276347901E-2</v>
      </c>
      <c r="W23" s="50">
        <f t="shared" si="7"/>
        <v>5.0168129805519914E-4</v>
      </c>
      <c r="X23" s="48">
        <v>8049.2698711350104</v>
      </c>
      <c r="Y23" s="49">
        <f t="shared" si="8"/>
        <v>38.698412841995243</v>
      </c>
      <c r="Z23" s="52">
        <f t="shared" si="11"/>
        <v>1.5863736989300348</v>
      </c>
      <c r="AA23" s="52">
        <f t="shared" si="12"/>
        <v>121.70127077820611</v>
      </c>
      <c r="AB23" s="59">
        <f t="shared" si="13"/>
        <v>394.85127077820607</v>
      </c>
      <c r="AC23" s="59">
        <v>0.01</v>
      </c>
      <c r="AD23" s="59">
        <f t="shared" si="14"/>
        <v>48.934467314666506</v>
      </c>
      <c r="AE23" s="53">
        <f t="shared" si="9"/>
        <v>1.7537830854240596E-2</v>
      </c>
      <c r="AF23" s="53">
        <f t="shared" si="15"/>
        <v>1.723555657829182E-2</v>
      </c>
      <c r="AG23" s="52">
        <f t="shared" si="10"/>
        <v>-2.7624760252825453</v>
      </c>
      <c r="AH23" s="59">
        <f t="shared" si="16"/>
        <v>-17.964035474881491</v>
      </c>
      <c r="AI23" s="59">
        <f t="shared" si="17"/>
        <v>0.12626905277427625</v>
      </c>
    </row>
    <row r="24" spans="1:38">
      <c r="A24" s="46"/>
      <c r="B24" s="182"/>
      <c r="C24" s="46" t="s">
        <v>63</v>
      </c>
      <c r="D24" s="46" t="s">
        <v>58</v>
      </c>
      <c r="E24" s="46" t="s">
        <v>54</v>
      </c>
      <c r="F24" s="58">
        <v>16.568513437660599</v>
      </c>
      <c r="G24" s="47">
        <v>64.733999999999995</v>
      </c>
      <c r="H24" s="48">
        <v>119.74078322131101</v>
      </c>
      <c r="I24" s="49">
        <f t="shared" si="0"/>
        <v>2.1771051494783817</v>
      </c>
      <c r="J24" s="48">
        <v>4475.5695018337601</v>
      </c>
      <c r="K24" s="49">
        <f t="shared" si="1"/>
        <v>78.518763190065968</v>
      </c>
      <c r="L24" s="48">
        <v>0.23159286259456599</v>
      </c>
      <c r="M24" s="50">
        <f t="shared" si="2"/>
        <v>3.5629671168394767E-3</v>
      </c>
      <c r="N24" s="48">
        <v>54.368820036679701</v>
      </c>
      <c r="O24" s="49">
        <f t="shared" si="3"/>
        <v>0.76575802868562959</v>
      </c>
      <c r="P24" s="48">
        <v>1010.1485934444499</v>
      </c>
      <c r="Q24" s="49">
        <f t="shared" si="4"/>
        <v>13.650656668168242</v>
      </c>
      <c r="R24" s="48">
        <v>1.9080138802617601</v>
      </c>
      <c r="S24" s="49">
        <f t="shared" si="5"/>
        <v>1.7831905423007104E-2</v>
      </c>
      <c r="T24" s="48">
        <v>422.685643606356</v>
      </c>
      <c r="U24" s="49">
        <f t="shared" si="6"/>
        <v>3.8079787712284325</v>
      </c>
      <c r="V24" s="51">
        <v>9.8295354650563493E-2</v>
      </c>
      <c r="W24" s="50">
        <f t="shared" si="7"/>
        <v>8.5474221435272602E-4</v>
      </c>
      <c r="X24" s="48">
        <v>8406.4703897795607</v>
      </c>
      <c r="Y24" s="49">
        <f t="shared" si="8"/>
        <v>40.415723027786349</v>
      </c>
      <c r="Z24" s="52">
        <f t="shared" si="11"/>
        <v>1.9965734136740279</v>
      </c>
      <c r="AA24" s="52">
        <f t="shared" si="12"/>
        <v>99.38640629613289</v>
      </c>
      <c r="AB24" s="59">
        <f t="shared" si="13"/>
        <v>372.5364062961329</v>
      </c>
      <c r="AC24" s="59">
        <v>0.01</v>
      </c>
      <c r="AD24" s="59">
        <f t="shared" si="14"/>
        <v>48.650070228009028</v>
      </c>
      <c r="AE24" s="53">
        <f t="shared" si="9"/>
        <v>7.8841406484294E-3</v>
      </c>
      <c r="AF24" s="53">
        <f t="shared" si="15"/>
        <v>7.8224672166754029E-3</v>
      </c>
      <c r="AG24" s="52">
        <f t="shared" si="10"/>
        <v>-3.0349161589702875</v>
      </c>
      <c r="AH24" s="59">
        <f t="shared" si="16"/>
        <v>-19.694688803993351</v>
      </c>
      <c r="AI24" s="59">
        <f t="shared" si="17"/>
        <v>0.12350423459513848</v>
      </c>
    </row>
    <row r="25" spans="1:38">
      <c r="A25" s="46"/>
      <c r="B25" s="182"/>
      <c r="C25" s="46" t="s">
        <v>65</v>
      </c>
      <c r="D25" s="46" t="s">
        <v>58</v>
      </c>
      <c r="E25" s="46" t="s">
        <v>54</v>
      </c>
      <c r="F25" s="58">
        <v>16.823012411571799</v>
      </c>
      <c r="G25" s="47">
        <v>65.537999999999997</v>
      </c>
      <c r="H25" s="48">
        <v>121.021804612118</v>
      </c>
      <c r="I25" s="49">
        <f t="shared" si="0"/>
        <v>2.2003964474930546</v>
      </c>
      <c r="J25" s="48">
        <v>2443.4866310397401</v>
      </c>
      <c r="K25" s="49">
        <f t="shared" si="1"/>
        <v>42.868186509469126</v>
      </c>
      <c r="L25" s="48">
        <v>0.24227842772966801</v>
      </c>
      <c r="M25" s="50">
        <f t="shared" si="2"/>
        <v>3.7273604266102769E-3</v>
      </c>
      <c r="N25" s="48">
        <v>97.790119581451407</v>
      </c>
      <c r="O25" s="49">
        <f t="shared" si="3"/>
        <v>1.3773256279077664</v>
      </c>
      <c r="P25" s="48">
        <v>851.34915788718399</v>
      </c>
      <c r="Q25" s="49">
        <f t="shared" si="4"/>
        <v>11.504718349826812</v>
      </c>
      <c r="R25" s="48">
        <v>2.2268011992688601</v>
      </c>
      <c r="S25" s="49">
        <f t="shared" si="5"/>
        <v>2.0811226161391215E-2</v>
      </c>
      <c r="T25" s="48">
        <v>545.97078769273105</v>
      </c>
      <c r="U25" s="49">
        <f t="shared" si="6"/>
        <v>4.9186557449795592</v>
      </c>
      <c r="V25" s="51">
        <v>0.15702274674498501</v>
      </c>
      <c r="W25" s="50">
        <f t="shared" si="7"/>
        <v>1.3654151890868261E-3</v>
      </c>
      <c r="X25" s="48">
        <v>5860.7872713101096</v>
      </c>
      <c r="Y25" s="49">
        <f t="shared" si="8"/>
        <v>28.176861881298603</v>
      </c>
      <c r="Z25" s="52">
        <f t="shared" si="11"/>
        <v>2.2583669300945544</v>
      </c>
      <c r="AA25" s="52">
        <f t="shared" si="12"/>
        <v>85.144839002856244</v>
      </c>
      <c r="AB25" s="59">
        <f t="shared" si="13"/>
        <v>358.29483900285624</v>
      </c>
      <c r="AC25" s="59">
        <v>0.01</v>
      </c>
      <c r="AD25" s="59">
        <f t="shared" si="14"/>
        <v>48.468209577527652</v>
      </c>
      <c r="AE25" s="53">
        <f t="shared" si="9"/>
        <v>4.2516282509620267E-3</v>
      </c>
      <c r="AF25" s="53">
        <f t="shared" si="15"/>
        <v>4.233628436696492E-3</v>
      </c>
      <c r="AG25" s="52">
        <f t="shared" si="10"/>
        <v>-3.246919773140204</v>
      </c>
      <c r="AH25" s="59">
        <f t="shared" si="16"/>
        <v>-20.871122957074057</v>
      </c>
      <c r="AI25" s="59">
        <f t="shared" si="17"/>
        <v>0.16233857047309641</v>
      </c>
    </row>
    <row r="26" spans="1:38">
      <c r="A26" s="46"/>
      <c r="B26" s="182"/>
      <c r="C26" s="46" t="s">
        <v>63</v>
      </c>
      <c r="D26" s="46" t="s">
        <v>60</v>
      </c>
      <c r="E26" s="46" t="s">
        <v>54</v>
      </c>
      <c r="F26" s="58">
        <v>16.555714763419498</v>
      </c>
      <c r="G26" s="47">
        <v>64.822999999999993</v>
      </c>
      <c r="H26" s="48">
        <v>131.930594668152</v>
      </c>
      <c r="I26" s="49">
        <f t="shared" si="0"/>
        <v>2.3987380848754909</v>
      </c>
      <c r="J26" s="48">
        <v>2262.5628885109099</v>
      </c>
      <c r="K26" s="49">
        <f t="shared" si="1"/>
        <v>39.6940857633493</v>
      </c>
      <c r="L26" s="48">
        <v>0.392872766332102</v>
      </c>
      <c r="M26" s="50">
        <f t="shared" si="2"/>
        <v>6.0441964051092612E-3</v>
      </c>
      <c r="N26" s="48">
        <v>93.253038683052594</v>
      </c>
      <c r="O26" s="49">
        <f t="shared" si="3"/>
        <v>1.3134230800429942</v>
      </c>
      <c r="P26" s="48">
        <v>779.67521735795594</v>
      </c>
      <c r="Q26" s="49">
        <f t="shared" si="4"/>
        <v>10.536151585918324</v>
      </c>
      <c r="R26" s="48">
        <v>2.0776796908594601</v>
      </c>
      <c r="S26" s="49">
        <f t="shared" si="5"/>
        <v>1.9417567204294019E-2</v>
      </c>
      <c r="T26" s="48">
        <v>587.69615963726505</v>
      </c>
      <c r="U26" s="49">
        <f t="shared" si="6"/>
        <v>5.2945599967321177</v>
      </c>
      <c r="V26" s="51">
        <v>0.16591594271538301</v>
      </c>
      <c r="W26" s="50">
        <f t="shared" si="7"/>
        <v>1.4427473279598523E-3</v>
      </c>
      <c r="X26" s="48">
        <v>4929.8574819145997</v>
      </c>
      <c r="Y26" s="49">
        <f t="shared" si="8"/>
        <v>23.701237893820192</v>
      </c>
      <c r="Z26" s="52">
        <f t="shared" si="11"/>
        <v>2.2337097943628872</v>
      </c>
      <c r="AA26" s="52">
        <f t="shared" si="12"/>
        <v>86.486187186658938</v>
      </c>
      <c r="AB26" s="59">
        <f t="shared" si="13"/>
        <v>359.6361871866589</v>
      </c>
      <c r="AC26" s="59">
        <v>0.01</v>
      </c>
      <c r="AD26" s="59">
        <f t="shared" si="14"/>
        <v>48.485351178485658</v>
      </c>
      <c r="AE26" s="53">
        <f t="shared" si="9"/>
        <v>3.9802470953484177E-3</v>
      </c>
      <c r="AF26" s="53">
        <f t="shared" si="15"/>
        <v>3.9644675349577987E-3</v>
      </c>
      <c r="AG26" s="52">
        <f t="shared" si="10"/>
        <v>-3.2698649269602664</v>
      </c>
      <c r="AH26" s="59">
        <f t="shared" si="16"/>
        <v>-20.669087374237542</v>
      </c>
      <c r="AI26" s="59">
        <f t="shared" si="17"/>
        <v>0.24580784101048891</v>
      </c>
    </row>
    <row r="27" spans="1:38">
      <c r="A27" s="46"/>
      <c r="B27" s="182"/>
      <c r="C27" s="46" t="s">
        <v>63</v>
      </c>
      <c r="D27" s="46" t="s">
        <v>60</v>
      </c>
      <c r="E27" s="46" t="s">
        <v>54</v>
      </c>
      <c r="F27" s="58">
        <v>16.573803881722501</v>
      </c>
      <c r="G27" s="47">
        <v>64.777000000000001</v>
      </c>
      <c r="H27" s="48">
        <v>147.373229019571</v>
      </c>
      <c r="I27" s="49">
        <f t="shared" si="0"/>
        <v>2.6795132549012908</v>
      </c>
      <c r="J27" s="48">
        <v>1140.56659269025</v>
      </c>
      <c r="K27" s="49">
        <f t="shared" si="1"/>
        <v>20.009940222635965</v>
      </c>
      <c r="L27" s="48">
        <v>0.33432429039223999</v>
      </c>
      <c r="M27" s="50">
        <f t="shared" si="2"/>
        <v>5.1434506214190767E-3</v>
      </c>
      <c r="N27" s="48">
        <v>131.85847891946199</v>
      </c>
      <c r="O27" s="49">
        <f t="shared" si="3"/>
        <v>1.8571616749219999</v>
      </c>
      <c r="P27" s="48">
        <v>770.07039671423502</v>
      </c>
      <c r="Q27" s="49">
        <f t="shared" si="4"/>
        <v>10.406356712354528</v>
      </c>
      <c r="R27" s="48">
        <v>2.4763619737934701</v>
      </c>
      <c r="S27" s="49">
        <f t="shared" si="5"/>
        <v>2.3143569848537104E-2</v>
      </c>
      <c r="T27" s="48">
        <v>623.34338270216097</v>
      </c>
      <c r="U27" s="49">
        <f t="shared" si="6"/>
        <v>5.6157061504699186</v>
      </c>
      <c r="V27" s="51">
        <v>0.240924049486926</v>
      </c>
      <c r="W27" s="50">
        <f t="shared" si="7"/>
        <v>2.0949917346689217E-3</v>
      </c>
      <c r="X27" s="48">
        <v>3572.2461735071902</v>
      </c>
      <c r="Y27" s="49">
        <f t="shared" si="8"/>
        <v>17.174260449553799</v>
      </c>
      <c r="Z27" s="52">
        <f t="shared" si="11"/>
        <v>2.4974650538325864</v>
      </c>
      <c r="AA27" s="52">
        <f t="shared" si="12"/>
        <v>72.137901071507315</v>
      </c>
      <c r="AB27" s="59">
        <f t="shared" si="13"/>
        <v>345.28790107150729</v>
      </c>
      <c r="AC27" s="59">
        <v>0.01</v>
      </c>
      <c r="AD27" s="59">
        <f t="shared" si="14"/>
        <v>48.301837942530199</v>
      </c>
      <c r="AE27" s="53">
        <f t="shared" si="9"/>
        <v>2.007882604120811E-3</v>
      </c>
      <c r="AF27" s="53">
        <f t="shared" si="15"/>
        <v>2.0038590903122639E-3</v>
      </c>
      <c r="AG27" s="52">
        <f t="shared" si="10"/>
        <v>-3.5056015650892478</v>
      </c>
      <c r="AH27" s="59">
        <f t="shared" si="16"/>
        <v>-21.930805563006444</v>
      </c>
      <c r="AI27" s="59">
        <f t="shared" si="17"/>
        <v>0.3001597046853135</v>
      </c>
    </row>
    <row r="28" spans="1:38">
      <c r="A28" s="46"/>
      <c r="B28" s="182"/>
      <c r="C28" s="46" t="s">
        <v>63</v>
      </c>
      <c r="D28" s="46" t="s">
        <v>60</v>
      </c>
      <c r="E28" s="46" t="s">
        <v>55</v>
      </c>
      <c r="F28" s="58">
        <v>16.672610041148697</v>
      </c>
      <c r="G28" s="47">
        <v>64.774000000000001</v>
      </c>
      <c r="H28" s="48">
        <v>137.99081317607801</v>
      </c>
      <c r="I28" s="49">
        <f t="shared" si="0"/>
        <v>2.5089238759286911</v>
      </c>
      <c r="J28" s="48">
        <v>1435.9108696386099</v>
      </c>
      <c r="K28" s="49">
        <f t="shared" si="1"/>
        <v>25.191418765589649</v>
      </c>
      <c r="L28" s="48">
        <v>0.192337802156479</v>
      </c>
      <c r="M28" s="50">
        <f t="shared" si="2"/>
        <v>2.9590431100996769E-3</v>
      </c>
      <c r="N28" s="48">
        <v>112.266855270359</v>
      </c>
      <c r="O28" s="49">
        <f t="shared" si="3"/>
        <v>1.5812233136670282</v>
      </c>
      <c r="P28" s="48">
        <v>806.24603610753695</v>
      </c>
      <c r="Q28" s="49">
        <f t="shared" si="4"/>
        <v>10.895216704155905</v>
      </c>
      <c r="R28" s="48">
        <v>2.2748694240186902</v>
      </c>
      <c r="S28" s="49">
        <f t="shared" si="5"/>
        <v>2.1260461906716731E-2</v>
      </c>
      <c r="T28" s="48">
        <v>637.13574953316504</v>
      </c>
      <c r="U28" s="49">
        <f t="shared" si="6"/>
        <v>5.7399617075059917</v>
      </c>
      <c r="V28" s="51">
        <v>0.202773650973746</v>
      </c>
      <c r="W28" s="50">
        <f t="shared" si="7"/>
        <v>1.7632491389021391E-3</v>
      </c>
      <c r="X28" s="48">
        <v>3143.1155206530798</v>
      </c>
      <c r="Y28" s="49">
        <f t="shared" si="8"/>
        <v>15.111132310832115</v>
      </c>
      <c r="Z28" s="52">
        <f t="shared" si="11"/>
        <v>2.4190953051544004</v>
      </c>
      <c r="AA28" s="52">
        <f t="shared" si="12"/>
        <v>76.40121539960063</v>
      </c>
      <c r="AB28" s="59">
        <f t="shared" si="13"/>
        <v>349.55121539960061</v>
      </c>
      <c r="AC28" s="59">
        <v>0.01</v>
      </c>
      <c r="AD28" s="59">
        <f t="shared" si="14"/>
        <v>48.356400992589506</v>
      </c>
      <c r="AE28" s="53">
        <f t="shared" si="9"/>
        <v>2.5279312992301343E-3</v>
      </c>
      <c r="AF28" s="53">
        <f t="shared" si="15"/>
        <v>2.5215569764266334E-3</v>
      </c>
      <c r="AG28" s="52">
        <f t="shared" si="10"/>
        <v>-3.4261525307171863</v>
      </c>
      <c r="AH28" s="59">
        <f t="shared" si="16"/>
        <v>-21.559861565857346</v>
      </c>
      <c r="AI28" s="59">
        <f t="shared" si="17"/>
        <v>0.26877695979949578</v>
      </c>
    </row>
    <row r="29" spans="1:38">
      <c r="A29" s="46"/>
      <c r="B29" s="182"/>
      <c r="C29" s="46" t="s">
        <v>63</v>
      </c>
      <c r="D29" s="46" t="s">
        <v>60</v>
      </c>
      <c r="E29" s="46" t="s">
        <v>55</v>
      </c>
      <c r="F29" s="58">
        <v>16.9903160053642</v>
      </c>
      <c r="G29" s="47">
        <v>64.822000000000003</v>
      </c>
      <c r="H29" s="48">
        <v>103.057715768482</v>
      </c>
      <c r="I29" s="49">
        <f t="shared" si="0"/>
        <v>1.8737766503360362</v>
      </c>
      <c r="J29" s="48">
        <v>4183.6567568155397</v>
      </c>
      <c r="K29" s="49">
        <f t="shared" si="1"/>
        <v>73.397486961676137</v>
      </c>
      <c r="L29" s="48">
        <v>0.269836393799682</v>
      </c>
      <c r="M29" s="50">
        <f t="shared" si="2"/>
        <v>4.1513291353797227E-3</v>
      </c>
      <c r="N29" s="48">
        <v>63.688115340279801</v>
      </c>
      <c r="O29" s="49">
        <f t="shared" si="3"/>
        <v>0.89701570901802541</v>
      </c>
      <c r="P29" s="48">
        <v>963.67623530553999</v>
      </c>
      <c r="Q29" s="49">
        <f t="shared" si="4"/>
        <v>13.022651828453244</v>
      </c>
      <c r="R29" s="48">
        <v>1.9752770740377901</v>
      </c>
      <c r="S29" s="49">
        <f t="shared" si="5"/>
        <v>1.8460533402222336E-2</v>
      </c>
      <c r="T29" s="48">
        <v>525.05701709756602</v>
      </c>
      <c r="U29" s="49">
        <f t="shared" si="6"/>
        <v>4.7302433972753697</v>
      </c>
      <c r="V29" s="51">
        <v>0.122246170979456</v>
      </c>
      <c r="W29" s="50">
        <f t="shared" si="7"/>
        <v>1.0630101824300523E-3</v>
      </c>
      <c r="X29" s="48">
        <v>5746.3231935562098</v>
      </c>
      <c r="Y29" s="49">
        <f t="shared" si="8"/>
        <v>27.626553815174084</v>
      </c>
      <c r="Z29" s="52">
        <f t="shared" si="11"/>
        <v>2.0519947149328788</v>
      </c>
      <c r="AA29" s="52">
        <f t="shared" si="12"/>
        <v>96.371487507651395</v>
      </c>
      <c r="AB29" s="59">
        <f t="shared" si="13"/>
        <v>369.52148750765139</v>
      </c>
      <c r="AC29" s="59">
        <v>0.01</v>
      </c>
      <c r="AD29" s="59">
        <f t="shared" si="14"/>
        <v>48.611595301244144</v>
      </c>
      <c r="AE29" s="53">
        <f t="shared" si="9"/>
        <v>7.359903508853397E-3</v>
      </c>
      <c r="AF29" s="53">
        <f t="shared" si="15"/>
        <v>7.3061310890152114E-3</v>
      </c>
      <c r="AG29" s="52">
        <f t="shared" si="10"/>
        <v>-3.0583663139183659</v>
      </c>
      <c r="AH29" s="59">
        <f t="shared" si="16"/>
        <v>-19.976305956122225</v>
      </c>
      <c r="AI29" s="59">
        <f t="shared" si="17"/>
        <v>9.1341341963943279E-2</v>
      </c>
    </row>
    <row r="30" spans="1:38">
      <c r="A30" s="46"/>
      <c r="B30" s="182"/>
      <c r="C30" s="46" t="s">
        <v>63</v>
      </c>
      <c r="D30" s="46" t="s">
        <v>60</v>
      </c>
      <c r="E30" s="46" t="s">
        <v>54</v>
      </c>
      <c r="F30" s="58">
        <v>16.867698335603901</v>
      </c>
      <c r="G30" s="47">
        <v>63.59</v>
      </c>
      <c r="H30" s="48">
        <v>88.205175601983697</v>
      </c>
      <c r="I30" s="49">
        <f t="shared" si="0"/>
        <v>1.6037304654906126</v>
      </c>
      <c r="J30" s="48">
        <v>13365.918562393599</v>
      </c>
      <c r="K30" s="49">
        <f t="shared" si="1"/>
        <v>234.48979934023859</v>
      </c>
      <c r="L30" s="48">
        <v>0.32984230763611899</v>
      </c>
      <c r="M30" s="50">
        <f t="shared" si="2"/>
        <v>5.0744970405556767E-3</v>
      </c>
      <c r="N30" s="48">
        <v>79.234150949108496</v>
      </c>
      <c r="O30" s="49">
        <f t="shared" si="3"/>
        <v>1.1159739570296972</v>
      </c>
      <c r="P30" s="48">
        <v>1198.28622159521</v>
      </c>
      <c r="Q30" s="49">
        <f t="shared" si="4"/>
        <v>16.19305704858392</v>
      </c>
      <c r="R30" s="48">
        <v>1.8973660142853801</v>
      </c>
      <c r="S30" s="49">
        <f t="shared" si="5"/>
        <v>1.7732392656872712E-2</v>
      </c>
      <c r="T30" s="48">
        <v>448.42602411482102</v>
      </c>
      <c r="U30" s="49">
        <f t="shared" si="6"/>
        <v>4.0398740911245135</v>
      </c>
      <c r="V30" s="51">
        <v>0.11562378247222201</v>
      </c>
      <c r="W30" s="50">
        <f t="shared" si="7"/>
        <v>1.005424195410626E-3</v>
      </c>
      <c r="X30" s="48">
        <v>3976.7512975750601</v>
      </c>
      <c r="Y30" s="49">
        <f t="shared" si="8"/>
        <v>19.11899662295702</v>
      </c>
      <c r="Z30" s="52">
        <f t="shared" si="11"/>
        <v>1.7554689809879735</v>
      </c>
      <c r="AA30" s="52">
        <f t="shared" si="12"/>
        <v>112.50248743425423</v>
      </c>
      <c r="AB30" s="59">
        <f t="shared" si="13"/>
        <v>385.65248743425423</v>
      </c>
      <c r="AC30" s="129">
        <v>0.01</v>
      </c>
      <c r="AD30" s="129">
        <f t="shared" si="14"/>
        <v>48.817307803540736</v>
      </c>
      <c r="AE30" s="130">
        <f t="shared" si="9"/>
        <v>2.3968921146588312E-2</v>
      </c>
      <c r="AF30" s="130">
        <f t="shared" si="15"/>
        <v>2.3407859996130678E-2</v>
      </c>
      <c r="AG30" s="129">
        <f t="shared" si="10"/>
        <v>-2.6552940742138214</v>
      </c>
      <c r="AH30" s="129">
        <f t="shared" si="16"/>
        <v>-19.084532429673622</v>
      </c>
      <c r="AI30" s="129">
        <f t="shared" si="17"/>
        <v>-0.30617087070206495</v>
      </c>
    </row>
    <row r="31" spans="1:38">
      <c r="A31" s="183"/>
      <c r="B31" s="184"/>
      <c r="C31" s="183"/>
      <c r="D31" s="183"/>
      <c r="E31" s="54" t="s">
        <v>66</v>
      </c>
      <c r="F31" s="56"/>
      <c r="G31" s="55"/>
      <c r="H31" s="147">
        <f>MAX(H2:H30)</f>
        <v>163.62204752110199</v>
      </c>
      <c r="I31" s="148">
        <f t="shared" ref="I31:Y31" si="18">MAX(I2:I30)</f>
        <v>2.9749463185654905</v>
      </c>
      <c r="J31" s="147">
        <f t="shared" si="18"/>
        <v>13365.918562393599</v>
      </c>
      <c r="K31" s="148">
        <f t="shared" si="18"/>
        <v>234.48979934023859</v>
      </c>
      <c r="L31" s="147">
        <f t="shared" si="18"/>
        <v>0.78555464026233501</v>
      </c>
      <c r="M31" s="149">
        <f t="shared" si="18"/>
        <v>1.2085456004035924E-2</v>
      </c>
      <c r="N31" s="147">
        <f t="shared" si="18"/>
        <v>139.348457161619</v>
      </c>
      <c r="O31" s="148">
        <f t="shared" si="18"/>
        <v>1.9626543262199858</v>
      </c>
      <c r="P31" s="147">
        <f t="shared" si="18"/>
        <v>1380.72291011794</v>
      </c>
      <c r="Q31" s="148">
        <f t="shared" si="18"/>
        <v>18.658417704296486</v>
      </c>
      <c r="R31" s="147">
        <f t="shared" si="18"/>
        <v>2.4763619737934701</v>
      </c>
      <c r="S31" s="148">
        <f t="shared" si="18"/>
        <v>2.3143569848537104E-2</v>
      </c>
      <c r="T31" s="147">
        <f t="shared" si="18"/>
        <v>649.51580110478005</v>
      </c>
      <c r="U31" s="148">
        <f t="shared" si="18"/>
        <v>5.8514937036466668</v>
      </c>
      <c r="V31" s="150">
        <f t="shared" si="18"/>
        <v>0.25648724433549902</v>
      </c>
      <c r="W31" s="149">
        <f t="shared" si="18"/>
        <v>2.230323863786948E-3</v>
      </c>
      <c r="X31" s="147">
        <f t="shared" si="18"/>
        <v>9859.7774657897407</v>
      </c>
      <c r="Y31" s="148">
        <f t="shared" si="18"/>
        <v>47.402776277835294</v>
      </c>
      <c r="Z31" s="151"/>
      <c r="AA31" s="151">
        <f>MAX(AA14:AA30)</f>
        <v>121.70127077820611</v>
      </c>
      <c r="AB31" s="151"/>
      <c r="AC31" s="152"/>
      <c r="AD31" s="152"/>
      <c r="AE31" s="153"/>
      <c r="AF31" s="153"/>
      <c r="AG31" s="152"/>
      <c r="AH31" s="152"/>
      <c r="AI31" s="152">
        <f>MAX(AI2:AI30)</f>
        <v>0.32530294388696035</v>
      </c>
    </row>
    <row r="32" spans="1:38">
      <c r="A32" s="179"/>
      <c r="B32" s="185"/>
      <c r="C32" s="179"/>
      <c r="D32" s="179"/>
      <c r="E32" s="57" t="s">
        <v>67</v>
      </c>
      <c r="F32" s="58"/>
      <c r="G32" s="47"/>
      <c r="H32" s="154">
        <f>MIN(H2:H31)</f>
        <v>80.734613681895894</v>
      </c>
      <c r="I32" s="155">
        <f t="shared" ref="I32:Y32" si="19">MIN(I2:I31)</f>
        <v>1.4679020669435616</v>
      </c>
      <c r="J32" s="154">
        <f t="shared" si="19"/>
        <v>1071.58703022032</v>
      </c>
      <c r="K32" s="155">
        <f t="shared" si="19"/>
        <v>18.799772460005613</v>
      </c>
      <c r="L32" s="154">
        <f t="shared" si="19"/>
        <v>0.192337802156479</v>
      </c>
      <c r="M32" s="156">
        <f t="shared" si="19"/>
        <v>2.9590431100996769E-3</v>
      </c>
      <c r="N32" s="154">
        <f t="shared" si="19"/>
        <v>23.389374411026701</v>
      </c>
      <c r="O32" s="155">
        <f t="shared" si="19"/>
        <v>0.3294278086060099</v>
      </c>
      <c r="P32" s="154">
        <f t="shared" si="19"/>
        <v>770.07039671423502</v>
      </c>
      <c r="Q32" s="155">
        <f t="shared" si="19"/>
        <v>10.406356712354528</v>
      </c>
      <c r="R32" s="154">
        <f t="shared" si="19"/>
        <v>1.55580057295216</v>
      </c>
      <c r="S32" s="155">
        <f t="shared" si="19"/>
        <v>1.4540192270580935E-2</v>
      </c>
      <c r="T32" s="154">
        <f t="shared" si="19"/>
        <v>300.53053729752401</v>
      </c>
      <c r="U32" s="155">
        <f t="shared" si="19"/>
        <v>2.7074823179957117</v>
      </c>
      <c r="V32" s="157">
        <f t="shared" si="19"/>
        <v>5.6136580017091903E-2</v>
      </c>
      <c r="W32" s="156">
        <f t="shared" si="19"/>
        <v>4.881441740616687E-4</v>
      </c>
      <c r="X32" s="154">
        <f t="shared" si="19"/>
        <v>2258.9089106298802</v>
      </c>
      <c r="Y32" s="155">
        <f t="shared" si="19"/>
        <v>10.860138993412885</v>
      </c>
      <c r="Z32" s="152"/>
      <c r="AA32" s="152">
        <f>MIN(AA14:AA31)</f>
        <v>72.137901071507315</v>
      </c>
      <c r="AB32" s="152"/>
      <c r="AC32" s="152"/>
      <c r="AD32" s="152"/>
      <c r="AE32" s="153"/>
      <c r="AF32" s="153"/>
      <c r="AG32" s="152"/>
      <c r="AH32" s="152"/>
      <c r="AI32" s="152">
        <f>MIN(AI2:AI31)</f>
        <v>-0.30617087070206495</v>
      </c>
    </row>
    <row r="33" spans="1:35" ht="15" thickBot="1">
      <c r="A33" s="179"/>
      <c r="B33" s="185"/>
      <c r="C33" s="179"/>
      <c r="D33" s="179"/>
      <c r="E33" s="57" t="s">
        <v>68</v>
      </c>
      <c r="F33" s="58"/>
      <c r="G33" s="47"/>
      <c r="H33" s="154">
        <f>AVERAGE(H2:H32)</f>
        <v>117.22767196408282</v>
      </c>
      <c r="I33" s="155">
        <f t="shared" ref="I33:Y33" si="20">AVERAGE(I2:I32)</f>
        <v>2.1314122175287777</v>
      </c>
      <c r="J33" s="154">
        <f t="shared" si="20"/>
        <v>5996.2515139786565</v>
      </c>
      <c r="K33" s="155">
        <f t="shared" si="20"/>
        <v>105.19739498208173</v>
      </c>
      <c r="L33" s="154">
        <f t="shared" si="20"/>
        <v>0.33953269389219676</v>
      </c>
      <c r="M33" s="156">
        <f t="shared" si="20"/>
        <v>5.2235799060337965E-3</v>
      </c>
      <c r="N33" s="154">
        <f t="shared" si="20"/>
        <v>75.665769820493423</v>
      </c>
      <c r="O33" s="155">
        <f t="shared" si="20"/>
        <v>1.0657150678942735</v>
      </c>
      <c r="P33" s="154">
        <f t="shared" si="20"/>
        <v>1012.875681958728</v>
      </c>
      <c r="Q33" s="155">
        <f t="shared" si="20"/>
        <v>13.687509215658491</v>
      </c>
      <c r="R33" s="154">
        <f t="shared" si="20"/>
        <v>1.9522234215179823</v>
      </c>
      <c r="S33" s="155">
        <f t="shared" si="20"/>
        <v>1.824507870577553E-2</v>
      </c>
      <c r="T33" s="154">
        <f t="shared" si="20"/>
        <v>503.77306007856322</v>
      </c>
      <c r="U33" s="155">
        <f t="shared" si="20"/>
        <v>4.5384960367438119</v>
      </c>
      <c r="V33" s="157">
        <f t="shared" si="20"/>
        <v>0.13333320945517266</v>
      </c>
      <c r="W33" s="156">
        <f t="shared" si="20"/>
        <v>1.1594192126536753E-3</v>
      </c>
      <c r="X33" s="154">
        <f t="shared" si="20"/>
        <v>4622.5912153732115</v>
      </c>
      <c r="Y33" s="155">
        <f t="shared" si="20"/>
        <v>22.223996227755823</v>
      </c>
      <c r="Z33" s="152"/>
      <c r="AA33" s="152">
        <f>AVERAGE(AA14:AA32)</f>
        <v>96.668043876143884</v>
      </c>
      <c r="AB33" s="158"/>
      <c r="AC33" s="158"/>
      <c r="AD33" s="158"/>
      <c r="AE33" s="159"/>
      <c r="AF33" s="159"/>
      <c r="AG33" s="158"/>
      <c r="AH33" s="158"/>
      <c r="AI33" s="158">
        <f>AVERAGE(AI2:AI32)</f>
        <v>6.1232799620967629E-2</v>
      </c>
    </row>
    <row r="34" spans="1:35">
      <c r="A34" s="39" t="s">
        <v>69</v>
      </c>
      <c r="B34" s="175" t="s">
        <v>70</v>
      </c>
      <c r="C34" s="39" t="s">
        <v>71</v>
      </c>
      <c r="D34" s="39" t="s">
        <v>72</v>
      </c>
      <c r="E34" s="39" t="s">
        <v>73</v>
      </c>
      <c r="F34" s="41">
        <v>17.598727878382402</v>
      </c>
      <c r="G34" s="40">
        <v>65.86</v>
      </c>
      <c r="H34" s="41">
        <v>11.7351334407281</v>
      </c>
      <c r="I34" s="42">
        <f t="shared" ref="I34:I61" si="21">H34/55</f>
        <v>0.21336606255869273</v>
      </c>
      <c r="J34" s="41">
        <v>7332.7697985789</v>
      </c>
      <c r="K34" s="42">
        <f t="shared" ref="K34:K61" si="22">J34/57</f>
        <v>128.64508418559473</v>
      </c>
      <c r="L34" s="41">
        <v>1.0355135428803299</v>
      </c>
      <c r="M34" s="43">
        <f t="shared" ref="M34:M61" si="23">L34/65</f>
        <v>1.5930977582774307E-2</v>
      </c>
      <c r="N34" s="41">
        <v>36.983364915389501</v>
      </c>
      <c r="O34" s="42">
        <f t="shared" ref="O34:O61" si="24">N34/71</f>
        <v>0.52089246359703523</v>
      </c>
      <c r="P34" s="41">
        <v>366.63391604096802</v>
      </c>
      <c r="Q34" s="42">
        <f t="shared" ref="Q34:Q61" si="25">P34/74</f>
        <v>4.9545123789319998</v>
      </c>
      <c r="R34" s="41">
        <v>1.3086386096610201</v>
      </c>
      <c r="S34" s="42">
        <f t="shared" ref="S34:S61" si="26">R34/107</f>
        <v>1.2230267380009534E-2</v>
      </c>
      <c r="T34" s="41">
        <v>1950.05383370966</v>
      </c>
      <c r="U34" s="42">
        <f t="shared" ref="U34:U61" si="27">T34/111</f>
        <v>17.568052555942884</v>
      </c>
      <c r="V34" s="44"/>
      <c r="W34" s="43"/>
      <c r="X34" s="41">
        <v>283.06652955901001</v>
      </c>
      <c r="Y34" s="42">
        <f t="shared" ref="Y34:Y61" si="28">X34/208</f>
        <v>1.3608967767260096</v>
      </c>
      <c r="Z34" s="45"/>
      <c r="AA34" s="45"/>
      <c r="AB34" s="59"/>
      <c r="AC34" s="59"/>
      <c r="AD34" s="59"/>
      <c r="AE34" s="60"/>
      <c r="AF34" s="60"/>
      <c r="AG34" s="59"/>
      <c r="AH34" s="59"/>
      <c r="AI34" s="59"/>
    </row>
    <row r="35" spans="1:35">
      <c r="A35" s="46"/>
      <c r="B35" s="178"/>
      <c r="C35" s="179" t="s">
        <v>71</v>
      </c>
      <c r="D35" s="179" t="s">
        <v>74</v>
      </c>
      <c r="E35" s="46" t="s">
        <v>75</v>
      </c>
      <c r="F35" s="58">
        <v>18.350086611959501</v>
      </c>
      <c r="G35" s="47">
        <v>64.242000000000004</v>
      </c>
      <c r="H35" s="48">
        <v>42.681908073164401</v>
      </c>
      <c r="I35" s="49">
        <f t="shared" si="21"/>
        <v>0.77603469223935273</v>
      </c>
      <c r="J35" s="48">
        <v>12703.6699298599</v>
      </c>
      <c r="K35" s="49">
        <f t="shared" si="22"/>
        <v>222.87140227824386</v>
      </c>
      <c r="L35" s="48">
        <v>2.4848350891234099</v>
      </c>
      <c r="M35" s="50">
        <f t="shared" si="23"/>
        <v>3.8228232140360155E-2</v>
      </c>
      <c r="N35" s="48">
        <v>14.7036672852477</v>
      </c>
      <c r="O35" s="49">
        <f t="shared" si="24"/>
        <v>0.20709390542602396</v>
      </c>
      <c r="P35" s="48">
        <v>590.78353038668104</v>
      </c>
      <c r="Q35" s="49">
        <f t="shared" si="25"/>
        <v>7.9835612214416356</v>
      </c>
      <c r="R35" s="48">
        <v>1.30175347708821</v>
      </c>
      <c r="S35" s="49">
        <f t="shared" si="26"/>
        <v>1.2165920346618784E-2</v>
      </c>
      <c r="T35" s="48">
        <v>1073.0072231991901</v>
      </c>
      <c r="U35" s="49">
        <f t="shared" si="27"/>
        <v>9.666731740533244</v>
      </c>
      <c r="V35" s="51"/>
      <c r="W35" s="50"/>
      <c r="X35" s="48">
        <v>1081.95825674708</v>
      </c>
      <c r="Y35" s="49">
        <f t="shared" si="28"/>
        <v>5.2017223882071155</v>
      </c>
      <c r="Z35" s="52"/>
      <c r="AA35" s="52"/>
      <c r="AB35" s="59"/>
      <c r="AC35" s="59"/>
      <c r="AD35" s="59"/>
      <c r="AE35" s="53"/>
      <c r="AF35" s="53"/>
      <c r="AG35" s="52"/>
      <c r="AH35" s="59"/>
      <c r="AI35" s="59"/>
    </row>
    <row r="36" spans="1:35">
      <c r="A36" s="46"/>
      <c r="B36" s="178"/>
      <c r="C36" s="179" t="s">
        <v>71</v>
      </c>
      <c r="D36" s="179" t="s">
        <v>64</v>
      </c>
      <c r="E36" s="46" t="s">
        <v>73</v>
      </c>
      <c r="F36" s="58">
        <v>18.478870247066901</v>
      </c>
      <c r="G36" s="47">
        <v>64.873000000000005</v>
      </c>
      <c r="H36" s="48">
        <v>61.465954768232002</v>
      </c>
      <c r="I36" s="49">
        <f t="shared" si="21"/>
        <v>1.1175628139678546</v>
      </c>
      <c r="J36" s="48">
        <v>11366.331643621799</v>
      </c>
      <c r="K36" s="49">
        <f t="shared" si="22"/>
        <v>199.4093270810842</v>
      </c>
      <c r="L36" s="48">
        <v>4.6571610981175704</v>
      </c>
      <c r="M36" s="50">
        <f t="shared" si="23"/>
        <v>7.1648632278731847E-2</v>
      </c>
      <c r="N36" s="48">
        <v>18.413572068610701</v>
      </c>
      <c r="O36" s="49">
        <f t="shared" si="24"/>
        <v>0.25934608547339016</v>
      </c>
      <c r="P36" s="48">
        <v>634.09901976745095</v>
      </c>
      <c r="Q36" s="49">
        <f t="shared" si="25"/>
        <v>8.5689056725331216</v>
      </c>
      <c r="R36" s="48">
        <v>1.2823660254245699</v>
      </c>
      <c r="S36" s="49">
        <f t="shared" si="26"/>
        <v>1.1984729209575419E-2</v>
      </c>
      <c r="T36" s="48">
        <v>985.34048782026605</v>
      </c>
      <c r="U36" s="49">
        <f t="shared" si="27"/>
        <v>8.876941331714109</v>
      </c>
      <c r="V36" s="51">
        <v>2.07595884113729E-2</v>
      </c>
      <c r="W36" s="50">
        <f>V36/115</f>
        <v>1.8051816009889479E-4</v>
      </c>
      <c r="X36" s="48">
        <v>1292.9490262161</v>
      </c>
      <c r="Y36" s="49">
        <f t="shared" si="28"/>
        <v>6.2161010875774041</v>
      </c>
      <c r="Z36" s="52">
        <f t="shared" si="11"/>
        <v>1.6155038802822899</v>
      </c>
      <c r="AA36" s="52">
        <f t="shared" si="12"/>
        <v>120.11658891264344</v>
      </c>
      <c r="AB36" s="59">
        <f t="shared" si="13"/>
        <v>393.26658891264344</v>
      </c>
      <c r="AC36" s="59">
        <v>0.01</v>
      </c>
      <c r="AD36" s="59">
        <f t="shared" ref="AD36:AD61" si="29">44.09+0.0125*AB36-3600*0.01/AB36</f>
        <v>48.91429140416696</v>
      </c>
      <c r="AE36" s="53">
        <f>J36/(G36*10000)*(65/57)</f>
        <v>1.9979970496617195E-2</v>
      </c>
      <c r="AF36" s="53">
        <f t="shared" si="15"/>
        <v>1.9588591025850401E-2</v>
      </c>
      <c r="AG36" s="52">
        <f>0.8*LOG10(53.1*AF36/AD36)-1.38</f>
        <v>-2.7178704371006877</v>
      </c>
      <c r="AH36" s="59">
        <f t="shared" si="16"/>
        <v>-18.20632464291775</v>
      </c>
      <c r="AI36" s="59">
        <f t="shared" si="17"/>
        <v>2.1710641470562564E-4</v>
      </c>
    </row>
    <row r="37" spans="1:35">
      <c r="A37" s="46"/>
      <c r="B37" s="178"/>
      <c r="C37" s="179" t="s">
        <v>71</v>
      </c>
      <c r="D37" s="46" t="s">
        <v>59</v>
      </c>
      <c r="E37" s="46" t="s">
        <v>73</v>
      </c>
      <c r="F37" s="58">
        <v>18.293213030031698</v>
      </c>
      <c r="G37" s="47">
        <v>65.003</v>
      </c>
      <c r="H37" s="48">
        <v>71.533542142143801</v>
      </c>
      <c r="I37" s="49">
        <f t="shared" si="21"/>
        <v>1.3006098571298872</v>
      </c>
      <c r="J37" s="48">
        <v>9288.7365527689708</v>
      </c>
      <c r="K37" s="49">
        <f t="shared" si="22"/>
        <v>162.96029039945563</v>
      </c>
      <c r="L37" s="48">
        <v>4.4346277506968699</v>
      </c>
      <c r="M37" s="50">
        <f t="shared" si="23"/>
        <v>6.8225042318413379E-2</v>
      </c>
      <c r="N37" s="48">
        <v>22.4718381382838</v>
      </c>
      <c r="O37" s="49">
        <f t="shared" si="24"/>
        <v>0.31650476251103943</v>
      </c>
      <c r="P37" s="48">
        <v>760.98006685430801</v>
      </c>
      <c r="Q37" s="49">
        <f t="shared" si="25"/>
        <v>10.283514416950108</v>
      </c>
      <c r="R37" s="48">
        <v>1.2242917345916999</v>
      </c>
      <c r="S37" s="49">
        <f t="shared" si="26"/>
        <v>1.1441978827959812E-2</v>
      </c>
      <c r="T37" s="48">
        <v>982.46215717254302</v>
      </c>
      <c r="U37" s="49">
        <f t="shared" si="27"/>
        <v>8.8510104249778649</v>
      </c>
      <c r="V37" s="51"/>
      <c r="W37" s="50"/>
      <c r="X37" s="48">
        <v>1745.1474874821499</v>
      </c>
      <c r="Y37" s="49">
        <f t="shared" si="28"/>
        <v>8.3901321513564895</v>
      </c>
      <c r="Z37" s="52"/>
      <c r="AA37" s="52"/>
      <c r="AB37" s="59"/>
      <c r="AC37" s="59"/>
      <c r="AD37" s="59"/>
      <c r="AE37" s="53"/>
      <c r="AF37" s="53"/>
      <c r="AG37" s="52"/>
      <c r="AH37" s="59"/>
      <c r="AI37" s="59"/>
    </row>
    <row r="38" spans="1:35">
      <c r="A38" s="46"/>
      <c r="B38" s="178"/>
      <c r="C38" s="179" t="s">
        <v>71</v>
      </c>
      <c r="D38" s="179" t="s">
        <v>64</v>
      </c>
      <c r="E38" s="46" t="s">
        <v>73</v>
      </c>
      <c r="F38" s="58">
        <v>18.607748424320601</v>
      </c>
      <c r="G38" s="47">
        <v>64.349999999999994</v>
      </c>
      <c r="H38" s="48">
        <v>83.014031008758096</v>
      </c>
      <c r="I38" s="49">
        <f t="shared" si="21"/>
        <v>1.5093460183410563</v>
      </c>
      <c r="J38" s="48">
        <v>13403.2380629902</v>
      </c>
      <c r="K38" s="49">
        <f t="shared" si="22"/>
        <v>235.14452742088071</v>
      </c>
      <c r="L38" s="48">
        <v>5.4481605597424796</v>
      </c>
      <c r="M38" s="50">
        <f t="shared" si="23"/>
        <v>8.3817854765268915E-2</v>
      </c>
      <c r="N38" s="48">
        <v>13.2559294585709</v>
      </c>
      <c r="O38" s="49">
        <f t="shared" si="24"/>
        <v>0.18670323181085774</v>
      </c>
      <c r="P38" s="48">
        <v>932.29144656620099</v>
      </c>
      <c r="Q38" s="49">
        <f t="shared" si="25"/>
        <v>12.598533061705419</v>
      </c>
      <c r="R38" s="48">
        <v>1.3018702913157101</v>
      </c>
      <c r="S38" s="49">
        <f t="shared" si="26"/>
        <v>1.2167012068371123E-2</v>
      </c>
      <c r="T38" s="48">
        <v>559.95286637379502</v>
      </c>
      <c r="U38" s="49">
        <f t="shared" si="27"/>
        <v>5.0446204177819371</v>
      </c>
      <c r="V38" s="51">
        <v>1.32007447634967E-2</v>
      </c>
      <c r="W38" s="50">
        <f>V38/115</f>
        <v>1.1478908489997131E-4</v>
      </c>
      <c r="X38" s="48">
        <v>2774.61864938483</v>
      </c>
      <c r="Y38" s="49">
        <f t="shared" si="28"/>
        <v>13.339512737427068</v>
      </c>
      <c r="Z38" s="52">
        <f t="shared" si="11"/>
        <v>1.5567038350932492</v>
      </c>
      <c r="AA38" s="52">
        <f t="shared" si="12"/>
        <v>123.31531137092725</v>
      </c>
      <c r="AB38" s="59">
        <f t="shared" si="13"/>
        <v>396.46531137092722</v>
      </c>
      <c r="AC38" s="59">
        <v>0.01</v>
      </c>
      <c r="AD38" s="59">
        <f t="shared" si="29"/>
        <v>48.955013996649541</v>
      </c>
      <c r="AE38" s="53">
        <f>J38/(G38*10000)*(65/57)</f>
        <v>2.3751972466755627E-2</v>
      </c>
      <c r="AF38" s="53">
        <f t="shared" si="15"/>
        <v>2.3200905205119814E-2</v>
      </c>
      <c r="AG38" s="52">
        <f>0.8*LOG10(53.1*AF38/AD38)-1.38</f>
        <v>-2.6593581826893464</v>
      </c>
      <c r="AH38" s="59">
        <f t="shared" si="16"/>
        <v>-18.015615087559489</v>
      </c>
      <c r="AI38" s="59">
        <f t="shared" si="17"/>
        <v>-4.2746070961765525E-2</v>
      </c>
    </row>
    <row r="39" spans="1:35">
      <c r="A39" s="46"/>
      <c r="B39" s="178"/>
      <c r="C39" s="179" t="s">
        <v>71</v>
      </c>
      <c r="D39" s="179" t="s">
        <v>74</v>
      </c>
      <c r="E39" s="46" t="s">
        <v>73</v>
      </c>
      <c r="F39" s="58">
        <v>18.568643413020698</v>
      </c>
      <c r="G39" s="47">
        <v>66.034000000000006</v>
      </c>
      <c r="H39" s="48">
        <v>27.829109589918399</v>
      </c>
      <c r="I39" s="49">
        <f t="shared" si="21"/>
        <v>0.50598381072578913</v>
      </c>
      <c r="J39" s="48">
        <v>8371.2809801553994</v>
      </c>
      <c r="K39" s="49">
        <f t="shared" si="22"/>
        <v>146.86457859921754</v>
      </c>
      <c r="L39" s="48">
        <v>2.9886044075423599</v>
      </c>
      <c r="M39" s="50">
        <f t="shared" si="23"/>
        <v>4.597852934680554E-2</v>
      </c>
      <c r="N39" s="48">
        <v>2.7389370731562499</v>
      </c>
      <c r="O39" s="49">
        <f t="shared" si="24"/>
        <v>3.8576578495158449E-2</v>
      </c>
      <c r="P39" s="48">
        <v>556.85566596648698</v>
      </c>
      <c r="Q39" s="49">
        <f t="shared" si="25"/>
        <v>7.5250765671146889</v>
      </c>
      <c r="R39" s="48">
        <v>1.2552769772641701</v>
      </c>
      <c r="S39" s="49">
        <f t="shared" si="26"/>
        <v>1.173156053517916E-2</v>
      </c>
      <c r="T39" s="48">
        <v>350.55057596250901</v>
      </c>
      <c r="U39" s="49">
        <f t="shared" si="27"/>
        <v>3.1581132969595407</v>
      </c>
      <c r="V39" s="51"/>
      <c r="W39" s="50"/>
      <c r="X39" s="48">
        <v>889.476668871323</v>
      </c>
      <c r="Y39" s="49">
        <f t="shared" si="28"/>
        <v>4.2763301388044379</v>
      </c>
      <c r="Z39" s="52"/>
      <c r="AA39" s="52"/>
      <c r="AB39" s="59"/>
      <c r="AC39" s="59"/>
      <c r="AD39" s="59"/>
      <c r="AE39" s="53"/>
      <c r="AF39" s="53"/>
      <c r="AG39" s="52"/>
      <c r="AH39" s="59"/>
      <c r="AI39" s="59"/>
    </row>
    <row r="40" spans="1:35">
      <c r="A40" s="46"/>
      <c r="B40" s="178"/>
      <c r="C40" s="179" t="s">
        <v>71</v>
      </c>
      <c r="D40" s="46" t="s">
        <v>59</v>
      </c>
      <c r="E40" s="46" t="s">
        <v>73</v>
      </c>
      <c r="F40" s="58">
        <v>17.8315488461472</v>
      </c>
      <c r="G40" s="47">
        <v>65.686999999999998</v>
      </c>
      <c r="H40" s="48">
        <v>12.237706771971601</v>
      </c>
      <c r="I40" s="49">
        <f t="shared" si="21"/>
        <v>0.22250375949039275</v>
      </c>
      <c r="J40" s="48">
        <v>5360.19567914048</v>
      </c>
      <c r="K40" s="49">
        <f t="shared" si="22"/>
        <v>94.038520686675085</v>
      </c>
      <c r="L40" s="48">
        <v>2.0114528409893202</v>
      </c>
      <c r="M40" s="50">
        <f t="shared" si="23"/>
        <v>3.0945428322912617E-2</v>
      </c>
      <c r="N40" s="48">
        <v>35.636605699199599</v>
      </c>
      <c r="O40" s="49">
        <f t="shared" si="24"/>
        <v>0.50192402393238866</v>
      </c>
      <c r="P40" s="48">
        <v>463.06954699322603</v>
      </c>
      <c r="Q40" s="49">
        <f t="shared" si="25"/>
        <v>6.2576965809895411</v>
      </c>
      <c r="R40" s="48">
        <v>1.2998250105684099</v>
      </c>
      <c r="S40" s="49">
        <f t="shared" si="26"/>
        <v>1.2147897295031868E-2</v>
      </c>
      <c r="T40" s="48">
        <v>1813.4546750514901</v>
      </c>
      <c r="U40" s="49">
        <f t="shared" si="27"/>
        <v>16.33742950496838</v>
      </c>
      <c r="V40" s="51"/>
      <c r="W40" s="50"/>
      <c r="X40" s="48">
        <v>311.36137760500998</v>
      </c>
      <c r="Y40" s="49">
        <f t="shared" si="28"/>
        <v>1.4969297000240864</v>
      </c>
      <c r="Z40" s="52"/>
      <c r="AA40" s="52"/>
      <c r="AB40" s="59"/>
      <c r="AC40" s="59"/>
      <c r="AD40" s="59"/>
      <c r="AE40" s="53"/>
      <c r="AF40" s="53"/>
      <c r="AG40" s="52"/>
      <c r="AH40" s="59"/>
      <c r="AI40" s="59"/>
    </row>
    <row r="41" spans="1:35">
      <c r="A41" s="46"/>
      <c r="B41" s="178"/>
      <c r="C41" s="179" t="s">
        <v>71</v>
      </c>
      <c r="D41" s="46" t="s">
        <v>59</v>
      </c>
      <c r="E41" s="46" t="s">
        <v>73</v>
      </c>
      <c r="F41" s="58">
        <v>17.983176665085399</v>
      </c>
      <c r="G41" s="47">
        <v>65.081999999999994</v>
      </c>
      <c r="H41" s="48">
        <v>16.204278878281801</v>
      </c>
      <c r="I41" s="49">
        <f t="shared" si="21"/>
        <v>0.29462325233239639</v>
      </c>
      <c r="J41" s="48">
        <v>7116.4345135038202</v>
      </c>
      <c r="K41" s="49">
        <f t="shared" si="22"/>
        <v>124.84972830708456</v>
      </c>
      <c r="L41" s="48">
        <v>0.55233096141702498</v>
      </c>
      <c r="M41" s="50">
        <f t="shared" si="23"/>
        <v>8.4973994064157683E-3</v>
      </c>
      <c r="N41" s="48">
        <v>18.247116565625099</v>
      </c>
      <c r="O41" s="49">
        <f t="shared" si="24"/>
        <v>0.25700164176936757</v>
      </c>
      <c r="P41" s="48">
        <v>507.55122763269401</v>
      </c>
      <c r="Q41" s="49">
        <f t="shared" si="25"/>
        <v>6.858800373414784</v>
      </c>
      <c r="R41" s="48">
        <v>1.29589030434424</v>
      </c>
      <c r="S41" s="49">
        <f t="shared" si="26"/>
        <v>1.2111124339665795E-2</v>
      </c>
      <c r="T41" s="48">
        <v>1353.5798944363501</v>
      </c>
      <c r="U41" s="49">
        <f t="shared" si="27"/>
        <v>12.194413463390541</v>
      </c>
      <c r="V41" s="51"/>
      <c r="W41" s="50"/>
      <c r="X41" s="48">
        <v>535.60988256307803</v>
      </c>
      <c r="Y41" s="49">
        <f t="shared" si="28"/>
        <v>2.5750475123224907</v>
      </c>
      <c r="Z41" s="52"/>
      <c r="AA41" s="52"/>
      <c r="AB41" s="59"/>
      <c r="AC41" s="59"/>
      <c r="AD41" s="59"/>
      <c r="AE41" s="53"/>
      <c r="AF41" s="53"/>
      <c r="AG41" s="52"/>
      <c r="AH41" s="59"/>
      <c r="AI41" s="59"/>
    </row>
    <row r="42" spans="1:35">
      <c r="A42" s="46"/>
      <c r="B42" s="178"/>
      <c r="C42" s="179" t="s">
        <v>71</v>
      </c>
      <c r="D42" s="46" t="s">
        <v>59</v>
      </c>
      <c r="E42" s="46" t="s">
        <v>73</v>
      </c>
      <c r="F42" s="58">
        <v>18.047341040158301</v>
      </c>
      <c r="G42" s="47">
        <v>64.853999999999999</v>
      </c>
      <c r="H42" s="48">
        <v>25.0959198886069</v>
      </c>
      <c r="I42" s="49">
        <f t="shared" si="21"/>
        <v>0.45628945252012548</v>
      </c>
      <c r="J42" s="48">
        <v>7130.4274164117196</v>
      </c>
      <c r="K42" s="49">
        <f t="shared" si="22"/>
        <v>125.09521783178455</v>
      </c>
      <c r="L42" s="48">
        <v>1.1246114889897201</v>
      </c>
      <c r="M42" s="50">
        <f t="shared" si="23"/>
        <v>1.7301715215226464E-2</v>
      </c>
      <c r="N42" s="48">
        <v>14.223843710873</v>
      </c>
      <c r="O42" s="49">
        <f t="shared" si="24"/>
        <v>0.20033582691370422</v>
      </c>
      <c r="P42" s="48">
        <v>619.34690973671297</v>
      </c>
      <c r="Q42" s="49">
        <f t="shared" si="25"/>
        <v>8.3695528342799044</v>
      </c>
      <c r="R42" s="48">
        <v>1.29809226228798</v>
      </c>
      <c r="S42" s="49">
        <f t="shared" si="26"/>
        <v>1.2131703385868973E-2</v>
      </c>
      <c r="T42" s="48">
        <v>1240.9315227423599</v>
      </c>
      <c r="U42" s="49">
        <f t="shared" si="27"/>
        <v>11.179563267949188</v>
      </c>
      <c r="V42" s="51"/>
      <c r="W42" s="50"/>
      <c r="X42" s="48">
        <v>1254.6081926689701</v>
      </c>
      <c r="Y42" s="49">
        <f t="shared" si="28"/>
        <v>6.0317701570623559</v>
      </c>
      <c r="Z42" s="52"/>
      <c r="AA42" s="52"/>
      <c r="AB42" s="59"/>
      <c r="AC42" s="59"/>
      <c r="AD42" s="59"/>
      <c r="AE42" s="53"/>
      <c r="AF42" s="53"/>
      <c r="AG42" s="52"/>
      <c r="AH42" s="59"/>
      <c r="AI42" s="59"/>
    </row>
    <row r="43" spans="1:35">
      <c r="A43" s="46"/>
      <c r="B43" s="178"/>
      <c r="C43" s="179" t="s">
        <v>76</v>
      </c>
      <c r="D43" s="179" t="s">
        <v>64</v>
      </c>
      <c r="E43" s="46" t="s">
        <v>73</v>
      </c>
      <c r="F43" s="58">
        <v>17.969110277724699</v>
      </c>
      <c r="G43" s="47">
        <v>65.271000000000001</v>
      </c>
      <c r="H43" s="48">
        <v>24.421620959267699</v>
      </c>
      <c r="I43" s="49">
        <f t="shared" si="21"/>
        <v>0.44402947198668541</v>
      </c>
      <c r="J43" s="48">
        <v>8903.2052748057195</v>
      </c>
      <c r="K43" s="49">
        <f t="shared" si="22"/>
        <v>156.19658376852141</v>
      </c>
      <c r="L43" s="48">
        <v>0.99383905360620906</v>
      </c>
      <c r="M43" s="50">
        <f t="shared" si="23"/>
        <v>1.5289831593941677E-2</v>
      </c>
      <c r="N43" s="48">
        <v>26.576568337978198</v>
      </c>
      <c r="O43" s="49">
        <f t="shared" si="24"/>
        <v>0.3743178639151859</v>
      </c>
      <c r="P43" s="48">
        <v>455.41685603929301</v>
      </c>
      <c r="Q43" s="49">
        <f t="shared" si="25"/>
        <v>6.1542818383688243</v>
      </c>
      <c r="R43" s="48">
        <v>1.23816372313418</v>
      </c>
      <c r="S43" s="49">
        <f t="shared" si="26"/>
        <v>1.1571623580693271E-2</v>
      </c>
      <c r="T43" s="48">
        <v>1699.3383249322001</v>
      </c>
      <c r="U43" s="49">
        <f t="shared" si="27"/>
        <v>15.309354278668469</v>
      </c>
      <c r="V43" s="51"/>
      <c r="W43" s="50"/>
      <c r="X43" s="48">
        <v>563.26160426602098</v>
      </c>
      <c r="Y43" s="49">
        <f t="shared" si="28"/>
        <v>2.7079884820481777</v>
      </c>
      <c r="Z43" s="52"/>
      <c r="AA43" s="52"/>
      <c r="AB43" s="59"/>
      <c r="AC43" s="59"/>
      <c r="AD43" s="59"/>
      <c r="AE43" s="53"/>
      <c r="AF43" s="53"/>
      <c r="AG43" s="52"/>
      <c r="AH43" s="59"/>
      <c r="AI43" s="59"/>
    </row>
    <row r="44" spans="1:35">
      <c r="A44" s="46"/>
      <c r="B44" s="178"/>
      <c r="C44" s="179" t="s">
        <v>71</v>
      </c>
      <c r="D44" s="179" t="s">
        <v>64</v>
      </c>
      <c r="E44" s="46" t="s">
        <v>73</v>
      </c>
      <c r="F44" s="58">
        <v>18.1413085368293</v>
      </c>
      <c r="G44" s="47">
        <v>65.503</v>
      </c>
      <c r="H44" s="48">
        <v>61.825324756452297</v>
      </c>
      <c r="I44" s="49">
        <f t="shared" si="21"/>
        <v>1.1240968137536782</v>
      </c>
      <c r="J44" s="48">
        <v>14441.130121419499</v>
      </c>
      <c r="K44" s="49">
        <f t="shared" si="22"/>
        <v>253.3531600249035</v>
      </c>
      <c r="L44" s="48">
        <v>1.75419329030014</v>
      </c>
      <c r="M44" s="50">
        <f t="shared" si="23"/>
        <v>2.6987589081540617E-2</v>
      </c>
      <c r="N44" s="48">
        <v>13.642622414920799</v>
      </c>
      <c r="O44" s="49">
        <f t="shared" si="24"/>
        <v>0.19214961147775775</v>
      </c>
      <c r="P44" s="48">
        <v>1098.11940554272</v>
      </c>
      <c r="Q44" s="49">
        <f t="shared" si="25"/>
        <v>14.839451426252973</v>
      </c>
      <c r="R44" s="48">
        <v>1.2499756138001701</v>
      </c>
      <c r="S44" s="49">
        <f t="shared" si="26"/>
        <v>1.168201508224458E-2</v>
      </c>
      <c r="T44" s="48">
        <v>338.93833666719001</v>
      </c>
      <c r="U44" s="49">
        <f t="shared" si="27"/>
        <v>3.0534985285332432</v>
      </c>
      <c r="V44" s="51">
        <v>1.5799657890454E-2</v>
      </c>
      <c r="W44" s="50">
        <f>V44/115</f>
        <v>1.3738832948220869E-4</v>
      </c>
      <c r="X44" s="48">
        <v>1412.9158252094701</v>
      </c>
      <c r="Y44" s="49">
        <f t="shared" si="28"/>
        <v>6.7928645442762985</v>
      </c>
      <c r="Z44" s="52">
        <f t="shared" si="11"/>
        <v>1.610620211237257</v>
      </c>
      <c r="AA44" s="52">
        <f t="shared" si="12"/>
        <v>120.38226050869322</v>
      </c>
      <c r="AB44" s="59">
        <f t="shared" si="13"/>
        <v>393.53226050869318</v>
      </c>
      <c r="AC44" s="59">
        <v>0.01</v>
      </c>
      <c r="AD44" s="59">
        <f t="shared" si="29"/>
        <v>48.917674097944911</v>
      </c>
      <c r="AE44" s="53">
        <f>J44/(G44*10000)*(65/57)</f>
        <v>2.5140765158265618E-2</v>
      </c>
      <c r="AF44" s="53">
        <f t="shared" si="15"/>
        <v>2.4524207809045892E-2</v>
      </c>
      <c r="AG44" s="52">
        <f>0.8*LOG10(53.1*AF44/AD44)-1.38</f>
        <v>-2.639821032586962</v>
      </c>
      <c r="AH44" s="59">
        <f t="shared" si="16"/>
        <v>-18.336673940559606</v>
      </c>
      <c r="AI44" s="59">
        <f t="shared" si="17"/>
        <v>-0.1496846535392784</v>
      </c>
    </row>
    <row r="45" spans="1:35">
      <c r="A45" s="46"/>
      <c r="B45" s="178"/>
      <c r="C45" s="179" t="s">
        <v>71</v>
      </c>
      <c r="D45" s="46" t="s">
        <v>59</v>
      </c>
      <c r="E45" s="46" t="s">
        <v>73</v>
      </c>
      <c r="F45" s="58">
        <v>17.9689767870799</v>
      </c>
      <c r="G45" s="47">
        <v>65.77</v>
      </c>
      <c r="H45" s="48">
        <v>20.981625467459398</v>
      </c>
      <c r="I45" s="49">
        <f t="shared" si="21"/>
        <v>0.38148409940835271</v>
      </c>
      <c r="J45" s="48">
        <v>6578.83243298446</v>
      </c>
      <c r="K45" s="49">
        <f t="shared" si="22"/>
        <v>115.41811285937649</v>
      </c>
      <c r="L45" s="48">
        <v>5.90542621304491</v>
      </c>
      <c r="M45" s="50">
        <f t="shared" si="23"/>
        <v>9.0852710969921688E-2</v>
      </c>
      <c r="N45" s="48">
        <v>8.4115852602038395</v>
      </c>
      <c r="O45" s="49">
        <f t="shared" si="24"/>
        <v>0.11847303183385689</v>
      </c>
      <c r="P45" s="48">
        <v>582.02307228053201</v>
      </c>
      <c r="Q45" s="49">
        <f t="shared" si="25"/>
        <v>7.8651766524396214</v>
      </c>
      <c r="R45" s="48">
        <v>1.39833734893322</v>
      </c>
      <c r="S45" s="49">
        <f t="shared" si="26"/>
        <v>1.3068573354516074E-2</v>
      </c>
      <c r="T45" s="48">
        <v>903.339316452258</v>
      </c>
      <c r="U45" s="49">
        <f t="shared" si="27"/>
        <v>8.1381920401104324</v>
      </c>
      <c r="V45" s="51">
        <v>1.6347263704931701E-2</v>
      </c>
      <c r="W45" s="50">
        <f>V45/115</f>
        <v>1.4215011917331915E-4</v>
      </c>
      <c r="X45" s="48">
        <v>705.94071709061996</v>
      </c>
      <c r="Y45" s="49">
        <f t="shared" si="28"/>
        <v>3.3939457552433652</v>
      </c>
      <c r="Z45" s="52">
        <f t="shared" si="11"/>
        <v>1.8678527049038396</v>
      </c>
      <c r="AA45" s="52">
        <f t="shared" si="12"/>
        <v>106.38881285323113</v>
      </c>
      <c r="AB45" s="59">
        <f t="shared" si="13"/>
        <v>379.53881285323109</v>
      </c>
      <c r="AC45" s="59">
        <v>0.01</v>
      </c>
      <c r="AD45" s="59">
        <f t="shared" si="29"/>
        <v>48.739383201443182</v>
      </c>
      <c r="AE45" s="53">
        <f>J45/(G45*10000)*(65/57)</f>
        <v>1.1406685929541541E-2</v>
      </c>
      <c r="AF45" s="53">
        <f t="shared" si="15"/>
        <v>1.1278040859556047E-2</v>
      </c>
      <c r="AG45" s="52">
        <f>0.8*LOG10(53.1*AF45/AD45)-1.38</f>
        <v>-2.9084414752933641</v>
      </c>
      <c r="AH45" s="59">
        <f t="shared" si="16"/>
        <v>-19.204766725333371</v>
      </c>
      <c r="AI45" s="59">
        <f t="shared" si="17"/>
        <v>4.9339261915289256E-2</v>
      </c>
    </row>
    <row r="46" spans="1:35">
      <c r="A46" s="46"/>
      <c r="B46" s="178"/>
      <c r="C46" s="179" t="s">
        <v>71</v>
      </c>
      <c r="D46" s="179" t="s">
        <v>64</v>
      </c>
      <c r="E46" s="46" t="s">
        <v>73</v>
      </c>
      <c r="F46" s="58">
        <v>17.969383643818599</v>
      </c>
      <c r="G46" s="47">
        <v>65.614000000000004</v>
      </c>
      <c r="H46" s="48">
        <v>25.0909676344255</v>
      </c>
      <c r="I46" s="49">
        <f t="shared" si="21"/>
        <v>0.45619941153500909</v>
      </c>
      <c r="J46" s="48">
        <v>12171.329678415599</v>
      </c>
      <c r="K46" s="49">
        <f t="shared" si="22"/>
        <v>213.5320996213263</v>
      </c>
      <c r="L46" s="48">
        <v>5.1819129346454398</v>
      </c>
      <c r="M46" s="50">
        <f t="shared" si="23"/>
        <v>7.9721737456083686E-2</v>
      </c>
      <c r="N46" s="48">
        <v>1.9711499979989899</v>
      </c>
      <c r="O46" s="49">
        <f t="shared" si="24"/>
        <v>2.7762676028154788E-2</v>
      </c>
      <c r="P46" s="48">
        <v>776.70383267955106</v>
      </c>
      <c r="Q46" s="49">
        <f t="shared" si="25"/>
        <v>10.495997738912852</v>
      </c>
      <c r="R46" s="48">
        <v>1.2712277743382701</v>
      </c>
      <c r="S46" s="49">
        <f t="shared" si="26"/>
        <v>1.1880633405030561E-2</v>
      </c>
      <c r="T46" s="48">
        <v>293.19084042405802</v>
      </c>
      <c r="U46" s="49">
        <f t="shared" si="27"/>
        <v>2.6413589227392613</v>
      </c>
      <c r="V46" s="51">
        <v>8.1645255256882297E-3</v>
      </c>
      <c r="W46" s="50">
        <f>V46/115</f>
        <v>7.0995874136419384E-5</v>
      </c>
      <c r="X46" s="48">
        <v>631.79209929084595</v>
      </c>
      <c r="Y46" s="49">
        <f t="shared" si="28"/>
        <v>3.037462015821375</v>
      </c>
      <c r="Z46" s="52">
        <f t="shared" si="11"/>
        <v>1.4250781355254318</v>
      </c>
      <c r="AA46" s="52">
        <f t="shared" si="12"/>
        <v>130.47574942741653</v>
      </c>
      <c r="AB46" s="59">
        <f t="shared" si="13"/>
        <v>403.62574942741651</v>
      </c>
      <c r="AC46" s="59">
        <v>0.01</v>
      </c>
      <c r="AD46" s="59">
        <f t="shared" si="29"/>
        <v>49.046130333231581</v>
      </c>
      <c r="AE46" s="53">
        <f>J46/(G46*10000)*(65/57)</f>
        <v>2.1153391769113617E-2</v>
      </c>
      <c r="AF46" s="53">
        <f t="shared" si="15"/>
        <v>2.071519513093531E-2</v>
      </c>
      <c r="AG46" s="52">
        <f>0.8*LOG10(53.1*AF46/AD46)-1.38</f>
        <v>-2.699376958575705</v>
      </c>
      <c r="AH46" s="59">
        <f t="shared" si="16"/>
        <v>-17.264385504154092</v>
      </c>
      <c r="AI46" s="59">
        <f t="shared" si="17"/>
        <v>0.19882502975722005</v>
      </c>
    </row>
    <row r="47" spans="1:35">
      <c r="A47" s="46" t="s">
        <v>77</v>
      </c>
      <c r="B47" s="178" t="s">
        <v>78</v>
      </c>
      <c r="C47" s="179" t="s">
        <v>71</v>
      </c>
      <c r="D47" s="179" t="s">
        <v>64</v>
      </c>
      <c r="E47" s="46" t="s">
        <v>73</v>
      </c>
      <c r="F47" s="58">
        <v>15.7993090842104</v>
      </c>
      <c r="G47" s="47">
        <v>64.721999999999994</v>
      </c>
      <c r="H47" s="48">
        <v>103.166422581912</v>
      </c>
      <c r="I47" s="49">
        <f t="shared" si="21"/>
        <v>1.8757531378529455</v>
      </c>
      <c r="J47" s="48">
        <v>14004.4491553017</v>
      </c>
      <c r="K47" s="49">
        <f t="shared" si="22"/>
        <v>245.69209044388947</v>
      </c>
      <c r="L47" s="48">
        <v>3.3292432212121201</v>
      </c>
      <c r="M47" s="50">
        <f t="shared" si="23"/>
        <v>5.1219126480186464E-2</v>
      </c>
      <c r="N47" s="48">
        <v>13.4418800323315</v>
      </c>
      <c r="O47" s="49">
        <f t="shared" si="24"/>
        <v>0.18932225397650002</v>
      </c>
      <c r="P47" s="48">
        <v>1174.0318255846</v>
      </c>
      <c r="Q47" s="49">
        <f t="shared" si="25"/>
        <v>15.865294940332433</v>
      </c>
      <c r="R47" s="48">
        <v>1.1502010886796099</v>
      </c>
      <c r="S47" s="49">
        <f t="shared" si="26"/>
        <v>1.0749542884856167E-2</v>
      </c>
      <c r="T47" s="48">
        <v>395.17889030696603</v>
      </c>
      <c r="U47" s="49">
        <f t="shared" si="27"/>
        <v>3.5601701829456398</v>
      </c>
      <c r="V47" s="51">
        <v>1.74175731581846E-2</v>
      </c>
      <c r="W47" s="50">
        <f>V47/115</f>
        <v>1.5145715789725739E-4</v>
      </c>
      <c r="X47" s="48">
        <v>4863.09928881623</v>
      </c>
      <c r="Y47" s="49">
        <f t="shared" si="28"/>
        <v>23.380285042385722</v>
      </c>
      <c r="Z47" s="52">
        <f t="shared" si="11"/>
        <v>1.5202956880146041</v>
      </c>
      <c r="AA47" s="52">
        <f t="shared" si="12"/>
        <v>125.29591457200554</v>
      </c>
      <c r="AB47" s="59">
        <f t="shared" si="13"/>
        <v>398.44591457200551</v>
      </c>
      <c r="AC47" s="59">
        <v>0.01</v>
      </c>
      <c r="AD47" s="59">
        <f t="shared" si="29"/>
        <v>48.980222899090364</v>
      </c>
      <c r="AE47" s="53">
        <f>J47/(G47*10000)*(65/57)</f>
        <v>2.4674741013647316E-2</v>
      </c>
      <c r="AF47" s="53">
        <f t="shared" si="15"/>
        <v>2.4080559445857051E-2</v>
      </c>
      <c r="AG47" s="52">
        <f>0.8*LOG10(53.1*AF47/AD47)-1.38</f>
        <v>-2.6466077310016622</v>
      </c>
      <c r="AH47" s="59">
        <f t="shared" si="16"/>
        <v>-17.853048312874108</v>
      </c>
      <c r="AI47" s="59">
        <f t="shared" si="17"/>
        <v>-2.298535315050998E-2</v>
      </c>
    </row>
    <row r="48" spans="1:35">
      <c r="A48" s="46"/>
      <c r="B48" s="178"/>
      <c r="C48" s="46" t="s">
        <v>71</v>
      </c>
      <c r="D48" s="46" t="s">
        <v>59</v>
      </c>
      <c r="E48" s="46" t="s">
        <v>73</v>
      </c>
      <c r="F48" s="58">
        <v>15.630927626251601</v>
      </c>
      <c r="G48" s="47">
        <v>65.373000000000005</v>
      </c>
      <c r="H48" s="48">
        <v>16.0491431467685</v>
      </c>
      <c r="I48" s="49">
        <f t="shared" si="21"/>
        <v>0.29180260266851821</v>
      </c>
      <c r="J48" s="48">
        <v>4329.5441050167501</v>
      </c>
      <c r="K48" s="49">
        <f t="shared" si="22"/>
        <v>75.956914123100873</v>
      </c>
      <c r="L48" s="48">
        <v>0.59103247402259695</v>
      </c>
      <c r="M48" s="50">
        <f t="shared" si="23"/>
        <v>9.0928072926553371E-3</v>
      </c>
      <c r="N48" s="48">
        <v>32.092961605038802</v>
      </c>
      <c r="O48" s="49">
        <f t="shared" si="24"/>
        <v>0.45201354373294089</v>
      </c>
      <c r="P48" s="48">
        <v>442.406001990486</v>
      </c>
      <c r="Q48" s="49">
        <f t="shared" si="25"/>
        <v>5.9784594863579192</v>
      </c>
      <c r="R48" s="48">
        <v>1.1016042934058199</v>
      </c>
      <c r="S48" s="49">
        <f t="shared" si="26"/>
        <v>1.0295367228091774E-2</v>
      </c>
      <c r="T48" s="48">
        <v>2512.28506360029</v>
      </c>
      <c r="U48" s="49">
        <f t="shared" si="27"/>
        <v>22.633198771173785</v>
      </c>
      <c r="V48" s="51"/>
      <c r="W48" s="50"/>
      <c r="X48" s="48">
        <v>329.54965392398401</v>
      </c>
      <c r="Y48" s="49">
        <f t="shared" si="28"/>
        <v>1.5843733361730001</v>
      </c>
      <c r="Z48" s="52"/>
      <c r="AA48" s="52"/>
      <c r="AB48" s="59"/>
      <c r="AC48" s="59"/>
      <c r="AD48" s="59"/>
      <c r="AE48" s="53"/>
      <c r="AF48" s="53"/>
      <c r="AG48" s="52"/>
      <c r="AH48" s="59"/>
      <c r="AI48" s="59"/>
    </row>
    <row r="49" spans="1:35">
      <c r="A49" s="46"/>
      <c r="B49" s="178"/>
      <c r="C49" s="46" t="s">
        <v>71</v>
      </c>
      <c r="D49" s="179" t="s">
        <v>64</v>
      </c>
      <c r="E49" s="46" t="s">
        <v>73</v>
      </c>
      <c r="F49" s="58">
        <v>15.789830343833499</v>
      </c>
      <c r="G49" s="47">
        <v>65.674999999999997</v>
      </c>
      <c r="H49" s="48">
        <v>16.759058115287601</v>
      </c>
      <c r="I49" s="49">
        <f t="shared" si="21"/>
        <v>0.30471014755068365</v>
      </c>
      <c r="J49" s="48">
        <v>8019.6142772971398</v>
      </c>
      <c r="K49" s="49">
        <f t="shared" si="22"/>
        <v>140.69498732100246</v>
      </c>
      <c r="L49" s="48">
        <v>0.46739407695937202</v>
      </c>
      <c r="M49" s="50">
        <f t="shared" si="23"/>
        <v>7.190678107067262E-3</v>
      </c>
      <c r="N49" s="48">
        <v>31.717506343096499</v>
      </c>
      <c r="O49" s="49">
        <f t="shared" si="24"/>
        <v>0.44672544145206339</v>
      </c>
      <c r="P49" s="48">
        <v>485.70729783261299</v>
      </c>
      <c r="Q49" s="49">
        <f t="shared" si="25"/>
        <v>6.5636121328731489</v>
      </c>
      <c r="R49" s="48">
        <v>1.10995747139917</v>
      </c>
      <c r="S49" s="49">
        <f t="shared" si="26"/>
        <v>1.0373434312141775E-2</v>
      </c>
      <c r="T49" s="48">
        <v>1557.11758021172</v>
      </c>
      <c r="U49" s="49">
        <f t="shared" si="27"/>
        <v>14.028086308213693</v>
      </c>
      <c r="V49" s="51"/>
      <c r="W49" s="50"/>
      <c r="X49" s="48">
        <v>694.25183931116396</v>
      </c>
      <c r="Y49" s="49">
        <f t="shared" si="28"/>
        <v>3.3377492274575191</v>
      </c>
      <c r="Z49" s="52"/>
      <c r="AA49" s="52"/>
      <c r="AB49" s="59"/>
      <c r="AC49" s="59"/>
      <c r="AD49" s="59"/>
      <c r="AE49" s="53"/>
      <c r="AF49" s="53"/>
      <c r="AG49" s="52"/>
      <c r="AH49" s="59"/>
      <c r="AI49" s="59"/>
    </row>
    <row r="50" spans="1:35">
      <c r="A50" s="46"/>
      <c r="B50" s="178"/>
      <c r="C50" s="46" t="s">
        <v>71</v>
      </c>
      <c r="D50" s="179" t="s">
        <v>64</v>
      </c>
      <c r="E50" s="46" t="s">
        <v>73</v>
      </c>
      <c r="F50" s="58">
        <v>15.833787732934899</v>
      </c>
      <c r="G50" s="47">
        <v>64.88</v>
      </c>
      <c r="H50" s="48">
        <v>12.5991294666991</v>
      </c>
      <c r="I50" s="49">
        <f t="shared" si="21"/>
        <v>0.22907508121271092</v>
      </c>
      <c r="J50" s="48">
        <v>7737.05995175312</v>
      </c>
      <c r="K50" s="49">
        <f t="shared" si="22"/>
        <v>135.73789389040562</v>
      </c>
      <c r="L50" s="48">
        <v>2.3675068962283001</v>
      </c>
      <c r="M50" s="50">
        <f t="shared" si="23"/>
        <v>3.6423183018896924E-2</v>
      </c>
      <c r="N50" s="48">
        <v>79.690725819631297</v>
      </c>
      <c r="O50" s="49">
        <f t="shared" si="24"/>
        <v>1.1224045890088914</v>
      </c>
      <c r="P50" s="48">
        <v>418.09967297064497</v>
      </c>
      <c r="Q50" s="49">
        <f t="shared" si="25"/>
        <v>5.6499955806843918</v>
      </c>
      <c r="R50" s="48">
        <v>1.1204910034890101</v>
      </c>
      <c r="S50" s="49">
        <f t="shared" si="26"/>
        <v>1.0471878537280469E-2</v>
      </c>
      <c r="T50" s="48">
        <v>2205.9369129834699</v>
      </c>
      <c r="U50" s="49">
        <f t="shared" si="27"/>
        <v>19.873305522373602</v>
      </c>
      <c r="V50" s="51"/>
      <c r="W50" s="50"/>
      <c r="X50" s="48">
        <v>273.33966449434001</v>
      </c>
      <c r="Y50" s="49">
        <f t="shared" si="28"/>
        <v>1.3141330023766347</v>
      </c>
      <c r="Z50" s="52"/>
      <c r="AA50" s="52"/>
      <c r="AB50" s="59"/>
      <c r="AC50" s="59"/>
      <c r="AD50" s="59"/>
      <c r="AE50" s="53"/>
      <c r="AF50" s="53"/>
      <c r="AG50" s="52"/>
      <c r="AH50" s="59"/>
      <c r="AI50" s="59"/>
    </row>
    <row r="51" spans="1:35">
      <c r="A51" s="46"/>
      <c r="B51" s="178"/>
      <c r="C51" s="46" t="s">
        <v>71</v>
      </c>
      <c r="D51" s="46" t="s">
        <v>59</v>
      </c>
      <c r="E51" s="46" t="s">
        <v>73</v>
      </c>
      <c r="F51" s="58">
        <v>15.636607094221699</v>
      </c>
      <c r="G51" s="47">
        <v>65.825999999999993</v>
      </c>
      <c r="H51" s="48">
        <v>24.9966681148594</v>
      </c>
      <c r="I51" s="49">
        <f t="shared" si="21"/>
        <v>0.45448487481562544</v>
      </c>
      <c r="J51" s="48">
        <v>2765.7771596243401</v>
      </c>
      <c r="K51" s="49">
        <f t="shared" si="22"/>
        <v>48.522406309198949</v>
      </c>
      <c r="L51" s="48">
        <v>1.02310590546703</v>
      </c>
      <c r="M51" s="50">
        <f t="shared" si="23"/>
        <v>1.5740090853338922E-2</v>
      </c>
      <c r="N51" s="48">
        <v>14.674755954939799</v>
      </c>
      <c r="O51" s="49">
        <f t="shared" si="24"/>
        <v>0.2066867035907014</v>
      </c>
      <c r="P51" s="48">
        <v>640.029947056575</v>
      </c>
      <c r="Q51" s="49">
        <f t="shared" si="25"/>
        <v>8.6490533386023642</v>
      </c>
      <c r="R51" s="48">
        <v>1.14224736335538</v>
      </c>
      <c r="S51" s="49">
        <f t="shared" si="26"/>
        <v>1.0675209003321308E-2</v>
      </c>
      <c r="T51" s="48">
        <v>1489.3627424466099</v>
      </c>
      <c r="U51" s="49">
        <f t="shared" si="27"/>
        <v>13.417682364383873</v>
      </c>
      <c r="V51" s="51"/>
      <c r="W51" s="50"/>
      <c r="X51" s="48">
        <v>1775.70394814926</v>
      </c>
      <c r="Y51" s="49">
        <f t="shared" si="28"/>
        <v>8.5370382122560571</v>
      </c>
      <c r="Z51" s="52"/>
      <c r="AA51" s="52"/>
      <c r="AB51" s="59"/>
      <c r="AC51" s="59"/>
      <c r="AD51" s="59"/>
      <c r="AE51" s="53"/>
      <c r="AF51" s="53"/>
      <c r="AG51" s="52"/>
      <c r="AH51" s="59"/>
      <c r="AI51" s="59"/>
    </row>
    <row r="52" spans="1:35">
      <c r="A52" s="46"/>
      <c r="B52" s="178"/>
      <c r="C52" s="46" t="s">
        <v>71</v>
      </c>
      <c r="D52" s="179" t="s">
        <v>64</v>
      </c>
      <c r="E52" s="46" t="s">
        <v>73</v>
      </c>
      <c r="F52" s="58">
        <v>16.0984092402968</v>
      </c>
      <c r="G52" s="47">
        <v>64.844999999999999</v>
      </c>
      <c r="H52" s="48">
        <v>13.771477247079901</v>
      </c>
      <c r="I52" s="49">
        <f t="shared" si="21"/>
        <v>0.25039049540145275</v>
      </c>
      <c r="J52" s="48">
        <v>10818.9740818427</v>
      </c>
      <c r="K52" s="49">
        <f t="shared" si="22"/>
        <v>189.80656283934562</v>
      </c>
      <c r="L52" s="48">
        <v>0.39669334812063101</v>
      </c>
      <c r="M52" s="50">
        <f t="shared" si="23"/>
        <v>6.1029745864712463E-3</v>
      </c>
      <c r="N52" s="48">
        <v>12.892671116678001</v>
      </c>
      <c r="O52" s="49">
        <f t="shared" si="24"/>
        <v>0.18158691713630987</v>
      </c>
      <c r="P52" s="48">
        <v>420.97654079001501</v>
      </c>
      <c r="Q52" s="49">
        <f t="shared" si="25"/>
        <v>5.6888721728380407</v>
      </c>
      <c r="R52" s="48">
        <v>1.17578103435045</v>
      </c>
      <c r="S52" s="49">
        <f t="shared" si="26"/>
        <v>1.0988607797667757E-2</v>
      </c>
      <c r="T52" s="48">
        <v>1127.9841936651501</v>
      </c>
      <c r="U52" s="49">
        <f t="shared" si="27"/>
        <v>10.1620197627491</v>
      </c>
      <c r="V52" s="51"/>
      <c r="W52" s="50"/>
      <c r="X52" s="48">
        <v>327.07534498164603</v>
      </c>
      <c r="Y52" s="49">
        <f t="shared" si="28"/>
        <v>1.5724776201040673</v>
      </c>
      <c r="Z52" s="52"/>
      <c r="AA52" s="52"/>
      <c r="AB52" s="59"/>
      <c r="AC52" s="59"/>
      <c r="AD52" s="59"/>
      <c r="AE52" s="53"/>
      <c r="AF52" s="53"/>
      <c r="AG52" s="52"/>
      <c r="AH52" s="59"/>
      <c r="AI52" s="59"/>
    </row>
    <row r="53" spans="1:35">
      <c r="A53" s="46"/>
      <c r="B53" s="178"/>
      <c r="C53" s="46" t="s">
        <v>71</v>
      </c>
      <c r="D53" s="46" t="s">
        <v>59</v>
      </c>
      <c r="E53" s="46" t="s">
        <v>73</v>
      </c>
      <c r="F53" s="58">
        <v>16.073271344296401</v>
      </c>
      <c r="G53" s="47">
        <v>65.677999999999997</v>
      </c>
      <c r="H53" s="48">
        <v>28.4384074093172</v>
      </c>
      <c r="I53" s="49">
        <f t="shared" si="21"/>
        <v>0.51706195289667634</v>
      </c>
      <c r="J53" s="48">
        <v>6520.5095835544098</v>
      </c>
      <c r="K53" s="49">
        <f t="shared" si="22"/>
        <v>114.39490497463876</v>
      </c>
      <c r="L53" s="48">
        <v>1.25602154206782</v>
      </c>
      <c r="M53" s="50">
        <f t="shared" si="23"/>
        <v>1.9323408339504924E-2</v>
      </c>
      <c r="N53" s="48">
        <v>39.229586575068502</v>
      </c>
      <c r="O53" s="49">
        <f t="shared" si="24"/>
        <v>0.55252938838124654</v>
      </c>
      <c r="P53" s="48">
        <v>446.30599216247703</v>
      </c>
      <c r="Q53" s="49">
        <f t="shared" si="25"/>
        <v>6.0311620562496895</v>
      </c>
      <c r="R53" s="48">
        <v>1.20558129063925</v>
      </c>
      <c r="S53" s="49">
        <f t="shared" si="26"/>
        <v>1.1267114865787383E-2</v>
      </c>
      <c r="T53" s="48">
        <v>961.36432571210901</v>
      </c>
      <c r="U53" s="49">
        <f t="shared" si="27"/>
        <v>8.6609398712802612</v>
      </c>
      <c r="V53" s="51"/>
      <c r="W53" s="50"/>
      <c r="X53" s="48">
        <v>401.17554662054198</v>
      </c>
      <c r="Y53" s="49">
        <f t="shared" si="28"/>
        <v>1.9287285895218365</v>
      </c>
      <c r="Z53" s="52"/>
      <c r="AA53" s="52"/>
      <c r="AB53" s="59"/>
      <c r="AC53" s="59"/>
      <c r="AD53" s="59"/>
      <c r="AE53" s="53"/>
      <c r="AF53" s="53"/>
      <c r="AG53" s="52"/>
      <c r="AH53" s="59"/>
      <c r="AI53" s="59"/>
    </row>
    <row r="54" spans="1:35">
      <c r="A54" s="46"/>
      <c r="B54" s="178"/>
      <c r="C54" s="46" t="s">
        <v>71</v>
      </c>
      <c r="D54" s="46" t="s">
        <v>59</v>
      </c>
      <c r="E54" s="46" t="s">
        <v>73</v>
      </c>
      <c r="F54" s="58">
        <v>15.8009458077332</v>
      </c>
      <c r="G54" s="47">
        <v>65.150000000000006</v>
      </c>
      <c r="H54" s="48">
        <v>89.291939189456897</v>
      </c>
      <c r="I54" s="49">
        <f t="shared" si="21"/>
        <v>1.6234898034446708</v>
      </c>
      <c r="J54" s="48">
        <v>8067.9476255869904</v>
      </c>
      <c r="K54" s="49">
        <f t="shared" si="22"/>
        <v>141.54294079977177</v>
      </c>
      <c r="L54" s="48">
        <v>4.7256088131949401</v>
      </c>
      <c r="M54" s="50">
        <f t="shared" si="23"/>
        <v>7.2701674049152926E-2</v>
      </c>
      <c r="N54" s="48">
        <v>20.1414800188107</v>
      </c>
      <c r="O54" s="49">
        <f t="shared" si="24"/>
        <v>0.28368281716634791</v>
      </c>
      <c r="P54" s="48">
        <v>708.60145668390101</v>
      </c>
      <c r="Q54" s="49">
        <f t="shared" si="25"/>
        <v>9.5756953605932562</v>
      </c>
      <c r="R54" s="48">
        <v>1.25392825512544</v>
      </c>
      <c r="S54" s="49">
        <f t="shared" si="26"/>
        <v>1.1718955655377944E-2</v>
      </c>
      <c r="T54" s="48">
        <v>683.154643353756</v>
      </c>
      <c r="U54" s="49">
        <f t="shared" si="27"/>
        <v>6.1545463365203243</v>
      </c>
      <c r="V54" s="51">
        <v>4.6639534350489599E-2</v>
      </c>
      <c r="W54" s="50">
        <f>V54/115</f>
        <v>4.0556116826512696E-4</v>
      </c>
      <c r="X54" s="48">
        <v>2361.1736927697302</v>
      </c>
      <c r="Y54" s="49">
        <f t="shared" si="28"/>
        <v>11.351796599854472</v>
      </c>
      <c r="Z54" s="52">
        <f t="shared" si="11"/>
        <v>1.6227717189869137</v>
      </c>
      <c r="AA54" s="52">
        <f t="shared" si="12"/>
        <v>119.7212184871119</v>
      </c>
      <c r="AB54" s="59">
        <f t="shared" si="13"/>
        <v>392.87121848711189</v>
      </c>
      <c r="AC54" s="59">
        <v>0.01</v>
      </c>
      <c r="AD54" s="59">
        <f t="shared" si="29"/>
        <v>48.909257150562844</v>
      </c>
      <c r="AE54" s="53">
        <f t="shared" ref="AE54:AE61" si="30">J54/(G54*10000)*(65/57)</f>
        <v>1.4121705528756967E-2</v>
      </c>
      <c r="AF54" s="53">
        <f t="shared" si="15"/>
        <v>1.3925059932914062E-2</v>
      </c>
      <c r="AG54" s="52">
        <f>0.8*LOG10(53.1*AF54/AD54)-1.38</f>
        <v>-2.8363995780401323</v>
      </c>
      <c r="AH54" s="59">
        <f t="shared" si="16"/>
        <v>-18.007651063110515</v>
      </c>
      <c r="AI54" s="59">
        <f t="shared" si="17"/>
        <v>0.22803746999501584</v>
      </c>
    </row>
    <row r="55" spans="1:35">
      <c r="A55" s="46"/>
      <c r="B55" s="178"/>
      <c r="C55" s="46" t="s">
        <v>71</v>
      </c>
      <c r="D55" s="46" t="s">
        <v>59</v>
      </c>
      <c r="E55" s="46" t="s">
        <v>73</v>
      </c>
      <c r="F55" s="58">
        <v>15.699592139358801</v>
      </c>
      <c r="G55" s="47">
        <v>65.489999999999995</v>
      </c>
      <c r="H55" s="48">
        <v>77.684747624501398</v>
      </c>
      <c r="I55" s="49">
        <f t="shared" si="21"/>
        <v>1.4124499568091162</v>
      </c>
      <c r="J55" s="48">
        <v>7198.4230683013102</v>
      </c>
      <c r="K55" s="49">
        <f t="shared" si="22"/>
        <v>126.28812400528615</v>
      </c>
      <c r="L55" s="48">
        <v>4.1248184095604898</v>
      </c>
      <c r="M55" s="50">
        <f t="shared" si="23"/>
        <v>6.3458744762469071E-2</v>
      </c>
      <c r="N55" s="48">
        <v>17.240966206782801</v>
      </c>
      <c r="O55" s="49">
        <f t="shared" si="24"/>
        <v>0.24283050995468733</v>
      </c>
      <c r="P55" s="48">
        <v>780.65331297059799</v>
      </c>
      <c r="Q55" s="49">
        <f t="shared" si="25"/>
        <v>10.549369094197271</v>
      </c>
      <c r="R55" s="48">
        <v>1.17831634278707</v>
      </c>
      <c r="S55" s="49">
        <f t="shared" si="26"/>
        <v>1.1012302269038036E-2</v>
      </c>
      <c r="T55" s="48">
        <v>863.09915678119899</v>
      </c>
      <c r="U55" s="49">
        <f t="shared" si="27"/>
        <v>7.7756680791099004</v>
      </c>
      <c r="V55" s="51">
        <v>2.09454435185694E-2</v>
      </c>
      <c r="W55" s="50">
        <f>V55/115</f>
        <v>1.8213429146582088E-4</v>
      </c>
      <c r="X55" s="48">
        <v>1682.8140794989399</v>
      </c>
      <c r="Y55" s="49">
        <f t="shared" si="28"/>
        <v>8.0904523052833657</v>
      </c>
      <c r="Z55" s="52">
        <f t="shared" si="11"/>
        <v>1.7679697996478099</v>
      </c>
      <c r="AA55" s="52">
        <f t="shared" si="12"/>
        <v>111.82244289915914</v>
      </c>
      <c r="AB55" s="59">
        <f t="shared" si="13"/>
        <v>384.97244289915909</v>
      </c>
      <c r="AC55" s="59">
        <v>0.01</v>
      </c>
      <c r="AD55" s="59">
        <f t="shared" si="29"/>
        <v>48.808642349350343</v>
      </c>
      <c r="AE55" s="53">
        <f t="shared" si="30"/>
        <v>1.2534322889515346E-2</v>
      </c>
      <c r="AF55" s="53">
        <f t="shared" si="15"/>
        <v>1.2379158519531048E-2</v>
      </c>
      <c r="AG55" s="52">
        <f>0.8*LOG10(53.1*AF55/AD55)-1.38</f>
        <v>-2.8765688657864539</v>
      </c>
      <c r="AH55" s="59">
        <f t="shared" si="16"/>
        <v>-18.710690138904432</v>
      </c>
      <c r="AI55" s="59">
        <f t="shared" si="17"/>
        <v>0.11984315741135987</v>
      </c>
    </row>
    <row r="56" spans="1:35">
      <c r="A56" s="46"/>
      <c r="B56" s="178"/>
      <c r="C56" s="46" t="s">
        <v>71</v>
      </c>
      <c r="D56" s="179" t="s">
        <v>64</v>
      </c>
      <c r="E56" s="46" t="s">
        <v>73</v>
      </c>
      <c r="F56" s="58">
        <v>15.963306999647099</v>
      </c>
      <c r="G56" s="47">
        <v>65.078999999999994</v>
      </c>
      <c r="H56" s="48">
        <v>46.489469591691098</v>
      </c>
      <c r="I56" s="49">
        <f t="shared" si="21"/>
        <v>0.84526308348529267</v>
      </c>
      <c r="J56" s="48">
        <v>15386.1738781694</v>
      </c>
      <c r="K56" s="49">
        <f t="shared" si="22"/>
        <v>269.93287505560352</v>
      </c>
      <c r="L56" s="48">
        <v>1.9580115775618401</v>
      </c>
      <c r="M56" s="50">
        <f t="shared" si="23"/>
        <v>3.0123255039412926E-2</v>
      </c>
      <c r="N56" s="48">
        <v>11.558953942454201</v>
      </c>
      <c r="O56" s="49">
        <f t="shared" si="24"/>
        <v>0.16280216820358029</v>
      </c>
      <c r="P56" s="48">
        <v>623.08428377175005</v>
      </c>
      <c r="Q56" s="49">
        <f t="shared" si="25"/>
        <v>8.4200578888074329</v>
      </c>
      <c r="R56" s="48">
        <v>1.1940739529359401</v>
      </c>
      <c r="S56" s="49">
        <f t="shared" si="26"/>
        <v>1.1159569653606916E-2</v>
      </c>
      <c r="T56" s="48">
        <v>1088.3271123923</v>
      </c>
      <c r="U56" s="49">
        <f t="shared" si="27"/>
        <v>9.8047487602909911</v>
      </c>
      <c r="V56" s="51"/>
      <c r="W56" s="50"/>
      <c r="X56" s="48">
        <v>1500.4324298481799</v>
      </c>
      <c r="Y56" s="49">
        <f t="shared" si="28"/>
        <v>7.2136174511931728</v>
      </c>
      <c r="Z56" s="52"/>
      <c r="AA56" s="52"/>
      <c r="AB56" s="59"/>
      <c r="AC56" s="59"/>
      <c r="AD56" s="59"/>
      <c r="AE56" s="53"/>
      <c r="AF56" s="53"/>
      <c r="AG56" s="52"/>
      <c r="AH56" s="59"/>
      <c r="AI56" s="59"/>
    </row>
    <row r="57" spans="1:35">
      <c r="A57" s="46"/>
      <c r="B57" s="178"/>
      <c r="C57" s="46" t="s">
        <v>71</v>
      </c>
      <c r="D57" s="179" t="s">
        <v>64</v>
      </c>
      <c r="E57" s="46" t="s">
        <v>73</v>
      </c>
      <c r="F57" s="58">
        <v>15.9696008745036</v>
      </c>
      <c r="G57" s="47">
        <v>65.352999999999994</v>
      </c>
      <c r="H57" s="48">
        <v>28.410146784454099</v>
      </c>
      <c r="I57" s="49">
        <f t="shared" si="21"/>
        <v>0.51654812335371092</v>
      </c>
      <c r="J57" s="48">
        <v>13690.4066259926</v>
      </c>
      <c r="K57" s="49">
        <f t="shared" si="22"/>
        <v>240.1825723858351</v>
      </c>
      <c r="L57" s="48">
        <v>1.69865446337363</v>
      </c>
      <c r="M57" s="50">
        <f t="shared" si="23"/>
        <v>2.6133145590363539E-2</v>
      </c>
      <c r="N57" s="48">
        <v>11.466459402150299</v>
      </c>
      <c r="O57" s="49">
        <f t="shared" si="24"/>
        <v>0.16149942819929999</v>
      </c>
      <c r="P57" s="48">
        <v>504.319526502928</v>
      </c>
      <c r="Q57" s="49">
        <f t="shared" si="25"/>
        <v>6.815128736526054</v>
      </c>
      <c r="R57" s="48">
        <v>1.2093859903403299</v>
      </c>
      <c r="S57" s="49">
        <f t="shared" si="26"/>
        <v>1.1302672806918971E-2</v>
      </c>
      <c r="T57" s="48">
        <v>979.59375600690498</v>
      </c>
      <c r="U57" s="49">
        <f t="shared" si="27"/>
        <v>8.8251689730351792</v>
      </c>
      <c r="V57" s="51"/>
      <c r="W57" s="50"/>
      <c r="X57" s="48">
        <v>775.27697404285402</v>
      </c>
      <c r="Y57" s="49">
        <f t="shared" si="28"/>
        <v>3.727293144436798</v>
      </c>
      <c r="Z57" s="52"/>
      <c r="AA57" s="52"/>
      <c r="AB57" s="59"/>
      <c r="AC57" s="59"/>
      <c r="AD57" s="59"/>
      <c r="AE57" s="53"/>
      <c r="AF57" s="53"/>
      <c r="AG57" s="52"/>
      <c r="AH57" s="59"/>
      <c r="AI57" s="59"/>
    </row>
    <row r="58" spans="1:35">
      <c r="A58" s="46"/>
      <c r="B58" s="178"/>
      <c r="C58" s="46" t="s">
        <v>71</v>
      </c>
      <c r="D58" s="46" t="s">
        <v>79</v>
      </c>
      <c r="E58" s="46" t="s">
        <v>73</v>
      </c>
      <c r="F58" s="58">
        <v>16.076848152364299</v>
      </c>
      <c r="G58" s="47">
        <v>65.186999999999998</v>
      </c>
      <c r="H58" s="48">
        <v>13.0018503418574</v>
      </c>
      <c r="I58" s="49">
        <f t="shared" si="21"/>
        <v>0.23639727894286183</v>
      </c>
      <c r="J58" s="48">
        <v>2840.9776763935802</v>
      </c>
      <c r="K58" s="49">
        <f t="shared" si="22"/>
        <v>49.841713620940006</v>
      </c>
      <c r="L58" s="48">
        <v>4.3231119314048199</v>
      </c>
      <c r="M58" s="50">
        <f t="shared" si="23"/>
        <v>6.6509414329304919E-2</v>
      </c>
      <c r="N58" s="48">
        <v>37.695411711547699</v>
      </c>
      <c r="O58" s="49">
        <f t="shared" si="24"/>
        <v>0.53092129171193947</v>
      </c>
      <c r="P58" s="48">
        <v>371.67020706285001</v>
      </c>
      <c r="Q58" s="49">
        <f t="shared" si="25"/>
        <v>5.0225703657141896</v>
      </c>
      <c r="R58" s="48">
        <v>1.2250920030941499</v>
      </c>
      <c r="S58" s="49">
        <f t="shared" si="26"/>
        <v>1.1449457972842523E-2</v>
      </c>
      <c r="T58" s="48">
        <v>2344.6684007612198</v>
      </c>
      <c r="U58" s="49">
        <f t="shared" si="27"/>
        <v>21.123138745596574</v>
      </c>
      <c r="V58" s="51"/>
      <c r="W58" s="50"/>
      <c r="X58" s="48">
        <v>209.75506245709499</v>
      </c>
      <c r="Y58" s="49">
        <f t="shared" si="28"/>
        <v>1.0084378002744951</v>
      </c>
      <c r="Z58" s="52"/>
      <c r="AA58" s="52"/>
      <c r="AB58" s="59"/>
      <c r="AC58" s="59"/>
      <c r="AD58" s="59"/>
      <c r="AE58" s="53"/>
      <c r="AF58" s="53"/>
      <c r="AG58" s="52"/>
      <c r="AH58" s="59"/>
      <c r="AI58" s="59"/>
    </row>
    <row r="59" spans="1:35">
      <c r="A59" s="46"/>
      <c r="B59" s="178"/>
      <c r="C59" s="46" t="s">
        <v>71</v>
      </c>
      <c r="D59" s="179" t="s">
        <v>64</v>
      </c>
      <c r="E59" s="46" t="s">
        <v>73</v>
      </c>
      <c r="F59" s="58">
        <v>16.384646876033099</v>
      </c>
      <c r="G59" s="47">
        <v>64.77</v>
      </c>
      <c r="H59" s="48">
        <v>27.443989491117801</v>
      </c>
      <c r="I59" s="49">
        <f t="shared" si="21"/>
        <v>0.49898162711123273</v>
      </c>
      <c r="J59" s="48">
        <v>11387.780758949801</v>
      </c>
      <c r="K59" s="49">
        <f t="shared" si="22"/>
        <v>199.7856273499965</v>
      </c>
      <c r="L59" s="48">
        <v>2.8003811607817899</v>
      </c>
      <c r="M59" s="50">
        <f t="shared" si="23"/>
        <v>4.3082787088950615E-2</v>
      </c>
      <c r="N59" s="48">
        <v>1.9279057292756401</v>
      </c>
      <c r="O59" s="49">
        <f t="shared" si="24"/>
        <v>2.7153601820783663E-2</v>
      </c>
      <c r="P59" s="48">
        <v>576.11044025557806</v>
      </c>
      <c r="Q59" s="49">
        <f t="shared" si="25"/>
        <v>7.7852762196699734</v>
      </c>
      <c r="R59" s="48">
        <v>1.22651164110681</v>
      </c>
      <c r="S59" s="49">
        <f t="shared" si="26"/>
        <v>1.1462725617820654E-2</v>
      </c>
      <c r="T59" s="48">
        <v>367.875094519789</v>
      </c>
      <c r="U59" s="49">
        <f t="shared" si="27"/>
        <v>3.3141900407188198</v>
      </c>
      <c r="V59" s="51">
        <v>1.1607086709184099E-2</v>
      </c>
      <c r="W59" s="50">
        <f>V59/115</f>
        <v>1.0093118877551391E-4</v>
      </c>
      <c r="X59" s="48">
        <v>604.62974186282895</v>
      </c>
      <c r="Y59" s="49">
        <f t="shared" si="28"/>
        <v>2.9068737589559084</v>
      </c>
      <c r="Z59" s="52">
        <f t="shared" si="11"/>
        <v>1.3224636567069588</v>
      </c>
      <c r="AA59" s="52">
        <f t="shared" si="12"/>
        <v>136.05797707514145</v>
      </c>
      <c r="AB59" s="59">
        <f t="shared" si="13"/>
        <v>409.20797707514146</v>
      </c>
      <c r="AC59" s="59">
        <v>0.01</v>
      </c>
      <c r="AD59" s="59">
        <f t="shared" si="29"/>
        <v>49.117124888859081</v>
      </c>
      <c r="AE59" s="53">
        <f t="shared" si="30"/>
        <v>2.0049507144896977E-2</v>
      </c>
      <c r="AF59" s="53">
        <f t="shared" si="15"/>
        <v>1.9655425549898301E-2</v>
      </c>
      <c r="AG59" s="52">
        <f>0.8*LOG10(53.1*AF59/AD59)-1.38</f>
        <v>-2.7181247720475552</v>
      </c>
      <c r="AH59" s="59">
        <f t="shared" si="16"/>
        <v>-16.719927364317407</v>
      </c>
      <c r="AI59" s="59">
        <f t="shared" si="17"/>
        <v>0.35832963480383384</v>
      </c>
    </row>
    <row r="60" spans="1:35">
      <c r="A60" s="46"/>
      <c r="B60" s="178"/>
      <c r="C60" s="46" t="s">
        <v>71</v>
      </c>
      <c r="D60" s="46" t="s">
        <v>79</v>
      </c>
      <c r="E60" s="46" t="s">
        <v>80</v>
      </c>
      <c r="F60" s="58">
        <v>15.8651989304828</v>
      </c>
      <c r="G60" s="47">
        <v>63.912999999999997</v>
      </c>
      <c r="H60" s="48">
        <v>23.4251616080773</v>
      </c>
      <c r="I60" s="49">
        <f t="shared" si="21"/>
        <v>0.42591202923776911</v>
      </c>
      <c r="J60" s="48">
        <v>5420.7727489470799</v>
      </c>
      <c r="K60" s="49">
        <f t="shared" si="22"/>
        <v>95.101276297317185</v>
      </c>
      <c r="L60" s="48">
        <v>3.17549411167378</v>
      </c>
      <c r="M60" s="50">
        <f t="shared" si="23"/>
        <v>4.8853755564212002E-2</v>
      </c>
      <c r="N60" s="48">
        <v>11.861603407746401</v>
      </c>
      <c r="O60" s="49">
        <f t="shared" si="24"/>
        <v>0.16706483672882255</v>
      </c>
      <c r="P60" s="48">
        <v>476.27364091912</v>
      </c>
      <c r="Q60" s="49">
        <f t="shared" si="25"/>
        <v>6.4361302826908107</v>
      </c>
      <c r="R60" s="48">
        <v>1.1884293399018</v>
      </c>
      <c r="S60" s="49">
        <f t="shared" si="26"/>
        <v>1.1106816260764487E-2</v>
      </c>
      <c r="T60" s="48">
        <v>919.044515746309</v>
      </c>
      <c r="U60" s="49">
        <f t="shared" si="27"/>
        <v>8.2796803220388195</v>
      </c>
      <c r="V60" s="51">
        <v>1.21522033238651E-2</v>
      </c>
      <c r="W60" s="50">
        <f>V60/115</f>
        <v>1.0567133325100086E-4</v>
      </c>
      <c r="X60" s="48">
        <v>957.72385099341795</v>
      </c>
      <c r="Y60" s="49">
        <f t="shared" si="28"/>
        <v>4.6044415913145098</v>
      </c>
      <c r="Z60" s="52">
        <f t="shared" si="11"/>
        <v>1.9815788765053717</v>
      </c>
      <c r="AA60" s="52">
        <f t="shared" si="12"/>
        <v>100.20210911810778</v>
      </c>
      <c r="AB60" s="59">
        <f t="shared" si="13"/>
        <v>373.35210911810776</v>
      </c>
      <c r="AC60" s="59">
        <v>0.01</v>
      </c>
      <c r="AD60" s="59">
        <f t="shared" si="29"/>
        <v>48.660477641916671</v>
      </c>
      <c r="AE60" s="53">
        <f t="shared" si="30"/>
        <v>9.6718710736870706E-3</v>
      </c>
      <c r="AF60" s="53">
        <f t="shared" si="15"/>
        <v>9.5792220728126085E-3</v>
      </c>
      <c r="AG60" s="52">
        <f>0.8*LOG10(53.1*AF60/AD60)-1.38</f>
        <v>-2.964601283971807</v>
      </c>
      <c r="AH60" s="59">
        <f t="shared" si="16"/>
        <v>-19.747348290256674</v>
      </c>
      <c r="AI60" s="59">
        <f t="shared" si="17"/>
        <v>4.0459947367423865E-3</v>
      </c>
    </row>
    <row r="61" spans="1:35">
      <c r="A61" s="46"/>
      <c r="B61" s="178"/>
      <c r="C61" s="46" t="s">
        <v>71</v>
      </c>
      <c r="D61" s="46" t="s">
        <v>64</v>
      </c>
      <c r="E61" s="46" t="s">
        <v>80</v>
      </c>
      <c r="F61" s="58">
        <v>16.175932386463302</v>
      </c>
      <c r="G61" s="47">
        <v>64.959000000000003</v>
      </c>
      <c r="H61" s="48">
        <v>53.8569125897886</v>
      </c>
      <c r="I61" s="49">
        <f t="shared" si="21"/>
        <v>0.97921659254161086</v>
      </c>
      <c r="J61" s="48">
        <v>25492.5255405631</v>
      </c>
      <c r="K61" s="49">
        <f t="shared" si="22"/>
        <v>447.23729018531753</v>
      </c>
      <c r="L61" s="48">
        <v>1.0502111756996799</v>
      </c>
      <c r="M61" s="50">
        <f t="shared" si="23"/>
        <v>1.6157095010764306E-2</v>
      </c>
      <c r="N61" s="48">
        <v>7.1561688370665104</v>
      </c>
      <c r="O61" s="49">
        <f t="shared" si="24"/>
        <v>0.10079111038121846</v>
      </c>
      <c r="P61" s="48">
        <v>686.72856991873698</v>
      </c>
      <c r="Q61" s="49">
        <f t="shared" si="25"/>
        <v>9.2801158097126617</v>
      </c>
      <c r="R61" s="48">
        <v>1.1448646246223699</v>
      </c>
      <c r="S61" s="49">
        <f t="shared" si="26"/>
        <v>1.0699669388994111E-2</v>
      </c>
      <c r="T61" s="48">
        <v>243.17280125966099</v>
      </c>
      <c r="U61" s="49">
        <f t="shared" si="27"/>
        <v>2.1907459572942432</v>
      </c>
      <c r="V61" s="51">
        <v>1.24187855552346E-2</v>
      </c>
      <c r="W61" s="50">
        <f>V61/115</f>
        <v>1.0798943961073564E-4</v>
      </c>
      <c r="X61" s="48">
        <v>1221.0378016812101</v>
      </c>
      <c r="Y61" s="49">
        <f t="shared" si="28"/>
        <v>5.8703740465442795</v>
      </c>
      <c r="Z61" s="52">
        <f t="shared" si="11"/>
        <v>1.2092087754076073</v>
      </c>
      <c r="AA61" s="52">
        <f t="shared" si="12"/>
        <v>142.21904261782618</v>
      </c>
      <c r="AB61" s="59">
        <f t="shared" si="13"/>
        <v>415.36904261782615</v>
      </c>
      <c r="AC61" s="129">
        <v>0.01</v>
      </c>
      <c r="AD61" s="129">
        <f t="shared" si="29"/>
        <v>49.195443116801528</v>
      </c>
      <c r="AE61" s="130">
        <f t="shared" si="30"/>
        <v>4.4751957176135157E-2</v>
      </c>
      <c r="AF61" s="130">
        <f t="shared" si="15"/>
        <v>4.2835006786773988E-2</v>
      </c>
      <c r="AG61" s="129">
        <f>0.8*LOG10(53.1*AF61/AD61)-1.38</f>
        <v>-2.448025212484211</v>
      </c>
      <c r="AH61" s="129">
        <f t="shared" si="16"/>
        <v>-16.716414542242049</v>
      </c>
      <c r="AI61" s="129">
        <f t="shared" si="17"/>
        <v>-5.1016143806897674E-2</v>
      </c>
    </row>
    <row r="62" spans="1:35">
      <c r="A62" s="183"/>
      <c r="B62" s="184"/>
      <c r="C62" s="186"/>
      <c r="D62" s="186"/>
      <c r="E62" s="54" t="s">
        <v>66</v>
      </c>
      <c r="F62" s="56"/>
      <c r="G62" s="55"/>
      <c r="H62" s="147">
        <f>MAX(H34:H61)</f>
        <v>103.166422581912</v>
      </c>
      <c r="I62" s="148">
        <f t="shared" ref="I62:Y62" si="31">MAX(I34:I61)</f>
        <v>1.8757531378529455</v>
      </c>
      <c r="J62" s="147">
        <f t="shared" si="31"/>
        <v>25492.5255405631</v>
      </c>
      <c r="K62" s="148">
        <f t="shared" si="31"/>
        <v>447.23729018531753</v>
      </c>
      <c r="L62" s="147">
        <f t="shared" si="31"/>
        <v>5.90542621304491</v>
      </c>
      <c r="M62" s="149">
        <f t="shared" si="31"/>
        <v>9.0852710969921688E-2</v>
      </c>
      <c r="N62" s="147">
        <f t="shared" si="31"/>
        <v>79.690725819631297</v>
      </c>
      <c r="O62" s="148">
        <f t="shared" si="31"/>
        <v>1.1224045890088914</v>
      </c>
      <c r="P62" s="147">
        <f t="shared" si="31"/>
        <v>1174.0318255846</v>
      </c>
      <c r="Q62" s="148">
        <f t="shared" si="31"/>
        <v>15.865294940332433</v>
      </c>
      <c r="R62" s="147">
        <f t="shared" si="31"/>
        <v>1.39833734893322</v>
      </c>
      <c r="S62" s="148">
        <f t="shared" si="31"/>
        <v>1.3068573354516074E-2</v>
      </c>
      <c r="T62" s="147">
        <f t="shared" si="31"/>
        <v>2512.28506360029</v>
      </c>
      <c r="U62" s="148">
        <f t="shared" si="31"/>
        <v>22.633198771173785</v>
      </c>
      <c r="V62" s="150">
        <f t="shared" si="31"/>
        <v>4.6639534350489599E-2</v>
      </c>
      <c r="W62" s="149">
        <f t="shared" si="31"/>
        <v>4.0556116826512696E-4</v>
      </c>
      <c r="X62" s="147">
        <f t="shared" si="31"/>
        <v>4863.09928881623</v>
      </c>
      <c r="Y62" s="148">
        <f t="shared" si="31"/>
        <v>23.380285042385722</v>
      </c>
      <c r="Z62" s="151"/>
      <c r="AA62" s="151">
        <f>MAX(AA34:AA61)</f>
        <v>142.21904261782618</v>
      </c>
      <c r="AB62" s="151"/>
      <c r="AC62" s="152"/>
      <c r="AD62" s="152"/>
      <c r="AE62" s="153"/>
      <c r="AF62" s="153"/>
      <c r="AG62" s="152"/>
      <c r="AH62" s="152"/>
      <c r="AI62" s="152">
        <f>MAX(AI34:AI61)</f>
        <v>0.35832963480383384</v>
      </c>
    </row>
    <row r="63" spans="1:35">
      <c r="A63" s="179"/>
      <c r="B63" s="185"/>
      <c r="C63" s="187"/>
      <c r="D63" s="187"/>
      <c r="E63" s="57" t="s">
        <v>67</v>
      </c>
      <c r="F63" s="58"/>
      <c r="G63" s="47"/>
      <c r="H63" s="154">
        <f>MIN(H34:H62)</f>
        <v>11.7351334407281</v>
      </c>
      <c r="I63" s="155">
        <f t="shared" ref="I63:Y63" si="32">MIN(I34:I62)</f>
        <v>0.21336606255869273</v>
      </c>
      <c r="J63" s="154">
        <f t="shared" si="32"/>
        <v>2765.7771596243401</v>
      </c>
      <c r="K63" s="155">
        <f t="shared" si="32"/>
        <v>48.522406309198949</v>
      </c>
      <c r="L63" s="154">
        <f t="shared" si="32"/>
        <v>0.39669334812063101</v>
      </c>
      <c r="M63" s="156">
        <f t="shared" si="32"/>
        <v>6.1029745864712463E-3</v>
      </c>
      <c r="N63" s="154">
        <f t="shared" si="32"/>
        <v>1.9279057292756401</v>
      </c>
      <c r="O63" s="155">
        <f t="shared" si="32"/>
        <v>2.7153601820783663E-2</v>
      </c>
      <c r="P63" s="154">
        <f t="shared" si="32"/>
        <v>366.63391604096802</v>
      </c>
      <c r="Q63" s="155">
        <f t="shared" si="32"/>
        <v>4.9545123789319998</v>
      </c>
      <c r="R63" s="154">
        <f t="shared" si="32"/>
        <v>1.1016042934058199</v>
      </c>
      <c r="S63" s="155">
        <f t="shared" si="32"/>
        <v>1.0295367228091774E-2</v>
      </c>
      <c r="T63" s="154">
        <f t="shared" si="32"/>
        <v>243.17280125966099</v>
      </c>
      <c r="U63" s="155">
        <f t="shared" si="32"/>
        <v>2.1907459572942432</v>
      </c>
      <c r="V63" s="157">
        <f t="shared" si="32"/>
        <v>8.1645255256882297E-3</v>
      </c>
      <c r="W63" s="156">
        <f t="shared" si="32"/>
        <v>7.0995874136419384E-5</v>
      </c>
      <c r="X63" s="154">
        <f t="shared" si="32"/>
        <v>209.75506245709499</v>
      </c>
      <c r="Y63" s="155">
        <f t="shared" si="32"/>
        <v>1.0084378002744951</v>
      </c>
      <c r="Z63" s="152"/>
      <c r="AA63" s="152">
        <f>MIN(AA34:AA62)</f>
        <v>100.20210911810778</v>
      </c>
      <c r="AB63" s="152"/>
      <c r="AC63" s="152"/>
      <c r="AD63" s="152"/>
      <c r="AE63" s="153"/>
      <c r="AF63" s="153"/>
      <c r="AG63" s="152"/>
      <c r="AH63" s="152"/>
      <c r="AI63" s="152">
        <f>MIN(AI34:AI62)</f>
        <v>-0.1496846535392784</v>
      </c>
    </row>
    <row r="64" spans="1:35" ht="15" thickBot="1">
      <c r="A64" s="179"/>
      <c r="B64" s="185"/>
      <c r="C64" s="187"/>
      <c r="D64" s="187"/>
      <c r="E64" s="57" t="s">
        <v>68</v>
      </c>
      <c r="F64" s="58"/>
      <c r="G64" s="47"/>
      <c r="H64" s="154">
        <f>AVERAGE(H34:H63)</f>
        <v>39.14677342349728</v>
      </c>
      <c r="I64" s="155">
        <f t="shared" ref="I64:Y64" si="33">AVERAGE(I34:I63)</f>
        <v>0.71175951679085947</v>
      </c>
      <c r="J64" s="154">
        <f t="shared" si="33"/>
        <v>9870.2273674045955</v>
      </c>
      <c r="K64" s="155">
        <f t="shared" si="33"/>
        <v>173.16188363867721</v>
      </c>
      <c r="L64" s="154">
        <f t="shared" si="33"/>
        <v>2.6054025966530059</v>
      </c>
      <c r="M64" s="156">
        <f t="shared" si="33"/>
        <v>4.0083116871584702E-2</v>
      </c>
      <c r="N64" s="154">
        <f t="shared" si="33"/>
        <v>21.722815639252797</v>
      </c>
      <c r="O64" s="155">
        <f t="shared" si="33"/>
        <v>0.30595514984863098</v>
      </c>
      <c r="P64" s="154">
        <f t="shared" si="33"/>
        <v>621.31796515284236</v>
      </c>
      <c r="Q64" s="155">
        <f t="shared" si="33"/>
        <v>8.3961887182816497</v>
      </c>
      <c r="R64" s="154">
        <f t="shared" si="33"/>
        <v>1.2284038830107833</v>
      </c>
      <c r="S64" s="155">
        <f t="shared" si="33"/>
        <v>1.1480410121596101E-2</v>
      </c>
      <c r="T64" s="154">
        <f t="shared" si="33"/>
        <v>1134.5921036517091</v>
      </c>
      <c r="U64" s="155">
        <f t="shared" si="33"/>
        <v>10.221550483348731</v>
      </c>
      <c r="V64" s="157">
        <f t="shared" si="33"/>
        <v>1.9250497445203747E-2</v>
      </c>
      <c r="W64" s="156">
        <f t="shared" si="33"/>
        <v>1.6739562995829349E-4</v>
      </c>
      <c r="X64" s="154">
        <f t="shared" si="33"/>
        <v>1217.7533195893086</v>
      </c>
      <c r="Y64" s="155">
        <f t="shared" si="33"/>
        <v>5.8545832672562907</v>
      </c>
      <c r="Z64" s="152"/>
      <c r="AA64" s="152">
        <f>AVERAGE(AA34:AA63)</f>
        <v>121.41681381370748</v>
      </c>
      <c r="AB64" s="158"/>
      <c r="AC64" s="158"/>
      <c r="AD64" s="158"/>
      <c r="AE64" s="159"/>
      <c r="AF64" s="159"/>
      <c r="AG64" s="158"/>
      <c r="AH64" s="158"/>
      <c r="AI64" s="158">
        <f>AVERAGE(AI34:AI63)</f>
        <v>6.9296185756943907E-2</v>
      </c>
    </row>
    <row r="65" spans="1:35">
      <c r="A65" s="39" t="s">
        <v>81</v>
      </c>
      <c r="B65" s="175" t="s">
        <v>82</v>
      </c>
      <c r="C65" s="39" t="s">
        <v>84</v>
      </c>
      <c r="D65" s="39" t="s">
        <v>59</v>
      </c>
      <c r="E65" s="39" t="s">
        <v>85</v>
      </c>
      <c r="F65" s="41">
        <v>16.214003346846201</v>
      </c>
      <c r="G65" s="40">
        <v>64.578000000000003</v>
      </c>
      <c r="H65" s="41">
        <v>35.052715670696003</v>
      </c>
      <c r="I65" s="42">
        <f t="shared" ref="I65:I107" si="34">H65/55</f>
        <v>0.63732210310356374</v>
      </c>
      <c r="J65" s="41">
        <v>11656.2913325631</v>
      </c>
      <c r="K65" s="42">
        <f t="shared" ref="K65:K107" si="35">J65/57</f>
        <v>204.49633916777367</v>
      </c>
      <c r="L65" s="41">
        <v>0.33492297118925002</v>
      </c>
      <c r="M65" s="43">
        <f t="shared" ref="M65:M92" si="36">L65/65</f>
        <v>5.1526610952192312E-3</v>
      </c>
      <c r="N65" s="41">
        <v>2.7618869665290098</v>
      </c>
      <c r="O65" s="42">
        <f t="shared" ref="O65:O107" si="37">N65/71</f>
        <v>3.889981642998605E-2</v>
      </c>
      <c r="P65" s="41">
        <v>525.205807559969</v>
      </c>
      <c r="Q65" s="42">
        <f t="shared" ref="Q65:Q107" si="38">P65/74</f>
        <v>7.0973757778374189</v>
      </c>
      <c r="R65" s="41">
        <v>1.31753263766561</v>
      </c>
      <c r="S65" s="42">
        <f t="shared" ref="S65:S107" si="39">R65/107</f>
        <v>1.2313389137061776E-2</v>
      </c>
      <c r="T65" s="41">
        <v>535.75562111059196</v>
      </c>
      <c r="U65" s="42">
        <f t="shared" ref="U65:U107" si="40">T65/111</f>
        <v>4.8266272172125406</v>
      </c>
      <c r="V65" s="44"/>
      <c r="W65" s="43"/>
      <c r="X65" s="41">
        <v>1721.08048638077</v>
      </c>
      <c r="Y65" s="42">
        <f t="shared" ref="Y65:Y107" si="41">X65/208</f>
        <v>8.2744254152921641</v>
      </c>
      <c r="Z65" s="45"/>
      <c r="AA65" s="45"/>
      <c r="AB65" s="59"/>
      <c r="AC65" s="59"/>
      <c r="AD65" s="59"/>
      <c r="AE65" s="60"/>
      <c r="AF65" s="60"/>
      <c r="AG65" s="59"/>
      <c r="AH65" s="59"/>
      <c r="AI65" s="59"/>
    </row>
    <row r="66" spans="1:35">
      <c r="A66" s="46"/>
      <c r="B66" s="178"/>
      <c r="C66" s="179" t="s">
        <v>83</v>
      </c>
      <c r="D66" s="46" t="s">
        <v>59</v>
      </c>
      <c r="E66" s="46" t="s">
        <v>86</v>
      </c>
      <c r="F66" s="58">
        <v>17.5177513944993</v>
      </c>
      <c r="G66" s="47">
        <v>65.465999999999994</v>
      </c>
      <c r="H66" s="48">
        <v>22.1649609045026</v>
      </c>
      <c r="I66" s="49">
        <f t="shared" si="34"/>
        <v>0.40299928917277456</v>
      </c>
      <c r="J66" s="48">
        <v>17644.391354640498</v>
      </c>
      <c r="K66" s="49">
        <f t="shared" si="35"/>
        <v>309.55072552000877</v>
      </c>
      <c r="L66" s="48">
        <v>0.33998405787295</v>
      </c>
      <c r="M66" s="50">
        <f t="shared" si="36"/>
        <v>5.2305239672761541E-3</v>
      </c>
      <c r="N66" s="48">
        <v>9.8339330544036692</v>
      </c>
      <c r="O66" s="49">
        <f t="shared" si="37"/>
        <v>0.13850609935779815</v>
      </c>
      <c r="P66" s="48">
        <v>324.42320340480398</v>
      </c>
      <c r="Q66" s="49">
        <f t="shared" si="38"/>
        <v>4.384097343308162</v>
      </c>
      <c r="R66" s="48">
        <v>1.3043748519848</v>
      </c>
      <c r="S66" s="49">
        <f t="shared" si="39"/>
        <v>1.2190419177428037E-2</v>
      </c>
      <c r="T66" s="48">
        <v>968.614150098187</v>
      </c>
      <c r="U66" s="49">
        <f t="shared" si="40"/>
        <v>8.7262536044881713</v>
      </c>
      <c r="V66" s="51"/>
      <c r="W66" s="50"/>
      <c r="X66" s="48">
        <v>639.27673602538596</v>
      </c>
      <c r="Y66" s="49">
        <f t="shared" si="41"/>
        <v>3.0734458462758942</v>
      </c>
      <c r="Z66" s="52"/>
      <c r="AA66" s="52"/>
      <c r="AB66" s="59"/>
      <c r="AC66" s="59"/>
      <c r="AD66" s="59"/>
      <c r="AE66" s="53"/>
      <c r="AF66" s="53"/>
      <c r="AG66" s="52"/>
      <c r="AH66" s="59"/>
      <c r="AI66" s="59"/>
    </row>
    <row r="67" spans="1:35">
      <c r="A67" s="46"/>
      <c r="B67" s="178"/>
      <c r="C67" s="179" t="s">
        <v>83</v>
      </c>
      <c r="D67" s="46" t="s">
        <v>59</v>
      </c>
      <c r="E67" s="46" t="s">
        <v>85</v>
      </c>
      <c r="F67" s="58">
        <v>16.491885992348298</v>
      </c>
      <c r="G67" s="47">
        <v>64.683999999999997</v>
      </c>
      <c r="H67" s="48">
        <v>27.948844253503101</v>
      </c>
      <c r="I67" s="49">
        <f t="shared" si="34"/>
        <v>0.50816080460914725</v>
      </c>
      <c r="J67" s="48">
        <v>18700.279803220899</v>
      </c>
      <c r="K67" s="49">
        <f t="shared" si="35"/>
        <v>328.07508426703333</v>
      </c>
      <c r="L67" s="48">
        <v>0.51935895922491004</v>
      </c>
      <c r="M67" s="50">
        <f t="shared" si="36"/>
        <v>7.9901378342293848E-3</v>
      </c>
      <c r="N67" s="48">
        <v>8.96146801655612</v>
      </c>
      <c r="O67" s="49">
        <f t="shared" si="37"/>
        <v>0.12621785938811436</v>
      </c>
      <c r="P67" s="48">
        <v>372.48953786928098</v>
      </c>
      <c r="Q67" s="49">
        <f t="shared" si="38"/>
        <v>5.0336424036389324</v>
      </c>
      <c r="R67" s="48">
        <v>1.3740015469142399</v>
      </c>
      <c r="S67" s="49">
        <f t="shared" si="39"/>
        <v>1.2841135952469532E-2</v>
      </c>
      <c r="T67" s="48">
        <v>1148.45180052297</v>
      </c>
      <c r="U67" s="49">
        <f t="shared" si="40"/>
        <v>10.346412617324054</v>
      </c>
      <c r="V67" s="51"/>
      <c r="W67" s="50"/>
      <c r="X67" s="48">
        <v>794.24485365288103</v>
      </c>
      <c r="Y67" s="49">
        <f t="shared" si="41"/>
        <v>3.8184848733311587</v>
      </c>
      <c r="Z67" s="52"/>
      <c r="AA67" s="52"/>
      <c r="AB67" s="59"/>
      <c r="AC67" s="59"/>
      <c r="AD67" s="59"/>
      <c r="AE67" s="53"/>
      <c r="AF67" s="53"/>
      <c r="AG67" s="52"/>
      <c r="AH67" s="59"/>
      <c r="AI67" s="59"/>
    </row>
    <row r="68" spans="1:35">
      <c r="A68" s="46"/>
      <c r="B68" s="178"/>
      <c r="C68" s="179" t="s">
        <v>84</v>
      </c>
      <c r="D68" s="179" t="s">
        <v>74</v>
      </c>
      <c r="E68" s="46" t="s">
        <v>86</v>
      </c>
      <c r="F68" s="58">
        <v>16.396311696846901</v>
      </c>
      <c r="G68" s="47">
        <v>65.382999999999996</v>
      </c>
      <c r="H68" s="48">
        <v>51.222771881880803</v>
      </c>
      <c r="I68" s="49">
        <f t="shared" si="34"/>
        <v>0.93132312512510551</v>
      </c>
      <c r="J68" s="48">
        <v>3070.7286455939802</v>
      </c>
      <c r="K68" s="49">
        <f t="shared" si="35"/>
        <v>53.872432378841758</v>
      </c>
      <c r="L68" s="48">
        <v>0.310535054820475</v>
      </c>
      <c r="M68" s="50">
        <f t="shared" si="36"/>
        <v>4.7774623818534617E-3</v>
      </c>
      <c r="N68" s="48">
        <v>1.4607566908012199</v>
      </c>
      <c r="O68" s="49">
        <f t="shared" si="37"/>
        <v>2.0574037898608732E-2</v>
      </c>
      <c r="P68" s="48">
        <v>818.49398451715695</v>
      </c>
      <c r="Q68" s="49">
        <f t="shared" si="38"/>
        <v>11.060729520502122</v>
      </c>
      <c r="R68" s="48">
        <v>1.36358777334125</v>
      </c>
      <c r="S68" s="49">
        <f t="shared" si="39"/>
        <v>1.2743810965806075E-2</v>
      </c>
      <c r="T68" s="48">
        <v>616.47752647336301</v>
      </c>
      <c r="U68" s="49">
        <f t="shared" si="40"/>
        <v>5.5538515898501171</v>
      </c>
      <c r="V68" s="51"/>
      <c r="W68" s="50"/>
      <c r="X68" s="48">
        <v>3091.90437038559</v>
      </c>
      <c r="Y68" s="49">
        <f t="shared" si="41"/>
        <v>14.864924857623029</v>
      </c>
      <c r="Z68" s="52"/>
      <c r="AA68" s="52"/>
      <c r="AB68" s="59"/>
      <c r="AC68" s="59"/>
      <c r="AD68" s="59"/>
      <c r="AE68" s="53"/>
      <c r="AF68" s="53"/>
      <c r="AG68" s="52"/>
      <c r="AH68" s="59"/>
      <c r="AI68" s="59"/>
    </row>
    <row r="69" spans="1:35">
      <c r="A69" s="46"/>
      <c r="B69" s="178"/>
      <c r="C69" s="179" t="s">
        <v>84</v>
      </c>
      <c r="D69" s="179" t="s">
        <v>64</v>
      </c>
      <c r="E69" s="46" t="s">
        <v>85</v>
      </c>
      <c r="F69" s="58">
        <v>16.3865432604542</v>
      </c>
      <c r="G69" s="47">
        <v>64.248999999999995</v>
      </c>
      <c r="H69" s="48">
        <v>35.423280661418801</v>
      </c>
      <c r="I69" s="49">
        <f t="shared" si="34"/>
        <v>0.64405964838943275</v>
      </c>
      <c r="J69" s="48">
        <v>8986.9650848607307</v>
      </c>
      <c r="K69" s="49">
        <f t="shared" si="35"/>
        <v>157.6660541203637</v>
      </c>
      <c r="L69" s="48">
        <v>0.51492837276376602</v>
      </c>
      <c r="M69" s="50">
        <f t="shared" si="36"/>
        <v>7.9219749655963997E-3</v>
      </c>
      <c r="N69" s="48">
        <v>12.626554464579099</v>
      </c>
      <c r="O69" s="49">
        <f t="shared" si="37"/>
        <v>0.17783879527576196</v>
      </c>
      <c r="P69" s="48">
        <v>596.27441202948705</v>
      </c>
      <c r="Q69" s="49">
        <f t="shared" si="38"/>
        <v>8.0577623247227983</v>
      </c>
      <c r="R69" s="48">
        <v>1.29998353189685</v>
      </c>
      <c r="S69" s="49">
        <f t="shared" si="39"/>
        <v>1.2149378802774299E-2</v>
      </c>
      <c r="T69" s="48">
        <v>1127.3480871388699</v>
      </c>
      <c r="U69" s="49">
        <f t="shared" si="40"/>
        <v>10.156289073323153</v>
      </c>
      <c r="V69" s="51"/>
      <c r="W69" s="50"/>
      <c r="X69" s="48">
        <v>1939.59922373993</v>
      </c>
      <c r="Y69" s="49">
        <f t="shared" si="41"/>
        <v>9.324996267980433</v>
      </c>
      <c r="Z69" s="52"/>
      <c r="AA69" s="52"/>
      <c r="AB69" s="59"/>
      <c r="AC69" s="59"/>
      <c r="AD69" s="59"/>
      <c r="AE69" s="53"/>
      <c r="AF69" s="53"/>
      <c r="AG69" s="52"/>
      <c r="AH69" s="59"/>
      <c r="AI69" s="59"/>
    </row>
    <row r="70" spans="1:35">
      <c r="A70" s="46"/>
      <c r="B70" s="178"/>
      <c r="C70" s="179" t="s">
        <v>84</v>
      </c>
      <c r="D70" s="179" t="s">
        <v>64</v>
      </c>
      <c r="E70" s="46" t="s">
        <v>86</v>
      </c>
      <c r="F70" s="58">
        <v>17.0023998773203</v>
      </c>
      <c r="G70" s="47">
        <v>65.275999999999996</v>
      </c>
      <c r="H70" s="48">
        <v>39.192555281797603</v>
      </c>
      <c r="I70" s="49">
        <f t="shared" si="34"/>
        <v>0.71259191421450185</v>
      </c>
      <c r="J70" s="48">
        <v>8294.5476019382295</v>
      </c>
      <c r="K70" s="49">
        <f t="shared" si="35"/>
        <v>145.51837898137245</v>
      </c>
      <c r="L70" s="48">
        <v>0.409031341434208</v>
      </c>
      <c r="M70" s="50">
        <f t="shared" si="36"/>
        <v>6.2927898682185847E-3</v>
      </c>
      <c r="N70" s="48">
        <v>6.4117921651582996</v>
      </c>
      <c r="O70" s="49">
        <f t="shared" si="37"/>
        <v>9.0306931903638019E-2</v>
      </c>
      <c r="P70" s="48">
        <v>630.29641226655201</v>
      </c>
      <c r="Q70" s="49">
        <f t="shared" si="38"/>
        <v>8.5175190846831352</v>
      </c>
      <c r="R70" s="48">
        <v>1.45629841913405</v>
      </c>
      <c r="S70" s="49">
        <f t="shared" si="39"/>
        <v>1.3610265599383645E-2</v>
      </c>
      <c r="T70" s="48">
        <v>734.410004178333</v>
      </c>
      <c r="U70" s="49">
        <f t="shared" si="40"/>
        <v>6.6163063439489456</v>
      </c>
      <c r="V70" s="51"/>
      <c r="W70" s="50"/>
      <c r="X70" s="48">
        <v>1657.2791145158001</v>
      </c>
      <c r="Y70" s="49">
        <f t="shared" si="41"/>
        <v>7.9676880505567311</v>
      </c>
      <c r="Z70" s="52"/>
      <c r="AA70" s="52"/>
      <c r="AB70" s="59"/>
      <c r="AC70" s="59"/>
      <c r="AD70" s="59"/>
      <c r="AE70" s="53"/>
      <c r="AF70" s="53"/>
      <c r="AG70" s="52"/>
      <c r="AH70" s="59"/>
      <c r="AI70" s="59"/>
    </row>
    <row r="71" spans="1:35">
      <c r="A71" s="46"/>
      <c r="B71" s="178"/>
      <c r="C71" s="179" t="s">
        <v>83</v>
      </c>
      <c r="D71" s="46" t="s">
        <v>79</v>
      </c>
      <c r="E71" s="46" t="s">
        <v>86</v>
      </c>
      <c r="F71" s="58">
        <v>16.757787897632802</v>
      </c>
      <c r="G71" s="47">
        <v>63.94</v>
      </c>
      <c r="H71" s="48">
        <v>36.351004924292397</v>
      </c>
      <c r="I71" s="49">
        <f t="shared" si="34"/>
        <v>0.66092736225986182</v>
      </c>
      <c r="J71" s="48">
        <v>13177.905043274201</v>
      </c>
      <c r="K71" s="49">
        <f t="shared" si="35"/>
        <v>231.19131654867019</v>
      </c>
      <c r="L71" s="48">
        <v>0.36387894469628301</v>
      </c>
      <c r="M71" s="50">
        <f t="shared" si="36"/>
        <v>5.5981376107120465E-3</v>
      </c>
      <c r="N71" s="48">
        <v>11.615507368764501</v>
      </c>
      <c r="O71" s="49">
        <f t="shared" si="37"/>
        <v>0.16359869533471127</v>
      </c>
      <c r="P71" s="48">
        <v>586.33748016115203</v>
      </c>
      <c r="Q71" s="49">
        <f t="shared" si="38"/>
        <v>7.9234794616371893</v>
      </c>
      <c r="R71" s="48">
        <v>1.29302687976499</v>
      </c>
      <c r="S71" s="49">
        <f t="shared" si="39"/>
        <v>1.2084363362289626E-2</v>
      </c>
      <c r="T71" s="48">
        <v>796.43817648291304</v>
      </c>
      <c r="U71" s="49">
        <f t="shared" si="40"/>
        <v>7.1751187070532705</v>
      </c>
      <c r="V71" s="51">
        <v>9.0587146059783307E-3</v>
      </c>
      <c r="W71" s="50">
        <f>V71/115</f>
        <v>7.8771431356333311E-5</v>
      </c>
      <c r="X71" s="48">
        <v>1379.97327484939</v>
      </c>
      <c r="Y71" s="49">
        <f t="shared" si="41"/>
        <v>6.6344868983143748</v>
      </c>
      <c r="Z71" s="52">
        <f t="shared" ref="Z71:Z106" si="42">LN(((N71^0.22)*(P71^0.22))/(((J71/10000)^0.37)*(H71^0.2)*(V71^0.11)))</f>
        <v>1.6384668664641766</v>
      </c>
      <c r="AA71" s="52">
        <f t="shared" ref="AA71:AA106" si="43">-54.4*Z71+208</f>
        <v>118.8674024643488</v>
      </c>
      <c r="AB71" s="59">
        <f t="shared" ref="AB71:AB106" si="44">273.15+AA71</f>
        <v>392.01740246434878</v>
      </c>
      <c r="AC71" s="59">
        <v>0.01</v>
      </c>
      <c r="AD71" s="59">
        <f t="shared" ref="AD71:AD106" si="45">44.09+0.0125*AB71-3600*0.01/AB71</f>
        <v>48.898384872933335</v>
      </c>
      <c r="AE71" s="53">
        <f t="shared" ref="AE71:AE106" si="46">J71/(G71*10000)*(65/57)</f>
        <v>2.3502401588463499E-2</v>
      </c>
      <c r="AF71" s="53">
        <f t="shared" ref="AF71:AF106" si="47">AE71/(AE71+1)</f>
        <v>2.2962722463560469E-2</v>
      </c>
      <c r="AG71" s="52">
        <f>0.8*LOG10(53.1*AF71/AD71)-1.38</f>
        <v>-2.6625412932965209</v>
      </c>
      <c r="AH71" s="59">
        <f t="shared" ref="AH71:AH106" si="48">-2*AG71-1.5*10000/AB71+14.5</f>
        <v>-18.438524859671148</v>
      </c>
      <c r="AI71" s="59">
        <f t="shared" ref="AI71:AI106" si="49">AH71-(-11.39*1000/AB71+10.756)</f>
        <v>-0.13969227214121105</v>
      </c>
    </row>
    <row r="72" spans="1:35">
      <c r="A72" s="46"/>
      <c r="B72" s="178"/>
      <c r="C72" s="179" t="s">
        <v>83</v>
      </c>
      <c r="D72" s="46" t="s">
        <v>59</v>
      </c>
      <c r="E72" s="46" t="s">
        <v>86</v>
      </c>
      <c r="F72" s="58">
        <v>17.238128364149699</v>
      </c>
      <c r="G72" s="47">
        <v>65.578000000000003</v>
      </c>
      <c r="H72" s="48">
        <v>41.122424175810302</v>
      </c>
      <c r="I72" s="49">
        <f t="shared" si="34"/>
        <v>0.74768043956018726</v>
      </c>
      <c r="J72" s="48">
        <v>11607.2899645944</v>
      </c>
      <c r="K72" s="49">
        <f t="shared" si="35"/>
        <v>203.6366660455158</v>
      </c>
      <c r="L72" s="48">
        <v>0.46734256717698602</v>
      </c>
      <c r="M72" s="50">
        <f t="shared" si="36"/>
        <v>7.1898856488767085E-3</v>
      </c>
      <c r="N72" s="48">
        <v>14.318856151336</v>
      </c>
      <c r="O72" s="49">
        <f t="shared" si="37"/>
        <v>0.20167403030050704</v>
      </c>
      <c r="P72" s="48">
        <v>711.25135691529101</v>
      </c>
      <c r="Q72" s="49">
        <f t="shared" si="38"/>
        <v>9.6115048231796081</v>
      </c>
      <c r="R72" s="48">
        <v>1.4846452300647801</v>
      </c>
      <c r="S72" s="49">
        <f t="shared" si="39"/>
        <v>1.3875189066025983E-2</v>
      </c>
      <c r="T72" s="48">
        <v>1173.0719739670899</v>
      </c>
      <c r="U72" s="49">
        <f t="shared" si="40"/>
        <v>10.568215981685494</v>
      </c>
      <c r="V72" s="51">
        <v>1.2856386428152299E-2</v>
      </c>
      <c r="W72" s="50">
        <f>V72/115</f>
        <v>1.1179466459262869E-4</v>
      </c>
      <c r="X72" s="48">
        <v>2797.4022203474301</v>
      </c>
      <c r="Y72" s="49">
        <f t="shared" si="41"/>
        <v>13.449049136285721</v>
      </c>
      <c r="Z72" s="52">
        <f t="shared" si="42"/>
        <v>1.7107647352470998</v>
      </c>
      <c r="AA72" s="52">
        <f t="shared" si="43"/>
        <v>114.93439840255778</v>
      </c>
      <c r="AB72" s="59">
        <f t="shared" si="44"/>
        <v>388.08439840255778</v>
      </c>
      <c r="AC72" s="59">
        <v>0.01</v>
      </c>
      <c r="AD72" s="59">
        <f t="shared" si="45"/>
        <v>48.848291652909879</v>
      </c>
      <c r="AE72" s="53">
        <f t="shared" si="46"/>
        <v>2.0184182641981345E-2</v>
      </c>
      <c r="AF72" s="53">
        <f t="shared" si="47"/>
        <v>1.9784841781912518E-2</v>
      </c>
      <c r="AG72" s="52">
        <f>0.8*LOG10(53.1*AF72/AD72)-1.38</f>
        <v>-2.7139378218255512</v>
      </c>
      <c r="AH72" s="59">
        <f t="shared" si="48"/>
        <v>-18.723510657224054</v>
      </c>
      <c r="AI72" s="59">
        <f t="shared" si="49"/>
        <v>-0.13022465942618311</v>
      </c>
    </row>
    <row r="73" spans="1:35">
      <c r="A73" s="46"/>
      <c r="B73" s="178"/>
      <c r="C73" s="179" t="s">
        <v>83</v>
      </c>
      <c r="D73" s="179" t="s">
        <v>74</v>
      </c>
      <c r="E73" s="46" t="s">
        <v>86</v>
      </c>
      <c r="F73" s="58">
        <v>17.1517434708853</v>
      </c>
      <c r="G73" s="47">
        <v>64.763999999999996</v>
      </c>
      <c r="H73" s="48">
        <v>44.610039176870202</v>
      </c>
      <c r="I73" s="49">
        <f t="shared" si="34"/>
        <v>0.81109162139764002</v>
      </c>
      <c r="J73" s="48">
        <v>8937.6824243765004</v>
      </c>
      <c r="K73" s="49">
        <f t="shared" si="35"/>
        <v>156.801446041693</v>
      </c>
      <c r="L73" s="48">
        <v>0.36103949799544199</v>
      </c>
      <c r="M73" s="50">
        <f t="shared" si="36"/>
        <v>5.5544538153144921E-3</v>
      </c>
      <c r="N73" s="48">
        <v>5.8248845607750903</v>
      </c>
      <c r="O73" s="49">
        <f t="shared" si="37"/>
        <v>8.2040627616550565E-2</v>
      </c>
      <c r="P73" s="48">
        <v>705.34262294833695</v>
      </c>
      <c r="Q73" s="49">
        <f t="shared" si="38"/>
        <v>9.5316570668694176</v>
      </c>
      <c r="R73" s="48">
        <v>1.30703531697721</v>
      </c>
      <c r="S73" s="49">
        <f t="shared" si="39"/>
        <v>1.2215283336235607E-2</v>
      </c>
      <c r="T73" s="48">
        <v>724.98062002093695</v>
      </c>
      <c r="U73" s="49">
        <f t="shared" si="40"/>
        <v>6.5313569371255582</v>
      </c>
      <c r="V73" s="51"/>
      <c r="W73" s="50"/>
      <c r="X73" s="48">
        <v>2357.6757206275502</v>
      </c>
      <c r="Y73" s="49">
        <f t="shared" si="41"/>
        <v>11.334979426093991</v>
      </c>
      <c r="Z73" s="52"/>
      <c r="AA73" s="52"/>
      <c r="AB73" s="59"/>
      <c r="AC73" s="59"/>
      <c r="AD73" s="59"/>
      <c r="AE73" s="53"/>
      <c r="AF73" s="53"/>
      <c r="AG73" s="52"/>
      <c r="AH73" s="59"/>
      <c r="AI73" s="59"/>
    </row>
    <row r="74" spans="1:35">
      <c r="A74" s="46" t="s">
        <v>87</v>
      </c>
      <c r="B74" s="178" t="s">
        <v>88</v>
      </c>
      <c r="C74" s="179" t="s">
        <v>83</v>
      </c>
      <c r="D74" s="46" t="s">
        <v>59</v>
      </c>
      <c r="E74" s="46" t="s">
        <v>85</v>
      </c>
      <c r="F74" s="58">
        <v>20.4201766605457</v>
      </c>
      <c r="G74" s="47">
        <v>64.823999999999998</v>
      </c>
      <c r="H74" s="48">
        <v>15.959022473589799</v>
      </c>
      <c r="I74" s="49">
        <f t="shared" si="34"/>
        <v>0.29016404497435999</v>
      </c>
      <c r="J74" s="48">
        <v>10858.214035404601</v>
      </c>
      <c r="K74" s="49">
        <f t="shared" si="35"/>
        <v>190.4949830772737</v>
      </c>
      <c r="L74" s="48">
        <v>0.36764236242915899</v>
      </c>
      <c r="M74" s="50">
        <f t="shared" si="36"/>
        <v>5.656036345063984E-3</v>
      </c>
      <c r="N74" s="48">
        <v>21.2458475853661</v>
      </c>
      <c r="O74" s="49">
        <f t="shared" si="37"/>
        <v>0.29923728993473381</v>
      </c>
      <c r="P74" s="48">
        <v>332.958644302359</v>
      </c>
      <c r="Q74" s="49">
        <f t="shared" si="38"/>
        <v>4.4994411392210676</v>
      </c>
      <c r="R74" s="48">
        <v>1.2615122071212801</v>
      </c>
      <c r="S74" s="49">
        <f t="shared" si="39"/>
        <v>1.1789833711413832E-2</v>
      </c>
      <c r="T74" s="48">
        <v>1493.5655598583901</v>
      </c>
      <c r="U74" s="49">
        <f t="shared" si="40"/>
        <v>13.455545584309821</v>
      </c>
      <c r="V74" s="51"/>
      <c r="W74" s="50"/>
      <c r="X74" s="48">
        <v>308.02194514529202</v>
      </c>
      <c r="Y74" s="49">
        <f t="shared" si="41"/>
        <v>1.4808747362754424</v>
      </c>
      <c r="Z74" s="52"/>
      <c r="AA74" s="52"/>
      <c r="AB74" s="59"/>
      <c r="AC74" s="59"/>
      <c r="AD74" s="59"/>
      <c r="AE74" s="53"/>
      <c r="AF74" s="53"/>
      <c r="AG74" s="52"/>
      <c r="AH74" s="59"/>
      <c r="AI74" s="59"/>
    </row>
    <row r="75" spans="1:35">
      <c r="A75" s="46"/>
      <c r="B75" s="178"/>
      <c r="C75" s="179" t="s">
        <v>84</v>
      </c>
      <c r="D75" s="46" t="s">
        <v>79</v>
      </c>
      <c r="E75" s="46" t="s">
        <v>86</v>
      </c>
      <c r="F75" s="58">
        <v>20.656908893227701</v>
      </c>
      <c r="G75" s="47">
        <v>65.713999999999999</v>
      </c>
      <c r="H75" s="48">
        <v>28.644655569512999</v>
      </c>
      <c r="I75" s="49">
        <f t="shared" si="34"/>
        <v>0.52081191944569094</v>
      </c>
      <c r="J75" s="48">
        <v>9616.9433128640903</v>
      </c>
      <c r="K75" s="49">
        <f t="shared" si="35"/>
        <v>168.71830373445772</v>
      </c>
      <c r="L75" s="48">
        <v>1.05700663004119</v>
      </c>
      <c r="M75" s="50">
        <f t="shared" si="36"/>
        <v>1.6261640462172156E-2</v>
      </c>
      <c r="N75" s="48">
        <v>11.1699506614575</v>
      </c>
      <c r="O75" s="49">
        <f t="shared" si="37"/>
        <v>0.15732324875292253</v>
      </c>
      <c r="P75" s="48">
        <v>623.74711156977799</v>
      </c>
      <c r="Q75" s="49">
        <f t="shared" si="38"/>
        <v>8.4290150212132158</v>
      </c>
      <c r="R75" s="48">
        <v>1.38157519595672</v>
      </c>
      <c r="S75" s="49">
        <f t="shared" si="39"/>
        <v>1.2911917719221682E-2</v>
      </c>
      <c r="T75" s="48">
        <v>964.19656907844603</v>
      </c>
      <c r="U75" s="49">
        <f t="shared" si="40"/>
        <v>8.6864555772832972</v>
      </c>
      <c r="V75" s="51">
        <v>1.5551570095090001E-2</v>
      </c>
      <c r="W75" s="50">
        <f>V75/115</f>
        <v>1.3523104430513045E-4</v>
      </c>
      <c r="X75" s="48">
        <v>960.89672864615295</v>
      </c>
      <c r="Y75" s="49">
        <f t="shared" si="41"/>
        <v>4.6196958107988122</v>
      </c>
      <c r="Z75" s="52">
        <f t="shared" si="42"/>
        <v>1.7482275042398747</v>
      </c>
      <c r="AA75" s="52">
        <f t="shared" si="43"/>
        <v>112.89642376935082</v>
      </c>
      <c r="AB75" s="59">
        <f t="shared" si="44"/>
        <v>386.04642376935078</v>
      </c>
      <c r="AC75" s="59">
        <v>0.01</v>
      </c>
      <c r="AD75" s="59">
        <f t="shared" si="45"/>
        <v>48.822327263845665</v>
      </c>
      <c r="AE75" s="53">
        <f t="shared" si="46"/>
        <v>1.6688513471619065E-2</v>
      </c>
      <c r="AF75" s="53">
        <f t="shared" si="47"/>
        <v>1.6414578556252103E-2</v>
      </c>
      <c r="AG75" s="52">
        <f>0.8*LOG10(53.1*AF75/AD75)-1.38</f>
        <v>-2.7786353757922519</v>
      </c>
      <c r="AH75" s="59">
        <f t="shared" si="48"/>
        <v>-18.798159778091829</v>
      </c>
      <c r="AI75" s="59">
        <f t="shared" si="49"/>
        <v>-4.9936195890932566E-2</v>
      </c>
    </row>
    <row r="76" spans="1:35">
      <c r="A76" s="46"/>
      <c r="B76" s="178"/>
      <c r="C76" s="179" t="s">
        <v>84</v>
      </c>
      <c r="D76" s="46" t="s">
        <v>79</v>
      </c>
      <c r="E76" s="46" t="s">
        <v>86</v>
      </c>
      <c r="F76" s="58">
        <v>20.272001025118502</v>
      </c>
      <c r="G76" s="47">
        <v>64.611999999999995</v>
      </c>
      <c r="H76" s="48">
        <v>15.926368274935299</v>
      </c>
      <c r="I76" s="49">
        <f t="shared" si="34"/>
        <v>0.28957033227155088</v>
      </c>
      <c r="J76" s="48">
        <v>7595.9743086213202</v>
      </c>
      <c r="K76" s="49">
        <f t="shared" si="35"/>
        <v>133.26270716879509</v>
      </c>
      <c r="L76" s="48">
        <v>0.37070763089122399</v>
      </c>
      <c r="M76" s="50">
        <f t="shared" si="36"/>
        <v>5.7031943214034464E-3</v>
      </c>
      <c r="N76" s="48">
        <v>59.400983442530801</v>
      </c>
      <c r="O76" s="49">
        <f t="shared" si="37"/>
        <v>0.83663356961310986</v>
      </c>
      <c r="P76" s="48">
        <v>395.02082760598103</v>
      </c>
      <c r="Q76" s="49">
        <f t="shared" si="38"/>
        <v>5.338119291972717</v>
      </c>
      <c r="R76" s="48">
        <v>1.3766003067363399</v>
      </c>
      <c r="S76" s="49">
        <f t="shared" si="39"/>
        <v>1.286542342744243E-2</v>
      </c>
      <c r="T76" s="48">
        <v>2383.2456073839498</v>
      </c>
      <c r="U76" s="49">
        <f t="shared" si="40"/>
        <v>21.470681147603152</v>
      </c>
      <c r="V76" s="51"/>
      <c r="W76" s="50"/>
      <c r="X76" s="48">
        <v>542.29662062705802</v>
      </c>
      <c r="Y76" s="49">
        <f t="shared" si="41"/>
        <v>2.6071952914762404</v>
      </c>
      <c r="Z76" s="52"/>
      <c r="AA76" s="52"/>
      <c r="AB76" s="59"/>
      <c r="AC76" s="59"/>
      <c r="AD76" s="59"/>
      <c r="AE76" s="53"/>
      <c r="AF76" s="53"/>
      <c r="AG76" s="52"/>
      <c r="AH76" s="59"/>
      <c r="AI76" s="59"/>
    </row>
    <row r="77" spans="1:35">
      <c r="A77" s="46"/>
      <c r="B77" s="178"/>
      <c r="C77" s="179" t="s">
        <v>83</v>
      </c>
      <c r="D77" s="179" t="s">
        <v>74</v>
      </c>
      <c r="E77" s="46" t="s">
        <v>86</v>
      </c>
      <c r="F77" s="58">
        <v>20.180231467718702</v>
      </c>
      <c r="G77" s="47">
        <v>64.391000000000005</v>
      </c>
      <c r="H77" s="48">
        <v>10.0193457722484</v>
      </c>
      <c r="I77" s="49">
        <f t="shared" si="34"/>
        <v>0.18216992313178909</v>
      </c>
      <c r="J77" s="48">
        <v>4289.8296955902897</v>
      </c>
      <c r="K77" s="49">
        <f t="shared" si="35"/>
        <v>75.260170098075264</v>
      </c>
      <c r="L77" s="48">
        <v>8.4237033490801601</v>
      </c>
      <c r="M77" s="50">
        <f t="shared" si="36"/>
        <v>0.12959543613969476</v>
      </c>
      <c r="N77" s="48">
        <v>110.250518025397</v>
      </c>
      <c r="O77" s="49">
        <f t="shared" si="37"/>
        <v>1.5528241975408028</v>
      </c>
      <c r="P77" s="48">
        <v>316.11948832929698</v>
      </c>
      <c r="Q77" s="49">
        <f t="shared" si="38"/>
        <v>4.2718849774229319</v>
      </c>
      <c r="R77" s="48">
        <v>1.9225107828552399</v>
      </c>
      <c r="S77" s="49">
        <f t="shared" si="39"/>
        <v>1.7967390493974205E-2</v>
      </c>
      <c r="T77" s="48">
        <v>3242.9176929077298</v>
      </c>
      <c r="U77" s="49">
        <f t="shared" si="40"/>
        <v>29.21547471088045</v>
      </c>
      <c r="V77" s="51"/>
      <c r="W77" s="50"/>
      <c r="X77" s="48">
        <v>529.97178185149505</v>
      </c>
      <c r="Y77" s="49">
        <f t="shared" si="41"/>
        <v>2.5479412589014183</v>
      </c>
      <c r="Z77" s="52"/>
      <c r="AA77" s="52"/>
      <c r="AB77" s="59"/>
      <c r="AC77" s="59"/>
      <c r="AD77" s="59"/>
      <c r="AE77" s="53"/>
      <c r="AF77" s="53"/>
      <c r="AG77" s="52"/>
      <c r="AH77" s="59"/>
      <c r="AI77" s="59"/>
    </row>
    <row r="78" spans="1:35">
      <c r="A78" s="46"/>
      <c r="B78" s="178"/>
      <c r="C78" s="179" t="s">
        <v>83</v>
      </c>
      <c r="D78" s="46" t="s">
        <v>79</v>
      </c>
      <c r="E78" s="46" t="s">
        <v>86</v>
      </c>
      <c r="F78" s="58">
        <v>20.498456813676601</v>
      </c>
      <c r="G78" s="47">
        <v>65.504999999999995</v>
      </c>
      <c r="H78" s="48">
        <v>15.095956118581899</v>
      </c>
      <c r="I78" s="49">
        <f t="shared" si="34"/>
        <v>0.27447192942876181</v>
      </c>
      <c r="J78" s="48">
        <v>10330.1139271008</v>
      </c>
      <c r="K78" s="49">
        <f t="shared" si="35"/>
        <v>181.23006889650526</v>
      </c>
      <c r="L78" s="48">
        <v>0.37977004535958397</v>
      </c>
      <c r="M78" s="50">
        <f t="shared" si="36"/>
        <v>5.8426160824551383E-3</v>
      </c>
      <c r="N78" s="48">
        <v>63.9440564783973</v>
      </c>
      <c r="O78" s="49">
        <f t="shared" si="37"/>
        <v>0.90062051378024366</v>
      </c>
      <c r="P78" s="48">
        <v>316.33135277958399</v>
      </c>
      <c r="Q78" s="49">
        <f t="shared" si="38"/>
        <v>4.2747480105349185</v>
      </c>
      <c r="R78" s="48">
        <v>1.32995861782169</v>
      </c>
      <c r="S78" s="49">
        <f t="shared" si="39"/>
        <v>1.2429519792726074E-2</v>
      </c>
      <c r="T78" s="48">
        <v>2077.8875495441598</v>
      </c>
      <c r="U78" s="49">
        <f t="shared" si="40"/>
        <v>18.719707653550991</v>
      </c>
      <c r="V78" s="51"/>
      <c r="W78" s="50"/>
      <c r="X78" s="48">
        <v>1194.43770810151</v>
      </c>
      <c r="Y78" s="49">
        <f t="shared" si="41"/>
        <v>5.7424889812572593</v>
      </c>
      <c r="Z78" s="52"/>
      <c r="AA78" s="52"/>
      <c r="AB78" s="59"/>
      <c r="AC78" s="59"/>
      <c r="AD78" s="59"/>
      <c r="AE78" s="53"/>
      <c r="AF78" s="53"/>
      <c r="AG78" s="52"/>
      <c r="AH78" s="59"/>
      <c r="AI78" s="59"/>
    </row>
    <row r="79" spans="1:35">
      <c r="A79" s="46"/>
      <c r="B79" s="178"/>
      <c r="C79" s="179" t="s">
        <v>84</v>
      </c>
      <c r="D79" s="46" t="s">
        <v>59</v>
      </c>
      <c r="E79" s="46" t="s">
        <v>86</v>
      </c>
      <c r="F79" s="58">
        <v>20.5364628370628</v>
      </c>
      <c r="G79" s="47">
        <v>65.727000000000004</v>
      </c>
      <c r="H79" s="48">
        <v>14.731320629432201</v>
      </c>
      <c r="I79" s="49">
        <f t="shared" si="34"/>
        <v>0.26784219326240366</v>
      </c>
      <c r="J79" s="48">
        <v>10783.727489114301</v>
      </c>
      <c r="K79" s="49">
        <f t="shared" si="35"/>
        <v>189.1882015634088</v>
      </c>
      <c r="L79" s="48">
        <v>0.29457332561490301</v>
      </c>
      <c r="M79" s="50">
        <f t="shared" si="36"/>
        <v>4.5318973171523539E-3</v>
      </c>
      <c r="N79" s="48">
        <v>33.628939447708603</v>
      </c>
      <c r="O79" s="49">
        <f t="shared" si="37"/>
        <v>0.47364703447476908</v>
      </c>
      <c r="P79" s="48">
        <v>322.54808947631801</v>
      </c>
      <c r="Q79" s="49">
        <f t="shared" si="38"/>
        <v>4.3587579658961895</v>
      </c>
      <c r="R79" s="48">
        <v>1.3616146589471401</v>
      </c>
      <c r="S79" s="49">
        <f t="shared" si="39"/>
        <v>1.2725370644365795E-2</v>
      </c>
      <c r="T79" s="48">
        <v>2154.5452889377402</v>
      </c>
      <c r="U79" s="49">
        <f t="shared" si="40"/>
        <v>19.410317918358022</v>
      </c>
      <c r="V79" s="51"/>
      <c r="W79" s="50"/>
      <c r="X79" s="48">
        <v>487.51177230202302</v>
      </c>
      <c r="Y79" s="49">
        <f t="shared" si="41"/>
        <v>2.3438065976058797</v>
      </c>
      <c r="Z79" s="52"/>
      <c r="AA79" s="52"/>
      <c r="AB79" s="59"/>
      <c r="AC79" s="59"/>
      <c r="AD79" s="59"/>
      <c r="AE79" s="53"/>
      <c r="AF79" s="53"/>
      <c r="AG79" s="52"/>
      <c r="AH79" s="59"/>
      <c r="AI79" s="59"/>
    </row>
    <row r="80" spans="1:35">
      <c r="A80" s="46"/>
      <c r="B80" s="178"/>
      <c r="C80" s="179" t="s">
        <v>83</v>
      </c>
      <c r="D80" s="179" t="s">
        <v>64</v>
      </c>
      <c r="E80" s="46" t="s">
        <v>86</v>
      </c>
      <c r="F80" s="58">
        <v>20.5194662675095</v>
      </c>
      <c r="G80" s="47">
        <v>64.626000000000005</v>
      </c>
      <c r="H80" s="48">
        <v>33.450627289286999</v>
      </c>
      <c r="I80" s="49">
        <f t="shared" si="34"/>
        <v>0.60819322344158178</v>
      </c>
      <c r="J80" s="48">
        <v>2916.2384315848199</v>
      </c>
      <c r="K80" s="49">
        <f t="shared" si="35"/>
        <v>51.162077747102103</v>
      </c>
      <c r="L80" s="48">
        <v>0.30214139281555802</v>
      </c>
      <c r="M80" s="50">
        <f t="shared" si="36"/>
        <v>4.6483291202393537E-3</v>
      </c>
      <c r="N80" s="48">
        <v>13.133087432945199</v>
      </c>
      <c r="O80" s="49">
        <f t="shared" si="37"/>
        <v>0.18497306243584788</v>
      </c>
      <c r="P80" s="48">
        <v>654.32250792265199</v>
      </c>
      <c r="Q80" s="49">
        <f t="shared" si="38"/>
        <v>8.8421960530088111</v>
      </c>
      <c r="R80" s="48">
        <v>1.38493008029942</v>
      </c>
      <c r="S80" s="49">
        <f t="shared" si="39"/>
        <v>1.2943271778499252E-2</v>
      </c>
      <c r="T80" s="48">
        <v>1178.18914349344</v>
      </c>
      <c r="U80" s="49">
        <f t="shared" si="40"/>
        <v>10.614316608049009</v>
      </c>
      <c r="V80" s="51"/>
      <c r="W80" s="50"/>
      <c r="X80" s="48">
        <v>2664.4348529081799</v>
      </c>
      <c r="Y80" s="49">
        <f t="shared" si="41"/>
        <v>12.809782946673941</v>
      </c>
      <c r="Z80" s="52"/>
      <c r="AA80" s="52"/>
      <c r="AB80" s="59"/>
      <c r="AC80" s="59"/>
      <c r="AD80" s="59"/>
      <c r="AE80" s="53"/>
      <c r="AF80" s="53"/>
      <c r="AG80" s="52"/>
      <c r="AH80" s="59"/>
      <c r="AI80" s="59"/>
    </row>
    <row r="81" spans="1:35">
      <c r="A81" s="46"/>
      <c r="B81" s="178"/>
      <c r="C81" s="179" t="s">
        <v>84</v>
      </c>
      <c r="D81" s="46" t="s">
        <v>59</v>
      </c>
      <c r="E81" s="46" t="s">
        <v>85</v>
      </c>
      <c r="F81" s="58">
        <v>20.761965585087999</v>
      </c>
      <c r="G81" s="47">
        <v>65.024000000000001</v>
      </c>
      <c r="H81" s="48">
        <v>20.1304107317399</v>
      </c>
      <c r="I81" s="49">
        <f t="shared" si="34"/>
        <v>0.36600746784981636</v>
      </c>
      <c r="J81" s="48">
        <v>8226.2716634889093</v>
      </c>
      <c r="K81" s="49">
        <f t="shared" si="35"/>
        <v>144.32055549980544</v>
      </c>
      <c r="L81" s="48">
        <v>0.28510207073515897</v>
      </c>
      <c r="M81" s="50">
        <f t="shared" si="36"/>
        <v>4.3861857036178306E-3</v>
      </c>
      <c r="N81" s="48">
        <v>36.5972008498847</v>
      </c>
      <c r="O81" s="49">
        <f t="shared" si="37"/>
        <v>0.51545353309696762</v>
      </c>
      <c r="P81" s="48">
        <v>429.144751587977</v>
      </c>
      <c r="Q81" s="49">
        <f t="shared" si="38"/>
        <v>5.7992533998375269</v>
      </c>
      <c r="R81" s="48">
        <v>1.24418764420105</v>
      </c>
      <c r="S81" s="49">
        <f t="shared" si="39"/>
        <v>1.1627921908421029E-2</v>
      </c>
      <c r="T81" s="48">
        <v>1656.73634642767</v>
      </c>
      <c r="U81" s="49">
        <f t="shared" si="40"/>
        <v>14.925552670519549</v>
      </c>
      <c r="V81" s="51"/>
      <c r="W81" s="50"/>
      <c r="X81" s="48">
        <v>1009.4050484225201</v>
      </c>
      <c r="Y81" s="49">
        <f t="shared" si="41"/>
        <v>4.8529088866467314</v>
      </c>
      <c r="Z81" s="52"/>
      <c r="AA81" s="52"/>
      <c r="AB81" s="59"/>
      <c r="AC81" s="59"/>
      <c r="AD81" s="59"/>
      <c r="AE81" s="53"/>
      <c r="AF81" s="53"/>
      <c r="AG81" s="52"/>
      <c r="AH81" s="59"/>
      <c r="AI81" s="59"/>
    </row>
    <row r="82" spans="1:35">
      <c r="A82" s="46"/>
      <c r="B82" s="178"/>
      <c r="C82" s="179" t="s">
        <v>84</v>
      </c>
      <c r="D82" s="46" t="s">
        <v>59</v>
      </c>
      <c r="E82" s="46" t="s">
        <v>86</v>
      </c>
      <c r="F82" s="58">
        <v>20.681210234602702</v>
      </c>
      <c r="G82" s="47">
        <v>64.772000000000006</v>
      </c>
      <c r="H82" s="48">
        <v>19.046635237850701</v>
      </c>
      <c r="I82" s="49">
        <f t="shared" si="34"/>
        <v>0.34630245887001276</v>
      </c>
      <c r="J82" s="48">
        <v>10238.4683824157</v>
      </c>
      <c r="K82" s="49">
        <f t="shared" si="35"/>
        <v>179.62225232308245</v>
      </c>
      <c r="L82" s="48">
        <v>0.41267107499447803</v>
      </c>
      <c r="M82" s="50">
        <f t="shared" si="36"/>
        <v>6.3487857691458156E-3</v>
      </c>
      <c r="N82" s="48">
        <v>55.310134808306103</v>
      </c>
      <c r="O82" s="49">
        <f t="shared" si="37"/>
        <v>0.77901598321557886</v>
      </c>
      <c r="P82" s="48">
        <v>333.68173036989702</v>
      </c>
      <c r="Q82" s="49">
        <f t="shared" si="38"/>
        <v>4.5092125725661756</v>
      </c>
      <c r="R82" s="48">
        <v>1.3370240383726499</v>
      </c>
      <c r="S82" s="49">
        <f t="shared" si="39"/>
        <v>1.2495551760492055E-2</v>
      </c>
      <c r="T82" s="48">
        <v>2165.1052871597399</v>
      </c>
      <c r="U82" s="49">
        <f t="shared" si="40"/>
        <v>19.505453037475135</v>
      </c>
      <c r="V82" s="51"/>
      <c r="W82" s="50"/>
      <c r="X82" s="48">
        <v>870.792526360544</v>
      </c>
      <c r="Y82" s="49">
        <f t="shared" si="41"/>
        <v>4.1865025305795385</v>
      </c>
      <c r="Z82" s="52"/>
      <c r="AA82" s="52"/>
      <c r="AB82" s="59"/>
      <c r="AC82" s="59"/>
      <c r="AD82" s="59"/>
      <c r="AE82" s="53"/>
      <c r="AF82" s="53"/>
      <c r="AG82" s="52"/>
      <c r="AH82" s="59"/>
      <c r="AI82" s="59"/>
    </row>
    <row r="83" spans="1:35">
      <c r="A83" s="46"/>
      <c r="B83" s="178"/>
      <c r="C83" s="179" t="s">
        <v>83</v>
      </c>
      <c r="D83" s="179" t="s">
        <v>74</v>
      </c>
      <c r="E83" s="46" t="s">
        <v>85</v>
      </c>
      <c r="F83" s="58">
        <v>20.439691743627797</v>
      </c>
      <c r="G83" s="47">
        <v>64.5</v>
      </c>
      <c r="H83" s="48">
        <v>36.649713077989198</v>
      </c>
      <c r="I83" s="49">
        <f t="shared" si="34"/>
        <v>0.66635841959980358</v>
      </c>
      <c r="J83" s="48">
        <v>1806.44658738309</v>
      </c>
      <c r="K83" s="49">
        <f t="shared" si="35"/>
        <v>31.692045392685788</v>
      </c>
      <c r="L83" s="48">
        <v>0.240145572955965</v>
      </c>
      <c r="M83" s="50">
        <f t="shared" si="36"/>
        <v>3.6945472762456156E-3</v>
      </c>
      <c r="N83" s="48">
        <v>3.2031630103362598</v>
      </c>
      <c r="O83" s="49">
        <f t="shared" si="37"/>
        <v>4.5114971976567039E-2</v>
      </c>
      <c r="P83" s="48">
        <v>693.92515037503904</v>
      </c>
      <c r="Q83" s="49">
        <f t="shared" si="38"/>
        <v>9.3773668969599875</v>
      </c>
      <c r="R83" s="48">
        <v>1.3106800059482899</v>
      </c>
      <c r="S83" s="49">
        <f t="shared" si="39"/>
        <v>1.2249345849984017E-2</v>
      </c>
      <c r="T83" s="48">
        <v>997.14351002881597</v>
      </c>
      <c r="U83" s="49">
        <f t="shared" si="40"/>
        <v>8.9832748651244678</v>
      </c>
      <c r="V83" s="51"/>
      <c r="W83" s="50"/>
      <c r="X83" s="48">
        <v>3506.4685879694198</v>
      </c>
      <c r="Y83" s="49">
        <f t="shared" si="41"/>
        <v>16.858022057545288</v>
      </c>
      <c r="Z83" s="52"/>
      <c r="AA83" s="52"/>
      <c r="AB83" s="59"/>
      <c r="AC83" s="59"/>
      <c r="AD83" s="59"/>
      <c r="AE83" s="53"/>
      <c r="AF83" s="53"/>
      <c r="AG83" s="52"/>
      <c r="AH83" s="59"/>
      <c r="AI83" s="59"/>
    </row>
    <row r="84" spans="1:35">
      <c r="A84" s="46"/>
      <c r="B84" s="178"/>
      <c r="C84" s="179" t="s">
        <v>83</v>
      </c>
      <c r="D84" s="46" t="s">
        <v>79</v>
      </c>
      <c r="E84" s="46" t="s">
        <v>86</v>
      </c>
      <c r="F84" s="58">
        <v>20.7799412309957</v>
      </c>
      <c r="G84" s="47">
        <v>64.869</v>
      </c>
      <c r="H84" s="48">
        <v>22.210866317066699</v>
      </c>
      <c r="I84" s="49">
        <f t="shared" si="34"/>
        <v>0.40383393303757636</v>
      </c>
      <c r="J84" s="48">
        <v>16691.964914442498</v>
      </c>
      <c r="K84" s="49">
        <f t="shared" si="35"/>
        <v>292.8414897270614</v>
      </c>
      <c r="L84" s="48">
        <v>0.60642260591880903</v>
      </c>
      <c r="M84" s="50">
        <f t="shared" si="36"/>
        <v>9.3295785525970617E-3</v>
      </c>
      <c r="N84" s="48">
        <v>8.4091132589338304</v>
      </c>
      <c r="O84" s="49">
        <f t="shared" si="37"/>
        <v>0.118438214914561</v>
      </c>
      <c r="P84" s="48">
        <v>363.32521887708498</v>
      </c>
      <c r="Q84" s="49">
        <f t="shared" si="38"/>
        <v>4.9098002550957434</v>
      </c>
      <c r="R84" s="48">
        <v>1.26002109213458</v>
      </c>
      <c r="S84" s="49">
        <f t="shared" si="39"/>
        <v>1.1775898057332524E-2</v>
      </c>
      <c r="T84" s="48">
        <v>882.22533347822298</v>
      </c>
      <c r="U84" s="49">
        <f t="shared" si="40"/>
        <v>7.9479759772812884</v>
      </c>
      <c r="V84" s="51"/>
      <c r="W84" s="50"/>
      <c r="X84" s="48">
        <v>653.64293032622004</v>
      </c>
      <c r="Y84" s="49">
        <f t="shared" si="41"/>
        <v>3.142514088106827</v>
      </c>
      <c r="Z84" s="52"/>
      <c r="AA84" s="52"/>
      <c r="AB84" s="59"/>
      <c r="AC84" s="59"/>
      <c r="AD84" s="59"/>
      <c r="AE84" s="53"/>
      <c r="AF84" s="53"/>
      <c r="AG84" s="52"/>
      <c r="AH84" s="59"/>
      <c r="AI84" s="59"/>
    </row>
    <row r="85" spans="1:35">
      <c r="A85" s="46"/>
      <c r="B85" s="178"/>
      <c r="C85" s="179" t="s">
        <v>84</v>
      </c>
      <c r="D85" s="46" t="s">
        <v>79</v>
      </c>
      <c r="E85" s="46" t="s">
        <v>85</v>
      </c>
      <c r="F85" s="58">
        <v>20.3204224763772</v>
      </c>
      <c r="G85" s="47">
        <v>63.991</v>
      </c>
      <c r="H85" s="48">
        <v>16.8713403423674</v>
      </c>
      <c r="I85" s="49">
        <f t="shared" si="34"/>
        <v>0.30675164258849819</v>
      </c>
      <c r="J85" s="48">
        <v>8735.0885081404795</v>
      </c>
      <c r="K85" s="49">
        <f t="shared" si="35"/>
        <v>153.24716680948211</v>
      </c>
      <c r="L85" s="48">
        <v>0.49718811231662502</v>
      </c>
      <c r="M85" s="50">
        <f t="shared" si="36"/>
        <v>7.6490478817942313E-3</v>
      </c>
      <c r="N85" s="48">
        <v>48.816101564684203</v>
      </c>
      <c r="O85" s="49">
        <f t="shared" si="37"/>
        <v>0.68755072626315783</v>
      </c>
      <c r="P85" s="48">
        <v>376.31072962364902</v>
      </c>
      <c r="Q85" s="49">
        <f t="shared" si="38"/>
        <v>5.0852801300493109</v>
      </c>
      <c r="R85" s="48">
        <v>1.4017095716858801</v>
      </c>
      <c r="S85" s="49">
        <f t="shared" si="39"/>
        <v>1.3100089455008224E-2</v>
      </c>
      <c r="T85" s="48">
        <v>1985.93451888922</v>
      </c>
      <c r="U85" s="49">
        <f t="shared" si="40"/>
        <v>17.891301971974954</v>
      </c>
      <c r="V85" s="51"/>
      <c r="W85" s="50"/>
      <c r="X85" s="48">
        <v>698.18026299420103</v>
      </c>
      <c r="Y85" s="49">
        <f t="shared" si="41"/>
        <v>3.3566358797798128</v>
      </c>
      <c r="Z85" s="52"/>
      <c r="AA85" s="52"/>
      <c r="AB85" s="59"/>
      <c r="AC85" s="59"/>
      <c r="AD85" s="59"/>
      <c r="AE85" s="53"/>
      <c r="AF85" s="53"/>
      <c r="AG85" s="52"/>
      <c r="AH85" s="59"/>
      <c r="AI85" s="59"/>
    </row>
    <row r="86" spans="1:35">
      <c r="A86" s="46"/>
      <c r="B86" s="178"/>
      <c r="C86" s="179" t="s">
        <v>83</v>
      </c>
      <c r="D86" s="46" t="s">
        <v>79</v>
      </c>
      <c r="E86" s="46" t="s">
        <v>85</v>
      </c>
      <c r="F86" s="58">
        <v>20.2260730235107</v>
      </c>
      <c r="G86" s="47">
        <v>64.38</v>
      </c>
      <c r="H86" s="48">
        <v>27.228137212535</v>
      </c>
      <c r="I86" s="49">
        <f t="shared" si="34"/>
        <v>0.49505704022790908</v>
      </c>
      <c r="J86" s="48">
        <v>5045.5818262386501</v>
      </c>
      <c r="K86" s="49">
        <f t="shared" si="35"/>
        <v>88.51897940769561</v>
      </c>
      <c r="L86" s="48">
        <v>0.46281733553989102</v>
      </c>
      <c r="M86" s="50">
        <f t="shared" si="36"/>
        <v>7.1202667006137078E-3</v>
      </c>
      <c r="N86" s="48">
        <v>26.874709136029299</v>
      </c>
      <c r="O86" s="49">
        <f t="shared" si="37"/>
        <v>0.37851703008491971</v>
      </c>
      <c r="P86" s="48">
        <v>561.50962220834106</v>
      </c>
      <c r="Q86" s="49">
        <f t="shared" si="38"/>
        <v>7.5879678676802849</v>
      </c>
      <c r="R86" s="48">
        <v>1.26566669895151</v>
      </c>
      <c r="S86" s="49">
        <f t="shared" si="39"/>
        <v>1.182866073786458E-2</v>
      </c>
      <c r="T86" s="48">
        <v>1415.07751826669</v>
      </c>
      <c r="U86" s="49">
        <f t="shared" si="40"/>
        <v>12.748446110510722</v>
      </c>
      <c r="V86" s="51"/>
      <c r="W86" s="50"/>
      <c r="X86" s="48">
        <v>2495.94090235882</v>
      </c>
      <c r="Y86" s="49">
        <f t="shared" si="41"/>
        <v>11.999715876725096</v>
      </c>
      <c r="Z86" s="52"/>
      <c r="AA86" s="52"/>
      <c r="AB86" s="59"/>
      <c r="AC86" s="59"/>
      <c r="AD86" s="59"/>
      <c r="AE86" s="53"/>
      <c r="AF86" s="53"/>
      <c r="AG86" s="52"/>
      <c r="AH86" s="59"/>
      <c r="AI86" s="59"/>
    </row>
    <row r="87" spans="1:35">
      <c r="A87" s="46"/>
      <c r="B87" s="178"/>
      <c r="C87" s="179" t="s">
        <v>83</v>
      </c>
      <c r="D87" s="46" t="s">
        <v>59</v>
      </c>
      <c r="E87" s="46" t="s">
        <v>86</v>
      </c>
      <c r="F87" s="58">
        <v>20.593637982809</v>
      </c>
      <c r="G87" s="47">
        <v>65.385000000000005</v>
      </c>
      <c r="H87" s="48">
        <v>19.840380783870302</v>
      </c>
      <c r="I87" s="49">
        <f t="shared" si="34"/>
        <v>0.36073419607036911</v>
      </c>
      <c r="J87" s="48">
        <v>14306.444490870401</v>
      </c>
      <c r="K87" s="49">
        <f t="shared" si="35"/>
        <v>250.99025422579652</v>
      </c>
      <c r="L87" s="48">
        <v>0.389896497421792</v>
      </c>
      <c r="M87" s="50">
        <f t="shared" si="36"/>
        <v>5.9984076526429534E-3</v>
      </c>
      <c r="N87" s="48">
        <v>15.1833907190315</v>
      </c>
      <c r="O87" s="49">
        <f t="shared" si="37"/>
        <v>0.21385057350748593</v>
      </c>
      <c r="P87" s="48">
        <v>355.63497900745699</v>
      </c>
      <c r="Q87" s="49">
        <f t="shared" si="38"/>
        <v>4.8058780946953643</v>
      </c>
      <c r="R87" s="48">
        <v>1.29421165330212</v>
      </c>
      <c r="S87" s="49">
        <f t="shared" si="39"/>
        <v>1.2095436012169345E-2</v>
      </c>
      <c r="T87" s="48">
        <v>1269.36173950683</v>
      </c>
      <c r="U87" s="49">
        <f t="shared" si="40"/>
        <v>11.435691346908378</v>
      </c>
      <c r="V87" s="51"/>
      <c r="W87" s="50"/>
      <c r="X87" s="48">
        <v>464.75721463912998</v>
      </c>
      <c r="Y87" s="49">
        <f t="shared" si="41"/>
        <v>2.2344096857650482</v>
      </c>
      <c r="Z87" s="52"/>
      <c r="AA87" s="52"/>
      <c r="AB87" s="59"/>
      <c r="AC87" s="59"/>
      <c r="AD87" s="59"/>
      <c r="AE87" s="53"/>
      <c r="AF87" s="53"/>
      <c r="AG87" s="52"/>
      <c r="AH87" s="59"/>
      <c r="AI87" s="59"/>
    </row>
    <row r="88" spans="1:35">
      <c r="A88" s="46" t="s">
        <v>89</v>
      </c>
      <c r="B88" s="178" t="s">
        <v>88</v>
      </c>
      <c r="C88" s="179" t="s">
        <v>83</v>
      </c>
      <c r="D88" s="46" t="s">
        <v>59</v>
      </c>
      <c r="E88" s="46" t="s">
        <v>86</v>
      </c>
      <c r="F88" s="58">
        <v>19.823228120125197</v>
      </c>
      <c r="G88" s="47">
        <v>64.869</v>
      </c>
      <c r="H88" s="48">
        <v>14.044356565695301</v>
      </c>
      <c r="I88" s="49">
        <f t="shared" si="34"/>
        <v>0.25535193755809638</v>
      </c>
      <c r="J88" s="48">
        <v>9318.7637234701306</v>
      </c>
      <c r="K88" s="49">
        <f t="shared" si="35"/>
        <v>163.48708286789702</v>
      </c>
      <c r="L88" s="48">
        <v>0.407947952594439</v>
      </c>
      <c r="M88" s="50">
        <f t="shared" si="36"/>
        <v>6.2761223476067536E-3</v>
      </c>
      <c r="N88" s="48">
        <v>75.213675713094602</v>
      </c>
      <c r="O88" s="49">
        <f t="shared" si="37"/>
        <v>1.0593475452548535</v>
      </c>
      <c r="P88" s="48">
        <v>346.85038193878398</v>
      </c>
      <c r="Q88" s="49">
        <f t="shared" si="38"/>
        <v>4.6871673234970812</v>
      </c>
      <c r="R88" s="48">
        <v>1.44405524832829</v>
      </c>
      <c r="S88" s="49">
        <f t="shared" si="39"/>
        <v>1.3495843442320467E-2</v>
      </c>
      <c r="T88" s="48">
        <v>2688.67872520219</v>
      </c>
      <c r="U88" s="49">
        <f t="shared" si="40"/>
        <v>24.222330857677388</v>
      </c>
      <c r="V88" s="51"/>
      <c r="W88" s="50"/>
      <c r="X88" s="48">
        <v>334.83650434587997</v>
      </c>
      <c r="Y88" s="49">
        <f t="shared" si="41"/>
        <v>1.6097908862782691</v>
      </c>
      <c r="Z88" s="52"/>
      <c r="AA88" s="52"/>
      <c r="AB88" s="59"/>
      <c r="AC88" s="59"/>
      <c r="AD88" s="59"/>
      <c r="AE88" s="53"/>
      <c r="AF88" s="53"/>
      <c r="AG88" s="52"/>
      <c r="AH88" s="59"/>
      <c r="AI88" s="59"/>
    </row>
    <row r="89" spans="1:35">
      <c r="A89" s="46"/>
      <c r="B89" s="178"/>
      <c r="C89" s="179" t="s">
        <v>83</v>
      </c>
      <c r="D89" s="46" t="s">
        <v>79</v>
      </c>
      <c r="E89" s="46" t="s">
        <v>85</v>
      </c>
      <c r="F89" s="58">
        <v>18.897081550269</v>
      </c>
      <c r="G89" s="47">
        <v>65.42</v>
      </c>
      <c r="H89" s="48">
        <v>12.9324593055414</v>
      </c>
      <c r="I89" s="49">
        <f t="shared" si="34"/>
        <v>0.23513562373711636</v>
      </c>
      <c r="J89" s="48">
        <v>8633.7823021636104</v>
      </c>
      <c r="K89" s="49">
        <f t="shared" si="35"/>
        <v>151.46986495023879</v>
      </c>
      <c r="L89" s="48">
        <v>0.83006775843275504</v>
      </c>
      <c r="M89" s="50">
        <f t="shared" si="36"/>
        <v>1.2770273206657769E-2</v>
      </c>
      <c r="N89" s="48">
        <v>99.400619170351305</v>
      </c>
      <c r="O89" s="49">
        <f t="shared" si="37"/>
        <v>1.4000087207091734</v>
      </c>
      <c r="P89" s="48">
        <v>360.82824870614598</v>
      </c>
      <c r="Q89" s="49">
        <f t="shared" si="38"/>
        <v>4.876057414947919</v>
      </c>
      <c r="R89" s="48">
        <v>1.5204234806096599</v>
      </c>
      <c r="S89" s="49">
        <f t="shared" si="39"/>
        <v>1.4209565239342616E-2</v>
      </c>
      <c r="T89" s="48">
        <v>2668.9328617941901</v>
      </c>
      <c r="U89" s="49">
        <f t="shared" si="40"/>
        <v>24.044440196344055</v>
      </c>
      <c r="V89" s="51"/>
      <c r="W89" s="50"/>
      <c r="X89" s="48">
        <v>515.18891901625602</v>
      </c>
      <c r="Y89" s="49">
        <f t="shared" si="41"/>
        <v>2.4768698029627694</v>
      </c>
      <c r="Z89" s="52"/>
      <c r="AA89" s="52"/>
      <c r="AB89" s="59"/>
      <c r="AC89" s="59"/>
      <c r="AD89" s="59"/>
      <c r="AE89" s="53"/>
      <c r="AF89" s="53"/>
      <c r="AG89" s="52"/>
      <c r="AH89" s="59"/>
      <c r="AI89" s="59"/>
    </row>
    <row r="90" spans="1:35">
      <c r="A90" s="46"/>
      <c r="B90" s="178"/>
      <c r="C90" s="179" t="s">
        <v>83</v>
      </c>
      <c r="D90" s="46" t="s">
        <v>79</v>
      </c>
      <c r="E90" s="46" t="s">
        <v>86</v>
      </c>
      <c r="F90" s="58">
        <v>18.6276401713144</v>
      </c>
      <c r="G90" s="47">
        <v>64.308999999999997</v>
      </c>
      <c r="H90" s="48">
        <v>15.4476148975724</v>
      </c>
      <c r="I90" s="49">
        <f t="shared" si="34"/>
        <v>0.28086572541040727</v>
      </c>
      <c r="J90" s="48">
        <v>12917.3748237896</v>
      </c>
      <c r="K90" s="49">
        <f t="shared" si="35"/>
        <v>226.62061094367718</v>
      </c>
      <c r="L90" s="48">
        <v>0.284340088318845</v>
      </c>
      <c r="M90" s="50">
        <f t="shared" si="36"/>
        <v>4.374462897213E-3</v>
      </c>
      <c r="N90" s="48">
        <v>88.066169396639694</v>
      </c>
      <c r="O90" s="49">
        <f t="shared" si="37"/>
        <v>1.2403685830512632</v>
      </c>
      <c r="P90" s="48">
        <v>275.98227727272098</v>
      </c>
      <c r="Q90" s="49">
        <f t="shared" si="38"/>
        <v>3.7294902334151483</v>
      </c>
      <c r="R90" s="48">
        <v>1.38070809301804</v>
      </c>
      <c r="S90" s="49">
        <f t="shared" si="39"/>
        <v>1.2903813953439626E-2</v>
      </c>
      <c r="T90" s="48">
        <v>2471.1529335796499</v>
      </c>
      <c r="U90" s="49">
        <f t="shared" si="40"/>
        <v>22.262639041258108</v>
      </c>
      <c r="V90" s="51"/>
      <c r="W90" s="50"/>
      <c r="X90" s="48">
        <v>336.34632749558801</v>
      </c>
      <c r="Y90" s="49">
        <f t="shared" si="41"/>
        <v>1.6170496514210961</v>
      </c>
      <c r="Z90" s="52"/>
      <c r="AA90" s="52"/>
      <c r="AB90" s="59"/>
      <c r="AC90" s="59"/>
      <c r="AD90" s="59"/>
      <c r="AE90" s="53"/>
      <c r="AF90" s="53"/>
      <c r="AG90" s="52"/>
      <c r="AH90" s="59"/>
      <c r="AI90" s="59"/>
    </row>
    <row r="91" spans="1:35">
      <c r="A91" s="46"/>
      <c r="B91" s="178"/>
      <c r="C91" s="179" t="s">
        <v>84</v>
      </c>
      <c r="D91" s="46" t="s">
        <v>79</v>
      </c>
      <c r="E91" s="46" t="s">
        <v>85</v>
      </c>
      <c r="F91" s="58">
        <v>18.598380402742599</v>
      </c>
      <c r="G91" s="47">
        <v>64.534999999999997</v>
      </c>
      <c r="H91" s="48">
        <v>18.691501778357502</v>
      </c>
      <c r="I91" s="49">
        <f t="shared" si="34"/>
        <v>0.33984548687922728</v>
      </c>
      <c r="J91" s="48">
        <v>16647.850132860702</v>
      </c>
      <c r="K91" s="49">
        <f t="shared" si="35"/>
        <v>292.06754619053862</v>
      </c>
      <c r="L91" s="48">
        <v>0.24759054527941099</v>
      </c>
      <c r="M91" s="50">
        <f t="shared" si="36"/>
        <v>3.8090853119909381E-3</v>
      </c>
      <c r="N91" s="48">
        <v>19.601059450569899</v>
      </c>
      <c r="O91" s="49">
        <f t="shared" si="37"/>
        <v>0.27607125986718167</v>
      </c>
      <c r="P91" s="48">
        <v>342.18704099050598</v>
      </c>
      <c r="Q91" s="49">
        <f t="shared" si="38"/>
        <v>4.6241492025744053</v>
      </c>
      <c r="R91" s="48">
        <v>1.25312926862046</v>
      </c>
      <c r="S91" s="49">
        <f t="shared" si="39"/>
        <v>1.1711488491779999E-2</v>
      </c>
      <c r="T91" s="48">
        <v>1310.1646501753601</v>
      </c>
      <c r="U91" s="49">
        <f t="shared" si="40"/>
        <v>11.803285136714955</v>
      </c>
      <c r="V91" s="51"/>
      <c r="W91" s="50"/>
      <c r="X91" s="48">
        <v>539.19387843060997</v>
      </c>
      <c r="Y91" s="49">
        <f t="shared" si="41"/>
        <v>2.592278261685625</v>
      </c>
      <c r="Z91" s="52"/>
      <c r="AA91" s="52"/>
      <c r="AB91" s="59"/>
      <c r="AC91" s="59"/>
      <c r="AD91" s="59"/>
      <c r="AE91" s="53"/>
      <c r="AF91" s="53"/>
      <c r="AG91" s="52"/>
      <c r="AH91" s="59"/>
      <c r="AI91" s="59"/>
    </row>
    <row r="92" spans="1:35">
      <c r="A92" s="46"/>
      <c r="B92" s="178"/>
      <c r="C92" s="179" t="s">
        <v>84</v>
      </c>
      <c r="D92" s="46" t="s">
        <v>59</v>
      </c>
      <c r="E92" s="46" t="s">
        <v>86</v>
      </c>
      <c r="F92" s="58">
        <v>18.7382012271459</v>
      </c>
      <c r="G92" s="47">
        <v>65.522999999999996</v>
      </c>
      <c r="H92" s="48">
        <v>18.604758554309601</v>
      </c>
      <c r="I92" s="49">
        <f t="shared" si="34"/>
        <v>0.33826833735108364</v>
      </c>
      <c r="J92" s="48">
        <v>10058.435806932001</v>
      </c>
      <c r="K92" s="49">
        <f t="shared" si="35"/>
        <v>176.46378608652631</v>
      </c>
      <c r="L92" s="48">
        <v>0.26355522514685198</v>
      </c>
      <c r="M92" s="50">
        <f t="shared" si="36"/>
        <v>4.0546957714900304E-3</v>
      </c>
      <c r="N92" s="48">
        <v>78.215432907108294</v>
      </c>
      <c r="O92" s="49">
        <f t="shared" si="37"/>
        <v>1.1016258155930745</v>
      </c>
      <c r="P92" s="48">
        <v>400.50665574452802</v>
      </c>
      <c r="Q92" s="49">
        <f t="shared" si="38"/>
        <v>5.4122521046557841</v>
      </c>
      <c r="R92" s="48">
        <v>1.4030390488429301</v>
      </c>
      <c r="S92" s="49">
        <f t="shared" si="39"/>
        <v>1.3112514475167571E-2</v>
      </c>
      <c r="T92" s="48">
        <v>2343.17566707377</v>
      </c>
      <c r="U92" s="49">
        <f t="shared" si="40"/>
        <v>21.109690694358289</v>
      </c>
      <c r="V92" s="51"/>
      <c r="W92" s="50"/>
      <c r="X92" s="48">
        <v>979.73101300020505</v>
      </c>
      <c r="Y92" s="49">
        <f t="shared" si="41"/>
        <v>4.7102452548086777</v>
      </c>
      <c r="Z92" s="52"/>
      <c r="AA92" s="52"/>
      <c r="AB92" s="59"/>
      <c r="AC92" s="59"/>
      <c r="AD92" s="59"/>
      <c r="AE92" s="53"/>
      <c r="AF92" s="53"/>
      <c r="AG92" s="52"/>
      <c r="AH92" s="59"/>
      <c r="AI92" s="59"/>
    </row>
    <row r="93" spans="1:35">
      <c r="A93" s="46"/>
      <c r="B93" s="178"/>
      <c r="C93" s="179" t="s">
        <v>83</v>
      </c>
      <c r="D93" s="46" t="s">
        <v>59</v>
      </c>
      <c r="E93" s="46" t="s">
        <v>86</v>
      </c>
      <c r="F93" s="58">
        <v>18.307983734631001</v>
      </c>
      <c r="G93" s="47">
        <v>64.441000000000003</v>
      </c>
      <c r="H93" s="48">
        <v>19.4441310142942</v>
      </c>
      <c r="I93" s="49">
        <f t="shared" si="34"/>
        <v>0.35352965480534909</v>
      </c>
      <c r="J93" s="48">
        <v>9887.7953142214501</v>
      </c>
      <c r="K93" s="49">
        <f t="shared" si="35"/>
        <v>173.47009323195527</v>
      </c>
      <c r="L93" s="48"/>
      <c r="M93" s="50"/>
      <c r="N93" s="48">
        <v>49.632796031760599</v>
      </c>
      <c r="O93" s="49">
        <f t="shared" si="37"/>
        <v>0.69905346523606482</v>
      </c>
      <c r="P93" s="48">
        <v>397.324387901926</v>
      </c>
      <c r="Q93" s="49">
        <f t="shared" si="38"/>
        <v>5.3692484851611626</v>
      </c>
      <c r="R93" s="48">
        <v>1.38502204525416</v>
      </c>
      <c r="S93" s="49">
        <f t="shared" si="39"/>
        <v>1.294413126405757E-2</v>
      </c>
      <c r="T93" s="48">
        <v>1995.6879225681801</v>
      </c>
      <c r="U93" s="49">
        <f t="shared" si="40"/>
        <v>17.979170473587207</v>
      </c>
      <c r="V93" s="51"/>
      <c r="W93" s="50"/>
      <c r="X93" s="48">
        <v>968.89754109570401</v>
      </c>
      <c r="Y93" s="49">
        <f t="shared" si="41"/>
        <v>4.6581612552678076</v>
      </c>
      <c r="Z93" s="52"/>
      <c r="AA93" s="52"/>
      <c r="AB93" s="59"/>
      <c r="AC93" s="59"/>
      <c r="AD93" s="59"/>
      <c r="AE93" s="53"/>
      <c r="AF93" s="53"/>
      <c r="AG93" s="52"/>
      <c r="AH93" s="59"/>
      <c r="AI93" s="59"/>
    </row>
    <row r="94" spans="1:35">
      <c r="A94" s="46"/>
      <c r="B94" s="178"/>
      <c r="C94" s="179" t="s">
        <v>83</v>
      </c>
      <c r="D94" s="46" t="s">
        <v>59</v>
      </c>
      <c r="E94" s="46" t="s">
        <v>85</v>
      </c>
      <c r="F94" s="58">
        <v>19.4358027879905</v>
      </c>
      <c r="G94" s="47">
        <v>64.093999999999994</v>
      </c>
      <c r="H94" s="48">
        <v>18.778333287515899</v>
      </c>
      <c r="I94" s="49">
        <f t="shared" si="34"/>
        <v>0.34142424159119816</v>
      </c>
      <c r="J94" s="48">
        <v>5307.8162252254497</v>
      </c>
      <c r="K94" s="49">
        <f t="shared" si="35"/>
        <v>93.119582898692101</v>
      </c>
      <c r="L94" s="48">
        <v>0.38186076085676002</v>
      </c>
      <c r="M94" s="50">
        <f t="shared" ref="M94:M107" si="50">L94/65</f>
        <v>5.874780936257846E-3</v>
      </c>
      <c r="N94" s="48">
        <v>39.545383466357897</v>
      </c>
      <c r="O94" s="49">
        <f t="shared" si="37"/>
        <v>0.55697723192053372</v>
      </c>
      <c r="P94" s="48">
        <v>461.53381098832</v>
      </c>
      <c r="Q94" s="49">
        <f t="shared" si="38"/>
        <v>6.2369433917340542</v>
      </c>
      <c r="R94" s="48">
        <v>1.3532467624570199</v>
      </c>
      <c r="S94" s="49">
        <f t="shared" si="39"/>
        <v>1.2647166004271215E-2</v>
      </c>
      <c r="T94" s="48">
        <v>1776.9444546140501</v>
      </c>
      <c r="U94" s="49">
        <f t="shared" si="40"/>
        <v>16.008508600126579</v>
      </c>
      <c r="V94" s="51"/>
      <c r="W94" s="50"/>
      <c r="X94" s="48">
        <v>1535.9055500145801</v>
      </c>
      <c r="Y94" s="49">
        <f t="shared" si="41"/>
        <v>7.3841612981470197</v>
      </c>
      <c r="Z94" s="52"/>
      <c r="AA94" s="52"/>
      <c r="AB94" s="59"/>
      <c r="AC94" s="59"/>
      <c r="AD94" s="59"/>
      <c r="AE94" s="53"/>
      <c r="AF94" s="53"/>
      <c r="AG94" s="52"/>
      <c r="AH94" s="59"/>
      <c r="AI94" s="59"/>
    </row>
    <row r="95" spans="1:35">
      <c r="A95" s="46"/>
      <c r="B95" s="178"/>
      <c r="C95" s="179" t="s">
        <v>84</v>
      </c>
      <c r="D95" s="46" t="s">
        <v>59</v>
      </c>
      <c r="E95" s="46" t="s">
        <v>85</v>
      </c>
      <c r="F95" s="58">
        <v>19.538729321565299</v>
      </c>
      <c r="G95" s="47">
        <v>64.433999999999997</v>
      </c>
      <c r="H95" s="48">
        <v>13.793800030045499</v>
      </c>
      <c r="I95" s="49">
        <f t="shared" si="34"/>
        <v>0.25079636418264545</v>
      </c>
      <c r="J95" s="48">
        <v>9734.9169146345503</v>
      </c>
      <c r="K95" s="49">
        <f t="shared" si="35"/>
        <v>170.78801604622018</v>
      </c>
      <c r="L95" s="48">
        <v>0.57259604364190697</v>
      </c>
      <c r="M95" s="50">
        <f t="shared" si="50"/>
        <v>8.8091699021831844E-3</v>
      </c>
      <c r="N95" s="48">
        <v>113.164760018469</v>
      </c>
      <c r="O95" s="49">
        <f t="shared" si="37"/>
        <v>1.5938698594150562</v>
      </c>
      <c r="P95" s="48">
        <v>283.47777621523198</v>
      </c>
      <c r="Q95" s="49">
        <f t="shared" si="38"/>
        <v>3.8307807596652972</v>
      </c>
      <c r="R95" s="48">
        <v>1.5223827421770699</v>
      </c>
      <c r="S95" s="49">
        <f t="shared" si="39"/>
        <v>1.4227876095112803E-2</v>
      </c>
      <c r="T95" s="48">
        <v>3088.53343291289</v>
      </c>
      <c r="U95" s="49">
        <f t="shared" si="40"/>
        <v>27.824625521737747</v>
      </c>
      <c r="V95" s="51"/>
      <c r="W95" s="50"/>
      <c r="X95" s="48">
        <v>271.41510401953701</v>
      </c>
      <c r="Y95" s="49">
        <f t="shared" si="41"/>
        <v>1.3048803077862356</v>
      </c>
      <c r="Z95" s="52"/>
      <c r="AA95" s="52"/>
      <c r="AB95" s="59"/>
      <c r="AC95" s="59"/>
      <c r="AD95" s="59"/>
      <c r="AE95" s="53"/>
      <c r="AF95" s="53"/>
      <c r="AG95" s="52"/>
      <c r="AH95" s="59"/>
      <c r="AI95" s="59"/>
    </row>
    <row r="96" spans="1:35">
      <c r="A96" s="46"/>
      <c r="B96" s="178"/>
      <c r="C96" s="179" t="s">
        <v>83</v>
      </c>
      <c r="D96" s="179" t="s">
        <v>64</v>
      </c>
      <c r="E96" s="46" t="s">
        <v>85</v>
      </c>
      <c r="F96" s="58">
        <v>19.725455350146802</v>
      </c>
      <c r="G96" s="47">
        <v>65.617000000000004</v>
      </c>
      <c r="H96" s="48">
        <v>30.587119809334599</v>
      </c>
      <c r="I96" s="49">
        <f t="shared" si="34"/>
        <v>0.55612945107881084</v>
      </c>
      <c r="J96" s="48">
        <v>1714.8818979571299</v>
      </c>
      <c r="K96" s="49">
        <f t="shared" si="35"/>
        <v>30.085647332581228</v>
      </c>
      <c r="L96" s="48">
        <v>0.61513004002523797</v>
      </c>
      <c r="M96" s="50">
        <f t="shared" si="50"/>
        <v>9.4635390773113535E-3</v>
      </c>
      <c r="N96" s="48">
        <v>5.6299313250483296</v>
      </c>
      <c r="O96" s="49">
        <f t="shared" si="37"/>
        <v>7.9294807395046893E-2</v>
      </c>
      <c r="P96" s="48">
        <v>610.04454723251104</v>
      </c>
      <c r="Q96" s="49">
        <f t="shared" si="38"/>
        <v>8.2438452328717702</v>
      </c>
      <c r="R96" s="48">
        <v>1.53921832945514</v>
      </c>
      <c r="S96" s="49">
        <f t="shared" si="39"/>
        <v>1.4385218032291029E-2</v>
      </c>
      <c r="T96" s="48">
        <v>1453.82001958562</v>
      </c>
      <c r="U96" s="49">
        <f t="shared" si="40"/>
        <v>13.097477653924505</v>
      </c>
      <c r="V96" s="51"/>
      <c r="W96" s="50"/>
      <c r="X96" s="48">
        <v>3174.5399726699302</v>
      </c>
      <c r="Y96" s="49">
        <f t="shared" si="41"/>
        <v>15.262211407066973</v>
      </c>
      <c r="Z96" s="52"/>
      <c r="AA96" s="52"/>
      <c r="AB96" s="59"/>
      <c r="AC96" s="59"/>
      <c r="AD96" s="59"/>
      <c r="AE96" s="53"/>
      <c r="AF96" s="53"/>
      <c r="AG96" s="52"/>
      <c r="AH96" s="59"/>
      <c r="AI96" s="59"/>
    </row>
    <row r="97" spans="1:35">
      <c r="A97" s="46"/>
      <c r="B97" s="178"/>
      <c r="C97" s="179" t="s">
        <v>84</v>
      </c>
      <c r="D97" s="46" t="s">
        <v>59</v>
      </c>
      <c r="E97" s="46" t="s">
        <v>86</v>
      </c>
      <c r="F97" s="58">
        <v>19.282254038008098</v>
      </c>
      <c r="G97" s="47">
        <v>63.951999999999998</v>
      </c>
      <c r="H97" s="48">
        <v>25.239818877485298</v>
      </c>
      <c r="I97" s="49">
        <f t="shared" si="34"/>
        <v>0.45890579777245999</v>
      </c>
      <c r="J97" s="48">
        <v>14510.8248252374</v>
      </c>
      <c r="K97" s="49">
        <f t="shared" si="35"/>
        <v>254.57587412697191</v>
      </c>
      <c r="L97" s="48">
        <v>0.245865868195838</v>
      </c>
      <c r="M97" s="50">
        <f t="shared" si="50"/>
        <v>3.7825518183975076E-3</v>
      </c>
      <c r="N97" s="48">
        <v>6.3771094575857301</v>
      </c>
      <c r="O97" s="49">
        <f t="shared" si="37"/>
        <v>8.981844306458775E-2</v>
      </c>
      <c r="P97" s="48">
        <v>550.00650983052503</v>
      </c>
      <c r="Q97" s="49">
        <f t="shared" si="38"/>
        <v>7.4325204031152028</v>
      </c>
      <c r="R97" s="48">
        <v>1.22764583936445</v>
      </c>
      <c r="S97" s="49">
        <f t="shared" si="39"/>
        <v>1.1473325601536917E-2</v>
      </c>
      <c r="T97" s="48">
        <v>586.00453967376905</v>
      </c>
      <c r="U97" s="49">
        <f t="shared" si="40"/>
        <v>5.2793201772411624</v>
      </c>
      <c r="V97" s="51"/>
      <c r="W97" s="50"/>
      <c r="X97" s="48">
        <v>701.53856809220099</v>
      </c>
      <c r="Y97" s="49">
        <f t="shared" si="41"/>
        <v>3.372781577366351</v>
      </c>
      <c r="Z97" s="52"/>
      <c r="AA97" s="52"/>
      <c r="AB97" s="59"/>
      <c r="AC97" s="59"/>
      <c r="AD97" s="59"/>
      <c r="AE97" s="53"/>
      <c r="AF97" s="53"/>
      <c r="AG97" s="52"/>
      <c r="AH97" s="59"/>
      <c r="AI97" s="59"/>
    </row>
    <row r="98" spans="1:35">
      <c r="A98" s="46"/>
      <c r="B98" s="178"/>
      <c r="C98" s="179" t="s">
        <v>83</v>
      </c>
      <c r="D98" s="46" t="s">
        <v>59</v>
      </c>
      <c r="E98" s="46" t="s">
        <v>86</v>
      </c>
      <c r="F98" s="58">
        <v>19.022059754342997</v>
      </c>
      <c r="G98" s="47">
        <v>63.850999999999999</v>
      </c>
      <c r="H98" s="48">
        <v>27.4592957393311</v>
      </c>
      <c r="I98" s="49">
        <f t="shared" si="34"/>
        <v>0.49925992253329271</v>
      </c>
      <c r="J98" s="48">
        <v>7700.7955780895099</v>
      </c>
      <c r="K98" s="49">
        <f t="shared" si="35"/>
        <v>135.10167680858788</v>
      </c>
      <c r="L98" s="48">
        <v>0.47639283579964498</v>
      </c>
      <c r="M98" s="50">
        <f t="shared" si="50"/>
        <v>7.3291205507637685E-3</v>
      </c>
      <c r="N98" s="48">
        <v>3.8883501812747299</v>
      </c>
      <c r="O98" s="49">
        <f t="shared" si="37"/>
        <v>5.4765495510911685E-2</v>
      </c>
      <c r="P98" s="48">
        <v>581.08845997428205</v>
      </c>
      <c r="Q98" s="49">
        <f t="shared" si="38"/>
        <v>7.8525467564092164</v>
      </c>
      <c r="R98" s="48">
        <v>1.28343534067904</v>
      </c>
      <c r="S98" s="49">
        <f t="shared" si="39"/>
        <v>1.1994722810084485E-2</v>
      </c>
      <c r="T98" s="48">
        <v>476.16836178098703</v>
      </c>
      <c r="U98" s="49">
        <f t="shared" si="40"/>
        <v>4.2898050610899734</v>
      </c>
      <c r="V98" s="51"/>
      <c r="W98" s="50"/>
      <c r="X98" s="48">
        <v>1011.7029952983301</v>
      </c>
      <c r="Y98" s="49">
        <f t="shared" si="41"/>
        <v>4.8639567081650483</v>
      </c>
      <c r="Z98" s="52"/>
      <c r="AA98" s="52"/>
      <c r="AB98" s="59"/>
      <c r="AC98" s="59"/>
      <c r="AD98" s="59"/>
      <c r="AE98" s="53"/>
      <c r="AF98" s="53"/>
      <c r="AG98" s="52"/>
      <c r="AH98" s="59"/>
      <c r="AI98" s="59"/>
    </row>
    <row r="99" spans="1:35">
      <c r="A99" s="46"/>
      <c r="B99" s="178"/>
      <c r="C99" s="179" t="s">
        <v>84</v>
      </c>
      <c r="D99" s="46" t="s">
        <v>79</v>
      </c>
      <c r="E99" s="46" t="s">
        <v>86</v>
      </c>
      <c r="F99" s="58">
        <v>18.842584881527699</v>
      </c>
      <c r="G99" s="47">
        <v>64.513000000000005</v>
      </c>
      <c r="H99" s="48">
        <v>20.443845101499701</v>
      </c>
      <c r="I99" s="49">
        <f t="shared" si="34"/>
        <v>0.37170627457272182</v>
      </c>
      <c r="J99" s="48">
        <v>9272.39734304786</v>
      </c>
      <c r="K99" s="49">
        <f t="shared" si="35"/>
        <v>162.67363759733087</v>
      </c>
      <c r="L99" s="48">
        <v>0.42015834216909698</v>
      </c>
      <c r="M99" s="50">
        <f t="shared" si="50"/>
        <v>6.4639744949091839E-3</v>
      </c>
      <c r="N99" s="48">
        <v>54.886611319070099</v>
      </c>
      <c r="O99" s="49">
        <f t="shared" si="37"/>
        <v>0.77305086364887465</v>
      </c>
      <c r="P99" s="48">
        <v>447.98046104459701</v>
      </c>
      <c r="Q99" s="49">
        <f t="shared" si="38"/>
        <v>6.053790014116176</v>
      </c>
      <c r="R99" s="48">
        <v>1.4056801206254499</v>
      </c>
      <c r="S99" s="49">
        <f t="shared" si="39"/>
        <v>1.3137197389022897E-2</v>
      </c>
      <c r="T99" s="48">
        <v>1931.44339671893</v>
      </c>
      <c r="U99" s="49">
        <f t="shared" si="40"/>
        <v>17.400390961431803</v>
      </c>
      <c r="V99" s="51"/>
      <c r="W99" s="50"/>
      <c r="X99" s="48">
        <v>1133.90208368085</v>
      </c>
      <c r="Y99" s="49">
        <f t="shared" si="41"/>
        <v>5.4514523253887015</v>
      </c>
      <c r="Z99" s="52"/>
      <c r="AA99" s="52"/>
      <c r="AB99" s="59"/>
      <c r="AC99" s="59"/>
      <c r="AD99" s="59"/>
      <c r="AE99" s="53"/>
      <c r="AF99" s="53"/>
      <c r="AG99" s="52"/>
      <c r="AH99" s="59"/>
      <c r="AI99" s="59"/>
    </row>
    <row r="100" spans="1:35">
      <c r="A100" s="46"/>
      <c r="B100" s="178"/>
      <c r="C100" s="179" t="s">
        <v>83</v>
      </c>
      <c r="D100" s="46" t="s">
        <v>79</v>
      </c>
      <c r="E100" s="46" t="s">
        <v>85</v>
      </c>
      <c r="F100" s="58">
        <v>18.8446711563444</v>
      </c>
      <c r="G100" s="47">
        <v>64.423000000000002</v>
      </c>
      <c r="H100" s="48">
        <v>15.180540656368899</v>
      </c>
      <c r="I100" s="49">
        <f t="shared" si="34"/>
        <v>0.27600983011579816</v>
      </c>
      <c r="J100" s="48">
        <v>11024.1149803027</v>
      </c>
      <c r="K100" s="49">
        <f t="shared" si="35"/>
        <v>193.40552597022281</v>
      </c>
      <c r="L100" s="48">
        <v>0.27031350505368301</v>
      </c>
      <c r="M100" s="50">
        <f t="shared" si="50"/>
        <v>4.1586693085182E-3</v>
      </c>
      <c r="N100" s="48">
        <v>85.889879966009701</v>
      </c>
      <c r="O100" s="49">
        <f t="shared" si="37"/>
        <v>1.2097166192395732</v>
      </c>
      <c r="P100" s="48">
        <v>296.07137228637799</v>
      </c>
      <c r="Q100" s="49">
        <f t="shared" si="38"/>
        <v>4.0009644903564592</v>
      </c>
      <c r="R100" s="48">
        <v>1.3998788522980601</v>
      </c>
      <c r="S100" s="49">
        <f t="shared" si="39"/>
        <v>1.3082979928019253E-2</v>
      </c>
      <c r="T100" s="48">
        <v>2623.9153709494599</v>
      </c>
      <c r="U100" s="49">
        <f t="shared" si="40"/>
        <v>23.6388772157609</v>
      </c>
      <c r="V100" s="51"/>
      <c r="W100" s="50"/>
      <c r="X100" s="48">
        <v>302.73698331554101</v>
      </c>
      <c r="Y100" s="49">
        <f t="shared" si="41"/>
        <v>1.455466265940101</v>
      </c>
      <c r="Z100" s="52"/>
      <c r="AA100" s="52"/>
      <c r="AB100" s="59"/>
      <c r="AC100" s="59"/>
      <c r="AD100" s="59"/>
      <c r="AE100" s="53"/>
      <c r="AF100" s="53"/>
      <c r="AG100" s="52"/>
      <c r="AH100" s="59"/>
      <c r="AI100" s="59"/>
    </row>
    <row r="101" spans="1:35">
      <c r="A101" s="46" t="s">
        <v>90</v>
      </c>
      <c r="B101" s="178" t="s">
        <v>91</v>
      </c>
      <c r="C101" s="179" t="s">
        <v>84</v>
      </c>
      <c r="D101" s="46" t="s">
        <v>79</v>
      </c>
      <c r="E101" s="46" t="s">
        <v>86</v>
      </c>
      <c r="F101" s="58">
        <v>17.192672330245301</v>
      </c>
      <c r="G101" s="47">
        <v>65.164000000000001</v>
      </c>
      <c r="H101" s="48">
        <v>40.787303894970201</v>
      </c>
      <c r="I101" s="49">
        <f t="shared" si="34"/>
        <v>0.74158734354491274</v>
      </c>
      <c r="J101" s="48">
        <v>9864.0712628995698</v>
      </c>
      <c r="K101" s="49">
        <f t="shared" si="35"/>
        <v>173.0538818052556</v>
      </c>
      <c r="L101" s="48">
        <v>0.61326962131571106</v>
      </c>
      <c r="M101" s="50">
        <f t="shared" si="50"/>
        <v>9.4349172510109387E-3</v>
      </c>
      <c r="N101" s="48">
        <v>24.424344882812999</v>
      </c>
      <c r="O101" s="49">
        <f t="shared" si="37"/>
        <v>0.34400485750440846</v>
      </c>
      <c r="P101" s="48">
        <v>664.00636512966003</v>
      </c>
      <c r="Q101" s="49">
        <f t="shared" si="38"/>
        <v>8.9730589882386482</v>
      </c>
      <c r="R101" s="48">
        <v>1.5122375966185799</v>
      </c>
      <c r="S101" s="49">
        <f t="shared" si="39"/>
        <v>1.4133061650640934E-2</v>
      </c>
      <c r="T101" s="48">
        <v>779.16732374527101</v>
      </c>
      <c r="U101" s="49">
        <f t="shared" si="40"/>
        <v>7.0195254391465856</v>
      </c>
      <c r="V101" s="51">
        <v>3.1289346935702102E-2</v>
      </c>
      <c r="W101" s="50">
        <f>V101/115</f>
        <v>2.720812777017574E-4</v>
      </c>
      <c r="X101" s="48">
        <v>1686.8224641059501</v>
      </c>
      <c r="Y101" s="49">
        <f t="shared" si="41"/>
        <v>8.1097233851247594</v>
      </c>
      <c r="Z101" s="52">
        <f t="shared" si="42"/>
        <v>1.7771340869142147</v>
      </c>
      <c r="AA101" s="52">
        <f t="shared" si="43"/>
        <v>111.32390567186673</v>
      </c>
      <c r="AB101" s="59">
        <f t="shared" si="44"/>
        <v>384.4739056718667</v>
      </c>
      <c r="AC101" s="59">
        <v>0.01</v>
      </c>
      <c r="AD101" s="59">
        <f t="shared" si="45"/>
        <v>48.802289377912956</v>
      </c>
      <c r="AE101" s="53">
        <f t="shared" si="46"/>
        <v>1.7261835242375567E-2</v>
      </c>
      <c r="AF101" s="53">
        <f t="shared" si="47"/>
        <v>1.6968920531912724E-2</v>
      </c>
      <c r="AG101" s="52">
        <f>0.8*LOG10(53.1*AF101/AD101)-1.38</f>
        <v>-2.7669531671248651</v>
      </c>
      <c r="AH101" s="59">
        <f t="shared" si="48"/>
        <v>-18.980444909659937</v>
      </c>
      <c r="AI101" s="59">
        <f t="shared" si="49"/>
        <v>-0.11154753178453092</v>
      </c>
    </row>
    <row r="102" spans="1:35">
      <c r="A102" s="46"/>
      <c r="B102" s="178"/>
      <c r="C102" s="179" t="s">
        <v>83</v>
      </c>
      <c r="D102" s="179" t="s">
        <v>64</v>
      </c>
      <c r="E102" s="46" t="s">
        <v>86</v>
      </c>
      <c r="F102" s="58">
        <v>18.255900877512101</v>
      </c>
      <c r="G102" s="47">
        <v>66.275000000000006</v>
      </c>
      <c r="H102" s="48">
        <v>25.527053316313101</v>
      </c>
      <c r="I102" s="49">
        <f t="shared" si="34"/>
        <v>0.46412824211478365</v>
      </c>
      <c r="J102" s="48">
        <v>3000.1607393199201</v>
      </c>
      <c r="K102" s="49">
        <f t="shared" si="35"/>
        <v>52.634398935437197</v>
      </c>
      <c r="L102" s="48">
        <v>0.36753540516174599</v>
      </c>
      <c r="M102" s="50">
        <f t="shared" si="50"/>
        <v>5.6543908486422463E-3</v>
      </c>
      <c r="N102" s="48">
        <v>33.656141937076903</v>
      </c>
      <c r="O102" s="49">
        <f t="shared" si="37"/>
        <v>0.47403016812784371</v>
      </c>
      <c r="P102" s="48">
        <v>517.94813308751395</v>
      </c>
      <c r="Q102" s="49">
        <f t="shared" si="38"/>
        <v>6.9992990957772152</v>
      </c>
      <c r="R102" s="48">
        <v>1.7493119210900601</v>
      </c>
      <c r="S102" s="49">
        <f t="shared" si="39"/>
        <v>1.6348709542897757E-2</v>
      </c>
      <c r="T102" s="48">
        <v>1843.2875240025</v>
      </c>
      <c r="U102" s="49">
        <f t="shared" si="40"/>
        <v>16.606193909932433</v>
      </c>
      <c r="V102" s="51"/>
      <c r="W102" s="50"/>
      <c r="X102" s="48">
        <v>2857.9608896668101</v>
      </c>
      <c r="Y102" s="49">
        <f t="shared" si="41"/>
        <v>13.740196584936587</v>
      </c>
      <c r="Z102" s="52"/>
      <c r="AA102" s="52"/>
      <c r="AB102" s="59"/>
      <c r="AC102" s="59"/>
      <c r="AD102" s="59"/>
      <c r="AE102" s="53"/>
      <c r="AF102" s="53"/>
      <c r="AG102" s="52"/>
      <c r="AH102" s="59"/>
      <c r="AI102" s="59"/>
    </row>
    <row r="103" spans="1:35">
      <c r="A103" s="46"/>
      <c r="B103" s="178"/>
      <c r="C103" s="179" t="s">
        <v>83</v>
      </c>
      <c r="D103" s="46" t="s">
        <v>59</v>
      </c>
      <c r="E103" s="46" t="s">
        <v>86</v>
      </c>
      <c r="F103" s="58">
        <v>18.0040193840996</v>
      </c>
      <c r="G103" s="47">
        <v>65.552999999999997</v>
      </c>
      <c r="H103" s="48">
        <v>26.947034808736401</v>
      </c>
      <c r="I103" s="49">
        <f t="shared" si="34"/>
        <v>0.48994608743157092</v>
      </c>
      <c r="J103" s="48">
        <v>8482.5948305370093</v>
      </c>
      <c r="K103" s="49">
        <f t="shared" si="35"/>
        <v>148.81745316731596</v>
      </c>
      <c r="L103" s="48">
        <v>0.277210529496066</v>
      </c>
      <c r="M103" s="50">
        <f t="shared" si="50"/>
        <v>4.2647773768625542E-3</v>
      </c>
      <c r="N103" s="48">
        <v>43.858532855792703</v>
      </c>
      <c r="O103" s="49">
        <f t="shared" si="37"/>
        <v>0.61772581487031974</v>
      </c>
      <c r="P103" s="48">
        <v>528.98599428644002</v>
      </c>
      <c r="Q103" s="49">
        <f t="shared" si="38"/>
        <v>7.1484593822491895</v>
      </c>
      <c r="R103" s="48">
        <v>1.38096468171316</v>
      </c>
      <c r="S103" s="49">
        <f t="shared" si="39"/>
        <v>1.2906211978627664E-2</v>
      </c>
      <c r="T103" s="48">
        <v>2042.78870492226</v>
      </c>
      <c r="U103" s="49">
        <f t="shared" si="40"/>
        <v>18.403501846146487</v>
      </c>
      <c r="V103" s="51"/>
      <c r="W103" s="50"/>
      <c r="X103" s="48">
        <v>1598.1683706035201</v>
      </c>
      <c r="Y103" s="49">
        <f t="shared" si="41"/>
        <v>7.6835017817476929</v>
      </c>
      <c r="Z103" s="52"/>
      <c r="AA103" s="52"/>
      <c r="AB103" s="59"/>
      <c r="AC103" s="59"/>
      <c r="AD103" s="59"/>
      <c r="AE103" s="53"/>
      <c r="AF103" s="53"/>
      <c r="AG103" s="52"/>
      <c r="AH103" s="59"/>
      <c r="AI103" s="59"/>
    </row>
    <row r="104" spans="1:35">
      <c r="A104" s="46"/>
      <c r="B104" s="178"/>
      <c r="C104" s="179" t="s">
        <v>84</v>
      </c>
      <c r="D104" s="46" t="s">
        <v>59</v>
      </c>
      <c r="E104" s="46" t="s">
        <v>85</v>
      </c>
      <c r="F104" s="58">
        <v>18.014419719937099</v>
      </c>
      <c r="G104" s="47">
        <v>65.962999999999994</v>
      </c>
      <c r="H104" s="48">
        <v>36.974773884034398</v>
      </c>
      <c r="I104" s="49">
        <f t="shared" si="34"/>
        <v>0.67226861607335275</v>
      </c>
      <c r="J104" s="48">
        <v>4635.8993371558299</v>
      </c>
      <c r="K104" s="49">
        <f t="shared" si="35"/>
        <v>81.331567318523327</v>
      </c>
      <c r="L104" s="48">
        <v>0.37506861317902401</v>
      </c>
      <c r="M104" s="50">
        <f t="shared" si="50"/>
        <v>5.7702863566003694E-3</v>
      </c>
      <c r="N104" s="48">
        <v>23.934925304865601</v>
      </c>
      <c r="O104" s="49">
        <f t="shared" si="37"/>
        <v>0.33711162401219158</v>
      </c>
      <c r="P104" s="48">
        <v>717.387001618471</v>
      </c>
      <c r="Q104" s="49">
        <f t="shared" si="38"/>
        <v>9.6944189407901487</v>
      </c>
      <c r="R104" s="48">
        <v>1.3341984638936999</v>
      </c>
      <c r="S104" s="49">
        <f t="shared" si="39"/>
        <v>1.2469144522371026E-2</v>
      </c>
      <c r="T104" s="48">
        <v>1604.9769458181299</v>
      </c>
      <c r="U104" s="49">
        <f t="shared" si="40"/>
        <v>14.459251764127297</v>
      </c>
      <c r="V104" s="51"/>
      <c r="W104" s="50"/>
      <c r="X104" s="48">
        <v>3574.8476479535998</v>
      </c>
      <c r="Y104" s="49">
        <f t="shared" si="41"/>
        <v>17.18676753823846</v>
      </c>
      <c r="Z104" s="52"/>
      <c r="AA104" s="52"/>
      <c r="AB104" s="59"/>
      <c r="AC104" s="59"/>
      <c r="AD104" s="59"/>
      <c r="AE104" s="53"/>
      <c r="AF104" s="53"/>
      <c r="AG104" s="52"/>
      <c r="AH104" s="59"/>
      <c r="AI104" s="59"/>
    </row>
    <row r="105" spans="1:35">
      <c r="A105" s="46"/>
      <c r="B105" s="178"/>
      <c r="C105" s="179" t="s">
        <v>83</v>
      </c>
      <c r="D105" s="179" t="s">
        <v>64</v>
      </c>
      <c r="E105" s="46" t="s">
        <v>85</v>
      </c>
      <c r="F105" s="58">
        <v>17.443550024676099</v>
      </c>
      <c r="G105" s="47">
        <v>64.411000000000001</v>
      </c>
      <c r="H105" s="48">
        <v>41.931388050132099</v>
      </c>
      <c r="I105" s="49">
        <f t="shared" si="34"/>
        <v>0.7623888736387654</v>
      </c>
      <c r="J105" s="48">
        <v>7265.3425423449098</v>
      </c>
      <c r="K105" s="49">
        <f t="shared" si="35"/>
        <v>127.46214986570017</v>
      </c>
      <c r="L105" s="48">
        <v>0.66533750636469802</v>
      </c>
      <c r="M105" s="50">
        <f t="shared" si="50"/>
        <v>1.023596163637997E-2</v>
      </c>
      <c r="N105" s="48">
        <v>31.4686768424483</v>
      </c>
      <c r="O105" s="49">
        <f t="shared" si="37"/>
        <v>0.4432208005978634</v>
      </c>
      <c r="P105" s="48">
        <v>628.93346491904799</v>
      </c>
      <c r="Q105" s="49">
        <f t="shared" si="38"/>
        <v>8.4991008772844321</v>
      </c>
      <c r="R105" s="48">
        <v>1.79511679348672</v>
      </c>
      <c r="S105" s="49">
        <f t="shared" si="39"/>
        <v>1.677679246249271E-2</v>
      </c>
      <c r="T105" s="48">
        <v>1773.85097721236</v>
      </c>
      <c r="U105" s="49">
        <f t="shared" si="40"/>
        <v>15.980639434345585</v>
      </c>
      <c r="V105" s="51">
        <v>6.1029202611365699E-2</v>
      </c>
      <c r="W105" s="50">
        <f>V105/115</f>
        <v>5.3068871835970177E-4</v>
      </c>
      <c r="X105" s="48">
        <v>1128.92209721888</v>
      </c>
      <c r="Y105" s="49">
        <f t="shared" si="41"/>
        <v>5.4275100827830771</v>
      </c>
      <c r="Z105" s="52">
        <f t="shared" si="42"/>
        <v>1.8550651345667579</v>
      </c>
      <c r="AA105" s="52">
        <f t="shared" si="43"/>
        <v>107.08445667956838</v>
      </c>
      <c r="AB105" s="59">
        <f t="shared" si="44"/>
        <v>380.23445667956832</v>
      </c>
      <c r="AC105" s="59">
        <v>0.01</v>
      </c>
      <c r="AD105" s="59">
        <f t="shared" si="45"/>
        <v>48.7482522821511</v>
      </c>
      <c r="AE105" s="53">
        <f t="shared" si="46"/>
        <v>1.286277148510427E-2</v>
      </c>
      <c r="AF105" s="53">
        <f t="shared" si="47"/>
        <v>1.2699421725456753E-2</v>
      </c>
      <c r="AG105" s="52">
        <f>0.8*LOG10(53.1*AF105/AD105)-1.38</f>
        <v>-2.8672644666859965</v>
      </c>
      <c r="AH105" s="59">
        <f t="shared" si="48"/>
        <v>-19.214815376422692</v>
      </c>
      <c r="AI105" s="59">
        <f t="shared" si="49"/>
        <v>-1.5613263851932402E-2</v>
      </c>
    </row>
    <row r="106" spans="1:35">
      <c r="A106" s="46"/>
      <c r="B106" s="178"/>
      <c r="C106" s="179" t="s">
        <v>83</v>
      </c>
      <c r="D106" s="46" t="s">
        <v>79</v>
      </c>
      <c r="E106" s="46" t="s">
        <v>85</v>
      </c>
      <c r="F106" s="58">
        <v>17.102914815794797</v>
      </c>
      <c r="G106" s="47">
        <v>64.623000000000005</v>
      </c>
      <c r="H106" s="48">
        <v>44.383670749262699</v>
      </c>
      <c r="I106" s="49">
        <f t="shared" si="34"/>
        <v>0.80697583180477639</v>
      </c>
      <c r="J106" s="48">
        <v>6650.58977973118</v>
      </c>
      <c r="K106" s="49">
        <f t="shared" si="35"/>
        <v>116.67701367949438</v>
      </c>
      <c r="L106" s="48">
        <v>0.77730366328304201</v>
      </c>
      <c r="M106" s="50">
        <f t="shared" si="50"/>
        <v>1.1958517896662186E-2</v>
      </c>
      <c r="N106" s="48">
        <v>26.984916469054799</v>
      </c>
      <c r="O106" s="49">
        <f t="shared" si="37"/>
        <v>0.38006924604302533</v>
      </c>
      <c r="P106" s="48">
        <v>743.15869257086604</v>
      </c>
      <c r="Q106" s="49">
        <f t="shared" si="38"/>
        <v>10.042685034741433</v>
      </c>
      <c r="R106" s="48">
        <v>1.73115741087148</v>
      </c>
      <c r="S106" s="49">
        <f t="shared" si="39"/>
        <v>1.6179041223097945E-2</v>
      </c>
      <c r="T106" s="48">
        <v>1290.1302865134701</v>
      </c>
      <c r="U106" s="49">
        <f t="shared" si="40"/>
        <v>11.622795373995226</v>
      </c>
      <c r="V106" s="51">
        <v>8.2611451976812605E-2</v>
      </c>
      <c r="W106" s="50">
        <f>V106/115</f>
        <v>7.1836045197228352E-4</v>
      </c>
      <c r="X106" s="48">
        <v>1500.21759882679</v>
      </c>
      <c r="Y106" s="49">
        <f t="shared" si="41"/>
        <v>7.2125846097441828</v>
      </c>
      <c r="Z106" s="52">
        <f t="shared" si="42"/>
        <v>1.8459991622526557</v>
      </c>
      <c r="AA106" s="52">
        <f t="shared" si="43"/>
        <v>107.57764557345553</v>
      </c>
      <c r="AB106" s="59">
        <f t="shared" si="44"/>
        <v>380.7276455734555</v>
      </c>
      <c r="AC106" s="59">
        <v>0.01</v>
      </c>
      <c r="AD106" s="59">
        <f t="shared" si="45"/>
        <v>48.754539788341162</v>
      </c>
      <c r="AE106" s="60">
        <f t="shared" si="46"/>
        <v>1.1735768827146891E-2</v>
      </c>
      <c r="AF106" s="60">
        <f t="shared" si="47"/>
        <v>1.1599638155277996E-2</v>
      </c>
      <c r="AG106" s="59">
        <f>0.8*LOG10(53.1*AF106/AD106)-1.38</f>
        <v>-2.8987808787231755</v>
      </c>
      <c r="AH106" s="59">
        <f t="shared" si="48"/>
        <v>-19.100680462150969</v>
      </c>
      <c r="AI106" s="59">
        <f t="shared" si="49"/>
        <v>5.9718129929930086E-2</v>
      </c>
    </row>
    <row r="107" spans="1:35">
      <c r="A107" s="46"/>
      <c r="B107" s="178"/>
      <c r="C107" s="179" t="s">
        <v>83</v>
      </c>
      <c r="D107" s="179" t="s">
        <v>79</v>
      </c>
      <c r="E107" s="46" t="s">
        <v>85</v>
      </c>
      <c r="F107" s="58">
        <v>17.043624863784601</v>
      </c>
      <c r="G107" s="47">
        <v>64.540999999999997</v>
      </c>
      <c r="H107" s="48">
        <v>29.968148460154499</v>
      </c>
      <c r="I107" s="49">
        <f t="shared" si="34"/>
        <v>0.5448754265482636</v>
      </c>
      <c r="J107" s="48">
        <v>9554.7575340499207</v>
      </c>
      <c r="K107" s="49">
        <f t="shared" si="35"/>
        <v>167.62732515877053</v>
      </c>
      <c r="L107" s="48">
        <v>0.29694959431110601</v>
      </c>
      <c r="M107" s="50">
        <f t="shared" si="50"/>
        <v>4.5684552970939388E-3</v>
      </c>
      <c r="N107" s="48">
        <v>20.547108497760899</v>
      </c>
      <c r="O107" s="49">
        <f t="shared" si="37"/>
        <v>0.28939589433466056</v>
      </c>
      <c r="P107" s="48">
        <v>568.64409574992897</v>
      </c>
      <c r="Q107" s="49">
        <f t="shared" si="38"/>
        <v>7.6843796722963376</v>
      </c>
      <c r="R107" s="48">
        <v>1.34672045011313</v>
      </c>
      <c r="S107" s="49">
        <f t="shared" si="39"/>
        <v>1.2586172430963832E-2</v>
      </c>
      <c r="T107" s="48">
        <v>1505.52115034549</v>
      </c>
      <c r="U107" s="49">
        <f t="shared" si="40"/>
        <v>13.563253606716126</v>
      </c>
      <c r="V107" s="51"/>
      <c r="W107" s="50"/>
      <c r="X107" s="48">
        <v>1415.4863203017201</v>
      </c>
      <c r="Y107" s="49">
        <f t="shared" si="41"/>
        <v>6.8052226937582692</v>
      </c>
      <c r="Z107" s="52"/>
      <c r="AA107" s="52"/>
      <c r="AB107" s="129"/>
      <c r="AC107" s="129"/>
      <c r="AD107" s="129"/>
      <c r="AE107" s="130"/>
      <c r="AF107" s="130"/>
      <c r="AG107" s="129"/>
      <c r="AH107" s="129"/>
      <c r="AI107" s="129"/>
    </row>
    <row r="108" spans="1:35">
      <c r="A108" s="183"/>
      <c r="B108" s="184"/>
      <c r="C108" s="183"/>
      <c r="D108" s="183"/>
      <c r="E108" s="54" t="s">
        <v>66</v>
      </c>
      <c r="F108" s="56"/>
      <c r="G108" s="56"/>
      <c r="H108" s="167">
        <f>MAX(H65:H107)</f>
        <v>51.222771881880803</v>
      </c>
      <c r="I108" s="148">
        <f t="shared" ref="I108:Y108" si="51">MAX(I65:I107)</f>
        <v>0.93132312512510551</v>
      </c>
      <c r="J108" s="147">
        <f t="shared" si="51"/>
        <v>18700.279803220899</v>
      </c>
      <c r="K108" s="148">
        <f t="shared" si="51"/>
        <v>328.07508426703333</v>
      </c>
      <c r="L108" s="147">
        <f t="shared" si="51"/>
        <v>8.4237033490801601</v>
      </c>
      <c r="M108" s="149">
        <f t="shared" si="51"/>
        <v>0.12959543613969476</v>
      </c>
      <c r="N108" s="147">
        <f t="shared" si="51"/>
        <v>113.164760018469</v>
      </c>
      <c r="O108" s="148">
        <f t="shared" si="51"/>
        <v>1.5938698594150562</v>
      </c>
      <c r="P108" s="147">
        <f t="shared" si="51"/>
        <v>818.49398451715695</v>
      </c>
      <c r="Q108" s="148">
        <f t="shared" si="51"/>
        <v>11.060729520502122</v>
      </c>
      <c r="R108" s="147">
        <f t="shared" si="51"/>
        <v>1.9225107828552399</v>
      </c>
      <c r="S108" s="148">
        <f t="shared" si="51"/>
        <v>1.7967390493974205E-2</v>
      </c>
      <c r="T108" s="147">
        <f t="shared" si="51"/>
        <v>3242.9176929077298</v>
      </c>
      <c r="U108" s="148">
        <f t="shared" si="51"/>
        <v>29.21547471088045</v>
      </c>
      <c r="V108" s="150">
        <f t="shared" si="51"/>
        <v>8.2611451976812605E-2</v>
      </c>
      <c r="W108" s="149">
        <f t="shared" si="51"/>
        <v>7.1836045197228352E-4</v>
      </c>
      <c r="X108" s="147">
        <f t="shared" si="51"/>
        <v>3574.8476479535998</v>
      </c>
      <c r="Y108" s="150">
        <f t="shared" si="51"/>
        <v>17.18676753823846</v>
      </c>
      <c r="Z108" s="160"/>
      <c r="AA108" s="151">
        <f>MAX(AA65:AA107)</f>
        <v>118.8674024643488</v>
      </c>
      <c r="AB108" s="152"/>
      <c r="AC108" s="152"/>
      <c r="AD108" s="152"/>
      <c r="AE108" s="153"/>
      <c r="AF108" s="153"/>
      <c r="AG108" s="153"/>
      <c r="AH108" s="152"/>
      <c r="AI108" s="152">
        <f>MAX(AI65:AI107)</f>
        <v>5.9718129929930086E-2</v>
      </c>
    </row>
    <row r="109" spans="1:35">
      <c r="A109" s="179"/>
      <c r="B109" s="185"/>
      <c r="C109" s="179"/>
      <c r="D109" s="179"/>
      <c r="E109" s="57" t="s">
        <v>67</v>
      </c>
      <c r="F109" s="58"/>
      <c r="G109" s="58"/>
      <c r="H109" s="168">
        <f>MIN(H65:H108)</f>
        <v>10.0193457722484</v>
      </c>
      <c r="I109" s="155">
        <f t="shared" ref="I109:Y109" si="52">MIN(I65:I108)</f>
        <v>0.18216992313178909</v>
      </c>
      <c r="J109" s="154">
        <f t="shared" si="52"/>
        <v>1714.8818979571299</v>
      </c>
      <c r="K109" s="155">
        <f t="shared" si="52"/>
        <v>30.085647332581228</v>
      </c>
      <c r="L109" s="154">
        <f t="shared" si="52"/>
        <v>0.240145572955965</v>
      </c>
      <c r="M109" s="156">
        <f t="shared" si="52"/>
        <v>3.6945472762456156E-3</v>
      </c>
      <c r="N109" s="154">
        <f t="shared" si="52"/>
        <v>1.4607566908012199</v>
      </c>
      <c r="O109" s="155">
        <f t="shared" si="52"/>
        <v>2.0574037898608732E-2</v>
      </c>
      <c r="P109" s="154">
        <f t="shared" si="52"/>
        <v>275.98227727272098</v>
      </c>
      <c r="Q109" s="155">
        <f t="shared" si="52"/>
        <v>3.7294902334151483</v>
      </c>
      <c r="R109" s="154">
        <f t="shared" si="52"/>
        <v>1.22764583936445</v>
      </c>
      <c r="S109" s="155">
        <f t="shared" si="52"/>
        <v>1.1473325601536917E-2</v>
      </c>
      <c r="T109" s="154">
        <f t="shared" si="52"/>
        <v>476.16836178098703</v>
      </c>
      <c r="U109" s="155">
        <f t="shared" si="52"/>
        <v>4.2898050610899734</v>
      </c>
      <c r="V109" s="157">
        <f t="shared" si="52"/>
        <v>9.0587146059783307E-3</v>
      </c>
      <c r="W109" s="156">
        <f t="shared" si="52"/>
        <v>7.8771431356333311E-5</v>
      </c>
      <c r="X109" s="154">
        <f t="shared" si="52"/>
        <v>271.41510401953701</v>
      </c>
      <c r="Y109" s="157">
        <f t="shared" si="52"/>
        <v>1.3048803077862356</v>
      </c>
      <c r="Z109" s="161"/>
      <c r="AA109" s="152">
        <f>MIN(AA65:AA108)</f>
        <v>107.08445667956838</v>
      </c>
      <c r="AB109" s="152"/>
      <c r="AC109" s="152"/>
      <c r="AD109" s="152"/>
      <c r="AE109" s="153"/>
      <c r="AF109" s="153"/>
      <c r="AG109" s="153"/>
      <c r="AH109" s="152"/>
      <c r="AI109" s="152">
        <f>MIN(AI65:AI108)</f>
        <v>-0.13969227214121105</v>
      </c>
    </row>
    <row r="110" spans="1:35" ht="15" thickBot="1">
      <c r="A110" s="188"/>
      <c r="B110" s="189"/>
      <c r="C110" s="188"/>
      <c r="D110" s="188"/>
      <c r="E110" s="144" t="s">
        <v>68</v>
      </c>
      <c r="F110" s="145"/>
      <c r="G110" s="145"/>
      <c r="H110" s="169">
        <f>AVERAGE(H65:H109)</f>
        <v>26.384498737708061</v>
      </c>
      <c r="I110" s="163">
        <f t="shared" ref="I110:Y110" si="53">AVERAGE(I65:I109)</f>
        <v>0.47971815886741914</v>
      </c>
      <c r="J110" s="162">
        <f t="shared" si="53"/>
        <v>9335.9048094104619</v>
      </c>
      <c r="K110" s="163">
        <f t="shared" si="53"/>
        <v>163.78780367386778</v>
      </c>
      <c r="L110" s="162">
        <f t="shared" si="53"/>
        <v>0.79007164986251732</v>
      </c>
      <c r="M110" s="164">
        <f t="shared" si="53"/>
        <v>1.2154948459423338E-2</v>
      </c>
      <c r="N110" s="162">
        <f t="shared" si="53"/>
        <v>35.999883950274082</v>
      </c>
      <c r="O110" s="163">
        <f t="shared" si="53"/>
        <v>0.50704061901794473</v>
      </c>
      <c r="P110" s="162">
        <f t="shared" si="53"/>
        <v>492.49148802190444</v>
      </c>
      <c r="Q110" s="163">
        <f t="shared" si="53"/>
        <v>6.6552903786743878</v>
      </c>
      <c r="R110" s="162">
        <f t="shared" si="53"/>
        <v>1.4100092856403106</v>
      </c>
      <c r="S110" s="163">
        <f t="shared" si="53"/>
        <v>1.3177656875143093E-2</v>
      </c>
      <c r="T110" s="162">
        <f t="shared" si="53"/>
        <v>1592.558020640701</v>
      </c>
      <c r="U110" s="163">
        <f t="shared" si="53"/>
        <v>14.347369555321631</v>
      </c>
      <c r="V110" s="165">
        <f t="shared" si="53"/>
        <v>3.8008354904486501E-2</v>
      </c>
      <c r="W110" s="164">
        <f t="shared" si="53"/>
        <v>3.3050743395205654E-4</v>
      </c>
      <c r="X110" s="162">
        <f t="shared" si="53"/>
        <v>1381.7737436511754</v>
      </c>
      <c r="Y110" s="165">
        <f t="shared" si="53"/>
        <v>6.6431429983229613</v>
      </c>
      <c r="Z110" s="166"/>
      <c r="AA110" s="158">
        <f>AVERAGE(AA65:AA109)</f>
        <v>112.32951146313314</v>
      </c>
      <c r="AB110" s="158"/>
      <c r="AC110" s="158"/>
      <c r="AD110" s="158"/>
      <c r="AE110" s="159"/>
      <c r="AF110" s="159"/>
      <c r="AG110" s="159"/>
      <c r="AH110" s="158"/>
      <c r="AI110" s="158">
        <f>AVERAGE(AI65:AI109)</f>
        <v>-5.8408741922017615E-2</v>
      </c>
    </row>
    <row r="111" spans="1:35">
      <c r="Z111" s="135"/>
      <c r="AH111" s="143"/>
      <c r="AI111" s="143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zoomScale="70" zoomScaleNormal="70" workbookViewId="0">
      <selection activeCell="N9" sqref="N9"/>
    </sheetView>
  </sheetViews>
  <sheetFormatPr defaultRowHeight="14.4"/>
  <cols>
    <col min="3" max="3" width="15.88671875" bestFit="1" customWidth="1"/>
    <col min="4" max="4" width="11" bestFit="1" customWidth="1"/>
  </cols>
  <sheetData>
    <row r="1" spans="1:14" ht="15.6">
      <c r="A1" s="191" t="s">
        <v>1</v>
      </c>
      <c r="B1" s="191"/>
      <c r="C1" s="91" t="s">
        <v>2</v>
      </c>
      <c r="D1" s="91" t="s">
        <v>3</v>
      </c>
      <c r="E1" s="92" t="s">
        <v>126</v>
      </c>
      <c r="F1" s="93" t="s">
        <v>127</v>
      </c>
      <c r="G1" s="94" t="s">
        <v>128</v>
      </c>
      <c r="H1" s="95" t="s">
        <v>129</v>
      </c>
      <c r="I1" s="94" t="s">
        <v>130</v>
      </c>
      <c r="J1" s="95" t="s">
        <v>129</v>
      </c>
      <c r="K1" s="94" t="s">
        <v>131</v>
      </c>
      <c r="L1" s="95" t="s">
        <v>129</v>
      </c>
      <c r="N1" s="146" t="s">
        <v>121</v>
      </c>
    </row>
    <row r="2" spans="1:14">
      <c r="A2" s="96" t="s">
        <v>5</v>
      </c>
      <c r="B2" s="97" t="s">
        <v>132</v>
      </c>
      <c r="C2" s="98" t="s">
        <v>7</v>
      </c>
      <c r="D2" s="99" t="s">
        <v>8</v>
      </c>
      <c r="E2" s="100" t="s">
        <v>9</v>
      </c>
      <c r="F2" s="101">
        <v>-11.3</v>
      </c>
      <c r="G2" s="102">
        <v>38.079000000000001</v>
      </c>
      <c r="H2" s="102">
        <v>3.0000000000000001E-3</v>
      </c>
      <c r="I2" s="102">
        <v>15.677</v>
      </c>
      <c r="J2" s="102">
        <v>1E-3</v>
      </c>
      <c r="K2" s="102">
        <v>18.14</v>
      </c>
      <c r="L2" s="102">
        <v>1E-3</v>
      </c>
      <c r="N2" s="146" t="s">
        <v>181</v>
      </c>
    </row>
    <row r="3" spans="1:14">
      <c r="A3" s="96"/>
      <c r="B3" s="103"/>
      <c r="C3" s="98" t="s">
        <v>7</v>
      </c>
      <c r="D3" s="99" t="s">
        <v>8</v>
      </c>
      <c r="E3" s="100" t="s">
        <v>9</v>
      </c>
      <c r="F3" s="101">
        <v>-11.6</v>
      </c>
      <c r="G3" s="102">
        <v>38.076999999999998</v>
      </c>
      <c r="H3" s="102">
        <v>3.0000000000000001E-3</v>
      </c>
      <c r="I3" s="102">
        <v>15.676</v>
      </c>
      <c r="J3" s="102">
        <v>1E-3</v>
      </c>
      <c r="K3" s="102">
        <v>18.138000000000002</v>
      </c>
      <c r="L3" s="102">
        <v>1E-3</v>
      </c>
      <c r="N3" s="87" t="s">
        <v>179</v>
      </c>
    </row>
    <row r="4" spans="1:14">
      <c r="A4" s="96"/>
      <c r="B4" s="103"/>
      <c r="C4" s="98" t="s">
        <v>7</v>
      </c>
      <c r="D4" s="99" t="s">
        <v>8</v>
      </c>
      <c r="E4" s="100" t="s">
        <v>9</v>
      </c>
      <c r="F4" s="101">
        <v>-12</v>
      </c>
      <c r="G4" s="102">
        <v>38.067999999999998</v>
      </c>
      <c r="H4" s="102">
        <v>3.0000000000000001E-3</v>
      </c>
      <c r="I4" s="102">
        <v>15.675000000000001</v>
      </c>
      <c r="J4" s="102">
        <v>1E-3</v>
      </c>
      <c r="K4" s="102">
        <v>18.129000000000001</v>
      </c>
      <c r="L4" s="102">
        <v>1E-3</v>
      </c>
      <c r="N4" s="87"/>
    </row>
    <row r="5" spans="1:14">
      <c r="A5" s="96"/>
      <c r="B5" s="103"/>
      <c r="C5" s="98" t="s">
        <v>7</v>
      </c>
      <c r="D5" s="99" t="s">
        <v>133</v>
      </c>
      <c r="E5" s="100" t="s">
        <v>9</v>
      </c>
      <c r="F5" s="101">
        <v>-12.2</v>
      </c>
      <c r="G5" s="102">
        <v>38.064999999999998</v>
      </c>
      <c r="H5" s="102">
        <v>3.0000000000000001E-3</v>
      </c>
      <c r="I5" s="102">
        <v>15.673999999999999</v>
      </c>
      <c r="J5" s="102">
        <v>1E-3</v>
      </c>
      <c r="K5" s="102">
        <v>18.126000000000001</v>
      </c>
      <c r="L5" s="102">
        <v>1E-3</v>
      </c>
      <c r="N5" s="87" t="s">
        <v>197</v>
      </c>
    </row>
    <row r="6" spans="1:14">
      <c r="A6" s="96"/>
      <c r="B6" s="103"/>
      <c r="C6" s="98" t="s">
        <v>7</v>
      </c>
      <c r="D6" s="99" t="s">
        <v>134</v>
      </c>
      <c r="E6" s="100" t="s">
        <v>9</v>
      </c>
      <c r="F6" s="101">
        <v>-11.9</v>
      </c>
      <c r="G6" s="102">
        <v>38.067999999999998</v>
      </c>
      <c r="H6" s="102">
        <v>3.0000000000000001E-3</v>
      </c>
      <c r="I6" s="102">
        <v>15.673999999999999</v>
      </c>
      <c r="J6" s="102">
        <v>1E-3</v>
      </c>
      <c r="K6" s="102">
        <v>18.129000000000001</v>
      </c>
      <c r="L6" s="102">
        <v>1E-3</v>
      </c>
      <c r="N6" s="87" t="s">
        <v>123</v>
      </c>
    </row>
    <row r="7" spans="1:14">
      <c r="A7" s="96"/>
      <c r="B7" s="103"/>
      <c r="C7" s="98" t="s">
        <v>7</v>
      </c>
      <c r="D7" s="99" t="s">
        <v>8</v>
      </c>
      <c r="E7" s="100" t="s">
        <v>9</v>
      </c>
      <c r="F7" s="101">
        <v>-12</v>
      </c>
      <c r="G7" s="102">
        <v>38.070999999999998</v>
      </c>
      <c r="H7" s="102">
        <v>3.0000000000000001E-3</v>
      </c>
      <c r="I7" s="102">
        <v>15.673999999999999</v>
      </c>
      <c r="J7" s="102">
        <v>1E-3</v>
      </c>
      <c r="K7" s="102">
        <v>18.135000000000002</v>
      </c>
      <c r="L7" s="102">
        <v>1E-3</v>
      </c>
      <c r="N7" s="87" t="s">
        <v>193</v>
      </c>
    </row>
    <row r="8" spans="1:14">
      <c r="A8" s="96"/>
      <c r="B8" s="103"/>
      <c r="C8" s="98" t="s">
        <v>7</v>
      </c>
      <c r="D8" s="99" t="s">
        <v>8</v>
      </c>
      <c r="E8" s="100" t="s">
        <v>9</v>
      </c>
      <c r="F8" s="101">
        <v>-11.8</v>
      </c>
      <c r="G8" s="102">
        <v>38.081000000000003</v>
      </c>
      <c r="H8" s="102">
        <v>3.0000000000000001E-3</v>
      </c>
      <c r="I8" s="102">
        <v>15.677</v>
      </c>
      <c r="J8" s="102">
        <v>1E-3</v>
      </c>
      <c r="K8" s="102">
        <v>18.14</v>
      </c>
      <c r="L8" s="102">
        <v>2E-3</v>
      </c>
      <c r="N8" s="87" t="s">
        <v>124</v>
      </c>
    </row>
    <row r="9" spans="1:14">
      <c r="A9" s="98"/>
      <c r="B9" s="103"/>
      <c r="C9" s="98" t="s">
        <v>7</v>
      </c>
      <c r="D9" s="99" t="s">
        <v>135</v>
      </c>
      <c r="E9" s="100" t="s">
        <v>9</v>
      </c>
      <c r="F9" s="101">
        <v>-11.4</v>
      </c>
      <c r="G9" s="102">
        <v>38.076999999999998</v>
      </c>
      <c r="H9" s="102">
        <v>4.0000000000000001E-3</v>
      </c>
      <c r="I9" s="102">
        <v>15.676</v>
      </c>
      <c r="J9" s="102">
        <v>1E-3</v>
      </c>
      <c r="K9" s="102">
        <v>18.137</v>
      </c>
      <c r="L9" s="102">
        <v>2E-3</v>
      </c>
      <c r="N9" s="87" t="s">
        <v>125</v>
      </c>
    </row>
    <row r="10" spans="1:14">
      <c r="A10" s="98"/>
      <c r="B10" s="103"/>
      <c r="C10" s="98" t="s">
        <v>7</v>
      </c>
      <c r="D10" s="99" t="s">
        <v>10</v>
      </c>
      <c r="E10" s="100" t="s">
        <v>9</v>
      </c>
      <c r="F10" s="101">
        <v>-11.2</v>
      </c>
      <c r="G10" s="102">
        <v>38.076999999999998</v>
      </c>
      <c r="H10" s="102">
        <v>3.0000000000000001E-3</v>
      </c>
      <c r="I10" s="102">
        <v>15.675000000000001</v>
      </c>
      <c r="J10" s="102">
        <v>1E-3</v>
      </c>
      <c r="K10" s="102">
        <v>18.138000000000002</v>
      </c>
      <c r="L10" s="102">
        <v>1E-3</v>
      </c>
    </row>
    <row r="11" spans="1:14">
      <c r="A11" s="98"/>
      <c r="B11" s="103"/>
      <c r="C11" s="98" t="s">
        <v>7</v>
      </c>
      <c r="D11" s="99" t="s">
        <v>10</v>
      </c>
      <c r="E11" s="100" t="s">
        <v>136</v>
      </c>
      <c r="F11" s="101">
        <v>-11.3</v>
      </c>
      <c r="G11" s="102">
        <v>38.082000000000001</v>
      </c>
      <c r="H11" s="102">
        <v>5.0000000000000001E-3</v>
      </c>
      <c r="I11" s="102">
        <v>15.676</v>
      </c>
      <c r="J11" s="102">
        <v>2E-3</v>
      </c>
      <c r="K11" s="102">
        <v>18.146000000000001</v>
      </c>
      <c r="L11" s="102">
        <v>2E-3</v>
      </c>
    </row>
    <row r="12" spans="1:14">
      <c r="A12" s="98"/>
      <c r="B12" s="103"/>
      <c r="C12" s="98" t="s">
        <v>7</v>
      </c>
      <c r="D12" s="98" t="s">
        <v>59</v>
      </c>
      <c r="E12" s="100" t="s">
        <v>9</v>
      </c>
      <c r="F12" s="101">
        <v>-9.8000000000000007</v>
      </c>
      <c r="G12" s="102">
        <v>38.08</v>
      </c>
      <c r="H12" s="102">
        <v>4.0000000000000001E-3</v>
      </c>
      <c r="I12" s="102">
        <v>15.676</v>
      </c>
      <c r="J12" s="102">
        <v>2E-3</v>
      </c>
      <c r="K12" s="102">
        <v>18.143999999999998</v>
      </c>
      <c r="L12" s="102">
        <v>2E-3</v>
      </c>
    </row>
    <row r="13" spans="1:14">
      <c r="A13" s="98"/>
      <c r="B13" s="103"/>
      <c r="C13" s="98" t="s">
        <v>7</v>
      </c>
      <c r="D13" s="98" t="s">
        <v>59</v>
      </c>
      <c r="E13" s="100" t="s">
        <v>9</v>
      </c>
      <c r="F13" s="101">
        <v>-9.9</v>
      </c>
      <c r="G13" s="102">
        <v>38.087000000000003</v>
      </c>
      <c r="H13" s="102">
        <v>4.0000000000000001E-3</v>
      </c>
      <c r="I13" s="102">
        <v>15.678000000000001</v>
      </c>
      <c r="J13" s="102">
        <v>2E-3</v>
      </c>
      <c r="K13" s="102">
        <v>18.146999999999998</v>
      </c>
      <c r="L13" s="102">
        <v>2E-3</v>
      </c>
    </row>
    <row r="14" spans="1:14">
      <c r="A14" s="99"/>
      <c r="B14" s="103"/>
      <c r="C14" s="98" t="s">
        <v>7</v>
      </c>
      <c r="D14" s="98" t="s">
        <v>59</v>
      </c>
      <c r="E14" s="100" t="s">
        <v>9</v>
      </c>
      <c r="F14" s="101">
        <v>-9.6</v>
      </c>
      <c r="G14" s="102">
        <v>38.082999999999998</v>
      </c>
      <c r="H14" s="102">
        <v>4.0000000000000001E-3</v>
      </c>
      <c r="I14" s="102">
        <v>15.677</v>
      </c>
      <c r="J14" s="102">
        <v>2E-3</v>
      </c>
      <c r="K14" s="102">
        <v>18.146000000000001</v>
      </c>
      <c r="L14" s="102">
        <v>2E-3</v>
      </c>
    </row>
    <row r="15" spans="1:14">
      <c r="A15" s="98" t="s">
        <v>5</v>
      </c>
      <c r="B15" s="97" t="s">
        <v>6</v>
      </c>
      <c r="C15" s="98" t="s">
        <v>189</v>
      </c>
      <c r="D15" s="99"/>
      <c r="E15" s="100" t="s">
        <v>139</v>
      </c>
      <c r="F15" s="101">
        <v>-14.6</v>
      </c>
      <c r="G15" s="111">
        <v>38.051000000000002</v>
      </c>
      <c r="H15" s="111">
        <v>4.0000000000000001E-3</v>
      </c>
      <c r="I15" s="111">
        <v>15.667</v>
      </c>
      <c r="J15" s="111">
        <v>1E-3</v>
      </c>
      <c r="K15" s="111">
        <v>18.131</v>
      </c>
      <c r="L15" s="111">
        <v>2E-3</v>
      </c>
    </row>
    <row r="16" spans="1:14">
      <c r="A16" s="98"/>
      <c r="B16" s="112"/>
      <c r="C16" s="98" t="s">
        <v>7</v>
      </c>
      <c r="D16" s="99"/>
      <c r="E16" s="100" t="s">
        <v>140</v>
      </c>
      <c r="F16" s="101">
        <v>-13.9</v>
      </c>
      <c r="G16" s="111">
        <v>38.048000000000002</v>
      </c>
      <c r="H16" s="111">
        <v>3.0000000000000001E-3</v>
      </c>
      <c r="I16" s="111">
        <v>15.666</v>
      </c>
      <c r="J16" s="111">
        <v>1E-3</v>
      </c>
      <c r="K16" s="111">
        <v>18.125</v>
      </c>
      <c r="L16" s="111">
        <v>1E-3</v>
      </c>
    </row>
    <row r="17" spans="1:12">
      <c r="A17" s="98"/>
      <c r="B17" s="97"/>
      <c r="C17" s="98" t="s">
        <v>7</v>
      </c>
      <c r="D17" s="99"/>
      <c r="E17" s="100" t="s">
        <v>140</v>
      </c>
      <c r="F17" s="101">
        <v>-13.9</v>
      </c>
      <c r="G17" s="111">
        <v>38.052999999999997</v>
      </c>
      <c r="H17" s="111">
        <v>4.0000000000000001E-3</v>
      </c>
      <c r="I17" s="111">
        <v>15.667999999999999</v>
      </c>
      <c r="J17" s="111">
        <v>1E-3</v>
      </c>
      <c r="K17" s="111">
        <v>18.128</v>
      </c>
      <c r="L17" s="111">
        <v>2E-3</v>
      </c>
    </row>
    <row r="18" spans="1:12">
      <c r="A18" s="98"/>
      <c r="B18" s="97"/>
      <c r="C18" s="98" t="s">
        <v>7</v>
      </c>
      <c r="D18" s="99"/>
      <c r="E18" s="100" t="s">
        <v>139</v>
      </c>
      <c r="F18" s="101">
        <v>-13.6</v>
      </c>
      <c r="G18" s="111">
        <v>38.087000000000003</v>
      </c>
      <c r="H18" s="111">
        <v>4.0000000000000001E-3</v>
      </c>
      <c r="I18" s="111">
        <v>15.676</v>
      </c>
      <c r="J18" s="111">
        <v>2E-3</v>
      </c>
      <c r="K18" s="111">
        <v>18.161000000000001</v>
      </c>
      <c r="L18" s="111">
        <v>2E-3</v>
      </c>
    </row>
    <row r="19" spans="1:12">
      <c r="A19" s="98"/>
      <c r="B19" s="97"/>
      <c r="C19" s="98" t="s">
        <v>7</v>
      </c>
      <c r="D19" s="99"/>
      <c r="E19" s="100" t="s">
        <v>139</v>
      </c>
      <c r="F19" s="101">
        <v>-13.6</v>
      </c>
      <c r="G19" s="111">
        <v>38.085000000000001</v>
      </c>
      <c r="H19" s="111">
        <v>5.0000000000000001E-3</v>
      </c>
      <c r="I19" s="111">
        <v>15.675000000000001</v>
      </c>
      <c r="J19" s="111">
        <v>2E-3</v>
      </c>
      <c r="K19" s="111">
        <v>18.161000000000001</v>
      </c>
      <c r="L19" s="111">
        <v>2E-3</v>
      </c>
    </row>
    <row r="20" spans="1:12">
      <c r="A20" s="104"/>
      <c r="B20" s="115"/>
      <c r="C20" s="104"/>
      <c r="D20" s="140"/>
      <c r="E20" s="141" t="s">
        <v>182</v>
      </c>
      <c r="F20" s="105">
        <f>MAX(F2:F19)</f>
        <v>-9.6</v>
      </c>
      <c r="G20" s="106">
        <f t="shared" ref="G20:L20" si="0">MAX(G2:G19)</f>
        <v>38.087000000000003</v>
      </c>
      <c r="H20" s="106">
        <f t="shared" si="0"/>
        <v>5.0000000000000001E-3</v>
      </c>
      <c r="I20" s="106">
        <f t="shared" si="0"/>
        <v>15.678000000000001</v>
      </c>
      <c r="J20" s="106">
        <f t="shared" si="0"/>
        <v>2E-3</v>
      </c>
      <c r="K20" s="106">
        <f t="shared" si="0"/>
        <v>18.161000000000001</v>
      </c>
      <c r="L20" s="106">
        <f t="shared" si="0"/>
        <v>2E-3</v>
      </c>
    </row>
    <row r="21" spans="1:12">
      <c r="A21" s="107"/>
      <c r="B21" s="116"/>
      <c r="C21" s="107"/>
      <c r="D21" s="137"/>
      <c r="E21" s="138" t="s">
        <v>183</v>
      </c>
      <c r="F21" s="108">
        <f>MIN(F2:F20)</f>
        <v>-14.6</v>
      </c>
      <c r="G21" s="109">
        <f t="shared" ref="G21:L21" si="1">MIN(G2:G20)</f>
        <v>38.048000000000002</v>
      </c>
      <c r="H21" s="109">
        <f t="shared" si="1"/>
        <v>3.0000000000000001E-3</v>
      </c>
      <c r="I21" s="109">
        <f t="shared" si="1"/>
        <v>15.666</v>
      </c>
      <c r="J21" s="109">
        <f t="shared" si="1"/>
        <v>1E-3</v>
      </c>
      <c r="K21" s="109">
        <f t="shared" si="1"/>
        <v>18.125</v>
      </c>
      <c r="L21" s="109">
        <f t="shared" si="1"/>
        <v>1E-3</v>
      </c>
    </row>
    <row r="22" spans="1:12">
      <c r="A22" s="110"/>
      <c r="B22" s="136"/>
      <c r="C22" s="110"/>
      <c r="D22" s="139"/>
      <c r="E22" s="92" t="s">
        <v>184</v>
      </c>
      <c r="F22" s="93">
        <f>AVERAGE(F2:F21)</f>
        <v>-11.989999999999998</v>
      </c>
      <c r="G22" s="95">
        <f t="shared" ref="G22:L22" si="2">AVERAGE(G2:G21)</f>
        <v>38.072699999999998</v>
      </c>
      <c r="H22" s="95">
        <f t="shared" si="2"/>
        <v>3.6500000000000013E-3</v>
      </c>
      <c r="I22" s="95">
        <f t="shared" si="2"/>
        <v>15.674049999999999</v>
      </c>
      <c r="J22" s="95">
        <f t="shared" si="2"/>
        <v>1.3500000000000005E-3</v>
      </c>
      <c r="K22" s="95">
        <f t="shared" si="2"/>
        <v>18.13935</v>
      </c>
      <c r="L22" s="95">
        <f t="shared" si="2"/>
        <v>1.5500000000000006E-3</v>
      </c>
    </row>
    <row r="23" spans="1:12">
      <c r="A23" s="98"/>
      <c r="B23" s="97"/>
      <c r="C23" s="98" t="s">
        <v>7</v>
      </c>
      <c r="D23" s="99" t="s">
        <v>8</v>
      </c>
      <c r="E23" s="100" t="s">
        <v>9</v>
      </c>
      <c r="F23" s="101">
        <v>-10.7</v>
      </c>
      <c r="G23" s="111">
        <v>38.087000000000003</v>
      </c>
      <c r="H23" s="111">
        <v>3.0000000000000001E-3</v>
      </c>
      <c r="I23" s="111">
        <v>15.678000000000001</v>
      </c>
      <c r="J23" s="111">
        <v>1E-3</v>
      </c>
      <c r="K23" s="111">
        <v>18.149999999999999</v>
      </c>
      <c r="L23" s="111">
        <v>1E-3</v>
      </c>
    </row>
    <row r="24" spans="1:12">
      <c r="A24" s="98"/>
      <c r="B24" s="97"/>
      <c r="C24" s="98" t="s">
        <v>7</v>
      </c>
      <c r="D24" s="99" t="s">
        <v>141</v>
      </c>
      <c r="E24" s="100" t="s">
        <v>136</v>
      </c>
      <c r="F24" s="101">
        <v>-11.2</v>
      </c>
      <c r="G24" s="111">
        <v>38.079000000000001</v>
      </c>
      <c r="H24" s="111">
        <v>3.0000000000000001E-3</v>
      </c>
      <c r="I24" s="111">
        <v>15.675000000000001</v>
      </c>
      <c r="J24" s="111">
        <v>1E-3</v>
      </c>
      <c r="K24" s="111">
        <v>18.143999999999998</v>
      </c>
      <c r="L24" s="111">
        <v>2E-3</v>
      </c>
    </row>
    <row r="25" spans="1:12">
      <c r="A25" s="98"/>
      <c r="B25" s="97"/>
      <c r="C25" s="98" t="s">
        <v>7</v>
      </c>
      <c r="D25" s="99" t="s">
        <v>8</v>
      </c>
      <c r="E25" s="100" t="s">
        <v>136</v>
      </c>
      <c r="F25" s="101">
        <v>-9.6999999999999993</v>
      </c>
      <c r="G25" s="111">
        <v>38.066000000000003</v>
      </c>
      <c r="H25" s="111">
        <v>3.0000000000000001E-3</v>
      </c>
      <c r="I25" s="111">
        <v>15.673</v>
      </c>
      <c r="J25" s="111">
        <v>1E-3</v>
      </c>
      <c r="K25" s="111">
        <v>18.13</v>
      </c>
      <c r="L25" s="111">
        <v>1E-3</v>
      </c>
    </row>
    <row r="26" spans="1:12">
      <c r="A26" s="98"/>
      <c r="B26" s="113"/>
      <c r="C26" s="98" t="s">
        <v>7</v>
      </c>
      <c r="D26" s="99" t="s">
        <v>8</v>
      </c>
      <c r="E26" s="100" t="s">
        <v>136</v>
      </c>
      <c r="F26" s="101">
        <v>-10.3</v>
      </c>
      <c r="G26" s="111">
        <v>38.058999999999997</v>
      </c>
      <c r="H26" s="111">
        <v>3.0000000000000001E-3</v>
      </c>
      <c r="I26" s="111">
        <v>15.670999999999999</v>
      </c>
      <c r="J26" s="111">
        <v>1E-3</v>
      </c>
      <c r="K26" s="111">
        <v>18.129000000000001</v>
      </c>
      <c r="L26" s="111">
        <v>1E-3</v>
      </c>
    </row>
    <row r="27" spans="1:12">
      <c r="A27" s="98"/>
      <c r="B27" s="113"/>
      <c r="C27" s="98" t="s">
        <v>7</v>
      </c>
      <c r="D27" s="99" t="s">
        <v>8</v>
      </c>
      <c r="E27" s="100" t="s">
        <v>9</v>
      </c>
      <c r="F27" s="101">
        <v>-11.5</v>
      </c>
      <c r="G27" s="111">
        <v>38.07</v>
      </c>
      <c r="H27" s="111">
        <v>4.0000000000000001E-3</v>
      </c>
      <c r="I27" s="111">
        <v>15.672000000000001</v>
      </c>
      <c r="J27" s="111">
        <v>2E-3</v>
      </c>
      <c r="K27" s="111">
        <v>18.138999999999999</v>
      </c>
      <c r="L27" s="111">
        <v>2E-3</v>
      </c>
    </row>
    <row r="28" spans="1:12">
      <c r="A28" s="98" t="s">
        <v>15</v>
      </c>
      <c r="B28" s="97" t="s">
        <v>16</v>
      </c>
      <c r="C28" s="98" t="s">
        <v>188</v>
      </c>
      <c r="D28" s="98"/>
      <c r="E28" s="100" t="s">
        <v>142</v>
      </c>
      <c r="F28" s="101">
        <v>-9.1999999999999993</v>
      </c>
      <c r="G28" s="111">
        <v>38.198999999999998</v>
      </c>
      <c r="H28" s="111">
        <v>3.0000000000000001E-3</v>
      </c>
      <c r="I28" s="111">
        <v>15.702</v>
      </c>
      <c r="J28" s="111">
        <v>1E-3</v>
      </c>
      <c r="K28" s="111">
        <v>18.260000000000002</v>
      </c>
      <c r="L28" s="111">
        <v>1E-3</v>
      </c>
    </row>
    <row r="29" spans="1:12">
      <c r="A29" s="98"/>
      <c r="B29" s="97"/>
      <c r="C29" s="98" t="s">
        <v>188</v>
      </c>
      <c r="D29" s="98"/>
      <c r="E29" s="100" t="s">
        <v>143</v>
      </c>
      <c r="F29" s="101">
        <v>-9.1</v>
      </c>
      <c r="G29" s="111">
        <v>38.131999999999998</v>
      </c>
      <c r="H29" s="111">
        <v>7.0000000000000001E-3</v>
      </c>
      <c r="I29" s="111">
        <v>15.686</v>
      </c>
      <c r="J29" s="111">
        <v>2E-3</v>
      </c>
      <c r="K29" s="111">
        <v>18.207000000000001</v>
      </c>
      <c r="L29" s="111">
        <v>5.0000000000000001E-3</v>
      </c>
    </row>
    <row r="30" spans="1:12">
      <c r="A30" s="98"/>
      <c r="B30" s="97"/>
      <c r="C30" s="98" t="s">
        <v>188</v>
      </c>
      <c r="D30" s="98"/>
      <c r="E30" s="100" t="s">
        <v>142</v>
      </c>
      <c r="F30" s="101"/>
      <c r="G30" s="111">
        <v>38.174999999999997</v>
      </c>
      <c r="H30" s="111">
        <v>4.0000000000000001E-3</v>
      </c>
      <c r="I30" s="111">
        <v>15.696</v>
      </c>
      <c r="J30" s="111">
        <v>2E-3</v>
      </c>
      <c r="K30" s="111">
        <v>18.25</v>
      </c>
      <c r="L30" s="111">
        <v>2E-3</v>
      </c>
    </row>
    <row r="31" spans="1:12">
      <c r="A31" s="98"/>
      <c r="B31" s="97"/>
      <c r="C31" s="98" t="s">
        <v>188</v>
      </c>
      <c r="D31" s="98"/>
      <c r="E31" s="100" t="s">
        <v>142</v>
      </c>
      <c r="F31" s="101"/>
      <c r="G31" s="111">
        <v>38.25</v>
      </c>
      <c r="H31" s="111">
        <v>4.0000000000000001E-3</v>
      </c>
      <c r="I31" s="111">
        <v>15.712999999999999</v>
      </c>
      <c r="J31" s="111">
        <v>1E-3</v>
      </c>
      <c r="K31" s="111">
        <v>18.309999999999999</v>
      </c>
      <c r="L31" s="111">
        <v>1E-3</v>
      </c>
    </row>
    <row r="32" spans="1:12">
      <c r="A32" s="98"/>
      <c r="B32" s="97"/>
      <c r="C32" s="98" t="s">
        <v>188</v>
      </c>
      <c r="D32" s="98"/>
      <c r="E32" s="100" t="s">
        <v>143</v>
      </c>
      <c r="F32" s="101"/>
      <c r="G32" s="111">
        <v>38.247999999999998</v>
      </c>
      <c r="H32" s="111">
        <v>3.0000000000000001E-3</v>
      </c>
      <c r="I32" s="111">
        <v>15.712</v>
      </c>
      <c r="J32" s="111">
        <v>1E-3</v>
      </c>
      <c r="K32" s="111">
        <v>18.309000000000001</v>
      </c>
      <c r="L32" s="111">
        <v>1E-3</v>
      </c>
    </row>
    <row r="33" spans="1:12">
      <c r="A33" s="98"/>
      <c r="B33" s="97"/>
      <c r="C33" s="98" t="s">
        <v>188</v>
      </c>
      <c r="D33" s="98"/>
      <c r="E33" s="100" t="s">
        <v>142</v>
      </c>
      <c r="F33" s="101"/>
      <c r="G33" s="111">
        <v>38.26</v>
      </c>
      <c r="H33" s="111">
        <v>3.0000000000000001E-3</v>
      </c>
      <c r="I33" s="111">
        <v>15.715999999999999</v>
      </c>
      <c r="J33" s="111">
        <v>1E-3</v>
      </c>
      <c r="K33" s="111">
        <v>18.315000000000001</v>
      </c>
      <c r="L33" s="111">
        <v>1E-3</v>
      </c>
    </row>
    <row r="34" spans="1:12">
      <c r="A34" s="98"/>
      <c r="B34" s="97"/>
      <c r="C34" s="98" t="s">
        <v>144</v>
      </c>
      <c r="D34" s="98" t="s">
        <v>59</v>
      </c>
      <c r="E34" s="100" t="s">
        <v>145</v>
      </c>
      <c r="F34" s="101">
        <v>-6.8</v>
      </c>
      <c r="G34" s="111">
        <v>38.185000000000002</v>
      </c>
      <c r="H34" s="111">
        <v>4.0000000000000001E-3</v>
      </c>
      <c r="I34" s="111">
        <v>15.7</v>
      </c>
      <c r="J34" s="111">
        <v>2E-3</v>
      </c>
      <c r="K34" s="111">
        <v>18.242999999999999</v>
      </c>
      <c r="L34" s="111">
        <v>2E-3</v>
      </c>
    </row>
    <row r="35" spans="1:12">
      <c r="A35" s="98"/>
      <c r="B35" s="97"/>
      <c r="C35" s="98" t="s">
        <v>71</v>
      </c>
      <c r="D35" s="98" t="s">
        <v>146</v>
      </c>
      <c r="E35" s="100" t="s">
        <v>18</v>
      </c>
      <c r="F35" s="101">
        <v>-7.1</v>
      </c>
      <c r="G35" s="111">
        <v>38.183999999999997</v>
      </c>
      <c r="H35" s="111">
        <v>5.0000000000000001E-3</v>
      </c>
      <c r="I35" s="111">
        <v>15.699</v>
      </c>
      <c r="J35" s="111">
        <v>2E-3</v>
      </c>
      <c r="K35" s="111">
        <v>18.244</v>
      </c>
      <c r="L35" s="111">
        <v>2E-3</v>
      </c>
    </row>
    <row r="36" spans="1:12">
      <c r="A36" s="98"/>
      <c r="B36" s="97"/>
      <c r="C36" s="98" t="s">
        <v>144</v>
      </c>
      <c r="D36" s="98" t="s">
        <v>10</v>
      </c>
      <c r="E36" s="100" t="s">
        <v>147</v>
      </c>
      <c r="F36" s="101">
        <v>-7.7</v>
      </c>
      <c r="G36" s="111">
        <v>38.188000000000002</v>
      </c>
      <c r="H36" s="111">
        <v>4.0000000000000001E-3</v>
      </c>
      <c r="I36" s="111">
        <v>15.7</v>
      </c>
      <c r="J36" s="111">
        <v>1E-3</v>
      </c>
      <c r="K36" s="111">
        <v>18.247</v>
      </c>
      <c r="L36" s="111">
        <v>1E-3</v>
      </c>
    </row>
    <row r="37" spans="1:12">
      <c r="A37" s="98"/>
      <c r="B37" s="97"/>
      <c r="C37" s="98" t="s">
        <v>71</v>
      </c>
      <c r="D37" s="98" t="s">
        <v>10</v>
      </c>
      <c r="E37" s="100" t="s">
        <v>18</v>
      </c>
      <c r="F37" s="114"/>
      <c r="G37" s="111">
        <v>38.125</v>
      </c>
      <c r="H37" s="111">
        <v>5.0000000000000001E-3</v>
      </c>
      <c r="I37" s="111">
        <v>15.685</v>
      </c>
      <c r="J37" s="111">
        <v>2E-3</v>
      </c>
      <c r="K37" s="111">
        <v>18.193000000000001</v>
      </c>
      <c r="L37" s="111">
        <v>4.0000000000000001E-3</v>
      </c>
    </row>
    <row r="38" spans="1:12">
      <c r="A38" s="98"/>
      <c r="B38" s="97"/>
      <c r="C38" s="98" t="s">
        <v>71</v>
      </c>
      <c r="D38" s="98" t="s">
        <v>59</v>
      </c>
      <c r="E38" s="100" t="s">
        <v>18</v>
      </c>
      <c r="F38" s="101"/>
      <c r="G38" s="111">
        <v>38.195</v>
      </c>
      <c r="H38" s="111">
        <v>0.01</v>
      </c>
      <c r="I38" s="111">
        <v>15.701000000000001</v>
      </c>
      <c r="J38" s="111">
        <v>4.0000000000000001E-3</v>
      </c>
      <c r="K38" s="111">
        <v>18.262</v>
      </c>
      <c r="L38" s="111">
        <v>5.0000000000000001E-3</v>
      </c>
    </row>
    <row r="39" spans="1:12">
      <c r="A39" s="98"/>
      <c r="B39" s="97"/>
      <c r="C39" s="98" t="s">
        <v>148</v>
      </c>
      <c r="D39" s="98" t="s">
        <v>149</v>
      </c>
      <c r="E39" s="100" t="s">
        <v>145</v>
      </c>
      <c r="F39" s="101"/>
      <c r="G39" s="111">
        <v>38.164000000000001</v>
      </c>
      <c r="H39" s="111">
        <v>6.0000000000000001E-3</v>
      </c>
      <c r="I39" s="111">
        <v>15.696999999999999</v>
      </c>
      <c r="J39" s="111">
        <v>2E-3</v>
      </c>
      <c r="K39" s="111">
        <v>18.225000000000001</v>
      </c>
      <c r="L39" s="111">
        <v>3.0000000000000001E-3</v>
      </c>
    </row>
    <row r="40" spans="1:12">
      <c r="A40" s="98"/>
      <c r="B40" s="97"/>
      <c r="C40" s="98" t="s">
        <v>71</v>
      </c>
      <c r="D40" s="98" t="s">
        <v>150</v>
      </c>
      <c r="E40" s="100" t="s">
        <v>18</v>
      </c>
      <c r="F40" s="101"/>
      <c r="G40" s="111">
        <v>38.151000000000003</v>
      </c>
      <c r="H40" s="111">
        <v>8.0000000000000002E-3</v>
      </c>
      <c r="I40" s="111">
        <v>15.692</v>
      </c>
      <c r="J40" s="111">
        <v>3.0000000000000001E-3</v>
      </c>
      <c r="K40" s="111">
        <v>18.212</v>
      </c>
      <c r="L40" s="111">
        <v>4.0000000000000001E-3</v>
      </c>
    </row>
    <row r="41" spans="1:12">
      <c r="A41" s="104"/>
      <c r="B41" s="115"/>
      <c r="C41" s="104"/>
      <c r="D41" s="104"/>
      <c r="E41" s="104" t="s">
        <v>30</v>
      </c>
      <c r="F41" s="105">
        <f t="shared" ref="F41:K41" si="3">MAX(F15:F40)</f>
        <v>-6.8</v>
      </c>
      <c r="G41" s="106">
        <f t="shared" si="3"/>
        <v>38.26</v>
      </c>
      <c r="H41" s="106">
        <f t="shared" si="3"/>
        <v>0.01</v>
      </c>
      <c r="I41" s="106">
        <f t="shared" si="3"/>
        <v>15.715999999999999</v>
      </c>
      <c r="J41" s="106">
        <f t="shared" si="3"/>
        <v>4.0000000000000001E-3</v>
      </c>
      <c r="K41" s="106">
        <f t="shared" si="3"/>
        <v>18.315000000000001</v>
      </c>
      <c r="L41" s="106">
        <f>MAX(L15:L40)</f>
        <v>5.0000000000000001E-3</v>
      </c>
    </row>
    <row r="42" spans="1:12">
      <c r="A42" s="107"/>
      <c r="B42" s="116"/>
      <c r="C42" s="107"/>
      <c r="D42" s="107"/>
      <c r="E42" s="107" t="s">
        <v>137</v>
      </c>
      <c r="F42" s="108">
        <f t="shared" ref="F42:K42" si="4">MIN(F15:F41)</f>
        <v>-14.6</v>
      </c>
      <c r="G42" s="109">
        <f t="shared" si="4"/>
        <v>38.048000000000002</v>
      </c>
      <c r="H42" s="109">
        <f t="shared" si="4"/>
        <v>3.0000000000000001E-3</v>
      </c>
      <c r="I42" s="109">
        <f t="shared" si="4"/>
        <v>15.666</v>
      </c>
      <c r="J42" s="109">
        <f t="shared" si="4"/>
        <v>1E-3</v>
      </c>
      <c r="K42" s="109">
        <f t="shared" si="4"/>
        <v>18.125</v>
      </c>
      <c r="L42" s="109">
        <f>MIN(L15:L41)</f>
        <v>1E-3</v>
      </c>
    </row>
    <row r="43" spans="1:12">
      <c r="A43" s="110"/>
      <c r="B43" s="91"/>
      <c r="C43" s="110"/>
      <c r="D43" s="110"/>
      <c r="E43" s="110" t="s">
        <v>138</v>
      </c>
      <c r="F43" s="93">
        <f t="shared" ref="F43:K43" si="5">AVERAGE(F15:F42)</f>
        <v>-11.0245</v>
      </c>
      <c r="G43" s="95">
        <f t="shared" si="5"/>
        <v>38.13059642857143</v>
      </c>
      <c r="H43" s="95">
        <f t="shared" si="5"/>
        <v>4.5232142857142858E-3</v>
      </c>
      <c r="I43" s="95">
        <f t="shared" si="5"/>
        <v>15.686430357142857</v>
      </c>
      <c r="J43" s="95">
        <f t="shared" si="5"/>
        <v>1.655357142857144E-3</v>
      </c>
      <c r="K43" s="95">
        <f t="shared" si="5"/>
        <v>18.197869642857146</v>
      </c>
      <c r="L43" s="95">
        <f>AVERAGE(L15:L42)</f>
        <v>2.0910714285714291E-3</v>
      </c>
    </row>
    <row r="44" spans="1:12">
      <c r="A44" s="98" t="s">
        <v>25</v>
      </c>
      <c r="B44" s="97" t="s">
        <v>26</v>
      </c>
      <c r="C44" s="98" t="s">
        <v>151</v>
      </c>
      <c r="D44" s="98" t="s">
        <v>59</v>
      </c>
      <c r="E44" s="100" t="s">
        <v>24</v>
      </c>
      <c r="F44" s="101">
        <v>-8</v>
      </c>
      <c r="G44" s="111">
        <v>38.167000000000002</v>
      </c>
      <c r="H44" s="111">
        <v>1.2999999999999999E-2</v>
      </c>
      <c r="I44" s="111">
        <v>15.7</v>
      </c>
      <c r="J44" s="111">
        <v>6.0000000000000001E-3</v>
      </c>
      <c r="K44" s="111">
        <v>18.224</v>
      </c>
      <c r="L44" s="111">
        <v>6.0000000000000001E-3</v>
      </c>
    </row>
    <row r="45" spans="1:12">
      <c r="A45" s="98"/>
      <c r="B45" s="97"/>
      <c r="C45" s="98" t="s">
        <v>23</v>
      </c>
      <c r="D45" s="98" t="s">
        <v>10</v>
      </c>
      <c r="E45" s="100" t="s">
        <v>24</v>
      </c>
      <c r="F45" s="101">
        <v>-7.7</v>
      </c>
      <c r="G45" s="111">
        <v>38.162999999999997</v>
      </c>
      <c r="H45" s="111">
        <v>1.2E-2</v>
      </c>
      <c r="I45" s="111">
        <v>15.696</v>
      </c>
      <c r="J45" s="111">
        <v>5.0000000000000001E-3</v>
      </c>
      <c r="K45" s="111">
        <v>18.23</v>
      </c>
      <c r="L45" s="111">
        <v>6.0000000000000001E-3</v>
      </c>
    </row>
    <row r="46" spans="1:12">
      <c r="A46" s="98"/>
      <c r="B46" s="97"/>
      <c r="C46" s="98" t="s">
        <v>23</v>
      </c>
      <c r="D46" s="98" t="s">
        <v>59</v>
      </c>
      <c r="E46" s="100" t="s">
        <v>24</v>
      </c>
      <c r="F46" s="101">
        <v>-7.6</v>
      </c>
      <c r="G46" s="111">
        <v>38.170999999999999</v>
      </c>
      <c r="H46" s="111">
        <v>8.9999999999999993E-3</v>
      </c>
      <c r="I46" s="111">
        <v>15.699</v>
      </c>
      <c r="J46" s="111">
        <v>4.0000000000000001E-3</v>
      </c>
      <c r="K46" s="111">
        <v>18.231999999999999</v>
      </c>
      <c r="L46" s="111">
        <v>4.0000000000000001E-3</v>
      </c>
    </row>
    <row r="47" spans="1:12">
      <c r="A47" s="98"/>
      <c r="B47" s="97"/>
      <c r="C47" s="98" t="s">
        <v>23</v>
      </c>
      <c r="D47" s="98" t="s">
        <v>10</v>
      </c>
      <c r="E47" s="100" t="s">
        <v>24</v>
      </c>
      <c r="F47" s="101">
        <v>-7.9</v>
      </c>
      <c r="G47" s="111">
        <v>38.173000000000002</v>
      </c>
      <c r="H47" s="111">
        <v>0.01</v>
      </c>
      <c r="I47" s="111">
        <v>15.701000000000001</v>
      </c>
      <c r="J47" s="111">
        <v>4.0000000000000001E-3</v>
      </c>
      <c r="K47" s="111">
        <v>18.231999999999999</v>
      </c>
      <c r="L47" s="111">
        <v>5.0000000000000001E-3</v>
      </c>
    </row>
    <row r="48" spans="1:12">
      <c r="A48" s="98"/>
      <c r="B48" s="97"/>
      <c r="C48" s="98" t="s">
        <v>23</v>
      </c>
      <c r="D48" s="98" t="s">
        <v>59</v>
      </c>
      <c r="E48" s="100" t="s">
        <v>24</v>
      </c>
      <c r="F48" s="101">
        <v>-7.9</v>
      </c>
      <c r="G48" s="111">
        <v>38.176000000000002</v>
      </c>
      <c r="H48" s="111">
        <v>6.0000000000000001E-3</v>
      </c>
      <c r="I48" s="111">
        <v>15.7</v>
      </c>
      <c r="J48" s="111">
        <v>2E-3</v>
      </c>
      <c r="K48" s="111">
        <v>18.233000000000001</v>
      </c>
      <c r="L48" s="111">
        <v>3.0000000000000001E-3</v>
      </c>
    </row>
    <row r="49" spans="1:12">
      <c r="A49" s="98"/>
      <c r="B49" s="97"/>
      <c r="C49" s="98" t="s">
        <v>23</v>
      </c>
      <c r="D49" s="98" t="s">
        <v>59</v>
      </c>
      <c r="E49" s="100" t="s">
        <v>24</v>
      </c>
      <c r="F49" s="101">
        <v>-8.6999999999999993</v>
      </c>
      <c r="G49" s="111">
        <v>38.121000000000002</v>
      </c>
      <c r="H49" s="111">
        <v>1.0999999999999999E-2</v>
      </c>
      <c r="I49" s="111">
        <v>15.685</v>
      </c>
      <c r="J49" s="111">
        <v>4.0000000000000001E-3</v>
      </c>
      <c r="K49" s="111">
        <v>18.189</v>
      </c>
      <c r="L49" s="111">
        <v>5.0000000000000001E-3</v>
      </c>
    </row>
    <row r="50" spans="1:12">
      <c r="A50" s="98"/>
      <c r="B50" s="97"/>
      <c r="C50" s="98" t="s">
        <v>23</v>
      </c>
      <c r="D50" s="98" t="s">
        <v>59</v>
      </c>
      <c r="E50" s="100" t="s">
        <v>24</v>
      </c>
      <c r="F50" s="101">
        <v>-7.5</v>
      </c>
      <c r="G50" s="111">
        <v>38.171999999999997</v>
      </c>
      <c r="H50" s="111">
        <v>6.0000000000000001E-3</v>
      </c>
      <c r="I50" s="111">
        <v>15.698</v>
      </c>
      <c r="J50" s="111">
        <v>2E-3</v>
      </c>
      <c r="K50" s="111">
        <v>18.233000000000001</v>
      </c>
      <c r="L50" s="111">
        <v>3.0000000000000001E-3</v>
      </c>
    </row>
    <row r="51" spans="1:12">
      <c r="A51" s="98"/>
      <c r="B51" s="97"/>
      <c r="C51" s="98" t="s">
        <v>151</v>
      </c>
      <c r="D51" s="98" t="s">
        <v>10</v>
      </c>
      <c r="E51" s="100" t="s">
        <v>24</v>
      </c>
      <c r="F51" s="101">
        <v>-7.8</v>
      </c>
      <c r="G51" s="111">
        <v>38.173000000000002</v>
      </c>
      <c r="H51" s="111">
        <v>4.0000000000000001E-3</v>
      </c>
      <c r="I51" s="111">
        <v>15.698</v>
      </c>
      <c r="J51" s="111">
        <v>2E-3</v>
      </c>
      <c r="K51" s="111">
        <v>18.234000000000002</v>
      </c>
      <c r="L51" s="111">
        <v>2E-3</v>
      </c>
    </row>
    <row r="52" spans="1:12">
      <c r="A52" s="104"/>
      <c r="B52" s="115"/>
      <c r="C52" s="104"/>
      <c r="D52" s="104"/>
      <c r="E52" s="104" t="s">
        <v>30</v>
      </c>
      <c r="F52" s="105">
        <f t="shared" ref="F52:K52" si="6">MAX(F44:F51)</f>
        <v>-7.5</v>
      </c>
      <c r="G52" s="106">
        <f t="shared" si="6"/>
        <v>38.176000000000002</v>
      </c>
      <c r="H52" s="106">
        <f t="shared" si="6"/>
        <v>1.2999999999999999E-2</v>
      </c>
      <c r="I52" s="106">
        <f t="shared" si="6"/>
        <v>15.701000000000001</v>
      </c>
      <c r="J52" s="106">
        <f t="shared" si="6"/>
        <v>6.0000000000000001E-3</v>
      </c>
      <c r="K52" s="106">
        <f t="shared" si="6"/>
        <v>18.234000000000002</v>
      </c>
      <c r="L52" s="106">
        <f>MAX(L44:L51)</f>
        <v>6.0000000000000001E-3</v>
      </c>
    </row>
    <row r="53" spans="1:12">
      <c r="A53" s="107"/>
      <c r="B53" s="116"/>
      <c r="C53" s="107"/>
      <c r="D53" s="107"/>
      <c r="E53" s="107" t="s">
        <v>31</v>
      </c>
      <c r="F53" s="108">
        <f t="shared" ref="F53:K53" si="7">MIN(F44:F52)</f>
        <v>-8.6999999999999993</v>
      </c>
      <c r="G53" s="109">
        <f t="shared" si="7"/>
        <v>38.121000000000002</v>
      </c>
      <c r="H53" s="109">
        <f t="shared" si="7"/>
        <v>4.0000000000000001E-3</v>
      </c>
      <c r="I53" s="109">
        <f t="shared" si="7"/>
        <v>15.685</v>
      </c>
      <c r="J53" s="109">
        <f t="shared" si="7"/>
        <v>2E-3</v>
      </c>
      <c r="K53" s="109">
        <f t="shared" si="7"/>
        <v>18.189</v>
      </c>
      <c r="L53" s="109">
        <f>MIN(L44:L52)</f>
        <v>2E-3</v>
      </c>
    </row>
    <row r="54" spans="1:12">
      <c r="A54" s="110"/>
      <c r="B54" s="91"/>
      <c r="C54" s="110"/>
      <c r="D54" s="110"/>
      <c r="E54" s="110" t="s">
        <v>138</v>
      </c>
      <c r="F54" s="93">
        <f t="shared" ref="F54:K54" si="8">AVERAGE(F44:F53)</f>
        <v>-7.93</v>
      </c>
      <c r="G54" s="95">
        <f t="shared" si="8"/>
        <v>38.161299999999997</v>
      </c>
      <c r="H54" s="95">
        <f t="shared" si="8"/>
        <v>8.8000000000000005E-3</v>
      </c>
      <c r="I54" s="95">
        <f t="shared" si="8"/>
        <v>15.696299999999999</v>
      </c>
      <c r="J54" s="95">
        <f t="shared" si="8"/>
        <v>3.6999999999999997E-3</v>
      </c>
      <c r="K54" s="95">
        <f t="shared" si="8"/>
        <v>18.223000000000003</v>
      </c>
      <c r="L54" s="95">
        <f>AVERAGE(L44:L53)</f>
        <v>4.2000000000000006E-3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zoomScale="85" zoomScaleNormal="85" workbookViewId="0">
      <selection activeCell="H32" sqref="H32"/>
    </sheetView>
  </sheetViews>
  <sheetFormatPr defaultRowHeight="14.4"/>
  <cols>
    <col min="7" max="7" width="7" bestFit="1" customWidth="1"/>
  </cols>
  <sheetData>
    <row r="1" spans="1:9" ht="15" thickBot="1">
      <c r="A1" s="192" t="s">
        <v>152</v>
      </c>
      <c r="B1" s="194" t="s">
        <v>153</v>
      </c>
      <c r="C1" s="194"/>
      <c r="D1" s="195"/>
      <c r="E1" s="196" t="s">
        <v>154</v>
      </c>
      <c r="F1" s="197"/>
      <c r="G1" s="197"/>
      <c r="I1" s="146" t="s">
        <v>121</v>
      </c>
    </row>
    <row r="2" spans="1:9" ht="28.2" thickBot="1">
      <c r="A2" s="193"/>
      <c r="B2" s="119" t="s">
        <v>155</v>
      </c>
      <c r="C2" s="118" t="s">
        <v>156</v>
      </c>
      <c r="D2" s="120" t="s">
        <v>157</v>
      </c>
      <c r="E2" s="119" t="s">
        <v>158</v>
      </c>
      <c r="F2" s="119" t="s">
        <v>159</v>
      </c>
      <c r="G2" s="119" t="s">
        <v>160</v>
      </c>
      <c r="I2" s="146" t="s">
        <v>180</v>
      </c>
    </row>
    <row r="3" spans="1:9">
      <c r="A3" s="121" t="s">
        <v>161</v>
      </c>
      <c r="B3" s="122">
        <v>0.47820000000000001</v>
      </c>
      <c r="C3" s="123">
        <v>0.71289999999999998</v>
      </c>
      <c r="D3" s="124">
        <v>0.4173</v>
      </c>
      <c r="E3" s="122">
        <v>-0.86060000000000003</v>
      </c>
      <c r="F3" s="122">
        <v>-0.62309999999999999</v>
      </c>
      <c r="G3" s="122">
        <v>-7.8700000000000006E-2</v>
      </c>
      <c r="I3" s="87" t="s">
        <v>196</v>
      </c>
    </row>
    <row r="4" spans="1:9">
      <c r="A4" s="121" t="s">
        <v>162</v>
      </c>
      <c r="B4" s="122">
        <v>0.45069999999999999</v>
      </c>
      <c r="C4" s="123">
        <v>0.52129999999999999</v>
      </c>
      <c r="D4" s="124">
        <v>0.45379999999999998</v>
      </c>
      <c r="E4" s="122">
        <v>0.90690000000000004</v>
      </c>
      <c r="F4" s="122">
        <v>0.72970000000000002</v>
      </c>
      <c r="G4" s="122">
        <v>0.93010000000000004</v>
      </c>
      <c r="I4" s="87"/>
    </row>
    <row r="5" spans="1:9">
      <c r="A5" s="121" t="s">
        <v>163</v>
      </c>
      <c r="B5" s="123">
        <v>0.53739999999999999</v>
      </c>
      <c r="C5" s="123">
        <v>0.52700000000000002</v>
      </c>
      <c r="D5" s="124">
        <v>0.46660000000000001</v>
      </c>
      <c r="E5" s="122">
        <v>-0.91220000000000001</v>
      </c>
      <c r="F5" s="122">
        <v>-0.64959999999999996</v>
      </c>
      <c r="G5" s="122">
        <v>-0.64229999999999998</v>
      </c>
      <c r="I5" s="87" t="s">
        <v>190</v>
      </c>
    </row>
    <row r="6" spans="1:9">
      <c r="A6" s="121" t="s">
        <v>164</v>
      </c>
      <c r="B6" s="122">
        <v>0.40150000000000002</v>
      </c>
      <c r="C6" s="123">
        <v>0.64839999999999998</v>
      </c>
      <c r="D6" s="125">
        <v>0.50219999999999998</v>
      </c>
      <c r="E6" s="122">
        <v>0.48199999999999998</v>
      </c>
      <c r="F6" s="122">
        <v>-0.55959999999999999</v>
      </c>
      <c r="G6" s="122">
        <v>-0.69869999999999999</v>
      </c>
      <c r="I6" s="87" t="s">
        <v>123</v>
      </c>
    </row>
    <row r="7" spans="1:9">
      <c r="A7" s="121" t="s">
        <v>165</v>
      </c>
      <c r="B7" s="122">
        <v>0.40839999999999999</v>
      </c>
      <c r="C7" s="123">
        <v>0.56230000000000002</v>
      </c>
      <c r="D7" s="124">
        <v>0.48039999999999999</v>
      </c>
      <c r="E7" s="122">
        <v>-0.7621</v>
      </c>
      <c r="F7" s="122">
        <v>-0.46839999999999998</v>
      </c>
      <c r="G7" s="122">
        <v>-0.4113</v>
      </c>
      <c r="I7" s="87" t="s">
        <v>193</v>
      </c>
    </row>
    <row r="8" spans="1:9">
      <c r="A8" s="121" t="s">
        <v>166</v>
      </c>
      <c r="B8" s="122">
        <v>0.4274</v>
      </c>
      <c r="C8" s="123">
        <v>0.52529999999999999</v>
      </c>
      <c r="D8" s="124">
        <v>0.40970000000000001</v>
      </c>
      <c r="E8" s="122">
        <v>-0.80649999999999999</v>
      </c>
      <c r="F8" s="122">
        <v>-0.39319999999999999</v>
      </c>
      <c r="G8" s="122">
        <v>0.01</v>
      </c>
      <c r="I8" s="87" t="s">
        <v>124</v>
      </c>
    </row>
    <row r="9" spans="1:9">
      <c r="A9" s="121" t="s">
        <v>167</v>
      </c>
      <c r="B9" s="122">
        <v>0.49480000000000002</v>
      </c>
      <c r="C9" s="122">
        <v>0.43619999999999998</v>
      </c>
      <c r="D9" s="125">
        <v>0.60609999999999997</v>
      </c>
      <c r="E9" s="122">
        <v>0.93579999999999997</v>
      </c>
      <c r="F9" s="122">
        <v>0.46260000000000001</v>
      </c>
      <c r="G9" s="122">
        <v>-0.49459999999999998</v>
      </c>
      <c r="I9" s="87" t="s">
        <v>125</v>
      </c>
    </row>
    <row r="10" spans="1:9">
      <c r="A10" s="121" t="s">
        <v>168</v>
      </c>
      <c r="B10" s="122">
        <v>0.3861</v>
      </c>
      <c r="C10" s="123">
        <v>0.58919999999999995</v>
      </c>
      <c r="D10" s="125">
        <v>0.53359999999999996</v>
      </c>
      <c r="E10" s="122">
        <v>-0.73250000000000004</v>
      </c>
      <c r="F10" s="122">
        <v>0.43569999999999998</v>
      </c>
      <c r="G10" s="122">
        <v>-0.3251</v>
      </c>
    </row>
    <row r="11" spans="1:9">
      <c r="A11" s="121" t="s">
        <v>169</v>
      </c>
      <c r="B11" s="122">
        <v>0.42459999999999998</v>
      </c>
      <c r="C11" s="122">
        <v>0.49719999999999998</v>
      </c>
      <c r="D11" s="125">
        <v>0.59830000000000005</v>
      </c>
      <c r="E11" s="122">
        <v>0.39900000000000002</v>
      </c>
      <c r="F11" s="122">
        <v>0.30819999999999997</v>
      </c>
      <c r="G11" s="122">
        <v>-0.68140000000000001</v>
      </c>
    </row>
    <row r="12" spans="1:9">
      <c r="A12" s="121" t="s">
        <v>170</v>
      </c>
      <c r="B12" s="122">
        <v>0.40949999999999998</v>
      </c>
      <c r="C12" s="123">
        <v>0.53690000000000004</v>
      </c>
      <c r="D12" s="124">
        <v>0.45950000000000002</v>
      </c>
      <c r="E12" s="122">
        <v>-0.83550000000000002</v>
      </c>
      <c r="F12" s="122">
        <v>-0.40450000000000003</v>
      </c>
      <c r="G12" s="122">
        <v>-0.63019999999999998</v>
      </c>
    </row>
    <row r="13" spans="1:9">
      <c r="A13" s="121" t="s">
        <v>171</v>
      </c>
      <c r="B13" s="122">
        <v>0.39829999999999999</v>
      </c>
      <c r="C13" s="123">
        <v>0.55020000000000002</v>
      </c>
      <c r="D13" s="125">
        <v>0.62119999999999997</v>
      </c>
      <c r="E13" s="122">
        <v>0.6129</v>
      </c>
      <c r="F13" s="122">
        <v>-0.27460000000000001</v>
      </c>
      <c r="G13" s="122">
        <v>-0.65810000000000002</v>
      </c>
    </row>
    <row r="14" spans="1:9">
      <c r="A14" s="121" t="s">
        <v>172</v>
      </c>
      <c r="B14" s="122">
        <v>0.38090000000000002</v>
      </c>
      <c r="C14" s="123">
        <v>0.51910000000000001</v>
      </c>
      <c r="D14" s="124">
        <v>0.37059999999999998</v>
      </c>
      <c r="E14" s="122">
        <v>-0.69199999999999995</v>
      </c>
      <c r="F14" s="122">
        <v>-0.29289999999999999</v>
      </c>
      <c r="G14" s="122">
        <v>-0.48870000000000002</v>
      </c>
    </row>
    <row r="15" spans="1:9">
      <c r="A15" s="117" t="s">
        <v>173</v>
      </c>
      <c r="B15" s="123">
        <v>0.52010000000000001</v>
      </c>
      <c r="C15" s="123">
        <v>0.66110000000000002</v>
      </c>
      <c r="D15" s="125">
        <v>0.62119999999999997</v>
      </c>
      <c r="E15" s="122">
        <v>-0.61299999999999999</v>
      </c>
      <c r="F15" s="122">
        <v>0.82250000000000001</v>
      </c>
      <c r="G15" s="122">
        <v>0.92959999999999998</v>
      </c>
    </row>
    <row r="16" spans="1:9">
      <c r="A16" s="117" t="s">
        <v>174</v>
      </c>
      <c r="B16" s="123">
        <v>0.5252</v>
      </c>
      <c r="C16" s="123">
        <v>0.77600000000000002</v>
      </c>
      <c r="D16" s="125">
        <v>0.62250000000000005</v>
      </c>
      <c r="E16" s="122">
        <v>0.52569999999999995</v>
      </c>
      <c r="F16" s="122">
        <v>0.82469999999999999</v>
      </c>
      <c r="G16" s="122">
        <v>0.80310000000000004</v>
      </c>
    </row>
    <row r="17" spans="1:7" ht="15" thickBot="1">
      <c r="A17" s="119" t="s">
        <v>175</v>
      </c>
      <c r="B17" s="126">
        <v>0.62939999999999996</v>
      </c>
      <c r="C17" s="126">
        <v>0.66039999999999999</v>
      </c>
      <c r="D17" s="127">
        <v>0.75380000000000003</v>
      </c>
      <c r="E17" s="128">
        <v>-0.86670000000000003</v>
      </c>
      <c r="F17" s="128">
        <v>0.70909999999999995</v>
      </c>
      <c r="G17" s="128">
        <v>6.08E-2</v>
      </c>
    </row>
    <row r="19" spans="1:7" ht="219" customHeight="1">
      <c r="A19" s="198" t="s">
        <v>200</v>
      </c>
      <c r="B19" s="198"/>
      <c r="C19" s="198"/>
      <c r="D19" s="198"/>
      <c r="E19" s="198"/>
      <c r="F19" s="198"/>
      <c r="G19" s="198"/>
    </row>
  </sheetData>
  <mergeCells count="4">
    <mergeCell ref="A1:A2"/>
    <mergeCell ref="B1:D1"/>
    <mergeCell ref="E1:G1"/>
    <mergeCell ref="A19:G19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06692B-3F6C-4C49-B93C-11308A2296A0}"/>
</file>

<file path=customXml/itemProps2.xml><?xml version="1.0" encoding="utf-8"?>
<ds:datastoreItem xmlns:ds="http://schemas.openxmlformats.org/officeDocument/2006/customXml" ds:itemID="{3C2D3889-890B-4E1B-8909-6DE32E6629D0}"/>
</file>

<file path=customXml/itemProps3.xml><?xml version="1.0" encoding="utf-8"?>
<ds:datastoreItem xmlns:ds="http://schemas.openxmlformats.org/officeDocument/2006/customXml" ds:itemID="{C822D85F-6402-4352-8F46-38BC2A4F9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S1_EPMA</vt:lpstr>
      <vt:lpstr>Table S2_LA-ICPMS</vt:lpstr>
      <vt:lpstr>Table S3_S-Pb isotope</vt:lpstr>
      <vt:lpstr>Table S4_SSIM</vt:lpstr>
      <vt:lpstr>'Table S4_SSIM'!OLE_LINK1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2025-01-28T22:12:38Z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