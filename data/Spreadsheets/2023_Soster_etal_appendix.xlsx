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05"/>
  <workbookPr/>
  <mc:AlternateContent xmlns:mc="http://schemas.openxmlformats.org/markup-compatibility/2006">
    <mc:Choice Requires="x15">
      <x15ac:absPath xmlns:x15ac="http://schemas.microsoft.com/office/spreadsheetml/2010/11/ac" url="C:\Users\uporabnik\Desktop\GUSTAR_REVIEW\Resubmission\"/>
    </mc:Choice>
  </mc:AlternateContent>
  <xr:revisionPtr revIDLastSave="0" documentId="8_{9EEBC0C8-912E-48B7-B389-8EA5081A64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3" r:id="rId1"/>
    <sheet name="Imputed_data" sheetId="1" r:id="rId2"/>
    <sheet name="GGIMFI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64" i="2" l="1"/>
  <c r="Z64" i="2" s="1"/>
  <c r="I64" i="2"/>
  <c r="Z63" i="2"/>
  <c r="Y63" i="2"/>
  <c r="I63" i="2"/>
  <c r="I62" i="2"/>
  <c r="Y62" i="2" s="1"/>
  <c r="Z62" i="2" s="1"/>
  <c r="I61" i="2"/>
  <c r="Y61" i="2" s="1"/>
  <c r="Z61" i="2" s="1"/>
  <c r="I60" i="2"/>
  <c r="Y60" i="2" s="1"/>
  <c r="Z60" i="2" s="1"/>
  <c r="Y59" i="2"/>
  <c r="Z59" i="2" s="1"/>
  <c r="I59" i="2"/>
  <c r="I58" i="2"/>
  <c r="Y58" i="2" s="1"/>
  <c r="Z58" i="2" s="1"/>
  <c r="I57" i="2"/>
  <c r="Y57" i="2" s="1"/>
  <c r="Z57" i="2" s="1"/>
  <c r="Y56" i="2"/>
  <c r="Z56" i="2" s="1"/>
  <c r="I56" i="2"/>
  <c r="I55" i="2"/>
  <c r="Y55" i="2" s="1"/>
  <c r="Z55" i="2" s="1"/>
  <c r="I54" i="2"/>
  <c r="Y54" i="2" s="1"/>
  <c r="Z54" i="2" s="1"/>
  <c r="Y53" i="2"/>
  <c r="Z53" i="2" s="1"/>
  <c r="I53" i="2"/>
  <c r="AC52" i="2"/>
  <c r="I52" i="2"/>
  <c r="Y52" i="2" s="1"/>
  <c r="Z52" i="2" s="1"/>
  <c r="I51" i="2"/>
  <c r="Y51" i="2" s="1"/>
  <c r="Z51" i="2" s="1"/>
  <c r="AD51" i="2" s="1"/>
  <c r="I50" i="2"/>
  <c r="Y50" i="2" s="1"/>
  <c r="Z50" i="2" s="1"/>
  <c r="I49" i="2"/>
  <c r="Y49" i="2" s="1"/>
  <c r="Z49" i="2" s="1"/>
  <c r="Y48" i="2"/>
  <c r="Z48" i="2" s="1"/>
  <c r="I48" i="2"/>
  <c r="I47" i="2"/>
  <c r="Y47" i="2" s="1"/>
  <c r="Z47" i="2" s="1"/>
  <c r="I46" i="2"/>
  <c r="Y46" i="2" s="1"/>
  <c r="Z46" i="2" s="1"/>
  <c r="AA46" i="2" s="1"/>
  <c r="AC45" i="2"/>
  <c r="Z45" i="2"/>
  <c r="AA45" i="2" s="1"/>
  <c r="Y45" i="2"/>
  <c r="I45" i="2"/>
  <c r="I44" i="2"/>
  <c r="Y44" i="2" s="1"/>
  <c r="Z44" i="2" s="1"/>
  <c r="AC44" i="2" s="1"/>
  <c r="I43" i="2"/>
  <c r="Y43" i="2" s="1"/>
  <c r="Z43" i="2" s="1"/>
  <c r="I42" i="2"/>
  <c r="Y42" i="2" s="1"/>
  <c r="Z42" i="2" s="1"/>
  <c r="I41" i="2"/>
  <c r="Y41" i="2" s="1"/>
  <c r="Z41" i="2" s="1"/>
  <c r="Z40" i="2"/>
  <c r="Y40" i="2"/>
  <c r="I40" i="2"/>
  <c r="I39" i="2"/>
  <c r="Y39" i="2" s="1"/>
  <c r="Z39" i="2" s="1"/>
  <c r="Y38" i="2"/>
  <c r="Z38" i="2" s="1"/>
  <c r="I38" i="2"/>
  <c r="I37" i="2"/>
  <c r="Y37" i="2" s="1"/>
  <c r="Z37" i="2" s="1"/>
  <c r="AC37" i="2" s="1"/>
  <c r="I36" i="2"/>
  <c r="Y36" i="2" s="1"/>
  <c r="Z36" i="2" s="1"/>
  <c r="AD36" i="2" s="1"/>
  <c r="Y35" i="2"/>
  <c r="Z35" i="2" s="1"/>
  <c r="I35" i="2"/>
  <c r="I34" i="2"/>
  <c r="Y34" i="2" s="1"/>
  <c r="Z34" i="2" s="1"/>
  <c r="I33" i="2"/>
  <c r="Y33" i="2" s="1"/>
  <c r="Z33" i="2" s="1"/>
  <c r="Y32" i="2"/>
  <c r="Z32" i="2" s="1"/>
  <c r="I32" i="2"/>
  <c r="AB31" i="2"/>
  <c r="Y31" i="2"/>
  <c r="Z31" i="2" s="1"/>
  <c r="I31" i="2"/>
  <c r="I30" i="2"/>
  <c r="Y30" i="2" s="1"/>
  <c r="Z30" i="2" s="1"/>
  <c r="AB30" i="2" s="1"/>
  <c r="AD29" i="2"/>
  <c r="AC29" i="2"/>
  <c r="I29" i="2"/>
  <c r="Y29" i="2" s="1"/>
  <c r="Z29" i="2" s="1"/>
  <c r="Y28" i="2"/>
  <c r="Z28" i="2" s="1"/>
  <c r="AD28" i="2" s="1"/>
  <c r="I28" i="2"/>
  <c r="I27" i="2"/>
  <c r="Y27" i="2" s="1"/>
  <c r="Z27" i="2" s="1"/>
  <c r="I26" i="2"/>
  <c r="Y26" i="2" s="1"/>
  <c r="Z26" i="2" s="1"/>
  <c r="Y25" i="2"/>
  <c r="Z25" i="2" s="1"/>
  <c r="I25" i="2"/>
  <c r="Z24" i="2"/>
  <c r="I24" i="2"/>
  <c r="Y24" i="2" s="1"/>
  <c r="Y23" i="2"/>
  <c r="Z23" i="2" s="1"/>
  <c r="AA23" i="2" s="1"/>
  <c r="I23" i="2"/>
  <c r="I22" i="2"/>
  <c r="Y22" i="2" s="1"/>
  <c r="Z22" i="2" s="1"/>
  <c r="I21" i="2"/>
  <c r="Y21" i="2" s="1"/>
  <c r="Z21" i="2" s="1"/>
  <c r="Y20" i="2"/>
  <c r="Z20" i="2" s="1"/>
  <c r="I20" i="2"/>
  <c r="I19" i="2"/>
  <c r="Y19" i="2" s="1"/>
  <c r="Z19" i="2" s="1"/>
  <c r="Y18" i="2"/>
  <c r="Z18" i="2" s="1"/>
  <c r="I18" i="2"/>
  <c r="I17" i="2"/>
  <c r="Y17" i="2" s="1"/>
  <c r="Z17" i="2" s="1"/>
  <c r="I16" i="2"/>
  <c r="Y16" i="2" s="1"/>
  <c r="Z16" i="2" s="1"/>
  <c r="I15" i="2"/>
  <c r="Y15" i="2" s="1"/>
  <c r="Z15" i="2" s="1"/>
  <c r="AB15" i="2" s="1"/>
  <c r="I14" i="2"/>
  <c r="Y14" i="2" s="1"/>
  <c r="Z14" i="2" s="1"/>
  <c r="I13" i="2"/>
  <c r="Y13" i="2" s="1"/>
  <c r="Z13" i="2" s="1"/>
  <c r="AD13" i="2" s="1"/>
  <c r="Y12" i="2"/>
  <c r="Z12" i="2" s="1"/>
  <c r="I12" i="2"/>
  <c r="I11" i="2"/>
  <c r="Y11" i="2" s="1"/>
  <c r="Z11" i="2" s="1"/>
  <c r="I10" i="2"/>
  <c r="Y10" i="2" s="1"/>
  <c r="Z10" i="2" s="1"/>
  <c r="Y9" i="2"/>
  <c r="Z9" i="2" s="1"/>
  <c r="I9" i="2"/>
  <c r="I8" i="2"/>
  <c r="Y8" i="2" s="1"/>
  <c r="Z8" i="2" s="1"/>
  <c r="AD7" i="2"/>
  <c r="I7" i="2"/>
  <c r="Y7" i="2" s="1"/>
  <c r="Z7" i="2" s="1"/>
  <c r="AC7" i="2" s="1"/>
  <c r="I6" i="2"/>
  <c r="Y6" i="2" s="1"/>
  <c r="Z6" i="2" s="1"/>
  <c r="AB6" i="2" s="1"/>
  <c r="I5" i="2"/>
  <c r="Y5" i="2" s="1"/>
  <c r="Z5" i="2" s="1"/>
  <c r="AD5" i="2" s="1"/>
  <c r="I4" i="2"/>
  <c r="Y4" i="2" s="1"/>
  <c r="Z4" i="2" s="1"/>
  <c r="I3" i="2"/>
  <c r="Y3" i="2" s="1"/>
  <c r="Z3" i="2" s="1"/>
  <c r="I2" i="2"/>
  <c r="Y2" i="2" s="1"/>
  <c r="Z2" i="2" s="1"/>
  <c r="AC54" i="2" l="1"/>
  <c r="AD54" i="2"/>
  <c r="AB54" i="2"/>
  <c r="AA54" i="2"/>
  <c r="AD61" i="2"/>
  <c r="AC61" i="2"/>
  <c r="AB61" i="2"/>
  <c r="AA61" i="2"/>
  <c r="AF61" i="2" s="1"/>
  <c r="AC62" i="2"/>
  <c r="AD62" i="2"/>
  <c r="AB62" i="2"/>
  <c r="AA62" i="2"/>
  <c r="AC38" i="2"/>
  <c r="AD38" i="2"/>
  <c r="AB38" i="2"/>
  <c r="AA38" i="2"/>
  <c r="AA53" i="2"/>
  <c r="AC53" i="2"/>
  <c r="AB53" i="2"/>
  <c r="AE53" i="2" s="1"/>
  <c r="AB45" i="2"/>
  <c r="AC30" i="2"/>
  <c r="AC39" i="2"/>
  <c r="AD39" i="2"/>
  <c r="AB39" i="2"/>
  <c r="AA39" i="2"/>
  <c r="AD47" i="2"/>
  <c r="AC47" i="2"/>
  <c r="AB47" i="2"/>
  <c r="AA47" i="2"/>
  <c r="AD9" i="2"/>
  <c r="AC9" i="2"/>
  <c r="AA9" i="2"/>
  <c r="AB9" i="2"/>
  <c r="AD16" i="2"/>
  <c r="AB16" i="2"/>
  <c r="AC16" i="2"/>
  <c r="AA16" i="2"/>
  <c r="AB32" i="2"/>
  <c r="AD32" i="2"/>
  <c r="AC32" i="2"/>
  <c r="AA32" i="2"/>
  <c r="AD26" i="2"/>
  <c r="AC26" i="2"/>
  <c r="AB26" i="2"/>
  <c r="AA26" i="2"/>
  <c r="AD3" i="2"/>
  <c r="AC3" i="2"/>
  <c r="AB3" i="2"/>
  <c r="AA3" i="2"/>
  <c r="AD10" i="2"/>
  <c r="AC10" i="2"/>
  <c r="AB10" i="2"/>
  <c r="AA10" i="2"/>
  <c r="AD11" i="2"/>
  <c r="AC11" i="2"/>
  <c r="AB11" i="2"/>
  <c r="AA11" i="2"/>
  <c r="AD2" i="2"/>
  <c r="AC2" i="2"/>
  <c r="AB2" i="2"/>
  <c r="AA2" i="2"/>
  <c r="AD8" i="2"/>
  <c r="AB8" i="2"/>
  <c r="AC8" i="2"/>
  <c r="AA8" i="2"/>
  <c r="AC5" i="2"/>
  <c r="AA7" i="2"/>
  <c r="AC13" i="2"/>
  <c r="AC20" i="2"/>
  <c r="AB20" i="2"/>
  <c r="AA20" i="2"/>
  <c r="AB7" i="2"/>
  <c r="AD20" i="2"/>
  <c r="AD41" i="2"/>
  <c r="AC41" i="2"/>
  <c r="AB41" i="2"/>
  <c r="AA41" i="2"/>
  <c r="AF53" i="2"/>
  <c r="AD58" i="2"/>
  <c r="AC58" i="2"/>
  <c r="AB58" i="2"/>
  <c r="AA58" i="2"/>
  <c r="AF62" i="2"/>
  <c r="AE62" i="2"/>
  <c r="AA14" i="2"/>
  <c r="AD14" i="2"/>
  <c r="AB21" i="2"/>
  <c r="AA21" i="2"/>
  <c r="AB37" i="2"/>
  <c r="AD42" i="2"/>
  <c r="AC42" i="2"/>
  <c r="AB42" i="2"/>
  <c r="AA42" i="2"/>
  <c r="AC51" i="2"/>
  <c r="AB51" i="2"/>
  <c r="AA51" i="2"/>
  <c r="AD23" i="2"/>
  <c r="AC23" i="2"/>
  <c r="AF23" i="2" s="1"/>
  <c r="AC4" i="2"/>
  <c r="AB4" i="2"/>
  <c r="AA4" i="2"/>
  <c r="AC12" i="2"/>
  <c r="AB12" i="2"/>
  <c r="AA12" i="2"/>
  <c r="AB14" i="2"/>
  <c r="AD19" i="2"/>
  <c r="AC19" i="2"/>
  <c r="AB19" i="2"/>
  <c r="AA19" i="2"/>
  <c r="AC21" i="2"/>
  <c r="AB23" i="2"/>
  <c r="AE23" i="2" s="1"/>
  <c r="AD31" i="2"/>
  <c r="AC31" i="2"/>
  <c r="AC35" i="2"/>
  <c r="AB35" i="2"/>
  <c r="AA35" i="2"/>
  <c r="AE45" i="2"/>
  <c r="AF45" i="2"/>
  <c r="AD55" i="2"/>
  <c r="AC55" i="2"/>
  <c r="AB55" i="2"/>
  <c r="AA55" i="2"/>
  <c r="AC59" i="2"/>
  <c r="AB59" i="2"/>
  <c r="AA59" i="2"/>
  <c r="AA37" i="2"/>
  <c r="AD37" i="2"/>
  <c r="AA6" i="2"/>
  <c r="AD6" i="2"/>
  <c r="AD4" i="2"/>
  <c r="AC6" i="2"/>
  <c r="AD12" i="2"/>
  <c r="AC14" i="2"/>
  <c r="AD21" i="2"/>
  <c r="AB29" i="2"/>
  <c r="AA29" i="2"/>
  <c r="AA31" i="2"/>
  <c r="AD35" i="2"/>
  <c r="AD48" i="2"/>
  <c r="AC48" i="2"/>
  <c r="AB48" i="2"/>
  <c r="AA48" i="2"/>
  <c r="AB52" i="2"/>
  <c r="AA52" i="2"/>
  <c r="AD52" i="2"/>
  <c r="AD59" i="2"/>
  <c r="AA18" i="2"/>
  <c r="AD18" i="2"/>
  <c r="AC18" i="2"/>
  <c r="AB18" i="2"/>
  <c r="AD25" i="2"/>
  <c r="AB25" i="2"/>
  <c r="AC25" i="2"/>
  <c r="AA25" i="2"/>
  <c r="AA22" i="2"/>
  <c r="AD22" i="2"/>
  <c r="AD24" i="2"/>
  <c r="AC24" i="2"/>
  <c r="AB24" i="2"/>
  <c r="AD27" i="2"/>
  <c r="AC27" i="2"/>
  <c r="AB27" i="2"/>
  <c r="AA27" i="2"/>
  <c r="AD33" i="2"/>
  <c r="AC33" i="2"/>
  <c r="AA33" i="2"/>
  <c r="AB33" i="2"/>
  <c r="AC43" i="2"/>
  <c r="AB43" i="2"/>
  <c r="AA43" i="2"/>
  <c r="AD49" i="2"/>
  <c r="AC49" i="2"/>
  <c r="AB49" i="2"/>
  <c r="AA49" i="2"/>
  <c r="AB56" i="2"/>
  <c r="AD56" i="2"/>
  <c r="AC56" i="2"/>
  <c r="AA56" i="2"/>
  <c r="AB60" i="2"/>
  <c r="AA60" i="2"/>
  <c r="AD60" i="2"/>
  <c r="AD63" i="2"/>
  <c r="AC63" i="2"/>
  <c r="AB63" i="2"/>
  <c r="AA63" i="2"/>
  <c r="AB13" i="2"/>
  <c r="AA13" i="2"/>
  <c r="AD15" i="2"/>
  <c r="AC15" i="2"/>
  <c r="AB22" i="2"/>
  <c r="AA24" i="2"/>
  <c r="AB36" i="2"/>
  <c r="AA36" i="2"/>
  <c r="AD43" i="2"/>
  <c r="AF54" i="2"/>
  <c r="AE54" i="2"/>
  <c r="AD57" i="2"/>
  <c r="AA57" i="2"/>
  <c r="AC57" i="2"/>
  <c r="AB57" i="2"/>
  <c r="AC60" i="2"/>
  <c r="AC28" i="2"/>
  <c r="AB28" i="2"/>
  <c r="AA28" i="2"/>
  <c r="AB5" i="2"/>
  <c r="AA5" i="2"/>
  <c r="AA15" i="2"/>
  <c r="AD17" i="2"/>
  <c r="AC17" i="2"/>
  <c r="AB17" i="2"/>
  <c r="AA17" i="2"/>
  <c r="AC22" i="2"/>
  <c r="AA30" i="2"/>
  <c r="AD30" i="2"/>
  <c r="AD34" i="2"/>
  <c r="AC34" i="2"/>
  <c r="AB34" i="2"/>
  <c r="AA34" i="2"/>
  <c r="AC36" i="2"/>
  <c r="AF38" i="2"/>
  <c r="AE38" i="2"/>
  <c r="AD40" i="2"/>
  <c r="AC40" i="2"/>
  <c r="AB40" i="2"/>
  <c r="AA40" i="2"/>
  <c r="AB44" i="2"/>
  <c r="AA44" i="2"/>
  <c r="AD44" i="2"/>
  <c r="AD46" i="2"/>
  <c r="AC46" i="2"/>
  <c r="AF46" i="2" s="1"/>
  <c r="AB46" i="2"/>
  <c r="AE46" i="2" s="1"/>
  <c r="AD50" i="2"/>
  <c r="AC50" i="2"/>
  <c r="AB50" i="2"/>
  <c r="AA50" i="2"/>
  <c r="AD64" i="2"/>
  <c r="AB64" i="2"/>
  <c r="AC64" i="2"/>
  <c r="AA64" i="2"/>
  <c r="AD45" i="2"/>
  <c r="AD53" i="2"/>
  <c r="AE61" i="2" l="1"/>
  <c r="AF15" i="2"/>
  <c r="AE15" i="2"/>
  <c r="AF24" i="2"/>
  <c r="AE24" i="2"/>
  <c r="AF50" i="2"/>
  <c r="AE50" i="2"/>
  <c r="AF44" i="2"/>
  <c r="AE44" i="2"/>
  <c r="AE5" i="2"/>
  <c r="AF5" i="2"/>
  <c r="AE57" i="2"/>
  <c r="AF57" i="2"/>
  <c r="AE49" i="2"/>
  <c r="AF49" i="2"/>
  <c r="AE33" i="2"/>
  <c r="AF33" i="2"/>
  <c r="AF48" i="2"/>
  <c r="AE48" i="2"/>
  <c r="AE37" i="2"/>
  <c r="AF37" i="2"/>
  <c r="AF20" i="2"/>
  <c r="AE20" i="2"/>
  <c r="AF8" i="2"/>
  <c r="AE8" i="2"/>
  <c r="AF14" i="2"/>
  <c r="AE14" i="2"/>
  <c r="AF35" i="2"/>
  <c r="AE35" i="2"/>
  <c r="AF3" i="2"/>
  <c r="AE3" i="2"/>
  <c r="AF17" i="2"/>
  <c r="AE17" i="2"/>
  <c r="AE13" i="2"/>
  <c r="AF13" i="2"/>
  <c r="AF27" i="2"/>
  <c r="AE27" i="2"/>
  <c r="AF22" i="2"/>
  <c r="AE22" i="2"/>
  <c r="AE18" i="2"/>
  <c r="AF18" i="2"/>
  <c r="AF9" i="2"/>
  <c r="AE9" i="2"/>
  <c r="AF34" i="2"/>
  <c r="AE34" i="2"/>
  <c r="AF19" i="2"/>
  <c r="AE19" i="2"/>
  <c r="AF40" i="2"/>
  <c r="AE40" i="2"/>
  <c r="AF11" i="2"/>
  <c r="AE11" i="2"/>
  <c r="AF39" i="2"/>
  <c r="AE39" i="2"/>
  <c r="AF64" i="2"/>
  <c r="AE64" i="2"/>
  <c r="AF56" i="2"/>
  <c r="AE56" i="2"/>
  <c r="AF43" i="2"/>
  <c r="AE43" i="2"/>
  <c r="AF25" i="2"/>
  <c r="AE25" i="2"/>
  <c r="AF55" i="2"/>
  <c r="AE55" i="2"/>
  <c r="AF58" i="2"/>
  <c r="AE58" i="2"/>
  <c r="AF7" i="2"/>
  <c r="AE7" i="2"/>
  <c r="AE2" i="2"/>
  <c r="AF2" i="2"/>
  <c r="AF59" i="2"/>
  <c r="AE59" i="2"/>
  <c r="AF4" i="2"/>
  <c r="AE4" i="2"/>
  <c r="AF36" i="2"/>
  <c r="AE36" i="2"/>
  <c r="AF63" i="2"/>
  <c r="AE63" i="2"/>
  <c r="AF31" i="2"/>
  <c r="AE31" i="2"/>
  <c r="AE30" i="2"/>
  <c r="AF30" i="2"/>
  <c r="AF42" i="2"/>
  <c r="AE42" i="2"/>
  <c r="AF28" i="2"/>
  <c r="AE28" i="2"/>
  <c r="AF60" i="2"/>
  <c r="AE60" i="2"/>
  <c r="AE41" i="2"/>
  <c r="AF41" i="2"/>
  <c r="AF32" i="2"/>
  <c r="AE32" i="2"/>
  <c r="AF52" i="2"/>
  <c r="AE52" i="2"/>
  <c r="AF29" i="2"/>
  <c r="AE29" i="2"/>
  <c r="AF6" i="2"/>
  <c r="AE6" i="2"/>
  <c r="AF12" i="2"/>
  <c r="AE12" i="2"/>
  <c r="AF51" i="2"/>
  <c r="AE51" i="2"/>
  <c r="AF21" i="2"/>
  <c r="AE21" i="2"/>
  <c r="AE10" i="2"/>
  <c r="AF10" i="2"/>
  <c r="AE26" i="2"/>
  <c r="AF26" i="2"/>
  <c r="AF16" i="2"/>
  <c r="AE16" i="2"/>
  <c r="AF47" i="2"/>
  <c r="AE47" i="2"/>
</calcChain>
</file>

<file path=xl/sharedStrings.xml><?xml version="1.0" encoding="utf-8"?>
<sst xmlns="http://schemas.openxmlformats.org/spreadsheetml/2006/main" count="1487" uniqueCount="182">
  <si>
    <t>Sp-type</t>
  </si>
  <si>
    <t>V51_ppm_mean</t>
  </si>
  <si>
    <t>V51_ppm_2SE(int)</t>
  </si>
  <si>
    <t>V51_ppm_LOD_Howell</t>
  </si>
  <si>
    <t>Cr52_ppm_mean</t>
  </si>
  <si>
    <t>Cr52_ppm_2SE(int)</t>
  </si>
  <si>
    <t>Cr52_ppm_LOD_Howell</t>
  </si>
  <si>
    <t>Mn55_ppm_mean</t>
  </si>
  <si>
    <t>Mn55_ppm_2SE(int)</t>
  </si>
  <si>
    <t>Mn55_ppm_LOD_Howell</t>
  </si>
  <si>
    <t>Fe57_ppm_mean</t>
  </si>
  <si>
    <t>Fe57_ppm_2SE(int)</t>
  </si>
  <si>
    <t>Fe57_ppm_LOD_Howell</t>
  </si>
  <si>
    <t>Co59_ppm_mean</t>
  </si>
  <si>
    <t>Co59_ppm_2SE(int)</t>
  </si>
  <si>
    <t>Co59_ppm_LOD_Howell</t>
  </si>
  <si>
    <t>Ni60_ppm_mean</t>
  </si>
  <si>
    <t>Ni60_ppm_2SE(int)</t>
  </si>
  <si>
    <t>Ni60_ppm_LOD_Howell</t>
  </si>
  <si>
    <t>Cu63_ppm_mean</t>
  </si>
  <si>
    <t>Cu63_ppm_2SE(int)</t>
  </si>
  <si>
    <t>Cu63_ppm_LOD_Howell</t>
  </si>
  <si>
    <t>Cu65_ppm_mean</t>
  </si>
  <si>
    <t>Cu65_ppm_2SE(int)</t>
  </si>
  <si>
    <t>Cu65_ppm_LOD_Howell</t>
  </si>
  <si>
    <t>Ga71_ppm_mean</t>
  </si>
  <si>
    <t>Ga71_ppm_2SE(int)</t>
  </si>
  <si>
    <t>Ga71_ppm_LOD_Howell</t>
  </si>
  <si>
    <t>Ge74_ppm_mean</t>
  </si>
  <si>
    <t>Ge74_ppm_2SE(int)</t>
  </si>
  <si>
    <t>Ge74_ppm_LOD_Howell</t>
  </si>
  <si>
    <t>As75_ppm_mean</t>
  </si>
  <si>
    <t>As75_ppm_2SE(int)</t>
  </si>
  <si>
    <t>As75_ppm_LOD_Howell</t>
  </si>
  <si>
    <t>Se82_ppm_mean</t>
  </si>
  <si>
    <t>Se82_ppm_2SE(int)</t>
  </si>
  <si>
    <t>Se82_ppm_LOD_Howell</t>
  </si>
  <si>
    <t>Mo95_ppm_mean</t>
  </si>
  <si>
    <t>Mo95_ppm_2SE(int)</t>
  </si>
  <si>
    <t>Mo95_ppm_LOD_Howell</t>
  </si>
  <si>
    <t>Ag107_ppm_mean</t>
  </si>
  <si>
    <t>Ag107_ppm_2SE(int)</t>
  </si>
  <si>
    <t>Ag107_ppm_LOD_Howell</t>
  </si>
  <si>
    <t>Cd111_ppm_mean</t>
  </si>
  <si>
    <t>Cd111_ppm_2SE(int)</t>
  </si>
  <si>
    <t>Cd111_ppm_LOD_Howell</t>
  </si>
  <si>
    <t>In115_ppm_mean</t>
  </si>
  <si>
    <t>In115_ppm_2SE(int)</t>
  </si>
  <si>
    <t>In115_ppm_LOD_Howell</t>
  </si>
  <si>
    <t>Sn118_ppm_mean</t>
  </si>
  <si>
    <t>Sn118_ppm_2SE(int)</t>
  </si>
  <si>
    <t>Sn118_ppm_LOD_Howell</t>
  </si>
  <si>
    <t>Sb121_ppm_mean</t>
  </si>
  <si>
    <t>Sb121_ppm_2SE(int)</t>
  </si>
  <si>
    <t>Sb121_ppm_LOD_Howell</t>
  </si>
  <si>
    <t>Te125_ppm_mean</t>
  </si>
  <si>
    <t>Te125_ppm_2SE(int)</t>
  </si>
  <si>
    <t>Te125_ppm_LOD_Howell</t>
  </si>
  <si>
    <t>Au197_ppm_mean</t>
  </si>
  <si>
    <t>Au197_ppm_2SE(int)</t>
  </si>
  <si>
    <t>Au197_ppm_LOD_Howell</t>
  </si>
  <si>
    <t>Hg201_ppm_mean</t>
  </si>
  <si>
    <t>Hg201_ppm_2SE(int)</t>
  </si>
  <si>
    <t>Hg201_ppm_LOD_Howell</t>
  </si>
  <si>
    <t>Tl205_ppm_mean</t>
  </si>
  <si>
    <t>Tl205_ppm_2SE(int)</t>
  </si>
  <si>
    <t>Tl205_ppm_LOD_Howell</t>
  </si>
  <si>
    <t>Pb208_ppm_mean</t>
  </si>
  <si>
    <t>Pb208_ppm_2SE(int)</t>
  </si>
  <si>
    <t>Pb208_ppm_LOD_Howell</t>
  </si>
  <si>
    <t>Bi209_ppm_mean</t>
  </si>
  <si>
    <t>Bi209_ppm_2SE(int)</t>
  </si>
  <si>
    <t>Bi209_ppm_LOD_Howell</t>
  </si>
  <si>
    <t>DG006-sph10.d</t>
  </si>
  <si>
    <t>Sp1</t>
  </si>
  <si>
    <t>BelowLOD</t>
  </si>
  <si>
    <t>DG006-sph11.d</t>
  </si>
  <si>
    <t>DG006-sph12.d</t>
  </si>
  <si>
    <t>DG006-sph13.d</t>
  </si>
  <si>
    <t>DG006-sph14.d</t>
  </si>
  <si>
    <t>DG006-sph1.d</t>
  </si>
  <si>
    <t>Sp2</t>
  </si>
  <si>
    <t>DG006-sph4.d</t>
  </si>
  <si>
    <t>DG006-sph5.d</t>
  </si>
  <si>
    <t>DG006-sph6.d</t>
  </si>
  <si>
    <t>DG006-sph7.d</t>
  </si>
  <si>
    <t>DG006-sph8.d</t>
  </si>
  <si>
    <t>DG006-sph9.d</t>
  </si>
  <si>
    <t>DG006-sph22.d</t>
  </si>
  <si>
    <t>DG006-sph23.d</t>
  </si>
  <si>
    <t>DG006-sph24.d</t>
  </si>
  <si>
    <t>DG006-sph25.d</t>
  </si>
  <si>
    <t>DG006-sph26.d</t>
  </si>
  <si>
    <t>DG006-sph27.d</t>
  </si>
  <si>
    <t>DG009-sph5.d</t>
  </si>
  <si>
    <t>DG006-sph2.d</t>
  </si>
  <si>
    <t>Sp3</t>
  </si>
  <si>
    <t>DG006-sph3.d</t>
  </si>
  <si>
    <t>DG006-sph16.d</t>
  </si>
  <si>
    <t>DG006-sph17.d</t>
  </si>
  <si>
    <t>DG006-sph18.d</t>
  </si>
  <si>
    <t>DG006-sph28.d</t>
  </si>
  <si>
    <t>DG006-sph29.d</t>
  </si>
  <si>
    <t>DG006-sph30.d</t>
  </si>
  <si>
    <t>DG009-sph1.d</t>
  </si>
  <si>
    <t>DG009-sph2.d</t>
  </si>
  <si>
    <t>DG009-sph4.d</t>
  </si>
  <si>
    <t>DG009-sph7.d</t>
  </si>
  <si>
    <t>DG009-sph8.d</t>
  </si>
  <si>
    <t>DG009-sph9.d</t>
  </si>
  <si>
    <t>DG009-sph10.d</t>
  </si>
  <si>
    <t>DG009-sph11.d</t>
  </si>
  <si>
    <t>DG009-sph12.d</t>
  </si>
  <si>
    <t>DG009-sph13.d</t>
  </si>
  <si>
    <t>Sp4</t>
  </si>
  <si>
    <t>DG009-sph14.d</t>
  </si>
  <si>
    <t>DG009-sph15.d</t>
  </si>
  <si>
    <t>DG009-sph16.d</t>
  </si>
  <si>
    <t>DG009-sph17.d</t>
  </si>
  <si>
    <t>DG009-sph18.d</t>
  </si>
  <si>
    <t>DG009-sph19.d</t>
  </si>
  <si>
    <t>DG009-sph22.d</t>
  </si>
  <si>
    <t>DG002-11.d</t>
  </si>
  <si>
    <t>DG002-12.d</t>
  </si>
  <si>
    <t>DG002-13.d</t>
  </si>
  <si>
    <t>DG002-14.d</t>
  </si>
  <si>
    <t>DG002-15.d</t>
  </si>
  <si>
    <t>DG002-17.d</t>
  </si>
  <si>
    <t>DG002-18.d</t>
  </si>
  <si>
    <t>DG002-19.d</t>
  </si>
  <si>
    <t>DG002-20.d</t>
  </si>
  <si>
    <t>DG002-1.d</t>
  </si>
  <si>
    <t>Sp5</t>
  </si>
  <si>
    <t>DG002-2.d</t>
  </si>
  <si>
    <t>DG002-3.d</t>
  </si>
  <si>
    <t>DG002-4.d</t>
  </si>
  <si>
    <t>DG002-5.d</t>
  </si>
  <si>
    <t>DG002-6.d</t>
  </si>
  <si>
    <t>DG002-7.d</t>
  </si>
  <si>
    <t>DG002-8.d</t>
  </si>
  <si>
    <t>DG002-9.d</t>
  </si>
  <si>
    <t>DG002-10.d</t>
  </si>
  <si>
    <t>Sample</t>
  </si>
  <si>
    <t>Sp-type 2</t>
  </si>
  <si>
    <t>Deposit</t>
  </si>
  <si>
    <t>V51</t>
  </si>
  <si>
    <t>Cr52</t>
  </si>
  <si>
    <t>Mn55</t>
  </si>
  <si>
    <t>Fe57</t>
  </si>
  <si>
    <t>Co59</t>
  </si>
  <si>
    <t>Cu63</t>
  </si>
  <si>
    <t>Ga71</t>
  </si>
  <si>
    <t>Ge74</t>
  </si>
  <si>
    <t>As75</t>
  </si>
  <si>
    <t>Se82</t>
  </si>
  <si>
    <t>Mo95</t>
  </si>
  <si>
    <t>Ag107</t>
  </si>
  <si>
    <t>Cd111</t>
  </si>
  <si>
    <t>In115</t>
  </si>
  <si>
    <t>Sn118</t>
  </si>
  <si>
    <t>Sb121</t>
  </si>
  <si>
    <t>Te125</t>
  </si>
  <si>
    <t>Hg201</t>
  </si>
  <si>
    <t>Tl205</t>
  </si>
  <si>
    <t>Pb208</t>
  </si>
  <si>
    <t>Bi209</t>
  </si>
  <si>
    <t>DG1</t>
  </si>
  <si>
    <t>DG</t>
  </si>
  <si>
    <t>DG2</t>
  </si>
  <si>
    <t>DG3</t>
  </si>
  <si>
    <t>DG4</t>
  </si>
  <si>
    <t>DG5</t>
  </si>
  <si>
    <t>Fe%</t>
  </si>
  <si>
    <t>PC1*</t>
  </si>
  <si>
    <t>ln (PC1*)</t>
  </si>
  <si>
    <t>T°C mean</t>
  </si>
  <si>
    <t>T°C min</t>
  </si>
  <si>
    <t>T°C max</t>
  </si>
  <si>
    <t>T °C</t>
  </si>
  <si>
    <t>delta -</t>
  </si>
  <si>
    <t>delta +</t>
  </si>
  <si>
    <t xml:space="preserve">Sp-type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</si>
</sst>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3" borderId="0" xfId="0" applyFont="1" applyFill="1"/>
    <xf numFmtId="0" fontId="1" fillId="4" borderId="0" xfId="0" applyFont="1" applyFill="1"/>
    <xf numFmtId="2" fontId="0" fillId="0" borderId="0" xfId="0" applyNumberFormat="1"/>
    <xf numFmtId="2" fontId="0" fillId="5" borderId="0" xfId="0" applyNumberFormat="1" applyFill="1"/>
    <xf numFmtId="2" fontId="1" fillId="0" borderId="0" xfId="0" applyNumberFormat="1" applyFont="1"/>
    <xf numFmtId="2" fontId="1" fillId="5" borderId="0" xfId="0" applyNumberFormat="1" applyFont="1" applyFill="1"/>
    <xf numFmtId="0" fontId="2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7C13B-7813-44FE-A4D3-6E6BB79282DD}">
  <dimension ref="A1:BV73"/>
  <sheetViews>
    <sheetView tabSelected="1" workbookViewId="0">
      <selection activeCell="AA1" sqref="AA1:AF1048576"/>
    </sheetView>
  </sheetViews>
  <sheetFormatPr defaultRowHeight="15"/>
  <cols>
    <col min="1" max="1" width="14.28515625" bestFit="1" customWidth="1"/>
    <col min="2" max="2" width="7.85546875" bestFit="1" customWidth="1"/>
    <col min="3" max="56" width="9.28515625" bestFit="1" customWidth="1"/>
    <col min="58" max="59" width="9.28515625" bestFit="1" customWidth="1"/>
    <col min="61" max="74" width="9.28515625" bestFit="1" customWidth="1"/>
  </cols>
  <sheetData>
    <row r="1" spans="1:74">
      <c r="A1" s="8"/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25</v>
      </c>
      <c r="AB1" s="8" t="s">
        <v>26</v>
      </c>
      <c r="AC1" s="8" t="s">
        <v>27</v>
      </c>
      <c r="AD1" s="8" t="s">
        <v>28</v>
      </c>
      <c r="AE1" s="8" t="s">
        <v>29</v>
      </c>
      <c r="AF1" s="8" t="s">
        <v>30</v>
      </c>
      <c r="AG1" s="8" t="s">
        <v>31</v>
      </c>
      <c r="AH1" s="8" t="s">
        <v>32</v>
      </c>
      <c r="AI1" s="8" t="s">
        <v>33</v>
      </c>
      <c r="AJ1" s="8" t="s">
        <v>34</v>
      </c>
      <c r="AK1" s="8" t="s">
        <v>35</v>
      </c>
      <c r="AL1" s="8" t="s">
        <v>36</v>
      </c>
      <c r="AM1" s="8" t="s">
        <v>37</v>
      </c>
      <c r="AN1" s="8" t="s">
        <v>38</v>
      </c>
      <c r="AO1" s="8" t="s">
        <v>39</v>
      </c>
      <c r="AP1" s="8" t="s">
        <v>40</v>
      </c>
      <c r="AQ1" s="8" t="s">
        <v>41</v>
      </c>
      <c r="AR1" s="8" t="s">
        <v>42</v>
      </c>
      <c r="AS1" s="8" t="s">
        <v>43</v>
      </c>
      <c r="AT1" s="8" t="s">
        <v>44</v>
      </c>
      <c r="AU1" s="8" t="s">
        <v>45</v>
      </c>
      <c r="AV1" s="8" t="s">
        <v>46</v>
      </c>
      <c r="AW1" s="8" t="s">
        <v>47</v>
      </c>
      <c r="AX1" s="8" t="s">
        <v>48</v>
      </c>
      <c r="AY1" s="8" t="s">
        <v>49</v>
      </c>
      <c r="AZ1" s="8" t="s">
        <v>50</v>
      </c>
      <c r="BA1" s="8" t="s">
        <v>51</v>
      </c>
      <c r="BB1" s="8" t="s">
        <v>52</v>
      </c>
      <c r="BC1" s="8" t="s">
        <v>53</v>
      </c>
      <c r="BD1" s="8" t="s">
        <v>54</v>
      </c>
      <c r="BE1" s="8" t="s">
        <v>55</v>
      </c>
      <c r="BF1" s="8" t="s">
        <v>56</v>
      </c>
      <c r="BG1" s="8" t="s">
        <v>57</v>
      </c>
      <c r="BH1" s="8" t="s">
        <v>58</v>
      </c>
      <c r="BI1" s="8" t="s">
        <v>59</v>
      </c>
      <c r="BJ1" s="8" t="s">
        <v>60</v>
      </c>
      <c r="BK1" s="8" t="s">
        <v>61</v>
      </c>
      <c r="BL1" s="8" t="s">
        <v>62</v>
      </c>
      <c r="BM1" s="8" t="s">
        <v>63</v>
      </c>
      <c r="BN1" s="8" t="s">
        <v>64</v>
      </c>
      <c r="BO1" s="8" t="s">
        <v>65</v>
      </c>
      <c r="BP1" s="8" t="s">
        <v>66</v>
      </c>
      <c r="BQ1" s="8" t="s">
        <v>67</v>
      </c>
      <c r="BR1" s="8" t="s">
        <v>68</v>
      </c>
      <c r="BS1" s="8" t="s">
        <v>69</v>
      </c>
      <c r="BT1" s="8" t="s">
        <v>70</v>
      </c>
      <c r="BU1" s="8" t="s">
        <v>71</v>
      </c>
      <c r="BV1" s="8" t="s">
        <v>72</v>
      </c>
    </row>
    <row r="2" spans="1:74">
      <c r="A2" t="s">
        <v>73</v>
      </c>
      <c r="B2" t="s">
        <v>74</v>
      </c>
      <c r="C2" s="4">
        <v>0.13567510740753799</v>
      </c>
      <c r="D2" s="4">
        <v>4.5263386805734503E-2</v>
      </c>
      <c r="E2" s="4">
        <v>1.5280103519332401E-5</v>
      </c>
      <c r="F2" s="4" t="s">
        <v>75</v>
      </c>
      <c r="G2" s="4">
        <v>0.42374181244798298</v>
      </c>
      <c r="H2" s="4">
        <v>1.1368893674023399</v>
      </c>
      <c r="I2" s="4">
        <v>5.8838431933556699</v>
      </c>
      <c r="J2" s="4">
        <v>0.55215549634888295</v>
      </c>
      <c r="K2" s="4">
        <v>0.59734728065366804</v>
      </c>
      <c r="L2" s="4">
        <v>2034.6410942933601</v>
      </c>
      <c r="M2" s="4">
        <v>95.787864514480802</v>
      </c>
      <c r="N2" s="4">
        <v>23.008378568623002</v>
      </c>
      <c r="O2" s="4" t="s">
        <v>75</v>
      </c>
      <c r="P2" s="4">
        <v>6.1217261015245099E-2</v>
      </c>
      <c r="Q2" s="4">
        <v>0.14874085901700501</v>
      </c>
      <c r="R2" s="4" t="s">
        <v>75</v>
      </c>
      <c r="S2" s="4">
        <v>0.43181795007228002</v>
      </c>
      <c r="T2" s="4">
        <v>1.38474686156421</v>
      </c>
      <c r="U2" s="4">
        <v>503.32526184017098</v>
      </c>
      <c r="V2" s="4">
        <v>38.8269940921206</v>
      </c>
      <c r="W2" s="4">
        <v>6.4553018691531401</v>
      </c>
      <c r="X2" s="4">
        <v>480.53979444046001</v>
      </c>
      <c r="Y2" s="4">
        <v>18.640463441297101</v>
      </c>
      <c r="Z2" s="4">
        <v>6.75203652516932</v>
      </c>
      <c r="AA2" s="4">
        <v>144.84361641366201</v>
      </c>
      <c r="AB2" s="4">
        <v>6.4208159394102404</v>
      </c>
      <c r="AC2" s="4">
        <v>0.22588095250933601</v>
      </c>
      <c r="AD2" s="4">
        <v>139.36583189040101</v>
      </c>
      <c r="AE2" s="4">
        <v>9.8872748194230304</v>
      </c>
      <c r="AF2" s="4">
        <v>0.192498380719517</v>
      </c>
      <c r="AG2" s="4">
        <v>3.0157515861576099</v>
      </c>
      <c r="AH2" s="4">
        <v>0.99045612181405596</v>
      </c>
      <c r="AI2" s="4">
        <v>2.99546317657714</v>
      </c>
      <c r="AJ2" s="4" t="s">
        <v>75</v>
      </c>
      <c r="AK2" s="4">
        <v>5.3133419479350703</v>
      </c>
      <c r="AL2" s="4">
        <v>17.151100935145202</v>
      </c>
      <c r="AM2" s="4" t="s">
        <v>75</v>
      </c>
      <c r="AN2" s="4">
        <v>0.13751528730839799</v>
      </c>
      <c r="AO2" s="4">
        <v>0.18754053590484199</v>
      </c>
      <c r="AP2" s="4">
        <v>2.60651419367951</v>
      </c>
      <c r="AQ2" s="4">
        <v>0.39427877206957501</v>
      </c>
      <c r="AR2" s="4">
        <v>2.3303474334991298E-6</v>
      </c>
      <c r="AS2" s="4">
        <v>1634.3403891324899</v>
      </c>
      <c r="AT2" s="4">
        <v>90.077980967591103</v>
      </c>
      <c r="AU2" s="4">
        <v>14.0186613598836</v>
      </c>
      <c r="AV2" s="4" t="s">
        <v>75</v>
      </c>
      <c r="AW2" s="4">
        <v>4.6595564926343496E-3</v>
      </c>
      <c r="AX2" s="4">
        <v>4.9588420286791397E-2</v>
      </c>
      <c r="AY2" s="4" t="s">
        <v>75</v>
      </c>
      <c r="AZ2" s="4">
        <v>0.37729253483623998</v>
      </c>
      <c r="BA2" s="4">
        <v>1.1211860708496</v>
      </c>
      <c r="BB2" s="4">
        <v>2.1971924848845998</v>
      </c>
      <c r="BC2" s="4">
        <v>0.37362060038288197</v>
      </c>
      <c r="BD2" s="4">
        <v>8.9612995205161194E-2</v>
      </c>
      <c r="BE2" s="4" t="s">
        <v>75</v>
      </c>
      <c r="BF2" s="4">
        <v>5.7671397828187301E-3</v>
      </c>
      <c r="BG2" s="4">
        <v>8.2844306195136603E-6</v>
      </c>
      <c r="BH2" s="4" t="s">
        <v>75</v>
      </c>
      <c r="BI2" s="4">
        <v>3.28978760276219E-4</v>
      </c>
      <c r="BJ2" s="4">
        <v>1.10788651347377E-6</v>
      </c>
      <c r="BK2" s="4">
        <v>204.22888751208399</v>
      </c>
      <c r="BL2" s="4">
        <v>8.13086249351473</v>
      </c>
      <c r="BM2" s="4">
        <v>5.0739934110945404</v>
      </c>
      <c r="BN2" s="4" t="s">
        <v>75</v>
      </c>
      <c r="BO2" s="4">
        <v>1.6520687177945199E-2</v>
      </c>
      <c r="BP2" s="4">
        <v>4.8704917209866201E-2</v>
      </c>
      <c r="BQ2" s="4">
        <v>27.0154347283889</v>
      </c>
      <c r="BR2" s="4">
        <v>1.6316636493902501</v>
      </c>
      <c r="BS2" s="4">
        <v>0.21013786083088301</v>
      </c>
      <c r="BT2" s="4">
        <v>4.4460207664021603E-2</v>
      </c>
      <c r="BU2" s="4">
        <v>1.91401264808286E-2</v>
      </c>
      <c r="BV2" s="4">
        <v>1.9390666070423401E-2</v>
      </c>
    </row>
    <row r="3" spans="1:74">
      <c r="A3" t="s">
        <v>76</v>
      </c>
      <c r="B3" t="s">
        <v>74</v>
      </c>
      <c r="C3" s="4">
        <v>0.31438045155931599</v>
      </c>
      <c r="D3" s="4">
        <v>0.14873190912445799</v>
      </c>
      <c r="E3" s="4">
        <v>0.10997094717936</v>
      </c>
      <c r="F3" s="4" t="s">
        <v>75</v>
      </c>
      <c r="G3" s="4">
        <v>0.40948709165569203</v>
      </c>
      <c r="H3" s="4">
        <v>1.0608467217459601</v>
      </c>
      <c r="I3" s="4">
        <v>7.3594676179483498</v>
      </c>
      <c r="J3" s="4">
        <v>1.0901658298179899</v>
      </c>
      <c r="K3" s="4">
        <v>0.70315243028047503</v>
      </c>
      <c r="L3" s="4">
        <v>2041.91313251376</v>
      </c>
      <c r="M3" s="4">
        <v>226.35074683147101</v>
      </c>
      <c r="N3" s="4">
        <v>27.6130101681977</v>
      </c>
      <c r="O3" s="4">
        <v>2.79937414799118</v>
      </c>
      <c r="P3" s="4">
        <v>0.51834040573227402</v>
      </c>
      <c r="Q3" s="4">
        <v>9.8825515564745101E-2</v>
      </c>
      <c r="R3" s="4" t="s">
        <v>75</v>
      </c>
      <c r="S3" s="4">
        <v>0.70323384518868304</v>
      </c>
      <c r="T3" s="4">
        <v>1.00804543800438</v>
      </c>
      <c r="U3" s="4">
        <v>468.29718896059302</v>
      </c>
      <c r="V3" s="4">
        <v>37.615375427798902</v>
      </c>
      <c r="W3" s="4">
        <v>3.67254171591199</v>
      </c>
      <c r="X3" s="4">
        <v>464.38435793188899</v>
      </c>
      <c r="Y3" s="4">
        <v>37.655341944208701</v>
      </c>
      <c r="Z3" s="4">
        <v>5.2387618052464697</v>
      </c>
      <c r="AA3" s="4">
        <v>183.02549333115499</v>
      </c>
      <c r="AB3" s="4">
        <v>18.702710354297601</v>
      </c>
      <c r="AC3" s="4">
        <v>0.11204542189967</v>
      </c>
      <c r="AD3" s="4">
        <v>121.26156388160101</v>
      </c>
      <c r="AE3" s="4">
        <v>14.286402140270001</v>
      </c>
      <c r="AF3" s="4">
        <v>0.34691456383394298</v>
      </c>
      <c r="AG3" s="4">
        <v>2.8004309919281001</v>
      </c>
      <c r="AH3" s="4">
        <v>1.3294560738279799</v>
      </c>
      <c r="AI3" s="4">
        <v>1.15228024119405</v>
      </c>
      <c r="AJ3" s="4" t="s">
        <v>75</v>
      </c>
      <c r="AK3" s="4">
        <v>6.6606055924757603</v>
      </c>
      <c r="AL3" s="4">
        <v>15.6791615741861</v>
      </c>
      <c r="AM3" s="4" t="s">
        <v>75</v>
      </c>
      <c r="AN3" s="4">
        <v>2.5661245349439198E-3</v>
      </c>
      <c r="AO3" s="4">
        <v>7.13259570310728E-7</v>
      </c>
      <c r="AP3" s="4">
        <v>7.2499109620511701</v>
      </c>
      <c r="AQ3" s="4">
        <v>0.86535828741554499</v>
      </c>
      <c r="AR3" s="4">
        <v>3.2479403994889298E-6</v>
      </c>
      <c r="AS3" s="4">
        <v>1837.21818261052</v>
      </c>
      <c r="AT3" s="4">
        <v>157.02507308123401</v>
      </c>
      <c r="AU3" s="4">
        <v>11.759243795237101</v>
      </c>
      <c r="AV3" s="4">
        <v>0.39030183469919799</v>
      </c>
      <c r="AW3" s="4">
        <v>0.104158519216665</v>
      </c>
      <c r="AX3" s="4">
        <v>4.94661070510364E-2</v>
      </c>
      <c r="AY3" s="4">
        <v>4.09624994106247</v>
      </c>
      <c r="AZ3" s="4">
        <v>0.69912721241116205</v>
      </c>
      <c r="BA3" s="4">
        <v>0.95147545281714896</v>
      </c>
      <c r="BB3" s="4">
        <v>5.0669508841948101</v>
      </c>
      <c r="BC3" s="4">
        <v>0.67095001926722198</v>
      </c>
      <c r="BD3" s="4">
        <v>0.171390169948689</v>
      </c>
      <c r="BE3" s="4" t="s">
        <v>75</v>
      </c>
      <c r="BF3" s="4">
        <v>8.4592526988439398E-3</v>
      </c>
      <c r="BG3" s="4">
        <v>1.15183349765285E-5</v>
      </c>
      <c r="BH3" s="4" t="s">
        <v>75</v>
      </c>
      <c r="BI3" s="4">
        <v>4.8233590233545502E-4</v>
      </c>
      <c r="BJ3" s="4">
        <v>1.5429872965012201E-6</v>
      </c>
      <c r="BK3" s="4">
        <v>283.19694457175001</v>
      </c>
      <c r="BL3" s="4">
        <v>27.351775010210201</v>
      </c>
      <c r="BM3" s="4">
        <v>6.74697283440611</v>
      </c>
      <c r="BN3" s="4" t="s">
        <v>75</v>
      </c>
      <c r="BO3" s="4">
        <v>2.0949272691144601E-2</v>
      </c>
      <c r="BP3" s="4">
        <v>5.5506850173530797E-2</v>
      </c>
      <c r="BQ3" s="4">
        <v>54.168647385718401</v>
      </c>
      <c r="BR3" s="4">
        <v>5.0079346796770698</v>
      </c>
      <c r="BS3" s="4">
        <v>0.143177693898139</v>
      </c>
      <c r="BT3" s="4">
        <v>0.107605603619028</v>
      </c>
      <c r="BU3" s="4">
        <v>2.91948619277132E-2</v>
      </c>
      <c r="BV3" s="4">
        <v>1.5985568162172701E-2</v>
      </c>
    </row>
    <row r="4" spans="1:74">
      <c r="A4" t="s">
        <v>77</v>
      </c>
      <c r="B4" t="s">
        <v>74</v>
      </c>
      <c r="C4" s="4">
        <v>0.46920007601339703</v>
      </c>
      <c r="D4" s="4">
        <v>0.133625135851907</v>
      </c>
      <c r="E4" s="4">
        <v>9.9548411016883206E-2</v>
      </c>
      <c r="F4" s="4" t="s">
        <v>75</v>
      </c>
      <c r="G4" s="4">
        <v>0.42052627222842898</v>
      </c>
      <c r="H4" s="4">
        <v>0.96098795439044005</v>
      </c>
      <c r="I4" s="4">
        <v>9.6311890787269192</v>
      </c>
      <c r="J4" s="4">
        <v>0.88372850923040602</v>
      </c>
      <c r="K4" s="4">
        <v>0.63443975966784005</v>
      </c>
      <c r="L4" s="4">
        <v>488.43603349884302</v>
      </c>
      <c r="M4" s="4">
        <v>52.3593885962649</v>
      </c>
      <c r="N4" s="4">
        <v>25.047031759877399</v>
      </c>
      <c r="O4" s="4" t="s">
        <v>75</v>
      </c>
      <c r="P4" s="4">
        <v>6.7943153692861802E-2</v>
      </c>
      <c r="Q4" s="4">
        <v>8.9785420845422598E-2</v>
      </c>
      <c r="R4" s="4" t="s">
        <v>75</v>
      </c>
      <c r="S4" s="4">
        <v>0.238988407539169</v>
      </c>
      <c r="T4" s="4">
        <v>0.91678469933896201</v>
      </c>
      <c r="U4" s="4">
        <v>768.44798462952997</v>
      </c>
      <c r="V4" s="4">
        <v>75.168793546466006</v>
      </c>
      <c r="W4" s="4">
        <v>3.3325922854678001</v>
      </c>
      <c r="X4" s="4">
        <v>754.53041938050796</v>
      </c>
      <c r="Y4" s="4">
        <v>46.780831630795802</v>
      </c>
      <c r="Z4" s="4">
        <v>4.7567014295770402</v>
      </c>
      <c r="AA4" s="4">
        <v>133.02102506371801</v>
      </c>
      <c r="AB4" s="4">
        <v>8.6690079554561805</v>
      </c>
      <c r="AC4" s="4">
        <v>0.101870115039532</v>
      </c>
      <c r="AD4" s="4">
        <v>296.48651753393199</v>
      </c>
      <c r="AE4" s="4">
        <v>19.727451433167101</v>
      </c>
      <c r="AF4" s="4">
        <v>0.31459353459022599</v>
      </c>
      <c r="AG4" s="4">
        <v>11.474683888671199</v>
      </c>
      <c r="AH4" s="4">
        <v>1.73273581737168</v>
      </c>
      <c r="AI4" s="4">
        <v>1.04372090185692</v>
      </c>
      <c r="AJ4" s="4" t="s">
        <v>75</v>
      </c>
      <c r="AK4" s="4">
        <v>5.0001176998385599</v>
      </c>
      <c r="AL4" s="4">
        <v>14.1853174944612</v>
      </c>
      <c r="AM4" s="4">
        <v>7.8872011686292095E-3</v>
      </c>
      <c r="AN4" s="4">
        <v>6.0552448959514199E-2</v>
      </c>
      <c r="AO4" s="4">
        <v>6.4557013314396096E-7</v>
      </c>
      <c r="AP4" s="4">
        <v>3.3425839176818402</v>
      </c>
      <c r="AQ4" s="4">
        <v>0.43870945902274699</v>
      </c>
      <c r="AR4" s="4">
        <v>2.9471084929235302E-6</v>
      </c>
      <c r="AS4" s="4">
        <v>2203.7127019304198</v>
      </c>
      <c r="AT4" s="4">
        <v>110.11029413571001</v>
      </c>
      <c r="AU4" s="4">
        <v>10.6428867730843</v>
      </c>
      <c r="AV4" s="4" t="s">
        <v>75</v>
      </c>
      <c r="AW4" s="4">
        <v>1.3197748185673701E-2</v>
      </c>
      <c r="AX4" s="4">
        <v>4.4794578110933202E-2</v>
      </c>
      <c r="AY4" s="4" t="s">
        <v>75</v>
      </c>
      <c r="AZ4" s="4">
        <v>0.30736033226211001</v>
      </c>
      <c r="BA4" s="4">
        <v>0.86076512260303994</v>
      </c>
      <c r="BB4" s="4">
        <v>5.8029305375308997</v>
      </c>
      <c r="BC4" s="4">
        <v>0.65942839924484797</v>
      </c>
      <c r="BD4" s="4">
        <v>0.155098949089644</v>
      </c>
      <c r="BE4" s="4" t="s">
        <v>75</v>
      </c>
      <c r="BF4" s="4">
        <v>8.9181330645135403E-3</v>
      </c>
      <c r="BG4" s="4">
        <v>1.0414492285328E-5</v>
      </c>
      <c r="BH4" s="4" t="s">
        <v>75</v>
      </c>
      <c r="BI4" s="4">
        <v>5.0717300966858796E-4</v>
      </c>
      <c r="BJ4" s="4">
        <v>1.39853211274205E-6</v>
      </c>
      <c r="BK4" s="4">
        <v>171.03928800156899</v>
      </c>
      <c r="BL4" s="4">
        <v>11.6908043123208</v>
      </c>
      <c r="BM4" s="4">
        <v>6.1338757705192899</v>
      </c>
      <c r="BN4" s="4" t="s">
        <v>75</v>
      </c>
      <c r="BO4" s="4">
        <v>1.8609363270095498E-2</v>
      </c>
      <c r="BP4" s="4">
        <v>5.02547528695068E-2</v>
      </c>
      <c r="BQ4" s="4">
        <v>31.2136039026859</v>
      </c>
      <c r="BR4" s="4">
        <v>3.7529455276488299</v>
      </c>
      <c r="BS4" s="4">
        <v>0.12938088979128101</v>
      </c>
      <c r="BT4" s="4">
        <v>0.19239682217511</v>
      </c>
      <c r="BU4" s="4">
        <v>4.2236296171918201E-2</v>
      </c>
      <c r="BV4" s="4">
        <v>1.4478542574587101E-2</v>
      </c>
    </row>
    <row r="5" spans="1:74">
      <c r="A5" t="s">
        <v>78</v>
      </c>
      <c r="B5" t="s">
        <v>74</v>
      </c>
      <c r="C5" s="4" t="s">
        <v>75</v>
      </c>
      <c r="D5" s="4">
        <v>1.9125315577776601E-2</v>
      </c>
      <c r="E5" s="4">
        <v>3.9822560987508603E-2</v>
      </c>
      <c r="F5" s="4" t="s">
        <v>75</v>
      </c>
      <c r="G5" s="4">
        <v>0.376284919430938</v>
      </c>
      <c r="H5" s="4">
        <v>1.3397124652943899</v>
      </c>
      <c r="I5" s="4">
        <v>3.49401427889664</v>
      </c>
      <c r="J5" s="4">
        <v>0.38912182900650599</v>
      </c>
      <c r="K5" s="4">
        <v>0.29522178974539398</v>
      </c>
      <c r="L5" s="4">
        <v>2185.05507743523</v>
      </c>
      <c r="M5" s="4">
        <v>96.270540995500397</v>
      </c>
      <c r="N5" s="4">
        <v>23.6372809479615</v>
      </c>
      <c r="O5" s="4" t="s">
        <v>75</v>
      </c>
      <c r="P5" s="4">
        <v>3.9443201583014599E-2</v>
      </c>
      <c r="Q5" s="4">
        <v>0.115455573259031</v>
      </c>
      <c r="R5" s="4" t="s">
        <v>75</v>
      </c>
      <c r="S5" s="4">
        <v>0.42249298194819401</v>
      </c>
      <c r="T5" s="4">
        <v>0.79150807290862002</v>
      </c>
      <c r="U5" s="4">
        <v>1066.27070806897</v>
      </c>
      <c r="V5" s="4">
        <v>80.192601289136107</v>
      </c>
      <c r="W5" s="4">
        <v>4.2682578112454399</v>
      </c>
      <c r="X5" s="4">
        <v>1023.6121718351</v>
      </c>
      <c r="Y5" s="4">
        <v>51.661210964341898</v>
      </c>
      <c r="Z5" s="4">
        <v>6.7680985824921898</v>
      </c>
      <c r="AA5" s="4">
        <v>212.328967571249</v>
      </c>
      <c r="AB5" s="4">
        <v>14.380384723762001</v>
      </c>
      <c r="AC5" s="4">
        <v>0.153210862879084</v>
      </c>
      <c r="AD5" s="4">
        <v>381.69582123522298</v>
      </c>
      <c r="AE5" s="4">
        <v>35.711576124022301</v>
      </c>
      <c r="AF5" s="4">
        <v>0.27257421317937902</v>
      </c>
      <c r="AG5" s="4" t="s">
        <v>75</v>
      </c>
      <c r="AH5" s="4">
        <v>0.48174246293015299</v>
      </c>
      <c r="AI5" s="4">
        <v>1.3060141861963299</v>
      </c>
      <c r="AJ5" s="4" t="s">
        <v>75</v>
      </c>
      <c r="AK5" s="4">
        <v>5.1735684530862702</v>
      </c>
      <c r="AL5" s="4">
        <v>11.145862548802301</v>
      </c>
      <c r="AM5" s="4" t="s">
        <v>75</v>
      </c>
      <c r="AN5" s="4">
        <v>6.9318277419591803E-2</v>
      </c>
      <c r="AO5" s="4">
        <v>4.94053058028962E-7</v>
      </c>
      <c r="AP5" s="4">
        <v>0.96731526520871502</v>
      </c>
      <c r="AQ5" s="4">
        <v>0.19943341950509</v>
      </c>
      <c r="AR5" s="4">
        <v>5.97094215299468E-2</v>
      </c>
      <c r="AS5" s="4">
        <v>1580.6424202358301</v>
      </c>
      <c r="AT5" s="4">
        <v>102.291992917987</v>
      </c>
      <c r="AU5" s="4">
        <v>9.2938435566706499</v>
      </c>
      <c r="AV5" s="4" t="s">
        <v>75</v>
      </c>
      <c r="AW5" s="4">
        <v>1.5395526031553799E-2</v>
      </c>
      <c r="AX5" s="4">
        <v>4.4718699260790397E-2</v>
      </c>
      <c r="AY5" s="4" t="s">
        <v>75</v>
      </c>
      <c r="AZ5" s="4">
        <v>0.39808139429727202</v>
      </c>
      <c r="BA5" s="4">
        <v>1.5852081781432401</v>
      </c>
      <c r="BB5" s="4" t="s">
        <v>75</v>
      </c>
      <c r="BC5" s="4">
        <v>6.5404262485044704E-2</v>
      </c>
      <c r="BD5" s="4">
        <v>0.19295790732933299</v>
      </c>
      <c r="BE5" s="4" t="s">
        <v>75</v>
      </c>
      <c r="BF5" s="4">
        <v>7.4872536800015804E-3</v>
      </c>
      <c r="BG5" s="4">
        <v>7.9626631881440099E-6</v>
      </c>
      <c r="BH5" s="4" t="s">
        <v>75</v>
      </c>
      <c r="BI5" s="4">
        <v>4.3713144844465798E-4</v>
      </c>
      <c r="BJ5" s="4">
        <v>1.0716297734566E-6</v>
      </c>
      <c r="BK5" s="4">
        <v>139.36393189827501</v>
      </c>
      <c r="BL5" s="4">
        <v>9.5314068894580792</v>
      </c>
      <c r="BM5" s="4">
        <v>3.7284836801439898</v>
      </c>
      <c r="BN5" s="4" t="s">
        <v>75</v>
      </c>
      <c r="BO5" s="4">
        <v>1.4844638258271601E-2</v>
      </c>
      <c r="BP5" s="4">
        <v>4.7002132168967502E-2</v>
      </c>
      <c r="BQ5" s="4">
        <v>0.89162801890013899</v>
      </c>
      <c r="BR5" s="4">
        <v>0.26025306051775499</v>
      </c>
      <c r="BS5" s="4">
        <v>0.14240060484852199</v>
      </c>
      <c r="BT5" s="4" t="s">
        <v>75</v>
      </c>
      <c r="BU5" s="4">
        <v>1.32298418187276E-2</v>
      </c>
      <c r="BV5" s="4">
        <v>1.20414412009091</v>
      </c>
    </row>
    <row r="6" spans="1:74">
      <c r="A6" t="s">
        <v>79</v>
      </c>
      <c r="B6" t="s">
        <v>74</v>
      </c>
      <c r="C6" s="4" t="s">
        <v>75</v>
      </c>
      <c r="D6" s="4">
        <v>4.7206761878707301E-2</v>
      </c>
      <c r="E6" s="4">
        <v>6.5534846776682407E-2</v>
      </c>
      <c r="F6" s="4" t="s">
        <v>75</v>
      </c>
      <c r="G6" s="4">
        <v>0.41197998886533099</v>
      </c>
      <c r="H6" s="4">
        <v>1.1450650502203199</v>
      </c>
      <c r="I6" s="4">
        <v>1.96801870209853</v>
      </c>
      <c r="J6" s="4">
        <v>0.46510267836171199</v>
      </c>
      <c r="K6" s="4">
        <v>0.50811572930903104</v>
      </c>
      <c r="L6" s="4">
        <v>2154.1489570499202</v>
      </c>
      <c r="M6" s="4">
        <v>211.02212657248899</v>
      </c>
      <c r="N6" s="4">
        <v>26.5934412532885</v>
      </c>
      <c r="O6" s="4">
        <v>1.96939506252615</v>
      </c>
      <c r="P6" s="4">
        <v>0.28641749224450802</v>
      </c>
      <c r="Q6" s="4">
        <v>0.11746988680509</v>
      </c>
      <c r="R6" s="4">
        <v>0.83628592481485697</v>
      </c>
      <c r="S6" s="4">
        <v>0.55243887432125904</v>
      </c>
      <c r="T6" s="4">
        <v>0.62186845607994101</v>
      </c>
      <c r="U6" s="4">
        <v>1635.0873855627899</v>
      </c>
      <c r="V6" s="4">
        <v>161.08833776686501</v>
      </c>
      <c r="W6" s="4">
        <v>5.0632900673715797</v>
      </c>
      <c r="X6" s="4">
        <v>1635.8921804367101</v>
      </c>
      <c r="Y6" s="4">
        <v>123.209873754548</v>
      </c>
      <c r="Z6" s="4">
        <v>6.34518099504883</v>
      </c>
      <c r="AA6" s="4">
        <v>168.618045696184</v>
      </c>
      <c r="AB6" s="4">
        <v>15.719451807541899</v>
      </c>
      <c r="AC6" s="4">
        <v>0.16446455487803599</v>
      </c>
      <c r="AD6" s="4">
        <v>673.29189535747503</v>
      </c>
      <c r="AE6" s="4">
        <v>71.401330256114306</v>
      </c>
      <c r="AF6" s="4">
        <v>0.22046564837007199</v>
      </c>
      <c r="AG6" s="4" t="s">
        <v>75</v>
      </c>
      <c r="AH6" s="4">
        <v>0.68268282645079204</v>
      </c>
      <c r="AI6" s="4">
        <v>0.96088455294391795</v>
      </c>
      <c r="AJ6" s="4" t="s">
        <v>75</v>
      </c>
      <c r="AK6" s="4">
        <v>7.9683708537788904</v>
      </c>
      <c r="AL6" s="4">
        <v>11.6428154090977</v>
      </c>
      <c r="AM6" s="4" t="s">
        <v>75</v>
      </c>
      <c r="AN6" s="4">
        <v>3.8603731561775798E-3</v>
      </c>
      <c r="AO6" s="4">
        <v>0.13101875759217199</v>
      </c>
      <c r="AP6" s="4">
        <v>2.0077061311982098</v>
      </c>
      <c r="AQ6" s="4">
        <v>0.45814957406642898</v>
      </c>
      <c r="AR6" s="4">
        <v>9.3683614458586195E-2</v>
      </c>
      <c r="AS6" s="4">
        <v>1480.66879803966</v>
      </c>
      <c r="AT6" s="4">
        <v>144.40077854616499</v>
      </c>
      <c r="AU6" s="4">
        <v>8.6348573516772902</v>
      </c>
      <c r="AV6" s="4">
        <v>2.9156951838205901E-2</v>
      </c>
      <c r="AW6" s="4">
        <v>2.8220892775516801E-2</v>
      </c>
      <c r="AX6" s="4">
        <v>1.6268039641495601E-2</v>
      </c>
      <c r="AY6" s="4" t="s">
        <v>75</v>
      </c>
      <c r="AZ6" s="4">
        <v>0.49830036172006098</v>
      </c>
      <c r="BA6" s="4">
        <v>0.69788113169033605</v>
      </c>
      <c r="BB6" s="4" t="s">
        <v>75</v>
      </c>
      <c r="BC6" s="4">
        <v>9.9501341576837904E-2</v>
      </c>
      <c r="BD6" s="4">
        <v>0.15965978193251801</v>
      </c>
      <c r="BE6" s="4" t="s">
        <v>75</v>
      </c>
      <c r="BF6" s="4">
        <v>1.2347078590817E-2</v>
      </c>
      <c r="BG6" s="4">
        <v>0.53533873059970505</v>
      </c>
      <c r="BH6" s="4" t="s">
        <v>75</v>
      </c>
      <c r="BI6" s="4">
        <v>6.9974927803261304E-4</v>
      </c>
      <c r="BJ6" s="4">
        <v>1.5760450546410301E-6</v>
      </c>
      <c r="BK6" s="4">
        <v>162.49820108036599</v>
      </c>
      <c r="BL6" s="4">
        <v>16.9583419674148</v>
      </c>
      <c r="BM6" s="4">
        <v>6.0849120468437503</v>
      </c>
      <c r="BN6" s="4" t="s">
        <v>75</v>
      </c>
      <c r="BO6" s="4">
        <v>2.4170641099674501E-2</v>
      </c>
      <c r="BP6" s="4">
        <v>4.0034595068350498E-2</v>
      </c>
      <c r="BQ6" s="4">
        <v>2.3899001796042598</v>
      </c>
      <c r="BR6" s="4">
        <v>0.84846772819838301</v>
      </c>
      <c r="BS6" s="4">
        <v>0.20563868397951501</v>
      </c>
      <c r="BT6" s="4">
        <v>1.17181795117451E-2</v>
      </c>
      <c r="BU6" s="4">
        <v>1.22654296801768E-2</v>
      </c>
      <c r="BV6" s="4">
        <v>9.2520731833666495E-3</v>
      </c>
    </row>
    <row r="7" spans="1:74">
      <c r="A7" t="s">
        <v>80</v>
      </c>
      <c r="B7" t="s">
        <v>81</v>
      </c>
      <c r="C7" s="4" t="s">
        <v>75</v>
      </c>
      <c r="D7" s="4">
        <v>3.9607915509209099E-2</v>
      </c>
      <c r="E7" s="4">
        <v>9.6470110593783201E-2</v>
      </c>
      <c r="F7" s="4" t="s">
        <v>75</v>
      </c>
      <c r="G7" s="4">
        <v>0.36593650168410602</v>
      </c>
      <c r="H7" s="4">
        <v>1.3188075521876399</v>
      </c>
      <c r="I7" s="4">
        <v>8.0673439510837905</v>
      </c>
      <c r="J7" s="4">
        <v>0.61511106832978601</v>
      </c>
      <c r="K7" s="4">
        <v>0.82558475341388204</v>
      </c>
      <c r="L7" s="4">
        <v>292.41934380068</v>
      </c>
      <c r="M7" s="4">
        <v>54.322050622650998</v>
      </c>
      <c r="N7" s="4">
        <v>35.426792506650102</v>
      </c>
      <c r="O7" s="4" t="s">
        <v>75</v>
      </c>
      <c r="P7" s="4">
        <v>1.9229117194208101E-2</v>
      </c>
      <c r="Q7" s="4">
        <v>8.3598290292560204E-2</v>
      </c>
      <c r="R7" s="4" t="s">
        <v>75</v>
      </c>
      <c r="S7" s="4">
        <v>0.48825562764783098</v>
      </c>
      <c r="T7" s="4">
        <v>0.75889365286408605</v>
      </c>
      <c r="U7" s="4">
        <v>178.347707872754</v>
      </c>
      <c r="V7" s="4">
        <v>14.775732916299001</v>
      </c>
      <c r="W7" s="4">
        <v>5.2099634768182499</v>
      </c>
      <c r="X7" s="4">
        <v>178.215443437631</v>
      </c>
      <c r="Y7" s="4">
        <v>9.9115146532869591</v>
      </c>
      <c r="Z7" s="4">
        <v>7.6222926504163002</v>
      </c>
      <c r="AA7" s="4">
        <v>127.09614605666199</v>
      </c>
      <c r="AB7" s="4">
        <v>7.5564029831372999</v>
      </c>
      <c r="AC7" s="4">
        <v>0.15057136875718399</v>
      </c>
      <c r="AD7" s="4">
        <v>25.880356769863901</v>
      </c>
      <c r="AE7" s="4">
        <v>2.41312270280046</v>
      </c>
      <c r="AF7" s="4">
        <v>0.33823969732725301</v>
      </c>
      <c r="AG7" s="4" t="s">
        <v>75</v>
      </c>
      <c r="AH7" s="4">
        <v>1.0406817744347701</v>
      </c>
      <c r="AI7" s="4">
        <v>1.2347921478684301</v>
      </c>
      <c r="AJ7" s="4" t="s">
        <v>75</v>
      </c>
      <c r="AK7" s="4">
        <v>4.9894346243300403</v>
      </c>
      <c r="AL7" s="4">
        <v>9.24652941734454</v>
      </c>
      <c r="AM7" s="4" t="s">
        <v>75</v>
      </c>
      <c r="AN7" s="4">
        <v>8.7232285867663406E-2</v>
      </c>
      <c r="AO7" s="4">
        <v>0.16341479790233901</v>
      </c>
      <c r="AP7" s="4">
        <v>0.13009284948526201</v>
      </c>
      <c r="AQ7" s="4">
        <v>7.1246104470081506E-2</v>
      </c>
      <c r="AR7" s="4">
        <v>0.105186229806641</v>
      </c>
      <c r="AS7" s="4">
        <v>3478.2445484248801</v>
      </c>
      <c r="AT7" s="4">
        <v>210.06872956291301</v>
      </c>
      <c r="AU7" s="4">
        <v>8.2507808801058502</v>
      </c>
      <c r="AV7" s="4" t="s">
        <v>75</v>
      </c>
      <c r="AW7" s="4">
        <v>1.67983789943906E-2</v>
      </c>
      <c r="AX7" s="4">
        <v>8.3779877110448694E-2</v>
      </c>
      <c r="AY7" s="4" t="s">
        <v>75</v>
      </c>
      <c r="AZ7" s="4">
        <v>0.56230279990570697</v>
      </c>
      <c r="BA7" s="4">
        <v>1.10897838585857</v>
      </c>
      <c r="BB7" s="4" t="s">
        <v>75</v>
      </c>
      <c r="BC7" s="4">
        <v>0.134294952305899</v>
      </c>
      <c r="BD7" s="4">
        <v>0.29592418587192898</v>
      </c>
      <c r="BE7" s="4" t="s">
        <v>75</v>
      </c>
      <c r="BF7" s="4">
        <v>6.9518897930526203E-3</v>
      </c>
      <c r="BG7" s="4">
        <v>8.8295431972148607E-6</v>
      </c>
      <c r="BH7" s="4" t="s">
        <v>75</v>
      </c>
      <c r="BI7" s="4">
        <v>3.9406759222394302E-4</v>
      </c>
      <c r="BJ7" s="4">
        <v>1.1577022283668999E-6</v>
      </c>
      <c r="BK7" s="4">
        <v>347.55932467648398</v>
      </c>
      <c r="BL7" s="4">
        <v>20.1360223402977</v>
      </c>
      <c r="BM7" s="4">
        <v>4.6534040377572801</v>
      </c>
      <c r="BN7" s="4" t="s">
        <v>75</v>
      </c>
      <c r="BO7" s="4">
        <v>1.7085811907252599E-2</v>
      </c>
      <c r="BP7" s="4">
        <v>6.0781597141674797E-2</v>
      </c>
      <c r="BQ7" s="4">
        <v>1.08434261485052</v>
      </c>
      <c r="BR7" s="4">
        <v>0.31366801293722102</v>
      </c>
      <c r="BS7" s="4">
        <v>0.39115042286604901</v>
      </c>
      <c r="BT7" s="4" t="s">
        <v>75</v>
      </c>
      <c r="BU7" s="4">
        <v>1.3826705217359601E-2</v>
      </c>
      <c r="BV7" s="4">
        <v>6.6537742292858595E-2</v>
      </c>
    </row>
    <row r="8" spans="1:74">
      <c r="A8" t="s">
        <v>82</v>
      </c>
      <c r="B8" t="s">
        <v>81</v>
      </c>
      <c r="C8" s="4">
        <v>1.6341499550781999E-2</v>
      </c>
      <c r="D8" s="4">
        <v>3.1844652874222099E-2</v>
      </c>
      <c r="E8" s="4">
        <v>6.1974364372925997E-5</v>
      </c>
      <c r="F8" s="4" t="s">
        <v>75</v>
      </c>
      <c r="G8" s="4">
        <v>0.36337664339436399</v>
      </c>
      <c r="H8" s="4">
        <v>1.2232304386150199</v>
      </c>
      <c r="I8" s="4">
        <v>5.8842446779844897</v>
      </c>
      <c r="J8" s="4">
        <v>1.09785259981075</v>
      </c>
      <c r="K8" s="4">
        <v>0.34360103204594</v>
      </c>
      <c r="L8" s="4">
        <v>177.02671758230699</v>
      </c>
      <c r="M8" s="4">
        <v>33.718751213790704</v>
      </c>
      <c r="N8" s="4">
        <v>24.1623155006112</v>
      </c>
      <c r="O8" s="4" t="s">
        <v>75</v>
      </c>
      <c r="P8" s="4">
        <v>2.5563913940606201E-2</v>
      </c>
      <c r="Q8" s="4">
        <v>7.5129438504129703E-2</v>
      </c>
      <c r="R8" s="4" t="s">
        <v>75</v>
      </c>
      <c r="S8" s="4">
        <v>0.57943431097432996</v>
      </c>
      <c r="T8" s="4">
        <v>0.41282769564370603</v>
      </c>
      <c r="U8" s="4">
        <v>227.916167679495</v>
      </c>
      <c r="V8" s="4">
        <v>64.717540349987502</v>
      </c>
      <c r="W8" s="4">
        <v>6.0765568977801898</v>
      </c>
      <c r="X8" s="4">
        <v>230.30561559299599</v>
      </c>
      <c r="Y8" s="4">
        <v>60.536735794800798</v>
      </c>
      <c r="Z8" s="4">
        <v>9.4109805020235004</v>
      </c>
      <c r="AA8" s="4">
        <v>59.9477688378919</v>
      </c>
      <c r="AB8" s="4">
        <v>12.634255924404201</v>
      </c>
      <c r="AC8" s="4">
        <v>0.14845729572990601</v>
      </c>
      <c r="AD8" s="4">
        <v>72.820170475975701</v>
      </c>
      <c r="AE8" s="4">
        <v>21.028840987815201</v>
      </c>
      <c r="AF8" s="4">
        <v>0.238292166597177</v>
      </c>
      <c r="AG8" s="4" t="s">
        <v>75</v>
      </c>
      <c r="AH8" s="4">
        <v>0.66382270597183102</v>
      </c>
      <c r="AI8" s="4">
        <v>0.79700153638699101</v>
      </c>
      <c r="AJ8" s="4" t="s">
        <v>75</v>
      </c>
      <c r="AK8" s="4">
        <v>7.7482009029113703</v>
      </c>
      <c r="AL8" s="4">
        <v>11.3359556908883</v>
      </c>
      <c r="AM8" s="4">
        <v>8.8135465150144796E-2</v>
      </c>
      <c r="AN8" s="4">
        <v>0.107950301684691</v>
      </c>
      <c r="AO8" s="4">
        <v>4.2339328363986201E-7</v>
      </c>
      <c r="AP8" s="4">
        <v>0.48695943170838701</v>
      </c>
      <c r="AQ8" s="4">
        <v>0.16712581873926999</v>
      </c>
      <c r="AR8" s="4">
        <v>1.8994359721110399E-6</v>
      </c>
      <c r="AS8" s="4">
        <v>2187.7645781665301</v>
      </c>
      <c r="AT8" s="4">
        <v>197.91900077323001</v>
      </c>
      <c r="AU8" s="4">
        <v>14.9037828085927</v>
      </c>
      <c r="AV8" s="4">
        <v>5.5533419668678502E-2</v>
      </c>
      <c r="AW8" s="4">
        <v>3.9584079115498098E-2</v>
      </c>
      <c r="AX8" s="4">
        <v>5.0168311316071302E-5</v>
      </c>
      <c r="AY8" s="4">
        <v>0.61974717343855401</v>
      </c>
      <c r="AZ8" s="4">
        <v>0.50684120395614596</v>
      </c>
      <c r="BA8" s="4">
        <v>0.48729966166827299</v>
      </c>
      <c r="BB8" s="4">
        <v>0.39301651427244</v>
      </c>
      <c r="BC8" s="4">
        <v>0.19353776080679599</v>
      </c>
      <c r="BD8" s="4">
        <v>0.16310012728335799</v>
      </c>
      <c r="BE8" s="4" t="s">
        <v>75</v>
      </c>
      <c r="BF8" s="4">
        <v>1.0430857140731E-2</v>
      </c>
      <c r="BG8" s="4">
        <v>6.8764644760842404E-6</v>
      </c>
      <c r="BH8" s="4" t="s">
        <v>75</v>
      </c>
      <c r="BI8" s="4">
        <v>6.0098941055069903E-4</v>
      </c>
      <c r="BJ8" s="4">
        <v>9.0756703727260704E-7</v>
      </c>
      <c r="BK8" s="4">
        <v>279.20619292325398</v>
      </c>
      <c r="BL8" s="4">
        <v>24.8333013461584</v>
      </c>
      <c r="BM8" s="4">
        <v>5.7033979741709002</v>
      </c>
      <c r="BN8" s="4" t="s">
        <v>75</v>
      </c>
      <c r="BO8" s="4">
        <v>1.50348342217792E-2</v>
      </c>
      <c r="BP8" s="4">
        <v>3.6394410115062399E-2</v>
      </c>
      <c r="BQ8" s="4">
        <v>2.9946994596825198</v>
      </c>
      <c r="BR8" s="4">
        <v>0.58324927492018097</v>
      </c>
      <c r="BS8" s="4">
        <v>0.17650598179264301</v>
      </c>
      <c r="BT8" s="4" t="s">
        <v>75</v>
      </c>
      <c r="BU8" s="4">
        <v>1.7317949198678101E-2</v>
      </c>
      <c r="BV8" s="4">
        <v>1.7021107691461101E-2</v>
      </c>
    </row>
    <row r="9" spans="1:74">
      <c r="A9" t="s">
        <v>83</v>
      </c>
      <c r="B9" t="s">
        <v>81</v>
      </c>
      <c r="C9" s="4">
        <v>5.4958707981741198E-2</v>
      </c>
      <c r="D9" s="4">
        <v>4.65527476225569E-2</v>
      </c>
      <c r="E9" s="4">
        <v>4.5462391891120398E-2</v>
      </c>
      <c r="F9" s="4" t="s">
        <v>75</v>
      </c>
      <c r="G9" s="4">
        <v>0.19090404620277501</v>
      </c>
      <c r="H9" s="4">
        <v>0.593203522238966</v>
      </c>
      <c r="I9" s="4">
        <v>2.0458084731347599</v>
      </c>
      <c r="J9" s="4">
        <v>0.40439707133860198</v>
      </c>
      <c r="K9" s="4">
        <v>0.26737996104581602</v>
      </c>
      <c r="L9" s="4">
        <v>533.73280966895504</v>
      </c>
      <c r="M9" s="4">
        <v>49.809882969182503</v>
      </c>
      <c r="N9" s="4">
        <v>32.832754668302201</v>
      </c>
      <c r="O9" s="4">
        <v>5.11660467344889E-2</v>
      </c>
      <c r="P9" s="4">
        <v>6.4357521254660793E-2</v>
      </c>
      <c r="Q9" s="4">
        <v>5.1410809355421398E-5</v>
      </c>
      <c r="R9" s="4" t="s">
        <v>75</v>
      </c>
      <c r="S9" s="4">
        <v>0.29603898381535898</v>
      </c>
      <c r="T9" s="4">
        <v>0.88639952386842802</v>
      </c>
      <c r="U9" s="4">
        <v>48.9319056142024</v>
      </c>
      <c r="V9" s="4">
        <v>4.6152170744145904</v>
      </c>
      <c r="W9" s="4">
        <v>6.1772860163047802</v>
      </c>
      <c r="X9" s="4">
        <v>41.902409994573702</v>
      </c>
      <c r="Y9" s="4">
        <v>4.6325625326492501</v>
      </c>
      <c r="Z9" s="4">
        <v>9.30281266621183</v>
      </c>
      <c r="AA9" s="4">
        <v>7.9660757871989096</v>
      </c>
      <c r="AB9" s="4">
        <v>0.81977462905248999</v>
      </c>
      <c r="AC9" s="4">
        <v>0.11601373594513401</v>
      </c>
      <c r="AD9" s="4">
        <v>12.5959989195588</v>
      </c>
      <c r="AE9" s="4">
        <v>1.3117269023273199</v>
      </c>
      <c r="AF9" s="4">
        <v>0.28748156040683198</v>
      </c>
      <c r="AG9" s="4" t="s">
        <v>75</v>
      </c>
      <c r="AH9" s="4">
        <v>0.61558610266061498</v>
      </c>
      <c r="AI9" s="4">
        <v>3.13642383587095</v>
      </c>
      <c r="AJ9" s="4" t="s">
        <v>75</v>
      </c>
      <c r="AK9" s="4">
        <v>4.5939156966243999</v>
      </c>
      <c r="AL9" s="4">
        <v>11.156128458871599</v>
      </c>
      <c r="AM9" s="4" t="s">
        <v>75</v>
      </c>
      <c r="AN9" s="4">
        <v>2.3376474813412702E-3</v>
      </c>
      <c r="AO9" s="4">
        <v>3.7380113449597698E-7</v>
      </c>
      <c r="AP9" s="4">
        <v>0.47730956397117102</v>
      </c>
      <c r="AQ9" s="4">
        <v>0.116206291254721</v>
      </c>
      <c r="AR9" s="4">
        <v>1.68044928079039E-6</v>
      </c>
      <c r="AS9" s="4">
        <v>2171.2302839215099</v>
      </c>
      <c r="AT9" s="4">
        <v>116.509069425647</v>
      </c>
      <c r="AU9" s="4">
        <v>16.277050990385099</v>
      </c>
      <c r="AV9" s="4">
        <v>5.4027789858905703E-2</v>
      </c>
      <c r="AW9" s="4">
        <v>2.8129198037067499E-2</v>
      </c>
      <c r="AX9" s="4">
        <v>2.5512405632087599E-2</v>
      </c>
      <c r="AY9" s="4" t="s">
        <v>75</v>
      </c>
      <c r="AZ9" s="4">
        <v>0.33944647423042501</v>
      </c>
      <c r="BA9" s="4">
        <v>1.18048909134155</v>
      </c>
      <c r="BB9" s="4">
        <v>1.0352325722348701</v>
      </c>
      <c r="BC9" s="4">
        <v>0.29118155628644998</v>
      </c>
      <c r="BD9" s="4">
        <v>0.13885293257895101</v>
      </c>
      <c r="BE9" s="4" t="s">
        <v>75</v>
      </c>
      <c r="BF9" s="4">
        <v>7.6035269721340696E-3</v>
      </c>
      <c r="BG9" s="4">
        <v>6.0664574578685404E-6</v>
      </c>
      <c r="BH9" s="4" t="s">
        <v>75</v>
      </c>
      <c r="BI9" s="4">
        <v>4.42173724538156E-4</v>
      </c>
      <c r="BJ9" s="4">
        <v>8.0234079507996499E-7</v>
      </c>
      <c r="BK9" s="4">
        <v>222.74910254001699</v>
      </c>
      <c r="BL9" s="4">
        <v>14.9345812581185</v>
      </c>
      <c r="BM9" s="4">
        <v>4.0467039322714804</v>
      </c>
      <c r="BN9" s="4" t="s">
        <v>75</v>
      </c>
      <c r="BO9" s="4">
        <v>1.4980826074408499E-2</v>
      </c>
      <c r="BP9" s="4">
        <v>7.2634168501040902E-2</v>
      </c>
      <c r="BQ9" s="4">
        <v>2.6214376165926199</v>
      </c>
      <c r="BR9" s="4">
        <v>0.49251547708321702</v>
      </c>
      <c r="BS9" s="4">
        <v>0.29031414206573802</v>
      </c>
      <c r="BT9" s="4" t="s">
        <v>75</v>
      </c>
      <c r="BU9" s="4">
        <v>5.4795371500624204E-3</v>
      </c>
      <c r="BV9" s="4">
        <v>2.9054308726569202E-2</v>
      </c>
    </row>
    <row r="10" spans="1:74">
      <c r="A10" t="s">
        <v>84</v>
      </c>
      <c r="B10" t="s">
        <v>81</v>
      </c>
      <c r="C10" s="4">
        <v>0.18854514420679599</v>
      </c>
      <c r="D10" s="4">
        <v>7.4643220937092997E-2</v>
      </c>
      <c r="E10" s="4">
        <v>4.6246874419830997E-2</v>
      </c>
      <c r="F10" s="4" t="s">
        <v>75</v>
      </c>
      <c r="G10" s="4">
        <v>0.31013999795792102</v>
      </c>
      <c r="H10" s="4">
        <v>0.60387469700155005</v>
      </c>
      <c r="I10" s="4">
        <v>6.5608142972480099</v>
      </c>
      <c r="J10" s="4">
        <v>0.69819737209168697</v>
      </c>
      <c r="K10" s="4">
        <v>0.27123026539672102</v>
      </c>
      <c r="L10" s="4">
        <v>186.87193560627799</v>
      </c>
      <c r="M10" s="4">
        <v>27.510179563287199</v>
      </c>
      <c r="N10" s="4">
        <v>33.456568811426301</v>
      </c>
      <c r="O10" s="4">
        <v>1.3206381774831501E-2</v>
      </c>
      <c r="P10" s="4">
        <v>3.5838556472761102E-2</v>
      </c>
      <c r="Q10" s="4">
        <v>5.2468032853306203E-5</v>
      </c>
      <c r="R10" s="4" t="s">
        <v>75</v>
      </c>
      <c r="S10" s="4">
        <v>0.41311446495884102</v>
      </c>
      <c r="T10" s="4">
        <v>0.90541745772873505</v>
      </c>
      <c r="U10" s="4">
        <v>269.68163157006398</v>
      </c>
      <c r="V10" s="4">
        <v>66.866670453017804</v>
      </c>
      <c r="W10" s="4">
        <v>6.2974386167362404</v>
      </c>
      <c r="X10" s="4">
        <v>256.53933125790701</v>
      </c>
      <c r="Y10" s="4">
        <v>68.920337829605998</v>
      </c>
      <c r="Z10" s="4">
        <v>9.4890890903577496</v>
      </c>
      <c r="AA10" s="4">
        <v>189.292880803733</v>
      </c>
      <c r="AB10" s="4">
        <v>47.242434827588703</v>
      </c>
      <c r="AC10" s="4">
        <v>0.11845840066175201</v>
      </c>
      <c r="AD10" s="4">
        <v>37.953861563009298</v>
      </c>
      <c r="AE10" s="4">
        <v>9.07389853295793</v>
      </c>
      <c r="AF10" s="4">
        <v>0.29288775826166302</v>
      </c>
      <c r="AG10" s="4" t="s">
        <v>75</v>
      </c>
      <c r="AH10" s="4">
        <v>0.74936949488870497</v>
      </c>
      <c r="AI10" s="4">
        <v>3.1918409081234</v>
      </c>
      <c r="AJ10" s="4" t="s">
        <v>75</v>
      </c>
      <c r="AK10" s="4">
        <v>5.0834300127062697</v>
      </c>
      <c r="AL10" s="4">
        <v>11.342465388090201</v>
      </c>
      <c r="AM10" s="4" t="s">
        <v>75</v>
      </c>
      <c r="AN10" s="4">
        <v>2.5699909310407301E-3</v>
      </c>
      <c r="AO10" s="4">
        <v>3.8017617402316201E-7</v>
      </c>
      <c r="AP10" s="4">
        <v>1.4048135174796501</v>
      </c>
      <c r="AQ10" s="4">
        <v>0.35628240392279797</v>
      </c>
      <c r="AR10" s="4">
        <v>1.71292997245479E-6</v>
      </c>
      <c r="AS10" s="4">
        <v>2353.6025878978398</v>
      </c>
      <c r="AT10" s="4">
        <v>104.02401028775699</v>
      </c>
      <c r="AU10" s="4">
        <v>16.554653009697201</v>
      </c>
      <c r="AV10" s="4" t="s">
        <v>75</v>
      </c>
      <c r="AW10" s="4">
        <v>1.96064372220081E-2</v>
      </c>
      <c r="AX10" s="4">
        <v>2.5961579405798501E-2</v>
      </c>
      <c r="AY10" s="4" t="s">
        <v>75</v>
      </c>
      <c r="AZ10" s="4">
        <v>0.35211502180870802</v>
      </c>
      <c r="BA10" s="4">
        <v>1.2001919668321399</v>
      </c>
      <c r="BB10" s="4">
        <v>2.7481770190494399</v>
      </c>
      <c r="BC10" s="4">
        <v>0.87943501296787197</v>
      </c>
      <c r="BD10" s="4">
        <v>0.141203303084107</v>
      </c>
      <c r="BE10" s="4" t="s">
        <v>75</v>
      </c>
      <c r="BF10" s="4">
        <v>8.0858575825091608E-3</v>
      </c>
      <c r="BG10" s="4">
        <v>6.1648401153092396E-6</v>
      </c>
      <c r="BH10" s="4" t="s">
        <v>75</v>
      </c>
      <c r="BI10" s="4">
        <v>4.7342107296501399E-4</v>
      </c>
      <c r="BJ10" s="4">
        <v>8.1718536728963503E-7</v>
      </c>
      <c r="BK10" s="4">
        <v>261.03962233103402</v>
      </c>
      <c r="BL10" s="4">
        <v>19.185816432393</v>
      </c>
      <c r="BM10" s="4">
        <v>4.1311888264278096</v>
      </c>
      <c r="BN10" s="4" t="s">
        <v>75</v>
      </c>
      <c r="BO10" s="4">
        <v>1.7938256340355199E-2</v>
      </c>
      <c r="BP10" s="4">
        <v>7.3901768281882302E-2</v>
      </c>
      <c r="BQ10" s="4">
        <v>13.7060871648681</v>
      </c>
      <c r="BR10" s="4">
        <v>4.7318667011582001</v>
      </c>
      <c r="BS10" s="4">
        <v>0.29489440832824398</v>
      </c>
      <c r="BT10" s="4" t="s">
        <v>75</v>
      </c>
      <c r="BU10" s="4">
        <v>1.1225823386829901E-2</v>
      </c>
      <c r="BV10" s="4">
        <v>2.9571550296487299E-2</v>
      </c>
    </row>
    <row r="11" spans="1:74">
      <c r="A11" t="s">
        <v>85</v>
      </c>
      <c r="B11" t="s">
        <v>81</v>
      </c>
      <c r="C11" s="4" t="s">
        <v>75</v>
      </c>
      <c r="D11" s="4">
        <v>3.0987406726213602E-2</v>
      </c>
      <c r="E11" s="4">
        <v>0.112921386807306</v>
      </c>
      <c r="F11" s="4" t="s">
        <v>75</v>
      </c>
      <c r="G11" s="4">
        <v>0.34645846826499599</v>
      </c>
      <c r="H11" s="4">
        <v>1.40062487681032</v>
      </c>
      <c r="I11" s="4">
        <v>42.091436954787902</v>
      </c>
      <c r="J11" s="4">
        <v>2.9254980510490398</v>
      </c>
      <c r="K11" s="4">
        <v>0.59112869768682097</v>
      </c>
      <c r="L11" s="4">
        <v>19.1973577810063</v>
      </c>
      <c r="M11" s="4">
        <v>12.077778772912399</v>
      </c>
      <c r="N11" s="4">
        <v>15.8659682329547</v>
      </c>
      <c r="O11" s="4" t="s">
        <v>75</v>
      </c>
      <c r="P11" s="4">
        <v>5.3745493984326903E-2</v>
      </c>
      <c r="Q11" s="4">
        <v>9.8446447077813401E-2</v>
      </c>
      <c r="R11" s="4" t="s">
        <v>75</v>
      </c>
      <c r="S11" s="4">
        <v>0.29209237251168901</v>
      </c>
      <c r="T11" s="4">
        <v>1.18378858240012</v>
      </c>
      <c r="U11" s="4">
        <v>194.95307323842999</v>
      </c>
      <c r="V11" s="4">
        <v>12.5771112910622</v>
      </c>
      <c r="W11" s="4">
        <v>4.7067792188210698</v>
      </c>
      <c r="X11" s="4">
        <v>200.626456633744</v>
      </c>
      <c r="Y11" s="4">
        <v>13.205377725989599</v>
      </c>
      <c r="Z11" s="4">
        <v>6.3305814800114799</v>
      </c>
      <c r="AA11" s="4">
        <v>177.73480842537001</v>
      </c>
      <c r="AB11" s="4">
        <v>13.5305016352644</v>
      </c>
      <c r="AC11" s="4">
        <v>0.29039106476632598</v>
      </c>
      <c r="AD11" s="4">
        <v>3.82886704113566</v>
      </c>
      <c r="AE11" s="4">
        <v>0.60226011311080496</v>
      </c>
      <c r="AF11" s="4">
        <v>0.53713677844341101</v>
      </c>
      <c r="AG11" s="4">
        <v>2.10473885782012</v>
      </c>
      <c r="AH11" s="4">
        <v>0.64941276393770198</v>
      </c>
      <c r="AI11" s="4">
        <v>1.4707963796021599</v>
      </c>
      <c r="AJ11" s="4" t="s">
        <v>75</v>
      </c>
      <c r="AK11" s="4">
        <v>5.1674697919392596</v>
      </c>
      <c r="AL11" s="4">
        <v>18.446469034490999</v>
      </c>
      <c r="AM11" s="4" t="s">
        <v>75</v>
      </c>
      <c r="AN11" s="4">
        <v>2.4616888214095598E-3</v>
      </c>
      <c r="AO11" s="4">
        <v>0.256648580297902</v>
      </c>
      <c r="AP11" s="4">
        <v>0.99648800396952397</v>
      </c>
      <c r="AQ11" s="4">
        <v>0.18457703849651599</v>
      </c>
      <c r="AR11" s="4">
        <v>0.16737699838228701</v>
      </c>
      <c r="AS11" s="4">
        <v>1868.9694146358499</v>
      </c>
      <c r="AT11" s="4">
        <v>114.805583591291</v>
      </c>
      <c r="AU11" s="4">
        <v>12.652889359437999</v>
      </c>
      <c r="AV11" s="4">
        <v>3.22927140141688</v>
      </c>
      <c r="AW11" s="4">
        <v>0.17063756096354801</v>
      </c>
      <c r="AX11" s="4">
        <v>6.3386987790119101E-2</v>
      </c>
      <c r="AY11" s="4">
        <v>15.7946543416863</v>
      </c>
      <c r="AZ11" s="4">
        <v>1.42897873533233</v>
      </c>
      <c r="BA11" s="4">
        <v>1.4162551742831</v>
      </c>
      <c r="BB11" s="4">
        <v>0.26641504330952898</v>
      </c>
      <c r="BC11" s="4">
        <v>0.124315483339224</v>
      </c>
      <c r="BD11" s="4">
        <v>0.23859092083269301</v>
      </c>
      <c r="BE11" s="4" t="s">
        <v>75</v>
      </c>
      <c r="BF11" s="4">
        <v>7.9449434042879602E-3</v>
      </c>
      <c r="BG11" s="4">
        <v>5.7998473661944203E-6</v>
      </c>
      <c r="BH11" s="4" t="s">
        <v>75</v>
      </c>
      <c r="BI11" s="4">
        <v>4.5555955597217798E-4</v>
      </c>
      <c r="BJ11" s="4">
        <v>7.7061819028815796E-7</v>
      </c>
      <c r="BK11" s="4">
        <v>191.45664715462499</v>
      </c>
      <c r="BL11" s="4">
        <v>9.6980874540440301</v>
      </c>
      <c r="BM11" s="4">
        <v>3.0925453569245498</v>
      </c>
      <c r="BN11" s="4" t="s">
        <v>75</v>
      </c>
      <c r="BO11" s="4">
        <v>1.8595274512019401E-2</v>
      </c>
      <c r="BP11" s="4">
        <v>3.9144477395667898E-2</v>
      </c>
      <c r="BQ11" s="4">
        <v>3.7356445228436401</v>
      </c>
      <c r="BR11" s="4">
        <v>0.65283824634891996</v>
      </c>
      <c r="BS11" s="4">
        <v>0.46218468315112898</v>
      </c>
      <c r="BT11" s="4" t="s">
        <v>75</v>
      </c>
      <c r="BU11" s="4">
        <v>1.39823996086018E-2</v>
      </c>
      <c r="BV11" s="4">
        <v>2.2116924363985799E-2</v>
      </c>
    </row>
    <row r="12" spans="1:74">
      <c r="A12" t="s">
        <v>86</v>
      </c>
      <c r="B12" t="s">
        <v>81</v>
      </c>
      <c r="C12" s="4">
        <v>7.7897049734853702E-2</v>
      </c>
      <c r="D12" s="4">
        <v>4.3105414969619497E-2</v>
      </c>
      <c r="E12" s="4">
        <v>3.1571949626071003E-2</v>
      </c>
      <c r="F12" s="4" t="s">
        <v>75</v>
      </c>
      <c r="G12" s="4">
        <v>0.39837348871296901</v>
      </c>
      <c r="H12" s="4">
        <v>1.2998391190328</v>
      </c>
      <c r="I12" s="4">
        <v>53.336618041340301</v>
      </c>
      <c r="J12" s="4">
        <v>4.5739239525200102</v>
      </c>
      <c r="K12" s="4">
        <v>0.39322498308699899</v>
      </c>
      <c r="L12" s="4" t="s">
        <v>75</v>
      </c>
      <c r="M12" s="4">
        <v>9.1363844233839107</v>
      </c>
      <c r="N12" s="4">
        <v>21.262650203438401</v>
      </c>
      <c r="O12" s="4" t="s">
        <v>75</v>
      </c>
      <c r="P12" s="4">
        <v>4.77621656227235E-2</v>
      </c>
      <c r="Q12" s="4">
        <v>0.16527424068400601</v>
      </c>
      <c r="R12" s="4" t="s">
        <v>75</v>
      </c>
      <c r="S12" s="4">
        <v>0.25271938978956099</v>
      </c>
      <c r="T12" s="4">
        <v>0.87448876309163104</v>
      </c>
      <c r="U12" s="4">
        <v>245.99679991755599</v>
      </c>
      <c r="V12" s="4">
        <v>19.831170651472998</v>
      </c>
      <c r="W12" s="4">
        <v>4.4651650391036997</v>
      </c>
      <c r="X12" s="4">
        <v>241.82340699271899</v>
      </c>
      <c r="Y12" s="4">
        <v>19.597897388826599</v>
      </c>
      <c r="Z12" s="4">
        <v>3.9477983196883102</v>
      </c>
      <c r="AA12" s="4">
        <v>237.87071409959</v>
      </c>
      <c r="AB12" s="4">
        <v>17.642933819730601</v>
      </c>
      <c r="AC12" s="4">
        <v>0.10862647157081901</v>
      </c>
      <c r="AD12" s="4">
        <v>7.4816174143533498</v>
      </c>
      <c r="AE12" s="4">
        <v>1.3518346995345301</v>
      </c>
      <c r="AF12" s="4">
        <v>0.16705486434054201</v>
      </c>
      <c r="AG12" s="4">
        <v>7.0302070093815798</v>
      </c>
      <c r="AH12" s="4">
        <v>1.3357376052404399</v>
      </c>
      <c r="AI12" s="4">
        <v>1.42162980129072</v>
      </c>
      <c r="AJ12" s="4" t="s">
        <v>75</v>
      </c>
      <c r="AK12" s="4">
        <v>3.51614373383046</v>
      </c>
      <c r="AL12" s="4">
        <v>11.0104952267559</v>
      </c>
      <c r="AM12" s="4" t="s">
        <v>75</v>
      </c>
      <c r="AN12" s="4">
        <v>2.1139579393301801E-3</v>
      </c>
      <c r="AO12" s="4">
        <v>5.4201655179003405E-7</v>
      </c>
      <c r="AP12" s="4">
        <v>1.6561692158938399</v>
      </c>
      <c r="AQ12" s="4">
        <v>0.36307480124287</v>
      </c>
      <c r="AR12" s="4">
        <v>0.10006452143352999</v>
      </c>
      <c r="AS12" s="4">
        <v>1996.1830720948201</v>
      </c>
      <c r="AT12" s="4">
        <v>151.67491802223</v>
      </c>
      <c r="AU12" s="4">
        <v>8.5542691431152598</v>
      </c>
      <c r="AV12" s="4">
        <v>2.4369626753766598</v>
      </c>
      <c r="AW12" s="4">
        <v>0.24637018890142101</v>
      </c>
      <c r="AX12" s="4">
        <v>3.9201263371527399E-2</v>
      </c>
      <c r="AY12" s="4">
        <v>10.3060016429062</v>
      </c>
      <c r="AZ12" s="4">
        <v>1.16762236467134</v>
      </c>
      <c r="BA12" s="4">
        <v>0.84682774121080595</v>
      </c>
      <c r="BB12" s="4">
        <v>0.65079169649500201</v>
      </c>
      <c r="BC12" s="4">
        <v>0.22886967709175501</v>
      </c>
      <c r="BD12" s="4">
        <v>0.115851358481981</v>
      </c>
      <c r="BE12" s="4" t="s">
        <v>75</v>
      </c>
      <c r="BF12" s="4">
        <v>6.9590542523165003E-3</v>
      </c>
      <c r="BG12" s="4">
        <v>8.7746218027466595E-6</v>
      </c>
      <c r="BH12" s="4" t="s">
        <v>75</v>
      </c>
      <c r="BI12" s="4">
        <v>4.0606536495418102E-4</v>
      </c>
      <c r="BJ12" s="4">
        <v>1.16822779323048E-6</v>
      </c>
      <c r="BK12" s="4">
        <v>195.73759492589701</v>
      </c>
      <c r="BL12" s="4">
        <v>12.141782662091201</v>
      </c>
      <c r="BM12" s="4">
        <v>4.9707050275673303</v>
      </c>
      <c r="BN12" s="4" t="s">
        <v>75</v>
      </c>
      <c r="BO12" s="4">
        <v>2.3548683644942701E-2</v>
      </c>
      <c r="BP12" s="4">
        <v>4.2731202193215301E-2</v>
      </c>
      <c r="BQ12" s="4">
        <v>7.1445055976242502</v>
      </c>
      <c r="BR12" s="4">
        <v>0.73469742736281596</v>
      </c>
      <c r="BS12" s="4">
        <v>0.78601806601313096</v>
      </c>
      <c r="BT12" s="4" t="s">
        <v>75</v>
      </c>
      <c r="BU12" s="4">
        <v>9.1344977015605094E-3</v>
      </c>
      <c r="BV12" s="4">
        <v>2.2322298559261499E-2</v>
      </c>
    </row>
    <row r="13" spans="1:74">
      <c r="A13" t="s">
        <v>87</v>
      </c>
      <c r="B13" t="s">
        <v>81</v>
      </c>
      <c r="C13" s="4">
        <v>7.6081773186639001E-2</v>
      </c>
      <c r="D13" s="4">
        <v>5.7781401486817E-2</v>
      </c>
      <c r="E13" s="4">
        <v>1.36945882947791E-5</v>
      </c>
      <c r="F13" s="4" t="s">
        <v>75</v>
      </c>
      <c r="G13" s="4">
        <v>0.74457624533158595</v>
      </c>
      <c r="H13" s="4">
        <v>1.0181707357379099</v>
      </c>
      <c r="I13" s="4">
        <v>2.9342608963622299</v>
      </c>
      <c r="J13" s="4">
        <v>0.66002134758653697</v>
      </c>
      <c r="K13" s="4">
        <v>0.53706378958796996</v>
      </c>
      <c r="L13" s="4">
        <v>502.734144517625</v>
      </c>
      <c r="M13" s="4">
        <v>37.260381084814099</v>
      </c>
      <c r="N13" s="4">
        <v>20.5804427790682</v>
      </c>
      <c r="O13" s="4" t="s">
        <v>75</v>
      </c>
      <c r="P13" s="4">
        <v>4.62914352227346E-2</v>
      </c>
      <c r="Q13" s="4">
        <v>0.13282926857297001</v>
      </c>
      <c r="R13" s="4" t="s">
        <v>75</v>
      </c>
      <c r="S13" s="4">
        <v>0.246312467409255</v>
      </c>
      <c r="T13" s="4">
        <v>1.23537462089734</v>
      </c>
      <c r="U13" s="4">
        <v>53.958708648454099</v>
      </c>
      <c r="V13" s="4">
        <v>7.1694182393106001</v>
      </c>
      <c r="W13" s="4">
        <v>5.7716307510608296</v>
      </c>
      <c r="X13" s="4">
        <v>55.785202085582597</v>
      </c>
      <c r="Y13" s="4">
        <v>3.6075403812615701</v>
      </c>
      <c r="Z13" s="4">
        <v>6.0332859142542397</v>
      </c>
      <c r="AA13" s="4">
        <v>13.5412121362041</v>
      </c>
      <c r="AB13" s="4">
        <v>1.45815069316658</v>
      </c>
      <c r="AC13" s="4">
        <v>0.20158549418931301</v>
      </c>
      <c r="AD13" s="4">
        <v>15.9199842963748</v>
      </c>
      <c r="AE13" s="4">
        <v>1.7506187257692301</v>
      </c>
      <c r="AF13" s="4">
        <v>0.17222690123936499</v>
      </c>
      <c r="AG13" s="4" t="s">
        <v>75</v>
      </c>
      <c r="AH13" s="4">
        <v>1.02636384443307</v>
      </c>
      <c r="AI13" s="4">
        <v>2.6831675041422001</v>
      </c>
      <c r="AJ13" s="4" t="s">
        <v>75</v>
      </c>
      <c r="AK13" s="4">
        <v>4.6487677274249402</v>
      </c>
      <c r="AL13" s="4">
        <v>15.380146534910001</v>
      </c>
      <c r="AM13" s="4">
        <v>1.58019212485353</v>
      </c>
      <c r="AN13" s="4">
        <v>1.31825115060729</v>
      </c>
      <c r="AO13" s="4">
        <v>0.16810895518170199</v>
      </c>
      <c r="AP13" s="4">
        <v>0.60874618990790896</v>
      </c>
      <c r="AQ13" s="4">
        <v>0.17868270961923799</v>
      </c>
      <c r="AR13" s="4">
        <v>2.0837298740117299E-6</v>
      </c>
      <c r="AS13" s="4">
        <v>2008.0648150730201</v>
      </c>
      <c r="AT13" s="4">
        <v>147.99929266349699</v>
      </c>
      <c r="AU13" s="4">
        <v>12.566427933507899</v>
      </c>
      <c r="AV13" s="4">
        <v>0.13687121779582201</v>
      </c>
      <c r="AW13" s="4">
        <v>6.3147136650459096E-2</v>
      </c>
      <c r="AX13" s="4">
        <v>4.4426444777840197E-2</v>
      </c>
      <c r="AY13" s="4">
        <v>1.5234500787255301</v>
      </c>
      <c r="AZ13" s="4">
        <v>0.53252244925780801</v>
      </c>
      <c r="BA13" s="4">
        <v>1.00546319094919</v>
      </c>
      <c r="BB13" s="4">
        <v>1.9243095281668701</v>
      </c>
      <c r="BC13" s="4">
        <v>0.29852333140676401</v>
      </c>
      <c r="BD13" s="4">
        <v>8.0340414436081906E-2</v>
      </c>
      <c r="BE13" s="4" t="s">
        <v>75</v>
      </c>
      <c r="BF13" s="4">
        <v>9.5942366892801893E-3</v>
      </c>
      <c r="BG13" s="4">
        <v>7.4333688640374901E-6</v>
      </c>
      <c r="BH13" s="4" t="s">
        <v>75</v>
      </c>
      <c r="BI13" s="4">
        <v>5.5276389216896301E-4</v>
      </c>
      <c r="BJ13" s="4">
        <v>9.9164591481624104E-7</v>
      </c>
      <c r="BK13" s="4">
        <v>238.937086484959</v>
      </c>
      <c r="BL13" s="4">
        <v>24.929847076635198</v>
      </c>
      <c r="BM13" s="4">
        <v>4.5287839871881497</v>
      </c>
      <c r="BN13" s="4" t="s">
        <v>75</v>
      </c>
      <c r="BO13" s="4">
        <v>1.6379528437618002E-2</v>
      </c>
      <c r="BP13" s="4">
        <v>4.3643271785099601E-2</v>
      </c>
      <c r="BQ13" s="4">
        <v>61.819140206201801</v>
      </c>
      <c r="BR13" s="4">
        <v>45.533103102743603</v>
      </c>
      <c r="BS13" s="4">
        <v>0.188650208785624</v>
      </c>
      <c r="BT13" s="4">
        <v>0.16152384447081</v>
      </c>
      <c r="BU13" s="4">
        <v>0.114836737261254</v>
      </c>
      <c r="BV13" s="4">
        <v>1.7368826385214E-2</v>
      </c>
    </row>
    <row r="14" spans="1:74">
      <c r="A14" t="s">
        <v>88</v>
      </c>
      <c r="B14" t="s">
        <v>81</v>
      </c>
      <c r="C14" s="4">
        <v>1.8987770437317499</v>
      </c>
      <c r="D14" s="4">
        <v>0.40301364770543502</v>
      </c>
      <c r="E14" s="4">
        <v>9.4535100302562902E-2</v>
      </c>
      <c r="F14" s="4" t="s">
        <v>75</v>
      </c>
      <c r="G14" s="4">
        <v>0.39725468004152997</v>
      </c>
      <c r="H14" s="4">
        <v>1.17088971364169</v>
      </c>
      <c r="I14" s="4">
        <v>33.687643174469002</v>
      </c>
      <c r="J14" s="4">
        <v>2.77475287576745</v>
      </c>
      <c r="K14" s="4">
        <v>0.50782628099296601</v>
      </c>
      <c r="L14" s="4">
        <v>156.02098994860799</v>
      </c>
      <c r="M14" s="4">
        <v>23.5232799744937</v>
      </c>
      <c r="N14" s="4">
        <v>31.958307836426801</v>
      </c>
      <c r="O14" s="4" t="s">
        <v>75</v>
      </c>
      <c r="P14" s="4">
        <v>9.0084651024477505E-2</v>
      </c>
      <c r="Q14" s="4">
        <v>0.16408130077968899</v>
      </c>
      <c r="R14" s="4" t="s">
        <v>75</v>
      </c>
      <c r="S14" s="4">
        <v>0.381667857057164</v>
      </c>
      <c r="T14" s="4">
        <v>0.88857558885186805</v>
      </c>
      <c r="U14" s="4">
        <v>456.347880150077</v>
      </c>
      <c r="V14" s="4">
        <v>34.308104571923899</v>
      </c>
      <c r="W14" s="4">
        <v>6.1283615249332</v>
      </c>
      <c r="X14" s="4">
        <v>457.62382980286498</v>
      </c>
      <c r="Y14" s="4">
        <v>34.991371689981399</v>
      </c>
      <c r="Z14" s="4">
        <v>8.6216507951038199</v>
      </c>
      <c r="AA14" s="4">
        <v>249.41754854201599</v>
      </c>
      <c r="AB14" s="4">
        <v>20.5411996709812</v>
      </c>
      <c r="AC14" s="4">
        <v>0.30109537382981</v>
      </c>
      <c r="AD14" s="4">
        <v>36.777231599622297</v>
      </c>
      <c r="AE14" s="4">
        <v>3.2222947611541501</v>
      </c>
      <c r="AF14" s="4">
        <v>0.97225399759023001</v>
      </c>
      <c r="AG14" s="4">
        <v>28.596297438540098</v>
      </c>
      <c r="AH14" s="4">
        <v>3.77475592688352</v>
      </c>
      <c r="AI14" s="4">
        <v>2.1343992562059801</v>
      </c>
      <c r="AJ14" s="4" t="s">
        <v>75</v>
      </c>
      <c r="AK14" s="4">
        <v>5.4438531247182196</v>
      </c>
      <c r="AL14" s="4">
        <v>15.6874710891241</v>
      </c>
      <c r="AM14" s="4" t="s">
        <v>75</v>
      </c>
      <c r="AN14" s="4">
        <v>0.15743255994517599</v>
      </c>
      <c r="AO14" s="4">
        <v>0.15643034972474501</v>
      </c>
      <c r="AP14" s="4">
        <v>6.24252545639676</v>
      </c>
      <c r="AQ14" s="4">
        <v>0.76200410039215305</v>
      </c>
      <c r="AR14" s="4">
        <v>5.3500908858971803E-2</v>
      </c>
      <c r="AS14" s="4">
        <v>2339.0435197953602</v>
      </c>
      <c r="AT14" s="4">
        <v>164.212708369442</v>
      </c>
      <c r="AU14" s="4">
        <v>7.5915694093675503</v>
      </c>
      <c r="AV14" s="4">
        <v>2.7003001805090001</v>
      </c>
      <c r="AW14" s="4">
        <v>0.36225579427422899</v>
      </c>
      <c r="AX14" s="4">
        <v>6.4926024372295305E-2</v>
      </c>
      <c r="AY14" s="4">
        <v>20.459426400171299</v>
      </c>
      <c r="AZ14" s="4">
        <v>2.8808160565616099</v>
      </c>
      <c r="BA14" s="4">
        <v>1.0317013450288901</v>
      </c>
      <c r="BB14" s="4">
        <v>35.645753839584799</v>
      </c>
      <c r="BC14" s="4">
        <v>3.5042830083369001</v>
      </c>
      <c r="BD14" s="4">
        <v>0.170592423824522</v>
      </c>
      <c r="BE14" s="4" t="s">
        <v>75</v>
      </c>
      <c r="BF14" s="4">
        <v>9.4156434698014092E-3</v>
      </c>
      <c r="BG14" s="4">
        <v>1.2248809619966199E-5</v>
      </c>
      <c r="BH14" s="4" t="s">
        <v>75</v>
      </c>
      <c r="BI14" s="4">
        <v>5.1109771530326905E-4</v>
      </c>
      <c r="BJ14" s="4">
        <v>1.6934174666744801E-6</v>
      </c>
      <c r="BK14" s="4">
        <v>494.56669551200901</v>
      </c>
      <c r="BL14" s="4">
        <v>34.099265371221897</v>
      </c>
      <c r="BM14" s="4">
        <v>6.2396323147449904</v>
      </c>
      <c r="BN14" s="4" t="s">
        <v>75</v>
      </c>
      <c r="BO14" s="4">
        <v>2.06719327360959E-2</v>
      </c>
      <c r="BP14" s="4">
        <v>3.9915294019853602E-2</v>
      </c>
      <c r="BQ14" s="4">
        <v>59.073114839750701</v>
      </c>
      <c r="BR14" s="4">
        <v>8.8199176792026606</v>
      </c>
      <c r="BS14" s="4">
        <v>0.15841953744089199</v>
      </c>
      <c r="BT14" s="4" t="s">
        <v>75</v>
      </c>
      <c r="BU14" s="4">
        <v>1.33745995530289E-2</v>
      </c>
      <c r="BV14" s="4">
        <v>4.2827464351615101E-2</v>
      </c>
    </row>
    <row r="15" spans="1:74">
      <c r="A15" t="s">
        <v>89</v>
      </c>
      <c r="B15" t="s">
        <v>81</v>
      </c>
      <c r="C15" s="4" t="s">
        <v>75</v>
      </c>
      <c r="D15" s="4">
        <v>1.49096586669682E-2</v>
      </c>
      <c r="E15" s="4">
        <v>9.0754429914362805E-2</v>
      </c>
      <c r="F15" s="4" t="s">
        <v>75</v>
      </c>
      <c r="G15" s="4">
        <v>0.38175935810379902</v>
      </c>
      <c r="H15" s="4">
        <v>1.12420130368889</v>
      </c>
      <c r="I15" s="4">
        <v>33.949355025812999</v>
      </c>
      <c r="J15" s="4">
        <v>2.7043598058217202</v>
      </c>
      <c r="K15" s="4">
        <v>0.48588887881721099</v>
      </c>
      <c r="L15" s="4" t="s">
        <v>75</v>
      </c>
      <c r="M15" s="4">
        <v>9.4753098146784094</v>
      </c>
      <c r="N15" s="4">
        <v>30.751491836096399</v>
      </c>
      <c r="O15" s="4" t="s">
        <v>75</v>
      </c>
      <c r="P15" s="4">
        <v>5.4390577612072798E-2</v>
      </c>
      <c r="Q15" s="4">
        <v>0.15797040705287901</v>
      </c>
      <c r="R15" s="4" t="s">
        <v>75</v>
      </c>
      <c r="S15" s="4">
        <v>0.41414936611354702</v>
      </c>
      <c r="T15" s="4">
        <v>0.85637729604853996</v>
      </c>
      <c r="U15" s="4">
        <v>301.13648950592398</v>
      </c>
      <c r="V15" s="4">
        <v>32.762551657230098</v>
      </c>
      <c r="W15" s="4">
        <v>5.8958977738234903</v>
      </c>
      <c r="X15" s="4">
        <v>293.30186835578399</v>
      </c>
      <c r="Y15" s="4">
        <v>23.741961369420402</v>
      </c>
      <c r="Z15" s="4">
        <v>8.2970475483054607</v>
      </c>
      <c r="AA15" s="4">
        <v>206.785359426518</v>
      </c>
      <c r="AB15" s="4">
        <v>16.812900404758398</v>
      </c>
      <c r="AC15" s="4">
        <v>0.29031125477883302</v>
      </c>
      <c r="AD15" s="4">
        <v>34.046024807172699</v>
      </c>
      <c r="AE15" s="4">
        <v>6.2949686912593696</v>
      </c>
      <c r="AF15" s="4">
        <v>0.93505422209419498</v>
      </c>
      <c r="AG15" s="4" t="s">
        <v>75</v>
      </c>
      <c r="AH15" s="4">
        <v>0.50518152095983104</v>
      </c>
      <c r="AI15" s="4">
        <v>2.0519393083783002</v>
      </c>
      <c r="AJ15" s="4" t="s">
        <v>75</v>
      </c>
      <c r="AK15" s="4">
        <v>6.0968580203828102</v>
      </c>
      <c r="AL15" s="4">
        <v>15.0573947505984</v>
      </c>
      <c r="AM15" s="4" t="s">
        <v>75</v>
      </c>
      <c r="AN15" s="4">
        <v>3.2218806898750801E-3</v>
      </c>
      <c r="AO15" s="4">
        <v>0.15020909735013799</v>
      </c>
      <c r="AP15" s="4">
        <v>1.73321338518138</v>
      </c>
      <c r="AQ15" s="4">
        <v>0.270783111941864</v>
      </c>
      <c r="AR15" s="4">
        <v>5.1487669180398599E-2</v>
      </c>
      <c r="AS15" s="4">
        <v>1473.21411521654</v>
      </c>
      <c r="AT15" s="4">
        <v>109.63480831937299</v>
      </c>
      <c r="AU15" s="4">
        <v>7.2882422542346701</v>
      </c>
      <c r="AV15" s="4">
        <v>4.53893057404541</v>
      </c>
      <c r="AW15" s="4">
        <v>0.53773193181579704</v>
      </c>
      <c r="AX15" s="4">
        <v>6.23439738583524E-2</v>
      </c>
      <c r="AY15" s="4">
        <v>12.859049302611901</v>
      </c>
      <c r="AZ15" s="4">
        <v>3.6278831284123001</v>
      </c>
      <c r="BA15" s="4">
        <v>0.98990978911545402</v>
      </c>
      <c r="BB15" s="4">
        <v>0.49669465224215298</v>
      </c>
      <c r="BC15" s="4">
        <v>0.19448152365770299</v>
      </c>
      <c r="BD15" s="4">
        <v>0.163772574924063</v>
      </c>
      <c r="BE15" s="4" t="s">
        <v>75</v>
      </c>
      <c r="BF15" s="4">
        <v>1.10815274467798E-2</v>
      </c>
      <c r="BG15" s="4">
        <v>1.1754287759764799E-5</v>
      </c>
      <c r="BH15" s="4" t="s">
        <v>75</v>
      </c>
      <c r="BI15" s="4">
        <v>5.8530426934590802E-4</v>
      </c>
      <c r="BJ15" s="4">
        <v>1.62675204894431E-6</v>
      </c>
      <c r="BK15" s="4">
        <v>266.23151195989698</v>
      </c>
      <c r="BL15" s="4">
        <v>27.8260626894929</v>
      </c>
      <c r="BM15" s="4">
        <v>6.0237705988999704</v>
      </c>
      <c r="BN15" s="4" t="s">
        <v>75</v>
      </c>
      <c r="BO15" s="4">
        <v>1.5945261839174499E-2</v>
      </c>
      <c r="BP15" s="4">
        <v>3.8332842997028403E-2</v>
      </c>
      <c r="BQ15" s="4">
        <v>3.7289986272238602</v>
      </c>
      <c r="BR15" s="4">
        <v>0.57618281340926603</v>
      </c>
      <c r="BS15" s="4">
        <v>0.151762423108247</v>
      </c>
      <c r="BT15" s="4" t="s">
        <v>75</v>
      </c>
      <c r="BU15" s="4">
        <v>2.2933293549307301E-2</v>
      </c>
      <c r="BV15" s="4">
        <v>4.1123245975489699E-2</v>
      </c>
    </row>
    <row r="16" spans="1:74">
      <c r="A16" t="s">
        <v>90</v>
      </c>
      <c r="B16" t="s">
        <v>81</v>
      </c>
      <c r="C16" s="4" t="s">
        <v>75</v>
      </c>
      <c r="D16" s="4">
        <v>2.81699841282031E-2</v>
      </c>
      <c r="E16" s="4">
        <v>0.109076288915342</v>
      </c>
      <c r="F16" s="4" t="s">
        <v>75</v>
      </c>
      <c r="G16" s="4">
        <v>0.42606123057082701</v>
      </c>
      <c r="H16" s="4">
        <v>0.99622147705804798</v>
      </c>
      <c r="I16" s="4">
        <v>33.920918304140798</v>
      </c>
      <c r="J16" s="4">
        <v>3.3096434081997099</v>
      </c>
      <c r="K16" s="4">
        <v>0.37972844281375001</v>
      </c>
      <c r="L16" s="4" t="s">
        <v>75</v>
      </c>
      <c r="M16" s="4">
        <v>15.980437492970699</v>
      </c>
      <c r="N16" s="4">
        <v>23.482839378372599</v>
      </c>
      <c r="O16" s="4" t="s">
        <v>75</v>
      </c>
      <c r="P16" s="4">
        <v>5.44871999160551E-2</v>
      </c>
      <c r="Q16" s="4">
        <v>0.154369348635465</v>
      </c>
      <c r="R16" s="4" t="s">
        <v>75</v>
      </c>
      <c r="S16" s="4">
        <v>0.420088273368181</v>
      </c>
      <c r="T16" s="4">
        <v>0.80346925577583295</v>
      </c>
      <c r="U16" s="4">
        <v>355.58238220643699</v>
      </c>
      <c r="V16" s="4">
        <v>35.510805184528301</v>
      </c>
      <c r="W16" s="4">
        <v>5.6314006983531701</v>
      </c>
      <c r="X16" s="4">
        <v>361.24758252029102</v>
      </c>
      <c r="Y16" s="4">
        <v>26.0936643739748</v>
      </c>
      <c r="Z16" s="4">
        <v>8.1238551648791599</v>
      </c>
      <c r="AA16" s="4">
        <v>322.61721007270802</v>
      </c>
      <c r="AB16" s="4">
        <v>28.595731129828199</v>
      </c>
      <c r="AC16" s="4">
        <v>0.229727009546982</v>
      </c>
      <c r="AD16" s="4">
        <v>27.555993222034498</v>
      </c>
      <c r="AE16" s="4">
        <v>4.3771279451076097</v>
      </c>
      <c r="AF16" s="4">
        <v>0.33218112523732302</v>
      </c>
      <c r="AG16" s="4">
        <v>7.3850268468564799</v>
      </c>
      <c r="AH16" s="4">
        <v>2.0151296226428199</v>
      </c>
      <c r="AI16" s="4">
        <v>1.59548263660124</v>
      </c>
      <c r="AJ16" s="4" t="s">
        <v>75</v>
      </c>
      <c r="AK16" s="4">
        <v>5.5697363669920597</v>
      </c>
      <c r="AL16" s="4">
        <v>13.2724908825121</v>
      </c>
      <c r="AM16" s="4" t="s">
        <v>75</v>
      </c>
      <c r="AN16" s="4">
        <v>7.1461639786941894E-2</v>
      </c>
      <c r="AO16" s="4">
        <v>8.8409420219067598E-7</v>
      </c>
      <c r="AP16" s="4">
        <v>1.3663883389554501</v>
      </c>
      <c r="AQ16" s="4">
        <v>0.31418090898268602</v>
      </c>
      <c r="AR16" s="4">
        <v>4.2066296427370104E-6</v>
      </c>
      <c r="AS16" s="4">
        <v>1673.4877383886101</v>
      </c>
      <c r="AT16" s="4">
        <v>109.899539608621</v>
      </c>
      <c r="AU16" s="4">
        <v>11.514619383690199</v>
      </c>
      <c r="AV16" s="4">
        <v>1.6884561972319601</v>
      </c>
      <c r="AW16" s="4">
        <v>0.21911976293982399</v>
      </c>
      <c r="AX16" s="4">
        <v>2.1958539897332902E-2</v>
      </c>
      <c r="AY16" s="4">
        <v>5.07841546917681</v>
      </c>
      <c r="AZ16" s="4">
        <v>0.89356231355465099</v>
      </c>
      <c r="BA16" s="4">
        <v>0.87443471178190701</v>
      </c>
      <c r="BB16" s="4">
        <v>0.97641647880164895</v>
      </c>
      <c r="BC16" s="4">
        <v>0.28232257579398001</v>
      </c>
      <c r="BD16" s="4">
        <v>0.211825414518587</v>
      </c>
      <c r="BE16" s="4" t="s">
        <v>75</v>
      </c>
      <c r="BF16" s="4">
        <v>1.05919679841652E-2</v>
      </c>
      <c r="BG16" s="4">
        <v>1.40310746605843E-5</v>
      </c>
      <c r="BH16" s="4" t="s">
        <v>75</v>
      </c>
      <c r="BI16" s="4">
        <v>5.7052799407838702E-4</v>
      </c>
      <c r="BJ16" s="4">
        <v>1.94372662328221E-6</v>
      </c>
      <c r="BK16" s="4">
        <v>211.084540808122</v>
      </c>
      <c r="BL16" s="4">
        <v>17.306437111111801</v>
      </c>
      <c r="BM16" s="4">
        <v>5.34638112797718</v>
      </c>
      <c r="BN16" s="4" t="s">
        <v>75</v>
      </c>
      <c r="BO16" s="4">
        <v>2.2655265114040299E-2</v>
      </c>
      <c r="BP16" s="4">
        <v>4.6998388104495498E-2</v>
      </c>
      <c r="BQ16" s="4">
        <v>10.424575469364999</v>
      </c>
      <c r="BR16" s="4">
        <v>0.99678332472964204</v>
      </c>
      <c r="BS16" s="4">
        <v>0.122114038540235</v>
      </c>
      <c r="BT16" s="4" t="s">
        <v>75</v>
      </c>
      <c r="BU16" s="4">
        <v>1.8354595736297202E-2</v>
      </c>
      <c r="BV16" s="4">
        <v>3.1397297562006599E-2</v>
      </c>
    </row>
    <row r="17" spans="1:74">
      <c r="A17" t="s">
        <v>91</v>
      </c>
      <c r="B17" t="s">
        <v>81</v>
      </c>
      <c r="C17" s="4" t="s">
        <v>75</v>
      </c>
      <c r="D17" s="4">
        <v>7.1895477335769398E-2</v>
      </c>
      <c r="E17" s="4">
        <v>0.121187813666035</v>
      </c>
      <c r="F17" s="4" t="s">
        <v>75</v>
      </c>
      <c r="G17" s="4">
        <v>0.69177112711099598</v>
      </c>
      <c r="H17" s="4">
        <v>1.1069131487808901</v>
      </c>
      <c r="I17" s="4">
        <v>28.734714242859599</v>
      </c>
      <c r="J17" s="4">
        <v>4.4548536339205</v>
      </c>
      <c r="K17" s="4">
        <v>0.42059440352250899</v>
      </c>
      <c r="L17" s="4">
        <v>91.566811207913503</v>
      </c>
      <c r="M17" s="4">
        <v>26.6510686505267</v>
      </c>
      <c r="N17" s="4">
        <v>26.147038956907998</v>
      </c>
      <c r="O17" s="4" t="s">
        <v>75</v>
      </c>
      <c r="P17" s="4">
        <v>4.7311876619638003E-2</v>
      </c>
      <c r="Q17" s="4">
        <v>0.17194869868955601</v>
      </c>
      <c r="R17" s="4" t="s">
        <v>75</v>
      </c>
      <c r="S17" s="4">
        <v>0.60840432174012204</v>
      </c>
      <c r="T17" s="4">
        <v>0.89581840933748302</v>
      </c>
      <c r="U17" s="4">
        <v>208.59127727133301</v>
      </c>
      <c r="V17" s="4">
        <v>28.129512739476699</v>
      </c>
      <c r="W17" s="4">
        <v>6.2690088910300199</v>
      </c>
      <c r="X17" s="4">
        <v>206.671989060257</v>
      </c>
      <c r="Y17" s="4">
        <v>22.539081405327899</v>
      </c>
      <c r="Z17" s="4">
        <v>9.0457699340247704</v>
      </c>
      <c r="AA17" s="4">
        <v>164.31834545197501</v>
      </c>
      <c r="AB17" s="4">
        <v>22.433643634417901</v>
      </c>
      <c r="AC17" s="4">
        <v>0.25625590127115899</v>
      </c>
      <c r="AD17" s="4">
        <v>17.5777128026368</v>
      </c>
      <c r="AE17" s="4">
        <v>3.7404118548921699</v>
      </c>
      <c r="AF17" s="4">
        <v>0.36967755449123302</v>
      </c>
      <c r="AG17" s="4">
        <v>6.29740955309809</v>
      </c>
      <c r="AH17" s="4">
        <v>2.3031434814864</v>
      </c>
      <c r="AI17" s="4">
        <v>1.77511504855727</v>
      </c>
      <c r="AJ17" s="4" t="s">
        <v>75</v>
      </c>
      <c r="AK17" s="4">
        <v>5.79026786116507</v>
      </c>
      <c r="AL17" s="4">
        <v>14.7443675228056</v>
      </c>
      <c r="AM17" s="4">
        <v>0.10312875108877401</v>
      </c>
      <c r="AN17" s="4">
        <v>0.21222117417421499</v>
      </c>
      <c r="AO17" s="4">
        <v>9.8248114863054692E-7</v>
      </c>
      <c r="AP17" s="4">
        <v>1.12268907332515</v>
      </c>
      <c r="AQ17" s="4">
        <v>0.30000869877563702</v>
      </c>
      <c r="AR17" s="4">
        <v>4.6844118857787496E-6</v>
      </c>
      <c r="AS17" s="4">
        <v>1818.11608883848</v>
      </c>
      <c r="AT17" s="4">
        <v>191.454529910183</v>
      </c>
      <c r="AU17" s="4">
        <v>12.793666438052201</v>
      </c>
      <c r="AV17" s="4">
        <v>2.2471305880011001</v>
      </c>
      <c r="AW17" s="4">
        <v>0.67993396866700595</v>
      </c>
      <c r="AX17" s="4">
        <v>2.44016134375564E-2</v>
      </c>
      <c r="AY17" s="4">
        <v>6.4882215452366596</v>
      </c>
      <c r="AZ17" s="4">
        <v>1.3601197030968599</v>
      </c>
      <c r="BA17" s="4">
        <v>0.97104772798267203</v>
      </c>
      <c r="BB17" s="4">
        <v>2.42407591236188</v>
      </c>
      <c r="BC17" s="4">
        <v>0.65362146556982004</v>
      </c>
      <c r="BD17" s="4">
        <v>0.23535648372036699</v>
      </c>
      <c r="BE17" s="4" t="s">
        <v>75</v>
      </c>
      <c r="BF17" s="4">
        <v>1.85604620364586E-2</v>
      </c>
      <c r="BG17" s="4">
        <v>1.5585059474052599E-5</v>
      </c>
      <c r="BH17" s="4" t="s">
        <v>75</v>
      </c>
      <c r="BI17" s="4">
        <v>9.9573025297981701E-4</v>
      </c>
      <c r="BJ17" s="4">
        <v>2.1606822159161901E-6</v>
      </c>
      <c r="BK17" s="4">
        <v>267.82394403734997</v>
      </c>
      <c r="BL17" s="4">
        <v>45.482528458278203</v>
      </c>
      <c r="BM17" s="4">
        <v>5.9718636573269297</v>
      </c>
      <c r="BN17" s="4" t="s">
        <v>75</v>
      </c>
      <c r="BO17" s="4">
        <v>2.6091422160323299E-2</v>
      </c>
      <c r="BP17" s="4">
        <v>5.2235544498239903E-2</v>
      </c>
      <c r="BQ17" s="4">
        <v>9.6198107884176096</v>
      </c>
      <c r="BR17" s="4">
        <v>1.6845251169095301</v>
      </c>
      <c r="BS17" s="4">
        <v>0.13540378141192799</v>
      </c>
      <c r="BT17" s="4" t="s">
        <v>75</v>
      </c>
      <c r="BU17" s="4">
        <v>2.18830004281486E-2</v>
      </c>
      <c r="BV17" s="4">
        <v>3.4889044346899399E-2</v>
      </c>
    </row>
    <row r="18" spans="1:74">
      <c r="A18" t="s">
        <v>92</v>
      </c>
      <c r="B18" t="s">
        <v>81</v>
      </c>
      <c r="C18" s="4" t="s">
        <v>75</v>
      </c>
      <c r="D18" s="4">
        <v>6.52931026158802E-2</v>
      </c>
      <c r="E18" s="4">
        <v>0.10124881359577199</v>
      </c>
      <c r="F18" s="4" t="s">
        <v>75</v>
      </c>
      <c r="G18" s="4">
        <v>0.44195315248413303</v>
      </c>
      <c r="H18" s="4">
        <v>1.2743660373793499</v>
      </c>
      <c r="I18" s="4">
        <v>36.610775979432098</v>
      </c>
      <c r="J18" s="4">
        <v>2.9557924365295398</v>
      </c>
      <c r="K18" s="4">
        <v>0.65952107338787302</v>
      </c>
      <c r="L18" s="4" t="s">
        <v>75</v>
      </c>
      <c r="M18" s="4">
        <v>14.321825198126101</v>
      </c>
      <c r="N18" s="4">
        <v>39.206680629390704</v>
      </c>
      <c r="O18" s="4" t="s">
        <v>75</v>
      </c>
      <c r="P18" s="4">
        <v>8.7962959596808707E-2</v>
      </c>
      <c r="Q18" s="4">
        <v>0.13071858081347601</v>
      </c>
      <c r="R18" s="4" t="s">
        <v>75</v>
      </c>
      <c r="S18" s="4">
        <v>0.42247059853732699</v>
      </c>
      <c r="T18" s="4">
        <v>1.4532922399055701</v>
      </c>
      <c r="U18" s="4">
        <v>555.82562907370902</v>
      </c>
      <c r="V18" s="4">
        <v>39.345377405322203</v>
      </c>
      <c r="W18" s="4">
        <v>9.7142351578844703</v>
      </c>
      <c r="X18" s="4">
        <v>536.64831283204705</v>
      </c>
      <c r="Y18" s="4">
        <v>29.035416274659799</v>
      </c>
      <c r="Z18" s="4">
        <v>11.2266627033825</v>
      </c>
      <c r="AA18" s="4">
        <v>431.05670298475201</v>
      </c>
      <c r="AB18" s="4">
        <v>27.697001937962799</v>
      </c>
      <c r="AC18" s="4">
        <v>0.39481805656964403</v>
      </c>
      <c r="AD18" s="4">
        <v>80.857631945341396</v>
      </c>
      <c r="AE18" s="4">
        <v>7.49507036022022</v>
      </c>
      <c r="AF18" s="4">
        <v>0.64087285399219296</v>
      </c>
      <c r="AG18" s="4">
        <v>16.806793209859599</v>
      </c>
      <c r="AH18" s="4">
        <v>2.4538300237308799</v>
      </c>
      <c r="AI18" s="4">
        <v>1.61509751643763</v>
      </c>
      <c r="AJ18" s="4" t="s">
        <v>75</v>
      </c>
      <c r="AK18" s="4">
        <v>4.8207643525013602</v>
      </c>
      <c r="AL18" s="4">
        <v>10.012652978096</v>
      </c>
      <c r="AM18" s="4" t="s">
        <v>75</v>
      </c>
      <c r="AN18" s="4">
        <v>4.8497753640232101E-2</v>
      </c>
      <c r="AO18" s="4">
        <v>0.36338079414796198</v>
      </c>
      <c r="AP18" s="4">
        <v>2.4294927782829001</v>
      </c>
      <c r="AQ18" s="4">
        <v>0.34882495419349402</v>
      </c>
      <c r="AR18" s="4">
        <v>3.5142532728083001E-6</v>
      </c>
      <c r="AS18" s="4">
        <v>1663.39008515041</v>
      </c>
      <c r="AT18" s="4">
        <v>94.394943403304296</v>
      </c>
      <c r="AU18" s="4">
        <v>14.7853203410803</v>
      </c>
      <c r="AV18" s="4">
        <v>2.5305107803375799</v>
      </c>
      <c r="AW18" s="4">
        <v>0.31984526298569299</v>
      </c>
      <c r="AX18" s="4">
        <v>4.2150666749386202E-2</v>
      </c>
      <c r="AY18" s="4">
        <v>4.5627391348042803</v>
      </c>
      <c r="AZ18" s="4">
        <v>0.67712980332422601</v>
      </c>
      <c r="BA18" s="4">
        <v>0.63044742252937602</v>
      </c>
      <c r="BB18" s="4">
        <v>2.0541915784246298</v>
      </c>
      <c r="BC18" s="4">
        <v>0.51030287643421601</v>
      </c>
      <c r="BD18" s="4">
        <v>0.30897764909055297</v>
      </c>
      <c r="BE18" s="4" t="s">
        <v>75</v>
      </c>
      <c r="BF18" s="4">
        <v>1.1138720146737001E-2</v>
      </c>
      <c r="BG18" s="4">
        <v>0.68157784258682896</v>
      </c>
      <c r="BH18" s="4" t="s">
        <v>75</v>
      </c>
      <c r="BI18" s="4">
        <v>5.9721157128449697E-4</v>
      </c>
      <c r="BJ18" s="4">
        <v>1.6176230411898301E-6</v>
      </c>
      <c r="BK18" s="4">
        <v>191.156381167744</v>
      </c>
      <c r="BL18" s="4">
        <v>19.832503564069999</v>
      </c>
      <c r="BM18" s="4">
        <v>6.5931227531359804</v>
      </c>
      <c r="BN18" s="4">
        <v>0.13138681632198901</v>
      </c>
      <c r="BO18" s="4">
        <v>3.9033737303380001E-2</v>
      </c>
      <c r="BP18" s="4">
        <v>6.3243331631952907E-2</v>
      </c>
      <c r="BQ18" s="4">
        <v>17.9636121928365</v>
      </c>
      <c r="BR18" s="4">
        <v>2.4761271599466701</v>
      </c>
      <c r="BS18" s="4">
        <v>0.19434031918676201</v>
      </c>
      <c r="BT18" s="4" t="s">
        <v>75</v>
      </c>
      <c r="BU18" s="4">
        <v>1.28029378375961E-2</v>
      </c>
      <c r="BV18" s="4">
        <v>4.3019599078357097E-2</v>
      </c>
    </row>
    <row r="19" spans="1:74">
      <c r="A19" t="s">
        <v>93</v>
      </c>
      <c r="B19" t="s">
        <v>81</v>
      </c>
      <c r="C19" s="4">
        <v>0.15254540829159499</v>
      </c>
      <c r="D19" s="4">
        <v>9.8012169830109894E-2</v>
      </c>
      <c r="E19" s="4">
        <v>8.25561797162251E-2</v>
      </c>
      <c r="F19" s="4" t="s">
        <v>75</v>
      </c>
      <c r="G19" s="4">
        <v>0.39453672491888597</v>
      </c>
      <c r="H19" s="4">
        <v>0.78750063707717299</v>
      </c>
      <c r="I19" s="4">
        <v>35.103452262940699</v>
      </c>
      <c r="J19" s="4">
        <v>3.2433587203631902</v>
      </c>
      <c r="K19" s="4">
        <v>0.51331520118261598</v>
      </c>
      <c r="L19" s="4" t="s">
        <v>75</v>
      </c>
      <c r="M19" s="4">
        <v>10.353306002273399</v>
      </c>
      <c r="N19" s="4">
        <v>30.968228975625699</v>
      </c>
      <c r="O19" s="4" t="s">
        <v>75</v>
      </c>
      <c r="P19" s="4">
        <v>2.4337450660527199E-2</v>
      </c>
      <c r="Q19" s="4">
        <v>0.13525373560689</v>
      </c>
      <c r="R19" s="4" t="s">
        <v>75</v>
      </c>
      <c r="S19" s="4">
        <v>0.38600747361772603</v>
      </c>
      <c r="T19" s="4">
        <v>1.7705661098661001</v>
      </c>
      <c r="U19" s="4">
        <v>543.33595360469701</v>
      </c>
      <c r="V19" s="4">
        <v>48.022211448768601</v>
      </c>
      <c r="W19" s="4">
        <v>5.6362685736249096</v>
      </c>
      <c r="X19" s="4">
        <v>528.39769571233705</v>
      </c>
      <c r="Y19" s="4">
        <v>34.601761858830997</v>
      </c>
      <c r="Z19" s="4">
        <v>6.9489945891156299</v>
      </c>
      <c r="AA19" s="4">
        <v>565.13628252511296</v>
      </c>
      <c r="AB19" s="4">
        <v>37.9322126905451</v>
      </c>
      <c r="AC19" s="4">
        <v>0.35525678583355902</v>
      </c>
      <c r="AD19" s="4">
        <v>10.1861451024137</v>
      </c>
      <c r="AE19" s="4">
        <v>1.6544020371131301</v>
      </c>
      <c r="AF19" s="4">
        <v>0.20558674887275499</v>
      </c>
      <c r="AG19" s="4">
        <v>9.0413356240786804</v>
      </c>
      <c r="AH19" s="4">
        <v>1.5474328580436501</v>
      </c>
      <c r="AI19" s="4">
        <v>1.6912072790999699</v>
      </c>
      <c r="AJ19" s="4" t="s">
        <v>75</v>
      </c>
      <c r="AK19" s="4">
        <v>5.0947323281334498</v>
      </c>
      <c r="AL19" s="4">
        <v>18.431382450606101</v>
      </c>
      <c r="AM19" s="4" t="s">
        <v>75</v>
      </c>
      <c r="AN19" s="4">
        <v>3.3563268588436002E-3</v>
      </c>
      <c r="AO19" s="4">
        <v>0.187974144728142</v>
      </c>
      <c r="AP19" s="4">
        <v>0.81633697858695198</v>
      </c>
      <c r="AQ19" s="4">
        <v>0.14503570530304299</v>
      </c>
      <c r="AR19" s="4">
        <v>0.13003379978427199</v>
      </c>
      <c r="AS19" s="4">
        <v>1743.63271885991</v>
      </c>
      <c r="AT19" s="4">
        <v>107.02614272003601</v>
      </c>
      <c r="AU19" s="4">
        <v>14.7483535842923</v>
      </c>
      <c r="AV19" s="4">
        <v>2.2746692682948799</v>
      </c>
      <c r="AW19" s="4">
        <v>0.416449471566747</v>
      </c>
      <c r="AX19" s="4">
        <v>1.7714057886947701E-4</v>
      </c>
      <c r="AY19" s="4">
        <v>5.9949051030407396</v>
      </c>
      <c r="AZ19" s="4">
        <v>1.9639220087617699</v>
      </c>
      <c r="BA19" s="4">
        <v>0.79527351154676895</v>
      </c>
      <c r="BB19" s="4">
        <v>1.0536886147757001</v>
      </c>
      <c r="BC19" s="4">
        <v>0.20398382955181901</v>
      </c>
      <c r="BD19" s="4">
        <v>0.14893478672256499</v>
      </c>
      <c r="BE19" s="4" t="s">
        <v>75</v>
      </c>
      <c r="BF19" s="4">
        <v>1.08108487667418E-2</v>
      </c>
      <c r="BG19" s="4">
        <v>9.6574352574722805E-6</v>
      </c>
      <c r="BH19" s="4" t="s">
        <v>75</v>
      </c>
      <c r="BI19" s="4">
        <v>5.9354863753265498E-4</v>
      </c>
      <c r="BJ19" s="4">
        <v>1.34081846192739E-6</v>
      </c>
      <c r="BK19" s="4">
        <v>198.35564479478899</v>
      </c>
      <c r="BL19" s="4">
        <v>13.749438931928999</v>
      </c>
      <c r="BM19" s="4">
        <v>8.2804035911972207</v>
      </c>
      <c r="BN19" s="4">
        <v>4.4032049916786498E-2</v>
      </c>
      <c r="BO19" s="4">
        <v>2.66206885942946E-2</v>
      </c>
      <c r="BP19" s="4">
        <v>3.3508930735821001E-2</v>
      </c>
      <c r="BQ19" s="4">
        <v>9.7036863323759501</v>
      </c>
      <c r="BR19" s="4">
        <v>0.872197204295732</v>
      </c>
      <c r="BS19" s="4">
        <v>0.22463859732422001</v>
      </c>
      <c r="BT19" s="4">
        <v>5.07312424614225E-2</v>
      </c>
      <c r="BU19" s="4">
        <v>1.9418257412713899E-2</v>
      </c>
      <c r="BV19" s="4">
        <v>1.3345294221938199E-2</v>
      </c>
    </row>
    <row r="20" spans="1:74">
      <c r="A20" t="s">
        <v>94</v>
      </c>
      <c r="B20" t="s">
        <v>81</v>
      </c>
      <c r="C20" s="4">
        <v>7.7280640991224406E-2</v>
      </c>
      <c r="D20" s="4">
        <v>5.1417380359984499E-2</v>
      </c>
      <c r="E20" s="4">
        <v>4.49108619293254E-6</v>
      </c>
      <c r="F20" s="4" t="s">
        <v>75</v>
      </c>
      <c r="G20" s="4">
        <v>0.50562460410892196</v>
      </c>
      <c r="H20" s="4">
        <v>1.46157581357815</v>
      </c>
      <c r="I20" s="4">
        <v>8.9471130281383005</v>
      </c>
      <c r="J20" s="4">
        <v>1.02807571570861</v>
      </c>
      <c r="K20" s="4">
        <v>0.89001532838368502</v>
      </c>
      <c r="L20" s="4">
        <v>297.83131640633297</v>
      </c>
      <c r="M20" s="4">
        <v>27.951087654096</v>
      </c>
      <c r="N20" s="4">
        <v>37.795239464392303</v>
      </c>
      <c r="O20" s="4" t="s">
        <v>75</v>
      </c>
      <c r="P20" s="4">
        <v>5.8860392932496799E-2</v>
      </c>
      <c r="Q20" s="4">
        <v>0.37565825802185798</v>
      </c>
      <c r="R20" s="4" t="s">
        <v>75</v>
      </c>
      <c r="S20" s="4">
        <v>0.474528804188878</v>
      </c>
      <c r="T20" s="4">
        <v>2.3722289920751098</v>
      </c>
      <c r="U20" s="4">
        <v>69.602291975088306</v>
      </c>
      <c r="V20" s="4">
        <v>22.9011417759476</v>
      </c>
      <c r="W20" s="4">
        <v>8.2842780129970706</v>
      </c>
      <c r="X20" s="4">
        <v>82.712587332557803</v>
      </c>
      <c r="Y20" s="4">
        <v>20.719065823838701</v>
      </c>
      <c r="Z20" s="4">
        <v>8.4405061971185908</v>
      </c>
      <c r="AA20" s="4">
        <v>4.12609225475929</v>
      </c>
      <c r="AB20" s="4">
        <v>1.2795801468733199</v>
      </c>
      <c r="AC20" s="4">
        <v>0.624463458560645</v>
      </c>
      <c r="AD20" s="4">
        <v>26.993705640063901</v>
      </c>
      <c r="AE20" s="4">
        <v>10.797199881446</v>
      </c>
      <c r="AF20" s="4">
        <v>0.67499542004914603</v>
      </c>
      <c r="AG20" s="4">
        <v>4.4109162369360702</v>
      </c>
      <c r="AH20" s="4">
        <v>1.3615452579772001</v>
      </c>
      <c r="AI20" s="4">
        <v>1.5358228655861199</v>
      </c>
      <c r="AJ20" s="4" t="s">
        <v>75</v>
      </c>
      <c r="AK20" s="4">
        <v>3.3223949984340702</v>
      </c>
      <c r="AL20" s="4">
        <v>27.145903766719499</v>
      </c>
      <c r="AM20" s="4">
        <v>0.72294896762986105</v>
      </c>
      <c r="AN20" s="4">
        <v>0.20323837601251499</v>
      </c>
      <c r="AO20" s="4">
        <v>5.3376653738274902E-7</v>
      </c>
      <c r="AP20" s="4">
        <v>0.76836418627862502</v>
      </c>
      <c r="AQ20" s="4">
        <v>0.29881111944107203</v>
      </c>
      <c r="AR20" s="4">
        <v>0.10397745102563299</v>
      </c>
      <c r="AS20" s="4">
        <v>4026.04476347127</v>
      </c>
      <c r="AT20" s="4">
        <v>335.09234950815897</v>
      </c>
      <c r="AU20" s="4">
        <v>13.325963595051601</v>
      </c>
      <c r="AV20" s="4" t="s">
        <v>75</v>
      </c>
      <c r="AW20" s="4">
        <v>1.8943118319972401E-2</v>
      </c>
      <c r="AX20" s="4">
        <v>4.9217022954120497E-2</v>
      </c>
      <c r="AY20" s="4">
        <v>0.58162380421200299</v>
      </c>
      <c r="AZ20" s="4">
        <v>0.46707002302260903</v>
      </c>
      <c r="BA20" s="4">
        <v>0.570009465822642</v>
      </c>
      <c r="BB20" s="4">
        <v>6.3052765749750597</v>
      </c>
      <c r="BC20" s="4">
        <v>1.2772076364162599</v>
      </c>
      <c r="BD20" s="4">
        <v>0.143745029188596</v>
      </c>
      <c r="BE20" s="4" t="s">
        <v>75</v>
      </c>
      <c r="BF20" s="4">
        <v>1.25735570174542E-2</v>
      </c>
      <c r="BG20" s="4">
        <v>8.4673726746502699E-6</v>
      </c>
      <c r="BH20" s="4" t="s">
        <v>75</v>
      </c>
      <c r="BI20" s="4">
        <v>6.40510658169848E-4</v>
      </c>
      <c r="BJ20" s="4">
        <v>1.1769774285051899E-6</v>
      </c>
      <c r="BK20" s="4">
        <v>159.41599438075801</v>
      </c>
      <c r="BL20" s="4">
        <v>11.950915539626999</v>
      </c>
      <c r="BM20" s="4">
        <v>6.0111806257871701</v>
      </c>
      <c r="BN20" s="4" t="s">
        <v>75</v>
      </c>
      <c r="BO20" s="4">
        <v>2.4969397800366999E-2</v>
      </c>
      <c r="BP20" s="4">
        <v>3.0669563380534001E-2</v>
      </c>
      <c r="BQ20" s="4">
        <v>4.47136663552911</v>
      </c>
      <c r="BR20" s="4">
        <v>0.76437017787120198</v>
      </c>
      <c r="BS20" s="4">
        <v>0.26326935685731401</v>
      </c>
      <c r="BT20" s="4" t="s">
        <v>75</v>
      </c>
      <c r="BU20" s="4">
        <v>9.9196769069627693E-3</v>
      </c>
      <c r="BV20" s="4">
        <v>4.2863925713175002E-2</v>
      </c>
    </row>
    <row r="21" spans="1:74">
      <c r="A21" t="s">
        <v>95</v>
      </c>
      <c r="B21" t="s">
        <v>96</v>
      </c>
      <c r="C21" s="4" t="s">
        <v>75</v>
      </c>
      <c r="D21" s="4">
        <v>2.4602700502962399E-2</v>
      </c>
      <c r="E21" s="4">
        <v>6.8311124532440995E-2</v>
      </c>
      <c r="F21" s="4" t="s">
        <v>75</v>
      </c>
      <c r="G21" s="4">
        <v>0.34690763505567102</v>
      </c>
      <c r="H21" s="4">
        <v>1.38560211298784</v>
      </c>
      <c r="I21" s="4">
        <v>8.5822005281711604</v>
      </c>
      <c r="J21" s="4">
        <v>0.68653759888148003</v>
      </c>
      <c r="K21" s="4">
        <v>0.62104363991143396</v>
      </c>
      <c r="L21" s="4">
        <v>277.39614393268999</v>
      </c>
      <c r="M21" s="4">
        <v>33.4349399438237</v>
      </c>
      <c r="N21" s="4">
        <v>29.841909767532702</v>
      </c>
      <c r="O21" s="4" t="s">
        <v>75</v>
      </c>
      <c r="P21" s="4">
        <v>3.6366357816118099E-2</v>
      </c>
      <c r="Q21" s="4">
        <v>0.15636976262253199</v>
      </c>
      <c r="R21" s="4" t="s">
        <v>75</v>
      </c>
      <c r="S21" s="4">
        <v>0.23632281404121799</v>
      </c>
      <c r="T21" s="4">
        <v>0.88813545435569796</v>
      </c>
      <c r="U21" s="4">
        <v>272.18605295047598</v>
      </c>
      <c r="V21" s="4">
        <v>22.1616894037154</v>
      </c>
      <c r="W21" s="4">
        <v>6.0654295856744502</v>
      </c>
      <c r="X21" s="4">
        <v>277.602951297537</v>
      </c>
      <c r="Y21" s="4">
        <v>30.446113321887498</v>
      </c>
      <c r="Z21" s="4">
        <v>3.79826278046083</v>
      </c>
      <c r="AA21" s="4">
        <v>133.40894517596001</v>
      </c>
      <c r="AB21" s="4">
        <v>10.116185443889</v>
      </c>
      <c r="AC21" s="4">
        <v>0.28182621667170699</v>
      </c>
      <c r="AD21" s="4">
        <v>55.591609078845401</v>
      </c>
      <c r="AE21" s="4">
        <v>3.35980844516765</v>
      </c>
      <c r="AF21" s="4">
        <v>0.39307392332358498</v>
      </c>
      <c r="AG21" s="4">
        <v>3.8209651366978901</v>
      </c>
      <c r="AH21" s="4">
        <v>0.69363088981417698</v>
      </c>
      <c r="AI21" s="4">
        <v>3.6043530996487099</v>
      </c>
      <c r="AJ21" s="4" t="s">
        <v>75</v>
      </c>
      <c r="AK21" s="4">
        <v>4.0290954398169196</v>
      </c>
      <c r="AL21" s="4">
        <v>11.681638584045499</v>
      </c>
      <c r="AM21" s="4">
        <v>0.24982763743009201</v>
      </c>
      <c r="AN21" s="4">
        <v>0.17253742124643401</v>
      </c>
      <c r="AO21" s="4">
        <v>3.54079097996469E-7</v>
      </c>
      <c r="AP21" s="4">
        <v>0.56521716091152596</v>
      </c>
      <c r="AQ21" s="4">
        <v>0.13571631242321699</v>
      </c>
      <c r="AR21" s="4">
        <v>1.58203808062114E-6</v>
      </c>
      <c r="AS21" s="4">
        <v>3937.7725959129598</v>
      </c>
      <c r="AT21" s="4">
        <v>206.615858064002</v>
      </c>
      <c r="AU21" s="4">
        <v>17.003627419444701</v>
      </c>
      <c r="AV21" s="4" t="s">
        <v>75</v>
      </c>
      <c r="AW21" s="4">
        <v>1.6437161801427E-2</v>
      </c>
      <c r="AX21" s="4">
        <v>6.2553735425598E-2</v>
      </c>
      <c r="AY21" s="4" t="s">
        <v>75</v>
      </c>
      <c r="AZ21" s="4">
        <v>0.27202518055122898</v>
      </c>
      <c r="BA21" s="4">
        <v>1.2600901289953801</v>
      </c>
      <c r="BB21" s="4">
        <v>8.6083397771318992</v>
      </c>
      <c r="BC21" s="4">
        <v>0.80090918279797796</v>
      </c>
      <c r="BD21" s="4">
        <v>3.0611641974084201E-4</v>
      </c>
      <c r="BE21" s="4" t="s">
        <v>75</v>
      </c>
      <c r="BF21" s="4">
        <v>6.76252284426651E-3</v>
      </c>
      <c r="BG21" s="4">
        <v>5.7588552335234204E-6</v>
      </c>
      <c r="BH21" s="4" t="s">
        <v>75</v>
      </c>
      <c r="BI21" s="4">
        <v>3.9064531540065699E-4</v>
      </c>
      <c r="BJ21" s="4">
        <v>7.5696125640345405E-7</v>
      </c>
      <c r="BK21" s="4">
        <v>345.01627909253898</v>
      </c>
      <c r="BL21" s="4">
        <v>14.286860529423301</v>
      </c>
      <c r="BM21" s="4">
        <v>7.2919022148282702</v>
      </c>
      <c r="BN21" s="4" t="s">
        <v>75</v>
      </c>
      <c r="BO21" s="4">
        <v>1.5033270133266E-2</v>
      </c>
      <c r="BP21" s="4">
        <v>7.5865165580247307E-2</v>
      </c>
      <c r="BQ21" s="4">
        <v>4.0353810497093496</v>
      </c>
      <c r="BR21" s="4">
        <v>0.35049809573323298</v>
      </c>
      <c r="BS21" s="4">
        <v>0.188884792093785</v>
      </c>
      <c r="BT21" s="4" t="s">
        <v>75</v>
      </c>
      <c r="BU21" s="4">
        <v>8.0793126740179803E-3</v>
      </c>
      <c r="BV21" s="4">
        <v>4.87374868275917E-2</v>
      </c>
    </row>
    <row r="22" spans="1:74">
      <c r="A22" t="s">
        <v>97</v>
      </c>
      <c r="B22" t="s">
        <v>96</v>
      </c>
      <c r="C22" s="4">
        <v>8.4819610722370303E-3</v>
      </c>
      <c r="D22" s="4">
        <v>2.6974501816107398E-2</v>
      </c>
      <c r="E22" s="4">
        <v>5.9503969005358398E-5</v>
      </c>
      <c r="F22" s="4" t="s">
        <v>75</v>
      </c>
      <c r="G22" s="4">
        <v>0.30069198901925298</v>
      </c>
      <c r="H22" s="4">
        <v>1.1737215867014099</v>
      </c>
      <c r="I22" s="4">
        <v>7.9654362842570503</v>
      </c>
      <c r="J22" s="4">
        <v>0.746745550599898</v>
      </c>
      <c r="K22" s="4">
        <v>0.33070080332282797</v>
      </c>
      <c r="L22" s="4">
        <v>260.11886713785799</v>
      </c>
      <c r="M22" s="4">
        <v>23.670637137350301</v>
      </c>
      <c r="N22" s="4">
        <v>23.165397286689299</v>
      </c>
      <c r="O22" s="4" t="s">
        <v>75</v>
      </c>
      <c r="P22" s="4">
        <v>7.1602214819351098E-2</v>
      </c>
      <c r="Q22" s="4">
        <v>7.1933198560784201E-2</v>
      </c>
      <c r="R22" s="4" t="s">
        <v>75</v>
      </c>
      <c r="S22" s="4">
        <v>0.23978108136007101</v>
      </c>
      <c r="T22" s="4">
        <v>0.394972280526382</v>
      </c>
      <c r="U22" s="4">
        <v>719.99802261146397</v>
      </c>
      <c r="V22" s="4">
        <v>62.197071090171299</v>
      </c>
      <c r="W22" s="4">
        <v>5.8235293325267303</v>
      </c>
      <c r="X22" s="4">
        <v>699.42391244542205</v>
      </c>
      <c r="Y22" s="4">
        <v>40.932048686266903</v>
      </c>
      <c r="Z22" s="4">
        <v>9.0147083481529595</v>
      </c>
      <c r="AA22" s="4">
        <v>288.58974964173899</v>
      </c>
      <c r="AB22" s="4">
        <v>19.161364367039099</v>
      </c>
      <c r="AC22" s="4">
        <v>0.142084616467714</v>
      </c>
      <c r="AD22" s="4">
        <v>164.940993212622</v>
      </c>
      <c r="AE22" s="4">
        <v>14.5710318067197</v>
      </c>
      <c r="AF22" s="4">
        <v>0.22849600509116699</v>
      </c>
      <c r="AG22" s="4">
        <v>37.322486353315298</v>
      </c>
      <c r="AH22" s="4">
        <v>4.0553281606166696</v>
      </c>
      <c r="AI22" s="4">
        <v>0.76498519077583704</v>
      </c>
      <c r="AJ22" s="4" t="s">
        <v>75</v>
      </c>
      <c r="AK22" s="4">
        <v>3.4979866115622502</v>
      </c>
      <c r="AL22" s="4">
        <v>10.889301647960901</v>
      </c>
      <c r="AM22" s="4">
        <v>6.1303033303391E-2</v>
      </c>
      <c r="AN22" s="4">
        <v>9.9480879769378E-2</v>
      </c>
      <c r="AO22" s="4">
        <v>4.0659117543465497E-7</v>
      </c>
      <c r="AP22" s="4">
        <v>4.9348434970529897</v>
      </c>
      <c r="AQ22" s="4">
        <v>0.472805069677453</v>
      </c>
      <c r="AR22" s="4">
        <v>1.8205527968111599E-6</v>
      </c>
      <c r="AS22" s="4">
        <v>3598.31894224493</v>
      </c>
      <c r="AT22" s="4">
        <v>259.77032058585098</v>
      </c>
      <c r="AU22" s="4">
        <v>14.3122440704757</v>
      </c>
      <c r="AV22" s="4" t="s">
        <v>75</v>
      </c>
      <c r="AW22" s="4">
        <v>8.5424285950952295E-3</v>
      </c>
      <c r="AX22" s="4">
        <v>4.81540927591563E-5</v>
      </c>
      <c r="AY22" s="4">
        <v>0.56005523437459304</v>
      </c>
      <c r="AZ22" s="4">
        <v>0.41060868626911501</v>
      </c>
      <c r="BA22" s="4">
        <v>0.46809987795847702</v>
      </c>
      <c r="BB22" s="4">
        <v>53.5536381074659</v>
      </c>
      <c r="BC22" s="4">
        <v>4.5299300350575704</v>
      </c>
      <c r="BD22" s="4">
        <v>0.15664383603814599</v>
      </c>
      <c r="BE22" s="4" t="s">
        <v>75</v>
      </c>
      <c r="BF22" s="4">
        <v>8.9165768624128606E-3</v>
      </c>
      <c r="BG22" s="4">
        <v>6.6080568080807497E-6</v>
      </c>
      <c r="BH22" s="4" t="s">
        <v>75</v>
      </c>
      <c r="BI22" s="4">
        <v>5.1431738761797301E-4</v>
      </c>
      <c r="BJ22" s="4">
        <v>8.7045426995479999E-7</v>
      </c>
      <c r="BK22" s="4">
        <v>328.71411852170201</v>
      </c>
      <c r="BL22" s="4">
        <v>26.009088921300901</v>
      </c>
      <c r="BM22" s="4">
        <v>5.4595928300578498</v>
      </c>
      <c r="BN22" s="4">
        <v>5.5220230202583001E-2</v>
      </c>
      <c r="BO22" s="4">
        <v>2.5141566859634399E-2</v>
      </c>
      <c r="BP22" s="4">
        <v>3.4937280996446898E-2</v>
      </c>
      <c r="BQ22" s="4">
        <v>18.107424987684301</v>
      </c>
      <c r="BR22" s="4">
        <v>1.50060645653463</v>
      </c>
      <c r="BS22" s="4">
        <v>0.169679619923115</v>
      </c>
      <c r="BT22" s="4" t="s">
        <v>75</v>
      </c>
      <c r="BU22" s="4">
        <v>1.2302050014598101E-2</v>
      </c>
      <c r="BV22" s="4">
        <v>1.63349086081108E-2</v>
      </c>
    </row>
    <row r="23" spans="1:74">
      <c r="A23" t="s">
        <v>98</v>
      </c>
      <c r="B23" t="s">
        <v>96</v>
      </c>
      <c r="C23" s="4" t="s">
        <v>75</v>
      </c>
      <c r="D23" s="4">
        <v>3.6332845200856501E-2</v>
      </c>
      <c r="E23" s="4">
        <v>0.14706354434834701</v>
      </c>
      <c r="F23" s="4" t="s">
        <v>75</v>
      </c>
      <c r="G23" s="4">
        <v>0.43230097452757299</v>
      </c>
      <c r="H23" s="4">
        <v>1.0176572531561101</v>
      </c>
      <c r="I23" s="4">
        <v>7.3268748933060301</v>
      </c>
      <c r="J23" s="4">
        <v>0.64825546091533603</v>
      </c>
      <c r="K23" s="4">
        <v>0.60053815675842104</v>
      </c>
      <c r="L23" s="4">
        <v>257.98932549659497</v>
      </c>
      <c r="M23" s="4">
        <v>33.842727794830303</v>
      </c>
      <c r="N23" s="4">
        <v>43.3919882427248</v>
      </c>
      <c r="O23" s="4" t="s">
        <v>75</v>
      </c>
      <c r="P23" s="4">
        <v>6.1405945522389198E-2</v>
      </c>
      <c r="Q23" s="4">
        <v>0.16368591242189001</v>
      </c>
      <c r="R23" s="4" t="s">
        <v>75</v>
      </c>
      <c r="S23" s="4">
        <v>0.22875466459737301</v>
      </c>
      <c r="T23" s="4">
        <v>0.87806750395320798</v>
      </c>
      <c r="U23" s="4">
        <v>1571.4705835075399</v>
      </c>
      <c r="V23" s="4">
        <v>102.706379287841</v>
      </c>
      <c r="W23" s="4">
        <v>2.4072918885376402</v>
      </c>
      <c r="X23" s="4">
        <v>1555.4580795038401</v>
      </c>
      <c r="Y23" s="4">
        <v>78.448890293413498</v>
      </c>
      <c r="Z23" s="4">
        <v>5.3694673631630199</v>
      </c>
      <c r="AA23" s="4">
        <v>60.941178551855003</v>
      </c>
      <c r="AB23" s="4">
        <v>5.1647232461827901</v>
      </c>
      <c r="AC23" s="4">
        <v>0.23241865445714399</v>
      </c>
      <c r="AD23" s="4">
        <v>342.97363575696897</v>
      </c>
      <c r="AE23" s="4">
        <v>25.1060807428582</v>
      </c>
      <c r="AF23" s="4">
        <v>0.40308465127246201</v>
      </c>
      <c r="AG23" s="4">
        <v>251.19224320137599</v>
      </c>
      <c r="AH23" s="4">
        <v>19.0916363913813</v>
      </c>
      <c r="AI23" s="4">
        <v>1.6855353824332</v>
      </c>
      <c r="AJ23" s="4" t="s">
        <v>75</v>
      </c>
      <c r="AK23" s="4">
        <v>3.9512621555007401</v>
      </c>
      <c r="AL23" s="4">
        <v>12.433197811801101</v>
      </c>
      <c r="AM23" s="4">
        <v>1.8710760965673499E-2</v>
      </c>
      <c r="AN23" s="4">
        <v>7.6093931605572304E-2</v>
      </c>
      <c r="AO23" s="4">
        <v>7.2466930513838905E-7</v>
      </c>
      <c r="AP23" s="4">
        <v>5.7925403600775196</v>
      </c>
      <c r="AQ23" s="4">
        <v>0.72165925257766705</v>
      </c>
      <c r="AR23" s="4">
        <v>6.5942782328388697E-2</v>
      </c>
      <c r="AS23" s="4">
        <v>3187.3215061488399</v>
      </c>
      <c r="AT23" s="4">
        <v>193.95424942483399</v>
      </c>
      <c r="AU23" s="4">
        <v>10.518250672636499</v>
      </c>
      <c r="AV23" s="4">
        <v>5.6616690296941899E-2</v>
      </c>
      <c r="AW23" s="4">
        <v>3.4620093026052803E-2</v>
      </c>
      <c r="AX23" s="4">
        <v>5.0126002199658098E-2</v>
      </c>
      <c r="AY23" s="4" t="s">
        <v>75</v>
      </c>
      <c r="AZ23" s="4">
        <v>0.45833341935667898</v>
      </c>
      <c r="BA23" s="4">
        <v>1.32231936823872</v>
      </c>
      <c r="BB23" s="4">
        <v>297.54828366088998</v>
      </c>
      <c r="BC23" s="4">
        <v>19.135823690170501</v>
      </c>
      <c r="BD23" s="4">
        <v>0.12421188423861</v>
      </c>
      <c r="BE23" s="4" t="s">
        <v>75</v>
      </c>
      <c r="BF23" s="4">
        <v>9.73623974309459E-3</v>
      </c>
      <c r="BG23" s="4">
        <v>1.1646624512527101E-5</v>
      </c>
      <c r="BH23" s="4" t="s">
        <v>75</v>
      </c>
      <c r="BI23" s="4">
        <v>5.4903810923816795E-4</v>
      </c>
      <c r="BJ23" s="4">
        <v>1.5772023022150801E-6</v>
      </c>
      <c r="BK23" s="4">
        <v>342.367349042939</v>
      </c>
      <c r="BL23" s="4">
        <v>21.728736983173</v>
      </c>
      <c r="BM23" s="4">
        <v>5.0183263307482102</v>
      </c>
      <c r="BN23" s="4" t="s">
        <v>75</v>
      </c>
      <c r="BO23" s="4">
        <v>1.90855421870979E-2</v>
      </c>
      <c r="BP23" s="4">
        <v>9.4118212266801907E-2</v>
      </c>
      <c r="BQ23" s="4">
        <v>71.970684149604594</v>
      </c>
      <c r="BR23" s="4">
        <v>5.3380766912290003</v>
      </c>
      <c r="BS23" s="4">
        <v>0.17163288980548899</v>
      </c>
      <c r="BT23" s="4" t="s">
        <v>75</v>
      </c>
      <c r="BU23" s="4">
        <v>1.37656502556739E-2</v>
      </c>
      <c r="BV23" s="4">
        <v>2.23962496548669E-2</v>
      </c>
    </row>
    <row r="24" spans="1:74">
      <c r="A24" t="s">
        <v>99</v>
      </c>
      <c r="B24" t="s">
        <v>96</v>
      </c>
      <c r="C24" s="4" t="s">
        <v>75</v>
      </c>
      <c r="D24" s="4">
        <v>3.9087960915025498E-2</v>
      </c>
      <c r="E24" s="4">
        <v>0.14001690295456801</v>
      </c>
      <c r="F24" s="4" t="s">
        <v>75</v>
      </c>
      <c r="G24" s="4">
        <v>0.44078274039948001</v>
      </c>
      <c r="H24" s="4">
        <v>0.96940315572976499</v>
      </c>
      <c r="I24" s="4">
        <v>6.5512495399181496</v>
      </c>
      <c r="J24" s="4">
        <v>0.496007365973199</v>
      </c>
      <c r="K24" s="4">
        <v>0.57000711654027103</v>
      </c>
      <c r="L24" s="4">
        <v>251.48230063390599</v>
      </c>
      <c r="M24" s="4">
        <v>29.706567101614699</v>
      </c>
      <c r="N24" s="4">
        <v>41.394453197835297</v>
      </c>
      <c r="O24" s="4" t="s">
        <v>75</v>
      </c>
      <c r="P24" s="4">
        <v>3.8948038735352603E-2</v>
      </c>
      <c r="Q24" s="4">
        <v>0.156349198788721</v>
      </c>
      <c r="R24" s="4" t="s">
        <v>75</v>
      </c>
      <c r="S24" s="4">
        <v>0.29794845605345099</v>
      </c>
      <c r="T24" s="4">
        <v>0.83954012610317197</v>
      </c>
      <c r="U24" s="4">
        <v>1836.3236365993</v>
      </c>
      <c r="V24" s="4">
        <v>131.876933186462</v>
      </c>
      <c r="W24" s="4">
        <v>2.29701380334122</v>
      </c>
      <c r="X24" s="4">
        <v>1860.30063864211</v>
      </c>
      <c r="Y24" s="4">
        <v>118.58688686921801</v>
      </c>
      <c r="Z24" s="4">
        <v>5.12606419278268</v>
      </c>
      <c r="AA24" s="4">
        <v>418.80104216596601</v>
      </c>
      <c r="AB24" s="4">
        <v>29.225672031372799</v>
      </c>
      <c r="AC24" s="4">
        <v>0.22219111092812699</v>
      </c>
      <c r="AD24" s="4">
        <v>496.54257787824201</v>
      </c>
      <c r="AE24" s="4">
        <v>37.163175733920099</v>
      </c>
      <c r="AF24" s="4">
        <v>0.38441355660952597</v>
      </c>
      <c r="AG24" s="4">
        <v>142.57764896265601</v>
      </c>
      <c r="AH24" s="4">
        <v>11.200505583687301</v>
      </c>
      <c r="AI24" s="4">
        <v>1.6059868790305001</v>
      </c>
      <c r="AJ24" s="4" t="s">
        <v>75</v>
      </c>
      <c r="AK24" s="4">
        <v>5.69398975007622</v>
      </c>
      <c r="AL24" s="4">
        <v>11.832342319557201</v>
      </c>
      <c r="AM24" s="4">
        <v>0.38941206622936803</v>
      </c>
      <c r="AN24" s="4">
        <v>0.27769808400082302</v>
      </c>
      <c r="AO24" s="4">
        <v>6.8992660434113998E-7</v>
      </c>
      <c r="AP24" s="4">
        <v>4.9575987338255496</v>
      </c>
      <c r="AQ24" s="4">
        <v>0.60568637949303705</v>
      </c>
      <c r="AR24" s="4">
        <v>6.2923904236453596E-2</v>
      </c>
      <c r="AS24" s="4">
        <v>2751.1322681219299</v>
      </c>
      <c r="AT24" s="4">
        <v>130.54383851847899</v>
      </c>
      <c r="AU24" s="4">
        <v>10.0132164089763</v>
      </c>
      <c r="AV24" s="4" t="s">
        <v>75</v>
      </c>
      <c r="AW24" s="4">
        <v>8.9541001108164701E-3</v>
      </c>
      <c r="AX24" s="4">
        <v>4.7739300605003997E-2</v>
      </c>
      <c r="AY24" s="4" t="s">
        <v>75</v>
      </c>
      <c r="AZ24" s="4">
        <v>0.462033872111689</v>
      </c>
      <c r="BA24" s="4">
        <v>1.2582606014240101</v>
      </c>
      <c r="BB24" s="4">
        <v>174.142416265977</v>
      </c>
      <c r="BC24" s="4">
        <v>12.3695121847379</v>
      </c>
      <c r="BD24" s="4">
        <v>0.11823512702854801</v>
      </c>
      <c r="BE24" s="4" t="s">
        <v>75</v>
      </c>
      <c r="BF24" s="4">
        <v>6.8975957581540398E-3</v>
      </c>
      <c r="BG24" s="4">
        <v>1.1077345124671E-5</v>
      </c>
      <c r="BH24" s="4" t="s">
        <v>75</v>
      </c>
      <c r="BI24" s="4">
        <v>3.8825749990360601E-4</v>
      </c>
      <c r="BJ24" s="4">
        <v>1.50318946788518E-6</v>
      </c>
      <c r="BK24" s="4">
        <v>287.47197476676399</v>
      </c>
      <c r="BL24" s="4">
        <v>15.500596284084599</v>
      </c>
      <c r="BM24" s="4">
        <v>4.7982069133004197</v>
      </c>
      <c r="BN24" s="4" t="s">
        <v>75</v>
      </c>
      <c r="BO24" s="4">
        <v>2.63545444798538E-2</v>
      </c>
      <c r="BP24" s="4">
        <v>8.9621335879860098E-2</v>
      </c>
      <c r="BQ24" s="4">
        <v>50.244327102799502</v>
      </c>
      <c r="BR24" s="4">
        <v>3.9150359420521301</v>
      </c>
      <c r="BS24" s="4">
        <v>0.163127172849548</v>
      </c>
      <c r="BT24" s="4" t="s">
        <v>75</v>
      </c>
      <c r="BU24" s="4">
        <v>1.13191274255639E-2</v>
      </c>
      <c r="BV24" s="4">
        <v>2.1332484772700399E-2</v>
      </c>
    </row>
    <row r="25" spans="1:74">
      <c r="A25" t="s">
        <v>100</v>
      </c>
      <c r="B25" t="s">
        <v>96</v>
      </c>
      <c r="C25" s="4" t="s">
        <v>75</v>
      </c>
      <c r="D25" s="4">
        <v>2.5884650222091101E-2</v>
      </c>
      <c r="E25" s="4">
        <v>6.4827138343717797E-2</v>
      </c>
      <c r="F25" s="4" t="s">
        <v>75</v>
      </c>
      <c r="G25" s="4">
        <v>0.47857217552849102</v>
      </c>
      <c r="H25" s="4">
        <v>1.34916240699214</v>
      </c>
      <c r="I25" s="4">
        <v>7.5231725828081704</v>
      </c>
      <c r="J25" s="4">
        <v>0.66314038232450701</v>
      </c>
      <c r="K25" s="4">
        <v>0.52719162463879798</v>
      </c>
      <c r="L25" s="4">
        <v>329.83583422274398</v>
      </c>
      <c r="M25" s="4">
        <v>35.006923770950699</v>
      </c>
      <c r="N25" s="4">
        <v>30.143474871673298</v>
      </c>
      <c r="O25" s="4" t="s">
        <v>75</v>
      </c>
      <c r="P25" s="4">
        <v>4.6106812556993497E-2</v>
      </c>
      <c r="Q25" s="4">
        <v>0.10473745743377801</v>
      </c>
      <c r="R25" s="4" t="s">
        <v>75</v>
      </c>
      <c r="S25" s="4">
        <v>0.211252925313998</v>
      </c>
      <c r="T25" s="4">
        <v>0.72559755575448404</v>
      </c>
      <c r="U25" s="4">
        <v>1685.55142502641</v>
      </c>
      <c r="V25" s="4">
        <v>106.30757375079099</v>
      </c>
      <c r="W25" s="4">
        <v>4.0435953175372097</v>
      </c>
      <c r="X25" s="4">
        <v>1674.1983665611399</v>
      </c>
      <c r="Y25" s="4">
        <v>112.351088776811</v>
      </c>
      <c r="Z25" s="4">
        <v>10.88527140653</v>
      </c>
      <c r="AA25" s="4">
        <v>297.66698279995097</v>
      </c>
      <c r="AB25" s="4">
        <v>20.963750856301399</v>
      </c>
      <c r="AC25" s="4">
        <v>0.17404684391030301</v>
      </c>
      <c r="AD25" s="4">
        <v>448.976220455874</v>
      </c>
      <c r="AE25" s="4">
        <v>26.9197197744245</v>
      </c>
      <c r="AF25" s="4">
        <v>0.52148503783769196</v>
      </c>
      <c r="AG25" s="4">
        <v>139.89540885595801</v>
      </c>
      <c r="AH25" s="4">
        <v>10.0381681494794</v>
      </c>
      <c r="AI25" s="4">
        <v>2.0559913682142801</v>
      </c>
      <c r="AJ25" s="4" t="s">
        <v>75</v>
      </c>
      <c r="AK25" s="4">
        <v>7.09193614550842</v>
      </c>
      <c r="AL25" s="4">
        <v>12.144735147804701</v>
      </c>
      <c r="AM25" s="4">
        <v>0.23368462889511801</v>
      </c>
      <c r="AN25" s="4">
        <v>0.16156352303386801</v>
      </c>
      <c r="AO25" s="4">
        <v>0.22819557834566401</v>
      </c>
      <c r="AP25" s="4">
        <v>8.5400414912949092</v>
      </c>
      <c r="AQ25" s="4">
        <v>0.83317328936730495</v>
      </c>
      <c r="AR25" s="4">
        <v>2.38051389802712E-6</v>
      </c>
      <c r="AS25" s="4">
        <v>3339.13558560513</v>
      </c>
      <c r="AT25" s="4">
        <v>250.351561398195</v>
      </c>
      <c r="AU25" s="4">
        <v>15.5859212424178</v>
      </c>
      <c r="AV25" s="4" t="s">
        <v>75</v>
      </c>
      <c r="AW25" s="4">
        <v>1.60845752470061E-2</v>
      </c>
      <c r="AX25" s="4">
        <v>3.6528280213249102E-2</v>
      </c>
      <c r="AY25" s="4" t="s">
        <v>75</v>
      </c>
      <c r="AZ25" s="4">
        <v>0.31337938190655101</v>
      </c>
      <c r="BA25" s="4">
        <v>1.3651523146322999</v>
      </c>
      <c r="BB25" s="4">
        <v>185.930269214318</v>
      </c>
      <c r="BC25" s="4">
        <v>11.131843909887801</v>
      </c>
      <c r="BD25" s="4">
        <v>0.24950277177140601</v>
      </c>
      <c r="BE25" s="4" t="s">
        <v>75</v>
      </c>
      <c r="BF25" s="4">
        <v>8.4400853840021495E-3</v>
      </c>
      <c r="BG25" s="4">
        <v>0.92873643734514899</v>
      </c>
      <c r="BH25" s="4" t="s">
        <v>75</v>
      </c>
      <c r="BI25" s="4">
        <v>4.4048790723425E-4</v>
      </c>
      <c r="BJ25" s="4">
        <v>1.1221595971181301E-6</v>
      </c>
      <c r="BK25" s="4">
        <v>300.38940322839898</v>
      </c>
      <c r="BL25" s="4">
        <v>15.3735302723813</v>
      </c>
      <c r="BM25" s="4">
        <v>6.1505741067229502</v>
      </c>
      <c r="BN25" s="4" t="s">
        <v>75</v>
      </c>
      <c r="BO25" s="4">
        <v>2.1134659910809501E-2</v>
      </c>
      <c r="BP25" s="4">
        <v>7.3818844635419698E-2</v>
      </c>
      <c r="BQ25" s="4">
        <v>65.930398818621697</v>
      </c>
      <c r="BR25" s="4">
        <v>5.4296279427976204</v>
      </c>
      <c r="BS25" s="4">
        <v>0.239834591941265</v>
      </c>
      <c r="BT25" s="4">
        <v>3.12436355986935E-2</v>
      </c>
      <c r="BU25" s="4">
        <v>2.10922000271021E-2</v>
      </c>
      <c r="BV25" s="4">
        <v>2.0853405879138399E-2</v>
      </c>
    </row>
    <row r="26" spans="1:74">
      <c r="A26" t="s">
        <v>101</v>
      </c>
      <c r="B26" t="s">
        <v>96</v>
      </c>
      <c r="C26" s="4" t="s">
        <v>75</v>
      </c>
      <c r="D26" s="4">
        <v>3.0181925393137798E-2</v>
      </c>
      <c r="E26" s="4">
        <v>8.0532042713122698E-2</v>
      </c>
      <c r="F26" s="4" t="s">
        <v>75</v>
      </c>
      <c r="G26" s="4">
        <v>0.3811317722659</v>
      </c>
      <c r="H26" s="4">
        <v>0.76819668451146506</v>
      </c>
      <c r="I26" s="4">
        <v>6.42761828426816</v>
      </c>
      <c r="J26" s="4">
        <v>0.80844963384384005</v>
      </c>
      <c r="K26" s="4">
        <v>0.499052356643226</v>
      </c>
      <c r="L26" s="4">
        <v>153.15217206584899</v>
      </c>
      <c r="M26" s="4">
        <v>24.599967421354801</v>
      </c>
      <c r="N26" s="4">
        <v>30.2824813980789</v>
      </c>
      <c r="O26" s="4" t="s">
        <v>75</v>
      </c>
      <c r="P26" s="4">
        <v>6.4491294615553002E-2</v>
      </c>
      <c r="Q26" s="4">
        <v>0.132287909951567</v>
      </c>
      <c r="R26" s="4" t="s">
        <v>75</v>
      </c>
      <c r="S26" s="4">
        <v>0.49054102894784302</v>
      </c>
      <c r="T26" s="4">
        <v>1.73348348992505</v>
      </c>
      <c r="U26" s="4">
        <v>866.56991265481497</v>
      </c>
      <c r="V26" s="4">
        <v>77.304578008901103</v>
      </c>
      <c r="W26" s="4">
        <v>5.5098980539559701</v>
      </c>
      <c r="X26" s="4">
        <v>882.67344326801697</v>
      </c>
      <c r="Y26" s="4">
        <v>48.4477879523185</v>
      </c>
      <c r="Z26" s="4">
        <v>6.7944453050767599</v>
      </c>
      <c r="AA26" s="4">
        <v>72.255956880941795</v>
      </c>
      <c r="AB26" s="4">
        <v>6.78513776852345</v>
      </c>
      <c r="AC26" s="4">
        <v>0.34805201241131101</v>
      </c>
      <c r="AD26" s="4">
        <v>335.994366133992</v>
      </c>
      <c r="AE26" s="4">
        <v>29.951006644692701</v>
      </c>
      <c r="AF26" s="4">
        <v>0.2009070811384</v>
      </c>
      <c r="AG26" s="4">
        <v>21.962062557891301</v>
      </c>
      <c r="AH26" s="4">
        <v>2.7805695864026498</v>
      </c>
      <c r="AI26" s="4">
        <v>1.65252517397114</v>
      </c>
      <c r="AJ26" s="4" t="s">
        <v>75</v>
      </c>
      <c r="AK26" s="4">
        <v>4.70659403800249</v>
      </c>
      <c r="AL26" s="4">
        <v>17.9781854358997</v>
      </c>
      <c r="AM26" s="4" t="s">
        <v>75</v>
      </c>
      <c r="AN26" s="4">
        <v>7.7504304576514499E-2</v>
      </c>
      <c r="AO26" s="4">
        <v>0.18340949602164699</v>
      </c>
      <c r="AP26" s="4">
        <v>2.0224716524533202</v>
      </c>
      <c r="AQ26" s="4">
        <v>0.34951773210741999</v>
      </c>
      <c r="AR26" s="4">
        <v>0.12716766086808501</v>
      </c>
      <c r="AS26" s="4">
        <v>2380.7904709213799</v>
      </c>
      <c r="AT26" s="4">
        <v>135.38238785737801</v>
      </c>
      <c r="AU26" s="4">
        <v>14.3872555421383</v>
      </c>
      <c r="AV26" s="4">
        <v>9.4639179231144101E-3</v>
      </c>
      <c r="AW26" s="4">
        <v>2.3243883803089199E-2</v>
      </c>
      <c r="AX26" s="4">
        <v>1.7283048432556E-4</v>
      </c>
      <c r="AY26" s="4" t="s">
        <v>75</v>
      </c>
      <c r="AZ26" s="4">
        <v>0.37380398883793098</v>
      </c>
      <c r="BA26" s="4">
        <v>0.77534741465307599</v>
      </c>
      <c r="BB26" s="4">
        <v>26.312852328212902</v>
      </c>
      <c r="BC26" s="4">
        <v>2.73987426233706</v>
      </c>
      <c r="BD26" s="4">
        <v>0.14529758228685</v>
      </c>
      <c r="BE26" s="4" t="s">
        <v>75</v>
      </c>
      <c r="BF26" s="4">
        <v>1.0934346974089E-2</v>
      </c>
      <c r="BG26" s="4">
        <v>9.4211170933909306E-6</v>
      </c>
      <c r="BH26" s="4" t="s">
        <v>75</v>
      </c>
      <c r="BI26" s="4">
        <v>5.6480480428829896E-4</v>
      </c>
      <c r="BJ26" s="4">
        <v>1.3087028935353399E-6</v>
      </c>
      <c r="BK26" s="4">
        <v>282.37717989686701</v>
      </c>
      <c r="BL26" s="4">
        <v>21.1519239015655</v>
      </c>
      <c r="BM26" s="4">
        <v>8.1282785966266697</v>
      </c>
      <c r="BN26" s="4" t="s">
        <v>75</v>
      </c>
      <c r="BO26" s="4">
        <v>1.8977143595773301E-2</v>
      </c>
      <c r="BP26" s="4">
        <v>3.2705543333152003E-2</v>
      </c>
      <c r="BQ26" s="4">
        <v>5.6865040531553204</v>
      </c>
      <c r="BR26" s="4">
        <v>0.69307765984762704</v>
      </c>
      <c r="BS26" s="4">
        <v>0.218641645705309</v>
      </c>
      <c r="BT26" s="4" t="s">
        <v>75</v>
      </c>
      <c r="BU26" s="4">
        <v>3.4369728672266498E-3</v>
      </c>
      <c r="BV26" s="4">
        <v>1.30195735350818E-2</v>
      </c>
    </row>
    <row r="27" spans="1:74">
      <c r="A27" t="s">
        <v>102</v>
      </c>
      <c r="B27" t="s">
        <v>96</v>
      </c>
      <c r="C27" s="4">
        <v>4.9403649323280202E-2</v>
      </c>
      <c r="D27" s="4">
        <v>4.4119875450200199E-2</v>
      </c>
      <c r="E27" s="4">
        <v>4.5984562217629699E-2</v>
      </c>
      <c r="F27" s="4" t="s">
        <v>75</v>
      </c>
      <c r="G27" s="4">
        <v>0.49778305281716201</v>
      </c>
      <c r="H27" s="4">
        <v>0.95723739360953497</v>
      </c>
      <c r="I27" s="4">
        <v>6.4054031230202098</v>
      </c>
      <c r="J27" s="4">
        <v>0.60913731081753297</v>
      </c>
      <c r="K27" s="4">
        <v>0.382734649464127</v>
      </c>
      <c r="L27" s="4">
        <v>249.51392491081899</v>
      </c>
      <c r="M27" s="4">
        <v>27.3700369706625</v>
      </c>
      <c r="N27" s="4">
        <v>25.910968759121399</v>
      </c>
      <c r="O27" s="4" t="s">
        <v>75</v>
      </c>
      <c r="P27" s="4">
        <v>1.33892029820004E-2</v>
      </c>
      <c r="Q27" s="4">
        <v>0.1923210925619</v>
      </c>
      <c r="R27" s="4" t="s">
        <v>75</v>
      </c>
      <c r="S27" s="4">
        <v>0.28787079690872303</v>
      </c>
      <c r="T27" s="4">
        <v>1.2624859240536199</v>
      </c>
      <c r="U27" s="4">
        <v>2022.97457756736</v>
      </c>
      <c r="V27" s="4">
        <v>170.26068922783301</v>
      </c>
      <c r="W27" s="4">
        <v>5.9098414602013696</v>
      </c>
      <c r="X27" s="4">
        <v>2061.0583112039499</v>
      </c>
      <c r="Y27" s="4">
        <v>148.80459119213501</v>
      </c>
      <c r="Z27" s="4">
        <v>9.4388109452388704</v>
      </c>
      <c r="AA27" s="4">
        <v>210.033414596206</v>
      </c>
      <c r="AB27" s="4">
        <v>18.207028145613801</v>
      </c>
      <c r="AC27" s="4">
        <v>0.17569308673606801</v>
      </c>
      <c r="AD27" s="4">
        <v>562.17523527582102</v>
      </c>
      <c r="AE27" s="4">
        <v>35.237328998577702</v>
      </c>
      <c r="AF27" s="4">
        <v>0.34462758245408498</v>
      </c>
      <c r="AG27" s="4">
        <v>197.95141285769199</v>
      </c>
      <c r="AH27" s="4">
        <v>19.5267788423422</v>
      </c>
      <c r="AI27" s="4">
        <v>1.28534940647909</v>
      </c>
      <c r="AJ27" s="4" t="s">
        <v>75</v>
      </c>
      <c r="AK27" s="4">
        <v>5.2612548780277697</v>
      </c>
      <c r="AL27" s="4">
        <v>14.037136671797599</v>
      </c>
      <c r="AM27" s="4">
        <v>0.30145201878254801</v>
      </c>
      <c r="AN27" s="4">
        <v>0.238386324812036</v>
      </c>
      <c r="AO27" s="4">
        <v>0.109383363717774</v>
      </c>
      <c r="AP27" s="4">
        <v>5.03158223796071</v>
      </c>
      <c r="AQ27" s="4">
        <v>0.80942761791844897</v>
      </c>
      <c r="AR27" s="4">
        <v>3.9544905923427E-6</v>
      </c>
      <c r="AS27" s="4">
        <v>2791.6832061611999</v>
      </c>
      <c r="AT27" s="4">
        <v>191.96781842701901</v>
      </c>
      <c r="AU27" s="4">
        <v>9.2012852394525506</v>
      </c>
      <c r="AV27" s="4" t="s">
        <v>75</v>
      </c>
      <c r="AW27" s="4">
        <v>7.5893737978459004E-3</v>
      </c>
      <c r="AX27" s="4">
        <v>4.8151880647458303E-2</v>
      </c>
      <c r="AY27" s="4">
        <v>0.66409656700892405</v>
      </c>
      <c r="AZ27" s="4">
        <v>0.461634466865741</v>
      </c>
      <c r="BA27" s="4">
        <v>0.63487447364915595</v>
      </c>
      <c r="BB27" s="4">
        <v>227.93186085684999</v>
      </c>
      <c r="BC27" s="4">
        <v>16.391495917940201</v>
      </c>
      <c r="BD27" s="4">
        <v>9.8478827761581803E-2</v>
      </c>
      <c r="BE27" s="4" t="s">
        <v>75</v>
      </c>
      <c r="BF27" s="4">
        <v>9.9852742582546006E-3</v>
      </c>
      <c r="BG27" s="4">
        <v>1.30242128029191E-5</v>
      </c>
      <c r="BH27" s="4" t="s">
        <v>75</v>
      </c>
      <c r="BI27" s="4">
        <v>5.2538752322527299E-4</v>
      </c>
      <c r="BJ27" s="4">
        <v>1.8099139773986999E-6</v>
      </c>
      <c r="BK27" s="4">
        <v>262.87955118377101</v>
      </c>
      <c r="BL27" s="4">
        <v>19.718188693058</v>
      </c>
      <c r="BM27" s="4">
        <v>5.4291106741843898</v>
      </c>
      <c r="BN27" s="4">
        <v>2.97041520176861E-2</v>
      </c>
      <c r="BO27" s="4">
        <v>2.54314866275883E-2</v>
      </c>
      <c r="BP27" s="4">
        <v>2.89233785843101E-2</v>
      </c>
      <c r="BQ27" s="4">
        <v>61.407550747343898</v>
      </c>
      <c r="BR27" s="4">
        <v>5.7092082428220197</v>
      </c>
      <c r="BS27" s="4">
        <v>0.13351907734558299</v>
      </c>
      <c r="BT27" s="4" t="s">
        <v>75</v>
      </c>
      <c r="BU27" s="4">
        <v>1.40546435508859E-2</v>
      </c>
      <c r="BV27" s="4">
        <v>2.25551366279137E-2</v>
      </c>
    </row>
    <row r="28" spans="1:74">
      <c r="A28" t="s">
        <v>103</v>
      </c>
      <c r="B28" t="s">
        <v>96</v>
      </c>
      <c r="C28" s="4" t="s">
        <v>75</v>
      </c>
      <c r="D28" s="4">
        <v>1.8858554327259101E-2</v>
      </c>
      <c r="E28" s="4">
        <v>6.8565417997603906E-2</v>
      </c>
      <c r="F28" s="4" t="s">
        <v>75</v>
      </c>
      <c r="G28" s="4">
        <v>0.314577589319466</v>
      </c>
      <c r="H28" s="4">
        <v>0.911714654593487</v>
      </c>
      <c r="I28" s="4">
        <v>6.38207661101886</v>
      </c>
      <c r="J28" s="4">
        <v>0.638571044937149</v>
      </c>
      <c r="K28" s="4">
        <v>0.23168461099427601</v>
      </c>
      <c r="L28" s="4">
        <v>278.39857960701698</v>
      </c>
      <c r="M28" s="4">
        <v>33.040498789761898</v>
      </c>
      <c r="N28" s="4">
        <v>33.634724142880799</v>
      </c>
      <c r="O28" s="4" t="s">
        <v>75</v>
      </c>
      <c r="P28" s="4">
        <v>6.5700308355123305E-2</v>
      </c>
      <c r="Q28" s="4">
        <v>0.153345131101468</v>
      </c>
      <c r="R28" s="4" t="s">
        <v>75</v>
      </c>
      <c r="S28" s="4">
        <v>0.26530429008782902</v>
      </c>
      <c r="T28" s="4">
        <v>0.82412167416478399</v>
      </c>
      <c r="U28" s="4">
        <v>2335.0032952527799</v>
      </c>
      <c r="V28" s="4">
        <v>171.68387093534199</v>
      </c>
      <c r="W28" s="4">
        <v>6.8289853226998796</v>
      </c>
      <c r="X28" s="4">
        <v>2291.8530692683198</v>
      </c>
      <c r="Y28" s="4">
        <v>159.627120847122</v>
      </c>
      <c r="Z28" s="4">
        <v>9.4617326409555904</v>
      </c>
      <c r="AA28" s="4">
        <v>339.41166914938702</v>
      </c>
      <c r="AB28" s="4">
        <v>31.798504383332101</v>
      </c>
      <c r="AC28" s="4">
        <v>0.35610210433716699</v>
      </c>
      <c r="AD28" s="4">
        <v>689.38480482592297</v>
      </c>
      <c r="AE28" s="4">
        <v>49.722876249520098</v>
      </c>
      <c r="AF28" s="4">
        <v>0.55102384801460103</v>
      </c>
      <c r="AG28" s="4">
        <v>196.53322323827999</v>
      </c>
      <c r="AH28" s="4">
        <v>17.358557702071199</v>
      </c>
      <c r="AI28" s="4">
        <v>1.6768680473102999</v>
      </c>
      <c r="AJ28" s="4" t="s">
        <v>75</v>
      </c>
      <c r="AK28" s="4">
        <v>5.5826028045037503</v>
      </c>
      <c r="AL28" s="4">
        <v>21.1924494297661</v>
      </c>
      <c r="AM28" s="4">
        <v>0.123743412510339</v>
      </c>
      <c r="AN28" s="4">
        <v>0.115550259859627</v>
      </c>
      <c r="AO28" s="4">
        <v>5.8319136848622995E-7</v>
      </c>
      <c r="AP28" s="4">
        <v>5.1533085062714399</v>
      </c>
      <c r="AQ28" s="4">
        <v>0.51991704270817896</v>
      </c>
      <c r="AR28" s="4">
        <v>2.8123448611506598E-6</v>
      </c>
      <c r="AS28" s="4">
        <v>2837.6402527075902</v>
      </c>
      <c r="AT28" s="4">
        <v>195.26896286365101</v>
      </c>
      <c r="AU28" s="4">
        <v>8.0452213717662602</v>
      </c>
      <c r="AV28" s="4">
        <v>3.4607398069888499E-3</v>
      </c>
      <c r="AW28" s="4">
        <v>2.0918980324916299E-2</v>
      </c>
      <c r="AX28" s="4">
        <v>2.5349472199106199E-5</v>
      </c>
      <c r="AY28" s="4" t="s">
        <v>75</v>
      </c>
      <c r="AZ28" s="4">
        <v>0.43087071767388302</v>
      </c>
      <c r="BA28" s="4">
        <v>1.07980515673222</v>
      </c>
      <c r="BB28" s="4">
        <v>218.260757934906</v>
      </c>
      <c r="BC28" s="4">
        <v>14.9601328032978</v>
      </c>
      <c r="BD28" s="4">
        <v>0.19421695331550901</v>
      </c>
      <c r="BE28" s="4" t="s">
        <v>75</v>
      </c>
      <c r="BF28" s="4">
        <v>1.04241482172584E-2</v>
      </c>
      <c r="BG28" s="4">
        <v>9.9057918285889993E-6</v>
      </c>
      <c r="BH28" s="4" t="s">
        <v>75</v>
      </c>
      <c r="BI28" s="4">
        <v>5.4601947399499702E-4</v>
      </c>
      <c r="BJ28" s="4">
        <v>6.5756067470855495E-2</v>
      </c>
      <c r="BK28" s="4">
        <v>272.39343904177798</v>
      </c>
      <c r="BL28" s="4">
        <v>18.118261951405199</v>
      </c>
      <c r="BM28" s="4">
        <v>6.6514981175345396</v>
      </c>
      <c r="BN28" s="4" t="s">
        <v>75</v>
      </c>
      <c r="BO28" s="4">
        <v>1.9739391767403799E-2</v>
      </c>
      <c r="BP28" s="4">
        <v>0.13293428166333199</v>
      </c>
      <c r="BQ28" s="4">
        <v>56.705888566211598</v>
      </c>
      <c r="BR28" s="4">
        <v>5.0146443603245601</v>
      </c>
      <c r="BS28" s="4">
        <v>0.17960290304264001</v>
      </c>
      <c r="BT28" s="4">
        <v>3.8595318203593903E-4</v>
      </c>
      <c r="BU28" s="4">
        <v>6.70108716672405E-3</v>
      </c>
      <c r="BV28" s="4">
        <v>9.4650190389284792E-6</v>
      </c>
    </row>
    <row r="29" spans="1:74">
      <c r="A29" t="s">
        <v>104</v>
      </c>
      <c r="B29" t="s">
        <v>96</v>
      </c>
      <c r="C29" s="4" t="s">
        <v>75</v>
      </c>
      <c r="D29" s="4">
        <v>4.1584779642765302E-2</v>
      </c>
      <c r="E29" s="4">
        <v>7.5405557920462302E-2</v>
      </c>
      <c r="F29" s="4" t="s">
        <v>75</v>
      </c>
      <c r="G29" s="4">
        <v>0.49010372485682702</v>
      </c>
      <c r="H29" s="4">
        <v>1.0026212985593299</v>
      </c>
      <c r="I29" s="4">
        <v>7.8123960449226404</v>
      </c>
      <c r="J29" s="4">
        <v>0.75428877775035097</v>
      </c>
      <c r="K29" s="4">
        <v>0.25394784317490399</v>
      </c>
      <c r="L29" s="4">
        <v>276.77601171810301</v>
      </c>
      <c r="M29" s="4">
        <v>20.917441829988501</v>
      </c>
      <c r="N29" s="4">
        <v>37.082532284672297</v>
      </c>
      <c r="O29" s="4" t="s">
        <v>75</v>
      </c>
      <c r="P29" s="4">
        <v>8.4583949251545207E-2</v>
      </c>
      <c r="Q29" s="4">
        <v>0.169068483161223</v>
      </c>
      <c r="R29" s="4" t="s">
        <v>75</v>
      </c>
      <c r="S29" s="4">
        <v>0.34159050961256099</v>
      </c>
      <c r="T29" s="4">
        <v>0.90949558062301405</v>
      </c>
      <c r="U29" s="4">
        <v>340.38778232887</v>
      </c>
      <c r="V29" s="4">
        <v>26.200346225781299</v>
      </c>
      <c r="W29" s="4">
        <v>7.52657658004608</v>
      </c>
      <c r="X29" s="4">
        <v>352.64547932768102</v>
      </c>
      <c r="Y29" s="4">
        <v>32.544571457853799</v>
      </c>
      <c r="Z29" s="4">
        <v>10.4294234094661</v>
      </c>
      <c r="AA29" s="4">
        <v>34.452861565993103</v>
      </c>
      <c r="AB29" s="4">
        <v>3.3797547987615499</v>
      </c>
      <c r="AC29" s="4">
        <v>0.39331619395317602</v>
      </c>
      <c r="AD29" s="4">
        <v>116.613615835256</v>
      </c>
      <c r="AE29" s="4">
        <v>10.147293737783199</v>
      </c>
      <c r="AF29" s="4">
        <v>0.60707500667927305</v>
      </c>
      <c r="AG29" s="4">
        <v>6.6055789611791997</v>
      </c>
      <c r="AH29" s="4">
        <v>1.5130855927817799</v>
      </c>
      <c r="AI29" s="4">
        <v>1.8475790369365901</v>
      </c>
      <c r="AJ29" s="4" t="s">
        <v>75</v>
      </c>
      <c r="AK29" s="4">
        <v>5.3041989640422802</v>
      </c>
      <c r="AL29" s="4">
        <v>23.306482992259301</v>
      </c>
      <c r="AM29" s="4">
        <v>0.40837440582186701</v>
      </c>
      <c r="AN29" s="4">
        <v>0.23510787586197501</v>
      </c>
      <c r="AO29" s="4">
        <v>6.4150590684088302E-7</v>
      </c>
      <c r="AP29" s="4">
        <v>0.366938147581508</v>
      </c>
      <c r="AQ29" s="4">
        <v>0.171408920367318</v>
      </c>
      <c r="AR29" s="4">
        <v>3.1009202172046002E-6</v>
      </c>
      <c r="AS29" s="4">
        <v>3581.1834499104302</v>
      </c>
      <c r="AT29" s="4">
        <v>171.59604243486899</v>
      </c>
      <c r="AU29" s="4">
        <v>8.8479115030956006</v>
      </c>
      <c r="AV29" s="4" t="s">
        <v>75</v>
      </c>
      <c r="AW29" s="4">
        <v>1.7129514829624701E-2</v>
      </c>
      <c r="AX29" s="4">
        <v>2.7882966262356201E-5</v>
      </c>
      <c r="AY29" s="4" t="s">
        <v>75</v>
      </c>
      <c r="AZ29" s="4">
        <v>0.33977144720608699</v>
      </c>
      <c r="BA29" s="4">
        <v>1.18685065541636</v>
      </c>
      <c r="BB29" s="4">
        <v>6.4950143395309903</v>
      </c>
      <c r="BC29" s="4">
        <v>0.70663759307472296</v>
      </c>
      <c r="BD29" s="4">
        <v>0.21362346609645499</v>
      </c>
      <c r="BE29" s="4" t="s">
        <v>75</v>
      </c>
      <c r="BF29" s="4">
        <v>0.21152009206263001</v>
      </c>
      <c r="BG29" s="4">
        <v>1.08990354978652E-5</v>
      </c>
      <c r="BH29" s="4" t="s">
        <v>75</v>
      </c>
      <c r="BI29" s="4">
        <v>4.37045736113017E-4</v>
      </c>
      <c r="BJ29" s="4">
        <v>7.2364778194152699E-2</v>
      </c>
      <c r="BK29" s="4">
        <v>141.74180056002399</v>
      </c>
      <c r="BL29" s="4">
        <v>7.1591741732333896</v>
      </c>
      <c r="BM29" s="4">
        <v>7.3650071716363303</v>
      </c>
      <c r="BN29" s="4" t="s">
        <v>75</v>
      </c>
      <c r="BO29" s="4">
        <v>2.4269785700357201E-2</v>
      </c>
      <c r="BP29" s="4">
        <v>0.14631192984098701</v>
      </c>
      <c r="BQ29" s="4">
        <v>2.1031661737599299</v>
      </c>
      <c r="BR29" s="4">
        <v>0.42590737692236802</v>
      </c>
      <c r="BS29" s="4">
        <v>0.19706627782928501</v>
      </c>
      <c r="BT29" s="4">
        <v>1.6118295290830701E-2</v>
      </c>
      <c r="BU29" s="4">
        <v>1.6002574521214698E-2</v>
      </c>
      <c r="BV29" s="4">
        <v>1.04098667260644E-5</v>
      </c>
    </row>
    <row r="30" spans="1:74">
      <c r="A30" t="s">
        <v>105</v>
      </c>
      <c r="B30" t="s">
        <v>96</v>
      </c>
      <c r="C30" s="4" t="s">
        <v>75</v>
      </c>
      <c r="D30" s="4">
        <v>5.4175388823503201E-2</v>
      </c>
      <c r="E30" s="4">
        <v>7.4700698070095994E-2</v>
      </c>
      <c r="F30" s="4" t="s">
        <v>75</v>
      </c>
      <c r="G30" s="4">
        <v>0.42261279285835801</v>
      </c>
      <c r="H30" s="4">
        <v>0.99318837582640895</v>
      </c>
      <c r="I30" s="4">
        <v>5.76887666584404</v>
      </c>
      <c r="J30" s="4">
        <v>0.77377838272330202</v>
      </c>
      <c r="K30" s="4">
        <v>0.25074576187516601</v>
      </c>
      <c r="L30" s="4">
        <v>393.624560515474</v>
      </c>
      <c r="M30" s="4">
        <v>48.002834849330704</v>
      </c>
      <c r="N30" s="4">
        <v>36.827512666838103</v>
      </c>
      <c r="O30" s="4" t="s">
        <v>75</v>
      </c>
      <c r="P30" s="4">
        <v>7.5393775559360804E-2</v>
      </c>
      <c r="Q30" s="4">
        <v>0.16789813978194101</v>
      </c>
      <c r="R30" s="4" t="s">
        <v>75</v>
      </c>
      <c r="S30" s="4">
        <v>0.29129681770923399</v>
      </c>
      <c r="T30" s="4">
        <v>0.90403845602179</v>
      </c>
      <c r="U30" s="4">
        <v>400.96554468742698</v>
      </c>
      <c r="V30" s="4">
        <v>58.452434061948502</v>
      </c>
      <c r="W30" s="4">
        <v>7.47236075194437</v>
      </c>
      <c r="X30" s="4">
        <v>400.03222376485098</v>
      </c>
      <c r="Y30" s="4">
        <v>52.613738832319697</v>
      </c>
      <c r="Z30" s="4">
        <v>10.3551479329142</v>
      </c>
      <c r="AA30" s="4">
        <v>46.933353255552099</v>
      </c>
      <c r="AB30" s="4">
        <v>6.6584425397958302</v>
      </c>
      <c r="AC30" s="4">
        <v>0.39129612731834801</v>
      </c>
      <c r="AD30" s="4">
        <v>130.22246595666499</v>
      </c>
      <c r="AE30" s="4">
        <v>18.609422035593202</v>
      </c>
      <c r="AF30" s="4">
        <v>0.60245625471872899</v>
      </c>
      <c r="AG30" s="4">
        <v>9.5694842120654808</v>
      </c>
      <c r="AH30" s="4">
        <v>1.84090382257681</v>
      </c>
      <c r="AI30" s="4">
        <v>1.8337885131338101</v>
      </c>
      <c r="AJ30" s="4" t="s">
        <v>75</v>
      </c>
      <c r="AK30" s="4">
        <v>6.1615934327649198</v>
      </c>
      <c r="AL30" s="4">
        <v>23.089038824684199</v>
      </c>
      <c r="AM30" s="4">
        <v>8.5140935532709197E-2</v>
      </c>
      <c r="AN30" s="4">
        <v>0.14097599952392201</v>
      </c>
      <c r="AO30" s="4">
        <v>6.3563005239816198E-7</v>
      </c>
      <c r="AP30" s="4">
        <v>0.36552349187543098</v>
      </c>
      <c r="AQ30" s="4">
        <v>0.16401654674933799</v>
      </c>
      <c r="AR30" s="4">
        <v>3.0798723762134901E-6</v>
      </c>
      <c r="AS30" s="4">
        <v>2693.0636063120401</v>
      </c>
      <c r="AT30" s="4">
        <v>188.167922534544</v>
      </c>
      <c r="AU30" s="4">
        <v>8.7651764492206805</v>
      </c>
      <c r="AV30" s="4">
        <v>7.3312208257967403E-3</v>
      </c>
      <c r="AW30" s="4">
        <v>2.12790168320438E-2</v>
      </c>
      <c r="AX30" s="4">
        <v>2.76265805663482E-5</v>
      </c>
      <c r="AY30" s="4" t="s">
        <v>75</v>
      </c>
      <c r="AZ30" s="4">
        <v>0.66726733596314902</v>
      </c>
      <c r="BA30" s="4">
        <v>1.17508275291044</v>
      </c>
      <c r="BB30" s="4">
        <v>9.4834945357068694</v>
      </c>
      <c r="BC30" s="4">
        <v>1.2965610312640199</v>
      </c>
      <c r="BD30" s="4">
        <v>0.21166074716500699</v>
      </c>
      <c r="BE30" s="4" t="s">
        <v>75</v>
      </c>
      <c r="BF30" s="4">
        <v>1.04314809710751E-2</v>
      </c>
      <c r="BG30" s="4">
        <v>1.07990772373043E-5</v>
      </c>
      <c r="BH30" s="4" t="s">
        <v>75</v>
      </c>
      <c r="BI30" s="4">
        <v>5.2860791006874796E-4</v>
      </c>
      <c r="BJ30" s="4">
        <v>7.1707901497186893E-2</v>
      </c>
      <c r="BK30" s="4">
        <v>110.26907854567401</v>
      </c>
      <c r="BL30" s="4">
        <v>7.3924366485769699</v>
      </c>
      <c r="BM30" s="4">
        <v>7.34366547531745</v>
      </c>
      <c r="BN30" s="4" t="s">
        <v>75</v>
      </c>
      <c r="BO30" s="4">
        <v>1.6190721323533799E-2</v>
      </c>
      <c r="BP30" s="4">
        <v>0.145007651115372</v>
      </c>
      <c r="BQ30" s="4">
        <v>4.0821924360391604</v>
      </c>
      <c r="BR30" s="4">
        <v>1.7810712024905899</v>
      </c>
      <c r="BS30" s="4">
        <v>0.19477560043860401</v>
      </c>
      <c r="BT30" s="4">
        <v>2.4078650788877401E-2</v>
      </c>
      <c r="BU30" s="4">
        <v>1.97340592670785E-2</v>
      </c>
      <c r="BV30" s="4">
        <v>1.0312953835422999E-5</v>
      </c>
    </row>
    <row r="31" spans="1:74">
      <c r="A31" t="s">
        <v>106</v>
      </c>
      <c r="B31" t="s">
        <v>96</v>
      </c>
      <c r="C31" s="4" t="s">
        <v>75</v>
      </c>
      <c r="D31" s="4">
        <v>4.3674384742025403E-2</v>
      </c>
      <c r="E31" s="4">
        <v>4.46739032011048E-2</v>
      </c>
      <c r="F31" s="4" t="s">
        <v>75</v>
      </c>
      <c r="G31" s="4">
        <v>0.49952433654480699</v>
      </c>
      <c r="H31" s="4">
        <v>0.61158574206349003</v>
      </c>
      <c r="I31" s="4">
        <v>6.0134920130901603</v>
      </c>
      <c r="J31" s="4">
        <v>0.54819392592120497</v>
      </c>
      <c r="K31" s="4">
        <v>0.51279821803616199</v>
      </c>
      <c r="L31" s="4">
        <v>246.85525091332099</v>
      </c>
      <c r="M31" s="4">
        <v>24.740158596165902</v>
      </c>
      <c r="N31" s="4">
        <v>22.129252733119799</v>
      </c>
      <c r="O31" s="4" t="s">
        <v>75</v>
      </c>
      <c r="P31" s="4">
        <v>3.08613821133427E-2</v>
      </c>
      <c r="Q31" s="4">
        <v>7.0052188490909301E-2</v>
      </c>
      <c r="R31" s="4" t="s">
        <v>75</v>
      </c>
      <c r="S31" s="4">
        <v>0.42402275089617802</v>
      </c>
      <c r="T31" s="4">
        <v>0.73499935553132301</v>
      </c>
      <c r="U31" s="4">
        <v>835.28185347822898</v>
      </c>
      <c r="V31" s="4">
        <v>52.190523971909698</v>
      </c>
      <c r="W31" s="4">
        <v>10.4293624387495</v>
      </c>
      <c r="X31" s="4">
        <v>856.70895992328894</v>
      </c>
      <c r="Y31" s="4">
        <v>49.365926605107198</v>
      </c>
      <c r="Z31" s="4">
        <v>5.9566975260436497</v>
      </c>
      <c r="AA31" s="4">
        <v>65.346857614699701</v>
      </c>
      <c r="AB31" s="4">
        <v>4.5404974467284998</v>
      </c>
      <c r="AC31" s="4">
        <v>8.1191131537956101E-6</v>
      </c>
      <c r="AD31" s="4">
        <v>327.26095285285902</v>
      </c>
      <c r="AE31" s="4">
        <v>26.396997285688698</v>
      </c>
      <c r="AF31" s="4">
        <v>0.45618922138593099</v>
      </c>
      <c r="AG31" s="4">
        <v>16.296495450884201</v>
      </c>
      <c r="AH31" s="4">
        <v>2.0476115965708899</v>
      </c>
      <c r="AI31" s="4">
        <v>1.86032787712611</v>
      </c>
      <c r="AJ31" s="4" t="s">
        <v>75</v>
      </c>
      <c r="AK31" s="4">
        <v>4.7878182936948201</v>
      </c>
      <c r="AL31" s="4">
        <v>17.157181646280002</v>
      </c>
      <c r="AM31" s="4" t="s">
        <v>75</v>
      </c>
      <c r="AN31" s="4">
        <v>4.4559239402520302E-2</v>
      </c>
      <c r="AO31" s="4">
        <v>0.20355793192299401</v>
      </c>
      <c r="AP31" s="4">
        <v>0.88312746687166499</v>
      </c>
      <c r="AQ31" s="4">
        <v>0.25653314913723901</v>
      </c>
      <c r="AR31" s="4">
        <v>3.2117567089747799E-6</v>
      </c>
      <c r="AS31" s="4">
        <v>2530.6937053141401</v>
      </c>
      <c r="AT31" s="4">
        <v>174.83073832772101</v>
      </c>
      <c r="AU31" s="4">
        <v>13.026392416206599</v>
      </c>
      <c r="AV31" s="4" t="s">
        <v>75</v>
      </c>
      <c r="AW31" s="4">
        <v>2.5763495561739101E-2</v>
      </c>
      <c r="AX31" s="4">
        <v>5.0583096293533497E-2</v>
      </c>
      <c r="AY31" s="4" t="s">
        <v>75</v>
      </c>
      <c r="AZ31" s="4">
        <v>0.35744344794367</v>
      </c>
      <c r="BA31" s="4">
        <v>0.739076121567941</v>
      </c>
      <c r="BB31" s="4">
        <v>18.288437649566099</v>
      </c>
      <c r="BC31" s="4">
        <v>1.7081702916060799</v>
      </c>
      <c r="BD31" s="4">
        <v>0.28861166204966299</v>
      </c>
      <c r="BE31" s="4" t="s">
        <v>75</v>
      </c>
      <c r="BF31" s="4">
        <v>1.0801331025391599E-2</v>
      </c>
      <c r="BG31" s="4">
        <v>1.0463055506782701E-5</v>
      </c>
      <c r="BH31" s="4" t="s">
        <v>75</v>
      </c>
      <c r="BI31" s="4">
        <v>5.5276871599449398E-4</v>
      </c>
      <c r="BJ31" s="4">
        <v>1.4546875764785201E-6</v>
      </c>
      <c r="BK31" s="4">
        <v>106.404063150696</v>
      </c>
      <c r="BL31" s="4">
        <v>9.4763700964742306</v>
      </c>
      <c r="BM31" s="4">
        <v>10.4594717762978</v>
      </c>
      <c r="BN31" s="4">
        <v>3.90860705391778E-2</v>
      </c>
      <c r="BO31" s="4">
        <v>3.3499464094994602E-2</v>
      </c>
      <c r="BP31" s="4">
        <v>3.6415635741505303E-2</v>
      </c>
      <c r="BQ31" s="4">
        <v>5.8842401101922199</v>
      </c>
      <c r="BR31" s="4">
        <v>0.55408308631940795</v>
      </c>
      <c r="BS31" s="4">
        <v>0.17467256371781401</v>
      </c>
      <c r="BT31" s="4">
        <v>2.3706921599010701E-2</v>
      </c>
      <c r="BU31" s="4">
        <v>1.8020081314068799E-2</v>
      </c>
      <c r="BV31" s="4">
        <v>1.9073610890046899E-2</v>
      </c>
    </row>
    <row r="32" spans="1:74">
      <c r="A32" t="s">
        <v>107</v>
      </c>
      <c r="B32" t="s">
        <v>96</v>
      </c>
      <c r="C32" s="4" t="s">
        <v>75</v>
      </c>
      <c r="D32" s="4">
        <v>2.28537955180164E-2</v>
      </c>
      <c r="E32" s="4">
        <v>6.4399678670596205E-2</v>
      </c>
      <c r="F32" s="4" t="s">
        <v>75</v>
      </c>
      <c r="G32" s="4">
        <v>0.65015869278729999</v>
      </c>
      <c r="H32" s="4">
        <v>0.88397431517542902</v>
      </c>
      <c r="I32" s="4">
        <v>4.3549128155364203</v>
      </c>
      <c r="J32" s="4">
        <v>0.50593399709537101</v>
      </c>
      <c r="K32" s="4">
        <v>0.63710095445301795</v>
      </c>
      <c r="L32" s="4">
        <v>759.90933618237398</v>
      </c>
      <c r="M32" s="4">
        <v>59.331692934952699</v>
      </c>
      <c r="N32" s="4">
        <v>43.479464908875897</v>
      </c>
      <c r="O32" s="4" t="s">
        <v>75</v>
      </c>
      <c r="P32" s="4">
        <v>0.102813989455701</v>
      </c>
      <c r="Q32" s="4">
        <v>0.20317988738750201</v>
      </c>
      <c r="R32" s="4" t="s">
        <v>75</v>
      </c>
      <c r="S32" s="4">
        <v>0.36415919825368898</v>
      </c>
      <c r="T32" s="4">
        <v>1.0733556507513999</v>
      </c>
      <c r="U32" s="4">
        <v>2307.1642447658901</v>
      </c>
      <c r="V32" s="4">
        <v>229.244543428447</v>
      </c>
      <c r="W32" s="4">
        <v>8.4352758465654905</v>
      </c>
      <c r="X32" s="4">
        <v>2367.6358917749899</v>
      </c>
      <c r="Y32" s="4">
        <v>240.528328528808</v>
      </c>
      <c r="Z32" s="4">
        <v>9.5523450730385608</v>
      </c>
      <c r="AA32" s="4">
        <v>930.810290105734</v>
      </c>
      <c r="AB32" s="4">
        <v>103.807076165434</v>
      </c>
      <c r="AC32" s="4">
        <v>0.39344342551906702</v>
      </c>
      <c r="AD32" s="4">
        <v>564.35937109647102</v>
      </c>
      <c r="AE32" s="4">
        <v>46.650709452805302</v>
      </c>
      <c r="AF32" s="4">
        <v>0.444415762288973</v>
      </c>
      <c r="AG32" s="4">
        <v>113.41682341548901</v>
      </c>
      <c r="AH32" s="4">
        <v>12.713195912853999</v>
      </c>
      <c r="AI32" s="4">
        <v>2.2152363547520499</v>
      </c>
      <c r="AJ32" s="4" t="s">
        <v>75</v>
      </c>
      <c r="AK32" s="4">
        <v>6.1422441465308104</v>
      </c>
      <c r="AL32" s="4">
        <v>13.497427175156499</v>
      </c>
      <c r="AM32" s="4">
        <v>0.73174789397123496</v>
      </c>
      <c r="AN32" s="4">
        <v>0.33048120203421899</v>
      </c>
      <c r="AO32" s="4">
        <v>5.3050764787342696E-7</v>
      </c>
      <c r="AP32" s="4">
        <v>2.7935109292940501</v>
      </c>
      <c r="AQ32" s="4">
        <v>0.46332730810790002</v>
      </c>
      <c r="AR32" s="4">
        <v>2.5996185406847401E-6</v>
      </c>
      <c r="AS32" s="4">
        <v>2743.73141039541</v>
      </c>
      <c r="AT32" s="4">
        <v>223.66334197681101</v>
      </c>
      <c r="AU32" s="4">
        <v>13.552854943117699</v>
      </c>
      <c r="AV32" s="4" t="s">
        <v>75</v>
      </c>
      <c r="AW32" s="4">
        <v>3.1812893059245201E-2</v>
      </c>
      <c r="AX32" s="4">
        <v>8.7788826119702207E-2</v>
      </c>
      <c r="AY32" s="4">
        <v>0.83005352758872797</v>
      </c>
      <c r="AZ32" s="4">
        <v>0.40379839760164998</v>
      </c>
      <c r="BA32" s="4">
        <v>0.72446015621743098</v>
      </c>
      <c r="BB32" s="4">
        <v>135.530170264915</v>
      </c>
      <c r="BC32" s="4">
        <v>11.603655637665099</v>
      </c>
      <c r="BD32" s="4">
        <v>0.31947668511531202</v>
      </c>
      <c r="BE32" s="4" t="s">
        <v>75</v>
      </c>
      <c r="BF32" s="4">
        <v>0.205297053717893</v>
      </c>
      <c r="BG32" s="4">
        <v>8.4272270934306496E-6</v>
      </c>
      <c r="BH32" s="4" t="s">
        <v>75</v>
      </c>
      <c r="BI32" s="4">
        <v>6.3195619837538104E-4</v>
      </c>
      <c r="BJ32" s="4">
        <v>5.0107793950422801E-2</v>
      </c>
      <c r="BK32" s="4">
        <v>96.520185686706796</v>
      </c>
      <c r="BL32" s="4">
        <v>9.8140653456435292</v>
      </c>
      <c r="BM32" s="4">
        <v>11.5110619261156</v>
      </c>
      <c r="BN32" s="4" t="s">
        <v>75</v>
      </c>
      <c r="BO32" s="4">
        <v>2.8054679035833498E-2</v>
      </c>
      <c r="BP32" s="4">
        <v>9.7095605550128097E-2</v>
      </c>
      <c r="BQ32" s="4">
        <v>45.6387231737543</v>
      </c>
      <c r="BR32" s="4">
        <v>4.098998201303</v>
      </c>
      <c r="BS32" s="4">
        <v>9.3582591815552896E-2</v>
      </c>
      <c r="BT32" s="4" t="s">
        <v>75</v>
      </c>
      <c r="BU32" s="4">
        <v>1.33858383781935E-2</v>
      </c>
      <c r="BV32" s="4">
        <v>2.0779306164076201E-2</v>
      </c>
    </row>
    <row r="33" spans="1:74">
      <c r="A33" t="s">
        <v>108</v>
      </c>
      <c r="B33" t="s">
        <v>96</v>
      </c>
      <c r="C33" s="4" t="s">
        <v>75</v>
      </c>
      <c r="D33" s="4">
        <v>4.4715076833778997E-2</v>
      </c>
      <c r="E33" s="4">
        <v>7.0924922282117595E-2</v>
      </c>
      <c r="F33" s="4" t="s">
        <v>75</v>
      </c>
      <c r="G33" s="4">
        <v>0.63478204990888398</v>
      </c>
      <c r="H33" s="4">
        <v>0.97345119027925198</v>
      </c>
      <c r="I33" s="4">
        <v>5.3895719994775302</v>
      </c>
      <c r="J33" s="4">
        <v>0.48483593242227202</v>
      </c>
      <c r="K33" s="4">
        <v>0.69973319476672402</v>
      </c>
      <c r="L33" s="4">
        <v>489.703984876287</v>
      </c>
      <c r="M33" s="4">
        <v>36.1425298802342</v>
      </c>
      <c r="N33" s="4">
        <v>47.992178937739702</v>
      </c>
      <c r="O33" s="4" t="s">
        <v>75</v>
      </c>
      <c r="P33" s="4">
        <v>6.2181750715843802E-2</v>
      </c>
      <c r="Q33" s="4">
        <v>0.22417469722429101</v>
      </c>
      <c r="R33" s="4" t="s">
        <v>75</v>
      </c>
      <c r="S33" s="4">
        <v>0.54835380085491103</v>
      </c>
      <c r="T33" s="4">
        <v>1.18501761541623</v>
      </c>
      <c r="U33" s="4">
        <v>1609.47639709486</v>
      </c>
      <c r="V33" s="4">
        <v>77.162646979706494</v>
      </c>
      <c r="W33" s="4">
        <v>9.3082362604822908</v>
      </c>
      <c r="X33" s="4">
        <v>1623.03169063781</v>
      </c>
      <c r="Y33" s="4">
        <v>66.428700058329298</v>
      </c>
      <c r="Z33" s="4">
        <v>10.5399328484633</v>
      </c>
      <c r="AA33" s="4">
        <v>306.03712976581897</v>
      </c>
      <c r="AB33" s="4">
        <v>14.298055463536301</v>
      </c>
      <c r="AC33" s="4">
        <v>0.43481596195488098</v>
      </c>
      <c r="AD33" s="4">
        <v>551.06147588928695</v>
      </c>
      <c r="AE33" s="4">
        <v>23.7589598564096</v>
      </c>
      <c r="AF33" s="4">
        <v>0.490141739041206</v>
      </c>
      <c r="AG33" s="4">
        <v>53.1931214359753</v>
      </c>
      <c r="AH33" s="4">
        <v>3.41863817078411</v>
      </c>
      <c r="AI33" s="4">
        <v>2.4445023464176199</v>
      </c>
      <c r="AJ33" s="4" t="s">
        <v>75</v>
      </c>
      <c r="AK33" s="4">
        <v>6.9836590383820196</v>
      </c>
      <c r="AL33" s="4">
        <v>14.867191471584199</v>
      </c>
      <c r="AM33" s="4">
        <v>0.29560557544919103</v>
      </c>
      <c r="AN33" s="4">
        <v>0.22370625711709599</v>
      </c>
      <c r="AO33" s="4">
        <v>5.8425521247777795E-7</v>
      </c>
      <c r="AP33" s="4">
        <v>3.9563728560308902</v>
      </c>
      <c r="AQ33" s="4">
        <v>0.63108217391695898</v>
      </c>
      <c r="AR33" s="4">
        <v>2.8696746724477999E-6</v>
      </c>
      <c r="AS33" s="4">
        <v>2509.6216235939301</v>
      </c>
      <c r="AT33" s="4">
        <v>102.519152944929</v>
      </c>
      <c r="AU33" s="4">
        <v>14.924255051598299</v>
      </c>
      <c r="AV33" s="4" t="s">
        <v>75</v>
      </c>
      <c r="AW33" s="4">
        <v>1.62829396768241E-2</v>
      </c>
      <c r="AX33" s="4">
        <v>9.6691434144659999E-2</v>
      </c>
      <c r="AY33" s="4" t="s">
        <v>75</v>
      </c>
      <c r="AZ33" s="4">
        <v>0.42306828745012798</v>
      </c>
      <c r="BA33" s="4">
        <v>0.79741884774034699</v>
      </c>
      <c r="BB33" s="4">
        <v>66.372760362011107</v>
      </c>
      <c r="BC33" s="4">
        <v>3.36587797654219</v>
      </c>
      <c r="BD33" s="4">
        <v>0.35192405494279699</v>
      </c>
      <c r="BE33" s="4" t="s">
        <v>75</v>
      </c>
      <c r="BF33" s="4">
        <v>7.5873665113006597E-3</v>
      </c>
      <c r="BG33" s="4">
        <v>9.2895985457226598E-6</v>
      </c>
      <c r="BH33" s="4" t="s">
        <v>75</v>
      </c>
      <c r="BI33" s="4">
        <v>3.8629907960198201E-4</v>
      </c>
      <c r="BJ33" s="4">
        <v>5.5205583719380801E-2</v>
      </c>
      <c r="BK33" s="4">
        <v>456.42065449823798</v>
      </c>
      <c r="BL33" s="4">
        <v>57.946423152442499</v>
      </c>
      <c r="BM33" s="4">
        <v>12.758783888406599</v>
      </c>
      <c r="BN33" s="4" t="s">
        <v>75</v>
      </c>
      <c r="BO33" s="4">
        <v>2.07165163977743E-2</v>
      </c>
      <c r="BP33" s="4">
        <v>0.107010824527138</v>
      </c>
      <c r="BQ33" s="4">
        <v>27.357822894518399</v>
      </c>
      <c r="BR33" s="4">
        <v>2.6407447074294002</v>
      </c>
      <c r="BS33" s="4">
        <v>0.102850197493407</v>
      </c>
      <c r="BT33" s="4" t="s">
        <v>75</v>
      </c>
      <c r="BU33" s="4">
        <v>1.0347901000730301E-2</v>
      </c>
      <c r="BV33" s="4">
        <v>2.28831741539877E-2</v>
      </c>
    </row>
    <row r="34" spans="1:74">
      <c r="A34" t="s">
        <v>109</v>
      </c>
      <c r="B34" t="s">
        <v>96</v>
      </c>
      <c r="C34" s="4" t="s">
        <v>75</v>
      </c>
      <c r="D34" s="4">
        <v>2.8493766727167701E-2</v>
      </c>
      <c r="E34" s="4">
        <v>0.111371608971921</v>
      </c>
      <c r="F34" s="4" t="s">
        <v>75</v>
      </c>
      <c r="G34" s="4">
        <v>0.758195362973486</v>
      </c>
      <c r="H34" s="4">
        <v>1.0006664813091499</v>
      </c>
      <c r="I34" s="4">
        <v>5.4890618117442997</v>
      </c>
      <c r="J34" s="4">
        <v>0.58513667227983501</v>
      </c>
      <c r="K34" s="4">
        <v>0.33399420098746802</v>
      </c>
      <c r="L34" s="4">
        <v>879.94460389240601</v>
      </c>
      <c r="M34" s="4">
        <v>48.920960575931602</v>
      </c>
      <c r="N34" s="4">
        <v>46.569746292262501</v>
      </c>
      <c r="O34" s="4" t="s">
        <v>75</v>
      </c>
      <c r="P34" s="4">
        <v>6.09139365562546E-2</v>
      </c>
      <c r="Q34" s="4">
        <v>0.35297272631219201</v>
      </c>
      <c r="R34" s="4" t="s">
        <v>75</v>
      </c>
      <c r="S34" s="4">
        <v>0.20724169038429099</v>
      </c>
      <c r="T34" s="4">
        <v>0.59278831500235296</v>
      </c>
      <c r="U34" s="4">
        <v>1569.7720143199699</v>
      </c>
      <c r="V34" s="4">
        <v>99.858804815854697</v>
      </c>
      <c r="W34" s="4">
        <v>9.6923436648632393</v>
      </c>
      <c r="X34" s="4">
        <v>1583.598099202</v>
      </c>
      <c r="Y34" s="4">
        <v>106.692342821919</v>
      </c>
      <c r="Z34" s="4">
        <v>7.3249107868180401</v>
      </c>
      <c r="AA34" s="4">
        <v>863.01816498279004</v>
      </c>
      <c r="AB34" s="4">
        <v>56.948509273783898</v>
      </c>
      <c r="AC34" s="4">
        <v>8.2590561403080599E-6</v>
      </c>
      <c r="AD34" s="4">
        <v>294.42174349995298</v>
      </c>
      <c r="AE34" s="4">
        <v>20.9166341173392</v>
      </c>
      <c r="AF34" s="4">
        <v>0.66036657534462295</v>
      </c>
      <c r="AG34" s="4">
        <v>63.034035054888598</v>
      </c>
      <c r="AH34" s="4">
        <v>6.5049162008513601</v>
      </c>
      <c r="AI34" s="4">
        <v>2.1141200374085001</v>
      </c>
      <c r="AJ34" s="4">
        <v>10.1630331472401</v>
      </c>
      <c r="AK34" s="4">
        <v>4.8160940967176504</v>
      </c>
      <c r="AL34" s="4">
        <v>6.1596143008349804</v>
      </c>
      <c r="AM34" s="4">
        <v>0.47498353874271498</v>
      </c>
      <c r="AN34" s="4">
        <v>0.23204660819911099</v>
      </c>
      <c r="AO34" s="4">
        <v>6.5979018151957295E-7</v>
      </c>
      <c r="AP34" s="4">
        <v>2.5394853610774102</v>
      </c>
      <c r="AQ34" s="4">
        <v>0.45518114349165301</v>
      </c>
      <c r="AR34" s="4">
        <v>3.2477540874589898E-6</v>
      </c>
      <c r="AS34" s="4">
        <v>3232.7619831898201</v>
      </c>
      <c r="AT34" s="4">
        <v>182.54767954162699</v>
      </c>
      <c r="AU34" s="4">
        <v>12.4034304224843</v>
      </c>
      <c r="AV34" s="4" t="s">
        <v>75</v>
      </c>
      <c r="AW34" s="4">
        <v>2.5835266733320001E-2</v>
      </c>
      <c r="AX34" s="4">
        <v>2.9982771533703899E-2</v>
      </c>
      <c r="AY34" s="4" t="s">
        <v>75</v>
      </c>
      <c r="AZ34" s="4">
        <v>0.47461166163943802</v>
      </c>
      <c r="BA34" s="4">
        <v>0.98604068236202203</v>
      </c>
      <c r="BB34" s="4">
        <v>79.238788640783596</v>
      </c>
      <c r="BC34" s="4">
        <v>7.5331111671157798</v>
      </c>
      <c r="BD34" s="4">
        <v>0.187632257023123</v>
      </c>
      <c r="BE34" s="4" t="s">
        <v>75</v>
      </c>
      <c r="BF34" s="4">
        <v>8.9041936119884993E-3</v>
      </c>
      <c r="BG34" s="4">
        <v>1.0500813474630201E-5</v>
      </c>
      <c r="BH34" s="4" t="s">
        <v>75</v>
      </c>
      <c r="BI34" s="4">
        <v>4.4368778858772101E-4</v>
      </c>
      <c r="BJ34" s="4">
        <v>1.4568665577641401E-6</v>
      </c>
      <c r="BK34" s="4">
        <v>111.01054725347799</v>
      </c>
      <c r="BL34" s="4">
        <v>5.7496834761139901</v>
      </c>
      <c r="BM34" s="4">
        <v>10.911399388008</v>
      </c>
      <c r="BN34" s="4" t="s">
        <v>75</v>
      </c>
      <c r="BO34" s="4">
        <v>2.3558533756151901E-2</v>
      </c>
      <c r="BP34" s="4">
        <v>7.0067145227670699E-2</v>
      </c>
      <c r="BQ34" s="4">
        <v>27.944311990733102</v>
      </c>
      <c r="BR34" s="4">
        <v>2.0872132626360198</v>
      </c>
      <c r="BS34" s="4">
        <v>0.16352089680265799</v>
      </c>
      <c r="BT34" s="4" t="s">
        <v>75</v>
      </c>
      <c r="BU34" s="4">
        <v>6.2721463480030701E-3</v>
      </c>
      <c r="BV34" s="4">
        <v>3.5970921267974798E-2</v>
      </c>
    </row>
    <row r="35" spans="1:74">
      <c r="A35" t="s">
        <v>110</v>
      </c>
      <c r="B35" t="s">
        <v>96</v>
      </c>
      <c r="C35" s="4" t="s">
        <v>75</v>
      </c>
      <c r="D35" s="4">
        <v>3.6778071206248798E-2</v>
      </c>
      <c r="E35" s="4">
        <v>0.165269676367399</v>
      </c>
      <c r="F35" s="4" t="s">
        <v>75</v>
      </c>
      <c r="G35" s="4">
        <v>0.55869471203512899</v>
      </c>
      <c r="H35" s="4">
        <v>1.14030234132417</v>
      </c>
      <c r="I35" s="4">
        <v>6.87226436409978</v>
      </c>
      <c r="J35" s="4">
        <v>0.58112517448729495</v>
      </c>
      <c r="K35" s="4">
        <v>0.73220566144263499</v>
      </c>
      <c r="L35" s="4">
        <v>163.45597283764599</v>
      </c>
      <c r="M35" s="4">
        <v>32.286102710410098</v>
      </c>
      <c r="N35" s="4">
        <v>42.340038808014299</v>
      </c>
      <c r="O35" s="4" t="s">
        <v>75</v>
      </c>
      <c r="P35" s="4">
        <v>9.7431545783598195E-2</v>
      </c>
      <c r="Q35" s="4">
        <v>0.31704885103323299</v>
      </c>
      <c r="R35" s="4" t="s">
        <v>75</v>
      </c>
      <c r="S35" s="4">
        <v>0.54149615890856295</v>
      </c>
      <c r="T35" s="4">
        <v>1.35042871393827</v>
      </c>
      <c r="U35" s="4">
        <v>1293.5064837632999</v>
      </c>
      <c r="V35" s="4">
        <v>68.695327178508094</v>
      </c>
      <c r="W35" s="4">
        <v>7.8635168525103696</v>
      </c>
      <c r="X35" s="4">
        <v>1302.38679062048</v>
      </c>
      <c r="Y35" s="4">
        <v>65.734959407360705</v>
      </c>
      <c r="Z35" s="4">
        <v>11.497859747299501</v>
      </c>
      <c r="AA35" s="4">
        <v>217.74439986685101</v>
      </c>
      <c r="AB35" s="4">
        <v>13.591168748934599</v>
      </c>
      <c r="AC35" s="4">
        <v>0.15253168892467101</v>
      </c>
      <c r="AD35" s="4">
        <v>469.32449171046898</v>
      </c>
      <c r="AE35" s="4">
        <v>30.768569265662499</v>
      </c>
      <c r="AF35" s="4">
        <v>0.17159970297329499</v>
      </c>
      <c r="AG35" s="4">
        <v>40.5046596613387</v>
      </c>
      <c r="AH35" s="4">
        <v>4.0888209779854296</v>
      </c>
      <c r="AI35" s="4">
        <v>1.9076830086182099</v>
      </c>
      <c r="AJ35" s="4" t="s">
        <v>75</v>
      </c>
      <c r="AK35" s="4">
        <v>7.4773031526768801</v>
      </c>
      <c r="AL35" s="4">
        <v>13.0984336728097</v>
      </c>
      <c r="AM35" s="4">
        <v>0.18946579019432</v>
      </c>
      <c r="AN35" s="4">
        <v>0.155409099145666</v>
      </c>
      <c r="AO35" s="4">
        <v>8.7165151645323097E-7</v>
      </c>
      <c r="AP35" s="4">
        <v>1.15752109735347</v>
      </c>
      <c r="AQ35" s="4">
        <v>0.22503638856119301</v>
      </c>
      <c r="AR35" s="4">
        <v>8.2215527491339105E-2</v>
      </c>
      <c r="AS35" s="4">
        <v>2303.7262119162801</v>
      </c>
      <c r="AT35" s="4">
        <v>130.280075001125</v>
      </c>
      <c r="AU35" s="4">
        <v>21.798597589383998</v>
      </c>
      <c r="AV35" s="4" t="s">
        <v>75</v>
      </c>
      <c r="AW35" s="4">
        <v>1.0051964367252701E-2</v>
      </c>
      <c r="AX35" s="4">
        <v>6.4152252583642502E-2</v>
      </c>
      <c r="AY35" s="4" t="s">
        <v>75</v>
      </c>
      <c r="AZ35" s="4">
        <v>0.48106505245574299</v>
      </c>
      <c r="BA35" s="4">
        <v>1.1168062308453199</v>
      </c>
      <c r="BB35" s="4">
        <v>38.826406881446999</v>
      </c>
      <c r="BC35" s="4">
        <v>3.0554146425562001</v>
      </c>
      <c r="BD35" s="4">
        <v>0.17887598710869301</v>
      </c>
      <c r="BE35" s="4" t="s">
        <v>75</v>
      </c>
      <c r="BF35" s="4">
        <v>1.25427228308221E-2</v>
      </c>
      <c r="BG35" s="4">
        <v>1.38898911840416E-5</v>
      </c>
      <c r="BH35" s="4" t="s">
        <v>75</v>
      </c>
      <c r="BI35" s="4">
        <v>5.9200719165557897E-4</v>
      </c>
      <c r="BJ35" s="4">
        <v>1.9255403986032101E-6</v>
      </c>
      <c r="BK35" s="4">
        <v>171.132117612569</v>
      </c>
      <c r="BL35" s="4">
        <v>11.0393695062199</v>
      </c>
      <c r="BM35" s="4">
        <v>8.9103415176535794</v>
      </c>
      <c r="BN35" s="4" t="s">
        <v>75</v>
      </c>
      <c r="BO35" s="4">
        <v>2.8772432268448299E-2</v>
      </c>
      <c r="BP35" s="4">
        <v>5.8094532647978203E-2</v>
      </c>
      <c r="BQ35" s="4">
        <v>8.4795780871825599</v>
      </c>
      <c r="BR35" s="4">
        <v>0.67951263189598599</v>
      </c>
      <c r="BS35" s="4">
        <v>0.24442140176475499</v>
      </c>
      <c r="BT35" s="4" t="s">
        <v>75</v>
      </c>
      <c r="BU35" s="4">
        <v>1.9133811765980099E-2</v>
      </c>
      <c r="BV35" s="4">
        <v>6.9758712964456696E-2</v>
      </c>
    </row>
    <row r="36" spans="1:74">
      <c r="A36" t="s">
        <v>111</v>
      </c>
      <c r="B36" t="s">
        <v>96</v>
      </c>
      <c r="C36" s="4" t="s">
        <v>75</v>
      </c>
      <c r="D36" s="4">
        <v>3.8544678339639898E-2</v>
      </c>
      <c r="E36" s="4">
        <v>6.4974679403608404E-2</v>
      </c>
      <c r="F36" s="4" t="s">
        <v>75</v>
      </c>
      <c r="G36" s="4">
        <v>0.54331749052104095</v>
      </c>
      <c r="H36" s="4">
        <v>1.3721146939216</v>
      </c>
      <c r="I36" s="4">
        <v>5.5656794458314502</v>
      </c>
      <c r="J36" s="4">
        <v>0.60697638408277999</v>
      </c>
      <c r="K36" s="4">
        <v>0.658005598816645</v>
      </c>
      <c r="L36" s="4">
        <v>617.74127642074404</v>
      </c>
      <c r="M36" s="4">
        <v>41.269174669770003</v>
      </c>
      <c r="N36" s="4">
        <v>27.561216006887701</v>
      </c>
      <c r="O36" s="4" t="s">
        <v>75</v>
      </c>
      <c r="P36" s="4">
        <v>8.6031838455861404E-2</v>
      </c>
      <c r="Q36" s="4">
        <v>0.16691419885632</v>
      </c>
      <c r="R36" s="4" t="s">
        <v>75</v>
      </c>
      <c r="S36" s="4">
        <v>0.33952532450329298</v>
      </c>
      <c r="T36" s="4">
        <v>0.91075287605906396</v>
      </c>
      <c r="U36" s="4">
        <v>752.63581621867502</v>
      </c>
      <c r="V36" s="4">
        <v>50.711535629913399</v>
      </c>
      <c r="W36" s="4">
        <v>8.7877329828801098</v>
      </c>
      <c r="X36" s="4">
        <v>752.93705641547399</v>
      </c>
      <c r="Y36" s="4">
        <v>62.080629524637502</v>
      </c>
      <c r="Z36" s="4">
        <v>8.8407289763232395</v>
      </c>
      <c r="AA36" s="4">
        <v>288.206196665628</v>
      </c>
      <c r="AB36" s="4">
        <v>16.498416413508401</v>
      </c>
      <c r="AC36" s="4">
        <v>0.358598323138418</v>
      </c>
      <c r="AD36" s="4">
        <v>180.757077969432</v>
      </c>
      <c r="AE36" s="4">
        <v>9.4828768384695898</v>
      </c>
      <c r="AF36" s="4">
        <v>0.65352831910175901</v>
      </c>
      <c r="AG36" s="4">
        <v>33.695039792882604</v>
      </c>
      <c r="AH36" s="4">
        <v>4.3823344793671897</v>
      </c>
      <c r="AI36" s="4">
        <v>1.83373008207943</v>
      </c>
      <c r="AJ36" s="4" t="s">
        <v>75</v>
      </c>
      <c r="AK36" s="4">
        <v>5.9255247949705998</v>
      </c>
      <c r="AL36" s="4">
        <v>12.9146634295138</v>
      </c>
      <c r="AM36" s="4">
        <v>6.7446987038147596E-2</v>
      </c>
      <c r="AN36" s="4">
        <v>0.125240503211103</v>
      </c>
      <c r="AO36" s="4">
        <v>9.4744003962185697E-7</v>
      </c>
      <c r="AP36" s="4">
        <v>2.3764094674287799</v>
      </c>
      <c r="AQ36" s="4">
        <v>0.399319321973234</v>
      </c>
      <c r="AR36" s="4">
        <v>8.26935408936815E-2</v>
      </c>
      <c r="AS36" s="4">
        <v>2827.7286567225001</v>
      </c>
      <c r="AT36" s="4">
        <v>134.888902012984</v>
      </c>
      <c r="AU36" s="4">
        <v>9.6804042007658992</v>
      </c>
      <c r="AV36" s="4" t="s">
        <v>75</v>
      </c>
      <c r="AW36" s="4">
        <v>1.17233398348069E-2</v>
      </c>
      <c r="AX36" s="4">
        <v>5.9513593129774799E-2</v>
      </c>
      <c r="AY36" s="4" t="s">
        <v>75</v>
      </c>
      <c r="AZ36" s="4">
        <v>0.52369679129583802</v>
      </c>
      <c r="BA36" s="4">
        <v>1.34114529111265</v>
      </c>
      <c r="BB36" s="4">
        <v>42.537871061674899</v>
      </c>
      <c r="BC36" s="4">
        <v>3.8683199178889902</v>
      </c>
      <c r="BD36" s="4">
        <v>6.21892292802615E-2</v>
      </c>
      <c r="BE36" s="4" t="s">
        <v>75</v>
      </c>
      <c r="BF36" s="4">
        <v>1.20115480597572E-2</v>
      </c>
      <c r="BG36" s="4">
        <v>1.51171987050413E-5</v>
      </c>
      <c r="BH36" s="4" t="s">
        <v>75</v>
      </c>
      <c r="BI36" s="4">
        <v>5.8962725388020799E-4</v>
      </c>
      <c r="BJ36" s="4">
        <v>2.0939464649762499E-6</v>
      </c>
      <c r="BK36" s="4">
        <v>147.69779639324301</v>
      </c>
      <c r="BL36" s="4">
        <v>9.4787595856173805</v>
      </c>
      <c r="BM36" s="4">
        <v>8.11418967999019</v>
      </c>
      <c r="BN36" s="4" t="s">
        <v>75</v>
      </c>
      <c r="BO36" s="4">
        <v>1.6568525427514701E-2</v>
      </c>
      <c r="BP36" s="4">
        <v>5.2459123922661402E-2</v>
      </c>
      <c r="BQ36" s="4">
        <v>16.470023791784701</v>
      </c>
      <c r="BR36" s="4">
        <v>1.37519878374968</v>
      </c>
      <c r="BS36" s="4">
        <v>0.178066374061742</v>
      </c>
      <c r="BT36" s="4" t="s">
        <v>75</v>
      </c>
      <c r="BU36" s="4">
        <v>1.4031895923107799E-2</v>
      </c>
      <c r="BV36" s="4">
        <v>3.3892579888214897E-2</v>
      </c>
    </row>
    <row r="37" spans="1:74">
      <c r="A37" t="s">
        <v>112</v>
      </c>
      <c r="B37" t="s">
        <v>96</v>
      </c>
      <c r="C37" s="4" t="s">
        <v>75</v>
      </c>
      <c r="D37" s="4">
        <v>6.0232007593578302E-2</v>
      </c>
      <c r="E37" s="4">
        <v>6.8662173939455007E-2</v>
      </c>
      <c r="F37" s="4" t="s">
        <v>75</v>
      </c>
      <c r="G37" s="4">
        <v>0.79703732250418202</v>
      </c>
      <c r="H37" s="4">
        <v>1.4498880290484299</v>
      </c>
      <c r="I37" s="4">
        <v>7.3340305343071703</v>
      </c>
      <c r="J37" s="4">
        <v>0.95210830740990804</v>
      </c>
      <c r="K37" s="4">
        <v>0.69382002606239301</v>
      </c>
      <c r="L37" s="4">
        <v>236.58018030483501</v>
      </c>
      <c r="M37" s="4">
        <v>29.466854717494201</v>
      </c>
      <c r="N37" s="4">
        <v>29.181459999331199</v>
      </c>
      <c r="O37" s="4" t="s">
        <v>75</v>
      </c>
      <c r="P37" s="4">
        <v>5.3407686748207402E-2</v>
      </c>
      <c r="Q37" s="4">
        <v>0.17662041948162099</v>
      </c>
      <c r="R37" s="4" t="s">
        <v>75</v>
      </c>
      <c r="S37" s="4">
        <v>0.57750257704186403</v>
      </c>
      <c r="T37" s="4">
        <v>0.96407286716584495</v>
      </c>
      <c r="U37" s="4">
        <v>1104.2385694965301</v>
      </c>
      <c r="V37" s="4">
        <v>115.720893357541</v>
      </c>
      <c r="W37" s="4">
        <v>9.3028211737063806</v>
      </c>
      <c r="X37" s="4">
        <v>1087.38251663802</v>
      </c>
      <c r="Y37" s="4">
        <v>83.473705258162994</v>
      </c>
      <c r="Z37" s="4">
        <v>9.3570275740497504</v>
      </c>
      <c r="AA37" s="4">
        <v>191.639768692818</v>
      </c>
      <c r="AB37" s="4">
        <v>18.092455227773002</v>
      </c>
      <c r="AC37" s="4">
        <v>0.37998143911066401</v>
      </c>
      <c r="AD37" s="4">
        <v>401.905730583241</v>
      </c>
      <c r="AE37" s="4">
        <v>43.0019956623184</v>
      </c>
      <c r="AF37" s="4">
        <v>0.69137627093043197</v>
      </c>
      <c r="AG37" s="4">
        <v>13.037836060523899</v>
      </c>
      <c r="AH37" s="4">
        <v>3.21617737962525</v>
      </c>
      <c r="AI37" s="4">
        <v>1.9414587947484201</v>
      </c>
      <c r="AJ37" s="4" t="s">
        <v>75</v>
      </c>
      <c r="AK37" s="4">
        <v>6.4835830303895801</v>
      </c>
      <c r="AL37" s="4">
        <v>13.650482979508901</v>
      </c>
      <c r="AM37" s="4">
        <v>0.35701891716606698</v>
      </c>
      <c r="AN37" s="4">
        <v>0.37449618877858598</v>
      </c>
      <c r="AO37" s="4">
        <v>1.0010098018302499E-6</v>
      </c>
      <c r="AP37" s="4">
        <v>1.0445811580933</v>
      </c>
      <c r="AQ37" s="4">
        <v>0.25642546771923402</v>
      </c>
      <c r="AR37" s="4">
        <v>8.7563207735410403E-2</v>
      </c>
      <c r="AS37" s="4">
        <v>2654.75817522546</v>
      </c>
      <c r="AT37" s="4">
        <v>166.92374387237501</v>
      </c>
      <c r="AU37" s="4">
        <v>10.2274267374906</v>
      </c>
      <c r="AV37" s="4" t="s">
        <v>75</v>
      </c>
      <c r="AW37" s="4">
        <v>2.6237544984485901E-2</v>
      </c>
      <c r="AX37" s="4">
        <v>6.2892705010254193E-2</v>
      </c>
      <c r="AY37" s="4" t="s">
        <v>75</v>
      </c>
      <c r="AZ37" s="4">
        <v>0.49063907881212598</v>
      </c>
      <c r="BA37" s="4">
        <v>1.41649977749206</v>
      </c>
      <c r="BB37" s="4">
        <v>10.628623926211</v>
      </c>
      <c r="BC37" s="4">
        <v>1.5449130118874801</v>
      </c>
      <c r="BD37" s="4">
        <v>6.5733698532045706E-2</v>
      </c>
      <c r="BE37" s="4" t="s">
        <v>75</v>
      </c>
      <c r="BF37" s="4">
        <v>1.31344635505983E-2</v>
      </c>
      <c r="BG37" s="4">
        <v>1.5994051628565399E-5</v>
      </c>
      <c r="BH37" s="4" t="s">
        <v>75</v>
      </c>
      <c r="BI37" s="4">
        <v>6.5835759282647198E-4</v>
      </c>
      <c r="BJ37" s="4">
        <v>2.2134574157122199E-6</v>
      </c>
      <c r="BK37" s="4">
        <v>158.084139661698</v>
      </c>
      <c r="BL37" s="4">
        <v>11.2903689257094</v>
      </c>
      <c r="BM37" s="4">
        <v>8.6236821397932903</v>
      </c>
      <c r="BN37" s="4" t="s">
        <v>75</v>
      </c>
      <c r="BO37" s="4">
        <v>2.5356292482014601E-2</v>
      </c>
      <c r="BP37" s="4">
        <v>5.5474331715404002E-2</v>
      </c>
      <c r="BQ37" s="4">
        <v>2.2029736478182498</v>
      </c>
      <c r="BR37" s="4">
        <v>0.40123366043467101</v>
      </c>
      <c r="BS37" s="4">
        <v>0.187831545489163</v>
      </c>
      <c r="BT37" s="4" t="s">
        <v>75</v>
      </c>
      <c r="BU37" s="4">
        <v>9.3411880344292098E-3</v>
      </c>
      <c r="BV37" s="4">
        <v>3.5811645164714898E-2</v>
      </c>
    </row>
    <row r="38" spans="1:74">
      <c r="A38" t="s">
        <v>113</v>
      </c>
      <c r="B38" t="s">
        <v>114</v>
      </c>
      <c r="C38" s="4" t="s">
        <v>75</v>
      </c>
      <c r="D38" s="4">
        <v>3.3836597466377197E-2</v>
      </c>
      <c r="E38" s="4">
        <v>3.9947950434355797E-2</v>
      </c>
      <c r="F38" s="4" t="s">
        <v>75</v>
      </c>
      <c r="G38" s="4">
        <v>0.64863053649770797</v>
      </c>
      <c r="H38" s="4">
        <v>1.30884249208263</v>
      </c>
      <c r="I38" s="4">
        <v>5.9604820367068703</v>
      </c>
      <c r="J38" s="4">
        <v>0.69869063979220403</v>
      </c>
      <c r="K38" s="4">
        <v>0.352164911020035</v>
      </c>
      <c r="L38" s="4">
        <v>91.413185380904494</v>
      </c>
      <c r="M38" s="4">
        <v>20.8515905793877</v>
      </c>
      <c r="N38" s="4">
        <v>18.750027390841701</v>
      </c>
      <c r="O38" s="4" t="s">
        <v>75</v>
      </c>
      <c r="P38" s="4">
        <v>5.1283059835668998E-2</v>
      </c>
      <c r="Q38" s="4">
        <v>0.17605063323085299</v>
      </c>
      <c r="R38" s="4" t="s">
        <v>75</v>
      </c>
      <c r="S38" s="4">
        <v>0.45932006357760802</v>
      </c>
      <c r="T38" s="4">
        <v>0.967072241419482</v>
      </c>
      <c r="U38" s="4">
        <v>1874.62270380067</v>
      </c>
      <c r="V38" s="4">
        <v>165.33169660119199</v>
      </c>
      <c r="W38" s="4">
        <v>12.2517262271828</v>
      </c>
      <c r="X38" s="4">
        <v>1901.0780629533499</v>
      </c>
      <c r="Y38" s="4">
        <v>172.495960540352</v>
      </c>
      <c r="Z38" s="4">
        <v>9.5880149329360496</v>
      </c>
      <c r="AA38" s="4">
        <v>1850.49721367692</v>
      </c>
      <c r="AB38" s="4">
        <v>178.96918490201799</v>
      </c>
      <c r="AC38" s="4">
        <v>0.19293613814175301</v>
      </c>
      <c r="AD38" s="4">
        <v>164.05761514748201</v>
      </c>
      <c r="AE38" s="4">
        <v>15.3760302334498</v>
      </c>
      <c r="AF38" s="4">
        <v>0.40968307936231302</v>
      </c>
      <c r="AG38" s="4" t="s">
        <v>75</v>
      </c>
      <c r="AH38" s="4">
        <v>0.63388720164560797</v>
      </c>
      <c r="AI38" s="4">
        <v>2.2179265831103701</v>
      </c>
      <c r="AJ38" s="4" t="s">
        <v>75</v>
      </c>
      <c r="AK38" s="4">
        <v>8.1071873194273607</v>
      </c>
      <c r="AL38" s="4">
        <v>16.539255697727899</v>
      </c>
      <c r="AM38" s="4">
        <v>0.87096278193267895</v>
      </c>
      <c r="AN38" s="4">
        <v>0.46776436921765002</v>
      </c>
      <c r="AO38" s="4">
        <v>8.950533189839E-7</v>
      </c>
      <c r="AP38" s="4">
        <v>0.89584099584914101</v>
      </c>
      <c r="AQ38" s="4">
        <v>0.29898896773500999</v>
      </c>
      <c r="AR38" s="4">
        <v>4.5148306417133898E-6</v>
      </c>
      <c r="AS38" s="4">
        <v>2437.4122776086501</v>
      </c>
      <c r="AT38" s="4">
        <v>246.18793395675101</v>
      </c>
      <c r="AU38" s="4">
        <v>11.2562529907679</v>
      </c>
      <c r="AV38" s="4" t="s">
        <v>75</v>
      </c>
      <c r="AW38" s="4">
        <v>1.2890208433613101E-2</v>
      </c>
      <c r="AX38" s="4">
        <v>7.0621929820040105E-2</v>
      </c>
      <c r="AY38" s="4" t="s">
        <v>75</v>
      </c>
      <c r="AZ38" s="4">
        <v>0.47006614635824601</v>
      </c>
      <c r="BA38" s="4">
        <v>1.2287093173463699</v>
      </c>
      <c r="BB38" s="4">
        <v>0.30181302538281801</v>
      </c>
      <c r="BC38" s="4">
        <v>0.16657619065490101</v>
      </c>
      <c r="BD38" s="4">
        <v>0.29436137172729898</v>
      </c>
      <c r="BE38" s="4" t="s">
        <v>75</v>
      </c>
      <c r="BF38" s="4">
        <v>1.7996331578932899E-2</v>
      </c>
      <c r="BG38" s="4">
        <v>1.45212136080313E-5</v>
      </c>
      <c r="BH38" s="4" t="s">
        <v>75</v>
      </c>
      <c r="BI38" s="4">
        <v>8.3524198521080803E-4</v>
      </c>
      <c r="BJ38" s="4">
        <v>1.9903887412174899E-6</v>
      </c>
      <c r="BK38" s="4">
        <v>569.22228772275605</v>
      </c>
      <c r="BL38" s="4">
        <v>53.482471076528299</v>
      </c>
      <c r="BM38" s="4">
        <v>8.3176931947579504</v>
      </c>
      <c r="BN38" s="4" t="s">
        <v>75</v>
      </c>
      <c r="BO38" s="4">
        <v>1.7413988131404101E-2</v>
      </c>
      <c r="BP38" s="4">
        <v>4.1544685668564403E-2</v>
      </c>
      <c r="BQ38" s="4">
        <v>0.58889139194629203</v>
      </c>
      <c r="BR38" s="4">
        <v>0.14637450966608501</v>
      </c>
      <c r="BS38" s="4">
        <v>0.140896121191773</v>
      </c>
      <c r="BT38" s="4" t="s">
        <v>75</v>
      </c>
      <c r="BU38" s="4">
        <v>1.06381578753038E-2</v>
      </c>
      <c r="BV38" s="4">
        <v>3.5391794222365498E-2</v>
      </c>
    </row>
    <row r="39" spans="1:74">
      <c r="A39" t="s">
        <v>115</v>
      </c>
      <c r="B39" t="s">
        <v>114</v>
      </c>
      <c r="C39" s="4">
        <v>7.8781889113976294E-2</v>
      </c>
      <c r="D39" s="4">
        <v>6.9196069349000397E-2</v>
      </c>
      <c r="E39" s="4">
        <v>4.1533436336201102E-2</v>
      </c>
      <c r="F39" s="4" t="s">
        <v>75</v>
      </c>
      <c r="G39" s="4">
        <v>0.52357133827308699</v>
      </c>
      <c r="H39" s="4">
        <v>1.36086523260856</v>
      </c>
      <c r="I39" s="4">
        <v>5.9563060763416598</v>
      </c>
      <c r="J39" s="4">
        <v>0.45209120140282</v>
      </c>
      <c r="K39" s="4">
        <v>0.36558480943726701</v>
      </c>
      <c r="L39" s="4">
        <v>120.908964331696</v>
      </c>
      <c r="M39" s="4">
        <v>28.5729538923948</v>
      </c>
      <c r="N39" s="4">
        <v>19.5315060867547</v>
      </c>
      <c r="O39" s="4" t="s">
        <v>75</v>
      </c>
      <c r="P39" s="4">
        <v>7.0925622078401293E-2</v>
      </c>
      <c r="Q39" s="4">
        <v>0.18314355439537</v>
      </c>
      <c r="R39" s="4" t="s">
        <v>75</v>
      </c>
      <c r="S39" s="4">
        <v>0.46859205601557302</v>
      </c>
      <c r="T39" s="4">
        <v>1.0059282439369299</v>
      </c>
      <c r="U39" s="4">
        <v>1861.86152655449</v>
      </c>
      <c r="V39" s="4">
        <v>141.312677676638</v>
      </c>
      <c r="W39" s="4">
        <v>12.763772960245801</v>
      </c>
      <c r="X39" s="4">
        <v>1848.6252984523301</v>
      </c>
      <c r="Y39" s="4">
        <v>105.61625794731</v>
      </c>
      <c r="Z39" s="4">
        <v>9.98299422027217</v>
      </c>
      <c r="AA39" s="4">
        <v>1347.8251268951699</v>
      </c>
      <c r="AB39" s="4">
        <v>73.462548074422202</v>
      </c>
      <c r="AC39" s="4">
        <v>0.200956400080957</v>
      </c>
      <c r="AD39" s="4">
        <v>407.131411952409</v>
      </c>
      <c r="AE39" s="4">
        <v>26.434793558473299</v>
      </c>
      <c r="AF39" s="4">
        <v>0.42627474853770397</v>
      </c>
      <c r="AG39" s="4">
        <v>5.2309989646071697</v>
      </c>
      <c r="AH39" s="4">
        <v>1.25644925259802</v>
      </c>
      <c r="AI39" s="4">
        <v>2.31195327707497</v>
      </c>
      <c r="AJ39" s="4" t="s">
        <v>75</v>
      </c>
      <c r="AK39" s="4">
        <v>5.6844645883525597</v>
      </c>
      <c r="AL39" s="4">
        <v>17.204044335477299</v>
      </c>
      <c r="AM39" s="4">
        <v>0.197770880886221</v>
      </c>
      <c r="AN39" s="4">
        <v>0.18639378258743999</v>
      </c>
      <c r="AO39" s="4">
        <v>9.2986319883038398E-7</v>
      </c>
      <c r="AP39" s="4">
        <v>0.74941270295892504</v>
      </c>
      <c r="AQ39" s="4">
        <v>0.18423975685056701</v>
      </c>
      <c r="AR39" s="4">
        <v>4.7037723531486599E-6</v>
      </c>
      <c r="AS39" s="4">
        <v>2598.3662973338801</v>
      </c>
      <c r="AT39" s="4">
        <v>146.517305819299</v>
      </c>
      <c r="AU39" s="4">
        <v>11.6953252420243</v>
      </c>
      <c r="AV39" s="4" t="s">
        <v>75</v>
      </c>
      <c r="AW39" s="4">
        <v>2.0499957300503899E-2</v>
      </c>
      <c r="AX39" s="4">
        <v>7.3415468024797606E-2</v>
      </c>
      <c r="AY39" s="4" t="s">
        <v>75</v>
      </c>
      <c r="AZ39" s="4">
        <v>0.41136451452900602</v>
      </c>
      <c r="BA39" s="4">
        <v>1.2767040100317699</v>
      </c>
      <c r="BB39" s="4">
        <v>8.9566734326889392</v>
      </c>
      <c r="BC39" s="4">
        <v>0.807104276323801</v>
      </c>
      <c r="BD39" s="4">
        <v>0.30617594489671601</v>
      </c>
      <c r="BE39" s="4" t="s">
        <v>75</v>
      </c>
      <c r="BF39" s="4">
        <v>1.16578844644608E-2</v>
      </c>
      <c r="BG39" s="4">
        <v>1.51344964110153E-5</v>
      </c>
      <c r="BH39" s="4" t="s">
        <v>75</v>
      </c>
      <c r="BI39" s="4">
        <v>5.3496558086143001E-4</v>
      </c>
      <c r="BJ39" s="4">
        <v>2.07019694639198E-6</v>
      </c>
      <c r="BK39" s="4">
        <v>371.732661917933</v>
      </c>
      <c r="BL39" s="4">
        <v>19.905394983176901</v>
      </c>
      <c r="BM39" s="4">
        <v>8.6958238760048605</v>
      </c>
      <c r="BN39" s="4" t="s">
        <v>75</v>
      </c>
      <c r="BO39" s="4">
        <v>2.4649099480705101E-2</v>
      </c>
      <c r="BP39" s="4">
        <v>4.3228081939815199E-2</v>
      </c>
      <c r="BQ39" s="4">
        <v>3.0058660062109199</v>
      </c>
      <c r="BR39" s="4">
        <v>0.34270821142005498</v>
      </c>
      <c r="BS39" s="4">
        <v>0.14621419204271399</v>
      </c>
      <c r="BT39" s="4" t="s">
        <v>75</v>
      </c>
      <c r="BU39" s="4">
        <v>1.6344041380195001E-2</v>
      </c>
      <c r="BV39" s="4">
        <v>3.6784019151558899E-2</v>
      </c>
    </row>
    <row r="40" spans="1:74">
      <c r="A40" t="s">
        <v>116</v>
      </c>
      <c r="B40" t="s">
        <v>114</v>
      </c>
      <c r="C40" s="4" t="s">
        <v>75</v>
      </c>
      <c r="D40" s="4">
        <v>3.24294017684396E-2</v>
      </c>
      <c r="E40" s="4">
        <v>9.87196333704638E-2</v>
      </c>
      <c r="F40" s="4" t="s">
        <v>75</v>
      </c>
      <c r="G40" s="4">
        <v>0.54815093536165604</v>
      </c>
      <c r="H40" s="4">
        <v>0.93484644685301899</v>
      </c>
      <c r="I40" s="4">
        <v>5.1678228644803497</v>
      </c>
      <c r="J40" s="4">
        <v>0.477298368271938</v>
      </c>
      <c r="K40" s="4">
        <v>0.39804202317760701</v>
      </c>
      <c r="L40" s="4">
        <v>107.191176589131</v>
      </c>
      <c r="M40" s="4">
        <v>22.2679700057048</v>
      </c>
      <c r="N40" s="4">
        <v>39.263417942577298</v>
      </c>
      <c r="O40" s="4" t="s">
        <v>75</v>
      </c>
      <c r="P40" s="4">
        <v>8.1519691464179103E-2</v>
      </c>
      <c r="Q40" s="4">
        <v>0.31455998883129399</v>
      </c>
      <c r="R40" s="4" t="s">
        <v>75</v>
      </c>
      <c r="S40" s="4">
        <v>0.34817602234022699</v>
      </c>
      <c r="T40" s="4">
        <v>1.2943394647263</v>
      </c>
      <c r="U40" s="4">
        <v>1529.1938970957999</v>
      </c>
      <c r="V40" s="4">
        <v>77.588395819683399</v>
      </c>
      <c r="W40" s="4">
        <v>7.8595593993081803</v>
      </c>
      <c r="X40" s="4">
        <v>1515.0410843843099</v>
      </c>
      <c r="Y40" s="4">
        <v>56.660533148665102</v>
      </c>
      <c r="Z40" s="4">
        <v>12.2159204417372</v>
      </c>
      <c r="AA40" s="4">
        <v>1170.0518578477299</v>
      </c>
      <c r="AB40" s="4">
        <v>38.1487934948955</v>
      </c>
      <c r="AC40" s="4">
        <v>0.38584063214240799</v>
      </c>
      <c r="AD40" s="4">
        <v>310.06718331767502</v>
      </c>
      <c r="AE40" s="4">
        <v>17.892696011248201</v>
      </c>
      <c r="AF40" s="4">
        <v>0.38112999733113101</v>
      </c>
      <c r="AG40" s="4">
        <v>16.183499611082102</v>
      </c>
      <c r="AH40" s="4">
        <v>2.36784957617229</v>
      </c>
      <c r="AI40" s="4">
        <v>1.85116574349888</v>
      </c>
      <c r="AJ40" s="4" t="s">
        <v>75</v>
      </c>
      <c r="AK40" s="4">
        <v>6.7509977535175096</v>
      </c>
      <c r="AL40" s="4">
        <v>16.511299147480202</v>
      </c>
      <c r="AM40" s="4">
        <v>0.52467183599672595</v>
      </c>
      <c r="AN40" s="4">
        <v>0.41187482007392701</v>
      </c>
      <c r="AO40" s="4">
        <v>0.21774609177788601</v>
      </c>
      <c r="AP40" s="4">
        <v>1.61890047637243</v>
      </c>
      <c r="AQ40" s="4">
        <v>0.31348916080521999</v>
      </c>
      <c r="AR40" s="4">
        <v>5.5361247165934699E-6</v>
      </c>
      <c r="AS40" s="4">
        <v>2623.4945957633799</v>
      </c>
      <c r="AT40" s="4">
        <v>110.856062381163</v>
      </c>
      <c r="AU40" s="4">
        <v>10.1596324796138</v>
      </c>
      <c r="AV40" s="4" t="s">
        <v>75</v>
      </c>
      <c r="AW40" s="4">
        <v>2.4713826677427501E-2</v>
      </c>
      <c r="AX40" s="4">
        <v>9.9759355719917397E-2</v>
      </c>
      <c r="AY40" s="4" t="s">
        <v>75</v>
      </c>
      <c r="AZ40" s="4">
        <v>0.37597736454178898</v>
      </c>
      <c r="BA40" s="4">
        <v>0.82992728806276495</v>
      </c>
      <c r="BB40" s="4">
        <v>21.5656926407536</v>
      </c>
      <c r="BC40" s="4">
        <v>1.6412423495830599</v>
      </c>
      <c r="BD40" s="4">
        <v>0.23398217774390401</v>
      </c>
      <c r="BE40" s="4" t="s">
        <v>75</v>
      </c>
      <c r="BF40" s="4">
        <v>8.9042171575763798E-3</v>
      </c>
      <c r="BG40" s="4">
        <v>1.43657822467061</v>
      </c>
      <c r="BH40" s="4" t="s">
        <v>75</v>
      </c>
      <c r="BI40" s="4">
        <v>3.9592514792284302E-4</v>
      </c>
      <c r="BJ40" s="4">
        <v>2.4333114663422199E-6</v>
      </c>
      <c r="BK40" s="4">
        <v>428.99612235839902</v>
      </c>
      <c r="BL40" s="4">
        <v>17.916163972748699</v>
      </c>
      <c r="BM40" s="4">
        <v>8.9805678158292004</v>
      </c>
      <c r="BN40" s="4" t="s">
        <v>75</v>
      </c>
      <c r="BO40" s="4">
        <v>3.25507709635365E-2</v>
      </c>
      <c r="BP40" s="4">
        <v>6.3184064906805101E-2</v>
      </c>
      <c r="BQ40" s="4">
        <v>7.3970345786280998</v>
      </c>
      <c r="BR40" s="4">
        <v>0.60166463869362596</v>
      </c>
      <c r="BS40" s="4">
        <v>0.171493855482936</v>
      </c>
      <c r="BT40" s="4" t="s">
        <v>75</v>
      </c>
      <c r="BU40" s="4">
        <v>1.8410285405092399E-2</v>
      </c>
      <c r="BV40" s="4">
        <v>3.26672773475912E-2</v>
      </c>
    </row>
    <row r="41" spans="1:74">
      <c r="A41" t="s">
        <v>117</v>
      </c>
      <c r="B41" t="s">
        <v>114</v>
      </c>
      <c r="C41" s="4" t="s">
        <v>75</v>
      </c>
      <c r="D41" s="4">
        <v>1.9647962849641799E-2</v>
      </c>
      <c r="E41" s="4">
        <v>9.8932777916143896E-2</v>
      </c>
      <c r="F41" s="4">
        <v>10.8502750189847</v>
      </c>
      <c r="G41" s="4">
        <v>8.9285028630539092</v>
      </c>
      <c r="H41" s="4">
        <v>0.93693717271353105</v>
      </c>
      <c r="I41" s="4">
        <v>5.3455930007291297</v>
      </c>
      <c r="J41" s="4">
        <v>0.517744377330977</v>
      </c>
      <c r="K41" s="4">
        <v>0.39853442032938802</v>
      </c>
      <c r="L41" s="4">
        <v>159.86468516539301</v>
      </c>
      <c r="M41" s="4">
        <v>22.1867256980291</v>
      </c>
      <c r="N41" s="4">
        <v>39.405723272204497</v>
      </c>
      <c r="O41" s="4" t="s">
        <v>75</v>
      </c>
      <c r="P41" s="4">
        <v>8.7316633114489201E-2</v>
      </c>
      <c r="Q41" s="4">
        <v>0.31531644418925298</v>
      </c>
      <c r="R41" s="4" t="s">
        <v>75</v>
      </c>
      <c r="S41" s="4">
        <v>0.66238136307911399</v>
      </c>
      <c r="T41" s="4">
        <v>1.2972548614507999</v>
      </c>
      <c r="U41" s="4">
        <v>1640.2112239545199</v>
      </c>
      <c r="V41" s="4">
        <v>70.061681551518205</v>
      </c>
      <c r="W41" s="4">
        <v>7.8890749496992498</v>
      </c>
      <c r="X41" s="4">
        <v>1602.2854523703299</v>
      </c>
      <c r="Y41" s="4">
        <v>71.377577121751301</v>
      </c>
      <c r="Z41" s="4">
        <v>12.2553461550546</v>
      </c>
      <c r="AA41" s="4">
        <v>1096.31590061098</v>
      </c>
      <c r="AB41" s="4">
        <v>39.349664244019202</v>
      </c>
      <c r="AC41" s="4">
        <v>0.38711998450481999</v>
      </c>
      <c r="AD41" s="4">
        <v>374.399834371937</v>
      </c>
      <c r="AE41" s="4">
        <v>16.855713538379302</v>
      </c>
      <c r="AF41" s="4">
        <v>0.382166007669406</v>
      </c>
      <c r="AG41" s="4">
        <v>36.830982683592801</v>
      </c>
      <c r="AH41" s="4">
        <v>3.4648723386245002</v>
      </c>
      <c r="AI41" s="4">
        <v>1.8592731984659501</v>
      </c>
      <c r="AJ41" s="4" t="s">
        <v>75</v>
      </c>
      <c r="AK41" s="4">
        <v>7.5840168361916502</v>
      </c>
      <c r="AL41" s="4">
        <v>16.554363785388102</v>
      </c>
      <c r="AM41" s="4">
        <v>0.43690917813640801</v>
      </c>
      <c r="AN41" s="4">
        <v>0.30672849639258598</v>
      </c>
      <c r="AO41" s="4">
        <v>0.218069901847605</v>
      </c>
      <c r="AP41" s="4">
        <v>2.3990159900810899</v>
      </c>
      <c r="AQ41" s="4">
        <v>0.56054065026390398</v>
      </c>
      <c r="AR41" s="4">
        <v>5.5568879645181301E-6</v>
      </c>
      <c r="AS41" s="4">
        <v>2560.6378836481299</v>
      </c>
      <c r="AT41" s="4">
        <v>80.986505078817601</v>
      </c>
      <c r="AU41" s="4">
        <v>10.1755478454302</v>
      </c>
      <c r="AV41" s="4" t="s">
        <v>75</v>
      </c>
      <c r="AW41" s="4">
        <v>3.07617080882857E-2</v>
      </c>
      <c r="AX41" s="4">
        <v>9.9960198474672898E-2</v>
      </c>
      <c r="AY41" s="4" t="s">
        <v>75</v>
      </c>
      <c r="AZ41" s="4">
        <v>0.49185271569156302</v>
      </c>
      <c r="BA41" s="4">
        <v>0.83136745706085802</v>
      </c>
      <c r="BB41" s="4">
        <v>45.588421299098002</v>
      </c>
      <c r="BC41" s="4">
        <v>2.5749971872931501</v>
      </c>
      <c r="BD41" s="4">
        <v>0.23458513977816201</v>
      </c>
      <c r="BE41" s="4" t="s">
        <v>75</v>
      </c>
      <c r="BF41" s="4">
        <v>6.24669547387279E-3</v>
      </c>
      <c r="BG41" s="4">
        <v>1.4428126557141101</v>
      </c>
      <c r="BH41" s="4" t="s">
        <v>75</v>
      </c>
      <c r="BI41" s="4">
        <v>2.81622346914177E-4</v>
      </c>
      <c r="BJ41" s="4">
        <v>2.4393459181019798E-6</v>
      </c>
      <c r="BK41" s="4">
        <v>384.02508054702298</v>
      </c>
      <c r="BL41" s="4">
        <v>13.7789271445131</v>
      </c>
      <c r="BM41" s="4">
        <v>9.0360814887216101</v>
      </c>
      <c r="BN41" s="4">
        <v>6.3593995004911294E-2</v>
      </c>
      <c r="BO41" s="4">
        <v>2.9097795839035701E-2</v>
      </c>
      <c r="BP41" s="4">
        <v>6.3359927010355102E-2</v>
      </c>
      <c r="BQ41" s="4">
        <v>13.885526525498801</v>
      </c>
      <c r="BR41" s="4">
        <v>0.94268588318889202</v>
      </c>
      <c r="BS41" s="4">
        <v>0.17161607862890199</v>
      </c>
      <c r="BT41" s="4" t="s">
        <v>75</v>
      </c>
      <c r="BU41" s="4">
        <v>1.93078997248133E-2</v>
      </c>
      <c r="BV41" s="4">
        <v>3.2727181320553203E-2</v>
      </c>
    </row>
    <row r="42" spans="1:74">
      <c r="A42" t="s">
        <v>118</v>
      </c>
      <c r="B42" t="s">
        <v>114</v>
      </c>
      <c r="C42" s="4" t="s">
        <v>75</v>
      </c>
      <c r="D42" s="4">
        <v>2.6056935280373301E-2</v>
      </c>
      <c r="E42" s="4">
        <v>0.105888862531789</v>
      </c>
      <c r="F42" s="4" t="s">
        <v>75</v>
      </c>
      <c r="G42" s="4">
        <v>0.49749580481442301</v>
      </c>
      <c r="H42" s="4">
        <v>1.0903814041675</v>
      </c>
      <c r="I42" s="4">
        <v>5.41672365744577</v>
      </c>
      <c r="J42" s="4">
        <v>0.56756710392918897</v>
      </c>
      <c r="K42" s="4">
        <v>0.75096250989615199</v>
      </c>
      <c r="L42" s="4">
        <v>91.604734631737102</v>
      </c>
      <c r="M42" s="4">
        <v>29.5886379228937</v>
      </c>
      <c r="N42" s="4">
        <v>43.267741979318203</v>
      </c>
      <c r="O42" s="4" t="s">
        <v>75</v>
      </c>
      <c r="P42" s="4">
        <v>8.2162513351122998E-2</v>
      </c>
      <c r="Q42" s="4">
        <v>0.15947806881905499</v>
      </c>
      <c r="R42" s="4" t="s">
        <v>75</v>
      </c>
      <c r="S42" s="4">
        <v>0.43832143409343399</v>
      </c>
      <c r="T42" s="4">
        <v>2.70664364495472</v>
      </c>
      <c r="U42" s="4">
        <v>1696.5853771146001</v>
      </c>
      <c r="V42" s="4">
        <v>128.10289797818999</v>
      </c>
      <c r="W42" s="4">
        <v>6.47423885030988</v>
      </c>
      <c r="X42" s="4">
        <v>1646.9708969467399</v>
      </c>
      <c r="Y42" s="4">
        <v>84.540200032449903</v>
      </c>
      <c r="Z42" s="4">
        <v>9.3060989365132105</v>
      </c>
      <c r="AA42" s="4">
        <v>1243.35998306128</v>
      </c>
      <c r="AB42" s="4">
        <v>44.379878966796902</v>
      </c>
      <c r="AC42" s="4">
        <v>0.20495050064244699</v>
      </c>
      <c r="AD42" s="4">
        <v>333.31981668011503</v>
      </c>
      <c r="AE42" s="4">
        <v>16.659535125713901</v>
      </c>
      <c r="AF42" s="4">
        <v>0.44348015079304198</v>
      </c>
      <c r="AG42" s="4">
        <v>24.825465617927499</v>
      </c>
      <c r="AH42" s="4">
        <v>2.9083308168533901</v>
      </c>
      <c r="AI42" s="4">
        <v>2.1510678995237602</v>
      </c>
      <c r="AJ42" s="4" t="s">
        <v>75</v>
      </c>
      <c r="AK42" s="4">
        <v>6.7486474773752798</v>
      </c>
      <c r="AL42" s="4">
        <v>16.117282606119002</v>
      </c>
      <c r="AM42" s="4">
        <v>0.486749885205782</v>
      </c>
      <c r="AN42" s="4">
        <v>0.30265324691734202</v>
      </c>
      <c r="AO42" s="4">
        <v>0.224908565594786</v>
      </c>
      <c r="AP42" s="4">
        <v>1.3546327695117599</v>
      </c>
      <c r="AQ42" s="4">
        <v>0.26163166375768898</v>
      </c>
      <c r="AR42" s="4">
        <v>4.32697706146542E-6</v>
      </c>
      <c r="AS42" s="4">
        <v>2567.0912963976202</v>
      </c>
      <c r="AT42" s="4">
        <v>93.765384865095001</v>
      </c>
      <c r="AU42" s="4">
        <v>10.6861122619698</v>
      </c>
      <c r="AV42" s="4" t="s">
        <v>75</v>
      </c>
      <c r="AW42" s="4">
        <v>3.4331125121446898E-2</v>
      </c>
      <c r="AX42" s="4">
        <v>6.2850381326822094E-2</v>
      </c>
      <c r="AY42" s="4" t="s">
        <v>75</v>
      </c>
      <c r="AZ42" s="4">
        <v>0.52420987827243604</v>
      </c>
      <c r="BA42" s="4">
        <v>1.5609240788593</v>
      </c>
      <c r="BB42" s="4">
        <v>35.631144577384603</v>
      </c>
      <c r="BC42" s="4">
        <v>2.4069259654730599</v>
      </c>
      <c r="BD42" s="4">
        <v>0.13503857368887401</v>
      </c>
      <c r="BE42" s="4" t="s">
        <v>75</v>
      </c>
      <c r="BF42" s="4">
        <v>7.6247555206284297E-3</v>
      </c>
      <c r="BG42" s="4">
        <v>1.39466816235507E-5</v>
      </c>
      <c r="BH42" s="4" t="s">
        <v>75</v>
      </c>
      <c r="BI42" s="4">
        <v>3.42537265178661E-4</v>
      </c>
      <c r="BJ42" s="4">
        <v>1.89712852343583E-6</v>
      </c>
      <c r="BK42" s="4">
        <v>377.78932892201499</v>
      </c>
      <c r="BL42" s="4">
        <v>16.010168126608299</v>
      </c>
      <c r="BM42" s="4">
        <v>7.3842470941224896</v>
      </c>
      <c r="BN42" s="4">
        <v>5.8695182519314999E-2</v>
      </c>
      <c r="BO42" s="4">
        <v>3.6445632679666301E-2</v>
      </c>
      <c r="BP42" s="4">
        <v>5.0206641634706797E-2</v>
      </c>
      <c r="BQ42" s="4">
        <v>8.4629736359742598</v>
      </c>
      <c r="BR42" s="4">
        <v>0.62739670674660897</v>
      </c>
      <c r="BS42" s="4">
        <v>0.14836307904531101</v>
      </c>
      <c r="BT42" s="4" t="s">
        <v>75</v>
      </c>
      <c r="BU42" s="4">
        <v>1.6397202815372099E-2</v>
      </c>
      <c r="BV42" s="4">
        <v>2.44329667839168E-2</v>
      </c>
    </row>
    <row r="43" spans="1:74">
      <c r="A43" t="s">
        <v>119</v>
      </c>
      <c r="B43" t="s">
        <v>114</v>
      </c>
      <c r="C43" s="4" t="s">
        <v>75</v>
      </c>
      <c r="D43" s="4">
        <v>3.9360005218566002E-2</v>
      </c>
      <c r="E43" s="4">
        <v>0.101282092869623</v>
      </c>
      <c r="F43" s="4" t="s">
        <v>75</v>
      </c>
      <c r="G43" s="4">
        <v>0.556948535186091</v>
      </c>
      <c r="H43" s="4">
        <v>1.04304616658657</v>
      </c>
      <c r="I43" s="4">
        <v>7.6082470628583003</v>
      </c>
      <c r="J43" s="4">
        <v>0.86309800509881396</v>
      </c>
      <c r="K43" s="4">
        <v>0.71789615519649896</v>
      </c>
      <c r="L43" s="4">
        <v>214.07315864532899</v>
      </c>
      <c r="M43" s="4">
        <v>46.770521732155999</v>
      </c>
      <c r="N43" s="4">
        <v>41.4377439401838</v>
      </c>
      <c r="O43" s="4" t="s">
        <v>75</v>
      </c>
      <c r="P43" s="4">
        <v>9.5650847595922794E-2</v>
      </c>
      <c r="Q43" s="4">
        <v>0.152545106541671</v>
      </c>
      <c r="R43" s="4" t="s">
        <v>75</v>
      </c>
      <c r="S43" s="4">
        <v>0.44567543395746401</v>
      </c>
      <c r="T43" s="4">
        <v>2.5885253338810599</v>
      </c>
      <c r="U43" s="4">
        <v>466.31139023664298</v>
      </c>
      <c r="V43" s="4">
        <v>69.384182135729802</v>
      </c>
      <c r="W43" s="4">
        <v>6.2013080194812202</v>
      </c>
      <c r="X43" s="4">
        <v>438.119276904309</v>
      </c>
      <c r="Y43" s="4">
        <v>45.448413338868498</v>
      </c>
      <c r="Z43" s="4">
        <v>8.9090663707229805</v>
      </c>
      <c r="AA43" s="4">
        <v>425.245086305435</v>
      </c>
      <c r="AB43" s="4">
        <v>53.664351430643897</v>
      </c>
      <c r="AC43" s="4">
        <v>0.19619037492798599</v>
      </c>
      <c r="AD43" s="4">
        <v>45.4076780153489</v>
      </c>
      <c r="AE43" s="4">
        <v>9.0856836961170995</v>
      </c>
      <c r="AF43" s="4">
        <v>0.424384187596759</v>
      </c>
      <c r="AG43" s="4">
        <v>5.2529361770262701</v>
      </c>
      <c r="AH43" s="4">
        <v>1.4471461117056801</v>
      </c>
      <c r="AI43" s="4">
        <v>2.0618870277982499</v>
      </c>
      <c r="AJ43" s="4" t="s">
        <v>75</v>
      </c>
      <c r="AK43" s="4">
        <v>8.4028472071292306</v>
      </c>
      <c r="AL43" s="4">
        <v>15.4231596533272</v>
      </c>
      <c r="AM43" s="4" t="s">
        <v>75</v>
      </c>
      <c r="AN43" s="4">
        <v>0.102675399746984</v>
      </c>
      <c r="AO43" s="4">
        <v>0.214987722254184</v>
      </c>
      <c r="AP43" s="4">
        <v>8.7062188027045408</v>
      </c>
      <c r="AQ43" s="4">
        <v>1.4225450274729099</v>
      </c>
      <c r="AR43" s="4">
        <v>4.1443941104940799E-6</v>
      </c>
      <c r="AS43" s="4">
        <v>3089.83460257344</v>
      </c>
      <c r="AT43" s="4">
        <v>204.00611256234899</v>
      </c>
      <c r="AU43" s="4">
        <v>10.2152242379886</v>
      </c>
      <c r="AV43" s="4">
        <v>0.101117302139038</v>
      </c>
      <c r="AW43" s="4">
        <v>3.7981567496033097E-2</v>
      </c>
      <c r="AX43" s="4">
        <v>6.0105654398105203E-2</v>
      </c>
      <c r="AY43" s="4">
        <v>1.7880460377615699</v>
      </c>
      <c r="AZ43" s="4">
        <v>0.51726744000208602</v>
      </c>
      <c r="BA43" s="4">
        <v>1.4925527201942099</v>
      </c>
      <c r="BB43" s="4">
        <v>7.2823545319181804</v>
      </c>
      <c r="BC43" s="4">
        <v>1.2472657445614601</v>
      </c>
      <c r="BD43" s="4">
        <v>0.129222285501356</v>
      </c>
      <c r="BE43" s="4" t="s">
        <v>75</v>
      </c>
      <c r="BF43" s="4">
        <v>1.6785647930750401E-2</v>
      </c>
      <c r="BG43" s="4">
        <v>1.33685003216644E-5</v>
      </c>
      <c r="BH43" s="4" t="s">
        <v>75</v>
      </c>
      <c r="BI43" s="4">
        <v>7.4115542561888797E-4</v>
      </c>
      <c r="BJ43" s="4">
        <v>1.8151039567990099E-6</v>
      </c>
      <c r="BK43" s="4">
        <v>421.406126978918</v>
      </c>
      <c r="BL43" s="4">
        <v>34.2242335556016</v>
      </c>
      <c r="BM43" s="4">
        <v>7.0857268661758699</v>
      </c>
      <c r="BN43" s="4" t="s">
        <v>75</v>
      </c>
      <c r="BO43" s="4">
        <v>3.0235020574489201E-2</v>
      </c>
      <c r="BP43" s="4">
        <v>4.8048511523442597E-2</v>
      </c>
      <c r="BQ43" s="4">
        <v>10.9306867005364</v>
      </c>
      <c r="BR43" s="4">
        <v>2.2644256079397498</v>
      </c>
      <c r="BS43" s="4">
        <v>0.14172955823112299</v>
      </c>
      <c r="BT43" s="4" t="s">
        <v>75</v>
      </c>
      <c r="BU43" s="4">
        <v>9.0197693333153705E-3</v>
      </c>
      <c r="BV43" s="4">
        <v>2.3361929098048E-2</v>
      </c>
    </row>
    <row r="44" spans="1:74">
      <c r="A44" t="s">
        <v>120</v>
      </c>
      <c r="B44" t="s">
        <v>114</v>
      </c>
      <c r="C44" s="4">
        <v>5.2968646025492797E-3</v>
      </c>
      <c r="D44" s="4">
        <v>6.2867767502389899E-2</v>
      </c>
      <c r="E44" s="4">
        <v>2.6633397574700999E-4</v>
      </c>
      <c r="F44" s="4" t="s">
        <v>75</v>
      </c>
      <c r="G44" s="4">
        <v>0.473546666228292</v>
      </c>
      <c r="H44" s="4">
        <v>1.31157279612797</v>
      </c>
      <c r="I44" s="4">
        <v>7.2821962367198303</v>
      </c>
      <c r="J44" s="4">
        <v>0.87491498761235598</v>
      </c>
      <c r="K44" s="4">
        <v>0.61578583724043801</v>
      </c>
      <c r="L44" s="4">
        <v>85.748943844248899</v>
      </c>
      <c r="M44" s="4">
        <v>17.049344671789399</v>
      </c>
      <c r="N44" s="4">
        <v>66.767826004472695</v>
      </c>
      <c r="O44" s="4" t="s">
        <v>75</v>
      </c>
      <c r="P44" s="4">
        <v>8.9492621177758802E-2</v>
      </c>
      <c r="Q44" s="4">
        <v>0.78778678025831606</v>
      </c>
      <c r="R44" s="4" t="s">
        <v>75</v>
      </c>
      <c r="S44" s="4">
        <v>0.63726798595668499</v>
      </c>
      <c r="T44" s="4">
        <v>1.7692154122447401</v>
      </c>
      <c r="U44" s="4">
        <v>1510.6361572020801</v>
      </c>
      <c r="V44" s="4">
        <v>122.699721510247</v>
      </c>
      <c r="W44" s="4">
        <v>8.4094214395000098</v>
      </c>
      <c r="X44" s="4">
        <v>1466.3420309048699</v>
      </c>
      <c r="Y44" s="4">
        <v>95.003257479558201</v>
      </c>
      <c r="Z44" s="4">
        <v>27.950002774274601</v>
      </c>
      <c r="AA44" s="4">
        <v>1776.73545886842</v>
      </c>
      <c r="AB44" s="4">
        <v>108.155575862975</v>
      </c>
      <c r="AC44" s="4">
        <v>0.70713083260996201</v>
      </c>
      <c r="AD44" s="4">
        <v>118.02689744172</v>
      </c>
      <c r="AE44" s="4">
        <v>11.072977174911699</v>
      </c>
      <c r="AF44" s="4">
        <v>0.47154153679371802</v>
      </c>
      <c r="AG44" s="4">
        <v>1.82600401542155</v>
      </c>
      <c r="AH44" s="4">
        <v>0.95394408844884804</v>
      </c>
      <c r="AI44" s="4">
        <v>0.99371962139296599</v>
      </c>
      <c r="AJ44" s="4" t="s">
        <v>75</v>
      </c>
      <c r="AK44" s="4">
        <v>7.2172074114261298</v>
      </c>
      <c r="AL44" s="4">
        <v>30.997424084220899</v>
      </c>
      <c r="AM44" s="4">
        <v>0.40054566419805498</v>
      </c>
      <c r="AN44" s="4">
        <v>0.25919126467976999</v>
      </c>
      <c r="AO44" s="4">
        <v>5.4872238032890301E-7</v>
      </c>
      <c r="AP44" s="4">
        <v>1.00554596719442</v>
      </c>
      <c r="AQ44" s="4">
        <v>0.31917535670205599</v>
      </c>
      <c r="AR44" s="4">
        <v>2.8064014935102702E-6</v>
      </c>
      <c r="AS44" s="4">
        <v>2995.6261629694</v>
      </c>
      <c r="AT44" s="4">
        <v>159.601227397857</v>
      </c>
      <c r="AU44" s="4">
        <v>9.7509179705911908</v>
      </c>
      <c r="AV44" s="4">
        <v>0.25956083375817102</v>
      </c>
      <c r="AW44" s="4">
        <v>6.8248876865235203E-2</v>
      </c>
      <c r="AX44" s="4">
        <v>6.74111933539739E-2</v>
      </c>
      <c r="AY44" s="4" t="s">
        <v>75</v>
      </c>
      <c r="AZ44" s="4">
        <v>0.53937176244299201</v>
      </c>
      <c r="BA44" s="4">
        <v>0.79704660147391504</v>
      </c>
      <c r="BB44" s="4">
        <v>0.76748739009046496</v>
      </c>
      <c r="BC44" s="4">
        <v>0.29944650015062602</v>
      </c>
      <c r="BD44" s="4">
        <v>2.6277908494332E-4</v>
      </c>
      <c r="BE44" s="4" t="s">
        <v>75</v>
      </c>
      <c r="BF44" s="4">
        <v>1.2799074018928601E-2</v>
      </c>
      <c r="BG44" s="4">
        <v>9.06155255801392E-6</v>
      </c>
      <c r="BH44" s="4" t="s">
        <v>75</v>
      </c>
      <c r="BI44" s="4">
        <v>5.6632674430808795E-4</v>
      </c>
      <c r="BJ44" s="4">
        <v>1.22764082128902E-6</v>
      </c>
      <c r="BK44" s="4">
        <v>306.87453985193201</v>
      </c>
      <c r="BL44" s="4">
        <v>10.692402232430901</v>
      </c>
      <c r="BM44" s="4">
        <v>18.533357284725501</v>
      </c>
      <c r="BN44" s="4" t="s">
        <v>75</v>
      </c>
      <c r="BO44" s="4">
        <v>2.20243267277631E-2</v>
      </c>
      <c r="BP44" s="4">
        <v>7.3827296472751297E-2</v>
      </c>
      <c r="BQ44" s="4">
        <v>1.2575595438647</v>
      </c>
      <c r="BR44" s="4">
        <v>0.22349439010820299</v>
      </c>
      <c r="BS44" s="4">
        <v>8.3142906121372498E-2</v>
      </c>
      <c r="BT44" s="4" t="s">
        <v>75</v>
      </c>
      <c r="BU44" s="4">
        <v>1.6104898014599099E-2</v>
      </c>
      <c r="BV44" s="4">
        <v>7.3385611852472707E-2</v>
      </c>
    </row>
    <row r="45" spans="1:74">
      <c r="A45" t="s">
        <v>121</v>
      </c>
      <c r="B45" t="s">
        <v>114</v>
      </c>
      <c r="C45" s="4" t="s">
        <v>75</v>
      </c>
      <c r="D45" s="4">
        <v>3.2017030023168302E-2</v>
      </c>
      <c r="E45" s="4">
        <v>0.28302508996715098</v>
      </c>
      <c r="F45" s="4" t="s">
        <v>75</v>
      </c>
      <c r="G45" s="4">
        <v>0.28050517034104699</v>
      </c>
      <c r="H45" s="4">
        <v>1.86168590480403</v>
      </c>
      <c r="I45" s="4">
        <v>6.1053899679455297</v>
      </c>
      <c r="J45" s="4">
        <v>0.663322864322892</v>
      </c>
      <c r="K45" s="4">
        <v>0.71581713548654602</v>
      </c>
      <c r="L45" s="4">
        <v>82.591105284516303</v>
      </c>
      <c r="M45" s="4">
        <v>19.374479402082599</v>
      </c>
      <c r="N45" s="4">
        <v>50.218423102042699</v>
      </c>
      <c r="O45" s="4" t="s">
        <v>75</v>
      </c>
      <c r="P45" s="4">
        <v>6.6004417404207996E-2</v>
      </c>
      <c r="Q45" s="4">
        <v>0.24118086630243901</v>
      </c>
      <c r="R45" s="4" t="s">
        <v>75</v>
      </c>
      <c r="S45" s="4">
        <v>0.66174106294204005</v>
      </c>
      <c r="T45" s="4">
        <v>0.96013936562576996</v>
      </c>
      <c r="U45" s="4">
        <v>2134.3462040177701</v>
      </c>
      <c r="V45" s="4">
        <v>118.136225417167</v>
      </c>
      <c r="W45" s="4">
        <v>10.8852663094502</v>
      </c>
      <c r="X45" s="4">
        <v>2108.5789443441899</v>
      </c>
      <c r="Y45" s="4">
        <v>79.7396423995677</v>
      </c>
      <c r="Z45" s="4">
        <v>8.13043421846284</v>
      </c>
      <c r="AA45" s="4">
        <v>1798.80591165275</v>
      </c>
      <c r="AB45" s="4">
        <v>81.728549586686796</v>
      </c>
      <c r="AC45" s="4">
        <v>0.17661375316208</v>
      </c>
      <c r="AD45" s="4">
        <v>312.88832198627699</v>
      </c>
      <c r="AE45" s="4">
        <v>16.272704498258701</v>
      </c>
      <c r="AF45" s="4">
        <v>0.68398788153934897</v>
      </c>
      <c r="AG45" s="4">
        <v>8.7252106202398192</v>
      </c>
      <c r="AH45" s="4">
        <v>1.9335274547624799</v>
      </c>
      <c r="AI45" s="4">
        <v>2.77664228152365</v>
      </c>
      <c r="AJ45" s="4" t="s">
        <v>75</v>
      </c>
      <c r="AK45" s="4">
        <v>6.2091280456416804</v>
      </c>
      <c r="AL45" s="4">
        <v>23.835477064910599</v>
      </c>
      <c r="AM45" s="4">
        <v>0.76209929255729902</v>
      </c>
      <c r="AN45" s="4">
        <v>0.28834902906089799</v>
      </c>
      <c r="AO45" s="4">
        <v>8.3255056367486705E-7</v>
      </c>
      <c r="AP45" s="4">
        <v>5.5531136541796</v>
      </c>
      <c r="AQ45" s="4">
        <v>0.59889637453623101</v>
      </c>
      <c r="AR45" s="4">
        <v>9.5384889244021595E-2</v>
      </c>
      <c r="AS45" s="4">
        <v>2489.3572382090601</v>
      </c>
      <c r="AT45" s="4">
        <v>108.13116647295</v>
      </c>
      <c r="AU45" s="4">
        <v>13.1369800488658</v>
      </c>
      <c r="AV45" s="4" t="s">
        <v>75</v>
      </c>
      <c r="AW45" s="4">
        <v>1.89820796147648E-2</v>
      </c>
      <c r="AX45" s="4">
        <v>7.0118459877908906E-2</v>
      </c>
      <c r="AY45" s="4" t="s">
        <v>75</v>
      </c>
      <c r="AZ45" s="4">
        <v>0.529900005173643</v>
      </c>
      <c r="BA45" s="4">
        <v>1.51870281179591</v>
      </c>
      <c r="BB45" s="4">
        <v>15.143888295901</v>
      </c>
      <c r="BC45" s="4">
        <v>1.5594873889498</v>
      </c>
      <c r="BD45" s="4">
        <v>0.18966072764473299</v>
      </c>
      <c r="BE45" s="4" t="s">
        <v>75</v>
      </c>
      <c r="BF45" s="4">
        <v>1.11773043097394E-2</v>
      </c>
      <c r="BG45" s="4">
        <v>1.3874852324655599E-5</v>
      </c>
      <c r="BH45" s="4" t="s">
        <v>75</v>
      </c>
      <c r="BI45" s="4">
        <v>4.8214316174928501E-4</v>
      </c>
      <c r="BJ45" s="4">
        <v>1.86763628713733E-6</v>
      </c>
      <c r="BK45" s="4">
        <v>316.26160333816301</v>
      </c>
      <c r="BL45" s="4">
        <v>15.240457558451</v>
      </c>
      <c r="BM45" s="4">
        <v>16.368835163799599</v>
      </c>
      <c r="BN45" s="4" t="s">
        <v>75</v>
      </c>
      <c r="BO45" s="4">
        <v>2.6034802517055401E-2</v>
      </c>
      <c r="BP45" s="4">
        <v>8.6502635489583299E-2</v>
      </c>
      <c r="BQ45" s="4">
        <v>24.8192942373303</v>
      </c>
      <c r="BR45" s="4">
        <v>2.15913376990102</v>
      </c>
      <c r="BS45" s="4">
        <v>0.197955203476922</v>
      </c>
      <c r="BT45" s="4" t="s">
        <v>75</v>
      </c>
      <c r="BU45" s="4">
        <v>1.28964651999062E-2</v>
      </c>
      <c r="BV45" s="4">
        <v>7.2492125969770199E-2</v>
      </c>
    </row>
    <row r="46" spans="1:74">
      <c r="A46" t="s">
        <v>122</v>
      </c>
      <c r="B46" t="s">
        <v>114</v>
      </c>
      <c r="C46" s="4">
        <v>0.12752555808081201</v>
      </c>
      <c r="D46" s="4">
        <v>9.3886437221930005E-2</v>
      </c>
      <c r="E46" s="4">
        <v>0.117341077221589</v>
      </c>
      <c r="F46" s="4" t="s">
        <v>75</v>
      </c>
      <c r="G46" s="4">
        <v>0.46431710513407898</v>
      </c>
      <c r="H46" s="4">
        <v>1.3887898554017</v>
      </c>
      <c r="I46" s="4">
        <v>10.0817756070467</v>
      </c>
      <c r="J46" s="4">
        <v>1.45132309764057</v>
      </c>
      <c r="K46" s="4">
        <v>0.53432089710778496</v>
      </c>
      <c r="L46" s="4">
        <v>46.727471595928101</v>
      </c>
      <c r="M46" s="4">
        <v>18.005985072206201</v>
      </c>
      <c r="N46" s="4">
        <v>26.072019236681498</v>
      </c>
      <c r="O46" s="4" t="s">
        <v>75</v>
      </c>
      <c r="P46" s="4">
        <v>6.2002462625732099E-2</v>
      </c>
      <c r="Q46" s="4">
        <v>0.33406082550347199</v>
      </c>
      <c r="R46" s="4" t="s">
        <v>75</v>
      </c>
      <c r="S46" s="4">
        <v>0.52934505012233302</v>
      </c>
      <c r="T46" s="4">
        <v>1.1956273618028801</v>
      </c>
      <c r="U46" s="4">
        <v>2157.14912658904</v>
      </c>
      <c r="V46" s="4">
        <v>257.89586839924903</v>
      </c>
      <c r="W46" s="4">
        <v>11.405449108877001</v>
      </c>
      <c r="X46" s="4">
        <v>2043.9449016839001</v>
      </c>
      <c r="Y46" s="4">
        <v>153.64162065747499</v>
      </c>
      <c r="Z46" s="4">
        <v>6.5699305463536701</v>
      </c>
      <c r="AA46" s="4">
        <v>2045.80536127449</v>
      </c>
      <c r="AB46" s="4">
        <v>172.72833680790001</v>
      </c>
      <c r="AC46" s="4">
        <v>0.21188847818460901</v>
      </c>
      <c r="AD46" s="4">
        <v>250.91207906583301</v>
      </c>
      <c r="AE46" s="4">
        <v>25.287828568663901</v>
      </c>
      <c r="AF46" s="4">
        <v>0.511306156109954</v>
      </c>
      <c r="AG46" s="4">
        <v>4.7765147275416497</v>
      </c>
      <c r="AH46" s="4">
        <v>1.60299984953276</v>
      </c>
      <c r="AI46" s="4">
        <v>2.3356618005893299</v>
      </c>
      <c r="AJ46" s="4" t="s">
        <v>75</v>
      </c>
      <c r="AK46" s="4">
        <v>6.8451369324930997</v>
      </c>
      <c r="AL46" s="4">
        <v>11.3463053407839</v>
      </c>
      <c r="AM46" s="4">
        <v>1.0129639024580499</v>
      </c>
      <c r="AN46" s="4">
        <v>0.47403947301429999</v>
      </c>
      <c r="AO46" s="4">
        <v>7.67509300698822E-7</v>
      </c>
      <c r="AP46" s="4">
        <v>0.94103575877281698</v>
      </c>
      <c r="AQ46" s="4">
        <v>0.201656201377372</v>
      </c>
      <c r="AR46" s="4">
        <v>4.0137797740186899E-6</v>
      </c>
      <c r="AS46" s="4">
        <v>2507.2836994109898</v>
      </c>
      <c r="AT46" s="4">
        <v>185.220365792629</v>
      </c>
      <c r="AU46" s="4">
        <v>10.824914074211099</v>
      </c>
      <c r="AV46" s="4" t="s">
        <v>75</v>
      </c>
      <c r="AW46" s="4">
        <v>2.8181991723269399E-2</v>
      </c>
      <c r="AX46" s="4">
        <v>5.3911405087843603E-2</v>
      </c>
      <c r="AY46" s="4" t="s">
        <v>75</v>
      </c>
      <c r="AZ46" s="4">
        <v>0.41878899036137301</v>
      </c>
      <c r="BA46" s="4">
        <v>1.08554389978447</v>
      </c>
      <c r="BB46" s="4">
        <v>7.0231782361639601</v>
      </c>
      <c r="BC46" s="4">
        <v>0.75719049789548998</v>
      </c>
      <c r="BD46" s="4">
        <v>0.55606646282252803</v>
      </c>
      <c r="BE46" s="4" t="s">
        <v>75</v>
      </c>
      <c r="BF46" s="4">
        <v>1.9091189656332198E-2</v>
      </c>
      <c r="BG46" s="4">
        <v>1.35053054249638E-5</v>
      </c>
      <c r="BH46" s="4" t="s">
        <v>75</v>
      </c>
      <c r="BI46" s="4">
        <v>7.03205225817502E-4</v>
      </c>
      <c r="BJ46" s="4">
        <v>7.0697122927970701E-2</v>
      </c>
      <c r="BK46" s="4">
        <v>496.72538574079698</v>
      </c>
      <c r="BL46" s="4">
        <v>42.714542961412697</v>
      </c>
      <c r="BM46" s="4">
        <v>7.5527240707847003</v>
      </c>
      <c r="BN46" s="4" t="s">
        <v>75</v>
      </c>
      <c r="BO46" s="4">
        <v>2.3190645321936199E-2</v>
      </c>
      <c r="BP46" s="4">
        <v>5.7629149385239997E-2</v>
      </c>
      <c r="BQ46" s="4">
        <v>1.55286984498786</v>
      </c>
      <c r="BR46" s="4">
        <v>0.267467462064719</v>
      </c>
      <c r="BS46" s="4">
        <v>0.19077200710223099</v>
      </c>
      <c r="BT46" s="4" t="s">
        <v>75</v>
      </c>
      <c r="BU46" s="4">
        <v>1.25802282053299E-2</v>
      </c>
      <c r="BV46" s="4">
        <v>4.8757523418931303E-2</v>
      </c>
    </row>
    <row r="47" spans="1:74">
      <c r="A47" t="s">
        <v>123</v>
      </c>
      <c r="B47" t="s">
        <v>114</v>
      </c>
      <c r="C47" s="4">
        <v>0.148355517375167</v>
      </c>
      <c r="D47" s="4">
        <v>7.1607835737598005E-2</v>
      </c>
      <c r="E47" s="4">
        <v>0.104705056571215</v>
      </c>
      <c r="F47" s="4" t="s">
        <v>75</v>
      </c>
      <c r="G47" s="4">
        <v>0.56176971716264701</v>
      </c>
      <c r="H47" s="4">
        <v>1.13752444715871</v>
      </c>
      <c r="I47" s="4">
        <v>9.4268067012140708</v>
      </c>
      <c r="J47" s="4">
        <v>0.72443977146805405</v>
      </c>
      <c r="K47" s="4">
        <v>0.55173510448111995</v>
      </c>
      <c r="L47" s="4">
        <v>55.253178929682598</v>
      </c>
      <c r="M47" s="4">
        <v>21.7168549360394</v>
      </c>
      <c r="N47" s="4">
        <v>39.088443913450597</v>
      </c>
      <c r="O47" s="4" t="s">
        <v>75</v>
      </c>
      <c r="P47" s="4">
        <v>6.5680219659722594E-2</v>
      </c>
      <c r="Q47" s="4">
        <v>7.52252586918358E-2</v>
      </c>
      <c r="R47" s="4" t="s">
        <v>75</v>
      </c>
      <c r="S47" s="4">
        <v>0.36380985452595099</v>
      </c>
      <c r="T47" s="4">
        <v>1.0171924677289701</v>
      </c>
      <c r="U47" s="4">
        <v>1963.87907812399</v>
      </c>
      <c r="V47" s="4">
        <v>180.73377058999</v>
      </c>
      <c r="W47" s="4">
        <v>6.0857956460690001</v>
      </c>
      <c r="X47" s="4">
        <v>1919.6440868686</v>
      </c>
      <c r="Y47" s="4">
        <v>129.35989937335199</v>
      </c>
      <c r="Z47" s="4">
        <v>10.4550048963413</v>
      </c>
      <c r="AA47" s="4">
        <v>2108.9061472639701</v>
      </c>
      <c r="AB47" s="4">
        <v>176.26426366463599</v>
      </c>
      <c r="AC47" s="4">
        <v>0.383149741453364</v>
      </c>
      <c r="AD47" s="4">
        <v>167.74498597110201</v>
      </c>
      <c r="AE47" s="4">
        <v>14.067323186849199</v>
      </c>
      <c r="AF47" s="4">
        <v>0.354896626088884</v>
      </c>
      <c r="AG47" s="4">
        <v>5.5829428216778902</v>
      </c>
      <c r="AH47" s="4">
        <v>1.7821355122341</v>
      </c>
      <c r="AI47" s="4">
        <v>2.3386516008649498</v>
      </c>
      <c r="AJ47" s="4" t="s">
        <v>75</v>
      </c>
      <c r="AK47" s="4">
        <v>7.8933958536453499</v>
      </c>
      <c r="AL47" s="4">
        <v>12.986303720226401</v>
      </c>
      <c r="AM47" s="4">
        <v>0.64514462292016805</v>
      </c>
      <c r="AN47" s="4">
        <v>0.36255188382014503</v>
      </c>
      <c r="AO47" s="4">
        <v>7.0157896794975297E-7</v>
      </c>
      <c r="AP47" s="4">
        <v>0.70970589436079901</v>
      </c>
      <c r="AQ47" s="4">
        <v>0.19324788255603001</v>
      </c>
      <c r="AR47" s="4">
        <v>3.6683794821506802E-6</v>
      </c>
      <c r="AS47" s="4">
        <v>2373.0264205745698</v>
      </c>
      <c r="AT47" s="4">
        <v>192.937870135308</v>
      </c>
      <c r="AU47" s="4">
        <v>9.2698673561901703</v>
      </c>
      <c r="AV47" s="4">
        <v>9.1550529426581706E-2</v>
      </c>
      <c r="AW47" s="4">
        <v>4.0038327702042999E-2</v>
      </c>
      <c r="AX47" s="4">
        <v>6.9845901206811598E-2</v>
      </c>
      <c r="AY47" s="4" t="s">
        <v>75</v>
      </c>
      <c r="AZ47" s="4">
        <v>0.39698508618862399</v>
      </c>
      <c r="BA47" s="4">
        <v>1.177016609297</v>
      </c>
      <c r="BB47" s="4">
        <v>8.3715480076712492</v>
      </c>
      <c r="BC47" s="4">
        <v>1.20301259075477</v>
      </c>
      <c r="BD47" s="4">
        <v>8.2272809245167194E-2</v>
      </c>
      <c r="BE47" s="4" t="s">
        <v>75</v>
      </c>
      <c r="BF47" s="4">
        <v>1.5870653781367702E-2</v>
      </c>
      <c r="BG47" s="4">
        <v>1.2383148214875401E-5</v>
      </c>
      <c r="BH47" s="4" t="s">
        <v>75</v>
      </c>
      <c r="BI47" s="4">
        <v>5.9200975877427898E-4</v>
      </c>
      <c r="BJ47" s="4">
        <v>1.57538296469845E-6</v>
      </c>
      <c r="BK47" s="4">
        <v>437.83091726994502</v>
      </c>
      <c r="BL47" s="4">
        <v>32.763267115976298</v>
      </c>
      <c r="BM47" s="4">
        <v>7.2362801677448196</v>
      </c>
      <c r="BN47" s="4" t="s">
        <v>75</v>
      </c>
      <c r="BO47" s="4">
        <v>2.50334666094605E-2</v>
      </c>
      <c r="BP47" s="4">
        <v>5.6023822337091599E-2</v>
      </c>
      <c r="BQ47" s="4">
        <v>2.2646769387322201</v>
      </c>
      <c r="BR47" s="4">
        <v>0.301470450541382</v>
      </c>
      <c r="BS47" s="4">
        <v>0.16359478156152199</v>
      </c>
      <c r="BT47" s="4" t="s">
        <v>75</v>
      </c>
      <c r="BU47" s="4">
        <v>8.85473045994737E-3</v>
      </c>
      <c r="BV47" s="4">
        <v>1.5181828354112E-2</v>
      </c>
    </row>
    <row r="48" spans="1:74">
      <c r="A48" t="s">
        <v>124</v>
      </c>
      <c r="B48" t="s">
        <v>114</v>
      </c>
      <c r="C48" s="4" t="s">
        <v>75</v>
      </c>
      <c r="D48" s="4">
        <v>6.9799988833070301E-2</v>
      </c>
      <c r="E48" s="4">
        <v>0.107369166269716</v>
      </c>
      <c r="F48" s="4" t="s">
        <v>75</v>
      </c>
      <c r="G48" s="4">
        <v>0.40870757730833102</v>
      </c>
      <c r="H48" s="4">
        <v>1.1670005907732801</v>
      </c>
      <c r="I48" s="4">
        <v>8.1848057877366092</v>
      </c>
      <c r="J48" s="4">
        <v>0.67993453691124695</v>
      </c>
      <c r="K48" s="4">
        <v>0.56835940900273496</v>
      </c>
      <c r="L48" s="4">
        <v>59.196597957940497</v>
      </c>
      <c r="M48" s="4">
        <v>15.949639363786</v>
      </c>
      <c r="N48" s="4">
        <v>40.121961331082403</v>
      </c>
      <c r="O48" s="4" t="s">
        <v>75</v>
      </c>
      <c r="P48" s="4">
        <v>5.5063946739599003E-2</v>
      </c>
      <c r="Q48" s="4">
        <v>7.6991200468953802E-2</v>
      </c>
      <c r="R48" s="4" t="s">
        <v>75</v>
      </c>
      <c r="S48" s="4">
        <v>0.34697234359968399</v>
      </c>
      <c r="T48" s="4">
        <v>1.0419986840089801</v>
      </c>
      <c r="U48" s="4">
        <v>1999.77583030397</v>
      </c>
      <c r="V48" s="4">
        <v>139.359353440071</v>
      </c>
      <c r="W48" s="4">
        <v>6.2446216240057204</v>
      </c>
      <c r="X48" s="4">
        <v>1959.1399990120401</v>
      </c>
      <c r="Y48" s="4">
        <v>135.55129864517599</v>
      </c>
      <c r="Z48" s="4">
        <v>10.7186226309265</v>
      </c>
      <c r="AA48" s="4">
        <v>1731.3884598673901</v>
      </c>
      <c r="AB48" s="4">
        <v>117.740612114803</v>
      </c>
      <c r="AC48" s="4">
        <v>0.39242884335912898</v>
      </c>
      <c r="AD48" s="4">
        <v>295.038582579859</v>
      </c>
      <c r="AE48" s="4">
        <v>14.2747231397018</v>
      </c>
      <c r="AF48" s="4">
        <v>0.36445339930998999</v>
      </c>
      <c r="AG48" s="4">
        <v>10.9333968126725</v>
      </c>
      <c r="AH48" s="4">
        <v>2.4429331454678498</v>
      </c>
      <c r="AI48" s="4">
        <v>2.41098336084585</v>
      </c>
      <c r="AJ48" s="4">
        <v>13.376625290420399</v>
      </c>
      <c r="AK48" s="4">
        <v>9.37374957797938</v>
      </c>
      <c r="AL48" s="4">
        <v>13.3331532532592</v>
      </c>
      <c r="AM48" s="4">
        <v>0.44114007128861499</v>
      </c>
      <c r="AN48" s="4">
        <v>0.21599682753430699</v>
      </c>
      <c r="AO48" s="4">
        <v>7.1996207206062696E-7</v>
      </c>
      <c r="AP48" s="4">
        <v>0.85762438933604601</v>
      </c>
      <c r="AQ48" s="4">
        <v>0.17327026496676701</v>
      </c>
      <c r="AR48" s="4">
        <v>3.7634917871169202E-6</v>
      </c>
      <c r="AS48" s="4">
        <v>2439.98508288216</v>
      </c>
      <c r="AT48" s="4">
        <v>162.709764647866</v>
      </c>
      <c r="AU48" s="4">
        <v>9.4997017462875402</v>
      </c>
      <c r="AV48" s="4">
        <v>0.29386019685595499</v>
      </c>
      <c r="AW48" s="4">
        <v>6.9469676036403194E-2</v>
      </c>
      <c r="AX48" s="4">
        <v>7.1561522200533606E-2</v>
      </c>
      <c r="AY48" s="4" t="s">
        <v>75</v>
      </c>
      <c r="AZ48" s="4">
        <v>0.54397493503085803</v>
      </c>
      <c r="BA48" s="4">
        <v>1.2094042769090301</v>
      </c>
      <c r="BB48" s="4">
        <v>14.1961083937687</v>
      </c>
      <c r="BC48" s="4">
        <v>1.17913189018645</v>
      </c>
      <c r="BD48" s="4">
        <v>8.4567919958740398E-2</v>
      </c>
      <c r="BE48" s="4" t="s">
        <v>75</v>
      </c>
      <c r="BF48" s="4">
        <v>1.13714164487506E-2</v>
      </c>
      <c r="BG48" s="4">
        <v>1.27428074449377E-5</v>
      </c>
      <c r="BH48" s="4" t="s">
        <v>75</v>
      </c>
      <c r="BI48" s="4">
        <v>4.1409635966063502E-4</v>
      </c>
      <c r="BJ48" s="4">
        <v>1.6149407938178099E-6</v>
      </c>
      <c r="BK48" s="4">
        <v>439.08907880763599</v>
      </c>
      <c r="BL48" s="4">
        <v>26.133863545933501</v>
      </c>
      <c r="BM48" s="4">
        <v>7.3965558338856097</v>
      </c>
      <c r="BN48" s="4" t="s">
        <v>75</v>
      </c>
      <c r="BO48" s="4">
        <v>2.3961490299406099E-2</v>
      </c>
      <c r="BP48" s="4">
        <v>5.7484432335232302E-2</v>
      </c>
      <c r="BQ48" s="4">
        <v>2.8766906208525298</v>
      </c>
      <c r="BR48" s="4">
        <v>0.34056150007944302</v>
      </c>
      <c r="BS48" s="4">
        <v>0.16761302255441701</v>
      </c>
      <c r="BT48" s="4">
        <v>1.88254806563498E-2</v>
      </c>
      <c r="BU48" s="4">
        <v>1.5878234671716E-2</v>
      </c>
      <c r="BV48" s="4">
        <v>1.5549070321582001E-2</v>
      </c>
    </row>
    <row r="49" spans="1:74">
      <c r="A49" t="s">
        <v>125</v>
      </c>
      <c r="B49" t="s">
        <v>114</v>
      </c>
      <c r="C49" s="4" t="s">
        <v>75</v>
      </c>
      <c r="D49" s="4">
        <v>4.8109014256928401E-2</v>
      </c>
      <c r="E49" s="4">
        <v>0.14647879796792501</v>
      </c>
      <c r="F49" s="4" t="s">
        <v>75</v>
      </c>
      <c r="G49" s="4">
        <v>0.40110580805942803</v>
      </c>
      <c r="H49" s="4">
        <v>1.6795465039214901</v>
      </c>
      <c r="I49" s="4">
        <v>11.0186516416498</v>
      </c>
      <c r="J49" s="4">
        <v>1.0223080132612601</v>
      </c>
      <c r="K49" s="4">
        <v>0.648827586623129</v>
      </c>
      <c r="L49" s="4">
        <v>84.369541679870096</v>
      </c>
      <c r="M49" s="4">
        <v>26.9360815043289</v>
      </c>
      <c r="N49" s="4">
        <v>27.4758601790803</v>
      </c>
      <c r="O49" s="4" t="s">
        <v>75</v>
      </c>
      <c r="P49" s="4">
        <v>9.4867089722629402E-2</v>
      </c>
      <c r="Q49" s="4">
        <v>0.27998144682682702</v>
      </c>
      <c r="R49" s="4" t="s">
        <v>75</v>
      </c>
      <c r="S49" s="4">
        <v>0.562242238527348</v>
      </c>
      <c r="T49" s="4">
        <v>1.02775266058971</v>
      </c>
      <c r="U49" s="4">
        <v>1472.4636507339501</v>
      </c>
      <c r="V49" s="4">
        <v>83.049972449031102</v>
      </c>
      <c r="W49" s="4">
        <v>5.4414476765112303</v>
      </c>
      <c r="X49" s="4">
        <v>1396.5677246124401</v>
      </c>
      <c r="Y49" s="4">
        <v>80.821374797391201</v>
      </c>
      <c r="Z49" s="4">
        <v>7.6938059060752604</v>
      </c>
      <c r="AA49" s="4">
        <v>1702.32820016959</v>
      </c>
      <c r="AB49" s="4">
        <v>88.936484123570594</v>
      </c>
      <c r="AC49" s="4">
        <v>0.399542848600829</v>
      </c>
      <c r="AD49" s="4">
        <v>83.065509080199902</v>
      </c>
      <c r="AE49" s="4">
        <v>6.0719874060980796</v>
      </c>
      <c r="AF49" s="4">
        <v>0.84689142857918798</v>
      </c>
      <c r="AG49" s="4" t="s">
        <v>75</v>
      </c>
      <c r="AH49" s="4">
        <v>0.72275603587570503</v>
      </c>
      <c r="AI49" s="4">
        <v>1.6846169706380401</v>
      </c>
      <c r="AJ49" s="4" t="s">
        <v>75</v>
      </c>
      <c r="AK49" s="4">
        <v>8.1477612194076503</v>
      </c>
      <c r="AL49" s="4">
        <v>14.9934327016115</v>
      </c>
      <c r="AM49" s="4">
        <v>0.55465494601047605</v>
      </c>
      <c r="AN49" s="4">
        <v>0.243763344626546</v>
      </c>
      <c r="AO49" s="4">
        <v>0.44153015838974002</v>
      </c>
      <c r="AP49" s="4">
        <v>0.53095164732837796</v>
      </c>
      <c r="AQ49" s="4">
        <v>0.108173521738452</v>
      </c>
      <c r="AR49" s="4">
        <v>4.3576915526522396E-6</v>
      </c>
      <c r="AS49" s="4">
        <v>2972.4742888209398</v>
      </c>
      <c r="AT49" s="4">
        <v>202.84440762869201</v>
      </c>
      <c r="AU49" s="4">
        <v>10.378091929232101</v>
      </c>
      <c r="AV49" s="4">
        <v>0.19484320538224301</v>
      </c>
      <c r="AW49" s="4">
        <v>5.9940898184743602E-2</v>
      </c>
      <c r="AX49" s="4">
        <v>5.82897056791951E-2</v>
      </c>
      <c r="AY49" s="4" t="s">
        <v>75</v>
      </c>
      <c r="AZ49" s="4">
        <v>0.471114544279917</v>
      </c>
      <c r="BA49" s="4">
        <v>1.1105244594969901</v>
      </c>
      <c r="BB49" s="4">
        <v>0.43299823879146798</v>
      </c>
      <c r="BC49" s="4">
        <v>0.15974376427377701</v>
      </c>
      <c r="BD49" s="4">
        <v>0.188310394990546</v>
      </c>
      <c r="BE49" s="4" t="s">
        <v>75</v>
      </c>
      <c r="BF49" s="4">
        <v>1.2571120397147501E-2</v>
      </c>
      <c r="BG49" s="4">
        <v>1.47993897283131E-5</v>
      </c>
      <c r="BH49" s="4" t="s">
        <v>75</v>
      </c>
      <c r="BI49" s="4">
        <v>4.44213567707795E-4</v>
      </c>
      <c r="BJ49" s="4">
        <v>3.8284996352655899E-2</v>
      </c>
      <c r="BK49" s="4">
        <v>556.26297947151102</v>
      </c>
      <c r="BL49" s="4">
        <v>29.7169858077879</v>
      </c>
      <c r="BM49" s="4">
        <v>5.7993345692511102</v>
      </c>
      <c r="BN49" s="4" t="s">
        <v>75</v>
      </c>
      <c r="BO49" s="4">
        <v>2.11308486313748E-2</v>
      </c>
      <c r="BP49" s="4">
        <v>6.1346679848720699E-2</v>
      </c>
      <c r="BQ49" s="4">
        <v>0.83749472614472198</v>
      </c>
      <c r="BR49" s="4">
        <v>0.19386877261077901</v>
      </c>
      <c r="BS49" s="4">
        <v>0.136424828657499</v>
      </c>
      <c r="BT49" s="4" t="s">
        <v>75</v>
      </c>
      <c r="BU49" s="4">
        <v>5.0450586323555697E-3</v>
      </c>
      <c r="BV49" s="4">
        <v>6.52140066613969E-2</v>
      </c>
    </row>
    <row r="50" spans="1:74">
      <c r="A50" t="s">
        <v>126</v>
      </c>
      <c r="B50" t="s">
        <v>114</v>
      </c>
      <c r="C50" s="4" t="s">
        <v>75</v>
      </c>
      <c r="D50" s="4">
        <v>5.1505424544603398E-2</v>
      </c>
      <c r="E50" s="4">
        <v>0.18074502883742599</v>
      </c>
      <c r="F50" s="4" t="s">
        <v>75</v>
      </c>
      <c r="G50" s="4">
        <v>0.54166495336488996</v>
      </c>
      <c r="H50" s="4">
        <v>1.0162808702980901</v>
      </c>
      <c r="I50" s="4">
        <v>12.680108841078001</v>
      </c>
      <c r="J50" s="4">
        <v>1.4416954944908</v>
      </c>
      <c r="K50" s="4">
        <v>0.463306762767075</v>
      </c>
      <c r="L50" s="4">
        <v>74.878569509328898</v>
      </c>
      <c r="M50" s="4">
        <v>18.138026209067299</v>
      </c>
      <c r="N50" s="4">
        <v>33.772523029846603</v>
      </c>
      <c r="O50" s="4">
        <v>0.185523160728611</v>
      </c>
      <c r="P50" s="4">
        <v>0.122680383340299</v>
      </c>
      <c r="Q50" s="4">
        <v>0.10861453528812801</v>
      </c>
      <c r="R50" s="4" t="s">
        <v>75</v>
      </c>
      <c r="S50" s="4">
        <v>0.473834105356361</v>
      </c>
      <c r="T50" s="4">
        <v>1.27659839475604</v>
      </c>
      <c r="U50" s="4">
        <v>435.71083863651103</v>
      </c>
      <c r="V50" s="4">
        <v>48.494483410433197</v>
      </c>
      <c r="W50" s="4">
        <v>6.9940516642295902</v>
      </c>
      <c r="X50" s="4">
        <v>415.06727240243401</v>
      </c>
      <c r="Y50" s="4">
        <v>33.107422632348602</v>
      </c>
      <c r="Z50" s="4">
        <v>8.1868013251751695</v>
      </c>
      <c r="AA50" s="4">
        <v>467.84557903911502</v>
      </c>
      <c r="AB50" s="4">
        <v>37.408852277471603</v>
      </c>
      <c r="AC50" s="4">
        <v>0.328453426332039</v>
      </c>
      <c r="AD50" s="4">
        <v>40.694863960375798</v>
      </c>
      <c r="AE50" s="4">
        <v>4.48273549653321</v>
      </c>
      <c r="AF50" s="4">
        <v>0.54810978476740102</v>
      </c>
      <c r="AG50" s="4" t="s">
        <v>75</v>
      </c>
      <c r="AH50" s="4">
        <v>0.72989172719262096</v>
      </c>
      <c r="AI50" s="4">
        <v>2.6666693470785598</v>
      </c>
      <c r="AJ50" s="4" t="s">
        <v>75</v>
      </c>
      <c r="AK50" s="4">
        <v>6.3711520613442998</v>
      </c>
      <c r="AL50" s="4">
        <v>11.492849460227401</v>
      </c>
      <c r="AM50" s="4">
        <v>0.40240837631339998</v>
      </c>
      <c r="AN50" s="4">
        <v>0.25941714436468299</v>
      </c>
      <c r="AO50" s="4">
        <v>0.23811104373594899</v>
      </c>
      <c r="AP50" s="4">
        <v>0.341560278298919</v>
      </c>
      <c r="AQ50" s="4">
        <v>0.160242156161856</v>
      </c>
      <c r="AR50" s="4">
        <v>4.5448882755565797E-6</v>
      </c>
      <c r="AS50" s="4">
        <v>3337.9483627047198</v>
      </c>
      <c r="AT50" s="4">
        <v>233.62538866026</v>
      </c>
      <c r="AU50" s="4">
        <v>8.5792993572697096</v>
      </c>
      <c r="AV50" s="4">
        <v>3.8214920191651201E-2</v>
      </c>
      <c r="AW50" s="4">
        <v>2.1288380577964498E-2</v>
      </c>
      <c r="AX50" s="4">
        <v>2.17744358032077E-2</v>
      </c>
      <c r="AY50" s="4" t="s">
        <v>75</v>
      </c>
      <c r="AZ50" s="4">
        <v>0.52541017562882497</v>
      </c>
      <c r="BA50" s="4">
        <v>0.847570531074338</v>
      </c>
      <c r="BB50" s="4">
        <v>0.45793262843953902</v>
      </c>
      <c r="BC50" s="4">
        <v>0.20565820011686101</v>
      </c>
      <c r="BD50" s="4">
        <v>0.152213802930629</v>
      </c>
      <c r="BE50" s="4" t="s">
        <v>75</v>
      </c>
      <c r="BF50" s="4">
        <v>1.8905959227783101E-2</v>
      </c>
      <c r="BG50" s="4">
        <v>1.5487405959736401E-5</v>
      </c>
      <c r="BH50" s="4" t="s">
        <v>75</v>
      </c>
      <c r="BI50" s="4">
        <v>6.6715633586026898E-4</v>
      </c>
      <c r="BJ50" s="4">
        <v>1.94711038571558E-6</v>
      </c>
      <c r="BK50" s="4">
        <v>611.42774453597201</v>
      </c>
      <c r="BL50" s="4">
        <v>42.475268892727499</v>
      </c>
      <c r="BM50" s="4">
        <v>10.188273312600501</v>
      </c>
      <c r="BN50" s="4" t="s">
        <v>75</v>
      </c>
      <c r="BO50" s="4">
        <v>1.55766623273162E-2</v>
      </c>
      <c r="BP50" s="4">
        <v>7.1756545296148694E-2</v>
      </c>
      <c r="BQ50" s="4">
        <v>5.1442343869082396</v>
      </c>
      <c r="BR50" s="4">
        <v>1.0536925460406401</v>
      </c>
      <c r="BS50" s="4">
        <v>0.130996474065004</v>
      </c>
      <c r="BT50" s="4" t="s">
        <v>75</v>
      </c>
      <c r="BU50" s="4">
        <v>4.6194525333163898E-3</v>
      </c>
      <c r="BV50" s="4">
        <v>2.0995190775795598E-2</v>
      </c>
    </row>
    <row r="51" spans="1:74">
      <c r="A51" t="s">
        <v>127</v>
      </c>
      <c r="B51" t="s">
        <v>114</v>
      </c>
      <c r="C51" s="4">
        <v>8.0287632139645806E-2</v>
      </c>
      <c r="D51" s="4">
        <v>6.2379132736691101E-2</v>
      </c>
      <c r="E51" s="4">
        <v>4.8622203392596701E-2</v>
      </c>
      <c r="F51" s="4" t="s">
        <v>75</v>
      </c>
      <c r="G51" s="4">
        <v>0.49863413351886499</v>
      </c>
      <c r="H51" s="4">
        <v>1.6622858217468599</v>
      </c>
      <c r="I51" s="4">
        <v>11.8772773614009</v>
      </c>
      <c r="J51" s="4">
        <v>1.63685040941535</v>
      </c>
      <c r="K51" s="4">
        <v>0.38084116014384101</v>
      </c>
      <c r="L51" s="4" t="s">
        <v>75</v>
      </c>
      <c r="M51" s="4">
        <v>19.626831578070298</v>
      </c>
      <c r="N51" s="4">
        <v>60.525664738130899</v>
      </c>
      <c r="O51" s="4" t="s">
        <v>75</v>
      </c>
      <c r="P51" s="4">
        <v>4.67225899685869E-2</v>
      </c>
      <c r="Q51" s="4">
        <v>0.16020663489154499</v>
      </c>
      <c r="R51" s="4" t="s">
        <v>75</v>
      </c>
      <c r="S51" s="4">
        <v>0.47969657505256202</v>
      </c>
      <c r="T51" s="4">
        <v>0.80302338556210795</v>
      </c>
      <c r="U51" s="4">
        <v>1199.88380867878</v>
      </c>
      <c r="V51" s="4">
        <v>151.10235022539999</v>
      </c>
      <c r="W51" s="4">
        <v>4.7816266916992598</v>
      </c>
      <c r="X51" s="4">
        <v>1178.7492590785901</v>
      </c>
      <c r="Y51" s="4">
        <v>91.049453033171204</v>
      </c>
      <c r="Z51" s="4">
        <v>9.4196397858325192</v>
      </c>
      <c r="AA51" s="4">
        <v>498.191899228598</v>
      </c>
      <c r="AB51" s="4">
        <v>52.259421607375501</v>
      </c>
      <c r="AC51" s="4">
        <v>0.51985196763169494</v>
      </c>
      <c r="AD51" s="4">
        <v>363.77344093491701</v>
      </c>
      <c r="AE51" s="4">
        <v>43.3005598912602</v>
      </c>
      <c r="AF51" s="4">
        <v>0.66756454235770202</v>
      </c>
      <c r="AG51" s="4">
        <v>19.044026410627701</v>
      </c>
      <c r="AH51" s="4">
        <v>3.80485106028758</v>
      </c>
      <c r="AI51" s="4">
        <v>2.0291777565071101</v>
      </c>
      <c r="AJ51" s="4" t="s">
        <v>75</v>
      </c>
      <c r="AK51" s="4">
        <v>5.8053432421860496</v>
      </c>
      <c r="AL51" s="4">
        <v>24.5977040086036</v>
      </c>
      <c r="AM51" s="4">
        <v>0.32439491358357098</v>
      </c>
      <c r="AN51" s="4">
        <v>0.199168996863269</v>
      </c>
      <c r="AO51" s="4">
        <v>0.22039204167882101</v>
      </c>
      <c r="AP51" s="4">
        <v>0.56531211636091006</v>
      </c>
      <c r="AQ51" s="4">
        <v>0.14081710093260699</v>
      </c>
      <c r="AR51" s="4">
        <v>8.30061558967784E-2</v>
      </c>
      <c r="AS51" s="4">
        <v>2493.5747275101799</v>
      </c>
      <c r="AT51" s="4">
        <v>191.27649892262201</v>
      </c>
      <c r="AU51" s="4">
        <v>7.4020290922505696</v>
      </c>
      <c r="AV51" s="4" t="s">
        <v>75</v>
      </c>
      <c r="AW51" s="4">
        <v>5.0236234090160502E-2</v>
      </c>
      <c r="AX51" s="4">
        <v>9.77180171324247E-2</v>
      </c>
      <c r="AY51" s="4" t="s">
        <v>75</v>
      </c>
      <c r="AZ51" s="4">
        <v>0.55374525905415695</v>
      </c>
      <c r="BA51" s="4">
        <v>0.81790297609795004</v>
      </c>
      <c r="BB51" s="4">
        <v>19.477534695394102</v>
      </c>
      <c r="BC51" s="4">
        <v>2.18426079621692</v>
      </c>
      <c r="BD51" s="4">
        <v>0.32164963063588398</v>
      </c>
      <c r="BE51" s="4" t="s">
        <v>75</v>
      </c>
      <c r="BF51" s="4">
        <v>2.17377890267961E-2</v>
      </c>
      <c r="BG51" s="4">
        <v>1.2782689577159501E-5</v>
      </c>
      <c r="BH51" s="4" t="s">
        <v>75</v>
      </c>
      <c r="BI51" s="4">
        <v>7.5134497150225704E-4</v>
      </c>
      <c r="BJ51" s="4">
        <v>1.5939592817138901E-6</v>
      </c>
      <c r="BK51" s="4">
        <v>498.85464843325798</v>
      </c>
      <c r="BL51" s="4">
        <v>40.703689626525097</v>
      </c>
      <c r="BM51" s="4">
        <v>4.87295911214333</v>
      </c>
      <c r="BN51" s="4" t="s">
        <v>75</v>
      </c>
      <c r="BO51" s="4">
        <v>2.7648377410027899E-2</v>
      </c>
      <c r="BP51" s="4">
        <v>5.6990229019959399E-2</v>
      </c>
      <c r="BQ51" s="4">
        <v>3.3052928255455001</v>
      </c>
      <c r="BR51" s="4">
        <v>0.50765316625743595</v>
      </c>
      <c r="BS51" s="4">
        <v>0.12986796836242001</v>
      </c>
      <c r="BT51" s="4" t="s">
        <v>75</v>
      </c>
      <c r="BU51" s="4">
        <v>7.5232902462334401E-3</v>
      </c>
      <c r="BV51" s="4">
        <v>3.0571633554075401E-2</v>
      </c>
    </row>
    <row r="52" spans="1:74">
      <c r="A52" t="s">
        <v>128</v>
      </c>
      <c r="B52" t="s">
        <v>114</v>
      </c>
      <c r="C52" s="4">
        <v>0.39728176870645299</v>
      </c>
      <c r="D52" s="4">
        <v>0.12899252083678101</v>
      </c>
      <c r="E52" s="4">
        <v>4.8813124224124198E-2</v>
      </c>
      <c r="F52" s="4" t="s">
        <v>75</v>
      </c>
      <c r="G52" s="4">
        <v>0.51394226387099495</v>
      </c>
      <c r="H52" s="4">
        <v>1.6697129968556601</v>
      </c>
      <c r="I52" s="4">
        <v>14.000178419893199</v>
      </c>
      <c r="J52" s="4">
        <v>1.8135110143820401</v>
      </c>
      <c r="K52" s="4">
        <v>0.3845969586354</v>
      </c>
      <c r="L52" s="4">
        <v>7011.4762423314896</v>
      </c>
      <c r="M52" s="4">
        <v>2150.9730735105099</v>
      </c>
      <c r="N52" s="4">
        <v>60.824154585239903</v>
      </c>
      <c r="O52" s="4">
        <v>3.0013880150613601</v>
      </c>
      <c r="P52" s="4">
        <v>1.0931772241961999</v>
      </c>
      <c r="Q52" s="4">
        <v>0.16046808897406301</v>
      </c>
      <c r="R52" s="4">
        <v>5.3950707315864301</v>
      </c>
      <c r="S52" s="4">
        <v>2.7162264943241299</v>
      </c>
      <c r="T52" s="4">
        <v>0.80530651530710995</v>
      </c>
      <c r="U52" s="4">
        <v>1798.2234687963301</v>
      </c>
      <c r="V52" s="4">
        <v>220.45629514712701</v>
      </c>
      <c r="W52" s="4">
        <v>4.8028258452152599</v>
      </c>
      <c r="X52" s="4">
        <v>1741.0975117764101</v>
      </c>
      <c r="Y52" s="4">
        <v>129.61761863777201</v>
      </c>
      <c r="Z52" s="4">
        <v>9.4526390162360308</v>
      </c>
      <c r="AA52" s="4">
        <v>1918.80947582</v>
      </c>
      <c r="AB52" s="4">
        <v>167.869294360027</v>
      </c>
      <c r="AC52" s="4">
        <v>0.52111573152068402</v>
      </c>
      <c r="AD52" s="4">
        <v>92.179325964714295</v>
      </c>
      <c r="AE52" s="4">
        <v>9.5787426742920303</v>
      </c>
      <c r="AF52" s="4">
        <v>0.67139518369181606</v>
      </c>
      <c r="AG52" s="4">
        <v>4.8803877142323104</v>
      </c>
      <c r="AH52" s="4">
        <v>1.6217846776562601</v>
      </c>
      <c r="AI52" s="4">
        <v>2.0501559078483802</v>
      </c>
      <c r="AJ52" s="4" t="s">
        <v>75</v>
      </c>
      <c r="AK52" s="4">
        <v>4.9004970120038998</v>
      </c>
      <c r="AL52" s="4">
        <v>24.729734492452302</v>
      </c>
      <c r="AM52" s="4">
        <v>0.30977085174908298</v>
      </c>
      <c r="AN52" s="4">
        <v>0.263769438843582</v>
      </c>
      <c r="AO52" s="4">
        <v>0.22150963665120199</v>
      </c>
      <c r="AP52" s="4">
        <v>0.87366455052971104</v>
      </c>
      <c r="AQ52" s="4">
        <v>0.247509645889229</v>
      </c>
      <c r="AR52" s="4">
        <v>8.3360263174644705E-2</v>
      </c>
      <c r="AS52" s="4">
        <v>2380.4012954905002</v>
      </c>
      <c r="AT52" s="4">
        <v>180.61440834283499</v>
      </c>
      <c r="AU52" s="4">
        <v>7.4264312298135904</v>
      </c>
      <c r="AV52" s="4" t="s">
        <v>75</v>
      </c>
      <c r="AW52" s="4">
        <v>3.0545163148347501E-2</v>
      </c>
      <c r="AX52" s="4">
        <v>9.8001331338662206E-2</v>
      </c>
      <c r="AY52" s="4" t="s">
        <v>75</v>
      </c>
      <c r="AZ52" s="4">
        <v>0.30975100288570101</v>
      </c>
      <c r="BA52" s="4">
        <v>0.82328719630966596</v>
      </c>
      <c r="BB52" s="4">
        <v>3.31007495228774</v>
      </c>
      <c r="BC52" s="4">
        <v>0.53460986931522703</v>
      </c>
      <c r="BD52" s="4">
        <v>0.323860417187322</v>
      </c>
      <c r="BE52" s="4" t="s">
        <v>75</v>
      </c>
      <c r="BF52" s="4">
        <v>0.291677143281176</v>
      </c>
      <c r="BG52" s="4">
        <v>1.2882822522593101E-5</v>
      </c>
      <c r="BH52" s="4" t="s">
        <v>75</v>
      </c>
      <c r="BI52" s="4">
        <v>6.9160976355286204E-4</v>
      </c>
      <c r="BJ52" s="4">
        <v>1.59942535117527E-6</v>
      </c>
      <c r="BK52" s="4">
        <v>595.09573763552601</v>
      </c>
      <c r="BL52" s="4">
        <v>44.653510295117897</v>
      </c>
      <c r="BM52" s="4">
        <v>4.87015956489142</v>
      </c>
      <c r="BN52" s="4" t="s">
        <v>75</v>
      </c>
      <c r="BO52" s="4">
        <v>2.0182751813777999E-2</v>
      </c>
      <c r="BP52" s="4">
        <v>5.7254281173895999E-2</v>
      </c>
      <c r="BQ52" s="4">
        <v>3.9291582394165498</v>
      </c>
      <c r="BR52" s="4">
        <v>1.1821458602229999</v>
      </c>
      <c r="BS52" s="4">
        <v>0.13026780984528</v>
      </c>
      <c r="BT52" s="4" t="s">
        <v>75</v>
      </c>
      <c r="BU52" s="4">
        <v>7.4997093231828904E-3</v>
      </c>
      <c r="BV52" s="4">
        <v>3.0647555836497802E-2</v>
      </c>
    </row>
    <row r="53" spans="1:74">
      <c r="A53" t="s">
        <v>129</v>
      </c>
      <c r="B53" t="s">
        <v>114</v>
      </c>
      <c r="C53" s="4">
        <v>0.33591555565380199</v>
      </c>
      <c r="D53" s="4">
        <v>0.120178644127011</v>
      </c>
      <c r="E53" s="4">
        <v>0.22387702383126001</v>
      </c>
      <c r="F53" s="4" t="s">
        <v>75</v>
      </c>
      <c r="G53" s="4">
        <v>0.53320168769898701</v>
      </c>
      <c r="H53" s="4">
        <v>0.98663995554915496</v>
      </c>
      <c r="I53" s="4">
        <v>14.629640478051799</v>
      </c>
      <c r="J53" s="4">
        <v>1.4906708979779599</v>
      </c>
      <c r="K53" s="4">
        <v>0.650506217434342</v>
      </c>
      <c r="L53" s="4">
        <v>33.033516910999602</v>
      </c>
      <c r="M53" s="4">
        <v>19.637586067436299</v>
      </c>
      <c r="N53" s="4">
        <v>26.4169933135707</v>
      </c>
      <c r="O53" s="4" t="s">
        <v>75</v>
      </c>
      <c r="P53" s="4">
        <v>0.105164306979421</v>
      </c>
      <c r="Q53" s="4">
        <v>0.19641718629530799</v>
      </c>
      <c r="R53" s="4" t="s">
        <v>75</v>
      </c>
      <c r="S53" s="4">
        <v>0.51479472397530901</v>
      </c>
      <c r="T53" s="4">
        <v>0.72371197213458804</v>
      </c>
      <c r="U53" s="4">
        <v>1704.8899855235099</v>
      </c>
      <c r="V53" s="4">
        <v>132.99282776975201</v>
      </c>
      <c r="W53" s="4">
        <v>5.5061902808655798</v>
      </c>
      <c r="X53" s="4">
        <v>1660.15947635982</v>
      </c>
      <c r="Y53" s="4">
        <v>87.673331661918894</v>
      </c>
      <c r="Z53" s="4">
        <v>15.0989277483739</v>
      </c>
      <c r="AA53" s="4">
        <v>1846.2791689967901</v>
      </c>
      <c r="AB53" s="4">
        <v>92.995125310124706</v>
      </c>
      <c r="AC53" s="4">
        <v>0.25160176217693098</v>
      </c>
      <c r="AD53" s="4">
        <v>104.33790528751</v>
      </c>
      <c r="AE53" s="4">
        <v>7.3830154573040003</v>
      </c>
      <c r="AF53" s="4">
        <v>0.54205291684897206</v>
      </c>
      <c r="AG53" s="4" t="s">
        <v>75</v>
      </c>
      <c r="AH53" s="4">
        <v>1.2006301488786499</v>
      </c>
      <c r="AI53" s="4">
        <v>1.7188239460830601</v>
      </c>
      <c r="AJ53" s="4" t="s">
        <v>75</v>
      </c>
      <c r="AK53" s="4">
        <v>7.6124250161782196</v>
      </c>
      <c r="AL53" s="4">
        <v>18.959916961603199</v>
      </c>
      <c r="AM53" s="4">
        <v>0.46778746140402799</v>
      </c>
      <c r="AN53" s="4">
        <v>0.320661294286958</v>
      </c>
      <c r="AO53" s="4">
        <v>0.18764371035365501</v>
      </c>
      <c r="AP53" s="4">
        <v>0.82537427300194499</v>
      </c>
      <c r="AQ53" s="4">
        <v>0.25718844356842202</v>
      </c>
      <c r="AR53" s="4">
        <v>4.8154290008876099E-6</v>
      </c>
      <c r="AS53" s="4">
        <v>2494.0499684727702</v>
      </c>
      <c r="AT53" s="4">
        <v>105.094593199907</v>
      </c>
      <c r="AU53" s="4">
        <v>8.9851208547823607</v>
      </c>
      <c r="AV53" s="4" t="s">
        <v>75</v>
      </c>
      <c r="AW53" s="4">
        <v>2.49318048814452E-2</v>
      </c>
      <c r="AX53" s="4">
        <v>5.1845267193127001E-2</v>
      </c>
      <c r="AY53" s="4" t="s">
        <v>75</v>
      </c>
      <c r="AZ53" s="4">
        <v>0.43854894372219</v>
      </c>
      <c r="BA53" s="4">
        <v>1.22500634528692</v>
      </c>
      <c r="BB53" s="4">
        <v>1.8351293732555001</v>
      </c>
      <c r="BC53" s="4">
        <v>0.30843445196763097</v>
      </c>
      <c r="BD53" s="4">
        <v>0.16285142006819101</v>
      </c>
      <c r="BE53" s="4" t="s">
        <v>75</v>
      </c>
      <c r="BF53" s="4">
        <v>1.3785973195170701E-2</v>
      </c>
      <c r="BG53" s="4">
        <v>1.6633108518773E-5</v>
      </c>
      <c r="BH53" s="4" t="s">
        <v>75</v>
      </c>
      <c r="BI53" s="4">
        <v>4.6772500447954699E-4</v>
      </c>
      <c r="BJ53" s="4">
        <v>2.05641424985897E-6</v>
      </c>
      <c r="BK53" s="4">
        <v>565.94979094168104</v>
      </c>
      <c r="BL53" s="4">
        <v>31.819828669938499</v>
      </c>
      <c r="BM53" s="4">
        <v>9.4910190301069797</v>
      </c>
      <c r="BN53" s="4" t="s">
        <v>75</v>
      </c>
      <c r="BO53" s="4">
        <v>1.97178175160748E-2</v>
      </c>
      <c r="BP53" s="4">
        <v>4.97066321451912E-2</v>
      </c>
      <c r="BQ53" s="4">
        <v>0.64315436487152899</v>
      </c>
      <c r="BR53" s="4">
        <v>0.13399147788034499</v>
      </c>
      <c r="BS53" s="4">
        <v>0.20609580847344999</v>
      </c>
      <c r="BT53" s="4" t="s">
        <v>75</v>
      </c>
      <c r="BU53" s="4">
        <v>6.0407659095397101E-3</v>
      </c>
      <c r="BV53" s="4">
        <v>3.9801899040301798E-2</v>
      </c>
    </row>
    <row r="54" spans="1:74">
      <c r="A54" t="s">
        <v>130</v>
      </c>
      <c r="B54" t="s">
        <v>114</v>
      </c>
      <c r="C54" s="4">
        <v>0.51588721201463805</v>
      </c>
      <c r="D54" s="4">
        <v>0.13481323449802499</v>
      </c>
      <c r="E54" s="4">
        <v>0.113470050206651</v>
      </c>
      <c r="F54" s="4" t="s">
        <v>75</v>
      </c>
      <c r="G54" s="4">
        <v>0.49501960588947902</v>
      </c>
      <c r="H54" s="4">
        <v>1.24546987363646</v>
      </c>
      <c r="I54" s="4">
        <v>14.1679394297883</v>
      </c>
      <c r="J54" s="4">
        <v>1.1864497199150299</v>
      </c>
      <c r="K54" s="4">
        <v>0.51842351042754597</v>
      </c>
      <c r="L54" s="4" t="s">
        <v>75</v>
      </c>
      <c r="M54" s="4">
        <v>13.9944753563188</v>
      </c>
      <c r="N54" s="4">
        <v>27.5875676086056</v>
      </c>
      <c r="O54" s="4" t="s">
        <v>75</v>
      </c>
      <c r="P54" s="4">
        <v>7.46452785232153E-2</v>
      </c>
      <c r="Q54" s="4">
        <v>8.2427943726220906E-2</v>
      </c>
      <c r="R54" s="4" t="s">
        <v>75</v>
      </c>
      <c r="S54" s="4">
        <v>0.86471768947567695</v>
      </c>
      <c r="T54" s="4">
        <v>1.07888550639142</v>
      </c>
      <c r="U54" s="4">
        <v>1908.7856484608701</v>
      </c>
      <c r="V54" s="4">
        <v>146.149827789451</v>
      </c>
      <c r="W54" s="4">
        <v>6.3197734991990897</v>
      </c>
      <c r="X54" s="4">
        <v>1791.16080798743</v>
      </c>
      <c r="Y54" s="4">
        <v>96.984223889266204</v>
      </c>
      <c r="Z54" s="4">
        <v>6.2776874870109296</v>
      </c>
      <c r="AA54" s="4">
        <v>2009.2527769589501</v>
      </c>
      <c r="AB54" s="4">
        <v>109.14657000069001</v>
      </c>
      <c r="AC54" s="4">
        <v>0.29312179360936502</v>
      </c>
      <c r="AD54" s="4">
        <v>97.634538957608697</v>
      </c>
      <c r="AE54" s="4">
        <v>8.2389228555339393</v>
      </c>
      <c r="AF54" s="4">
        <v>0.95021443301499797</v>
      </c>
      <c r="AG54" s="4" t="s">
        <v>75</v>
      </c>
      <c r="AH54" s="4">
        <v>0.86616277818987097</v>
      </c>
      <c r="AI54" s="4">
        <v>2.5408080641624999</v>
      </c>
      <c r="AJ54" s="4" t="s">
        <v>75</v>
      </c>
      <c r="AK54" s="4">
        <v>4.8593114939484998</v>
      </c>
      <c r="AL54" s="4">
        <v>20.0146343753566</v>
      </c>
      <c r="AM54" s="4">
        <v>0.79191299701339701</v>
      </c>
      <c r="AN54" s="4">
        <v>0.25573813958980002</v>
      </c>
      <c r="AO54" s="4">
        <v>0.15066997917008201</v>
      </c>
      <c r="AP54" s="4">
        <v>0.71531817339098303</v>
      </c>
      <c r="AQ54" s="4">
        <v>0.22632623246044201</v>
      </c>
      <c r="AR54" s="4">
        <v>5.89010186548762E-6</v>
      </c>
      <c r="AS54" s="4">
        <v>2504.0893944495701</v>
      </c>
      <c r="AT54" s="4">
        <v>148.076940681781</v>
      </c>
      <c r="AU54" s="4">
        <v>8.5232288632461692</v>
      </c>
      <c r="AV54" s="4">
        <v>3.6905348956604002E-2</v>
      </c>
      <c r="AW54" s="4">
        <v>3.0502479370132202E-2</v>
      </c>
      <c r="AX54" s="4">
        <v>2.96816569865197E-2</v>
      </c>
      <c r="AY54" s="4" t="s">
        <v>75</v>
      </c>
      <c r="AZ54" s="4">
        <v>0.43618388029497102</v>
      </c>
      <c r="BA54" s="4">
        <v>1.13598725096353</v>
      </c>
      <c r="BB54" s="4">
        <v>0.55813573916207604</v>
      </c>
      <c r="BC54" s="4">
        <v>0.225850368677744</v>
      </c>
      <c r="BD54" s="4">
        <v>0.23797066494903599</v>
      </c>
      <c r="BE54" s="4" t="s">
        <v>75</v>
      </c>
      <c r="BF54" s="4">
        <v>1.56136509494315E-2</v>
      </c>
      <c r="BG54" s="4">
        <v>2.0417540848507799E-5</v>
      </c>
      <c r="BH54" s="4" t="s">
        <v>75</v>
      </c>
      <c r="BI54" s="4">
        <v>5.1205042539746303E-4</v>
      </c>
      <c r="BJ54" s="4">
        <v>2.5133439650644298E-6</v>
      </c>
      <c r="BK54" s="4">
        <v>587.89636950643001</v>
      </c>
      <c r="BL54" s="4">
        <v>33.445428215339199</v>
      </c>
      <c r="BM54" s="4">
        <v>5.9580542865557797</v>
      </c>
      <c r="BN54" s="4" t="s">
        <v>75</v>
      </c>
      <c r="BO54" s="4">
        <v>2.7388336103072598E-2</v>
      </c>
      <c r="BP54" s="4">
        <v>7.3430684769932197E-2</v>
      </c>
      <c r="BQ54" s="4">
        <v>0.360793185642104</v>
      </c>
      <c r="BR54" s="4">
        <v>9.5784602429853996E-2</v>
      </c>
      <c r="BS54" s="4">
        <v>0.112872068613563</v>
      </c>
      <c r="BT54" s="4" t="s">
        <v>75</v>
      </c>
      <c r="BU54" s="4">
        <v>3.3500350768804598E-3</v>
      </c>
      <c r="BV54" s="4">
        <v>2.2563782989529099E-2</v>
      </c>
    </row>
    <row r="55" spans="1:74">
      <c r="A55" t="s">
        <v>131</v>
      </c>
      <c r="B55" t="s">
        <v>132</v>
      </c>
      <c r="C55" s="4">
        <v>0.30896478228597901</v>
      </c>
      <c r="D55" s="4">
        <v>9.9303372495112494E-2</v>
      </c>
      <c r="E55" s="4">
        <v>0.23016371603306901</v>
      </c>
      <c r="F55" s="4" t="s">
        <v>75</v>
      </c>
      <c r="G55" s="4">
        <v>0.41933931370709698</v>
      </c>
      <c r="H55" s="4">
        <v>1.225139672154</v>
      </c>
      <c r="I55" s="4">
        <v>21.142586586941</v>
      </c>
      <c r="J55" s="4">
        <v>1.5765688981909201</v>
      </c>
      <c r="K55" s="4">
        <v>0.54370529694013903</v>
      </c>
      <c r="L55" s="4">
        <v>20.9064632535035</v>
      </c>
      <c r="M55" s="4">
        <v>13.4076973298334</v>
      </c>
      <c r="N55" s="4">
        <v>20.521166018131101</v>
      </c>
      <c r="O55" s="4" t="s">
        <v>75</v>
      </c>
      <c r="P55" s="4">
        <v>0.105006303554231</v>
      </c>
      <c r="Q55" s="4">
        <v>0.33377798795354802</v>
      </c>
      <c r="R55" s="4" t="s">
        <v>75</v>
      </c>
      <c r="S55" s="4">
        <v>0.38773051320087099</v>
      </c>
      <c r="T55" s="4">
        <v>1.1397430766502801</v>
      </c>
      <c r="U55" s="4">
        <v>483.55226695842902</v>
      </c>
      <c r="V55" s="4">
        <v>28.735174997791201</v>
      </c>
      <c r="W55" s="4">
        <v>9.8197452295317298</v>
      </c>
      <c r="X55" s="4">
        <v>478.96489838781702</v>
      </c>
      <c r="Y55" s="4">
        <v>19.743469481494898</v>
      </c>
      <c r="Z55" s="4">
        <v>11.3300168693311</v>
      </c>
      <c r="AA55" s="4">
        <v>576.02926260525396</v>
      </c>
      <c r="AB55" s="4">
        <v>35.956772505844697</v>
      </c>
      <c r="AC55" s="4">
        <v>0.15238872297578601</v>
      </c>
      <c r="AD55" s="4">
        <v>6.8478829593094996</v>
      </c>
      <c r="AE55" s="4">
        <v>1.15787718633739</v>
      </c>
      <c r="AF55" s="4">
        <v>0.43794518517757802</v>
      </c>
      <c r="AG55" s="4" t="s">
        <v>75</v>
      </c>
      <c r="AH55" s="4">
        <v>0.96656125388113201</v>
      </c>
      <c r="AI55" s="4">
        <v>2.6303555961180698</v>
      </c>
      <c r="AJ55" s="4" t="s">
        <v>75</v>
      </c>
      <c r="AK55" s="4">
        <v>4.8359401813723002</v>
      </c>
      <c r="AL55" s="4">
        <v>13.7066517274015</v>
      </c>
      <c r="AM55" s="4">
        <v>2.5129197132259602E-2</v>
      </c>
      <c r="AN55" s="4">
        <v>0.123343381621486</v>
      </c>
      <c r="AO55" s="4">
        <v>7.1781833385702502E-7</v>
      </c>
      <c r="AP55" s="4">
        <v>0.30384194201013498</v>
      </c>
      <c r="AQ55" s="4">
        <v>0.11452954250198</v>
      </c>
      <c r="AR55" s="4">
        <v>8.2379411749817999E-2</v>
      </c>
      <c r="AS55" s="4">
        <v>2399.8984361176199</v>
      </c>
      <c r="AT55" s="4">
        <v>178.73379335236299</v>
      </c>
      <c r="AU55" s="4">
        <v>11.8011199219355</v>
      </c>
      <c r="AV55" s="4" t="s">
        <v>75</v>
      </c>
      <c r="AW55" s="4">
        <v>2.23337614568167E-2</v>
      </c>
      <c r="AX55" s="4">
        <v>7.2080625733753595E-2</v>
      </c>
      <c r="AY55" s="4" t="s">
        <v>75</v>
      </c>
      <c r="AZ55" s="4">
        <v>0.40627504558437</v>
      </c>
      <c r="BA55" s="4">
        <v>1.2900556065475</v>
      </c>
      <c r="BB55" s="4" t="s">
        <v>75</v>
      </c>
      <c r="BC55" s="4">
        <v>7.7270733825288498E-2</v>
      </c>
      <c r="BD55" s="4">
        <v>0.12979620819265</v>
      </c>
      <c r="BE55" s="4" t="s">
        <v>75</v>
      </c>
      <c r="BF55" s="4">
        <v>1.15927449013412E-2</v>
      </c>
      <c r="BG55" s="4">
        <v>0.93915105923986797</v>
      </c>
      <c r="BH55" s="4" t="s">
        <v>75</v>
      </c>
      <c r="BI55" s="4">
        <v>4.9680261122476196E-4</v>
      </c>
      <c r="BJ55" s="4">
        <v>1.61155691206901E-6</v>
      </c>
      <c r="BK55" s="4">
        <v>962.27381804941501</v>
      </c>
      <c r="BL55" s="4">
        <v>54.7817822056629</v>
      </c>
      <c r="BM55" s="4">
        <v>7.3462299947416998</v>
      </c>
      <c r="BN55" s="4" t="s">
        <v>75</v>
      </c>
      <c r="BO55" s="4">
        <v>2.2990050124093601E-2</v>
      </c>
      <c r="BP55" s="4">
        <v>4.06964739670055E-2</v>
      </c>
      <c r="BQ55" s="4">
        <v>0.42095658742244402</v>
      </c>
      <c r="BR55" s="4">
        <v>0.10474467817406399</v>
      </c>
      <c r="BS55" s="4">
        <v>0.18578069738985101</v>
      </c>
      <c r="BT55" s="4" t="s">
        <v>75</v>
      </c>
      <c r="BU55" s="4">
        <v>1.81648880767642E-2</v>
      </c>
      <c r="BV55" s="4">
        <v>3.43408413160214E-2</v>
      </c>
    </row>
    <row r="56" spans="1:74">
      <c r="A56" t="s">
        <v>133</v>
      </c>
      <c r="B56" t="s">
        <v>132</v>
      </c>
      <c r="C56" s="4" t="s">
        <v>75</v>
      </c>
      <c r="D56" s="4">
        <v>7.6512192540726207E-2</v>
      </c>
      <c r="E56" s="4">
        <v>0.174748368699879</v>
      </c>
      <c r="F56" s="4" t="s">
        <v>75</v>
      </c>
      <c r="G56" s="4">
        <v>0.34611086357190501</v>
      </c>
      <c r="H56" s="4">
        <v>0.76827001788845195</v>
      </c>
      <c r="I56" s="4">
        <v>21.557108603269601</v>
      </c>
      <c r="J56" s="4">
        <v>1.26700528401575</v>
      </c>
      <c r="K56" s="4">
        <v>0.423579707654271</v>
      </c>
      <c r="L56" s="4" t="s">
        <v>75</v>
      </c>
      <c r="M56" s="4">
        <v>16.961127474048201</v>
      </c>
      <c r="N56" s="4">
        <v>28.3339709954729</v>
      </c>
      <c r="O56" s="4" t="s">
        <v>75</v>
      </c>
      <c r="P56" s="4">
        <v>3.7264645689479903E-2</v>
      </c>
      <c r="Q56" s="4">
        <v>0.35449830997891102</v>
      </c>
      <c r="R56" s="4" t="s">
        <v>75</v>
      </c>
      <c r="S56" s="4">
        <v>0.43843422190100001</v>
      </c>
      <c r="T56" s="4">
        <v>1.1141823031382501</v>
      </c>
      <c r="U56" s="4">
        <v>401.6630571563</v>
      </c>
      <c r="V56" s="4">
        <v>19.123604267769998</v>
      </c>
      <c r="W56" s="4">
        <v>5.5744026064876904</v>
      </c>
      <c r="X56" s="4">
        <v>403.459535548448</v>
      </c>
      <c r="Y56" s="4">
        <v>21.783664251516001</v>
      </c>
      <c r="Z56" s="4">
        <v>9.9212404694195104</v>
      </c>
      <c r="AA56" s="4">
        <v>487.76007177744299</v>
      </c>
      <c r="AB56" s="4">
        <v>34.696992485450103</v>
      </c>
      <c r="AC56" s="4">
        <v>0.36409876177780498</v>
      </c>
      <c r="AD56" s="4">
        <v>4.8158959797781797</v>
      </c>
      <c r="AE56" s="4">
        <v>0.99219616941419397</v>
      </c>
      <c r="AF56" s="4">
        <v>0.48651582816364702</v>
      </c>
      <c r="AG56" s="4" t="s">
        <v>75</v>
      </c>
      <c r="AH56" s="4">
        <v>0.49134989807433299</v>
      </c>
      <c r="AI56" s="4">
        <v>1.2553721852250399</v>
      </c>
      <c r="AJ56" s="4" t="s">
        <v>75</v>
      </c>
      <c r="AK56" s="4">
        <v>6.3384158132177202</v>
      </c>
      <c r="AL56" s="4">
        <v>19.1257234685398</v>
      </c>
      <c r="AM56" s="4" t="s">
        <v>75</v>
      </c>
      <c r="AN56" s="4">
        <v>5.4113290434083902E-2</v>
      </c>
      <c r="AO56" s="4">
        <v>9.3939335890639302E-7</v>
      </c>
      <c r="AP56" s="4">
        <v>0.372106801183476</v>
      </c>
      <c r="AQ56" s="4">
        <v>0.14487168064811001</v>
      </c>
      <c r="AR56" s="4">
        <v>4.8502535863952103E-6</v>
      </c>
      <c r="AS56" s="4">
        <v>2435.5571091786501</v>
      </c>
      <c r="AT56" s="4">
        <v>155.50370143806501</v>
      </c>
      <c r="AU56" s="4">
        <v>10.0625505541975</v>
      </c>
      <c r="AV56" s="4" t="s">
        <v>75</v>
      </c>
      <c r="AW56" s="4">
        <v>1.5399063402991501E-2</v>
      </c>
      <c r="AX56" s="4">
        <v>2.1347783296903099E-4</v>
      </c>
      <c r="AY56" s="4" t="s">
        <v>75</v>
      </c>
      <c r="AZ56" s="4">
        <v>0.45163209878452198</v>
      </c>
      <c r="BA56" s="4">
        <v>1.04620696719725</v>
      </c>
      <c r="BB56" s="4" t="s">
        <v>75</v>
      </c>
      <c r="BC56" s="4">
        <v>0.10437448166369399</v>
      </c>
      <c r="BD56" s="4">
        <v>0.192907953202163</v>
      </c>
      <c r="BE56" s="4" t="s">
        <v>75</v>
      </c>
      <c r="BF56" s="4">
        <v>8.1850265319081301E-3</v>
      </c>
      <c r="BG56" s="4">
        <v>1.57635247311971E-5</v>
      </c>
      <c r="BH56" s="4" t="s">
        <v>75</v>
      </c>
      <c r="BI56" s="4">
        <v>3.5496725173826601E-4</v>
      </c>
      <c r="BJ56" s="4">
        <v>2.1109945376193401E-6</v>
      </c>
      <c r="BK56" s="4">
        <v>804.91261566348896</v>
      </c>
      <c r="BL56" s="4">
        <v>32.246961704104201</v>
      </c>
      <c r="BM56" s="4">
        <v>8.9382713385641193</v>
      </c>
      <c r="BN56" s="4" t="s">
        <v>75</v>
      </c>
      <c r="BO56" s="4">
        <v>1.16751483324007E-2</v>
      </c>
      <c r="BP56" s="4">
        <v>4.7915529951423702E-2</v>
      </c>
      <c r="BQ56" s="4">
        <v>0.48412945319207601</v>
      </c>
      <c r="BR56" s="4">
        <v>0.146387476596856</v>
      </c>
      <c r="BS56" s="4">
        <v>0.144823667441662</v>
      </c>
      <c r="BT56" s="4" t="s">
        <v>75</v>
      </c>
      <c r="BU56" s="4">
        <v>6.1747647318560099E-3</v>
      </c>
      <c r="BV56" s="4">
        <v>1.0826460063906701E-2</v>
      </c>
    </row>
    <row r="57" spans="1:74">
      <c r="A57" t="s">
        <v>134</v>
      </c>
      <c r="B57" t="s">
        <v>132</v>
      </c>
      <c r="C57" s="4">
        <v>0.31143449526775302</v>
      </c>
      <c r="D57" s="4">
        <v>0.122985283064814</v>
      </c>
      <c r="E57" s="4">
        <v>0.167405056680102</v>
      </c>
      <c r="F57" s="4" t="s">
        <v>75</v>
      </c>
      <c r="G57" s="4">
        <v>0.36937136317244401</v>
      </c>
      <c r="H57" s="4">
        <v>0.73613790390580303</v>
      </c>
      <c r="I57" s="4">
        <v>19.943038492711501</v>
      </c>
      <c r="J57" s="4">
        <v>1.96695221297013</v>
      </c>
      <c r="K57" s="4">
        <v>0.40606022364968603</v>
      </c>
      <c r="L57" s="4" t="s">
        <v>75</v>
      </c>
      <c r="M57" s="4">
        <v>14.6429317518592</v>
      </c>
      <c r="N57" s="4">
        <v>27.173074742420798</v>
      </c>
      <c r="O57" s="4" t="s">
        <v>75</v>
      </c>
      <c r="P57" s="4">
        <v>7.6588004399026702E-2</v>
      </c>
      <c r="Q57" s="4">
        <v>0.33938522713388403</v>
      </c>
      <c r="R57" s="4" t="s">
        <v>75</v>
      </c>
      <c r="S57" s="4">
        <v>0.40045888994479401</v>
      </c>
      <c r="T57" s="4">
        <v>1.0665455243887401</v>
      </c>
      <c r="U57" s="4">
        <v>678.30129672407395</v>
      </c>
      <c r="V57" s="4">
        <v>70.196359907763096</v>
      </c>
      <c r="W57" s="4">
        <v>5.3468069705838301</v>
      </c>
      <c r="X57" s="4">
        <v>638.59807722384801</v>
      </c>
      <c r="Y57" s="4">
        <v>39.417652607374102</v>
      </c>
      <c r="Z57" s="4">
        <v>9.5095673447400806</v>
      </c>
      <c r="AA57" s="4">
        <v>800.63867869092803</v>
      </c>
      <c r="AB57" s="4">
        <v>66.190626025434398</v>
      </c>
      <c r="AC57" s="4">
        <v>0.34879276160371098</v>
      </c>
      <c r="AD57" s="4">
        <v>9.6816077231522097</v>
      </c>
      <c r="AE57" s="4">
        <v>1.81747868973681</v>
      </c>
      <c r="AF57" s="4">
        <v>0.46630136569642999</v>
      </c>
      <c r="AG57" s="4" t="s">
        <v>75</v>
      </c>
      <c r="AH57" s="4">
        <v>0.67434668832365996</v>
      </c>
      <c r="AI57" s="4">
        <v>1.20600137982751</v>
      </c>
      <c r="AJ57" s="4" t="s">
        <v>75</v>
      </c>
      <c r="AK57" s="4">
        <v>7.2311467052204401</v>
      </c>
      <c r="AL57" s="4">
        <v>18.334347494969599</v>
      </c>
      <c r="AM57" s="4">
        <v>1.53867284996996E-2</v>
      </c>
      <c r="AN57" s="4">
        <v>8.05196091213842E-2</v>
      </c>
      <c r="AO57" s="4">
        <v>8.9944561279168801E-7</v>
      </c>
      <c r="AP57" s="4">
        <v>0.35731006534786303</v>
      </c>
      <c r="AQ57" s="4">
        <v>0.10482269996985399</v>
      </c>
      <c r="AR57" s="4">
        <v>4.6515542652023003E-6</v>
      </c>
      <c r="AS57" s="4">
        <v>2279.3561300503402</v>
      </c>
      <c r="AT57" s="4">
        <v>171.553146503492</v>
      </c>
      <c r="AU57" s="4">
        <v>9.6329015087816607</v>
      </c>
      <c r="AV57" s="4">
        <v>4.7666498658966501E-2</v>
      </c>
      <c r="AW57" s="4">
        <v>3.2283170089880402E-2</v>
      </c>
      <c r="AX57" s="4">
        <v>2.0443543533569099E-4</v>
      </c>
      <c r="AY57" s="4" t="s">
        <v>75</v>
      </c>
      <c r="AZ57" s="4">
        <v>0.51790306267069197</v>
      </c>
      <c r="BA57" s="4">
        <v>1.00237790387667</v>
      </c>
      <c r="BB57" s="4" t="s">
        <v>75</v>
      </c>
      <c r="BC57" s="4">
        <v>8.9991816264474903E-2</v>
      </c>
      <c r="BD57" s="4">
        <v>0.18496014436408101</v>
      </c>
      <c r="BE57" s="4" t="s">
        <v>75</v>
      </c>
      <c r="BF57" s="4">
        <v>1.5042805876214701E-2</v>
      </c>
      <c r="BG57" s="4">
        <v>1.51420766726531E-5</v>
      </c>
      <c r="BH57" s="4" t="s">
        <v>75</v>
      </c>
      <c r="BI57" s="4">
        <v>6.3192179450685096E-4</v>
      </c>
      <c r="BJ57" s="4">
        <v>2.0226965041523602E-6</v>
      </c>
      <c r="BK57" s="4">
        <v>660.06801781861998</v>
      </c>
      <c r="BL57" s="4">
        <v>47.6668280504081</v>
      </c>
      <c r="BM57" s="4">
        <v>8.5752817734513407</v>
      </c>
      <c r="BN57" s="4" t="s">
        <v>75</v>
      </c>
      <c r="BO57" s="4">
        <v>2.5962983824987799E-2</v>
      </c>
      <c r="BP57" s="4">
        <v>4.5925211393787399E-2</v>
      </c>
      <c r="BQ57" s="4">
        <v>0.53659085718933497</v>
      </c>
      <c r="BR57" s="4">
        <v>0.108265243772767</v>
      </c>
      <c r="BS57" s="4">
        <v>0.13858420947656999</v>
      </c>
      <c r="BT57" s="4" t="s">
        <v>75</v>
      </c>
      <c r="BU57" s="4">
        <v>1.24627726349578E-2</v>
      </c>
      <c r="BV57" s="4">
        <v>1.03655978841358E-2</v>
      </c>
    </row>
    <row r="58" spans="1:74">
      <c r="A58" t="s">
        <v>135</v>
      </c>
      <c r="B58" t="s">
        <v>132</v>
      </c>
      <c r="C58" s="4">
        <v>1.90764510004099</v>
      </c>
      <c r="D58" s="4">
        <v>0.28187252358946402</v>
      </c>
      <c r="E58" s="4">
        <v>0.22540170020388101</v>
      </c>
      <c r="F58" s="4" t="s">
        <v>75</v>
      </c>
      <c r="G58" s="4">
        <v>0.48787150860752998</v>
      </c>
      <c r="H58" s="4">
        <v>1.2526863063685101</v>
      </c>
      <c r="I58" s="4">
        <v>22.188756560308299</v>
      </c>
      <c r="J58" s="4">
        <v>1.76945348692587</v>
      </c>
      <c r="K58" s="4">
        <v>0.61949649771638304</v>
      </c>
      <c r="L58" s="4" t="s">
        <v>75</v>
      </c>
      <c r="M58" s="4">
        <v>12.8767242135022</v>
      </c>
      <c r="N58" s="4">
        <v>33.994777929264899</v>
      </c>
      <c r="O58" s="4" t="s">
        <v>75</v>
      </c>
      <c r="P58" s="4">
        <v>0.10211462265492301</v>
      </c>
      <c r="Q58" s="4">
        <v>0.248029947655938</v>
      </c>
      <c r="R58" s="4" t="s">
        <v>75</v>
      </c>
      <c r="S58" s="4">
        <v>0.50058590117297397</v>
      </c>
      <c r="T58" s="4">
        <v>1.3908436009855201</v>
      </c>
      <c r="U58" s="4">
        <v>537.53144864953504</v>
      </c>
      <c r="V58" s="4">
        <v>28.5638333910656</v>
      </c>
      <c r="W58" s="4">
        <v>7.2181281639121</v>
      </c>
      <c r="X58" s="4">
        <v>528.89641355683102</v>
      </c>
      <c r="Y58" s="4">
        <v>25.454759243001298</v>
      </c>
      <c r="Z58" s="4">
        <v>15.356909560743301</v>
      </c>
      <c r="AA58" s="4">
        <v>691.99176382656003</v>
      </c>
      <c r="AB58" s="4">
        <v>36.003967505179098</v>
      </c>
      <c r="AC58" s="4">
        <v>0.31154027026779002</v>
      </c>
      <c r="AD58" s="4">
        <v>1.6320115307912</v>
      </c>
      <c r="AE58" s="4">
        <v>0.53065668141019595</v>
      </c>
      <c r="AF58" s="4">
        <v>0.42309414684403102</v>
      </c>
      <c r="AG58" s="4" t="s">
        <v>75</v>
      </c>
      <c r="AH58" s="4">
        <v>0.65559525451883804</v>
      </c>
      <c r="AI58" s="4">
        <v>1.47693418487071</v>
      </c>
      <c r="AJ58" s="4" t="s">
        <v>75</v>
      </c>
      <c r="AK58" s="4">
        <v>7.3208389793947797</v>
      </c>
      <c r="AL58" s="4">
        <v>12.552608590382199</v>
      </c>
      <c r="AM58" s="4">
        <v>0.48503744775330798</v>
      </c>
      <c r="AN58" s="4">
        <v>0.24079697942886599</v>
      </c>
      <c r="AO58" s="4">
        <v>6.9057135303949202E-7</v>
      </c>
      <c r="AP58" s="4">
        <v>0.41668846698060402</v>
      </c>
      <c r="AQ58" s="4">
        <v>0.164279525097313</v>
      </c>
      <c r="AR58" s="4">
        <v>7.9678224279509005E-2</v>
      </c>
      <c r="AS58" s="4">
        <v>2816.9148420759002</v>
      </c>
      <c r="AT58" s="4">
        <v>175.87470923588799</v>
      </c>
      <c r="AU58" s="4">
        <v>16.753053341719099</v>
      </c>
      <c r="AV58" s="4" t="s">
        <v>75</v>
      </c>
      <c r="AW58" s="4">
        <v>2.9443349675262E-2</v>
      </c>
      <c r="AX58" s="4">
        <v>0.120152770270388</v>
      </c>
      <c r="AY58" s="4" t="s">
        <v>75</v>
      </c>
      <c r="AZ58" s="4">
        <v>0.43691913706673102</v>
      </c>
      <c r="BA58" s="4">
        <v>1.3337031943008999</v>
      </c>
      <c r="BB58" s="4" t="s">
        <v>75</v>
      </c>
      <c r="BC58" s="4">
        <v>0.112242019166494</v>
      </c>
      <c r="BD58" s="4">
        <v>0.20957022228254499</v>
      </c>
      <c r="BE58" s="4" t="s">
        <v>75</v>
      </c>
      <c r="BF58" s="4">
        <v>9.6978850561520499E-3</v>
      </c>
      <c r="BG58" s="4">
        <v>1.16651843766376E-5</v>
      </c>
      <c r="BH58" s="4" t="s">
        <v>75</v>
      </c>
      <c r="BI58" s="4">
        <v>4.0370693232387998E-4</v>
      </c>
      <c r="BJ58" s="4">
        <v>1.5540460551155799E-6</v>
      </c>
      <c r="BK58" s="4">
        <v>958.60905561336995</v>
      </c>
      <c r="BL58" s="4">
        <v>47.238606077039996</v>
      </c>
      <c r="BM58" s="4">
        <v>7.2253483152138704</v>
      </c>
      <c r="BN58" s="4" t="s">
        <v>75</v>
      </c>
      <c r="BO58" s="4">
        <v>1.73087369032617E-2</v>
      </c>
      <c r="BP58" s="4">
        <v>6.6211164663442401E-2</v>
      </c>
      <c r="BQ58" s="4">
        <v>0.80582679476600205</v>
      </c>
      <c r="BR58" s="4">
        <v>0.14363340460369001</v>
      </c>
      <c r="BS58" s="4">
        <v>0.13058377815730399</v>
      </c>
      <c r="BT58" s="4" t="s">
        <v>75</v>
      </c>
      <c r="BU58" s="4">
        <v>6.2063524997174203E-3</v>
      </c>
      <c r="BV58" s="4">
        <v>3.0311771391994299E-2</v>
      </c>
    </row>
    <row r="59" spans="1:74">
      <c r="A59" t="s">
        <v>136</v>
      </c>
      <c r="B59" t="s">
        <v>132</v>
      </c>
      <c r="C59" s="4">
        <v>1.9944932567057101</v>
      </c>
      <c r="D59" s="4">
        <v>0.38216873658480699</v>
      </c>
      <c r="E59" s="4">
        <v>0.21333327560170601</v>
      </c>
      <c r="F59" s="4" t="s">
        <v>75</v>
      </c>
      <c r="G59" s="4">
        <v>0.40454721016262801</v>
      </c>
      <c r="H59" s="4">
        <v>1.18587297498593</v>
      </c>
      <c r="I59" s="4">
        <v>24.5196391495043</v>
      </c>
      <c r="J59" s="4">
        <v>2.4960391952404302</v>
      </c>
      <c r="K59" s="4">
        <v>0.58691867532502096</v>
      </c>
      <c r="L59" s="4" t="s">
        <v>75</v>
      </c>
      <c r="M59" s="4">
        <v>11.8030563959655</v>
      </c>
      <c r="N59" s="4">
        <v>32.205728348058898</v>
      </c>
      <c r="O59" s="4" t="s">
        <v>75</v>
      </c>
      <c r="P59" s="4">
        <v>6.9015594911864001E-2</v>
      </c>
      <c r="Q59" s="4">
        <v>0.23457460363695801</v>
      </c>
      <c r="R59" s="4" t="s">
        <v>75</v>
      </c>
      <c r="S59" s="4">
        <v>0.38723900840595699</v>
      </c>
      <c r="T59" s="4">
        <v>1.3153214365161301</v>
      </c>
      <c r="U59" s="4">
        <v>598.526599690902</v>
      </c>
      <c r="V59" s="4">
        <v>59.452582166581202</v>
      </c>
      <c r="W59" s="4">
        <v>6.8390179995151597</v>
      </c>
      <c r="X59" s="4">
        <v>598.08638745206997</v>
      </c>
      <c r="Y59" s="4">
        <v>38.626999752503799</v>
      </c>
      <c r="Z59" s="4">
        <v>14.5406647977475</v>
      </c>
      <c r="AA59" s="4">
        <v>713.27052798449301</v>
      </c>
      <c r="AB59" s="4">
        <v>54.915727666845399</v>
      </c>
      <c r="AC59" s="4">
        <v>0.29480167284544601</v>
      </c>
      <c r="AD59" s="4">
        <v>1.1062680471417901</v>
      </c>
      <c r="AE59" s="4">
        <v>0.45367425543984502</v>
      </c>
      <c r="AF59" s="4">
        <v>0.40064252346281198</v>
      </c>
      <c r="AG59" s="4" t="s">
        <v>75</v>
      </c>
      <c r="AH59" s="4">
        <v>0.68501065420034002</v>
      </c>
      <c r="AI59" s="4">
        <v>1.4017509932463099</v>
      </c>
      <c r="AJ59" s="4" t="s">
        <v>75</v>
      </c>
      <c r="AK59" s="4">
        <v>5.2896138198120903</v>
      </c>
      <c r="AL59" s="4">
        <v>11.888518061057299</v>
      </c>
      <c r="AM59" s="4">
        <v>0.352733559037259</v>
      </c>
      <c r="AN59" s="4">
        <v>0.22957715723498001</v>
      </c>
      <c r="AO59" s="4">
        <v>6.5333909476444596E-7</v>
      </c>
      <c r="AP59" s="4">
        <v>0.53151999962126395</v>
      </c>
      <c r="AQ59" s="4">
        <v>0.17788544128820599</v>
      </c>
      <c r="AR59" s="4">
        <v>7.5482251768085304E-2</v>
      </c>
      <c r="AS59" s="4">
        <v>3034.3196486893098</v>
      </c>
      <c r="AT59" s="4">
        <v>208.552769158964</v>
      </c>
      <c r="AU59" s="4">
        <v>15.845671191642801</v>
      </c>
      <c r="AV59" s="4" t="s">
        <v>75</v>
      </c>
      <c r="AW59" s="4">
        <v>1.06457940402097E-2</v>
      </c>
      <c r="AX59" s="4">
        <v>0.113677272668871</v>
      </c>
      <c r="AY59" s="4" t="s">
        <v>75</v>
      </c>
      <c r="AZ59" s="4">
        <v>0.38348036920210699</v>
      </c>
      <c r="BA59" s="4">
        <v>1.2626557255403399</v>
      </c>
      <c r="BB59" s="4" t="s">
        <v>75</v>
      </c>
      <c r="BC59" s="4">
        <v>0.13299065749365899</v>
      </c>
      <c r="BD59" s="4">
        <v>0.19853196304407</v>
      </c>
      <c r="BE59" s="4" t="s">
        <v>75</v>
      </c>
      <c r="BF59" s="4">
        <v>1.5981827322501301E-2</v>
      </c>
      <c r="BG59" s="4">
        <v>1.1069141549974801E-5</v>
      </c>
      <c r="BH59" s="4" t="s">
        <v>75</v>
      </c>
      <c r="BI59" s="4">
        <v>6.6215247470944802E-4</v>
      </c>
      <c r="BJ59" s="4">
        <v>1.4710407796655E-6</v>
      </c>
      <c r="BK59" s="4">
        <v>946.78492421288502</v>
      </c>
      <c r="BL59" s="4">
        <v>72.000873827769297</v>
      </c>
      <c r="BM59" s="4">
        <v>6.8441226813617302</v>
      </c>
      <c r="BN59" s="4" t="s">
        <v>75</v>
      </c>
      <c r="BO59" s="4">
        <v>1.53489498622295E-2</v>
      </c>
      <c r="BP59" s="4">
        <v>6.2694036528514199E-2</v>
      </c>
      <c r="BQ59" s="4">
        <v>0.58799023311976595</v>
      </c>
      <c r="BR59" s="4">
        <v>0.160827351050425</v>
      </c>
      <c r="BS59" s="4">
        <v>0.12347183429594399</v>
      </c>
      <c r="BT59" s="4" t="s">
        <v>75</v>
      </c>
      <c r="BU59" s="4">
        <v>1.0109895082898E-2</v>
      </c>
      <c r="BV59" s="4">
        <v>2.86719867577192E-2</v>
      </c>
    </row>
    <row r="60" spans="1:74">
      <c r="A60" t="s">
        <v>137</v>
      </c>
      <c r="B60" t="s">
        <v>132</v>
      </c>
      <c r="C60" s="4">
        <v>1.4962368688822101</v>
      </c>
      <c r="D60" s="4">
        <v>0.19253657884436201</v>
      </c>
      <c r="E60" s="4">
        <v>0.10152868921040099</v>
      </c>
      <c r="F60" s="4" t="s">
        <v>75</v>
      </c>
      <c r="G60" s="4">
        <v>0.57183603020866403</v>
      </c>
      <c r="H60" s="4">
        <v>0.97985990182262706</v>
      </c>
      <c r="I60" s="4">
        <v>21.749582338379899</v>
      </c>
      <c r="J60" s="4">
        <v>2.4882098986635999</v>
      </c>
      <c r="K60" s="4">
        <v>0.68950018326719997</v>
      </c>
      <c r="L60" s="4" t="s">
        <v>75</v>
      </c>
      <c r="M60" s="4">
        <v>16.176100688315199</v>
      </c>
      <c r="N60" s="4">
        <v>27.319517848470799</v>
      </c>
      <c r="O60" s="4" t="s">
        <v>75</v>
      </c>
      <c r="P60" s="4">
        <v>7.0243540132248497E-2</v>
      </c>
      <c r="Q60" s="4">
        <v>0.186194897275553</v>
      </c>
      <c r="R60" s="4" t="s">
        <v>75</v>
      </c>
      <c r="S60" s="4">
        <v>0.49341285385253902</v>
      </c>
      <c r="T60" s="4">
        <v>0.95123819703502699</v>
      </c>
      <c r="U60" s="4">
        <v>535.00910118626098</v>
      </c>
      <c r="V60" s="4">
        <v>57.648621830889901</v>
      </c>
      <c r="W60" s="4">
        <v>5.8160683857265898</v>
      </c>
      <c r="X60" s="4">
        <v>500.51422835746598</v>
      </c>
      <c r="Y60" s="4">
        <v>36.367090758191999</v>
      </c>
      <c r="Z60" s="4">
        <v>8.4226132324031298</v>
      </c>
      <c r="AA60" s="4">
        <v>645.59324741137402</v>
      </c>
      <c r="AB60" s="4">
        <v>51.4861096382946</v>
      </c>
      <c r="AC60" s="4">
        <v>0.228935982700257</v>
      </c>
      <c r="AD60" s="4">
        <v>1.3592512643975301</v>
      </c>
      <c r="AE60" s="4">
        <v>0.38199059246138101</v>
      </c>
      <c r="AF60" s="4">
        <v>0.50817505897127202</v>
      </c>
      <c r="AG60" s="4" t="s">
        <v>75</v>
      </c>
      <c r="AH60" s="4">
        <v>0.86951918214200496</v>
      </c>
      <c r="AI60" s="4">
        <v>0.86867590551422802</v>
      </c>
      <c r="AJ60" s="4" t="s">
        <v>75</v>
      </c>
      <c r="AK60" s="4">
        <v>4.8393561194212698</v>
      </c>
      <c r="AL60" s="4">
        <v>19.2245439593827</v>
      </c>
      <c r="AM60" s="4">
        <v>0.296715130011734</v>
      </c>
      <c r="AN60" s="4">
        <v>0.26889981562327497</v>
      </c>
      <c r="AO60" s="4">
        <v>6.8068558775161195E-7</v>
      </c>
      <c r="AP60" s="4">
        <v>0.32511891000343002</v>
      </c>
      <c r="AQ60" s="4">
        <v>0.12823385225843201</v>
      </c>
      <c r="AR60" s="4">
        <v>3.5355636424415101E-6</v>
      </c>
      <c r="AS60" s="4">
        <v>2946.9497864464902</v>
      </c>
      <c r="AT60" s="4">
        <v>227.97307849827999</v>
      </c>
      <c r="AU60" s="4">
        <v>14.5152158330222</v>
      </c>
      <c r="AV60" s="4" t="s">
        <v>75</v>
      </c>
      <c r="AW60" s="4">
        <v>2.39532414394549E-2</v>
      </c>
      <c r="AX60" s="4">
        <v>2.63448267889459E-2</v>
      </c>
      <c r="AY60" s="4" t="s">
        <v>75</v>
      </c>
      <c r="AZ60" s="4">
        <v>0.44863542507735599</v>
      </c>
      <c r="BA60" s="4">
        <v>1.0814211893086301</v>
      </c>
      <c r="BB60" s="4" t="s">
        <v>75</v>
      </c>
      <c r="BC60" s="4">
        <v>9.7465648311417102E-2</v>
      </c>
      <c r="BD60" s="4">
        <v>0.20340528807241201</v>
      </c>
      <c r="BE60" s="4" t="s">
        <v>75</v>
      </c>
      <c r="BF60" s="4">
        <v>1.30544673515249E-2</v>
      </c>
      <c r="BG60" s="4">
        <v>1.15719659903839E-5</v>
      </c>
      <c r="BH60" s="4" t="s">
        <v>75</v>
      </c>
      <c r="BI60" s="4">
        <v>5.35171776956844E-4</v>
      </c>
      <c r="BJ60" s="4">
        <v>1.53341172517757E-6</v>
      </c>
      <c r="BK60" s="4">
        <v>894.23126388854803</v>
      </c>
      <c r="BL60" s="4">
        <v>58.730163345125099</v>
      </c>
      <c r="BM60" s="4">
        <v>6.7304149429403202</v>
      </c>
      <c r="BN60" s="4" t="s">
        <v>75</v>
      </c>
      <c r="BO60" s="4">
        <v>1.5157492380871201E-2</v>
      </c>
      <c r="BP60" s="4">
        <v>4.6227876766014003E-2</v>
      </c>
      <c r="BQ60" s="4">
        <v>0.60985383213940303</v>
      </c>
      <c r="BR60" s="4">
        <v>0.15074064774347001</v>
      </c>
      <c r="BS60" s="4">
        <v>0.10261854346461</v>
      </c>
      <c r="BT60" s="4" t="s">
        <v>75</v>
      </c>
      <c r="BU60" s="4">
        <v>1.24489563769757E-2</v>
      </c>
      <c r="BV60" s="4">
        <v>3.9463205466249998E-2</v>
      </c>
    </row>
    <row r="61" spans="1:74">
      <c r="A61" t="s">
        <v>138</v>
      </c>
      <c r="B61" t="s">
        <v>132</v>
      </c>
      <c r="C61" s="4">
        <v>1.8102949875149801</v>
      </c>
      <c r="D61" s="4">
        <v>0.31958149101288202</v>
      </c>
      <c r="E61" s="4">
        <v>2.0730850892766701E-4</v>
      </c>
      <c r="F61" s="4" t="s">
        <v>75</v>
      </c>
      <c r="G61" s="4">
        <v>0.50564988910272002</v>
      </c>
      <c r="H61" s="4">
        <v>2.1928960650476199</v>
      </c>
      <c r="I61" s="4">
        <v>22.834798326831699</v>
      </c>
      <c r="J61" s="4">
        <v>1.7791909414956499</v>
      </c>
      <c r="K61" s="4">
        <v>0.95328341441584297</v>
      </c>
      <c r="L61" s="4" t="s">
        <v>75</v>
      </c>
      <c r="M61" s="4">
        <v>18.2524262514385</v>
      </c>
      <c r="N61" s="4">
        <v>42.956963096904197</v>
      </c>
      <c r="O61" s="4" t="s">
        <v>75</v>
      </c>
      <c r="P61" s="4">
        <v>5.1913114635779398E-2</v>
      </c>
      <c r="Q61" s="4">
        <v>0.44368046682498002</v>
      </c>
      <c r="R61" s="4" t="s">
        <v>75</v>
      </c>
      <c r="S61" s="4">
        <v>0.40721961080650299</v>
      </c>
      <c r="T61" s="4">
        <v>3.5699410041276001</v>
      </c>
      <c r="U61" s="4">
        <v>568.62388465548895</v>
      </c>
      <c r="V61" s="4">
        <v>37.683389189142098</v>
      </c>
      <c r="W61" s="4">
        <v>12.279644352412801</v>
      </c>
      <c r="X61" s="4">
        <v>552.796463822497</v>
      </c>
      <c r="Y61" s="4">
        <v>29.023391913916502</v>
      </c>
      <c r="Z61" s="4">
        <v>16.904489715029101</v>
      </c>
      <c r="AA61" s="4">
        <v>712.95997856021097</v>
      </c>
      <c r="AB61" s="4">
        <v>43.590485924258203</v>
      </c>
      <c r="AC61" s="4">
        <v>0.27116546768907202</v>
      </c>
      <c r="AD61" s="4">
        <v>2.1708452656911401</v>
      </c>
      <c r="AE61" s="4">
        <v>0.51608505108670299</v>
      </c>
      <c r="AF61" s="4">
        <v>0.238726836005552</v>
      </c>
      <c r="AG61" s="4" t="s">
        <v>75</v>
      </c>
      <c r="AH61" s="4">
        <v>0.74570702846682202</v>
      </c>
      <c r="AI61" s="4">
        <v>3.4357422924947301</v>
      </c>
      <c r="AJ61" s="4" t="s">
        <v>75</v>
      </c>
      <c r="AK61" s="4">
        <v>9.0730516256038793</v>
      </c>
      <c r="AL61" s="4">
        <v>17.9907130188647</v>
      </c>
      <c r="AM61" s="4">
        <v>0.66015058444963703</v>
      </c>
      <c r="AN61" s="4">
        <v>0.22799567938350901</v>
      </c>
      <c r="AO61" s="4">
        <v>5.6216154045341899E-7</v>
      </c>
      <c r="AP61" s="4">
        <v>0.57603739967325596</v>
      </c>
      <c r="AQ61" s="4">
        <v>0.167269868083085</v>
      </c>
      <c r="AR61" s="4">
        <v>0.233467731884619</v>
      </c>
      <c r="AS61" s="4">
        <v>3039.8146891516799</v>
      </c>
      <c r="AT61" s="4">
        <v>171.41787518029199</v>
      </c>
      <c r="AU61" s="4">
        <v>11.429249627381999</v>
      </c>
      <c r="AV61" s="4">
        <v>2.97633609132016E-2</v>
      </c>
      <c r="AW61" s="4">
        <v>3.7334902514110202E-2</v>
      </c>
      <c r="AX61" s="4">
        <v>1.65294435773739E-4</v>
      </c>
      <c r="AY61" s="4" t="s">
        <v>75</v>
      </c>
      <c r="AZ61" s="4">
        <v>0.448161519208153</v>
      </c>
      <c r="BA61" s="4">
        <v>1.22358946028543</v>
      </c>
      <c r="BB61" s="4">
        <v>1.4397509791063801E-2</v>
      </c>
      <c r="BC61" s="4">
        <v>9.0132380642780396E-2</v>
      </c>
      <c r="BD61" s="4">
        <v>6.9129726536339401E-6</v>
      </c>
      <c r="BE61" s="4" t="s">
        <v>75</v>
      </c>
      <c r="BF61" s="4">
        <v>1.14554721781625E-2</v>
      </c>
      <c r="BG61" s="4">
        <v>9.5855216168073194E-6</v>
      </c>
      <c r="BH61" s="4" t="s">
        <v>75</v>
      </c>
      <c r="BI61" s="4">
        <v>4.6562682916595098E-4</v>
      </c>
      <c r="BJ61" s="4">
        <v>1.2668880392598299E-6</v>
      </c>
      <c r="BK61" s="4">
        <v>992.56304956162603</v>
      </c>
      <c r="BL61" s="4">
        <v>58.839445069984002</v>
      </c>
      <c r="BM61" s="4">
        <v>7.0964283839574698</v>
      </c>
      <c r="BN61" s="4" t="s">
        <v>75</v>
      </c>
      <c r="BO61" s="4">
        <v>1.7805981956418401E-2</v>
      </c>
      <c r="BP61" s="4">
        <v>5.6451342794403503E-6</v>
      </c>
      <c r="BQ61" s="4">
        <v>0.642956086643374</v>
      </c>
      <c r="BR61" s="4">
        <v>0.151472036503113</v>
      </c>
      <c r="BS61" s="4">
        <v>0.25754710587006202</v>
      </c>
      <c r="BT61" s="4" t="s">
        <v>75</v>
      </c>
      <c r="BU61" s="4">
        <v>3.2772401479105101E-3</v>
      </c>
      <c r="BV61" s="4">
        <v>2.20699211211417E-2</v>
      </c>
    </row>
    <row r="62" spans="1:74">
      <c r="A62" t="s">
        <v>139</v>
      </c>
      <c r="B62" t="s">
        <v>132</v>
      </c>
      <c r="C62" s="4" t="s">
        <v>75</v>
      </c>
      <c r="D62" s="4">
        <v>3.69608512089067E-2</v>
      </c>
      <c r="E62" s="4">
        <v>0.109951116563968</v>
      </c>
      <c r="F62" s="4" t="s">
        <v>75</v>
      </c>
      <c r="G62" s="4">
        <v>0.42513789272573799</v>
      </c>
      <c r="H62" s="4">
        <v>1.16550783339888</v>
      </c>
      <c r="I62" s="4">
        <v>16.950242648440199</v>
      </c>
      <c r="J62" s="4">
        <v>2.4265840860318701</v>
      </c>
      <c r="K62" s="4">
        <v>0.415012845075035</v>
      </c>
      <c r="L62" s="4" t="s">
        <v>75</v>
      </c>
      <c r="M62" s="4">
        <v>12.6016362035431</v>
      </c>
      <c r="N62" s="4">
        <v>35.604314849023098</v>
      </c>
      <c r="O62" s="4" t="s">
        <v>75</v>
      </c>
      <c r="P62" s="4">
        <v>9.0699834370634197E-2</v>
      </c>
      <c r="Q62" s="4">
        <v>0.25543651667672101</v>
      </c>
      <c r="R62" s="4" t="s">
        <v>75</v>
      </c>
      <c r="S62" s="4">
        <v>0.37204170802647901</v>
      </c>
      <c r="T62" s="4">
        <v>1.3112267427908</v>
      </c>
      <c r="U62" s="4">
        <v>269.60932455243602</v>
      </c>
      <c r="V62" s="4">
        <v>35.249996393502201</v>
      </c>
      <c r="W62" s="4">
        <v>6.1757576924043498</v>
      </c>
      <c r="X62" s="4">
        <v>253.68430967351</v>
      </c>
      <c r="Y62" s="4">
        <v>22.7628106229457</v>
      </c>
      <c r="Z62" s="4">
        <v>14.0837459951981</v>
      </c>
      <c r="AA62" s="4">
        <v>298.62216639233998</v>
      </c>
      <c r="AB62" s="4">
        <v>31.0541966930321</v>
      </c>
      <c r="AC62" s="4">
        <v>0.458721424165414</v>
      </c>
      <c r="AD62" s="4">
        <v>2.2452243109047201</v>
      </c>
      <c r="AE62" s="4">
        <v>0.70351132572136998</v>
      </c>
      <c r="AF62" s="4">
        <v>0.75205889339598297</v>
      </c>
      <c r="AG62" s="4" t="s">
        <v>75</v>
      </c>
      <c r="AH62" s="4">
        <v>0.86482623161015404</v>
      </c>
      <c r="AI62" s="4">
        <v>1.81358198259854</v>
      </c>
      <c r="AJ62" s="4" t="s">
        <v>75</v>
      </c>
      <c r="AK62" s="4">
        <v>7.0347275095872801</v>
      </c>
      <c r="AL62" s="4">
        <v>14.605967459953099</v>
      </c>
      <c r="AM62" s="4" t="s">
        <v>75</v>
      </c>
      <c r="AN62" s="4">
        <v>6.1059359461935296E-3</v>
      </c>
      <c r="AO62" s="4">
        <v>0.31064417758270901</v>
      </c>
      <c r="AP62" s="4">
        <v>0.300590351189364</v>
      </c>
      <c r="AQ62" s="4">
        <v>0.15431820767176899</v>
      </c>
      <c r="AR62" s="4">
        <v>5.0148982961768603E-6</v>
      </c>
      <c r="AS62" s="4">
        <v>2262.1145322354901</v>
      </c>
      <c r="AT62" s="4">
        <v>209.24829973816199</v>
      </c>
      <c r="AU62" s="4">
        <v>10.1286478782025</v>
      </c>
      <c r="AV62" s="4" t="s">
        <v>75</v>
      </c>
      <c r="AW62" s="4">
        <v>2.6701404666386298E-2</v>
      </c>
      <c r="AX62" s="4">
        <v>5.98562771826106E-2</v>
      </c>
      <c r="AY62" s="4" t="s">
        <v>75</v>
      </c>
      <c r="AZ62" s="4">
        <v>0.48609130562507602</v>
      </c>
      <c r="BA62" s="4">
        <v>0.792236347795792</v>
      </c>
      <c r="BB62" s="4" t="s">
        <v>75</v>
      </c>
      <c r="BC62" s="4">
        <v>0.15470963760855699</v>
      </c>
      <c r="BD62" s="4">
        <v>0.25268801558808801</v>
      </c>
      <c r="BE62" s="4" t="s">
        <v>75</v>
      </c>
      <c r="BF62" s="4">
        <v>2.45411169173682E-2</v>
      </c>
      <c r="BG62" s="4">
        <v>0.68719875924093299</v>
      </c>
      <c r="BH62" s="4" t="s">
        <v>75</v>
      </c>
      <c r="BI62" s="4">
        <v>9.4328567383049995E-4</v>
      </c>
      <c r="BJ62" s="4">
        <v>2.1608768861048501E-6</v>
      </c>
      <c r="BK62" s="4">
        <v>665.75904403137497</v>
      </c>
      <c r="BL62" s="4">
        <v>63.947005416199097</v>
      </c>
      <c r="BM62" s="4">
        <v>7.2505687718868099</v>
      </c>
      <c r="BN62" s="4" t="s">
        <v>75</v>
      </c>
      <c r="BO62" s="4">
        <v>1.7241138505958101E-2</v>
      </c>
      <c r="BP62" s="4">
        <v>5.3488984763895797E-2</v>
      </c>
      <c r="BQ62" s="4">
        <v>0.57510685404501805</v>
      </c>
      <c r="BR62" s="4">
        <v>0.182723080024115</v>
      </c>
      <c r="BS62" s="4">
        <v>9.7608613545703105E-2</v>
      </c>
      <c r="BT62" s="4" t="s">
        <v>75</v>
      </c>
      <c r="BU62" s="4">
        <v>1.1687889705705E-2</v>
      </c>
      <c r="BV62" s="4">
        <v>2.19195943175646E-2</v>
      </c>
    </row>
    <row r="63" spans="1:74">
      <c r="A63" t="s">
        <v>140</v>
      </c>
      <c r="B63" t="s">
        <v>132</v>
      </c>
      <c r="C63" s="4" t="s">
        <v>75</v>
      </c>
      <c r="D63" s="4">
        <v>7.8208772873936197E-2</v>
      </c>
      <c r="E63" s="4">
        <v>0.10752002403369</v>
      </c>
      <c r="F63" s="4" t="s">
        <v>75</v>
      </c>
      <c r="G63" s="4">
        <v>0.39512499830594899</v>
      </c>
      <c r="H63" s="4">
        <v>1.14028820954223</v>
      </c>
      <c r="I63" s="4">
        <v>16.4303407234665</v>
      </c>
      <c r="J63" s="4">
        <v>2.32899764028768</v>
      </c>
      <c r="K63" s="4">
        <v>0.40760002045390997</v>
      </c>
      <c r="L63" s="4" t="s">
        <v>75</v>
      </c>
      <c r="M63" s="4">
        <v>16.303638142064699</v>
      </c>
      <c r="N63" s="4">
        <v>34.858503111971203</v>
      </c>
      <c r="O63" s="4" t="s">
        <v>75</v>
      </c>
      <c r="P63" s="4">
        <v>5.6133135310074501E-2</v>
      </c>
      <c r="Q63" s="4">
        <v>0.24929122752765301</v>
      </c>
      <c r="R63" s="4" t="s">
        <v>75</v>
      </c>
      <c r="S63" s="4">
        <v>0.46388656584217203</v>
      </c>
      <c r="T63" s="4">
        <v>1.28064417082761</v>
      </c>
      <c r="U63" s="4">
        <v>349.58176782401301</v>
      </c>
      <c r="V63" s="4">
        <v>51.533638536916001</v>
      </c>
      <c r="W63" s="4">
        <v>6.0449387164119299</v>
      </c>
      <c r="X63" s="4">
        <v>328.38964996809199</v>
      </c>
      <c r="Y63" s="4">
        <v>30.851320710359001</v>
      </c>
      <c r="Z63" s="4">
        <v>13.7715304770395</v>
      </c>
      <c r="AA63" s="4">
        <v>392.97973756765703</v>
      </c>
      <c r="AB63" s="4">
        <v>41.834654690567497</v>
      </c>
      <c r="AC63" s="4">
        <v>0.44805491876118703</v>
      </c>
      <c r="AD63" s="4">
        <v>9.3215611702153005</v>
      </c>
      <c r="AE63" s="4">
        <v>1.44661714010255</v>
      </c>
      <c r="AF63" s="4">
        <v>0.73648152659227595</v>
      </c>
      <c r="AG63" s="4" t="s">
        <v>75</v>
      </c>
      <c r="AH63" s="4">
        <v>0.60321848811128898</v>
      </c>
      <c r="AI63" s="4">
        <v>1.7835098965355001</v>
      </c>
      <c r="AJ63" s="4" t="s">
        <v>75</v>
      </c>
      <c r="AK63" s="4">
        <v>5.81614904001633</v>
      </c>
      <c r="AL63" s="4">
        <v>14.302007991625</v>
      </c>
      <c r="AM63" s="4" t="s">
        <v>75</v>
      </c>
      <c r="AN63" s="4">
        <v>6.2345623445586602E-3</v>
      </c>
      <c r="AO63" s="4">
        <v>0.303923695063403</v>
      </c>
      <c r="AP63" s="4">
        <v>0.30202334459415903</v>
      </c>
      <c r="AQ63" s="4">
        <v>0.156286601347179</v>
      </c>
      <c r="AR63" s="4">
        <v>4.9076516774038903E-6</v>
      </c>
      <c r="AS63" s="4">
        <v>2333.2633189313801</v>
      </c>
      <c r="AT63" s="4">
        <v>221.59708356089999</v>
      </c>
      <c r="AU63" s="4">
        <v>9.8967290107984098</v>
      </c>
      <c r="AV63" s="4" t="s">
        <v>75</v>
      </c>
      <c r="AW63" s="4">
        <v>1.2124920076327299E-2</v>
      </c>
      <c r="AX63" s="4">
        <v>5.8480489253374499E-2</v>
      </c>
      <c r="AY63" s="4" t="s">
        <v>75</v>
      </c>
      <c r="AZ63" s="4">
        <v>0.452483255703854</v>
      </c>
      <c r="BA63" s="4">
        <v>0.77616329542918205</v>
      </c>
      <c r="BB63" s="4">
        <v>0.39623223773665001</v>
      </c>
      <c r="BC63" s="4">
        <v>0.20128067122763901</v>
      </c>
      <c r="BD63" s="4">
        <v>0.24769901237690001</v>
      </c>
      <c r="BE63" s="4" t="s">
        <v>75</v>
      </c>
      <c r="BF63" s="4">
        <v>2.5194048219662799E-2</v>
      </c>
      <c r="BG63" s="4">
        <v>0.67471725445535102</v>
      </c>
      <c r="BH63" s="4" t="s">
        <v>75</v>
      </c>
      <c r="BI63" s="4">
        <v>9.4528735521099197E-4</v>
      </c>
      <c r="BJ63" s="4">
        <v>2.1126386523441299E-6</v>
      </c>
      <c r="BK63" s="4">
        <v>704.59858923036995</v>
      </c>
      <c r="BL63" s="4">
        <v>72.343899084782294</v>
      </c>
      <c r="BM63" s="4">
        <v>7.0721023101801901</v>
      </c>
      <c r="BN63" s="4" t="s">
        <v>75</v>
      </c>
      <c r="BO63" s="4">
        <v>2.0931563866105101E-2</v>
      </c>
      <c r="BP63" s="4">
        <v>5.2341513923332597E-2</v>
      </c>
      <c r="BQ63" s="4">
        <v>0.40066798621324201</v>
      </c>
      <c r="BR63" s="4">
        <v>0.123952853582459</v>
      </c>
      <c r="BS63" s="4">
        <v>9.5345604937353098E-2</v>
      </c>
      <c r="BT63" s="4" t="s">
        <v>75</v>
      </c>
      <c r="BU63" s="4">
        <v>1.2734414233464501E-2</v>
      </c>
      <c r="BV63" s="4">
        <v>2.1407214278119199E-2</v>
      </c>
    </row>
    <row r="64" spans="1:74">
      <c r="A64" t="s">
        <v>141</v>
      </c>
      <c r="B64" t="s">
        <v>132</v>
      </c>
      <c r="C64" s="4">
        <v>0.14978481808618899</v>
      </c>
      <c r="D64" s="4">
        <v>0.104849295906394</v>
      </c>
      <c r="E64" s="4">
        <v>0.11444011796114301</v>
      </c>
      <c r="F64" s="4" t="s">
        <v>75</v>
      </c>
      <c r="G64" s="4">
        <v>0.46647870983638301</v>
      </c>
      <c r="H64" s="4">
        <v>1.62731378342254</v>
      </c>
      <c r="I64" s="4">
        <v>15.512759614018799</v>
      </c>
      <c r="J64" s="4">
        <v>1.9680304732670499</v>
      </c>
      <c r="K64" s="4">
        <v>0.59027897798607698</v>
      </c>
      <c r="L64" s="4" t="s">
        <v>75</v>
      </c>
      <c r="M64" s="4">
        <v>16.183830592841201</v>
      </c>
      <c r="N64" s="4">
        <v>36.054716300438201</v>
      </c>
      <c r="O64" s="4" t="s">
        <v>75</v>
      </c>
      <c r="P64" s="4">
        <v>5.6946288962120797E-2</v>
      </c>
      <c r="Q64" s="4">
        <v>0.186130251273108</v>
      </c>
      <c r="R64" s="4" t="s">
        <v>75</v>
      </c>
      <c r="S64" s="4">
        <v>0.49950068373533102</v>
      </c>
      <c r="T64" s="4">
        <v>1.02482031746624</v>
      </c>
      <c r="U64" s="4">
        <v>518.05761907824603</v>
      </c>
      <c r="V64" s="4">
        <v>77.116565118807401</v>
      </c>
      <c r="W64" s="4">
        <v>6.7858994651036602</v>
      </c>
      <c r="X64" s="4">
        <v>508.204068119608</v>
      </c>
      <c r="Y64" s="4">
        <v>47.507529265940803</v>
      </c>
      <c r="Z64" s="4">
        <v>12.1209958838283</v>
      </c>
      <c r="AA64" s="4">
        <v>563.85449898359605</v>
      </c>
      <c r="AB64" s="4">
        <v>57.9419117014669</v>
      </c>
      <c r="AC64" s="4">
        <v>0.41622775902331699</v>
      </c>
      <c r="AD64" s="4">
        <v>16.566635541705601</v>
      </c>
      <c r="AE64" s="4">
        <v>2.8852087394195198</v>
      </c>
      <c r="AF64" s="4">
        <v>0.32674513612026901</v>
      </c>
      <c r="AG64" s="4" t="s">
        <v>75</v>
      </c>
      <c r="AH64" s="4">
        <v>0.71145621635807899</v>
      </c>
      <c r="AI64" s="4">
        <v>1.3389856050848901</v>
      </c>
      <c r="AJ64" s="4" t="s">
        <v>75</v>
      </c>
      <c r="AK64" s="4">
        <v>6.0558954228608304</v>
      </c>
      <c r="AL64" s="4">
        <v>17.690751190974101</v>
      </c>
      <c r="AM64" s="4" t="s">
        <v>75</v>
      </c>
      <c r="AN64" s="4">
        <v>6.6759725039446993E-2</v>
      </c>
      <c r="AO64" s="4">
        <v>7.4820785826294403E-7</v>
      </c>
      <c r="AP64" s="4">
        <v>0.34124125111300102</v>
      </c>
      <c r="AQ64" s="4">
        <v>0.124875505666833</v>
      </c>
      <c r="AR64" s="4">
        <v>7.4792389582363894E-2</v>
      </c>
      <c r="AS64" s="4">
        <v>2329.5604088390501</v>
      </c>
      <c r="AT64" s="4">
        <v>207.96606660555699</v>
      </c>
      <c r="AU64" s="4">
        <v>10.6808095138667</v>
      </c>
      <c r="AV64" s="4" t="s">
        <v>75</v>
      </c>
      <c r="AW64" s="4">
        <v>2.7843698849890301E-2</v>
      </c>
      <c r="AX64" s="4">
        <v>3.2869174051079003E-2</v>
      </c>
      <c r="AY64" s="4" t="s">
        <v>75</v>
      </c>
      <c r="AZ64" s="4">
        <v>0.39157704228894002</v>
      </c>
      <c r="BA64" s="4">
        <v>0.87710050412014595</v>
      </c>
      <c r="BB64" s="4" t="s">
        <v>75</v>
      </c>
      <c r="BC64" s="4">
        <v>0.11092844600285701</v>
      </c>
      <c r="BD64" s="4">
        <v>0.26100825471973899</v>
      </c>
      <c r="BE64" s="4" t="s">
        <v>75</v>
      </c>
      <c r="BF64" s="4">
        <v>2.1531614862923501E-2</v>
      </c>
      <c r="BG64" s="4">
        <v>0.88185623855208195</v>
      </c>
      <c r="BH64" s="4" t="s">
        <v>75</v>
      </c>
      <c r="BI64" s="4">
        <v>7.7549284749506601E-4</v>
      </c>
      <c r="BJ64" s="4">
        <v>1.68317416854201E-6</v>
      </c>
      <c r="BK64" s="4">
        <v>680.28756299718702</v>
      </c>
      <c r="BL64" s="4">
        <v>60.423251971494402</v>
      </c>
      <c r="BM64" s="4">
        <v>6.78288578743072</v>
      </c>
      <c r="BN64" s="4" t="s">
        <v>75</v>
      </c>
      <c r="BO64" s="4">
        <v>2.68591331424782E-2</v>
      </c>
      <c r="BP64" s="4">
        <v>4.8998312310177899E-2</v>
      </c>
      <c r="BQ64" s="4">
        <v>0.655430970322881</v>
      </c>
      <c r="BR64" s="4">
        <v>0.12798136817547201</v>
      </c>
      <c r="BS64" s="4">
        <v>0.12933165403306601</v>
      </c>
      <c r="BT64" s="4" t="s">
        <v>75</v>
      </c>
      <c r="BU64" s="4">
        <v>1.30501649499458E-2</v>
      </c>
      <c r="BV64" s="4">
        <v>1.8597266023283199E-2</v>
      </c>
    </row>
    <row r="65" spans="3:74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</row>
    <row r="66" spans="3:74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</row>
    <row r="67" spans="3:74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</row>
    <row r="68" spans="3:74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</row>
    <row r="69" spans="3:74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</row>
    <row r="70" spans="3:74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</row>
    <row r="71" spans="3:74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</row>
    <row r="72" spans="3:74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</row>
    <row r="73" spans="3:74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4"/>
  <sheetViews>
    <sheetView workbookViewId="0">
      <selection activeCell="A32" sqref="A32:XFD32"/>
    </sheetView>
  </sheetViews>
  <sheetFormatPr defaultRowHeight="15"/>
  <cols>
    <col min="1" max="1" width="14.28515625" bestFit="1" customWidth="1"/>
  </cols>
  <sheetData>
    <row r="1" spans="1:25">
      <c r="A1" s="1" t="s">
        <v>142</v>
      </c>
      <c r="B1" s="1" t="s">
        <v>0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152</v>
      </c>
      <c r="M1" s="1" t="s">
        <v>153</v>
      </c>
      <c r="N1" s="1" t="s">
        <v>154</v>
      </c>
      <c r="O1" s="1" t="s">
        <v>155</v>
      </c>
      <c r="P1" s="1" t="s">
        <v>156</v>
      </c>
      <c r="Q1" s="1" t="s">
        <v>157</v>
      </c>
      <c r="R1" s="1" t="s">
        <v>158</v>
      </c>
      <c r="S1" s="1" t="s">
        <v>159</v>
      </c>
      <c r="T1" s="1" t="s">
        <v>160</v>
      </c>
      <c r="U1" s="1" t="s">
        <v>161</v>
      </c>
      <c r="V1" s="1" t="s">
        <v>162</v>
      </c>
      <c r="W1" s="1" t="s">
        <v>163</v>
      </c>
      <c r="X1" s="1" t="s">
        <v>164</v>
      </c>
      <c r="Y1" s="1" t="s">
        <v>165</v>
      </c>
    </row>
    <row r="2" spans="1:25">
      <c r="A2" t="s">
        <v>73</v>
      </c>
      <c r="B2" t="s">
        <v>74</v>
      </c>
      <c r="C2" t="s">
        <v>166</v>
      </c>
      <c r="D2" t="s">
        <v>167</v>
      </c>
      <c r="E2" s="4">
        <v>0.13567510740753799</v>
      </c>
      <c r="F2" s="4">
        <v>0.56844468370116996</v>
      </c>
      <c r="G2" s="4">
        <v>5.8838431933556699</v>
      </c>
      <c r="H2" s="4">
        <v>2034.6410942933601</v>
      </c>
      <c r="I2" s="4">
        <v>7.4370429508502506E-2</v>
      </c>
      <c r="J2" s="4">
        <v>503.32526184017098</v>
      </c>
      <c r="K2" s="4">
        <v>144.84361641366201</v>
      </c>
      <c r="L2" s="4">
        <v>139.36583189040101</v>
      </c>
      <c r="M2" s="4">
        <v>3.0157515861576099</v>
      </c>
      <c r="N2" s="4">
        <v>8.5755504675726009</v>
      </c>
      <c r="O2" s="4">
        <v>9.3770267952420994E-2</v>
      </c>
      <c r="P2" s="4">
        <v>2.60651419367951</v>
      </c>
      <c r="Q2" s="4">
        <v>1634.3403891324899</v>
      </c>
      <c r="R2" s="4">
        <v>2.4794210143395699E-2</v>
      </c>
      <c r="S2" s="4">
        <v>0.56059303542479999</v>
      </c>
      <c r="T2" s="4">
        <v>2.1971924848845998</v>
      </c>
      <c r="U2" s="4">
        <v>4.1422153097568302E-6</v>
      </c>
      <c r="V2" s="4">
        <v>204.22888751208399</v>
      </c>
      <c r="W2" s="4">
        <v>2.4352458604933101E-2</v>
      </c>
      <c r="X2" s="4">
        <v>27.0154347283889</v>
      </c>
      <c r="Y2" s="4">
        <v>4.4460207664021603E-2</v>
      </c>
    </row>
    <row r="3" spans="1:25">
      <c r="A3" t="s">
        <v>76</v>
      </c>
      <c r="B3" t="s">
        <v>74</v>
      </c>
      <c r="C3" t="s">
        <v>166</v>
      </c>
      <c r="D3" t="s">
        <v>167</v>
      </c>
      <c r="E3" s="4">
        <v>0.31438045155931599</v>
      </c>
      <c r="F3" s="4">
        <v>0.53042336087298003</v>
      </c>
      <c r="G3" s="4">
        <v>7.3594676179483498</v>
      </c>
      <c r="H3" s="4">
        <v>2041.91313251376</v>
      </c>
      <c r="I3" s="4">
        <v>2.79937414799118</v>
      </c>
      <c r="J3" s="4">
        <v>468.29718896059302</v>
      </c>
      <c r="K3" s="4">
        <v>183.02549333115499</v>
      </c>
      <c r="L3" s="4">
        <v>121.26156388160101</v>
      </c>
      <c r="M3" s="4">
        <v>2.8004309919281001</v>
      </c>
      <c r="N3" s="4">
        <v>7.8395807870930501</v>
      </c>
      <c r="O3" s="4">
        <v>3.56629785155364E-7</v>
      </c>
      <c r="P3" s="4">
        <v>7.2499109620511701</v>
      </c>
      <c r="Q3" s="4">
        <v>1837.21818261052</v>
      </c>
      <c r="R3" s="4">
        <v>0.39030183469919799</v>
      </c>
      <c r="S3" s="4">
        <v>4.09624994106247</v>
      </c>
      <c r="T3" s="4">
        <v>5.0669508841948101</v>
      </c>
      <c r="U3" s="4">
        <v>5.7591674882642502E-6</v>
      </c>
      <c r="V3" s="4">
        <v>283.19694457175001</v>
      </c>
      <c r="W3" s="4">
        <v>2.7753425086765399E-2</v>
      </c>
      <c r="X3" s="4">
        <v>54.168647385718401</v>
      </c>
      <c r="Y3" s="4">
        <v>0.107605603619028</v>
      </c>
    </row>
    <row r="4" spans="1:25">
      <c r="A4" t="s">
        <v>77</v>
      </c>
      <c r="B4" t="s">
        <v>74</v>
      </c>
      <c r="C4" t="s">
        <v>166</v>
      </c>
      <c r="D4" t="s">
        <v>167</v>
      </c>
      <c r="E4" s="4">
        <v>0.46920007601339703</v>
      </c>
      <c r="F4" s="4">
        <v>0.48049397719522002</v>
      </c>
      <c r="G4" s="4">
        <v>9.6311890787269192</v>
      </c>
      <c r="H4" s="4">
        <v>488.43603349884302</v>
      </c>
      <c r="I4" s="4">
        <v>4.4892710422711299E-2</v>
      </c>
      <c r="J4" s="4">
        <v>768.44798462952997</v>
      </c>
      <c r="K4" s="4">
        <v>133.02102506371801</v>
      </c>
      <c r="L4" s="4">
        <v>296.48651753393199</v>
      </c>
      <c r="M4" s="4">
        <v>11.474683888671199</v>
      </c>
      <c r="N4" s="4">
        <v>7.0926587472306002</v>
      </c>
      <c r="O4" s="4">
        <v>7.8872011686292095E-3</v>
      </c>
      <c r="P4" s="4">
        <v>3.3425839176818402</v>
      </c>
      <c r="Q4" s="4">
        <v>2203.7127019304198</v>
      </c>
      <c r="R4" s="4">
        <v>2.2397289055466601E-2</v>
      </c>
      <c r="S4" s="4">
        <v>0.43038256130151997</v>
      </c>
      <c r="T4" s="4">
        <v>5.8029305375308997</v>
      </c>
      <c r="U4" s="4">
        <v>5.2072461426639999E-6</v>
      </c>
      <c r="V4" s="4">
        <v>171.03928800156899</v>
      </c>
      <c r="W4" s="4">
        <v>2.51273764347534E-2</v>
      </c>
      <c r="X4" s="4">
        <v>31.2136039026859</v>
      </c>
      <c r="Y4" s="4">
        <v>0.19239682217511</v>
      </c>
    </row>
    <row r="5" spans="1:25">
      <c r="A5" t="s">
        <v>78</v>
      </c>
      <c r="B5" t="s">
        <v>74</v>
      </c>
      <c r="C5" t="s">
        <v>166</v>
      </c>
      <c r="D5" t="s">
        <v>167</v>
      </c>
      <c r="E5" s="4">
        <v>1.9911280493754301E-2</v>
      </c>
      <c r="F5" s="4">
        <v>0.66985623264719496</v>
      </c>
      <c r="G5" s="4">
        <v>3.49401427889664</v>
      </c>
      <c r="H5" s="4">
        <v>2185.05507743523</v>
      </c>
      <c r="I5" s="4">
        <v>5.7727786629515498E-2</v>
      </c>
      <c r="J5" s="4">
        <v>1066.27070806897</v>
      </c>
      <c r="K5" s="4">
        <v>212.328967571249</v>
      </c>
      <c r="L5" s="4">
        <v>381.69582123522298</v>
      </c>
      <c r="M5" s="4">
        <v>0.65300709309816496</v>
      </c>
      <c r="N5" s="4">
        <v>5.5729312744011503</v>
      </c>
      <c r="O5" s="4">
        <v>2.47026529014481E-7</v>
      </c>
      <c r="P5" s="4">
        <v>0.96731526520871502</v>
      </c>
      <c r="Q5" s="4">
        <v>1580.6424202358301</v>
      </c>
      <c r="R5" s="4">
        <v>2.2359349630395198E-2</v>
      </c>
      <c r="S5" s="4">
        <v>0.79260408907162005</v>
      </c>
      <c r="T5" s="4">
        <v>9.6478953664666495E-2</v>
      </c>
      <c r="U5" s="4">
        <v>3.9813315940720049E-6</v>
      </c>
      <c r="V5" s="4">
        <v>139.36393189827501</v>
      </c>
      <c r="W5" s="4">
        <v>2.3501066084483751E-2</v>
      </c>
      <c r="X5" s="4">
        <v>0.89162801890013899</v>
      </c>
      <c r="Y5" s="4">
        <v>0.60207206004545499</v>
      </c>
    </row>
    <row r="6" spans="1:25">
      <c r="A6" t="s">
        <v>79</v>
      </c>
      <c r="B6" t="s">
        <v>74</v>
      </c>
      <c r="C6" t="s">
        <v>166</v>
      </c>
      <c r="D6" t="s">
        <v>167</v>
      </c>
      <c r="E6" s="4">
        <v>3.2767423388341203E-2</v>
      </c>
      <c r="F6" s="4">
        <v>0.57253252511015995</v>
      </c>
      <c r="G6" s="4">
        <v>1.96801870209853</v>
      </c>
      <c r="H6" s="4">
        <v>2154.1489570499202</v>
      </c>
      <c r="I6" s="4">
        <v>1.96939506252615</v>
      </c>
      <c r="J6" s="4">
        <v>1635.0873855627899</v>
      </c>
      <c r="K6" s="4">
        <v>168.618045696184</v>
      </c>
      <c r="L6" s="4">
        <v>673.29189535747503</v>
      </c>
      <c r="M6" s="4">
        <v>0.48044227647195897</v>
      </c>
      <c r="N6" s="4">
        <v>5.8214077045488501</v>
      </c>
      <c r="O6" s="4">
        <v>6.5509378796085996E-2</v>
      </c>
      <c r="P6" s="4">
        <v>2.0077061311982098</v>
      </c>
      <c r="Q6" s="4">
        <v>1480.66879803966</v>
      </c>
      <c r="R6" s="4">
        <v>2.9156951838205901E-2</v>
      </c>
      <c r="S6" s="4">
        <v>0.34894056584516803</v>
      </c>
      <c r="T6" s="4">
        <v>7.9829890966259004E-2</v>
      </c>
      <c r="U6" s="4">
        <v>0.26766936529985252</v>
      </c>
      <c r="V6" s="4">
        <v>162.49820108036599</v>
      </c>
      <c r="W6" s="4">
        <v>2.0017297534175249E-2</v>
      </c>
      <c r="X6" s="4">
        <v>2.3899001796042598</v>
      </c>
      <c r="Y6" s="4">
        <v>1.17181795117451E-2</v>
      </c>
    </row>
    <row r="7" spans="1:25">
      <c r="A7" t="s">
        <v>82</v>
      </c>
      <c r="B7" t="s">
        <v>81</v>
      </c>
      <c r="C7" t="s">
        <v>168</v>
      </c>
      <c r="D7" t="s">
        <v>167</v>
      </c>
      <c r="E7" s="4">
        <v>1.6341499550781999E-2</v>
      </c>
      <c r="F7" s="4">
        <v>0.61161521930750995</v>
      </c>
      <c r="G7" s="4">
        <v>5.8842446779844897</v>
      </c>
      <c r="H7" s="4">
        <v>177.02671758230699</v>
      </c>
      <c r="I7" s="4">
        <v>3.7564719252064852E-2</v>
      </c>
      <c r="J7" s="4">
        <v>227.916167679495</v>
      </c>
      <c r="K7" s="4">
        <v>59.9477688378919</v>
      </c>
      <c r="L7" s="4">
        <v>72.820170475975701</v>
      </c>
      <c r="M7" s="4">
        <v>0.3985007681934955</v>
      </c>
      <c r="N7" s="4">
        <v>5.6679778454441498</v>
      </c>
      <c r="O7" s="4">
        <v>8.8135465150144796E-2</v>
      </c>
      <c r="P7" s="4">
        <v>0.48695943170838701</v>
      </c>
      <c r="Q7" s="4">
        <v>2187.7645781665301</v>
      </c>
      <c r="R7" s="4">
        <v>5.5533419668678502E-2</v>
      </c>
      <c r="S7" s="4">
        <v>0.61974717343855401</v>
      </c>
      <c r="T7" s="4">
        <v>0.39301651427244</v>
      </c>
      <c r="U7" s="4">
        <v>3.4382322380421202E-6</v>
      </c>
      <c r="V7" s="4">
        <v>279.20619292325398</v>
      </c>
      <c r="W7" s="4">
        <v>1.81972050575312E-2</v>
      </c>
      <c r="X7" s="4">
        <v>2.9946994596825198</v>
      </c>
      <c r="Y7" s="4">
        <v>8.5105538457305504E-3</v>
      </c>
    </row>
    <row r="8" spans="1:25">
      <c r="A8" t="s">
        <v>83</v>
      </c>
      <c r="B8" t="s">
        <v>81</v>
      </c>
      <c r="C8" t="s">
        <v>168</v>
      </c>
      <c r="D8" t="s">
        <v>167</v>
      </c>
      <c r="E8" s="4">
        <v>5.4958707981741198E-2</v>
      </c>
      <c r="F8" s="4">
        <v>0.296601761119483</v>
      </c>
      <c r="G8" s="4">
        <v>2.0458084731347599</v>
      </c>
      <c r="H8" s="4">
        <v>533.73280966895504</v>
      </c>
      <c r="I8" s="4">
        <v>5.11660467344889E-2</v>
      </c>
      <c r="J8" s="4">
        <v>48.9319056142024</v>
      </c>
      <c r="K8" s="4">
        <v>7.9660757871989096</v>
      </c>
      <c r="L8" s="4">
        <v>12.5959989195588</v>
      </c>
      <c r="M8" s="4">
        <v>1.568211917935475</v>
      </c>
      <c r="N8" s="4">
        <v>5.5780642294357996</v>
      </c>
      <c r="O8" s="4">
        <v>1.8690056724798849E-7</v>
      </c>
      <c r="P8" s="4">
        <v>0.47730956397117102</v>
      </c>
      <c r="Q8" s="4">
        <v>2171.2302839215099</v>
      </c>
      <c r="R8" s="4">
        <v>5.4027789858905703E-2</v>
      </c>
      <c r="S8" s="4">
        <v>0.590244545670775</v>
      </c>
      <c r="T8" s="4">
        <v>1.0352325722348701</v>
      </c>
      <c r="U8" s="4">
        <v>3.0332287289342702E-6</v>
      </c>
      <c r="V8" s="4">
        <v>222.74910254001699</v>
      </c>
      <c r="W8" s="4">
        <v>3.6317084250520451E-2</v>
      </c>
      <c r="X8" s="4">
        <v>2.6214376165926199</v>
      </c>
      <c r="Y8" s="4">
        <v>1.4527154363284601E-2</v>
      </c>
    </row>
    <row r="9" spans="1:25">
      <c r="A9" t="s">
        <v>84</v>
      </c>
      <c r="B9" t="s">
        <v>81</v>
      </c>
      <c r="C9" t="s">
        <v>168</v>
      </c>
      <c r="D9" t="s">
        <v>167</v>
      </c>
      <c r="E9" s="4">
        <v>0.18854514420679599</v>
      </c>
      <c r="F9" s="4">
        <v>0.30193734850077503</v>
      </c>
      <c r="G9" s="4">
        <v>6.5608142972480099</v>
      </c>
      <c r="H9" s="4">
        <v>186.87193560627799</v>
      </c>
      <c r="I9" s="4">
        <v>1.3206381774831501E-2</v>
      </c>
      <c r="J9" s="4">
        <v>269.68163157006398</v>
      </c>
      <c r="K9" s="4">
        <v>189.292880803733</v>
      </c>
      <c r="L9" s="4">
        <v>37.953861563009298</v>
      </c>
      <c r="M9" s="4">
        <v>1.5959204540617</v>
      </c>
      <c r="N9" s="4">
        <v>5.6712326940451003</v>
      </c>
      <c r="O9" s="4">
        <v>1.90088087011581E-7</v>
      </c>
      <c r="P9" s="4">
        <v>1.4048135174796501</v>
      </c>
      <c r="Q9" s="4">
        <v>2353.6025878978398</v>
      </c>
      <c r="R9" s="4">
        <v>1.298078970289925E-2</v>
      </c>
      <c r="S9" s="4">
        <v>0.60009598341606996</v>
      </c>
      <c r="T9" s="4">
        <v>2.7481770190494399</v>
      </c>
      <c r="U9" s="4">
        <v>3.0824200576546198E-6</v>
      </c>
      <c r="V9" s="4">
        <v>261.03962233103402</v>
      </c>
      <c r="W9" s="4">
        <v>3.6950884140941151E-2</v>
      </c>
      <c r="X9" s="4">
        <v>13.7060871648681</v>
      </c>
      <c r="Y9" s="4">
        <v>1.4785775148243649E-2</v>
      </c>
    </row>
    <row r="10" spans="1:25">
      <c r="A10" t="s">
        <v>85</v>
      </c>
      <c r="B10" t="s">
        <v>81</v>
      </c>
      <c r="C10" t="s">
        <v>168</v>
      </c>
      <c r="D10" t="s">
        <v>167</v>
      </c>
      <c r="E10" s="4">
        <v>5.6460693403652999E-2</v>
      </c>
      <c r="F10" s="4">
        <v>0.70031243840516</v>
      </c>
      <c r="G10" s="4">
        <v>42.091436954787902</v>
      </c>
      <c r="H10" s="4">
        <v>19.1973577810063</v>
      </c>
      <c r="I10" s="4">
        <v>4.92232235389067E-2</v>
      </c>
      <c r="J10" s="4">
        <v>194.95307323842999</v>
      </c>
      <c r="K10" s="4">
        <v>177.73480842537001</v>
      </c>
      <c r="L10" s="4">
        <v>3.82886704113566</v>
      </c>
      <c r="M10" s="4">
        <v>2.10473885782012</v>
      </c>
      <c r="N10" s="4">
        <v>9.2232345172454995</v>
      </c>
      <c r="O10" s="4">
        <v>0.128324290148951</v>
      </c>
      <c r="P10" s="4">
        <v>0.99648800396952397</v>
      </c>
      <c r="Q10" s="4">
        <v>1868.9694146358499</v>
      </c>
      <c r="R10" s="4">
        <v>3.22927140141688</v>
      </c>
      <c r="S10" s="4">
        <v>15.7946543416863</v>
      </c>
      <c r="T10" s="4">
        <v>0.26641504330952898</v>
      </c>
      <c r="U10" s="4">
        <v>2.8999236830972102E-6</v>
      </c>
      <c r="V10" s="4">
        <v>191.45664715462499</v>
      </c>
      <c r="W10" s="4">
        <v>1.9572238697833949E-2</v>
      </c>
      <c r="X10" s="4">
        <v>3.7356445228436401</v>
      </c>
      <c r="Y10" s="4">
        <v>1.10584621819929E-2</v>
      </c>
    </row>
    <row r="11" spans="1:25">
      <c r="A11" t="s">
        <v>86</v>
      </c>
      <c r="B11" t="s">
        <v>81</v>
      </c>
      <c r="C11" t="s">
        <v>168</v>
      </c>
      <c r="D11" t="s">
        <v>167</v>
      </c>
      <c r="E11" s="4">
        <v>7.7897049734853702E-2</v>
      </c>
      <c r="F11" s="4">
        <v>0.64991955951640001</v>
      </c>
      <c r="G11" s="4">
        <v>53.336618041340301</v>
      </c>
      <c r="H11" s="4">
        <v>10.631325101719201</v>
      </c>
      <c r="I11" s="4">
        <v>8.2637120342003004E-2</v>
      </c>
      <c r="J11" s="4">
        <v>245.99679991755599</v>
      </c>
      <c r="K11" s="4">
        <v>237.87071409959</v>
      </c>
      <c r="L11" s="4">
        <v>7.4816174143533498</v>
      </c>
      <c r="M11" s="4">
        <v>7.0302070093815798</v>
      </c>
      <c r="N11" s="4">
        <v>5.50524761337795</v>
      </c>
      <c r="O11" s="4">
        <v>2.7100827589501703E-7</v>
      </c>
      <c r="P11" s="4">
        <v>1.6561692158938399</v>
      </c>
      <c r="Q11" s="4">
        <v>1996.1830720948201</v>
      </c>
      <c r="R11" s="4">
        <v>2.4369626753766598</v>
      </c>
      <c r="S11" s="4">
        <v>10.3060016429062</v>
      </c>
      <c r="T11" s="4">
        <v>0.65079169649500201</v>
      </c>
      <c r="U11" s="4">
        <v>4.3873109013733297E-6</v>
      </c>
      <c r="V11" s="4">
        <v>195.73759492589701</v>
      </c>
      <c r="W11" s="4">
        <v>2.136560109660765E-2</v>
      </c>
      <c r="X11" s="4">
        <v>7.1445055976242502</v>
      </c>
      <c r="Y11" s="4">
        <v>1.116114927963075E-2</v>
      </c>
    </row>
    <row r="12" spans="1:25">
      <c r="A12" t="s">
        <v>87</v>
      </c>
      <c r="B12" t="s">
        <v>81</v>
      </c>
      <c r="C12" t="s">
        <v>168</v>
      </c>
      <c r="D12" t="s">
        <v>167</v>
      </c>
      <c r="E12" s="4">
        <v>7.6081773186639001E-2</v>
      </c>
      <c r="F12" s="4">
        <v>0.50908536786895497</v>
      </c>
      <c r="G12" s="4">
        <v>2.9342608963622299</v>
      </c>
      <c r="H12" s="4">
        <v>502.734144517625</v>
      </c>
      <c r="I12" s="4">
        <v>6.6414634286485003E-2</v>
      </c>
      <c r="J12" s="4">
        <v>53.958708648454099</v>
      </c>
      <c r="K12" s="4">
        <v>13.5412121362041</v>
      </c>
      <c r="L12" s="4">
        <v>15.9199842963748</v>
      </c>
      <c r="M12" s="4">
        <v>1.3415837520711</v>
      </c>
      <c r="N12" s="4">
        <v>7.6900732674550003</v>
      </c>
      <c r="O12" s="4">
        <v>1.58019212485353</v>
      </c>
      <c r="P12" s="4">
        <v>0.60874618990790896</v>
      </c>
      <c r="Q12" s="4">
        <v>2008.0648150730201</v>
      </c>
      <c r="R12" s="4">
        <v>0.13687121779582201</v>
      </c>
      <c r="S12" s="4">
        <v>1.5234500787255301</v>
      </c>
      <c r="T12" s="4">
        <v>1.9243095281668701</v>
      </c>
      <c r="U12" s="4">
        <v>3.716684432018745E-6</v>
      </c>
      <c r="V12" s="4">
        <v>238.937086484959</v>
      </c>
      <c r="W12" s="4">
        <v>2.18216358925498E-2</v>
      </c>
      <c r="X12" s="4">
        <v>61.819140206201801</v>
      </c>
      <c r="Y12" s="4">
        <v>0.16152384447081</v>
      </c>
    </row>
    <row r="13" spans="1:25">
      <c r="A13" t="s">
        <v>88</v>
      </c>
      <c r="B13" t="s">
        <v>81</v>
      </c>
      <c r="C13" t="s">
        <v>168</v>
      </c>
      <c r="D13" t="s">
        <v>167</v>
      </c>
      <c r="E13" s="4">
        <v>1.8987770437317499</v>
      </c>
      <c r="F13" s="4">
        <v>0.58544485682084502</v>
      </c>
      <c r="G13" s="4">
        <v>33.687643174469002</v>
      </c>
      <c r="H13" s="4">
        <v>156.02098994860799</v>
      </c>
      <c r="I13" s="4">
        <v>8.2040650389844497E-2</v>
      </c>
      <c r="J13" s="4">
        <v>456.347880150077</v>
      </c>
      <c r="K13" s="4">
        <v>249.41754854201599</v>
      </c>
      <c r="L13" s="4">
        <v>36.777231599622297</v>
      </c>
      <c r="M13" s="4">
        <v>28.596297438540098</v>
      </c>
      <c r="N13" s="4">
        <v>7.8437355445620502</v>
      </c>
      <c r="O13" s="4">
        <v>7.8215174862372505E-2</v>
      </c>
      <c r="P13" s="4">
        <v>6.24252545639676</v>
      </c>
      <c r="Q13" s="4">
        <v>2339.0435197953602</v>
      </c>
      <c r="R13" s="4">
        <v>2.7003001805090001</v>
      </c>
      <c r="S13" s="4">
        <v>20.459426400171299</v>
      </c>
      <c r="T13" s="4">
        <v>35.645753839584799</v>
      </c>
      <c r="U13" s="4">
        <v>6.1244048099830996E-6</v>
      </c>
      <c r="V13" s="4">
        <v>494.56669551200901</v>
      </c>
      <c r="W13" s="4">
        <v>1.9957647009926801E-2</v>
      </c>
      <c r="X13" s="4">
        <v>59.073114839750701</v>
      </c>
      <c r="Y13" s="4">
        <v>2.141373217580755E-2</v>
      </c>
    </row>
    <row r="14" spans="1:25">
      <c r="A14" t="s">
        <v>89</v>
      </c>
      <c r="B14" t="s">
        <v>81</v>
      </c>
      <c r="C14" t="s">
        <v>168</v>
      </c>
      <c r="D14" t="s">
        <v>167</v>
      </c>
      <c r="E14" s="4">
        <v>4.5377214957181403E-2</v>
      </c>
      <c r="F14" s="4">
        <v>0.56210065184444502</v>
      </c>
      <c r="G14" s="4">
        <v>33.949355025812999</v>
      </c>
      <c r="H14" s="4">
        <v>15.375745918048199</v>
      </c>
      <c r="I14" s="4">
        <v>7.8985203526439507E-2</v>
      </c>
      <c r="J14" s="4">
        <v>301.13648950592398</v>
      </c>
      <c r="K14" s="4">
        <v>206.785359426518</v>
      </c>
      <c r="L14" s="4">
        <v>34.046024807172699</v>
      </c>
      <c r="M14" s="4">
        <v>1.0259696541891501</v>
      </c>
      <c r="N14" s="4">
        <v>7.5286973752991999</v>
      </c>
      <c r="O14" s="4">
        <v>7.5104548675068994E-2</v>
      </c>
      <c r="P14" s="4">
        <v>1.73321338518138</v>
      </c>
      <c r="Q14" s="4">
        <v>1473.21411521654</v>
      </c>
      <c r="R14" s="4">
        <v>4.53893057404541</v>
      </c>
      <c r="S14" s="4">
        <v>12.859049302611901</v>
      </c>
      <c r="T14" s="4">
        <v>0.49669465224215298</v>
      </c>
      <c r="U14" s="4">
        <v>5.8771438798823996E-6</v>
      </c>
      <c r="V14" s="4">
        <v>266.23151195989698</v>
      </c>
      <c r="W14" s="4">
        <v>1.9166421498514202E-2</v>
      </c>
      <c r="X14" s="4">
        <v>3.7289986272238602</v>
      </c>
      <c r="Y14" s="4">
        <v>2.0561622987744849E-2</v>
      </c>
    </row>
    <row r="15" spans="1:25">
      <c r="A15" t="s">
        <v>90</v>
      </c>
      <c r="B15" t="s">
        <v>81</v>
      </c>
      <c r="C15" t="s">
        <v>168</v>
      </c>
      <c r="D15" t="s">
        <v>167</v>
      </c>
      <c r="E15" s="4">
        <v>5.4538144457671002E-2</v>
      </c>
      <c r="F15" s="4">
        <v>0.49811073852902399</v>
      </c>
      <c r="G15" s="4">
        <v>33.920918304140798</v>
      </c>
      <c r="H15" s="4">
        <v>11.7414196891863</v>
      </c>
      <c r="I15" s="4">
        <v>7.7184674317732502E-2</v>
      </c>
      <c r="J15" s="4">
        <v>355.58238220643699</v>
      </c>
      <c r="K15" s="4">
        <v>322.61721007270802</v>
      </c>
      <c r="L15" s="4">
        <v>27.555993222034498</v>
      </c>
      <c r="M15" s="4">
        <v>7.3850268468564799</v>
      </c>
      <c r="N15" s="4">
        <v>6.6362454412560501</v>
      </c>
      <c r="O15" s="4">
        <v>4.4204710109533799E-7</v>
      </c>
      <c r="P15" s="4">
        <v>1.3663883389554501</v>
      </c>
      <c r="Q15" s="4">
        <v>1673.4877383886101</v>
      </c>
      <c r="R15" s="4">
        <v>1.6884561972319601</v>
      </c>
      <c r="S15" s="4">
        <v>5.07841546917681</v>
      </c>
      <c r="T15" s="4">
        <v>0.97641647880164895</v>
      </c>
      <c r="U15" s="4">
        <v>7.0155373302921498E-6</v>
      </c>
      <c r="V15" s="4">
        <v>211.084540808122</v>
      </c>
      <c r="W15" s="4">
        <v>2.3499194052247749E-2</v>
      </c>
      <c r="X15" s="4">
        <v>10.424575469364999</v>
      </c>
      <c r="Y15" s="4">
        <v>1.5698648781003299E-2</v>
      </c>
    </row>
    <row r="16" spans="1:25">
      <c r="A16" t="s">
        <v>91</v>
      </c>
      <c r="B16" t="s">
        <v>81</v>
      </c>
      <c r="C16" t="s">
        <v>168</v>
      </c>
      <c r="D16" t="s">
        <v>167</v>
      </c>
      <c r="E16" s="4">
        <v>6.0593906833017498E-2</v>
      </c>
      <c r="F16" s="4">
        <v>0.55345657439044504</v>
      </c>
      <c r="G16" s="4">
        <v>28.734714242859599</v>
      </c>
      <c r="H16" s="4">
        <v>91.566811207913503</v>
      </c>
      <c r="I16" s="4">
        <v>8.5974349344778003E-2</v>
      </c>
      <c r="J16" s="4">
        <v>208.59127727133301</v>
      </c>
      <c r="K16" s="4">
        <v>164.31834545197501</v>
      </c>
      <c r="L16" s="4">
        <v>17.5777128026368</v>
      </c>
      <c r="M16" s="4">
        <v>6.29740955309809</v>
      </c>
      <c r="N16" s="4">
        <v>7.3721837614028001</v>
      </c>
      <c r="O16" s="4">
        <v>0.10312875108877401</v>
      </c>
      <c r="P16" s="4">
        <v>1.12268907332515</v>
      </c>
      <c r="Q16" s="4">
        <v>1818.11608883848</v>
      </c>
      <c r="R16" s="4">
        <v>2.2471305880011001</v>
      </c>
      <c r="S16" s="4">
        <v>6.4882215452366596</v>
      </c>
      <c r="T16" s="4">
        <v>2.42407591236188</v>
      </c>
      <c r="U16" s="4">
        <v>7.7925297370262996E-6</v>
      </c>
      <c r="V16" s="4">
        <v>267.82394403734997</v>
      </c>
      <c r="W16" s="4">
        <v>2.6117772249119951E-2</v>
      </c>
      <c r="X16" s="4">
        <v>9.6198107884176096</v>
      </c>
      <c r="Y16" s="4">
        <v>1.74445221734497E-2</v>
      </c>
    </row>
    <row r="17" spans="1:25">
      <c r="A17" t="s">
        <v>92</v>
      </c>
      <c r="B17" t="s">
        <v>81</v>
      </c>
      <c r="C17" t="s">
        <v>168</v>
      </c>
      <c r="D17" t="s">
        <v>167</v>
      </c>
      <c r="E17" s="4">
        <v>5.0624406797885997E-2</v>
      </c>
      <c r="F17" s="4">
        <v>0.63718301868967497</v>
      </c>
      <c r="G17" s="4">
        <v>36.610775979432098</v>
      </c>
      <c r="H17" s="4">
        <v>19.603340314695352</v>
      </c>
      <c r="I17" s="4">
        <v>6.5359290406738005E-2</v>
      </c>
      <c r="J17" s="4">
        <v>555.82562907370902</v>
      </c>
      <c r="K17" s="4">
        <v>431.05670298475201</v>
      </c>
      <c r="L17" s="4">
        <v>80.857631945341396</v>
      </c>
      <c r="M17" s="4">
        <v>16.806793209859599</v>
      </c>
      <c r="N17" s="4">
        <v>5.0063264890479999</v>
      </c>
      <c r="O17" s="4">
        <v>0.18169039707398099</v>
      </c>
      <c r="P17" s="4">
        <v>2.4294927782829001</v>
      </c>
      <c r="Q17" s="4">
        <v>1663.39008515041</v>
      </c>
      <c r="R17" s="4">
        <v>2.5305107803375799</v>
      </c>
      <c r="S17" s="4">
        <v>4.5627391348042803</v>
      </c>
      <c r="T17" s="4">
        <v>2.0541915784246298</v>
      </c>
      <c r="U17" s="4">
        <v>0.34078892129341448</v>
      </c>
      <c r="V17" s="4">
        <v>191.156381167744</v>
      </c>
      <c r="W17" s="4">
        <v>0.13138681632198901</v>
      </c>
      <c r="X17" s="4">
        <v>17.9636121928365</v>
      </c>
      <c r="Y17" s="4">
        <v>2.1509799539178549E-2</v>
      </c>
    </row>
    <row r="18" spans="1:25">
      <c r="A18" t="s">
        <v>93</v>
      </c>
      <c r="B18" t="s">
        <v>81</v>
      </c>
      <c r="C18" t="s">
        <v>168</v>
      </c>
      <c r="D18" t="s">
        <v>167</v>
      </c>
      <c r="E18" s="4">
        <v>0.15254540829159499</v>
      </c>
      <c r="F18" s="4">
        <v>0.3937503185385865</v>
      </c>
      <c r="G18" s="4">
        <v>35.103452262940699</v>
      </c>
      <c r="H18" s="4">
        <v>15.48411448781285</v>
      </c>
      <c r="I18" s="4">
        <v>6.7626867803444998E-2</v>
      </c>
      <c r="J18" s="4">
        <v>543.33595360469701</v>
      </c>
      <c r="K18" s="4">
        <v>565.13628252511296</v>
      </c>
      <c r="L18" s="4">
        <v>10.1861451024137</v>
      </c>
      <c r="M18" s="4">
        <v>9.0413356240786804</v>
      </c>
      <c r="N18" s="4">
        <v>9.2156912253030505</v>
      </c>
      <c r="O18" s="4">
        <v>9.3987072364071E-2</v>
      </c>
      <c r="P18" s="4">
        <v>0.81633697858695198</v>
      </c>
      <c r="Q18" s="4">
        <v>1743.63271885991</v>
      </c>
      <c r="R18" s="4">
        <v>2.2746692682948799</v>
      </c>
      <c r="S18" s="4">
        <v>5.9949051030407396</v>
      </c>
      <c r="T18" s="4">
        <v>1.0536886147757001</v>
      </c>
      <c r="U18" s="4">
        <v>4.8287176287361403E-6</v>
      </c>
      <c r="V18" s="4">
        <v>198.35564479478899</v>
      </c>
      <c r="W18" s="4">
        <v>4.4032049916786498E-2</v>
      </c>
      <c r="X18" s="4">
        <v>9.7036863323759501</v>
      </c>
      <c r="Y18" s="4">
        <v>5.07312424614225E-2</v>
      </c>
    </row>
    <row r="19" spans="1:25">
      <c r="A19" t="s">
        <v>80</v>
      </c>
      <c r="B19" t="s">
        <v>81</v>
      </c>
      <c r="C19" t="s">
        <v>169</v>
      </c>
      <c r="D19" t="s">
        <v>167</v>
      </c>
      <c r="E19" s="4">
        <v>4.82350552968916E-2</v>
      </c>
      <c r="F19" s="4">
        <v>0.65940377609381995</v>
      </c>
      <c r="G19" s="4">
        <v>8.0673439510837905</v>
      </c>
      <c r="H19" s="4">
        <v>292.41934380068</v>
      </c>
      <c r="I19" s="4">
        <v>4.1799145146280102E-2</v>
      </c>
      <c r="J19" s="4">
        <v>178.347707872754</v>
      </c>
      <c r="K19" s="4">
        <v>127.09614605666199</v>
      </c>
      <c r="L19" s="4">
        <v>25.880356769863901</v>
      </c>
      <c r="M19" s="4">
        <v>0.61739607393421503</v>
      </c>
      <c r="N19" s="4">
        <v>4.62326470867227</v>
      </c>
      <c r="O19" s="4">
        <v>8.1707398951169505E-2</v>
      </c>
      <c r="P19" s="4">
        <v>0.13009284948526201</v>
      </c>
      <c r="Q19" s="4">
        <v>3478.2445484248801</v>
      </c>
      <c r="R19" s="4">
        <v>4.1889938555224347E-2</v>
      </c>
      <c r="S19" s="4">
        <v>0.554489192929285</v>
      </c>
      <c r="T19" s="4">
        <v>0.14796209293596449</v>
      </c>
      <c r="U19" s="4">
        <v>4.4147715986074304E-6</v>
      </c>
      <c r="V19" s="4">
        <v>347.55932467648398</v>
      </c>
      <c r="W19" s="4">
        <v>3.0390798570837398E-2</v>
      </c>
      <c r="X19" s="4">
        <v>1.08434261485052</v>
      </c>
      <c r="Y19" s="4">
        <v>3.3268871146429298E-2</v>
      </c>
    </row>
    <row r="20" spans="1:25">
      <c r="A20" t="s">
        <v>94</v>
      </c>
      <c r="B20" t="s">
        <v>81</v>
      </c>
      <c r="C20" t="s">
        <v>168</v>
      </c>
      <c r="D20" t="s">
        <v>167</v>
      </c>
      <c r="E20" s="4">
        <v>7.7280640991224406E-2</v>
      </c>
      <c r="F20" s="4">
        <v>0.73078790678907501</v>
      </c>
      <c r="G20" s="4">
        <v>8.9471130281383005</v>
      </c>
      <c r="H20" s="4">
        <v>297.83131640633297</v>
      </c>
      <c r="I20" s="4">
        <v>0.18782912901092899</v>
      </c>
      <c r="J20" s="4">
        <v>69.602291975088306</v>
      </c>
      <c r="K20" s="4">
        <v>4.12609225475929</v>
      </c>
      <c r="L20" s="4">
        <v>26.993705640063901</v>
      </c>
      <c r="M20" s="4">
        <v>4.4109162369360702</v>
      </c>
      <c r="N20" s="4">
        <v>13.57295188335975</v>
      </c>
      <c r="O20" s="4">
        <v>0.72294896762986105</v>
      </c>
      <c r="P20" s="4">
        <v>0.76836418627862502</v>
      </c>
      <c r="Q20" s="4">
        <v>4026.04476347127</v>
      </c>
      <c r="R20" s="4">
        <v>2.4608511477060249E-2</v>
      </c>
      <c r="S20" s="4">
        <v>0.58162380421200299</v>
      </c>
      <c r="T20" s="4">
        <v>6.3052765749750597</v>
      </c>
      <c r="U20" s="4">
        <v>4.233686337325135E-6</v>
      </c>
      <c r="V20" s="4">
        <v>159.41599438075801</v>
      </c>
      <c r="W20" s="4">
        <v>1.5334781690267E-2</v>
      </c>
      <c r="X20" s="4">
        <v>4.47136663552911</v>
      </c>
      <c r="Y20" s="4">
        <v>2.1431962856587501E-2</v>
      </c>
    </row>
    <row r="21" spans="1:25">
      <c r="A21" t="s">
        <v>95</v>
      </c>
      <c r="B21" t="s">
        <v>96</v>
      </c>
      <c r="C21" t="s">
        <v>169</v>
      </c>
      <c r="D21" t="s">
        <v>167</v>
      </c>
      <c r="E21" s="4">
        <v>3.4155562266220497E-2</v>
      </c>
      <c r="F21" s="4">
        <v>0.69280105649391999</v>
      </c>
      <c r="G21" s="4">
        <v>8.5822005281711604</v>
      </c>
      <c r="H21" s="4">
        <v>277.39614393268999</v>
      </c>
      <c r="I21" s="4">
        <v>7.8184881311265997E-2</v>
      </c>
      <c r="J21" s="4">
        <v>272.18605295047598</v>
      </c>
      <c r="K21" s="4">
        <v>133.40894517596001</v>
      </c>
      <c r="L21" s="4">
        <v>55.591609078845401</v>
      </c>
      <c r="M21" s="4">
        <v>3.8209651366978901</v>
      </c>
      <c r="N21" s="4">
        <v>5.8408192920227497</v>
      </c>
      <c r="O21" s="4">
        <v>0.24982763743009201</v>
      </c>
      <c r="P21" s="4">
        <v>0.56521716091152596</v>
      </c>
      <c r="Q21" s="4">
        <v>3937.7725959129598</v>
      </c>
      <c r="R21" s="4">
        <v>3.1276867712799E-2</v>
      </c>
      <c r="S21" s="4">
        <v>0.63004506449769004</v>
      </c>
      <c r="T21" s="4">
        <v>8.6083397771318992</v>
      </c>
      <c r="U21" s="4">
        <v>2.8794276167617102E-6</v>
      </c>
      <c r="V21" s="4">
        <v>345.01627909253898</v>
      </c>
      <c r="W21" s="4">
        <v>3.7932582790123653E-2</v>
      </c>
      <c r="X21" s="4">
        <v>4.0353810497093496</v>
      </c>
      <c r="Y21" s="4">
        <v>2.436874341379585E-2</v>
      </c>
    </row>
    <row r="22" spans="1:25">
      <c r="A22" t="s">
        <v>97</v>
      </c>
      <c r="B22" t="s">
        <v>96</v>
      </c>
      <c r="C22" t="s">
        <v>169</v>
      </c>
      <c r="D22" t="s">
        <v>167</v>
      </c>
      <c r="E22" s="4">
        <v>8.4819610722370303E-3</v>
      </c>
      <c r="F22" s="4">
        <v>0.58686079335070496</v>
      </c>
      <c r="G22" s="4">
        <v>7.9654362842570503</v>
      </c>
      <c r="H22" s="4">
        <v>260.11886713785799</v>
      </c>
      <c r="I22" s="4">
        <v>3.59665992803921E-2</v>
      </c>
      <c r="J22" s="4">
        <v>719.99802261146397</v>
      </c>
      <c r="K22" s="4">
        <v>288.58974964173899</v>
      </c>
      <c r="L22" s="4">
        <v>164.940993212622</v>
      </c>
      <c r="M22" s="4">
        <v>37.322486353315298</v>
      </c>
      <c r="N22" s="4">
        <v>5.4446508239804503</v>
      </c>
      <c r="O22" s="4">
        <v>6.1303033303391E-2</v>
      </c>
      <c r="P22" s="4">
        <v>4.9348434970529897</v>
      </c>
      <c r="Q22" s="4">
        <v>3598.31894224493</v>
      </c>
      <c r="R22" s="4">
        <v>2.407704637957815E-5</v>
      </c>
      <c r="S22" s="4">
        <v>0.56005523437459304</v>
      </c>
      <c r="T22" s="4">
        <v>53.5536381074659</v>
      </c>
      <c r="U22" s="4">
        <v>3.3040284040403748E-6</v>
      </c>
      <c r="V22" s="4">
        <v>328.71411852170201</v>
      </c>
      <c r="W22" s="4">
        <v>5.5220230202583001E-2</v>
      </c>
      <c r="X22" s="4">
        <v>18.107424987684301</v>
      </c>
      <c r="Y22" s="4">
        <v>8.1674543040554E-3</v>
      </c>
    </row>
    <row r="23" spans="1:25">
      <c r="A23" t="s">
        <v>98</v>
      </c>
      <c r="B23" t="s">
        <v>96</v>
      </c>
      <c r="C23" t="s">
        <v>169</v>
      </c>
      <c r="D23" t="s">
        <v>167</v>
      </c>
      <c r="E23" s="4">
        <v>7.3531772174173504E-2</v>
      </c>
      <c r="F23" s="4">
        <v>0.50882862657805505</v>
      </c>
      <c r="G23" s="4">
        <v>7.3268748933060301</v>
      </c>
      <c r="H23" s="4">
        <v>257.98932549659497</v>
      </c>
      <c r="I23" s="4">
        <v>8.1842956210945006E-2</v>
      </c>
      <c r="J23" s="4">
        <v>1571.4705835075399</v>
      </c>
      <c r="K23" s="4">
        <v>60.941178551855003</v>
      </c>
      <c r="L23" s="4">
        <v>342.97363575696897</v>
      </c>
      <c r="M23" s="4">
        <v>251.19224320137599</v>
      </c>
      <c r="N23" s="4">
        <v>6.2165989059005504</v>
      </c>
      <c r="O23" s="4">
        <v>1.8710760965673499E-2</v>
      </c>
      <c r="P23" s="4">
        <v>5.7925403600775196</v>
      </c>
      <c r="Q23" s="4">
        <v>3187.3215061488399</v>
      </c>
      <c r="R23" s="4">
        <v>5.6616690296941899E-2</v>
      </c>
      <c r="S23" s="4">
        <v>0.66115968411935999</v>
      </c>
      <c r="T23" s="4">
        <v>297.54828366088998</v>
      </c>
      <c r="U23" s="4">
        <v>5.8233122562635503E-6</v>
      </c>
      <c r="V23" s="4">
        <v>342.367349042939</v>
      </c>
      <c r="W23" s="4">
        <v>4.7059106133400953E-2</v>
      </c>
      <c r="X23" s="4">
        <v>71.970684149604594</v>
      </c>
      <c r="Y23" s="4">
        <v>1.119812482743345E-2</v>
      </c>
    </row>
    <row r="24" spans="1:25">
      <c r="A24" t="s">
        <v>99</v>
      </c>
      <c r="B24" t="s">
        <v>96</v>
      </c>
      <c r="C24" t="s">
        <v>169</v>
      </c>
      <c r="D24" t="s">
        <v>167</v>
      </c>
      <c r="E24" s="4">
        <v>7.0008451477284003E-2</v>
      </c>
      <c r="F24" s="4">
        <v>0.48470157786488249</v>
      </c>
      <c r="G24" s="4">
        <v>6.5512495399181496</v>
      </c>
      <c r="H24" s="4">
        <v>251.48230063390599</v>
      </c>
      <c r="I24" s="4">
        <v>7.81745993943605E-2</v>
      </c>
      <c r="J24" s="4">
        <v>1836.3236365993</v>
      </c>
      <c r="K24" s="4">
        <v>418.80104216596601</v>
      </c>
      <c r="L24" s="4">
        <v>496.54257787824201</v>
      </c>
      <c r="M24" s="4">
        <v>142.57764896265601</v>
      </c>
      <c r="N24" s="4">
        <v>5.9161711597786004</v>
      </c>
      <c r="O24" s="4">
        <v>0.38941206622936803</v>
      </c>
      <c r="P24" s="4">
        <v>4.9575987338255496</v>
      </c>
      <c r="Q24" s="4">
        <v>2751.1322681219299</v>
      </c>
      <c r="R24" s="4">
        <v>2.3869650302501998E-2</v>
      </c>
      <c r="S24" s="4">
        <v>0.62913030071200504</v>
      </c>
      <c r="T24" s="4">
        <v>174.142416265977</v>
      </c>
      <c r="U24" s="4">
        <v>5.5386725623354998E-6</v>
      </c>
      <c r="V24" s="4">
        <v>287.47197476676399</v>
      </c>
      <c r="W24" s="4">
        <v>4.4810667939930049E-2</v>
      </c>
      <c r="X24" s="4">
        <v>50.244327102799502</v>
      </c>
      <c r="Y24" s="4">
        <v>1.0666242386350199E-2</v>
      </c>
    </row>
    <row r="25" spans="1:25">
      <c r="A25" t="s">
        <v>100</v>
      </c>
      <c r="B25" t="s">
        <v>96</v>
      </c>
      <c r="C25" t="s">
        <v>169</v>
      </c>
      <c r="D25" t="s">
        <v>167</v>
      </c>
      <c r="E25" s="4">
        <v>3.2413569171858898E-2</v>
      </c>
      <c r="F25" s="4">
        <v>0.67458120349606998</v>
      </c>
      <c r="G25" s="4">
        <v>7.5231725828081704</v>
      </c>
      <c r="H25" s="4">
        <v>329.83583422274398</v>
      </c>
      <c r="I25" s="4">
        <v>5.2368728716889003E-2</v>
      </c>
      <c r="J25" s="4">
        <v>1685.55142502641</v>
      </c>
      <c r="K25" s="4">
        <v>297.66698279995097</v>
      </c>
      <c r="L25" s="4">
        <v>448.976220455874</v>
      </c>
      <c r="M25" s="4">
        <v>139.89540885595801</v>
      </c>
      <c r="N25" s="4">
        <v>6.0723675739023504</v>
      </c>
      <c r="O25" s="4">
        <v>0.23368462889511801</v>
      </c>
      <c r="P25" s="4">
        <v>8.5400414912949092</v>
      </c>
      <c r="Q25" s="4">
        <v>3339.13558560513</v>
      </c>
      <c r="R25" s="4">
        <v>1.8264140106624551E-2</v>
      </c>
      <c r="S25" s="4">
        <v>0.68257615731614996</v>
      </c>
      <c r="T25" s="4">
        <v>185.930269214318</v>
      </c>
      <c r="U25" s="4">
        <v>0.4643682186725745</v>
      </c>
      <c r="V25" s="4">
        <v>300.38940322839898</v>
      </c>
      <c r="W25" s="4">
        <v>3.6909422317709849E-2</v>
      </c>
      <c r="X25" s="4">
        <v>65.930398818621697</v>
      </c>
      <c r="Y25" s="4">
        <v>3.12436355986935E-2</v>
      </c>
    </row>
    <row r="26" spans="1:25">
      <c r="A26" t="s">
        <v>101</v>
      </c>
      <c r="B26" t="s">
        <v>96</v>
      </c>
      <c r="C26" t="s">
        <v>169</v>
      </c>
      <c r="D26" t="s">
        <v>167</v>
      </c>
      <c r="E26" s="4">
        <v>4.0266021356561349E-2</v>
      </c>
      <c r="F26" s="4">
        <v>0.38409834225573253</v>
      </c>
      <c r="G26" s="4">
        <v>6.42761828426816</v>
      </c>
      <c r="H26" s="4">
        <v>153.15217206584899</v>
      </c>
      <c r="I26" s="4">
        <v>6.61439549757835E-2</v>
      </c>
      <c r="J26" s="4">
        <v>866.56991265481497</v>
      </c>
      <c r="K26" s="4">
        <v>72.255956880941795</v>
      </c>
      <c r="L26" s="4">
        <v>335.994366133992</v>
      </c>
      <c r="M26" s="4">
        <v>21.962062557891301</v>
      </c>
      <c r="N26" s="4">
        <v>8.9890927179498501</v>
      </c>
      <c r="O26" s="4">
        <v>9.1704748010823497E-2</v>
      </c>
      <c r="P26" s="4">
        <v>2.0224716524533202</v>
      </c>
      <c r="Q26" s="4">
        <v>2380.7904709213799</v>
      </c>
      <c r="R26" s="4">
        <v>9.4639179231144101E-3</v>
      </c>
      <c r="S26" s="4">
        <v>0.387673707326538</v>
      </c>
      <c r="T26" s="4">
        <v>26.312852328212902</v>
      </c>
      <c r="U26" s="4">
        <v>4.7105585466954653E-6</v>
      </c>
      <c r="V26" s="4">
        <v>282.37717989686701</v>
      </c>
      <c r="W26" s="4">
        <v>1.6352771666576001E-2</v>
      </c>
      <c r="X26" s="4">
        <v>5.6865040531553204</v>
      </c>
      <c r="Y26" s="4">
        <v>6.5097867675408998E-3</v>
      </c>
    </row>
    <row r="27" spans="1:25">
      <c r="A27" t="s">
        <v>102</v>
      </c>
      <c r="B27" t="s">
        <v>96</v>
      </c>
      <c r="C27" t="s">
        <v>169</v>
      </c>
      <c r="D27" t="s">
        <v>167</v>
      </c>
      <c r="E27" s="4">
        <v>4.9403649323280202E-2</v>
      </c>
      <c r="F27" s="4">
        <v>0.47861869680476749</v>
      </c>
      <c r="G27" s="4">
        <v>6.4054031230202098</v>
      </c>
      <c r="H27" s="4">
        <v>249.51392491081899</v>
      </c>
      <c r="I27" s="4">
        <v>9.6160546280949999E-2</v>
      </c>
      <c r="J27" s="4">
        <v>2022.97457756736</v>
      </c>
      <c r="K27" s="4">
        <v>210.033414596206</v>
      </c>
      <c r="L27" s="4">
        <v>562.17523527582102</v>
      </c>
      <c r="M27" s="4">
        <v>197.95141285769199</v>
      </c>
      <c r="N27" s="4">
        <v>7.0185683358987996</v>
      </c>
      <c r="O27" s="4">
        <v>0.30145201878254801</v>
      </c>
      <c r="P27" s="4">
        <v>5.03158223796071</v>
      </c>
      <c r="Q27" s="4">
        <v>2791.6832061611999</v>
      </c>
      <c r="R27" s="4">
        <v>2.4075940323729152E-2</v>
      </c>
      <c r="S27" s="4">
        <v>0.66409656700892405</v>
      </c>
      <c r="T27" s="4">
        <v>227.93186085684999</v>
      </c>
      <c r="U27" s="4">
        <v>6.5121064014595498E-6</v>
      </c>
      <c r="V27" s="4">
        <v>262.87955118377101</v>
      </c>
      <c r="W27" s="4">
        <v>2.97041520176861E-2</v>
      </c>
      <c r="X27" s="4">
        <v>61.407550747343898</v>
      </c>
      <c r="Y27" s="4">
        <v>1.127756831395685E-2</v>
      </c>
    </row>
    <row r="28" spans="1:25">
      <c r="A28" t="s">
        <v>103</v>
      </c>
      <c r="B28" t="s">
        <v>96</v>
      </c>
      <c r="C28" t="s">
        <v>169</v>
      </c>
      <c r="D28" t="s">
        <v>167</v>
      </c>
      <c r="E28" s="4">
        <v>3.4282708998801953E-2</v>
      </c>
      <c r="F28" s="4">
        <v>0.4558573272967435</v>
      </c>
      <c r="G28" s="4">
        <v>6.38207661101886</v>
      </c>
      <c r="H28" s="4">
        <v>278.39857960701698</v>
      </c>
      <c r="I28" s="4">
        <v>7.6672565550733998E-2</v>
      </c>
      <c r="J28" s="4">
        <v>2335.0032952527799</v>
      </c>
      <c r="K28" s="4">
        <v>339.41166914938702</v>
      </c>
      <c r="L28" s="4">
        <v>689.38480482592297</v>
      </c>
      <c r="M28" s="4">
        <v>196.53322323827999</v>
      </c>
      <c r="N28" s="4">
        <v>10.59622471488305</v>
      </c>
      <c r="O28" s="4">
        <v>0.123743412510339</v>
      </c>
      <c r="P28" s="4">
        <v>5.1533085062714399</v>
      </c>
      <c r="Q28" s="4">
        <v>2837.6402527075902</v>
      </c>
      <c r="R28" s="4">
        <v>3.4607398069888499E-3</v>
      </c>
      <c r="S28" s="4">
        <v>0.53990257836611</v>
      </c>
      <c r="T28" s="4">
        <v>218.260757934906</v>
      </c>
      <c r="U28" s="4">
        <v>4.9528959142944996E-6</v>
      </c>
      <c r="V28" s="4">
        <v>272.39343904177798</v>
      </c>
      <c r="W28" s="4">
        <v>6.6467140831665994E-2</v>
      </c>
      <c r="X28" s="4">
        <v>56.705888566211598</v>
      </c>
      <c r="Y28" s="4">
        <v>3.8595318203593903E-4</v>
      </c>
    </row>
    <row r="29" spans="1:25">
      <c r="A29" t="s">
        <v>104</v>
      </c>
      <c r="B29" t="s">
        <v>96</v>
      </c>
      <c r="C29" t="s">
        <v>169</v>
      </c>
      <c r="D29" t="s">
        <v>167</v>
      </c>
      <c r="E29" s="4">
        <v>3.7702778960231151E-2</v>
      </c>
      <c r="F29" s="4">
        <v>0.50131064927966495</v>
      </c>
      <c r="G29" s="4">
        <v>7.8123960449226404</v>
      </c>
      <c r="H29" s="4">
        <v>276.77601171810301</v>
      </c>
      <c r="I29" s="4">
        <v>8.4534241580611499E-2</v>
      </c>
      <c r="J29" s="4">
        <v>340.38778232887</v>
      </c>
      <c r="K29" s="4">
        <v>34.452861565993103</v>
      </c>
      <c r="L29" s="4">
        <v>116.613615835256</v>
      </c>
      <c r="M29" s="4">
        <v>6.6055789611791997</v>
      </c>
      <c r="N29" s="4">
        <v>11.653241496129651</v>
      </c>
      <c r="O29" s="4">
        <v>0.40837440582186701</v>
      </c>
      <c r="P29" s="4">
        <v>0.366938147581508</v>
      </c>
      <c r="Q29" s="4">
        <v>3581.1834499104302</v>
      </c>
      <c r="R29" s="4">
        <v>1.3941483131178101E-5</v>
      </c>
      <c r="S29" s="4">
        <v>0.59342532770818002</v>
      </c>
      <c r="T29" s="4">
        <v>6.4950143395309903</v>
      </c>
      <c r="U29" s="4">
        <v>5.4495177489325999E-6</v>
      </c>
      <c r="V29" s="4">
        <v>141.74180056002399</v>
      </c>
      <c r="W29" s="4">
        <v>7.3155964920493505E-2</v>
      </c>
      <c r="X29" s="4">
        <v>2.1031661737599299</v>
      </c>
      <c r="Y29" s="4">
        <v>1.6118295290830701E-2</v>
      </c>
    </row>
    <row r="30" spans="1:25">
      <c r="A30" t="s">
        <v>105</v>
      </c>
      <c r="B30" t="s">
        <v>96</v>
      </c>
      <c r="C30" t="s">
        <v>169</v>
      </c>
      <c r="D30" t="s">
        <v>167</v>
      </c>
      <c r="E30" s="4">
        <v>3.7350349035047997E-2</v>
      </c>
      <c r="F30" s="4">
        <v>0.49659418791320448</v>
      </c>
      <c r="G30" s="4">
        <v>5.76887666584404</v>
      </c>
      <c r="H30" s="4">
        <v>393.624560515474</v>
      </c>
      <c r="I30" s="4">
        <v>8.3949069890970507E-2</v>
      </c>
      <c r="J30" s="4">
        <v>400.96554468742698</v>
      </c>
      <c r="K30" s="4">
        <v>46.933353255552099</v>
      </c>
      <c r="L30" s="4">
        <v>130.22246595666499</v>
      </c>
      <c r="M30" s="4">
        <v>9.5694842120654808</v>
      </c>
      <c r="N30" s="4">
        <v>11.544519412342099</v>
      </c>
      <c r="O30" s="4">
        <v>8.5140935532709197E-2</v>
      </c>
      <c r="P30" s="4">
        <v>0.36552349187543098</v>
      </c>
      <c r="Q30" s="4">
        <v>2693.0636063120401</v>
      </c>
      <c r="R30" s="4">
        <v>7.3312208257967403E-3</v>
      </c>
      <c r="S30" s="4">
        <v>0.58754137645521998</v>
      </c>
      <c r="T30" s="4">
        <v>9.4834945357068694</v>
      </c>
      <c r="U30" s="4">
        <v>5.39953861865215E-6</v>
      </c>
      <c r="V30" s="4">
        <v>110.26907854567401</v>
      </c>
      <c r="W30" s="4">
        <v>7.2503825557686002E-2</v>
      </c>
      <c r="X30" s="4">
        <v>4.0821924360391604</v>
      </c>
      <c r="Y30" s="4">
        <v>2.4078650788877401E-2</v>
      </c>
    </row>
    <row r="31" spans="1:25">
      <c r="A31" t="s">
        <v>106</v>
      </c>
      <c r="B31" t="s">
        <v>96</v>
      </c>
      <c r="C31" t="s">
        <v>169</v>
      </c>
      <c r="D31" t="s">
        <v>167</v>
      </c>
      <c r="E31" s="4">
        <v>2.23369516005524E-2</v>
      </c>
      <c r="F31" s="4">
        <v>0.30579287103174502</v>
      </c>
      <c r="G31" s="4">
        <v>6.0134920130901603</v>
      </c>
      <c r="H31" s="4">
        <v>246.85525091332099</v>
      </c>
      <c r="I31" s="4">
        <v>3.502609424545465E-2</v>
      </c>
      <c r="J31" s="4">
        <v>835.28185347822898</v>
      </c>
      <c r="K31" s="4">
        <v>65.346857614699701</v>
      </c>
      <c r="L31" s="4">
        <v>327.26095285285902</v>
      </c>
      <c r="M31" s="4">
        <v>16.296495450884201</v>
      </c>
      <c r="N31" s="4">
        <v>8.5785908231400008</v>
      </c>
      <c r="O31" s="4">
        <v>0.10177896596149701</v>
      </c>
      <c r="P31" s="4">
        <v>0.88312746687166499</v>
      </c>
      <c r="Q31" s="4">
        <v>2530.6937053141401</v>
      </c>
      <c r="R31" s="4">
        <v>2.5291548146766749E-2</v>
      </c>
      <c r="S31" s="4">
        <v>0.3695380607839705</v>
      </c>
      <c r="T31" s="4">
        <v>18.288437649566099</v>
      </c>
      <c r="U31" s="4">
        <v>5.2315277533913504E-6</v>
      </c>
      <c r="V31" s="4">
        <v>106.404063150696</v>
      </c>
      <c r="W31" s="4">
        <v>3.90860705391778E-2</v>
      </c>
      <c r="X31" s="4">
        <v>5.8842401101922199</v>
      </c>
      <c r="Y31" s="4">
        <v>2.3706921599010701E-2</v>
      </c>
    </row>
    <row r="32" spans="1:25">
      <c r="A32" t="s">
        <v>107</v>
      </c>
      <c r="B32" t="s">
        <v>96</v>
      </c>
      <c r="C32" t="s">
        <v>169</v>
      </c>
      <c r="D32" t="s">
        <v>167</v>
      </c>
      <c r="E32" s="4">
        <v>3.2199839335298103E-2</v>
      </c>
      <c r="F32" s="4">
        <v>0.44198715758771451</v>
      </c>
      <c r="G32" s="4">
        <v>4.3549128155364203</v>
      </c>
      <c r="H32" s="4">
        <v>759.90933618237398</v>
      </c>
      <c r="I32" s="4">
        <v>0.101589943693751</v>
      </c>
      <c r="J32" s="4">
        <v>2307.1642447658901</v>
      </c>
      <c r="K32" s="4">
        <v>930.810290105734</v>
      </c>
      <c r="L32" s="4">
        <v>564.35937109647102</v>
      </c>
      <c r="M32" s="4">
        <v>113.41682341548901</v>
      </c>
      <c r="N32" s="4">
        <v>6.7487135875782496</v>
      </c>
      <c r="O32" s="4">
        <v>0.73174789397123496</v>
      </c>
      <c r="P32" s="4">
        <v>2.7935109292940501</v>
      </c>
      <c r="Q32" s="4">
        <v>2743.73141039541</v>
      </c>
      <c r="R32" s="4">
        <v>4.3894413059851103E-2</v>
      </c>
      <c r="S32" s="4">
        <v>0.83005352758872797</v>
      </c>
      <c r="T32" s="4">
        <v>135.530170264915</v>
      </c>
      <c r="U32" s="4">
        <v>4.2136135467153248E-6</v>
      </c>
      <c r="V32" s="4">
        <v>96.520185686706796</v>
      </c>
      <c r="W32" s="4">
        <v>4.8547802775064049E-2</v>
      </c>
      <c r="X32" s="4">
        <v>45.6387231737543</v>
      </c>
      <c r="Y32" s="4">
        <v>1.0389653082038101E-2</v>
      </c>
    </row>
    <row r="33" spans="1:25">
      <c r="A33" t="s">
        <v>108</v>
      </c>
      <c r="B33" t="s">
        <v>96</v>
      </c>
      <c r="C33" t="s">
        <v>169</v>
      </c>
      <c r="D33" t="s">
        <v>167</v>
      </c>
      <c r="E33" s="4">
        <v>3.5462461141058797E-2</v>
      </c>
      <c r="F33" s="4">
        <v>0.48672559513962599</v>
      </c>
      <c r="G33" s="4">
        <v>5.3895719994775302</v>
      </c>
      <c r="H33" s="4">
        <v>489.703984876287</v>
      </c>
      <c r="I33" s="4">
        <v>0.1120873486121455</v>
      </c>
      <c r="J33" s="4">
        <v>1609.47639709486</v>
      </c>
      <c r="K33" s="4">
        <v>306.03712976581897</v>
      </c>
      <c r="L33" s="4">
        <v>551.06147588928695</v>
      </c>
      <c r="M33" s="4">
        <v>53.1931214359753</v>
      </c>
      <c r="N33" s="4">
        <v>7.4335957357920996</v>
      </c>
      <c r="O33" s="4">
        <v>0.29560557544919103</v>
      </c>
      <c r="P33" s="4">
        <v>3.9563728560308902</v>
      </c>
      <c r="Q33" s="4">
        <v>2509.6216235939301</v>
      </c>
      <c r="R33" s="4">
        <v>4.8345717072329999E-2</v>
      </c>
      <c r="S33" s="4">
        <v>0.3987094238701735</v>
      </c>
      <c r="T33" s="4">
        <v>66.372760362011107</v>
      </c>
      <c r="U33" s="4">
        <v>4.6447992728613299E-6</v>
      </c>
      <c r="V33" s="4">
        <v>456.42065449823798</v>
      </c>
      <c r="W33" s="4">
        <v>5.3505412263569002E-2</v>
      </c>
      <c r="X33" s="4">
        <v>27.357822894518399</v>
      </c>
      <c r="Y33" s="4">
        <v>1.144158707699385E-2</v>
      </c>
    </row>
    <row r="34" spans="1:25">
      <c r="A34" t="s">
        <v>109</v>
      </c>
      <c r="B34" t="s">
        <v>96</v>
      </c>
      <c r="C34" t="s">
        <v>169</v>
      </c>
      <c r="D34" t="s">
        <v>167</v>
      </c>
      <c r="E34" s="4">
        <v>5.5685804485960499E-2</v>
      </c>
      <c r="F34" s="4">
        <v>0.50033324065457496</v>
      </c>
      <c r="G34" s="4">
        <v>5.4890618117442997</v>
      </c>
      <c r="H34" s="4">
        <v>879.94460389240601</v>
      </c>
      <c r="I34" s="4">
        <v>0.176486363156096</v>
      </c>
      <c r="J34" s="4">
        <v>1569.7720143199699</v>
      </c>
      <c r="K34" s="4">
        <v>863.01816498279004</v>
      </c>
      <c r="L34" s="4">
        <v>294.42174349995298</v>
      </c>
      <c r="M34" s="4">
        <v>63.034035054888598</v>
      </c>
      <c r="N34" s="4">
        <v>10.1630331472401</v>
      </c>
      <c r="O34" s="4">
        <v>0.47498353874271498</v>
      </c>
      <c r="P34" s="4">
        <v>2.5394853610774102</v>
      </c>
      <c r="Q34" s="4">
        <v>3232.7619831898201</v>
      </c>
      <c r="R34" s="4">
        <v>1.4991385766851949E-2</v>
      </c>
      <c r="S34" s="4">
        <v>0.49302034118101101</v>
      </c>
      <c r="T34" s="4">
        <v>79.238788640783596</v>
      </c>
      <c r="U34" s="4">
        <v>5.2504067373151004E-6</v>
      </c>
      <c r="V34" s="4">
        <v>111.01054725347799</v>
      </c>
      <c r="W34" s="4">
        <v>3.503357261383535E-2</v>
      </c>
      <c r="X34" s="4">
        <v>27.944311990733102</v>
      </c>
      <c r="Y34" s="4">
        <v>1.7985460633987399E-2</v>
      </c>
    </row>
    <row r="35" spans="1:25">
      <c r="A35" t="s">
        <v>110</v>
      </c>
      <c r="B35" t="s">
        <v>96</v>
      </c>
      <c r="C35" t="s">
        <v>169</v>
      </c>
      <c r="D35" t="s">
        <v>167</v>
      </c>
      <c r="E35" s="4">
        <v>8.2634838183699502E-2</v>
      </c>
      <c r="F35" s="4">
        <v>0.57015117066208498</v>
      </c>
      <c r="G35" s="4">
        <v>6.87226436409978</v>
      </c>
      <c r="H35" s="4">
        <v>163.45597283764599</v>
      </c>
      <c r="I35" s="4">
        <v>0.1585244255166165</v>
      </c>
      <c r="J35" s="4">
        <v>1293.5064837632999</v>
      </c>
      <c r="K35" s="4">
        <v>217.74439986685101</v>
      </c>
      <c r="L35" s="4">
        <v>469.32449171046898</v>
      </c>
      <c r="M35" s="4">
        <v>40.5046596613387</v>
      </c>
      <c r="N35" s="4">
        <v>6.5492168364048498</v>
      </c>
      <c r="O35" s="4">
        <v>0.18946579019432</v>
      </c>
      <c r="P35" s="4">
        <v>1.15752109735347</v>
      </c>
      <c r="Q35" s="4">
        <v>2303.7262119162801</v>
      </c>
      <c r="R35" s="4">
        <v>3.2076126291821251E-2</v>
      </c>
      <c r="S35" s="4">
        <v>0.55840311542265997</v>
      </c>
      <c r="T35" s="4">
        <v>38.826406881446999</v>
      </c>
      <c r="U35" s="4">
        <v>6.9449455920208002E-6</v>
      </c>
      <c r="V35" s="4">
        <v>171.132117612569</v>
      </c>
      <c r="W35" s="4">
        <v>2.9047266323989102E-2</v>
      </c>
      <c r="X35" s="4">
        <v>8.4795780871825599</v>
      </c>
      <c r="Y35" s="4">
        <v>3.4879356482228348E-2</v>
      </c>
    </row>
    <row r="36" spans="1:25">
      <c r="A36" t="s">
        <v>111</v>
      </c>
      <c r="B36" t="s">
        <v>96</v>
      </c>
      <c r="C36" t="s">
        <v>169</v>
      </c>
      <c r="D36" t="s">
        <v>167</v>
      </c>
      <c r="E36" s="4">
        <v>3.2487339701804202E-2</v>
      </c>
      <c r="F36" s="4">
        <v>0.68605734696080001</v>
      </c>
      <c r="G36" s="4">
        <v>5.5656794458314502</v>
      </c>
      <c r="H36" s="4">
        <v>617.74127642074404</v>
      </c>
      <c r="I36" s="4">
        <v>8.345709942816E-2</v>
      </c>
      <c r="J36" s="4">
        <v>752.63581621867502</v>
      </c>
      <c r="K36" s="4">
        <v>288.206196665628</v>
      </c>
      <c r="L36" s="4">
        <v>180.757077969432</v>
      </c>
      <c r="M36" s="4">
        <v>33.695039792882604</v>
      </c>
      <c r="N36" s="4">
        <v>6.4573317147568998</v>
      </c>
      <c r="O36" s="4">
        <v>6.7446987038147596E-2</v>
      </c>
      <c r="P36" s="4">
        <v>2.3764094674287799</v>
      </c>
      <c r="Q36" s="4">
        <v>2827.7286567225001</v>
      </c>
      <c r="R36" s="4">
        <v>2.9756796564887399E-2</v>
      </c>
      <c r="S36" s="4">
        <v>0.67057264555632501</v>
      </c>
      <c r="T36" s="4">
        <v>42.537871061674899</v>
      </c>
      <c r="U36" s="4">
        <v>7.5585993525206501E-6</v>
      </c>
      <c r="V36" s="4">
        <v>147.69779639324301</v>
      </c>
      <c r="W36" s="4">
        <v>2.6229561961330701E-2</v>
      </c>
      <c r="X36" s="4">
        <v>16.470023791784701</v>
      </c>
      <c r="Y36" s="4">
        <v>1.6946289944107448E-2</v>
      </c>
    </row>
    <row r="37" spans="1:25">
      <c r="A37" t="s">
        <v>112</v>
      </c>
      <c r="B37" t="s">
        <v>96</v>
      </c>
      <c r="C37" t="s">
        <v>169</v>
      </c>
      <c r="D37" t="s">
        <v>167</v>
      </c>
      <c r="E37" s="4">
        <v>3.4331086969727503E-2</v>
      </c>
      <c r="F37" s="4">
        <v>0.72494401452421497</v>
      </c>
      <c r="G37" s="4">
        <v>7.3340305343071703</v>
      </c>
      <c r="H37" s="4">
        <v>236.58018030483501</v>
      </c>
      <c r="I37" s="4">
        <v>8.8310209740810497E-2</v>
      </c>
      <c r="J37" s="4">
        <v>1104.2385694965301</v>
      </c>
      <c r="K37" s="4">
        <v>191.639768692818</v>
      </c>
      <c r="L37" s="4">
        <v>401.905730583241</v>
      </c>
      <c r="M37" s="4">
        <v>13.037836060523899</v>
      </c>
      <c r="N37" s="4">
        <v>6.8252414897544504</v>
      </c>
      <c r="O37" s="4">
        <v>0.35701891716606698</v>
      </c>
      <c r="P37" s="4">
        <v>1.0445811580933</v>
      </c>
      <c r="Q37" s="4">
        <v>2654.75817522546</v>
      </c>
      <c r="R37" s="4">
        <v>3.1446352505127097E-2</v>
      </c>
      <c r="S37" s="4">
        <v>0.70824988874603001</v>
      </c>
      <c r="T37" s="4">
        <v>10.628623926211</v>
      </c>
      <c r="U37" s="4">
        <v>7.9970258142826995E-6</v>
      </c>
      <c r="V37" s="4">
        <v>158.084139661698</v>
      </c>
      <c r="W37" s="4">
        <v>2.7737165857702001E-2</v>
      </c>
      <c r="X37" s="4">
        <v>2.2029736478182498</v>
      </c>
      <c r="Y37" s="4">
        <v>1.7905822582357449E-2</v>
      </c>
    </row>
    <row r="38" spans="1:25">
      <c r="A38" t="s">
        <v>113</v>
      </c>
      <c r="B38" t="s">
        <v>114</v>
      </c>
      <c r="C38" t="s">
        <v>170</v>
      </c>
      <c r="D38" t="s">
        <v>167</v>
      </c>
      <c r="E38" s="4">
        <v>1.9973975217177899E-2</v>
      </c>
      <c r="F38" s="4">
        <v>0.65442124604131502</v>
      </c>
      <c r="G38" s="4">
        <v>5.9604820367068703</v>
      </c>
      <c r="H38" s="4">
        <v>91.413185380904494</v>
      </c>
      <c r="I38" s="4">
        <v>8.8025316615426494E-2</v>
      </c>
      <c r="J38" s="4">
        <v>1874.62270380067</v>
      </c>
      <c r="K38" s="4">
        <v>1850.49721367692</v>
      </c>
      <c r="L38" s="4">
        <v>164.05761514748201</v>
      </c>
      <c r="M38" s="4">
        <v>1.108963291555185</v>
      </c>
      <c r="N38" s="4">
        <v>8.2696278488639496</v>
      </c>
      <c r="O38" s="4">
        <v>0.87096278193267895</v>
      </c>
      <c r="P38" s="4">
        <v>0.89584099584914101</v>
      </c>
      <c r="Q38" s="4">
        <v>2437.4122776086501</v>
      </c>
      <c r="R38" s="4">
        <v>3.5310964910020053E-2</v>
      </c>
      <c r="S38" s="4">
        <v>0.61435465867318495</v>
      </c>
      <c r="T38" s="4">
        <v>0.30181302538281801</v>
      </c>
      <c r="U38" s="4">
        <v>7.2606068040156499E-6</v>
      </c>
      <c r="V38" s="4">
        <v>569.22228772275605</v>
      </c>
      <c r="W38" s="4">
        <v>2.0772342834282202E-2</v>
      </c>
      <c r="X38" s="4">
        <v>0.58889139194629203</v>
      </c>
      <c r="Y38" s="4">
        <v>1.7695897111182749E-2</v>
      </c>
    </row>
    <row r="39" spans="1:25">
      <c r="A39" t="s">
        <v>115</v>
      </c>
      <c r="B39" t="s">
        <v>114</v>
      </c>
      <c r="C39" t="s">
        <v>170</v>
      </c>
      <c r="D39" t="s">
        <v>167</v>
      </c>
      <c r="E39" s="4">
        <v>7.8781889113976294E-2</v>
      </c>
      <c r="F39" s="4">
        <v>0.68043261630427998</v>
      </c>
      <c r="G39" s="4">
        <v>5.9563060763416598</v>
      </c>
      <c r="H39" s="4">
        <v>120.908964331696</v>
      </c>
      <c r="I39" s="4">
        <v>9.1571777197685E-2</v>
      </c>
      <c r="J39" s="4">
        <v>1861.86152655449</v>
      </c>
      <c r="K39" s="4">
        <v>1347.8251268951699</v>
      </c>
      <c r="L39" s="4">
        <v>407.131411952409</v>
      </c>
      <c r="M39" s="4">
        <v>5.2309989646071697</v>
      </c>
      <c r="N39" s="4">
        <v>8.6020221677386495</v>
      </c>
      <c r="O39" s="4">
        <v>0.197770880886221</v>
      </c>
      <c r="P39" s="4">
        <v>0.74941270295892504</v>
      </c>
      <c r="Q39" s="4">
        <v>2598.3662973338801</v>
      </c>
      <c r="R39" s="4">
        <v>3.6707734012398803E-2</v>
      </c>
      <c r="S39" s="4">
        <v>0.63835200501588496</v>
      </c>
      <c r="T39" s="4">
        <v>8.9566734326889392</v>
      </c>
      <c r="U39" s="4">
        <v>7.5672482055076501E-6</v>
      </c>
      <c r="V39" s="4">
        <v>371.732661917933</v>
      </c>
      <c r="W39" s="4">
        <v>2.16140409699076E-2</v>
      </c>
      <c r="X39" s="4">
        <v>3.0058660062109199</v>
      </c>
      <c r="Y39" s="4">
        <v>1.8392009575779449E-2</v>
      </c>
    </row>
    <row r="40" spans="1:25">
      <c r="A40" t="s">
        <v>116</v>
      </c>
      <c r="B40" t="s">
        <v>114</v>
      </c>
      <c r="C40" t="s">
        <v>170</v>
      </c>
      <c r="D40" t="s">
        <v>167</v>
      </c>
      <c r="E40" s="4">
        <v>4.93598166852319E-2</v>
      </c>
      <c r="F40" s="4">
        <v>0.46742322342650949</v>
      </c>
      <c r="G40" s="4">
        <v>5.1678228644803497</v>
      </c>
      <c r="H40" s="4">
        <v>107.191176589131</v>
      </c>
      <c r="I40" s="4">
        <v>0.157279994415647</v>
      </c>
      <c r="J40" s="4">
        <v>1529.1938970957999</v>
      </c>
      <c r="K40" s="4">
        <v>1170.0518578477299</v>
      </c>
      <c r="L40" s="4">
        <v>310.06718331767502</v>
      </c>
      <c r="M40" s="4">
        <v>16.183499611082102</v>
      </c>
      <c r="N40" s="4">
        <v>8.2556495737401008</v>
      </c>
      <c r="O40" s="4">
        <v>0.52467183599672595</v>
      </c>
      <c r="P40" s="4">
        <v>1.61890047637243</v>
      </c>
      <c r="Q40" s="4">
        <v>2623.4945957633799</v>
      </c>
      <c r="R40" s="4">
        <v>4.9879677859958699E-2</v>
      </c>
      <c r="S40" s="4">
        <v>0.41496364403138247</v>
      </c>
      <c r="T40" s="4">
        <v>21.5656926407536</v>
      </c>
      <c r="U40" s="4">
        <v>0.71828911233530501</v>
      </c>
      <c r="V40" s="4">
        <v>428.99612235839902</v>
      </c>
      <c r="W40" s="4">
        <v>3.1592032453402551E-2</v>
      </c>
      <c r="X40" s="4">
        <v>7.3970345786280998</v>
      </c>
      <c r="Y40" s="4">
        <v>1.63336386737956E-2</v>
      </c>
    </row>
    <row r="41" spans="1:25">
      <c r="A41" t="s">
        <v>117</v>
      </c>
      <c r="B41" t="s">
        <v>114</v>
      </c>
      <c r="C41" t="s">
        <v>170</v>
      </c>
      <c r="D41" t="s">
        <v>167</v>
      </c>
      <c r="E41" s="4">
        <v>4.9466388958071948E-2</v>
      </c>
      <c r="F41" s="4">
        <v>10.8502750189847</v>
      </c>
      <c r="G41" s="4">
        <v>5.3455930007291297</v>
      </c>
      <c r="H41" s="4">
        <v>159.86468516539301</v>
      </c>
      <c r="I41" s="4">
        <v>0.15765822209462649</v>
      </c>
      <c r="J41" s="4">
        <v>1640.2112239545199</v>
      </c>
      <c r="K41" s="4">
        <v>1096.31590061098</v>
      </c>
      <c r="L41" s="4">
        <v>374.399834371937</v>
      </c>
      <c r="M41" s="4">
        <v>36.830982683592801</v>
      </c>
      <c r="N41" s="4">
        <v>8.2771818926940508</v>
      </c>
      <c r="O41" s="4">
        <v>0.43690917813640801</v>
      </c>
      <c r="P41" s="4">
        <v>2.3990159900810899</v>
      </c>
      <c r="Q41" s="4">
        <v>2560.6378836481299</v>
      </c>
      <c r="R41" s="4">
        <v>4.9980099237336449E-2</v>
      </c>
      <c r="S41" s="4">
        <v>0.41568372853042901</v>
      </c>
      <c r="T41" s="4">
        <v>45.588421299098002</v>
      </c>
      <c r="U41" s="4">
        <v>0.72140632785705505</v>
      </c>
      <c r="V41" s="4">
        <v>384.02508054702298</v>
      </c>
      <c r="W41" s="4">
        <v>6.3593995004911294E-2</v>
      </c>
      <c r="X41" s="4">
        <v>13.885526525498801</v>
      </c>
      <c r="Y41" s="4">
        <v>1.6363590660276602E-2</v>
      </c>
    </row>
    <row r="42" spans="1:25">
      <c r="A42" t="s">
        <v>118</v>
      </c>
      <c r="B42" t="s">
        <v>114</v>
      </c>
      <c r="C42" t="s">
        <v>170</v>
      </c>
      <c r="D42" t="s">
        <v>167</v>
      </c>
      <c r="E42" s="4">
        <v>5.2944431265894501E-2</v>
      </c>
      <c r="F42" s="4">
        <v>0.54519070208374998</v>
      </c>
      <c r="G42" s="4">
        <v>5.41672365744577</v>
      </c>
      <c r="H42" s="4">
        <v>91.604734631737102</v>
      </c>
      <c r="I42" s="4">
        <v>7.9739034409527496E-2</v>
      </c>
      <c r="J42" s="4">
        <v>1696.5853771146001</v>
      </c>
      <c r="K42" s="4">
        <v>1243.35998306128</v>
      </c>
      <c r="L42" s="4">
        <v>333.31981668011503</v>
      </c>
      <c r="M42" s="4">
        <v>24.825465617927499</v>
      </c>
      <c r="N42" s="4">
        <v>8.0586413030595008</v>
      </c>
      <c r="O42" s="4">
        <v>0.486749885205782</v>
      </c>
      <c r="P42" s="4">
        <v>1.3546327695117599</v>
      </c>
      <c r="Q42" s="4">
        <v>2567.0912963976202</v>
      </c>
      <c r="R42" s="4">
        <v>3.1425190663411047E-2</v>
      </c>
      <c r="S42" s="4">
        <v>0.78046203942964998</v>
      </c>
      <c r="T42" s="4">
        <v>35.631144577384603</v>
      </c>
      <c r="U42" s="4">
        <v>6.97334081177535E-6</v>
      </c>
      <c r="V42" s="4">
        <v>377.78932892201499</v>
      </c>
      <c r="W42" s="4">
        <v>5.8695182519314999E-2</v>
      </c>
      <c r="X42" s="4">
        <v>8.4629736359742598</v>
      </c>
      <c r="Y42" s="4">
        <v>1.22164833919584E-2</v>
      </c>
    </row>
    <row r="43" spans="1:25">
      <c r="A43" t="s">
        <v>119</v>
      </c>
      <c r="B43" t="s">
        <v>114</v>
      </c>
      <c r="C43" t="s">
        <v>170</v>
      </c>
      <c r="D43" t="s">
        <v>167</v>
      </c>
      <c r="E43" s="4">
        <v>5.0641046434811501E-2</v>
      </c>
      <c r="F43" s="4">
        <v>0.52152308329328501</v>
      </c>
      <c r="G43" s="4">
        <v>7.6082470628583003</v>
      </c>
      <c r="H43" s="4">
        <v>214.07315864532899</v>
      </c>
      <c r="I43" s="4">
        <v>7.62725532708355E-2</v>
      </c>
      <c r="J43" s="4">
        <v>466.31139023664298</v>
      </c>
      <c r="K43" s="4">
        <v>425.245086305435</v>
      </c>
      <c r="L43" s="4">
        <v>45.4076780153489</v>
      </c>
      <c r="M43" s="4">
        <v>5.2529361770262701</v>
      </c>
      <c r="N43" s="4">
        <v>7.7115798266636002</v>
      </c>
      <c r="O43" s="4">
        <v>0.107493861127092</v>
      </c>
      <c r="P43" s="4">
        <v>8.7062188027045408</v>
      </c>
      <c r="Q43" s="4">
        <v>3089.83460257344</v>
      </c>
      <c r="R43" s="4">
        <v>0.101117302139038</v>
      </c>
      <c r="S43" s="4">
        <v>1.7880460377615699</v>
      </c>
      <c r="T43" s="4">
        <v>7.2823545319181804</v>
      </c>
      <c r="U43" s="4">
        <v>6.6842501608321999E-6</v>
      </c>
      <c r="V43" s="4">
        <v>421.406126978918</v>
      </c>
      <c r="W43" s="4">
        <v>2.4024255761721298E-2</v>
      </c>
      <c r="X43" s="4">
        <v>10.9306867005364</v>
      </c>
      <c r="Y43" s="4">
        <v>1.1680964549024E-2</v>
      </c>
    </row>
    <row r="44" spans="1:25">
      <c r="A44" t="s">
        <v>120</v>
      </c>
      <c r="B44" t="s">
        <v>114</v>
      </c>
      <c r="C44" t="s">
        <v>170</v>
      </c>
      <c r="D44" t="s">
        <v>167</v>
      </c>
      <c r="E44" s="4">
        <v>5.2968646025492797E-3</v>
      </c>
      <c r="F44" s="4">
        <v>0.65578639806398498</v>
      </c>
      <c r="G44" s="4">
        <v>7.2821962367198303</v>
      </c>
      <c r="H44" s="4">
        <v>85.748943844248899</v>
      </c>
      <c r="I44" s="4">
        <v>0.39389339012915803</v>
      </c>
      <c r="J44" s="4">
        <v>1510.6361572020801</v>
      </c>
      <c r="K44" s="4">
        <v>1776.73545886842</v>
      </c>
      <c r="L44" s="4">
        <v>118.02689744172</v>
      </c>
      <c r="M44" s="4">
        <v>1.82600401542155</v>
      </c>
      <c r="N44" s="4">
        <v>15.49871204211045</v>
      </c>
      <c r="O44" s="4">
        <v>0.40054566419805498</v>
      </c>
      <c r="P44" s="4">
        <v>1.00554596719442</v>
      </c>
      <c r="Q44" s="4">
        <v>2995.6261629694</v>
      </c>
      <c r="R44" s="4">
        <v>0.25956083375817102</v>
      </c>
      <c r="S44" s="4">
        <v>0.39852330073695752</v>
      </c>
      <c r="T44" s="4">
        <v>0.76748739009046496</v>
      </c>
      <c r="U44" s="4">
        <v>4.53077627900696E-6</v>
      </c>
      <c r="V44" s="4">
        <v>306.87453985193201</v>
      </c>
      <c r="W44" s="4">
        <v>3.6913648236375649E-2</v>
      </c>
      <c r="X44" s="4">
        <v>1.2575595438647</v>
      </c>
      <c r="Y44" s="4">
        <v>3.6692805926236353E-2</v>
      </c>
    </row>
    <row r="45" spans="1:25">
      <c r="A45" t="s">
        <v>121</v>
      </c>
      <c r="B45" t="s">
        <v>114</v>
      </c>
      <c r="C45" t="s">
        <v>170</v>
      </c>
      <c r="D45" t="s">
        <v>167</v>
      </c>
      <c r="E45" s="4">
        <v>0.14151254498357549</v>
      </c>
      <c r="F45" s="4">
        <v>0.93084295240201498</v>
      </c>
      <c r="G45" s="4">
        <v>6.1053899679455297</v>
      </c>
      <c r="H45" s="4">
        <v>82.591105284516303</v>
      </c>
      <c r="I45" s="4">
        <v>0.12059043315121951</v>
      </c>
      <c r="J45" s="4">
        <v>2134.3462040177701</v>
      </c>
      <c r="K45" s="4">
        <v>1798.80591165275</v>
      </c>
      <c r="L45" s="4">
        <v>312.88832198627699</v>
      </c>
      <c r="M45" s="4">
        <v>8.7252106202398192</v>
      </c>
      <c r="N45" s="4">
        <v>11.917738532455299</v>
      </c>
      <c r="O45" s="4">
        <v>0.76209929255729902</v>
      </c>
      <c r="P45" s="4">
        <v>5.5531136541796</v>
      </c>
      <c r="Q45" s="4">
        <v>2489.3572382090601</v>
      </c>
      <c r="R45" s="4">
        <v>3.5059229938954453E-2</v>
      </c>
      <c r="S45" s="4">
        <v>0.75935140589795502</v>
      </c>
      <c r="T45" s="4">
        <v>15.143888295901</v>
      </c>
      <c r="U45" s="4">
        <v>6.9374261623277997E-6</v>
      </c>
      <c r="V45" s="4">
        <v>316.26160333816301</v>
      </c>
      <c r="W45" s="4">
        <v>4.3251317744791649E-2</v>
      </c>
      <c r="X45" s="4">
        <v>24.8192942373303</v>
      </c>
      <c r="Y45" s="4">
        <v>3.62460629848851E-2</v>
      </c>
    </row>
    <row r="46" spans="1:25">
      <c r="A46" t="s">
        <v>122</v>
      </c>
      <c r="B46" t="s">
        <v>114</v>
      </c>
      <c r="C46" t="s">
        <v>170</v>
      </c>
      <c r="D46" t="s">
        <v>167</v>
      </c>
      <c r="E46" s="4">
        <v>0.12752555808081201</v>
      </c>
      <c r="F46" s="4">
        <v>0.69439492770084998</v>
      </c>
      <c r="G46" s="4">
        <v>10.0817756070467</v>
      </c>
      <c r="H46" s="4">
        <v>46.727471595928101</v>
      </c>
      <c r="I46" s="4">
        <v>0.167030412751736</v>
      </c>
      <c r="J46" s="4">
        <v>2157.14912658904</v>
      </c>
      <c r="K46" s="4">
        <v>2045.80536127449</v>
      </c>
      <c r="L46" s="4">
        <v>250.91207906583301</v>
      </c>
      <c r="M46" s="4">
        <v>4.7765147275416497</v>
      </c>
      <c r="N46" s="4">
        <v>5.6731526703919499</v>
      </c>
      <c r="O46" s="4">
        <v>1.0129639024580499</v>
      </c>
      <c r="P46" s="4">
        <v>0.94103575877281698</v>
      </c>
      <c r="Q46" s="4">
        <v>2507.2836994109898</v>
      </c>
      <c r="R46" s="4">
        <v>2.6955702543921801E-2</v>
      </c>
      <c r="S46" s="4">
        <v>0.54277194989223498</v>
      </c>
      <c r="T46" s="4">
        <v>7.0231782361639601</v>
      </c>
      <c r="U46" s="4">
        <v>6.7526527124819001E-6</v>
      </c>
      <c r="V46" s="4">
        <v>496.72538574079698</v>
      </c>
      <c r="W46" s="4">
        <v>2.8814574692619999E-2</v>
      </c>
      <c r="X46" s="4">
        <v>1.55286984498786</v>
      </c>
      <c r="Y46" s="4">
        <v>2.4378761709465652E-2</v>
      </c>
    </row>
    <row r="47" spans="1:25">
      <c r="A47" t="s">
        <v>123</v>
      </c>
      <c r="B47" t="s">
        <v>114</v>
      </c>
      <c r="C47" t="s">
        <v>170</v>
      </c>
      <c r="D47" t="s">
        <v>167</v>
      </c>
      <c r="E47" s="4">
        <v>0.148355517375167</v>
      </c>
      <c r="F47" s="4">
        <v>0.56876222357935502</v>
      </c>
      <c r="G47" s="4">
        <v>9.4268067012140708</v>
      </c>
      <c r="H47" s="4">
        <v>55.253178929682598</v>
      </c>
      <c r="I47" s="4">
        <v>3.76126293459179E-2</v>
      </c>
      <c r="J47" s="4">
        <v>1963.87907812399</v>
      </c>
      <c r="K47" s="4">
        <v>2108.9061472639701</v>
      </c>
      <c r="L47" s="4">
        <v>167.74498597110201</v>
      </c>
      <c r="M47" s="4">
        <v>5.5829428216778902</v>
      </c>
      <c r="N47" s="4">
        <v>6.4931518601132003</v>
      </c>
      <c r="O47" s="4">
        <v>0.64514462292016805</v>
      </c>
      <c r="P47" s="4">
        <v>0.70970589436079901</v>
      </c>
      <c r="Q47" s="4">
        <v>2373.0264205745698</v>
      </c>
      <c r="R47" s="4">
        <v>9.1550529426581706E-2</v>
      </c>
      <c r="S47" s="4">
        <v>0.58850830464850001</v>
      </c>
      <c r="T47" s="4">
        <v>8.3715480076712492</v>
      </c>
      <c r="U47" s="4">
        <v>6.1915741074377004E-6</v>
      </c>
      <c r="V47" s="4">
        <v>437.83091726994502</v>
      </c>
      <c r="W47" s="4">
        <v>2.8011911168545799E-2</v>
      </c>
      <c r="X47" s="4">
        <v>2.2646769387322201</v>
      </c>
      <c r="Y47" s="4">
        <v>7.5909141770559999E-3</v>
      </c>
    </row>
    <row r="48" spans="1:25">
      <c r="A48" t="s">
        <v>124</v>
      </c>
      <c r="B48" t="s">
        <v>114</v>
      </c>
      <c r="C48" t="s">
        <v>170</v>
      </c>
      <c r="D48" t="s">
        <v>167</v>
      </c>
      <c r="E48" s="4">
        <v>5.3684583134858001E-2</v>
      </c>
      <c r="F48" s="4">
        <v>0.58350029538664006</v>
      </c>
      <c r="G48" s="4">
        <v>8.1848057877366092</v>
      </c>
      <c r="H48" s="4">
        <v>59.196597957940497</v>
      </c>
      <c r="I48" s="4">
        <v>3.8495600234476901E-2</v>
      </c>
      <c r="J48" s="4">
        <v>1999.77583030397</v>
      </c>
      <c r="K48" s="4">
        <v>1731.3884598673901</v>
      </c>
      <c r="L48" s="4">
        <v>295.038582579859</v>
      </c>
      <c r="M48" s="4">
        <v>10.9333968126725</v>
      </c>
      <c r="N48" s="4">
        <v>13.376625290420399</v>
      </c>
      <c r="O48" s="4">
        <v>0.44114007128861499</v>
      </c>
      <c r="P48" s="4">
        <v>0.85762438933604601</v>
      </c>
      <c r="Q48" s="4">
        <v>2439.98508288216</v>
      </c>
      <c r="R48" s="4">
        <v>0.29386019685595499</v>
      </c>
      <c r="S48" s="4">
        <v>0.60470213845451504</v>
      </c>
      <c r="T48" s="4">
        <v>14.1961083937687</v>
      </c>
      <c r="U48" s="4">
        <v>6.3714037224688499E-6</v>
      </c>
      <c r="V48" s="4">
        <v>439.08907880763599</v>
      </c>
      <c r="W48" s="4">
        <v>2.8742216167616151E-2</v>
      </c>
      <c r="X48" s="4">
        <v>2.8766906208525298</v>
      </c>
      <c r="Y48" s="4">
        <v>1.88254806563498E-2</v>
      </c>
    </row>
    <row r="49" spans="1:25">
      <c r="A49" t="s">
        <v>125</v>
      </c>
      <c r="B49" t="s">
        <v>114</v>
      </c>
      <c r="C49" t="s">
        <v>170</v>
      </c>
      <c r="D49" t="s">
        <v>167</v>
      </c>
      <c r="E49" s="4">
        <v>7.3239398983962506E-2</v>
      </c>
      <c r="F49" s="4">
        <v>0.83977325196074504</v>
      </c>
      <c r="G49" s="4">
        <v>11.0186516416498</v>
      </c>
      <c r="H49" s="4">
        <v>84.369541679870096</v>
      </c>
      <c r="I49" s="4">
        <v>0.13999072341341351</v>
      </c>
      <c r="J49" s="4">
        <v>1472.4636507339501</v>
      </c>
      <c r="K49" s="4">
        <v>1702.32820016959</v>
      </c>
      <c r="L49" s="4">
        <v>83.065509080199902</v>
      </c>
      <c r="M49" s="4">
        <v>0.84230848531902003</v>
      </c>
      <c r="N49" s="4">
        <v>7.4967163508057499</v>
      </c>
      <c r="O49" s="4">
        <v>0.55465494601047605</v>
      </c>
      <c r="P49" s="4">
        <v>0.53095164732837796</v>
      </c>
      <c r="Q49" s="4">
        <v>2972.4742888209398</v>
      </c>
      <c r="R49" s="4">
        <v>0.19484320538224301</v>
      </c>
      <c r="S49" s="4">
        <v>0.55526222974849504</v>
      </c>
      <c r="T49" s="4">
        <v>0.43299823879146798</v>
      </c>
      <c r="U49" s="4">
        <v>7.39969486415655E-6</v>
      </c>
      <c r="V49" s="4">
        <v>556.26297947151102</v>
      </c>
      <c r="W49" s="4">
        <v>3.067333992436035E-2</v>
      </c>
      <c r="X49" s="4">
        <v>0.83749472614472198</v>
      </c>
      <c r="Y49" s="4">
        <v>3.260700333069845E-2</v>
      </c>
    </row>
    <row r="50" spans="1:25">
      <c r="A50" t="s">
        <v>126</v>
      </c>
      <c r="B50" t="s">
        <v>114</v>
      </c>
      <c r="C50" t="s">
        <v>170</v>
      </c>
      <c r="D50" t="s">
        <v>167</v>
      </c>
      <c r="E50" s="4">
        <v>9.0372514418712996E-2</v>
      </c>
      <c r="F50" s="4">
        <v>0.50814043514904506</v>
      </c>
      <c r="G50" s="4">
        <v>12.680108841078001</v>
      </c>
      <c r="H50" s="4">
        <v>74.878569509328898</v>
      </c>
      <c r="I50" s="4">
        <v>0.185523160728611</v>
      </c>
      <c r="J50" s="4">
        <v>435.71083863651103</v>
      </c>
      <c r="K50" s="4">
        <v>467.84557903911502</v>
      </c>
      <c r="L50" s="4">
        <v>40.694863960375798</v>
      </c>
      <c r="M50" s="4">
        <v>1.3333346735392799</v>
      </c>
      <c r="N50" s="4">
        <v>5.7464247301137004</v>
      </c>
      <c r="O50" s="4">
        <v>0.40240837631339998</v>
      </c>
      <c r="P50" s="4">
        <v>0.341560278298919</v>
      </c>
      <c r="Q50" s="4">
        <v>3337.9483627047198</v>
      </c>
      <c r="R50" s="4">
        <v>3.8214920191651201E-2</v>
      </c>
      <c r="S50" s="4">
        <v>0.423785265537169</v>
      </c>
      <c r="T50" s="4">
        <v>0.45793262843953902</v>
      </c>
      <c r="U50" s="4">
        <v>7.7437029798682003E-6</v>
      </c>
      <c r="V50" s="4">
        <v>611.42774453597201</v>
      </c>
      <c r="W50" s="4">
        <v>3.5878272648074347E-2</v>
      </c>
      <c r="X50" s="4">
        <v>5.1442343869082396</v>
      </c>
      <c r="Y50" s="4">
        <v>1.0497595387897799E-2</v>
      </c>
    </row>
    <row r="51" spans="1:25">
      <c r="A51" t="s">
        <v>127</v>
      </c>
      <c r="B51" t="s">
        <v>114</v>
      </c>
      <c r="C51" t="s">
        <v>170</v>
      </c>
      <c r="D51" t="s">
        <v>167</v>
      </c>
      <c r="E51" s="4">
        <v>8.0287632139645806E-2</v>
      </c>
      <c r="F51" s="4">
        <v>0.83114291087342995</v>
      </c>
      <c r="G51" s="4">
        <v>11.8772773614009</v>
      </c>
      <c r="H51" s="4">
        <v>30.26283236906545</v>
      </c>
      <c r="I51" s="4">
        <v>8.0103317445772496E-2</v>
      </c>
      <c r="J51" s="4">
        <v>1199.88380867878</v>
      </c>
      <c r="K51" s="4">
        <v>498.191899228598</v>
      </c>
      <c r="L51" s="4">
        <v>363.77344093491701</v>
      </c>
      <c r="M51" s="4">
        <v>19.044026410627701</v>
      </c>
      <c r="N51" s="4">
        <v>12.2988520043018</v>
      </c>
      <c r="O51" s="4">
        <v>0.32439491358357098</v>
      </c>
      <c r="P51" s="4">
        <v>0.56531211636091006</v>
      </c>
      <c r="Q51" s="4">
        <v>2493.5747275101799</v>
      </c>
      <c r="R51" s="4">
        <v>4.885900856621235E-2</v>
      </c>
      <c r="S51" s="4">
        <v>0.40895148804897502</v>
      </c>
      <c r="T51" s="4">
        <v>19.477534695394102</v>
      </c>
      <c r="U51" s="4">
        <v>6.3913447885797504E-6</v>
      </c>
      <c r="V51" s="4">
        <v>498.85464843325798</v>
      </c>
      <c r="W51" s="4">
        <v>2.8495114509979699E-2</v>
      </c>
      <c r="X51" s="4">
        <v>3.3052928255455001</v>
      </c>
      <c r="Y51" s="4">
        <v>1.52858167770377E-2</v>
      </c>
    </row>
    <row r="52" spans="1:25">
      <c r="A52" t="s">
        <v>128</v>
      </c>
      <c r="B52" t="s">
        <v>114</v>
      </c>
      <c r="C52" t="s">
        <v>170</v>
      </c>
      <c r="D52" t="s">
        <v>167</v>
      </c>
      <c r="E52" s="4">
        <v>0.39728176870645299</v>
      </c>
      <c r="F52" s="4">
        <v>0.83485649842783005</v>
      </c>
      <c r="G52" s="4">
        <v>14.000178419893199</v>
      </c>
      <c r="H52" s="4">
        <v>7011.4762423314896</v>
      </c>
      <c r="I52" s="4">
        <v>3.0013880150613601</v>
      </c>
      <c r="J52" s="4">
        <v>1798.2234687963301</v>
      </c>
      <c r="K52" s="4">
        <v>1918.80947582</v>
      </c>
      <c r="L52" s="4">
        <v>92.179325964714295</v>
      </c>
      <c r="M52" s="4">
        <v>4.8803877142323104</v>
      </c>
      <c r="N52" s="4">
        <v>12.364867246226151</v>
      </c>
      <c r="O52" s="4">
        <v>0.30977085174908298</v>
      </c>
      <c r="P52" s="4">
        <v>0.87366455052971104</v>
      </c>
      <c r="Q52" s="4">
        <v>2380.4012954905002</v>
      </c>
      <c r="R52" s="4">
        <v>4.9000665669331103E-2</v>
      </c>
      <c r="S52" s="4">
        <v>0.41164359815483298</v>
      </c>
      <c r="T52" s="4">
        <v>3.31007495228774</v>
      </c>
      <c r="U52" s="4">
        <v>6.4414112612965504E-6</v>
      </c>
      <c r="V52" s="4">
        <v>595.09573763552601</v>
      </c>
      <c r="W52" s="4">
        <v>2.8627140586947999E-2</v>
      </c>
      <c r="X52" s="4">
        <v>3.9291582394165498</v>
      </c>
      <c r="Y52" s="4">
        <v>1.5323777918248901E-2</v>
      </c>
    </row>
    <row r="53" spans="1:25">
      <c r="A53" t="s">
        <v>129</v>
      </c>
      <c r="B53" t="s">
        <v>114</v>
      </c>
      <c r="C53" t="s">
        <v>170</v>
      </c>
      <c r="D53" t="s">
        <v>167</v>
      </c>
      <c r="E53" s="4">
        <v>0.33591555565380199</v>
      </c>
      <c r="F53" s="4">
        <v>0.49331997777457748</v>
      </c>
      <c r="G53" s="4">
        <v>14.629640478051799</v>
      </c>
      <c r="H53" s="4">
        <v>33.033516910999602</v>
      </c>
      <c r="I53" s="4">
        <v>9.8208593147653997E-2</v>
      </c>
      <c r="J53" s="4">
        <v>1704.8899855235099</v>
      </c>
      <c r="K53" s="4">
        <v>1846.2791689967901</v>
      </c>
      <c r="L53" s="4">
        <v>104.33790528751</v>
      </c>
      <c r="M53" s="4">
        <v>0.85941197304153005</v>
      </c>
      <c r="N53" s="4">
        <v>9.4799584808015993</v>
      </c>
      <c r="O53" s="4">
        <v>0.46778746140402799</v>
      </c>
      <c r="P53" s="4">
        <v>0.82537427300194499</v>
      </c>
      <c r="Q53" s="4">
        <v>2494.0499684727702</v>
      </c>
      <c r="R53" s="4">
        <v>2.59226335965635E-2</v>
      </c>
      <c r="S53" s="4">
        <v>0.61250317264345999</v>
      </c>
      <c r="T53" s="4">
        <v>1.8351293732555001</v>
      </c>
      <c r="U53" s="4">
        <v>8.3165542593864998E-6</v>
      </c>
      <c r="V53" s="4">
        <v>565.94979094168104</v>
      </c>
      <c r="W53" s="4">
        <v>2.48533160725956E-2</v>
      </c>
      <c r="X53" s="4">
        <v>0.64315436487152899</v>
      </c>
      <c r="Y53" s="4">
        <v>1.9900949520150899E-2</v>
      </c>
    </row>
    <row r="54" spans="1:25">
      <c r="A54" t="s">
        <v>130</v>
      </c>
      <c r="B54" t="s">
        <v>114</v>
      </c>
      <c r="C54" t="s">
        <v>170</v>
      </c>
      <c r="D54" t="s">
        <v>167</v>
      </c>
      <c r="E54" s="4">
        <v>0.51588721201463805</v>
      </c>
      <c r="F54" s="4">
        <v>0.62273493681823</v>
      </c>
      <c r="G54" s="4">
        <v>14.1679394297883</v>
      </c>
      <c r="H54" s="4">
        <v>13.7937838043028</v>
      </c>
      <c r="I54" s="4">
        <v>4.1213971863110453E-2</v>
      </c>
      <c r="J54" s="4">
        <v>1908.7856484608701</v>
      </c>
      <c r="K54" s="4">
        <v>2009.2527769589501</v>
      </c>
      <c r="L54" s="4">
        <v>97.634538957608697</v>
      </c>
      <c r="M54" s="4">
        <v>1.27040403208125</v>
      </c>
      <c r="N54" s="4">
        <v>10.0073171876783</v>
      </c>
      <c r="O54" s="4">
        <v>0.79191299701339701</v>
      </c>
      <c r="P54" s="4">
        <v>0.71531817339098303</v>
      </c>
      <c r="Q54" s="4">
        <v>2504.0893944495701</v>
      </c>
      <c r="R54" s="4">
        <v>3.6905348956604002E-2</v>
      </c>
      <c r="S54" s="4">
        <v>0.56799362548176502</v>
      </c>
      <c r="T54" s="4">
        <v>0.55813573916207604</v>
      </c>
      <c r="U54" s="4">
        <v>1.02087704242539E-5</v>
      </c>
      <c r="V54" s="4">
        <v>587.89636950643001</v>
      </c>
      <c r="W54" s="4">
        <v>3.6715342384966099E-2</v>
      </c>
      <c r="X54" s="4">
        <v>0.360793185642104</v>
      </c>
      <c r="Y54" s="4">
        <v>1.1281891494764549E-2</v>
      </c>
    </row>
    <row r="55" spans="1:25">
      <c r="A55" t="s">
        <v>131</v>
      </c>
      <c r="B55" t="s">
        <v>132</v>
      </c>
      <c r="C55" t="s">
        <v>171</v>
      </c>
      <c r="D55" t="s">
        <v>167</v>
      </c>
      <c r="E55" s="4">
        <v>0.30896478228597901</v>
      </c>
      <c r="F55" s="4">
        <v>0.612569836077</v>
      </c>
      <c r="G55" s="4">
        <v>21.142586586941</v>
      </c>
      <c r="H55" s="4">
        <v>20.9064632535035</v>
      </c>
      <c r="I55" s="4">
        <v>0.16688899397677401</v>
      </c>
      <c r="J55" s="4">
        <v>483.55226695842902</v>
      </c>
      <c r="K55" s="4">
        <v>576.02926260525396</v>
      </c>
      <c r="L55" s="4">
        <v>6.8478829593094996</v>
      </c>
      <c r="M55" s="4">
        <v>1.3151777980590349</v>
      </c>
      <c r="N55" s="4">
        <v>6.8533258637007499</v>
      </c>
      <c r="O55" s="4">
        <v>2.5129197132259602E-2</v>
      </c>
      <c r="P55" s="4">
        <v>0.30384194201013498</v>
      </c>
      <c r="Q55" s="4">
        <v>2399.8984361176199</v>
      </c>
      <c r="R55" s="4">
        <v>3.6040312866876797E-2</v>
      </c>
      <c r="S55" s="4">
        <v>0.64502780327374998</v>
      </c>
      <c r="T55" s="4">
        <v>6.4898104096325002E-2</v>
      </c>
      <c r="U55" s="4">
        <v>0.46957552961993398</v>
      </c>
      <c r="V55" s="4">
        <v>962.27381804941501</v>
      </c>
      <c r="W55" s="4">
        <v>2.034823698350275E-2</v>
      </c>
      <c r="X55" s="4">
        <v>0.42095658742244402</v>
      </c>
      <c r="Y55" s="4">
        <v>1.71704206580107E-2</v>
      </c>
    </row>
    <row r="56" spans="1:25">
      <c r="A56" t="s">
        <v>133</v>
      </c>
      <c r="B56" t="s">
        <v>132</v>
      </c>
      <c r="C56" t="s">
        <v>171</v>
      </c>
      <c r="D56" t="s">
        <v>167</v>
      </c>
      <c r="E56" s="4">
        <v>8.7374184349939502E-2</v>
      </c>
      <c r="F56" s="4">
        <v>0.38413500894422598</v>
      </c>
      <c r="G56" s="4">
        <v>21.557108603269601</v>
      </c>
      <c r="H56" s="4">
        <v>14.16698549773645</v>
      </c>
      <c r="I56" s="4">
        <v>0.17724915498945551</v>
      </c>
      <c r="J56" s="4">
        <v>401.6630571563</v>
      </c>
      <c r="K56" s="4">
        <v>487.76007177744299</v>
      </c>
      <c r="L56" s="4">
        <v>4.8158959797781797</v>
      </c>
      <c r="M56" s="4">
        <v>0.62768609261251995</v>
      </c>
      <c r="N56" s="4">
        <v>9.5628617342698998</v>
      </c>
      <c r="O56" s="4">
        <v>4.6969667945319651E-7</v>
      </c>
      <c r="P56" s="4">
        <v>0.372106801183476</v>
      </c>
      <c r="Q56" s="4">
        <v>2435.5571091786501</v>
      </c>
      <c r="R56" s="4">
        <v>1.067389164845155E-4</v>
      </c>
      <c r="S56" s="4">
        <v>0.52310348359862502</v>
      </c>
      <c r="T56" s="4">
        <v>9.6453976601081501E-2</v>
      </c>
      <c r="U56" s="4">
        <v>7.8817623655985501E-6</v>
      </c>
      <c r="V56" s="4">
        <v>804.91261566348896</v>
      </c>
      <c r="W56" s="4">
        <v>2.3957764975711851E-2</v>
      </c>
      <c r="X56" s="4">
        <v>0.48412945319207601</v>
      </c>
      <c r="Y56" s="4">
        <v>5.4132300319533503E-3</v>
      </c>
    </row>
    <row r="57" spans="1:25">
      <c r="A57" t="s">
        <v>134</v>
      </c>
      <c r="B57" t="s">
        <v>132</v>
      </c>
      <c r="C57" t="s">
        <v>171</v>
      </c>
      <c r="D57" t="s">
        <v>167</v>
      </c>
      <c r="E57" s="4">
        <v>0.31143449526775302</v>
      </c>
      <c r="F57" s="4">
        <v>0.36806895195290151</v>
      </c>
      <c r="G57" s="4">
        <v>19.943038492711501</v>
      </c>
      <c r="H57" s="4">
        <v>13.586537371210399</v>
      </c>
      <c r="I57" s="4">
        <v>0.16969261356694201</v>
      </c>
      <c r="J57" s="4">
        <v>678.30129672407395</v>
      </c>
      <c r="K57" s="4">
        <v>800.63867869092803</v>
      </c>
      <c r="L57" s="4">
        <v>9.6816077231522097</v>
      </c>
      <c r="M57" s="4">
        <v>0.60300068991375499</v>
      </c>
      <c r="N57" s="4">
        <v>9.1671737474847994</v>
      </c>
      <c r="O57" s="4">
        <v>1.53867284996996E-2</v>
      </c>
      <c r="P57" s="4">
        <v>0.35731006534786303</v>
      </c>
      <c r="Q57" s="4">
        <v>2279.3561300503402</v>
      </c>
      <c r="R57" s="4">
        <v>4.7666498658966501E-2</v>
      </c>
      <c r="S57" s="4">
        <v>0.50118895193833501</v>
      </c>
      <c r="T57" s="4">
        <v>9.2480072182040504E-2</v>
      </c>
      <c r="U57" s="4">
        <v>7.57103833632655E-6</v>
      </c>
      <c r="V57" s="4">
        <v>660.06801781861998</v>
      </c>
      <c r="W57" s="4">
        <v>2.29626056968937E-2</v>
      </c>
      <c r="X57" s="4">
        <v>0.53659085718933497</v>
      </c>
      <c r="Y57" s="4">
        <v>5.1827989420679E-3</v>
      </c>
    </row>
    <row r="58" spans="1:25">
      <c r="A58" t="s">
        <v>135</v>
      </c>
      <c r="B58" t="s">
        <v>132</v>
      </c>
      <c r="C58" t="s">
        <v>171</v>
      </c>
      <c r="D58" t="s">
        <v>167</v>
      </c>
      <c r="E58" s="4">
        <v>1.90764510004099</v>
      </c>
      <c r="F58" s="4">
        <v>0.62634315318425504</v>
      </c>
      <c r="G58" s="4">
        <v>22.188756560308299</v>
      </c>
      <c r="H58" s="4">
        <v>16.997388964632449</v>
      </c>
      <c r="I58" s="4">
        <v>0.124014973827969</v>
      </c>
      <c r="J58" s="4">
        <v>537.53144864953504</v>
      </c>
      <c r="K58" s="4">
        <v>691.99176382656003</v>
      </c>
      <c r="L58" s="4">
        <v>1.6320115307912</v>
      </c>
      <c r="M58" s="4">
        <v>0.73846709243535502</v>
      </c>
      <c r="N58" s="4">
        <v>6.2763042951910997</v>
      </c>
      <c r="O58" s="4">
        <v>0.48503744775330798</v>
      </c>
      <c r="P58" s="4">
        <v>0.41668846698060402</v>
      </c>
      <c r="Q58" s="4">
        <v>2816.9148420759002</v>
      </c>
      <c r="R58" s="4">
        <v>6.0076385135193998E-2</v>
      </c>
      <c r="S58" s="4">
        <v>0.66685159715044995</v>
      </c>
      <c r="T58" s="4">
        <v>0.10478511114127249</v>
      </c>
      <c r="U58" s="4">
        <v>5.8325921883188002E-6</v>
      </c>
      <c r="V58" s="4">
        <v>958.60905561336995</v>
      </c>
      <c r="W58" s="4">
        <v>3.3105582331721201E-2</v>
      </c>
      <c r="X58" s="4">
        <v>0.80582679476600205</v>
      </c>
      <c r="Y58" s="4">
        <v>1.515588569599715E-2</v>
      </c>
    </row>
    <row r="59" spans="1:25">
      <c r="A59" t="s">
        <v>136</v>
      </c>
      <c r="B59" t="s">
        <v>132</v>
      </c>
      <c r="C59" t="s">
        <v>171</v>
      </c>
      <c r="D59" t="s">
        <v>167</v>
      </c>
      <c r="E59" s="4">
        <v>1.9944932567057101</v>
      </c>
      <c r="F59" s="4">
        <v>0.59293648749296501</v>
      </c>
      <c r="G59" s="4">
        <v>24.5196391495043</v>
      </c>
      <c r="H59" s="4">
        <v>16.102864174029449</v>
      </c>
      <c r="I59" s="4">
        <v>0.117287301818479</v>
      </c>
      <c r="J59" s="4">
        <v>598.526599690902</v>
      </c>
      <c r="K59" s="4">
        <v>713.27052798449301</v>
      </c>
      <c r="L59" s="4">
        <v>1.1062680471417901</v>
      </c>
      <c r="M59" s="4">
        <v>0.70087549662315496</v>
      </c>
      <c r="N59" s="4">
        <v>5.9442590305286496</v>
      </c>
      <c r="O59" s="4">
        <v>0.352733559037259</v>
      </c>
      <c r="P59" s="4">
        <v>0.53151999962126395</v>
      </c>
      <c r="Q59" s="4">
        <v>3034.3196486893098</v>
      </c>
      <c r="R59" s="4">
        <v>5.6838636334435498E-2</v>
      </c>
      <c r="S59" s="4">
        <v>0.63132786277016995</v>
      </c>
      <c r="T59" s="4">
        <v>9.9265981522035002E-2</v>
      </c>
      <c r="U59" s="4">
        <v>5.5345707749874003E-6</v>
      </c>
      <c r="V59" s="4">
        <v>946.78492421288502</v>
      </c>
      <c r="W59" s="4">
        <v>3.13470182642571E-2</v>
      </c>
      <c r="X59" s="4">
        <v>0.58799023311976595</v>
      </c>
      <c r="Y59" s="4">
        <v>1.43359933788596E-2</v>
      </c>
    </row>
    <row r="60" spans="1:25">
      <c r="A60" t="s">
        <v>137</v>
      </c>
      <c r="B60" t="s">
        <v>132</v>
      </c>
      <c r="C60" t="s">
        <v>171</v>
      </c>
      <c r="D60" t="s">
        <v>167</v>
      </c>
      <c r="E60" s="4">
        <v>1.4962368688822101</v>
      </c>
      <c r="F60" s="4">
        <v>0.48992995091131353</v>
      </c>
      <c r="G60" s="4">
        <v>21.749582338379899</v>
      </c>
      <c r="H60" s="4">
        <v>13.659758924235399</v>
      </c>
      <c r="I60" s="4">
        <v>9.3097448637776498E-2</v>
      </c>
      <c r="J60" s="4">
        <v>535.00910118626098</v>
      </c>
      <c r="K60" s="4">
        <v>645.59324741137402</v>
      </c>
      <c r="L60" s="4">
        <v>1.3592512643975301</v>
      </c>
      <c r="M60" s="4">
        <v>0.43433795275711401</v>
      </c>
      <c r="N60" s="4">
        <v>9.6122719796913501</v>
      </c>
      <c r="O60" s="4">
        <v>0.296715130011734</v>
      </c>
      <c r="P60" s="4">
        <v>0.32511891000343002</v>
      </c>
      <c r="Q60" s="4">
        <v>2946.9497864464902</v>
      </c>
      <c r="R60" s="4">
        <v>1.317241339447295E-2</v>
      </c>
      <c r="S60" s="4">
        <v>0.54071059465431504</v>
      </c>
      <c r="T60" s="4">
        <v>0.10170264403620601</v>
      </c>
      <c r="U60" s="4">
        <v>5.7859829951919499E-6</v>
      </c>
      <c r="V60" s="4">
        <v>894.23126388854803</v>
      </c>
      <c r="W60" s="4">
        <v>2.3113938383007002E-2</v>
      </c>
      <c r="X60" s="4">
        <v>0.60985383213940303</v>
      </c>
      <c r="Y60" s="4">
        <v>1.9731602733124999E-2</v>
      </c>
    </row>
    <row r="61" spans="1:25">
      <c r="A61" t="s">
        <v>138</v>
      </c>
      <c r="B61" t="s">
        <v>132</v>
      </c>
      <c r="C61" t="s">
        <v>171</v>
      </c>
      <c r="D61" t="s">
        <v>167</v>
      </c>
      <c r="E61" s="4">
        <v>1.8102949875149801</v>
      </c>
      <c r="F61" s="4">
        <v>1.09644803252381</v>
      </c>
      <c r="G61" s="4">
        <v>22.834798326831699</v>
      </c>
      <c r="H61" s="4">
        <v>21.478481548452098</v>
      </c>
      <c r="I61" s="4">
        <v>0.22184023341249001</v>
      </c>
      <c r="J61" s="4">
        <v>568.62388465548895</v>
      </c>
      <c r="K61" s="4">
        <v>712.95997856021097</v>
      </c>
      <c r="L61" s="4">
        <v>2.1708452656911401</v>
      </c>
      <c r="M61" s="4">
        <v>1.717871146247365</v>
      </c>
      <c r="N61" s="4">
        <v>8.9953565094323498</v>
      </c>
      <c r="O61" s="4">
        <v>0.66015058444963703</v>
      </c>
      <c r="P61" s="4">
        <v>0.57603739967325596</v>
      </c>
      <c r="Q61" s="4">
        <v>3039.8146891516799</v>
      </c>
      <c r="R61" s="4">
        <v>2.97633609132016E-2</v>
      </c>
      <c r="S61" s="4">
        <v>0.61179473014271502</v>
      </c>
      <c r="T61" s="4">
        <v>1.4397509791063801E-2</v>
      </c>
      <c r="U61" s="4">
        <v>4.7927608084036597E-6</v>
      </c>
      <c r="V61" s="4">
        <v>992.56304956162603</v>
      </c>
      <c r="W61" s="4">
        <v>2.8225671397201752E-6</v>
      </c>
      <c r="X61" s="4">
        <v>0.642956086643374</v>
      </c>
      <c r="Y61" s="4">
        <v>1.103496056057085E-2</v>
      </c>
    </row>
    <row r="62" spans="1:25">
      <c r="A62" t="s">
        <v>139</v>
      </c>
      <c r="B62" t="s">
        <v>132</v>
      </c>
      <c r="C62" t="s">
        <v>171</v>
      </c>
      <c r="D62" t="s">
        <v>167</v>
      </c>
      <c r="E62" s="4">
        <v>5.4975558281983999E-2</v>
      </c>
      <c r="F62" s="4">
        <v>0.58275391669943999</v>
      </c>
      <c r="G62" s="4">
        <v>16.950242648440199</v>
      </c>
      <c r="H62" s="4">
        <v>17.802157424511549</v>
      </c>
      <c r="I62" s="4">
        <v>0.12771825833836051</v>
      </c>
      <c r="J62" s="4">
        <v>269.60932455243602</v>
      </c>
      <c r="K62" s="4">
        <v>298.62216639233998</v>
      </c>
      <c r="L62" s="4">
        <v>2.2452243109047201</v>
      </c>
      <c r="M62" s="4">
        <v>0.90679099129926999</v>
      </c>
      <c r="N62" s="4">
        <v>7.3029837299765497</v>
      </c>
      <c r="O62" s="4">
        <v>0.15532208879135451</v>
      </c>
      <c r="P62" s="4">
        <v>0.300590351189364</v>
      </c>
      <c r="Q62" s="4">
        <v>2262.1145322354901</v>
      </c>
      <c r="R62" s="4">
        <v>2.99281385913053E-2</v>
      </c>
      <c r="S62" s="4">
        <v>0.396118173897896</v>
      </c>
      <c r="T62" s="4">
        <v>0.12634400779404401</v>
      </c>
      <c r="U62" s="4">
        <v>0.34359937962046649</v>
      </c>
      <c r="V62" s="4">
        <v>665.75904403137497</v>
      </c>
      <c r="W62" s="4">
        <v>2.6744492381947899E-2</v>
      </c>
      <c r="X62" s="4">
        <v>0.57510685404501805</v>
      </c>
      <c r="Y62" s="4">
        <v>1.09597971587823E-2</v>
      </c>
    </row>
    <row r="63" spans="1:25">
      <c r="A63" t="s">
        <v>140</v>
      </c>
      <c r="B63" t="s">
        <v>132</v>
      </c>
      <c r="C63" t="s">
        <v>171</v>
      </c>
      <c r="D63" t="s">
        <v>167</v>
      </c>
      <c r="E63" s="4">
        <v>5.3760012016845E-2</v>
      </c>
      <c r="F63" s="4">
        <v>0.57014410477111499</v>
      </c>
      <c r="G63" s="4">
        <v>16.4303407234665</v>
      </c>
      <c r="H63" s="4">
        <v>17.429251555985601</v>
      </c>
      <c r="I63" s="4">
        <v>0.1246456137638265</v>
      </c>
      <c r="J63" s="4">
        <v>349.58176782401301</v>
      </c>
      <c r="K63" s="4">
        <v>392.97973756765703</v>
      </c>
      <c r="L63" s="4">
        <v>9.3215611702153005</v>
      </c>
      <c r="M63" s="4">
        <v>0.89175494826775004</v>
      </c>
      <c r="N63" s="4">
        <v>7.1510039958125002</v>
      </c>
      <c r="O63" s="4">
        <v>0.1519618475317015</v>
      </c>
      <c r="P63" s="4">
        <v>0.30202334459415903</v>
      </c>
      <c r="Q63" s="4">
        <v>2333.2633189313801</v>
      </c>
      <c r="R63" s="4">
        <v>2.9240244626687249E-2</v>
      </c>
      <c r="S63" s="4">
        <v>0.38808164771459103</v>
      </c>
      <c r="T63" s="4">
        <v>0.39623223773665001</v>
      </c>
      <c r="U63" s="4">
        <v>0.33735862722767551</v>
      </c>
      <c r="V63" s="4">
        <v>704.59858923036995</v>
      </c>
      <c r="W63" s="4">
        <v>2.6170756961666299E-2</v>
      </c>
      <c r="X63" s="4">
        <v>0.40066798621324201</v>
      </c>
      <c r="Y63" s="4">
        <v>1.0703607139059599E-2</v>
      </c>
    </row>
    <row r="64" spans="1:25">
      <c r="A64" t="s">
        <v>141</v>
      </c>
      <c r="B64" t="s">
        <v>132</v>
      </c>
      <c r="C64" t="s">
        <v>171</v>
      </c>
      <c r="D64" t="s">
        <v>167</v>
      </c>
      <c r="E64" s="4">
        <v>0.14978481808618899</v>
      </c>
      <c r="F64" s="4">
        <v>0.81365689171126998</v>
      </c>
      <c r="G64" s="4">
        <v>15.512759614018799</v>
      </c>
      <c r="H64" s="4">
        <v>18.027358150219101</v>
      </c>
      <c r="I64" s="4">
        <v>9.3065125636554002E-2</v>
      </c>
      <c r="J64" s="4">
        <v>518.05761907824603</v>
      </c>
      <c r="K64" s="4">
        <v>563.85449898359605</v>
      </c>
      <c r="L64" s="4">
        <v>16.566635541705601</v>
      </c>
      <c r="M64" s="4">
        <v>0.66949280254244503</v>
      </c>
      <c r="N64" s="4">
        <v>8.8453755954870505</v>
      </c>
      <c r="O64" s="4">
        <v>3.7410392913147201E-7</v>
      </c>
      <c r="P64" s="4">
        <v>0.34124125111300102</v>
      </c>
      <c r="Q64" s="4">
        <v>2329.5604088390501</v>
      </c>
      <c r="R64" s="4">
        <v>1.6434587025539502E-2</v>
      </c>
      <c r="S64" s="4">
        <v>0.43855025206007298</v>
      </c>
      <c r="T64" s="4">
        <v>0.13050412735986949</v>
      </c>
      <c r="U64" s="4">
        <v>0.44092811927604098</v>
      </c>
      <c r="V64" s="4">
        <v>680.28756299718702</v>
      </c>
      <c r="W64" s="4">
        <v>2.449915615508895E-2</v>
      </c>
      <c r="X64" s="4">
        <v>0.655430970322881</v>
      </c>
      <c r="Y64" s="4">
        <v>9.2986330116415997E-3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6ACD5-1A97-498C-8EB9-13C80ABB591C}">
  <dimension ref="A1:AG64"/>
  <sheetViews>
    <sheetView workbookViewId="0">
      <selection activeCell="A32" sqref="A32:XFD32"/>
    </sheetView>
  </sheetViews>
  <sheetFormatPr defaultRowHeight="15"/>
  <cols>
    <col min="1" max="1" width="14.28515625" bestFit="1" customWidth="1"/>
  </cols>
  <sheetData>
    <row r="1" spans="1:33">
      <c r="A1" s="1" t="s">
        <v>142</v>
      </c>
      <c r="B1" s="1" t="s">
        <v>0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172</v>
      </c>
      <c r="J1" s="1" t="s">
        <v>150</v>
      </c>
      <c r="K1" s="1" t="s">
        <v>151</v>
      </c>
      <c r="L1" s="1" t="s">
        <v>152</v>
      </c>
      <c r="M1" s="1" t="s">
        <v>153</v>
      </c>
      <c r="N1" s="1" t="s">
        <v>156</v>
      </c>
      <c r="O1" s="1" t="s">
        <v>157</v>
      </c>
      <c r="P1" s="1" t="s">
        <v>158</v>
      </c>
      <c r="Q1" s="1" t="s">
        <v>159</v>
      </c>
      <c r="R1" s="1" t="s">
        <v>160</v>
      </c>
      <c r="S1" s="1" t="s">
        <v>161</v>
      </c>
      <c r="T1" s="1" t="s">
        <v>162</v>
      </c>
      <c r="U1" s="1" t="s">
        <v>163</v>
      </c>
      <c r="V1" s="1" t="s">
        <v>164</v>
      </c>
      <c r="W1" s="1" t="s">
        <v>165</v>
      </c>
      <c r="Y1" s="2" t="s">
        <v>173</v>
      </c>
      <c r="Z1" s="2" t="s">
        <v>174</v>
      </c>
      <c r="AA1" s="2" t="s">
        <v>175</v>
      </c>
      <c r="AB1" s="2" t="s">
        <v>176</v>
      </c>
      <c r="AC1" s="2" t="s">
        <v>177</v>
      </c>
      <c r="AD1" s="3" t="s">
        <v>178</v>
      </c>
      <c r="AE1" s="2" t="s">
        <v>179</v>
      </c>
      <c r="AF1" s="2" t="s">
        <v>180</v>
      </c>
      <c r="AG1" s="1" t="s">
        <v>181</v>
      </c>
    </row>
    <row r="2" spans="1:33">
      <c r="A2" t="s">
        <v>73</v>
      </c>
      <c r="B2" t="s">
        <v>74</v>
      </c>
      <c r="C2" t="s">
        <v>166</v>
      </c>
      <c r="D2" t="s">
        <v>167</v>
      </c>
      <c r="E2" s="4">
        <v>0.13567510740753799</v>
      </c>
      <c r="F2" s="4">
        <v>0.56844468370116996</v>
      </c>
      <c r="G2" s="4">
        <v>5.8838431933556699</v>
      </c>
      <c r="H2" s="4">
        <v>2034.6410942933601</v>
      </c>
      <c r="I2" s="4">
        <f>H2/10000</f>
        <v>0.20346410942933602</v>
      </c>
      <c r="J2" s="4">
        <v>503.32526184017098</v>
      </c>
      <c r="K2" s="4">
        <v>144.84361641366201</v>
      </c>
      <c r="L2" s="4">
        <v>139.36583189040101</v>
      </c>
      <c r="M2" s="4">
        <v>3.0157515861576099</v>
      </c>
      <c r="N2" s="4">
        <v>2.60651419367951</v>
      </c>
      <c r="O2" s="4">
        <v>1634.3403891324899</v>
      </c>
      <c r="P2" s="4">
        <v>2.4794210143395699E-2</v>
      </c>
      <c r="Q2" s="4">
        <v>0.56059303542479999</v>
      </c>
      <c r="R2" s="4">
        <v>2.1971924848845998</v>
      </c>
      <c r="S2" s="4">
        <v>4.1422153097568302E-6</v>
      </c>
      <c r="T2" s="4">
        <v>204.22888751208399</v>
      </c>
      <c r="U2" s="4">
        <v>2.4352458604933101E-2</v>
      </c>
      <c r="V2" s="4">
        <v>27.0154347283889</v>
      </c>
      <c r="W2" s="4">
        <v>4.4460207664021603E-2</v>
      </c>
      <c r="X2" s="4"/>
      <c r="Y2" s="4">
        <f t="shared" ref="Y2:Y64" si="0">((K2^0.22*L2^0.22)/(I2^0.37*G2^0.2*P2^0.1))</f>
        <v>16.203338747581654</v>
      </c>
      <c r="Z2" s="4">
        <f>LN(Y2)</f>
        <v>2.7852173165333038</v>
      </c>
      <c r="AA2" s="4">
        <f>-54.4*Z2+208</f>
        <v>56.484177980588271</v>
      </c>
      <c r="AB2" s="4">
        <f>((-54.4-7.3)*Z2)+208-10</f>
        <v>26.152091569895163</v>
      </c>
      <c r="AC2" s="4">
        <f>((-54.4+7.3)*Z2)+208+10</f>
        <v>86.816264391281379</v>
      </c>
      <c r="AD2" s="5">
        <f>(-54.4*Z2)+208+10</f>
        <v>66.484177980588271</v>
      </c>
      <c r="AE2" s="4">
        <f>AA2-AB2</f>
        <v>30.332086410693108</v>
      </c>
      <c r="AF2" s="4">
        <f>AA2-AC2</f>
        <v>-30.332086410693108</v>
      </c>
      <c r="AG2" t="s">
        <v>166</v>
      </c>
    </row>
    <row r="3" spans="1:33">
      <c r="A3" t="s">
        <v>76</v>
      </c>
      <c r="B3" t="s">
        <v>74</v>
      </c>
      <c r="C3" t="s">
        <v>166</v>
      </c>
      <c r="D3" t="s">
        <v>167</v>
      </c>
      <c r="E3" s="4">
        <v>0.31438045155931599</v>
      </c>
      <c r="F3" s="4">
        <v>0.53042336087298003</v>
      </c>
      <c r="G3" s="4">
        <v>7.3594676179483498</v>
      </c>
      <c r="H3" s="4">
        <v>2041.91313251376</v>
      </c>
      <c r="I3" s="4">
        <f t="shared" ref="I3:I64" si="1">H3/10000</f>
        <v>0.20419131325137602</v>
      </c>
      <c r="J3" s="4">
        <v>468.29718896059302</v>
      </c>
      <c r="K3" s="4">
        <v>183.02549333115499</v>
      </c>
      <c r="L3" s="4">
        <v>121.26156388160101</v>
      </c>
      <c r="M3" s="4">
        <v>2.8004309919281001</v>
      </c>
      <c r="N3" s="4">
        <v>7.2499109620511701</v>
      </c>
      <c r="O3" s="4">
        <v>1837.21818261052</v>
      </c>
      <c r="P3" s="4">
        <v>0.39030183469919799</v>
      </c>
      <c r="Q3" s="4">
        <v>4.09624994106247</v>
      </c>
      <c r="R3" s="4">
        <v>5.0669508841948101</v>
      </c>
      <c r="S3" s="4">
        <v>5.7591674882642502E-6</v>
      </c>
      <c r="T3" s="4">
        <v>283.19694457175001</v>
      </c>
      <c r="U3" s="4">
        <v>2.7753425086765399E-2</v>
      </c>
      <c r="V3" s="4">
        <v>54.168647385718401</v>
      </c>
      <c r="W3" s="4">
        <v>0.107605603619028</v>
      </c>
      <c r="X3" s="4"/>
      <c r="Y3" s="4">
        <f t="shared" si="0"/>
        <v>11.99357124113393</v>
      </c>
      <c r="Z3" s="4">
        <f t="shared" ref="Z3:Z64" si="2">LN(Y3)</f>
        <v>2.4843707763279554</v>
      </c>
      <c r="AA3" s="4">
        <f t="shared" ref="AA3:AA64" si="3">-54.4*Z3+208</f>
        <v>72.850229767759231</v>
      </c>
      <c r="AB3" s="4">
        <f t="shared" ref="AB3:AB64" si="4">((-54.4-7.3)*Z3)+208-10</f>
        <v>44.714323100565167</v>
      </c>
      <c r="AC3" s="4">
        <f t="shared" ref="AC3:AC64" si="5">((-54.4+7.3)*Z3)+208+10</f>
        <v>100.98613643495329</v>
      </c>
      <c r="AD3" s="5">
        <f t="shared" ref="AD3:AD64" si="6">(-54.4*Z3)+208+10</f>
        <v>82.850229767759231</v>
      </c>
      <c r="AE3" s="4">
        <f t="shared" ref="AE3:AE64" si="7">AA3-AB3</f>
        <v>28.135906667194064</v>
      </c>
      <c r="AF3" s="4">
        <f t="shared" ref="AF3:AF64" si="8">AA3-AC3</f>
        <v>-28.135906667194064</v>
      </c>
      <c r="AG3" t="s">
        <v>166</v>
      </c>
    </row>
    <row r="4" spans="1:33">
      <c r="A4" t="s">
        <v>77</v>
      </c>
      <c r="B4" t="s">
        <v>74</v>
      </c>
      <c r="C4" t="s">
        <v>166</v>
      </c>
      <c r="D4" t="s">
        <v>167</v>
      </c>
      <c r="E4" s="4">
        <v>0.46920007601339703</v>
      </c>
      <c r="F4" s="4">
        <v>0.48049397719522002</v>
      </c>
      <c r="G4" s="4">
        <v>9.6311890787269192</v>
      </c>
      <c r="H4" s="4">
        <v>488.43603349884302</v>
      </c>
      <c r="I4" s="4">
        <f t="shared" si="1"/>
        <v>4.8843603349884301E-2</v>
      </c>
      <c r="J4" s="4">
        <v>768.44798462952997</v>
      </c>
      <c r="K4" s="4">
        <v>133.02102506371801</v>
      </c>
      <c r="L4" s="4">
        <v>296.48651753393199</v>
      </c>
      <c r="M4" s="4">
        <v>11.474683888671199</v>
      </c>
      <c r="N4" s="4">
        <v>3.3425839176818402</v>
      </c>
      <c r="O4" s="4">
        <v>2203.7127019304198</v>
      </c>
      <c r="P4" s="4">
        <v>2.2397289055466601E-2</v>
      </c>
      <c r="Q4" s="4">
        <v>0.43038256130151997</v>
      </c>
      <c r="R4" s="4">
        <v>5.8029305375308997</v>
      </c>
      <c r="S4" s="4">
        <v>5.2072461426639999E-6</v>
      </c>
      <c r="T4" s="4">
        <v>171.03928800156899</v>
      </c>
      <c r="U4" s="4">
        <v>2.51273764347534E-2</v>
      </c>
      <c r="V4" s="4">
        <v>31.2136039026859</v>
      </c>
      <c r="W4" s="4">
        <v>0.19239682217511</v>
      </c>
      <c r="X4" s="4"/>
      <c r="Y4" s="4">
        <f t="shared" si="0"/>
        <v>29.139975205139486</v>
      </c>
      <c r="Z4" s="4">
        <f t="shared" si="2"/>
        <v>3.372110949879239</v>
      </c>
      <c r="AA4" s="4">
        <f t="shared" si="3"/>
        <v>24.557164326569392</v>
      </c>
      <c r="AB4" s="4">
        <f t="shared" si="4"/>
        <v>-10.05924560754903</v>
      </c>
      <c r="AC4" s="4">
        <f t="shared" si="5"/>
        <v>59.173574260687843</v>
      </c>
      <c r="AD4" s="5">
        <f t="shared" si="6"/>
        <v>34.557164326569392</v>
      </c>
      <c r="AE4" s="4">
        <f t="shared" si="7"/>
        <v>34.616409934118423</v>
      </c>
      <c r="AF4" s="4">
        <f t="shared" si="8"/>
        <v>-34.616409934118451</v>
      </c>
      <c r="AG4" t="s">
        <v>166</v>
      </c>
    </row>
    <row r="5" spans="1:33">
      <c r="A5" t="s">
        <v>78</v>
      </c>
      <c r="B5" t="s">
        <v>74</v>
      </c>
      <c r="C5" t="s">
        <v>166</v>
      </c>
      <c r="D5" t="s">
        <v>167</v>
      </c>
      <c r="E5" s="4">
        <v>1.9911280493754301E-2</v>
      </c>
      <c r="F5" s="4">
        <v>0.66985623264719496</v>
      </c>
      <c r="G5" s="4">
        <v>3.49401427889664</v>
      </c>
      <c r="H5" s="4">
        <v>2185.05507743523</v>
      </c>
      <c r="I5" s="4">
        <f t="shared" si="1"/>
        <v>0.21850550774352301</v>
      </c>
      <c r="J5" s="4">
        <v>1066.27070806897</v>
      </c>
      <c r="K5" s="4">
        <v>212.328967571249</v>
      </c>
      <c r="L5" s="4">
        <v>381.69582123522298</v>
      </c>
      <c r="M5" s="4">
        <v>0.65300709309816496</v>
      </c>
      <c r="N5" s="4">
        <v>0.96731526520871502</v>
      </c>
      <c r="O5" s="4">
        <v>1580.6424202358301</v>
      </c>
      <c r="P5" s="4">
        <v>2.2359349630395198E-2</v>
      </c>
      <c r="Q5" s="4">
        <v>0.79260408907162005</v>
      </c>
      <c r="R5" s="4">
        <v>9.6478953664666495E-2</v>
      </c>
      <c r="S5" s="4">
        <v>3.9813315940720049E-6</v>
      </c>
      <c r="T5" s="4">
        <v>139.36393189827501</v>
      </c>
      <c r="U5" s="4">
        <v>2.3501066084483751E-2</v>
      </c>
      <c r="V5" s="4">
        <v>0.89162801890013899</v>
      </c>
      <c r="W5" s="4">
        <v>0.60207206004545499</v>
      </c>
      <c r="X5" s="4"/>
      <c r="Y5" s="4">
        <f t="shared" si="0"/>
        <v>24.027463612670513</v>
      </c>
      <c r="Z5" s="4">
        <f t="shared" si="2"/>
        <v>3.179197493310681</v>
      </c>
      <c r="AA5" s="4">
        <f t="shared" si="3"/>
        <v>35.051656363898957</v>
      </c>
      <c r="AB5" s="4">
        <f t="shared" si="4"/>
        <v>1.8435146627309962</v>
      </c>
      <c r="AC5" s="4">
        <f t="shared" si="5"/>
        <v>68.259798065066917</v>
      </c>
      <c r="AD5" s="5">
        <f t="shared" si="6"/>
        <v>45.051656363898957</v>
      </c>
      <c r="AE5" s="4">
        <f t="shared" si="7"/>
        <v>33.20814170116796</v>
      </c>
      <c r="AF5" s="4">
        <f t="shared" si="8"/>
        <v>-33.20814170116796</v>
      </c>
      <c r="AG5" t="s">
        <v>166</v>
      </c>
    </row>
    <row r="6" spans="1:33">
      <c r="A6" t="s">
        <v>79</v>
      </c>
      <c r="B6" t="s">
        <v>74</v>
      </c>
      <c r="C6" t="s">
        <v>166</v>
      </c>
      <c r="D6" t="s">
        <v>167</v>
      </c>
      <c r="E6" s="4">
        <v>3.2767423388341203E-2</v>
      </c>
      <c r="F6" s="4">
        <v>0.57253252511015995</v>
      </c>
      <c r="G6" s="4">
        <v>1.96801870209853</v>
      </c>
      <c r="H6" s="4">
        <v>2154.1489570499202</v>
      </c>
      <c r="I6" s="4">
        <f t="shared" si="1"/>
        <v>0.21541489570499203</v>
      </c>
      <c r="J6" s="4">
        <v>1635.0873855627899</v>
      </c>
      <c r="K6" s="4">
        <v>168.618045696184</v>
      </c>
      <c r="L6" s="4">
        <v>673.29189535747503</v>
      </c>
      <c r="M6" s="4">
        <v>0.48044227647195897</v>
      </c>
      <c r="N6" s="4">
        <v>2.0077061311982098</v>
      </c>
      <c r="O6" s="4">
        <v>1480.66879803966</v>
      </c>
      <c r="P6" s="4">
        <v>2.9156951838205901E-2</v>
      </c>
      <c r="Q6" s="4">
        <v>0.34894056584516803</v>
      </c>
      <c r="R6" s="4">
        <v>7.9829890966259004E-2</v>
      </c>
      <c r="S6" s="4">
        <v>0.26766936529985252</v>
      </c>
      <c r="T6" s="4">
        <v>162.49820108036599</v>
      </c>
      <c r="U6" s="4">
        <v>2.0017297534175249E-2</v>
      </c>
      <c r="V6" s="4">
        <v>2.3899001796042598</v>
      </c>
      <c r="W6" s="4">
        <v>1.17181795117451E-2</v>
      </c>
      <c r="X6" s="4"/>
      <c r="Y6" s="4">
        <f t="shared" si="0"/>
        <v>28.413946588214948</v>
      </c>
      <c r="Z6" s="4">
        <f t="shared" si="2"/>
        <v>3.3468801016781091</v>
      </c>
      <c r="AA6" s="4">
        <f t="shared" si="3"/>
        <v>25.929722468710878</v>
      </c>
      <c r="AB6" s="4">
        <f t="shared" si="4"/>
        <v>-8.5025022735393065</v>
      </c>
      <c r="AC6" s="4">
        <f t="shared" si="5"/>
        <v>60.361947210961063</v>
      </c>
      <c r="AD6" s="5">
        <f t="shared" si="6"/>
        <v>35.929722468710878</v>
      </c>
      <c r="AE6" s="4">
        <f t="shared" si="7"/>
        <v>34.432224742250185</v>
      </c>
      <c r="AF6" s="4">
        <f t="shared" si="8"/>
        <v>-34.432224742250185</v>
      </c>
      <c r="AG6" t="s">
        <v>166</v>
      </c>
    </row>
    <row r="7" spans="1:33">
      <c r="A7" t="s">
        <v>82</v>
      </c>
      <c r="B7" t="s">
        <v>81</v>
      </c>
      <c r="C7" t="s">
        <v>168</v>
      </c>
      <c r="D7" t="s">
        <v>167</v>
      </c>
      <c r="E7" s="4">
        <v>1.6341499550781999E-2</v>
      </c>
      <c r="F7" s="4">
        <v>0.61161521930750995</v>
      </c>
      <c r="G7" s="4">
        <v>5.8842446779844897</v>
      </c>
      <c r="H7" s="4">
        <v>177.02671758230699</v>
      </c>
      <c r="I7" s="4">
        <f t="shared" si="1"/>
        <v>1.77026717582307E-2</v>
      </c>
      <c r="J7" s="4">
        <v>227.916167679495</v>
      </c>
      <c r="K7" s="4">
        <v>59.9477688378919</v>
      </c>
      <c r="L7" s="4">
        <v>72.820170475975701</v>
      </c>
      <c r="M7" s="4">
        <v>0.3985007681934955</v>
      </c>
      <c r="N7" s="4">
        <v>0.48695943170838701</v>
      </c>
      <c r="O7" s="4">
        <v>2187.7645781665301</v>
      </c>
      <c r="P7" s="4">
        <v>5.5533419668678502E-2</v>
      </c>
      <c r="Q7" s="4">
        <v>0.61974717343855401</v>
      </c>
      <c r="R7" s="4">
        <v>0.39301651427244</v>
      </c>
      <c r="S7" s="4">
        <v>3.4382322380421202E-6</v>
      </c>
      <c r="T7" s="4">
        <v>279.20619292325398</v>
      </c>
      <c r="U7" s="4">
        <v>1.81972050575312E-2</v>
      </c>
      <c r="V7" s="4">
        <v>2.9946994596825198</v>
      </c>
      <c r="W7" s="4">
        <v>8.5105538457305504E-3</v>
      </c>
      <c r="X7" s="4"/>
      <c r="Y7" s="4">
        <f t="shared" si="0"/>
        <v>26.341317239744157</v>
      </c>
      <c r="Z7" s="4">
        <f t="shared" si="2"/>
        <v>3.2711387041666256</v>
      </c>
      <c r="AA7" s="4">
        <f t="shared" si="3"/>
        <v>30.05005449333558</v>
      </c>
      <c r="AB7" s="4">
        <f t="shared" si="4"/>
        <v>-3.8292580470807707</v>
      </c>
      <c r="AC7" s="4">
        <f t="shared" si="5"/>
        <v>63.92936703375193</v>
      </c>
      <c r="AD7" s="5">
        <f t="shared" si="6"/>
        <v>40.05005449333558</v>
      </c>
      <c r="AE7" s="4">
        <f t="shared" si="7"/>
        <v>33.87931254041635</v>
      </c>
      <c r="AF7" s="4">
        <f t="shared" si="8"/>
        <v>-33.87931254041635</v>
      </c>
      <c r="AG7" t="s">
        <v>168</v>
      </c>
    </row>
    <row r="8" spans="1:33">
      <c r="A8" t="s">
        <v>83</v>
      </c>
      <c r="B8" t="s">
        <v>81</v>
      </c>
      <c r="C8" t="s">
        <v>168</v>
      </c>
      <c r="D8" t="s">
        <v>167</v>
      </c>
      <c r="E8" s="4">
        <v>5.4958707981741198E-2</v>
      </c>
      <c r="F8" s="4">
        <v>0.296601761119483</v>
      </c>
      <c r="G8" s="4">
        <v>2.0458084731347599</v>
      </c>
      <c r="H8" s="4">
        <v>533.73280966895504</v>
      </c>
      <c r="I8" s="4">
        <f t="shared" si="1"/>
        <v>5.3373280966895503E-2</v>
      </c>
      <c r="J8" s="4">
        <v>48.9319056142024</v>
      </c>
      <c r="K8" s="4">
        <v>7.9660757871989096</v>
      </c>
      <c r="L8" s="4">
        <v>12.5959989195588</v>
      </c>
      <c r="M8" s="4">
        <v>1.568211917935475</v>
      </c>
      <c r="N8" s="4">
        <v>0.47730956397117102</v>
      </c>
      <c r="O8" s="4">
        <v>2171.2302839215099</v>
      </c>
      <c r="P8" s="4">
        <v>5.4027789858905703E-2</v>
      </c>
      <c r="Q8" s="4">
        <v>0.590244545670775</v>
      </c>
      <c r="R8" s="4">
        <v>1.0352325722348701</v>
      </c>
      <c r="S8" s="4">
        <v>3.0332287289342702E-6</v>
      </c>
      <c r="T8" s="4">
        <v>222.74910254001699</v>
      </c>
      <c r="U8" s="4">
        <v>3.6317084250520451E-2</v>
      </c>
      <c r="V8" s="4">
        <v>2.6214376165926199</v>
      </c>
      <c r="W8" s="4">
        <v>1.4527154363284601E-2</v>
      </c>
      <c r="X8" s="4"/>
      <c r="Y8" s="4">
        <f t="shared" si="0"/>
        <v>9.457588036953986</v>
      </c>
      <c r="Z8" s="4">
        <f t="shared" si="2"/>
        <v>2.246817386173658</v>
      </c>
      <c r="AA8" s="4">
        <f t="shared" si="3"/>
        <v>85.773134192153009</v>
      </c>
      <c r="AB8" s="4">
        <f t="shared" si="4"/>
        <v>59.371367273085298</v>
      </c>
      <c r="AC8" s="4">
        <f t="shared" si="5"/>
        <v>112.17490111122071</v>
      </c>
      <c r="AD8" s="5">
        <f t="shared" si="6"/>
        <v>95.773134192153009</v>
      </c>
      <c r="AE8" s="4">
        <f t="shared" si="7"/>
        <v>26.401766919067711</v>
      </c>
      <c r="AF8" s="4">
        <f t="shared" si="8"/>
        <v>-26.401766919067697</v>
      </c>
      <c r="AG8" t="s">
        <v>168</v>
      </c>
    </row>
    <row r="9" spans="1:33">
      <c r="A9" t="s">
        <v>84</v>
      </c>
      <c r="B9" t="s">
        <v>81</v>
      </c>
      <c r="C9" t="s">
        <v>168</v>
      </c>
      <c r="D9" t="s">
        <v>167</v>
      </c>
      <c r="E9" s="4">
        <v>0.18854514420679599</v>
      </c>
      <c r="F9" s="4">
        <v>0.30193734850077503</v>
      </c>
      <c r="G9" s="4">
        <v>6.5608142972480099</v>
      </c>
      <c r="H9" s="4">
        <v>186.87193560627799</v>
      </c>
      <c r="I9" s="4">
        <f t="shared" si="1"/>
        <v>1.8687193560627799E-2</v>
      </c>
      <c r="J9" s="4">
        <v>269.68163157006398</v>
      </c>
      <c r="K9" s="4">
        <v>189.292880803733</v>
      </c>
      <c r="L9" s="4">
        <v>37.953861563009298</v>
      </c>
      <c r="M9" s="4">
        <v>1.5959204540617</v>
      </c>
      <c r="N9" s="4">
        <v>1.4048135174796501</v>
      </c>
      <c r="O9" s="4">
        <v>2353.6025878978398</v>
      </c>
      <c r="P9" s="4">
        <v>1.298078970289925E-2</v>
      </c>
      <c r="Q9" s="4">
        <v>0.60009598341606996</v>
      </c>
      <c r="R9" s="4">
        <v>2.7481770190494399</v>
      </c>
      <c r="S9" s="4">
        <v>3.0824200576546198E-6</v>
      </c>
      <c r="T9" s="4">
        <v>261.03962233103402</v>
      </c>
      <c r="U9" s="4">
        <v>3.6950884140941151E-2</v>
      </c>
      <c r="V9" s="4">
        <v>13.7060871648681</v>
      </c>
      <c r="W9" s="4">
        <v>1.4785775148243649E-2</v>
      </c>
      <c r="X9" s="4"/>
      <c r="Y9" s="4">
        <f t="shared" si="0"/>
        <v>32.599645949934917</v>
      </c>
      <c r="Z9" s="4">
        <f t="shared" si="2"/>
        <v>3.4843014278822428</v>
      </c>
      <c r="AA9" s="4">
        <f t="shared" si="3"/>
        <v>18.454002323205998</v>
      </c>
      <c r="AB9" s="4">
        <f t="shared" si="4"/>
        <v>-16.98139810033436</v>
      </c>
      <c r="AC9" s="4">
        <f t="shared" si="5"/>
        <v>53.889402746746356</v>
      </c>
      <c r="AD9" s="5">
        <f t="shared" si="6"/>
        <v>28.454002323205998</v>
      </c>
      <c r="AE9" s="4">
        <f t="shared" si="7"/>
        <v>35.435400423540358</v>
      </c>
      <c r="AF9" s="4">
        <f t="shared" si="8"/>
        <v>-35.435400423540358</v>
      </c>
      <c r="AG9" t="s">
        <v>168</v>
      </c>
    </row>
    <row r="10" spans="1:33">
      <c r="A10" t="s">
        <v>85</v>
      </c>
      <c r="B10" t="s">
        <v>81</v>
      </c>
      <c r="C10" t="s">
        <v>168</v>
      </c>
      <c r="D10" t="s">
        <v>167</v>
      </c>
      <c r="E10" s="4">
        <v>5.6460693403652999E-2</v>
      </c>
      <c r="F10" s="4">
        <v>0.70031243840516</v>
      </c>
      <c r="G10" s="4">
        <v>42.091436954787902</v>
      </c>
      <c r="H10" s="4">
        <v>19.1973577810063</v>
      </c>
      <c r="I10" s="4">
        <f t="shared" si="1"/>
        <v>1.91973577810063E-3</v>
      </c>
      <c r="J10" s="4">
        <v>194.95307323842999</v>
      </c>
      <c r="K10" s="4">
        <v>177.73480842537001</v>
      </c>
      <c r="L10" s="4">
        <v>3.82886704113566</v>
      </c>
      <c r="M10" s="4">
        <v>2.10473885782012</v>
      </c>
      <c r="N10" s="4">
        <v>0.99648800396952397</v>
      </c>
      <c r="O10" s="4">
        <v>1868.9694146358499</v>
      </c>
      <c r="P10" s="4">
        <v>3.22927140141688</v>
      </c>
      <c r="Q10" s="4">
        <v>15.7946543416863</v>
      </c>
      <c r="R10" s="4">
        <v>0.26641504330952898</v>
      </c>
      <c r="S10" s="4">
        <v>2.8999236830972102E-6</v>
      </c>
      <c r="T10" s="4">
        <v>191.45664715462499</v>
      </c>
      <c r="U10" s="4">
        <v>1.9572238697833949E-2</v>
      </c>
      <c r="V10" s="4">
        <v>3.7356445228436401</v>
      </c>
      <c r="W10" s="4">
        <v>1.10584621819929E-2</v>
      </c>
      <c r="X10" s="4"/>
      <c r="Y10" s="4">
        <f t="shared" si="0"/>
        <v>17.892740600623313</v>
      </c>
      <c r="Z10" s="4">
        <f t="shared" si="2"/>
        <v>2.8843950775500313</v>
      </c>
      <c r="AA10" s="4">
        <f t="shared" si="3"/>
        <v>51.088907781278294</v>
      </c>
      <c r="AB10" s="4">
        <f t="shared" si="4"/>
        <v>20.03282371516309</v>
      </c>
      <c r="AC10" s="4">
        <f t="shared" si="5"/>
        <v>82.144991847393527</v>
      </c>
      <c r="AD10" s="5">
        <f t="shared" si="6"/>
        <v>61.088907781278294</v>
      </c>
      <c r="AE10" s="4">
        <f t="shared" si="7"/>
        <v>31.056084066115204</v>
      </c>
      <c r="AF10" s="4">
        <f t="shared" si="8"/>
        <v>-31.056084066115233</v>
      </c>
      <c r="AG10" t="s">
        <v>168</v>
      </c>
    </row>
    <row r="11" spans="1:33">
      <c r="A11" t="s">
        <v>86</v>
      </c>
      <c r="B11" t="s">
        <v>81</v>
      </c>
      <c r="C11" t="s">
        <v>168</v>
      </c>
      <c r="D11" t="s">
        <v>167</v>
      </c>
      <c r="E11" s="4">
        <v>7.7897049734853702E-2</v>
      </c>
      <c r="F11" s="4">
        <v>0.64991955951640001</v>
      </c>
      <c r="G11" s="4">
        <v>53.336618041340301</v>
      </c>
      <c r="H11" s="4">
        <v>10.631325101719201</v>
      </c>
      <c r="I11" s="4">
        <f t="shared" si="1"/>
        <v>1.06313251017192E-3</v>
      </c>
      <c r="J11" s="4">
        <v>245.99679991755599</v>
      </c>
      <c r="K11" s="4">
        <v>237.87071409959</v>
      </c>
      <c r="L11" s="4">
        <v>7.4816174143533498</v>
      </c>
      <c r="M11" s="4">
        <v>7.0302070093815798</v>
      </c>
      <c r="N11" s="4">
        <v>1.6561692158938399</v>
      </c>
      <c r="O11" s="4">
        <v>1996.1830720948201</v>
      </c>
      <c r="P11" s="4">
        <v>2.4369626753766598</v>
      </c>
      <c r="Q11" s="4">
        <v>10.3060016429062</v>
      </c>
      <c r="R11" s="4">
        <v>0.65079169649500201</v>
      </c>
      <c r="S11" s="4">
        <v>4.3873109013733297E-6</v>
      </c>
      <c r="T11" s="4">
        <v>195.73759492589701</v>
      </c>
      <c r="U11" s="4">
        <v>2.136560109660765E-2</v>
      </c>
      <c r="V11" s="4">
        <v>7.1445055976242502</v>
      </c>
      <c r="W11" s="4">
        <v>1.116114927963075E-2</v>
      </c>
      <c r="X11" s="4"/>
      <c r="Y11" s="4">
        <f t="shared" si="0"/>
        <v>26.986508764245805</v>
      </c>
      <c r="Z11" s="4">
        <f t="shared" si="2"/>
        <v>3.2953370657266725</v>
      </c>
      <c r="AA11" s="4">
        <f t="shared" si="3"/>
        <v>28.733663624469017</v>
      </c>
      <c r="AB11" s="4">
        <f t="shared" si="4"/>
        <v>-5.3222969553356734</v>
      </c>
      <c r="AC11" s="4">
        <f t="shared" si="5"/>
        <v>62.789624204273707</v>
      </c>
      <c r="AD11" s="5">
        <f t="shared" si="6"/>
        <v>38.733663624469017</v>
      </c>
      <c r="AE11" s="4">
        <f t="shared" si="7"/>
        <v>34.05596057980469</v>
      </c>
      <c r="AF11" s="4">
        <f t="shared" si="8"/>
        <v>-34.05596057980469</v>
      </c>
      <c r="AG11" t="s">
        <v>168</v>
      </c>
    </row>
    <row r="12" spans="1:33">
      <c r="A12" t="s">
        <v>87</v>
      </c>
      <c r="B12" t="s">
        <v>81</v>
      </c>
      <c r="C12" t="s">
        <v>168</v>
      </c>
      <c r="D12" t="s">
        <v>167</v>
      </c>
      <c r="E12" s="4">
        <v>7.6081773186639001E-2</v>
      </c>
      <c r="F12" s="4">
        <v>0.50908536786895497</v>
      </c>
      <c r="G12" s="4">
        <v>2.9342608963622299</v>
      </c>
      <c r="H12" s="4">
        <v>502.734144517625</v>
      </c>
      <c r="I12" s="4">
        <f t="shared" si="1"/>
        <v>5.0273414451762498E-2</v>
      </c>
      <c r="J12" s="4">
        <v>53.958708648454099</v>
      </c>
      <c r="K12" s="4">
        <v>13.5412121362041</v>
      </c>
      <c r="L12" s="4">
        <v>15.9199842963748</v>
      </c>
      <c r="M12" s="4">
        <v>1.3415837520711</v>
      </c>
      <c r="N12" s="4">
        <v>0.60874618990790896</v>
      </c>
      <c r="O12" s="4">
        <v>2008.0648150730201</v>
      </c>
      <c r="P12" s="4">
        <v>0.13687121779582201</v>
      </c>
      <c r="Q12" s="4">
        <v>1.5234500787255301</v>
      </c>
      <c r="R12" s="4">
        <v>1.9243095281668701</v>
      </c>
      <c r="S12" s="4">
        <v>3.716684432018745E-6</v>
      </c>
      <c r="T12" s="4">
        <v>238.937086484959</v>
      </c>
      <c r="U12" s="4">
        <v>2.18216358925498E-2</v>
      </c>
      <c r="V12" s="4">
        <v>61.819140206201801</v>
      </c>
      <c r="W12" s="4">
        <v>0.16152384447081</v>
      </c>
      <c r="X12" s="4"/>
      <c r="Y12" s="4">
        <f t="shared" si="0"/>
        <v>9.699869223908701</v>
      </c>
      <c r="Z12" s="4">
        <f t="shared" si="2"/>
        <v>2.2721124033471853</v>
      </c>
      <c r="AA12" s="4">
        <f t="shared" si="3"/>
        <v>84.397085257913119</v>
      </c>
      <c r="AB12" s="4">
        <f t="shared" si="4"/>
        <v>57.810664713478673</v>
      </c>
      <c r="AC12" s="4">
        <f t="shared" si="5"/>
        <v>110.98350580234757</v>
      </c>
      <c r="AD12" s="5">
        <f t="shared" si="6"/>
        <v>94.397085257913119</v>
      </c>
      <c r="AE12" s="4">
        <f t="shared" si="7"/>
        <v>26.586420544434446</v>
      </c>
      <c r="AF12" s="4">
        <f t="shared" si="8"/>
        <v>-26.586420544434446</v>
      </c>
      <c r="AG12" t="s">
        <v>168</v>
      </c>
    </row>
    <row r="13" spans="1:33">
      <c r="A13" t="s">
        <v>88</v>
      </c>
      <c r="B13" t="s">
        <v>81</v>
      </c>
      <c r="C13" t="s">
        <v>168</v>
      </c>
      <c r="D13" t="s">
        <v>167</v>
      </c>
      <c r="E13" s="4">
        <v>1.8987770437317499</v>
      </c>
      <c r="F13" s="4">
        <v>0.58544485682084502</v>
      </c>
      <c r="G13" s="4">
        <v>33.687643174469002</v>
      </c>
      <c r="H13" s="4">
        <v>156.02098994860799</v>
      </c>
      <c r="I13" s="4">
        <f t="shared" si="1"/>
        <v>1.56020989948608E-2</v>
      </c>
      <c r="J13" s="4">
        <v>456.347880150077</v>
      </c>
      <c r="K13" s="4">
        <v>249.41754854201599</v>
      </c>
      <c r="L13" s="4">
        <v>36.777231599622297</v>
      </c>
      <c r="M13" s="4">
        <v>28.596297438540098</v>
      </c>
      <c r="N13" s="4">
        <v>6.24252545639676</v>
      </c>
      <c r="O13" s="4">
        <v>2339.0435197953602</v>
      </c>
      <c r="P13" s="4">
        <v>2.7003001805090001</v>
      </c>
      <c r="Q13" s="4">
        <v>20.459426400171299</v>
      </c>
      <c r="R13" s="4">
        <v>35.645753839584799</v>
      </c>
      <c r="S13" s="4">
        <v>6.1244048099830996E-6</v>
      </c>
      <c r="T13" s="4">
        <v>494.56669551200901</v>
      </c>
      <c r="U13" s="4">
        <v>1.9957647009926801E-2</v>
      </c>
      <c r="V13" s="4">
        <v>59.073114839750701</v>
      </c>
      <c r="W13" s="4">
        <v>2.141373217580755E-2</v>
      </c>
      <c r="X13" s="4"/>
      <c r="Y13" s="4">
        <f t="shared" si="0"/>
        <v>15.546702142001706</v>
      </c>
      <c r="Z13" s="4">
        <f t="shared" si="2"/>
        <v>2.7438485352326971</v>
      </c>
      <c r="AA13" s="4">
        <f t="shared" si="3"/>
        <v>58.734639683341271</v>
      </c>
      <c r="AB13" s="4">
        <f t="shared" si="4"/>
        <v>28.70454537614259</v>
      </c>
      <c r="AC13" s="4">
        <f t="shared" si="5"/>
        <v>88.764733990539952</v>
      </c>
      <c r="AD13" s="5">
        <f t="shared" si="6"/>
        <v>68.734639683341271</v>
      </c>
      <c r="AE13" s="4">
        <f t="shared" si="7"/>
        <v>30.030094307198681</v>
      </c>
      <c r="AF13" s="4">
        <f t="shared" si="8"/>
        <v>-30.030094307198681</v>
      </c>
      <c r="AG13" t="s">
        <v>168</v>
      </c>
    </row>
    <row r="14" spans="1:33">
      <c r="A14" t="s">
        <v>89</v>
      </c>
      <c r="B14" t="s">
        <v>81</v>
      </c>
      <c r="C14" t="s">
        <v>168</v>
      </c>
      <c r="D14" t="s">
        <v>167</v>
      </c>
      <c r="E14" s="4">
        <v>4.5377214957181403E-2</v>
      </c>
      <c r="F14" s="4">
        <v>0.56210065184444502</v>
      </c>
      <c r="G14" s="4">
        <v>33.949355025812999</v>
      </c>
      <c r="H14" s="4">
        <v>15.375745918048199</v>
      </c>
      <c r="I14" s="4">
        <f t="shared" si="1"/>
        <v>1.5375745918048199E-3</v>
      </c>
      <c r="J14" s="4">
        <v>301.13648950592398</v>
      </c>
      <c r="K14" s="4">
        <v>206.785359426518</v>
      </c>
      <c r="L14" s="4">
        <v>34.046024807172699</v>
      </c>
      <c r="M14" s="4">
        <v>1.0259696541891501</v>
      </c>
      <c r="N14" s="4">
        <v>1.73321338518138</v>
      </c>
      <c r="O14" s="4">
        <v>1473.21411521654</v>
      </c>
      <c r="P14" s="4">
        <v>4.53893057404541</v>
      </c>
      <c r="Q14" s="4">
        <v>12.859049302611901</v>
      </c>
      <c r="R14" s="4">
        <v>0.49669465224215298</v>
      </c>
      <c r="S14" s="4">
        <v>5.8771438798823996E-6</v>
      </c>
      <c r="T14" s="4">
        <v>266.23151195989698</v>
      </c>
      <c r="U14" s="4">
        <v>1.9166421498514202E-2</v>
      </c>
      <c r="V14" s="4">
        <v>3.7289986272238602</v>
      </c>
      <c r="W14" s="4">
        <v>2.0561622987744849E-2</v>
      </c>
      <c r="X14" s="4"/>
      <c r="Y14" s="4">
        <f t="shared" si="0"/>
        <v>32.770110995246412</v>
      </c>
      <c r="Z14" s="4">
        <f t="shared" si="2"/>
        <v>3.4895168498043589</v>
      </c>
      <c r="AA14" s="4">
        <f t="shared" si="3"/>
        <v>18.170283370642892</v>
      </c>
      <c r="AB14" s="4">
        <f t="shared" si="4"/>
        <v>-17.303189632928934</v>
      </c>
      <c r="AC14" s="4">
        <f t="shared" si="5"/>
        <v>53.643756374214689</v>
      </c>
      <c r="AD14" s="5">
        <f t="shared" si="6"/>
        <v>28.170283370642892</v>
      </c>
      <c r="AE14" s="4">
        <f t="shared" si="7"/>
        <v>35.473473003571826</v>
      </c>
      <c r="AF14" s="4">
        <f t="shared" si="8"/>
        <v>-35.473473003571797</v>
      </c>
      <c r="AG14" t="s">
        <v>168</v>
      </c>
    </row>
    <row r="15" spans="1:33">
      <c r="A15" t="s">
        <v>90</v>
      </c>
      <c r="B15" t="s">
        <v>81</v>
      </c>
      <c r="C15" t="s">
        <v>168</v>
      </c>
      <c r="D15" t="s">
        <v>167</v>
      </c>
      <c r="E15" s="4">
        <v>5.4538144457671002E-2</v>
      </c>
      <c r="F15" s="4">
        <v>0.49811073852902399</v>
      </c>
      <c r="G15" s="4">
        <v>33.920918304140798</v>
      </c>
      <c r="H15" s="4">
        <v>11.7414196891863</v>
      </c>
      <c r="I15" s="4">
        <f t="shared" si="1"/>
        <v>1.1741419689186299E-3</v>
      </c>
      <c r="J15" s="4">
        <v>355.58238220643699</v>
      </c>
      <c r="K15" s="4">
        <v>322.61721007270802</v>
      </c>
      <c r="L15" s="4">
        <v>27.555993222034498</v>
      </c>
      <c r="M15" s="4">
        <v>7.3850268468564799</v>
      </c>
      <c r="N15" s="4">
        <v>1.3663883389554501</v>
      </c>
      <c r="O15" s="4">
        <v>1673.4877383886101</v>
      </c>
      <c r="P15" s="4">
        <v>1.6884561972319601</v>
      </c>
      <c r="Q15" s="4">
        <v>5.07841546917681</v>
      </c>
      <c r="R15" s="4">
        <v>0.97641647880164895</v>
      </c>
      <c r="S15" s="4">
        <v>7.0155373302921498E-6</v>
      </c>
      <c r="T15" s="4">
        <v>211.084540808122</v>
      </c>
      <c r="U15" s="4">
        <v>2.3499194052247749E-2</v>
      </c>
      <c r="V15" s="4">
        <v>10.424575469364999</v>
      </c>
      <c r="W15" s="4">
        <v>1.5698648781003299E-2</v>
      </c>
      <c r="X15" s="4"/>
      <c r="Y15" s="4">
        <f t="shared" si="0"/>
        <v>42.084257153357512</v>
      </c>
      <c r="Z15" s="4">
        <f t="shared" si="2"/>
        <v>3.7396737314054049</v>
      </c>
      <c r="AA15" s="4">
        <f t="shared" si="3"/>
        <v>4.5617490115459702</v>
      </c>
      <c r="AB15" s="4">
        <f t="shared" si="4"/>
        <v>-32.737869227713475</v>
      </c>
      <c r="AC15" s="4">
        <f t="shared" si="5"/>
        <v>41.861367250805415</v>
      </c>
      <c r="AD15" s="5">
        <f t="shared" si="6"/>
        <v>14.56174901154597</v>
      </c>
      <c r="AE15" s="4">
        <f t="shared" si="7"/>
        <v>37.299618239259445</v>
      </c>
      <c r="AF15" s="4">
        <f t="shared" si="8"/>
        <v>-37.299618239259445</v>
      </c>
      <c r="AG15" t="s">
        <v>168</v>
      </c>
    </row>
    <row r="16" spans="1:33">
      <c r="A16" t="s">
        <v>91</v>
      </c>
      <c r="B16" t="s">
        <v>81</v>
      </c>
      <c r="C16" t="s">
        <v>168</v>
      </c>
      <c r="D16" t="s">
        <v>167</v>
      </c>
      <c r="E16" s="4">
        <v>6.0593906833017498E-2</v>
      </c>
      <c r="F16" s="4">
        <v>0.55345657439044504</v>
      </c>
      <c r="G16" s="4">
        <v>28.734714242859599</v>
      </c>
      <c r="H16" s="4">
        <v>91.566811207913503</v>
      </c>
      <c r="I16" s="4">
        <f t="shared" si="1"/>
        <v>9.1566811207913507E-3</v>
      </c>
      <c r="J16" s="4">
        <v>208.59127727133301</v>
      </c>
      <c r="K16" s="4">
        <v>164.31834545197501</v>
      </c>
      <c r="L16" s="4">
        <v>17.5777128026368</v>
      </c>
      <c r="M16" s="4">
        <v>6.29740955309809</v>
      </c>
      <c r="N16" s="4">
        <v>1.12268907332515</v>
      </c>
      <c r="O16" s="4">
        <v>1818.11608883848</v>
      </c>
      <c r="P16" s="4">
        <v>2.2471305880011001</v>
      </c>
      <c r="Q16" s="4">
        <v>6.4882215452366596</v>
      </c>
      <c r="R16" s="4">
        <v>2.42407591236188</v>
      </c>
      <c r="S16" s="4">
        <v>7.7925297370262996E-6</v>
      </c>
      <c r="T16" s="4">
        <v>267.82394403734997</v>
      </c>
      <c r="U16" s="4">
        <v>2.6117772249119951E-2</v>
      </c>
      <c r="V16" s="4">
        <v>9.6198107884176096</v>
      </c>
      <c r="W16" s="4">
        <v>1.74445221734497E-2</v>
      </c>
      <c r="X16" s="4"/>
      <c r="Y16" s="4">
        <f t="shared" si="0"/>
        <v>15.440286367618244</v>
      </c>
      <c r="Z16" s="4">
        <f t="shared" si="2"/>
        <v>2.7369800915501683</v>
      </c>
      <c r="AA16" s="4">
        <f t="shared" si="3"/>
        <v>59.108283019670836</v>
      </c>
      <c r="AB16" s="4">
        <f t="shared" si="4"/>
        <v>29.128328351354639</v>
      </c>
      <c r="AC16" s="4">
        <f t="shared" si="5"/>
        <v>89.088237687987061</v>
      </c>
      <c r="AD16" s="5">
        <f t="shared" si="6"/>
        <v>69.108283019670836</v>
      </c>
      <c r="AE16" s="4">
        <f t="shared" si="7"/>
        <v>29.979954668316196</v>
      </c>
      <c r="AF16" s="4">
        <f t="shared" si="8"/>
        <v>-29.979954668316225</v>
      </c>
      <c r="AG16" t="s">
        <v>168</v>
      </c>
    </row>
    <row r="17" spans="1:33">
      <c r="A17" t="s">
        <v>92</v>
      </c>
      <c r="B17" t="s">
        <v>81</v>
      </c>
      <c r="C17" t="s">
        <v>168</v>
      </c>
      <c r="D17" t="s">
        <v>167</v>
      </c>
      <c r="E17" s="4">
        <v>5.0624406797885997E-2</v>
      </c>
      <c r="F17" s="4">
        <v>0.63718301868967497</v>
      </c>
      <c r="G17" s="4">
        <v>36.610775979432098</v>
      </c>
      <c r="H17" s="4">
        <v>19.603340314695352</v>
      </c>
      <c r="I17" s="4">
        <f t="shared" si="1"/>
        <v>1.9603340314695351E-3</v>
      </c>
      <c r="J17" s="4">
        <v>555.82562907370902</v>
      </c>
      <c r="K17" s="4">
        <v>431.05670298475201</v>
      </c>
      <c r="L17" s="4">
        <v>80.857631945341396</v>
      </c>
      <c r="M17" s="4">
        <v>16.806793209859599</v>
      </c>
      <c r="N17" s="4">
        <v>2.4294927782829001</v>
      </c>
      <c r="O17" s="4">
        <v>1663.39008515041</v>
      </c>
      <c r="P17" s="4">
        <v>2.5305107803375799</v>
      </c>
      <c r="Q17" s="4">
        <v>4.5627391348042803</v>
      </c>
      <c r="R17" s="4">
        <v>2.0541915784246298</v>
      </c>
      <c r="S17" s="4">
        <v>0.34078892129341448</v>
      </c>
      <c r="T17" s="4">
        <v>191.156381167744</v>
      </c>
      <c r="U17" s="4">
        <v>0.13138681632198901</v>
      </c>
      <c r="V17" s="4">
        <v>17.9636121928365</v>
      </c>
      <c r="W17" s="4">
        <v>2.1509799539178549E-2</v>
      </c>
      <c r="X17" s="4"/>
      <c r="Y17" s="4">
        <f t="shared" si="0"/>
        <v>44.4724911396845</v>
      </c>
      <c r="Z17" s="6">
        <f t="shared" si="2"/>
        <v>3.7948708213859339</v>
      </c>
      <c r="AA17" s="6">
        <f t="shared" si="3"/>
        <v>1.55902731660521</v>
      </c>
      <c r="AB17" s="6">
        <f t="shared" si="4"/>
        <v>-36.143529679512113</v>
      </c>
      <c r="AC17" s="6">
        <f t="shared" si="5"/>
        <v>39.261584312722505</v>
      </c>
      <c r="AD17" s="7">
        <f t="shared" si="6"/>
        <v>11.55902731660521</v>
      </c>
      <c r="AE17" s="6">
        <f t="shared" si="7"/>
        <v>37.702556996117323</v>
      </c>
      <c r="AF17" s="6">
        <f t="shared" si="8"/>
        <v>-37.702556996117295</v>
      </c>
      <c r="AG17" t="s">
        <v>168</v>
      </c>
    </row>
    <row r="18" spans="1:33">
      <c r="A18" t="s">
        <v>93</v>
      </c>
      <c r="B18" t="s">
        <v>81</v>
      </c>
      <c r="C18" t="s">
        <v>168</v>
      </c>
      <c r="D18" t="s">
        <v>167</v>
      </c>
      <c r="E18" s="4">
        <v>0.15254540829159499</v>
      </c>
      <c r="F18" s="4">
        <v>0.3937503185385865</v>
      </c>
      <c r="G18" s="4">
        <v>35.103452262940699</v>
      </c>
      <c r="H18" s="4">
        <v>15.48411448781285</v>
      </c>
      <c r="I18" s="4">
        <f t="shared" si="1"/>
        <v>1.5484114487812849E-3</v>
      </c>
      <c r="J18" s="4">
        <v>543.33595360469701</v>
      </c>
      <c r="K18" s="4">
        <v>565.13628252511296</v>
      </c>
      <c r="L18" s="4">
        <v>10.1861451024137</v>
      </c>
      <c r="M18" s="4">
        <v>9.0413356240786804</v>
      </c>
      <c r="N18" s="4">
        <v>0.81633697858695198</v>
      </c>
      <c r="O18" s="4">
        <v>1743.63271885991</v>
      </c>
      <c r="P18" s="4">
        <v>2.2746692682948799</v>
      </c>
      <c r="Q18" s="4">
        <v>5.9949051030407396</v>
      </c>
      <c r="R18" s="4">
        <v>1.0536886147757001</v>
      </c>
      <c r="S18" s="4">
        <v>4.8287176287361403E-6</v>
      </c>
      <c r="T18" s="4">
        <v>198.35564479478899</v>
      </c>
      <c r="U18" s="4">
        <v>4.4032049916786498E-2</v>
      </c>
      <c r="V18" s="4">
        <v>9.7036863323759501</v>
      </c>
      <c r="W18" s="4">
        <v>5.07312424614225E-2</v>
      </c>
      <c r="X18" s="4"/>
      <c r="Y18" s="4">
        <f t="shared" si="0"/>
        <v>33.282513785708424</v>
      </c>
      <c r="Z18" s="4">
        <f t="shared" si="2"/>
        <v>3.5050321475267614</v>
      </c>
      <c r="AA18" s="4">
        <f t="shared" si="3"/>
        <v>17.326251174544183</v>
      </c>
      <c r="AB18" s="4">
        <f t="shared" si="4"/>
        <v>-18.260483502401172</v>
      </c>
      <c r="AC18" s="4">
        <f t="shared" si="5"/>
        <v>52.912985851489537</v>
      </c>
      <c r="AD18" s="5">
        <f t="shared" si="6"/>
        <v>27.326251174544183</v>
      </c>
      <c r="AE18" s="4">
        <f t="shared" si="7"/>
        <v>35.586734676945355</v>
      </c>
      <c r="AF18" s="4">
        <f t="shared" si="8"/>
        <v>-35.586734676945355</v>
      </c>
      <c r="AG18" t="s">
        <v>168</v>
      </c>
    </row>
    <row r="19" spans="1:33">
      <c r="A19" t="s">
        <v>80</v>
      </c>
      <c r="B19" t="s">
        <v>81</v>
      </c>
      <c r="C19" t="s">
        <v>169</v>
      </c>
      <c r="D19" t="s">
        <v>167</v>
      </c>
      <c r="E19" s="4">
        <v>4.82350552968916E-2</v>
      </c>
      <c r="F19" s="4">
        <v>0.65940377609381995</v>
      </c>
      <c r="G19" s="4">
        <v>8.0673439510837905</v>
      </c>
      <c r="H19" s="4">
        <v>292.41934380068</v>
      </c>
      <c r="I19" s="4">
        <f t="shared" si="1"/>
        <v>2.9241934380067999E-2</v>
      </c>
      <c r="J19" s="4">
        <v>178.347707872754</v>
      </c>
      <c r="K19" s="4">
        <v>127.09614605666199</v>
      </c>
      <c r="L19" s="4">
        <v>25.880356769863901</v>
      </c>
      <c r="M19" s="4">
        <v>0.61739607393421503</v>
      </c>
      <c r="N19" s="4">
        <v>0.13009284948526201</v>
      </c>
      <c r="O19" s="4">
        <v>3478.2445484248801</v>
      </c>
      <c r="P19" s="4">
        <v>4.1889938555224347E-2</v>
      </c>
      <c r="Q19" s="4">
        <v>0.554489192929285</v>
      </c>
      <c r="R19" s="4">
        <v>0.14796209293596449</v>
      </c>
      <c r="S19" s="4">
        <v>4.4147715986074304E-6</v>
      </c>
      <c r="T19" s="4">
        <v>347.55932467648398</v>
      </c>
      <c r="U19" s="4">
        <v>3.0390798570837398E-2</v>
      </c>
      <c r="V19" s="4">
        <v>1.08434261485052</v>
      </c>
      <c r="W19" s="4">
        <v>3.3268871146429298E-2</v>
      </c>
      <c r="X19" s="4"/>
      <c r="Y19" s="4">
        <f t="shared" si="0"/>
        <v>19.851038769900544</v>
      </c>
      <c r="Z19" s="6">
        <f t="shared" si="2"/>
        <v>2.9882563367413391</v>
      </c>
      <c r="AA19" s="6">
        <f t="shared" si="3"/>
        <v>45.438855281271145</v>
      </c>
      <c r="AB19" s="6">
        <f t="shared" si="4"/>
        <v>13.624584023059384</v>
      </c>
      <c r="AC19" s="6">
        <f t="shared" si="5"/>
        <v>77.253126539482935</v>
      </c>
      <c r="AD19" s="7">
        <f t="shared" si="6"/>
        <v>55.438855281271145</v>
      </c>
      <c r="AE19" s="6">
        <f t="shared" si="7"/>
        <v>31.814271258211761</v>
      </c>
      <c r="AF19" s="6">
        <f t="shared" si="8"/>
        <v>-31.814271258211789</v>
      </c>
      <c r="AG19" t="s">
        <v>169</v>
      </c>
    </row>
    <row r="20" spans="1:33">
      <c r="A20" t="s">
        <v>94</v>
      </c>
      <c r="B20" t="s">
        <v>81</v>
      </c>
      <c r="C20" t="s">
        <v>169</v>
      </c>
      <c r="D20" t="s">
        <v>167</v>
      </c>
      <c r="E20" s="4">
        <v>7.7280640991224406E-2</v>
      </c>
      <c r="F20" s="4">
        <v>0.73078790678907501</v>
      </c>
      <c r="G20" s="4">
        <v>8.9471130281383005</v>
      </c>
      <c r="H20" s="4">
        <v>297.83131640633297</v>
      </c>
      <c r="I20" s="4">
        <f t="shared" si="1"/>
        <v>2.9783131640633297E-2</v>
      </c>
      <c r="J20" s="4">
        <v>69.602291975088306</v>
      </c>
      <c r="K20" s="4">
        <v>4.12609225475929</v>
      </c>
      <c r="L20" s="4">
        <v>26.993705640063901</v>
      </c>
      <c r="M20" s="4">
        <v>4.4109162369360702</v>
      </c>
      <c r="N20" s="4">
        <v>0.76836418627862502</v>
      </c>
      <c r="O20" s="4">
        <v>4026.04476347127</v>
      </c>
      <c r="P20" s="4">
        <v>2.4608511477060249E-2</v>
      </c>
      <c r="Q20" s="4">
        <v>0.58162380421200299</v>
      </c>
      <c r="R20" s="4">
        <v>6.3052765749750597</v>
      </c>
      <c r="S20" s="4">
        <v>4.233686337325135E-6</v>
      </c>
      <c r="T20" s="4">
        <v>159.41599438075801</v>
      </c>
      <c r="U20" s="4">
        <v>1.5334781690267E-2</v>
      </c>
      <c r="V20" s="4">
        <v>4.47136663552911</v>
      </c>
      <c r="W20" s="4">
        <v>2.1431962856587501E-2</v>
      </c>
      <c r="X20" s="4"/>
      <c r="Y20" s="4">
        <f t="shared" si="0"/>
        <v>9.6712400789731561</v>
      </c>
      <c r="Z20" s="4">
        <f>LN(Y20)</f>
        <v>2.2691565410542625</v>
      </c>
      <c r="AA20" s="4">
        <f>-54.4*Z20+208</f>
        <v>84.557884166648122</v>
      </c>
      <c r="AB20" s="4">
        <f t="shared" si="4"/>
        <v>57.993041416952025</v>
      </c>
      <c r="AC20" s="4">
        <f t="shared" si="5"/>
        <v>111.12272691634423</v>
      </c>
      <c r="AD20" s="5">
        <f t="shared" si="6"/>
        <v>94.557884166648122</v>
      </c>
      <c r="AE20" s="4">
        <f t="shared" si="7"/>
        <v>26.564842749696098</v>
      </c>
      <c r="AF20" s="4">
        <f t="shared" si="8"/>
        <v>-26.564842749696112</v>
      </c>
      <c r="AG20" t="s">
        <v>169</v>
      </c>
    </row>
    <row r="21" spans="1:33">
      <c r="A21" t="s">
        <v>95</v>
      </c>
      <c r="B21" t="s">
        <v>96</v>
      </c>
      <c r="C21" t="s">
        <v>169</v>
      </c>
      <c r="D21" t="s">
        <v>167</v>
      </c>
      <c r="E21" s="4">
        <v>3.4155562266220497E-2</v>
      </c>
      <c r="F21" s="4">
        <v>0.69280105649391999</v>
      </c>
      <c r="G21" s="4">
        <v>8.5822005281711604</v>
      </c>
      <c r="H21" s="4">
        <v>277.39614393268999</v>
      </c>
      <c r="I21" s="4">
        <f t="shared" si="1"/>
        <v>2.7739614393269E-2</v>
      </c>
      <c r="J21" s="4">
        <v>272.18605295047598</v>
      </c>
      <c r="K21" s="4">
        <v>133.40894517596001</v>
      </c>
      <c r="L21" s="4">
        <v>55.591609078845401</v>
      </c>
      <c r="M21" s="4">
        <v>3.8209651366978901</v>
      </c>
      <c r="N21" s="4">
        <v>0.56521716091152596</v>
      </c>
      <c r="O21" s="4">
        <v>3937.7725959129598</v>
      </c>
      <c r="P21" s="4">
        <v>3.1276867712799E-2</v>
      </c>
      <c r="Q21" s="4">
        <v>0.63004506449769004</v>
      </c>
      <c r="R21" s="4">
        <v>8.6083397771318992</v>
      </c>
      <c r="S21" s="4">
        <v>2.8794276167617102E-6</v>
      </c>
      <c r="T21" s="4">
        <v>345.01627909253898</v>
      </c>
      <c r="U21" s="4">
        <v>3.7932582790123653E-2</v>
      </c>
      <c r="V21" s="4">
        <v>4.0353810497093496</v>
      </c>
      <c r="W21" s="4">
        <v>2.436874341379585E-2</v>
      </c>
      <c r="X21" s="4"/>
      <c r="Y21" s="4">
        <f t="shared" si="0"/>
        <v>24.618042138934385</v>
      </c>
      <c r="Z21" s="6">
        <f t="shared" si="2"/>
        <v>3.2034795943989791</v>
      </c>
      <c r="AA21" s="6">
        <f t="shared" si="3"/>
        <v>33.730710064695529</v>
      </c>
      <c r="AB21" s="6">
        <f t="shared" si="4"/>
        <v>0.34530902558299204</v>
      </c>
      <c r="AC21" s="6">
        <f t="shared" si="5"/>
        <v>67.116111103808066</v>
      </c>
      <c r="AD21" s="7">
        <f t="shared" si="6"/>
        <v>43.730710064695529</v>
      </c>
      <c r="AE21" s="6">
        <f t="shared" si="7"/>
        <v>33.385401039112537</v>
      </c>
      <c r="AF21" s="6">
        <f t="shared" si="8"/>
        <v>-33.385401039112537</v>
      </c>
      <c r="AG21" t="s">
        <v>169</v>
      </c>
    </row>
    <row r="22" spans="1:33">
      <c r="A22" t="s">
        <v>97</v>
      </c>
      <c r="B22" t="s">
        <v>96</v>
      </c>
      <c r="C22" t="s">
        <v>169</v>
      </c>
      <c r="D22" t="s">
        <v>167</v>
      </c>
      <c r="E22" s="4">
        <v>8.4819610722370303E-3</v>
      </c>
      <c r="F22" s="4">
        <v>0.58686079335070496</v>
      </c>
      <c r="G22" s="4">
        <v>7.9654362842570503</v>
      </c>
      <c r="H22" s="4">
        <v>260.11886713785799</v>
      </c>
      <c r="I22" s="4">
        <f t="shared" si="1"/>
        <v>2.6011886713785799E-2</v>
      </c>
      <c r="J22" s="4">
        <v>719.99802261146397</v>
      </c>
      <c r="K22" s="4">
        <v>288.58974964173899</v>
      </c>
      <c r="L22" s="4">
        <v>164.940993212622</v>
      </c>
      <c r="M22" s="4">
        <v>37.322486353315298</v>
      </c>
      <c r="N22" s="4">
        <v>4.9348434970529897</v>
      </c>
      <c r="O22" s="4">
        <v>3598.31894224493</v>
      </c>
      <c r="P22" s="4">
        <v>2.407704637957815E-5</v>
      </c>
      <c r="Q22" s="4">
        <v>0.56005523437459304</v>
      </c>
      <c r="R22" s="4">
        <v>53.5536381074659</v>
      </c>
      <c r="S22" s="4">
        <v>3.3040284040403748E-6</v>
      </c>
      <c r="T22" s="4">
        <v>328.71411852170201</v>
      </c>
      <c r="U22" s="4">
        <v>5.5220230202583001E-2</v>
      </c>
      <c r="V22" s="4">
        <v>18.107424987684301</v>
      </c>
      <c r="W22" s="4">
        <v>8.1674543040554E-3</v>
      </c>
      <c r="X22" s="4"/>
      <c r="Y22" s="4">
        <f t="shared" si="0"/>
        <v>78.896596920116764</v>
      </c>
      <c r="Z22" s="4">
        <f t="shared" si="2"/>
        <v>4.3681380953641806</v>
      </c>
      <c r="AA22" s="4">
        <f t="shared" si="3"/>
        <v>-29.626712387811409</v>
      </c>
      <c r="AB22" s="4">
        <f t="shared" si="4"/>
        <v>-71.514120483969918</v>
      </c>
      <c r="AC22" s="4">
        <f t="shared" si="5"/>
        <v>12.2606957083471</v>
      </c>
      <c r="AD22" s="5">
        <f t="shared" si="6"/>
        <v>-19.626712387811409</v>
      </c>
      <c r="AE22" s="4">
        <f t="shared" si="7"/>
        <v>41.887408096158509</v>
      </c>
      <c r="AF22" s="4">
        <f t="shared" si="8"/>
        <v>-41.887408096158509</v>
      </c>
      <c r="AG22" t="s">
        <v>169</v>
      </c>
    </row>
    <row r="23" spans="1:33">
      <c r="A23" t="s">
        <v>98</v>
      </c>
      <c r="B23" t="s">
        <v>96</v>
      </c>
      <c r="C23" t="s">
        <v>169</v>
      </c>
      <c r="D23" t="s">
        <v>167</v>
      </c>
      <c r="E23" s="4">
        <v>7.3531772174173504E-2</v>
      </c>
      <c r="F23" s="4">
        <v>0.50882862657805505</v>
      </c>
      <c r="G23" s="4">
        <v>7.3268748933060301</v>
      </c>
      <c r="H23" s="4">
        <v>257.98932549659497</v>
      </c>
      <c r="I23" s="4">
        <f t="shared" si="1"/>
        <v>2.5798932549659499E-2</v>
      </c>
      <c r="J23" s="4">
        <v>1571.4705835075399</v>
      </c>
      <c r="K23" s="4">
        <v>60.941178551855003</v>
      </c>
      <c r="L23" s="4">
        <v>342.97363575696897</v>
      </c>
      <c r="M23" s="4">
        <v>251.19224320137599</v>
      </c>
      <c r="N23" s="4">
        <v>5.7925403600775196</v>
      </c>
      <c r="O23" s="4">
        <v>3187.3215061488399</v>
      </c>
      <c r="P23" s="4">
        <v>5.6616690296941899E-2</v>
      </c>
      <c r="Q23" s="4">
        <v>0.66115968411935999</v>
      </c>
      <c r="R23" s="4">
        <v>297.54828366088998</v>
      </c>
      <c r="S23" s="4">
        <v>5.8233122562635503E-6</v>
      </c>
      <c r="T23" s="4">
        <v>342.367349042939</v>
      </c>
      <c r="U23" s="4">
        <v>4.7059106133400953E-2</v>
      </c>
      <c r="V23" s="4">
        <v>71.970684149604594</v>
      </c>
      <c r="W23" s="4">
        <v>1.119812482743345E-2</v>
      </c>
      <c r="X23" s="4"/>
      <c r="Y23" s="4">
        <f t="shared" si="0"/>
        <v>30.893485053821987</v>
      </c>
      <c r="Z23" s="4">
        <f t="shared" si="2"/>
        <v>3.4305453219917528</v>
      </c>
      <c r="AA23" s="4">
        <f t="shared" si="3"/>
        <v>21.378334483648644</v>
      </c>
      <c r="AB23" s="4">
        <f t="shared" si="4"/>
        <v>-13.664646366891134</v>
      </c>
      <c r="AC23" s="4">
        <f t="shared" si="5"/>
        <v>56.421315334188449</v>
      </c>
      <c r="AD23" s="5">
        <f t="shared" si="6"/>
        <v>31.378334483648644</v>
      </c>
      <c r="AE23" s="4">
        <f t="shared" si="7"/>
        <v>35.042980850539777</v>
      </c>
      <c r="AF23" s="4">
        <f t="shared" si="8"/>
        <v>-35.042980850539806</v>
      </c>
      <c r="AG23" t="s">
        <v>169</v>
      </c>
    </row>
    <row r="24" spans="1:33">
      <c r="A24" t="s">
        <v>99</v>
      </c>
      <c r="B24" t="s">
        <v>96</v>
      </c>
      <c r="C24" t="s">
        <v>169</v>
      </c>
      <c r="D24" t="s">
        <v>167</v>
      </c>
      <c r="E24" s="4">
        <v>7.0008451477284003E-2</v>
      </c>
      <c r="F24" s="4">
        <v>0.48470157786488249</v>
      </c>
      <c r="G24" s="4">
        <v>6.5512495399181496</v>
      </c>
      <c r="H24" s="4">
        <v>251.48230063390599</v>
      </c>
      <c r="I24" s="4">
        <f t="shared" si="1"/>
        <v>2.5148230063390599E-2</v>
      </c>
      <c r="J24" s="4">
        <v>1836.3236365993</v>
      </c>
      <c r="K24" s="4">
        <v>418.80104216596601</v>
      </c>
      <c r="L24" s="4">
        <v>496.54257787824201</v>
      </c>
      <c r="M24" s="4">
        <v>142.57764896265601</v>
      </c>
      <c r="N24" s="4">
        <v>4.9575987338255496</v>
      </c>
      <c r="O24" s="4">
        <v>2751.1322681219299</v>
      </c>
      <c r="P24" s="4">
        <v>2.3869650302501998E-2</v>
      </c>
      <c r="Q24" s="4">
        <v>0.62913030071200504</v>
      </c>
      <c r="R24" s="4">
        <v>174.142416265977</v>
      </c>
      <c r="S24" s="4">
        <v>5.5386725623354998E-6</v>
      </c>
      <c r="T24" s="4">
        <v>287.47197476676399</v>
      </c>
      <c r="U24" s="4">
        <v>4.4810667939930049E-2</v>
      </c>
      <c r="V24" s="4">
        <v>50.244327102799502</v>
      </c>
      <c r="W24" s="4">
        <v>1.0666242386350199E-2</v>
      </c>
      <c r="X24" s="4"/>
      <c r="Y24" s="4">
        <f t="shared" si="0"/>
        <v>57.638803033906392</v>
      </c>
      <c r="Z24" s="4">
        <f t="shared" si="2"/>
        <v>4.0541960046753527</v>
      </c>
      <c r="AA24" s="4">
        <f t="shared" si="3"/>
        <v>-12.548262654339169</v>
      </c>
      <c r="AB24" s="4">
        <f t="shared" si="4"/>
        <v>-52.143893488469246</v>
      </c>
      <c r="AC24" s="4">
        <f t="shared" si="5"/>
        <v>27.04736817979088</v>
      </c>
      <c r="AD24" s="5">
        <f t="shared" si="6"/>
        <v>-2.5482626543391689</v>
      </c>
      <c r="AE24" s="4">
        <f t="shared" si="7"/>
        <v>39.595630834130077</v>
      </c>
      <c r="AF24" s="4">
        <f t="shared" si="8"/>
        <v>-39.595630834130048</v>
      </c>
      <c r="AG24" t="s">
        <v>169</v>
      </c>
    </row>
    <row r="25" spans="1:33">
      <c r="A25" t="s">
        <v>100</v>
      </c>
      <c r="B25" t="s">
        <v>96</v>
      </c>
      <c r="C25" t="s">
        <v>169</v>
      </c>
      <c r="D25" t="s">
        <v>167</v>
      </c>
      <c r="E25" s="4">
        <v>3.2413569171858898E-2</v>
      </c>
      <c r="F25" s="4">
        <v>0.67458120349606998</v>
      </c>
      <c r="G25" s="4">
        <v>7.5231725828081704</v>
      </c>
      <c r="H25" s="4">
        <v>329.83583422274398</v>
      </c>
      <c r="I25" s="4">
        <f t="shared" si="1"/>
        <v>3.29835834222744E-2</v>
      </c>
      <c r="J25" s="4">
        <v>1685.55142502641</v>
      </c>
      <c r="K25" s="4">
        <v>297.66698279995097</v>
      </c>
      <c r="L25" s="4">
        <v>448.976220455874</v>
      </c>
      <c r="M25" s="4">
        <v>139.89540885595801</v>
      </c>
      <c r="N25" s="4">
        <v>8.5400414912949092</v>
      </c>
      <c r="O25" s="4">
        <v>3339.13558560513</v>
      </c>
      <c r="P25" s="4">
        <v>1.8264140106624551E-2</v>
      </c>
      <c r="Q25" s="4">
        <v>0.68257615731614996</v>
      </c>
      <c r="R25" s="4">
        <v>185.930269214318</v>
      </c>
      <c r="S25" s="4">
        <v>0.4643682186725745</v>
      </c>
      <c r="T25" s="4">
        <v>300.38940322839898</v>
      </c>
      <c r="U25" s="4">
        <v>3.6909422317709849E-2</v>
      </c>
      <c r="V25" s="4">
        <v>65.930398818621697</v>
      </c>
      <c r="W25" s="4">
        <v>3.12436355986935E-2</v>
      </c>
      <c r="X25" s="4"/>
      <c r="Y25" s="4">
        <f t="shared" si="0"/>
        <v>47.260635108737347</v>
      </c>
      <c r="Z25" s="4">
        <f t="shared" si="2"/>
        <v>3.8556777102790729</v>
      </c>
      <c r="AA25" s="4">
        <f t="shared" si="3"/>
        <v>-1.7488674391815664</v>
      </c>
      <c r="AB25" s="4">
        <f t="shared" si="4"/>
        <v>-39.895314724218792</v>
      </c>
      <c r="AC25" s="4">
        <f t="shared" si="5"/>
        <v>36.39757984585566</v>
      </c>
      <c r="AD25" s="5">
        <f t="shared" si="6"/>
        <v>8.2511325608184336</v>
      </c>
      <c r="AE25" s="4">
        <f t="shared" si="7"/>
        <v>38.146447285037226</v>
      </c>
      <c r="AF25" s="4">
        <f t="shared" si="8"/>
        <v>-38.146447285037226</v>
      </c>
      <c r="AG25" t="s">
        <v>169</v>
      </c>
    </row>
    <row r="26" spans="1:33">
      <c r="A26" t="s">
        <v>101</v>
      </c>
      <c r="B26" t="s">
        <v>96</v>
      </c>
      <c r="C26" t="s">
        <v>169</v>
      </c>
      <c r="D26" t="s">
        <v>167</v>
      </c>
      <c r="E26" s="4">
        <v>4.0266021356561349E-2</v>
      </c>
      <c r="F26" s="4">
        <v>0.38409834225573253</v>
      </c>
      <c r="G26" s="4">
        <v>6.42761828426816</v>
      </c>
      <c r="H26" s="4">
        <v>153.15217206584899</v>
      </c>
      <c r="I26" s="4">
        <f t="shared" si="1"/>
        <v>1.5315217206584899E-2</v>
      </c>
      <c r="J26" s="4">
        <v>866.56991265481497</v>
      </c>
      <c r="K26" s="4">
        <v>72.255956880941795</v>
      </c>
      <c r="L26" s="4">
        <v>335.994366133992</v>
      </c>
      <c r="M26" s="4">
        <v>21.962062557891301</v>
      </c>
      <c r="N26" s="4">
        <v>2.0224716524533202</v>
      </c>
      <c r="O26" s="4">
        <v>2380.7904709213799</v>
      </c>
      <c r="P26" s="4">
        <v>9.4639179231144101E-3</v>
      </c>
      <c r="Q26" s="4">
        <v>0.387673707326538</v>
      </c>
      <c r="R26" s="4">
        <v>26.312852328212902</v>
      </c>
      <c r="S26" s="4">
        <v>4.7105585466954653E-6</v>
      </c>
      <c r="T26" s="4">
        <v>282.37717989686701</v>
      </c>
      <c r="U26" s="4">
        <v>1.6352771666576001E-2</v>
      </c>
      <c r="V26" s="4">
        <v>5.6865040531553204</v>
      </c>
      <c r="W26" s="4">
        <v>6.5097867675408998E-3</v>
      </c>
      <c r="X26" s="4"/>
      <c r="Y26" s="4">
        <f>((K26^0.22*L26^0.22)/(I26^0.37*G26^0.2*P26^0.1))</f>
        <v>47.537086642762368</v>
      </c>
      <c r="Z26" s="4">
        <f t="shared" si="2"/>
        <v>3.8615101778237224</v>
      </c>
      <c r="AA26" s="4">
        <f t="shared" si="3"/>
        <v>-2.0661536736105006</v>
      </c>
      <c r="AB26" s="4">
        <f t="shared" si="4"/>
        <v>-40.255177971723668</v>
      </c>
      <c r="AC26" s="4">
        <f t="shared" si="5"/>
        <v>36.122870624502667</v>
      </c>
      <c r="AD26" s="5">
        <f t="shared" si="6"/>
        <v>7.9338463263894994</v>
      </c>
      <c r="AE26" s="4">
        <f t="shared" si="7"/>
        <v>38.189024298113168</v>
      </c>
      <c r="AF26" s="4">
        <f t="shared" si="8"/>
        <v>-38.189024298113168</v>
      </c>
      <c r="AG26" t="s">
        <v>169</v>
      </c>
    </row>
    <row r="27" spans="1:33">
      <c r="A27" t="s">
        <v>102</v>
      </c>
      <c r="B27" t="s">
        <v>96</v>
      </c>
      <c r="C27" t="s">
        <v>169</v>
      </c>
      <c r="D27" t="s">
        <v>167</v>
      </c>
      <c r="E27" s="4">
        <v>4.9403649323280202E-2</v>
      </c>
      <c r="F27" s="4">
        <v>0.47861869680476749</v>
      </c>
      <c r="G27" s="4">
        <v>6.4054031230202098</v>
      </c>
      <c r="H27" s="4">
        <v>249.51392491081899</v>
      </c>
      <c r="I27" s="4">
        <f t="shared" si="1"/>
        <v>2.49513924910819E-2</v>
      </c>
      <c r="J27" s="4">
        <v>2022.97457756736</v>
      </c>
      <c r="K27" s="4">
        <v>210.033414596206</v>
      </c>
      <c r="L27" s="4">
        <v>562.17523527582102</v>
      </c>
      <c r="M27" s="4">
        <v>197.95141285769199</v>
      </c>
      <c r="N27" s="4">
        <v>5.03158223796071</v>
      </c>
      <c r="O27" s="4">
        <v>2791.6832061611999</v>
      </c>
      <c r="P27" s="4">
        <v>2.4075940323729152E-2</v>
      </c>
      <c r="Q27" s="4">
        <v>0.66409656700892405</v>
      </c>
      <c r="R27" s="4">
        <v>227.93186085684999</v>
      </c>
      <c r="S27" s="4">
        <v>6.5121064014595498E-6</v>
      </c>
      <c r="T27" s="4">
        <v>262.87955118377101</v>
      </c>
      <c r="U27" s="4">
        <v>2.97041520176861E-2</v>
      </c>
      <c r="V27" s="4">
        <v>61.407550747343898</v>
      </c>
      <c r="W27" s="4">
        <v>1.127756831395685E-2</v>
      </c>
      <c r="X27" s="4"/>
      <c r="Y27" s="4">
        <f t="shared" si="0"/>
        <v>51.225066629393631</v>
      </c>
      <c r="Z27" s="4">
        <f t="shared" si="2"/>
        <v>3.9362289948443445</v>
      </c>
      <c r="AA27" s="4">
        <f t="shared" si="3"/>
        <v>-6.130857319532339</v>
      </c>
      <c r="AB27" s="4">
        <f t="shared" si="4"/>
        <v>-44.865328981896027</v>
      </c>
      <c r="AC27" s="4">
        <f t="shared" si="5"/>
        <v>32.603614342831378</v>
      </c>
      <c r="AD27" s="5">
        <f t="shared" si="6"/>
        <v>3.869142680467661</v>
      </c>
      <c r="AE27" s="4">
        <f t="shared" si="7"/>
        <v>38.734471662363688</v>
      </c>
      <c r="AF27" s="4">
        <f t="shared" si="8"/>
        <v>-38.734471662363717</v>
      </c>
      <c r="AG27" t="s">
        <v>169</v>
      </c>
    </row>
    <row r="28" spans="1:33">
      <c r="A28" t="s">
        <v>103</v>
      </c>
      <c r="B28" t="s">
        <v>96</v>
      </c>
      <c r="C28" t="s">
        <v>169</v>
      </c>
      <c r="D28" t="s">
        <v>167</v>
      </c>
      <c r="E28" s="4">
        <v>3.4282708998801953E-2</v>
      </c>
      <c r="F28" s="4">
        <v>0.4558573272967435</v>
      </c>
      <c r="G28" s="4">
        <v>6.38207661101886</v>
      </c>
      <c r="H28" s="4">
        <v>278.39857960701698</v>
      </c>
      <c r="I28" s="4">
        <f t="shared" si="1"/>
        <v>2.7839857960701698E-2</v>
      </c>
      <c r="J28" s="4">
        <v>2335.0032952527799</v>
      </c>
      <c r="K28" s="4">
        <v>339.41166914938702</v>
      </c>
      <c r="L28" s="4">
        <v>689.38480482592297</v>
      </c>
      <c r="M28" s="4">
        <v>196.53322323827999</v>
      </c>
      <c r="N28" s="4">
        <v>5.1533085062714399</v>
      </c>
      <c r="O28" s="4">
        <v>2837.6402527075902</v>
      </c>
      <c r="P28" s="4">
        <v>3.4607398069888499E-3</v>
      </c>
      <c r="Q28" s="4">
        <v>0.53990257836611</v>
      </c>
      <c r="R28" s="4">
        <v>218.260757934906</v>
      </c>
      <c r="S28" s="4">
        <v>4.9528959142944996E-6</v>
      </c>
      <c r="T28" s="4">
        <v>272.39343904177798</v>
      </c>
      <c r="U28" s="4">
        <v>6.6467140831665994E-2</v>
      </c>
      <c r="V28" s="4">
        <v>56.705888566211598</v>
      </c>
      <c r="W28" s="4">
        <v>3.8595318203593903E-4</v>
      </c>
      <c r="X28" s="4"/>
      <c r="Y28" s="4">
        <f t="shared" si="0"/>
        <v>69.468092140646618</v>
      </c>
      <c r="Z28" s="4">
        <f t="shared" si="2"/>
        <v>4.2408675412593926</v>
      </c>
      <c r="AA28" s="4">
        <f t="shared" si="3"/>
        <v>-22.703194244510939</v>
      </c>
      <c r="AB28" s="4">
        <f t="shared" si="4"/>
        <v>-63.661527295704502</v>
      </c>
      <c r="AC28" s="4">
        <f t="shared" si="5"/>
        <v>18.255138806682595</v>
      </c>
      <c r="AD28" s="5">
        <f t="shared" si="6"/>
        <v>-12.703194244510939</v>
      </c>
      <c r="AE28" s="4">
        <f t="shared" si="7"/>
        <v>40.958333051193563</v>
      </c>
      <c r="AF28" s="4">
        <f t="shared" si="8"/>
        <v>-40.958333051193534</v>
      </c>
      <c r="AG28" t="s">
        <v>169</v>
      </c>
    </row>
    <row r="29" spans="1:33">
      <c r="A29" t="s">
        <v>104</v>
      </c>
      <c r="B29" t="s">
        <v>96</v>
      </c>
      <c r="C29" t="s">
        <v>169</v>
      </c>
      <c r="D29" t="s">
        <v>167</v>
      </c>
      <c r="E29" s="4">
        <v>3.7702778960231151E-2</v>
      </c>
      <c r="F29" s="4">
        <v>0.50131064927966495</v>
      </c>
      <c r="G29" s="4">
        <v>7.8123960449226404</v>
      </c>
      <c r="H29" s="4">
        <v>276.77601171810301</v>
      </c>
      <c r="I29" s="4">
        <f t="shared" si="1"/>
        <v>2.7677601171810302E-2</v>
      </c>
      <c r="J29" s="4">
        <v>340.38778232887</v>
      </c>
      <c r="K29" s="4">
        <v>34.452861565993103</v>
      </c>
      <c r="L29" s="4">
        <v>116.613615835256</v>
      </c>
      <c r="M29" s="4">
        <v>6.6055789611791997</v>
      </c>
      <c r="N29" s="4">
        <v>0.366938147581508</v>
      </c>
      <c r="O29" s="4">
        <v>3581.1834499104302</v>
      </c>
      <c r="P29" s="4">
        <v>1.3941483131178101E-5</v>
      </c>
      <c r="Q29" s="4">
        <v>0.59342532770818002</v>
      </c>
      <c r="R29" s="4">
        <v>6.4950143395309903</v>
      </c>
      <c r="S29" s="4">
        <v>5.4495177489325999E-6</v>
      </c>
      <c r="T29" s="4">
        <v>141.74180056002399</v>
      </c>
      <c r="U29" s="4">
        <v>7.3155964920493505E-2</v>
      </c>
      <c r="V29" s="4">
        <v>2.1031661737599299</v>
      </c>
      <c r="W29" s="4">
        <v>1.6118295290830701E-2</v>
      </c>
      <c r="X29" s="4"/>
      <c r="Y29" s="4">
        <f t="shared" si="0"/>
        <v>47.456874246504711</v>
      </c>
      <c r="Z29" s="4">
        <f t="shared" si="2"/>
        <v>3.8598213880402321</v>
      </c>
      <c r="AA29" s="4">
        <f t="shared" si="3"/>
        <v>-1.9742835093886129</v>
      </c>
      <c r="AB29" s="4">
        <f t="shared" si="4"/>
        <v>-40.150979642082291</v>
      </c>
      <c r="AC29" s="4">
        <f t="shared" si="5"/>
        <v>36.202412623305065</v>
      </c>
      <c r="AD29" s="5">
        <f t="shared" si="6"/>
        <v>8.0257164906113871</v>
      </c>
      <c r="AE29" s="4">
        <f t="shared" si="7"/>
        <v>38.176696132693678</v>
      </c>
      <c r="AF29" s="4">
        <f t="shared" si="8"/>
        <v>-38.176696132693678</v>
      </c>
      <c r="AG29" t="s">
        <v>169</v>
      </c>
    </row>
    <row r="30" spans="1:33">
      <c r="A30" t="s">
        <v>105</v>
      </c>
      <c r="B30" t="s">
        <v>96</v>
      </c>
      <c r="C30" t="s">
        <v>169</v>
      </c>
      <c r="D30" t="s">
        <v>167</v>
      </c>
      <c r="E30" s="4">
        <v>3.7350349035047997E-2</v>
      </c>
      <c r="F30" s="4">
        <v>0.49659418791320448</v>
      </c>
      <c r="G30" s="4">
        <v>5.76887666584404</v>
      </c>
      <c r="H30" s="4">
        <v>393.624560515474</v>
      </c>
      <c r="I30" s="4">
        <f t="shared" si="1"/>
        <v>3.9362456051547402E-2</v>
      </c>
      <c r="J30" s="4">
        <v>400.96554468742698</v>
      </c>
      <c r="K30" s="4">
        <v>46.933353255552099</v>
      </c>
      <c r="L30" s="4">
        <v>130.22246595666499</v>
      </c>
      <c r="M30" s="4">
        <v>9.5694842120654808</v>
      </c>
      <c r="N30" s="4">
        <v>0.36552349187543098</v>
      </c>
      <c r="O30" s="4">
        <v>2693.0636063120401</v>
      </c>
      <c r="P30" s="4">
        <v>7.3312208257967403E-3</v>
      </c>
      <c r="Q30" s="4">
        <v>0.58754137645521998</v>
      </c>
      <c r="R30" s="4">
        <v>9.4834945357068694</v>
      </c>
      <c r="S30" s="4">
        <v>5.39953861865215E-6</v>
      </c>
      <c r="T30" s="4">
        <v>110.26907854567401</v>
      </c>
      <c r="U30" s="4">
        <v>7.2503825557686002E-2</v>
      </c>
      <c r="V30" s="4">
        <v>4.0821924360391604</v>
      </c>
      <c r="W30" s="4">
        <v>2.4078650788877401E-2</v>
      </c>
      <c r="X30" s="4"/>
      <c r="Y30" s="4">
        <f t="shared" si="0"/>
        <v>25.944216458878131</v>
      </c>
      <c r="Z30" s="4">
        <f t="shared" si="2"/>
        <v>3.2559487122818878</v>
      </c>
      <c r="AA30" s="4">
        <f t="shared" si="3"/>
        <v>30.876390051865314</v>
      </c>
      <c r="AB30" s="4">
        <f t="shared" si="4"/>
        <v>-2.8920355477924602</v>
      </c>
      <c r="AC30" s="4">
        <f t="shared" si="5"/>
        <v>64.644815651523089</v>
      </c>
      <c r="AD30" s="5">
        <f t="shared" si="6"/>
        <v>40.876390051865314</v>
      </c>
      <c r="AE30" s="4">
        <f t="shared" si="7"/>
        <v>33.768425599657775</v>
      </c>
      <c r="AF30" s="4">
        <f t="shared" si="8"/>
        <v>-33.768425599657775</v>
      </c>
      <c r="AG30" t="s">
        <v>169</v>
      </c>
    </row>
    <row r="31" spans="1:33">
      <c r="A31" t="s">
        <v>106</v>
      </c>
      <c r="B31" t="s">
        <v>96</v>
      </c>
      <c r="C31" t="s">
        <v>169</v>
      </c>
      <c r="D31" t="s">
        <v>167</v>
      </c>
      <c r="E31" s="4">
        <v>2.23369516005524E-2</v>
      </c>
      <c r="F31" s="4">
        <v>0.30579287103174502</v>
      </c>
      <c r="G31" s="4">
        <v>6.0134920130901603</v>
      </c>
      <c r="H31" s="4">
        <v>246.85525091332099</v>
      </c>
      <c r="I31" s="4">
        <f t="shared" si="1"/>
        <v>2.4685525091332098E-2</v>
      </c>
      <c r="J31" s="4">
        <v>835.28185347822898</v>
      </c>
      <c r="K31" s="4">
        <v>65.346857614699701</v>
      </c>
      <c r="L31" s="4">
        <v>327.26095285285902</v>
      </c>
      <c r="M31" s="4">
        <v>16.296495450884201</v>
      </c>
      <c r="N31" s="4">
        <v>0.88312746687166499</v>
      </c>
      <c r="O31" s="4">
        <v>2530.6937053141401</v>
      </c>
      <c r="P31" s="4">
        <v>2.5291548146766749E-2</v>
      </c>
      <c r="Q31" s="4">
        <v>0.3695380607839705</v>
      </c>
      <c r="R31" s="4">
        <v>18.288437649566099</v>
      </c>
      <c r="S31" s="4">
        <v>5.2315277533913504E-6</v>
      </c>
      <c r="T31" s="4">
        <v>106.404063150696</v>
      </c>
      <c r="U31" s="4">
        <v>3.90860705391778E-2</v>
      </c>
      <c r="V31" s="4">
        <v>5.8842401101922199</v>
      </c>
      <c r="W31" s="4">
        <v>2.3706921599010701E-2</v>
      </c>
      <c r="X31" s="4"/>
      <c r="Y31" s="4">
        <f t="shared" si="0"/>
        <v>35.587673038257286</v>
      </c>
      <c r="Z31" s="4">
        <f t="shared" si="2"/>
        <v>3.571999314924819</v>
      </c>
      <c r="AA31" s="4">
        <f t="shared" si="3"/>
        <v>13.68323726808984</v>
      </c>
      <c r="AB31" s="4">
        <f t="shared" si="4"/>
        <v>-22.392357730861306</v>
      </c>
      <c r="AC31" s="4">
        <f t="shared" si="5"/>
        <v>49.758832267041015</v>
      </c>
      <c r="AD31" s="5">
        <f t="shared" si="6"/>
        <v>23.68323726808984</v>
      </c>
      <c r="AE31" s="4">
        <f t="shared" si="7"/>
        <v>36.075594998951146</v>
      </c>
      <c r="AF31" s="4">
        <f t="shared" si="8"/>
        <v>-36.075594998951175</v>
      </c>
      <c r="AG31" t="s">
        <v>169</v>
      </c>
    </row>
    <row r="32" spans="1:33">
      <c r="A32" t="s">
        <v>107</v>
      </c>
      <c r="B32" t="s">
        <v>96</v>
      </c>
      <c r="C32" t="s">
        <v>169</v>
      </c>
      <c r="D32" t="s">
        <v>167</v>
      </c>
      <c r="E32" s="4">
        <v>3.2199839335298103E-2</v>
      </c>
      <c r="F32" s="4">
        <v>0.44198715758771451</v>
      </c>
      <c r="G32" s="4">
        <v>4.3549128155364203</v>
      </c>
      <c r="H32" s="4">
        <v>759.90933618237398</v>
      </c>
      <c r="I32" s="4">
        <f t="shared" si="1"/>
        <v>7.5990933618237402E-2</v>
      </c>
      <c r="J32" s="4">
        <v>2307.1642447658901</v>
      </c>
      <c r="K32" s="4">
        <v>930.810290105734</v>
      </c>
      <c r="L32" s="4">
        <v>564.35937109647102</v>
      </c>
      <c r="M32" s="4">
        <v>113.41682341548901</v>
      </c>
      <c r="N32" s="4">
        <v>2.7935109292940501</v>
      </c>
      <c r="O32" s="4">
        <v>2743.73141039541</v>
      </c>
      <c r="P32" s="4">
        <v>4.3894413059851103E-2</v>
      </c>
      <c r="Q32" s="4">
        <v>0.83005352758872797</v>
      </c>
      <c r="R32" s="4">
        <v>135.530170264915</v>
      </c>
      <c r="S32" s="4">
        <v>4.2136135467153248E-6</v>
      </c>
      <c r="T32" s="4">
        <v>96.520185686706796</v>
      </c>
      <c r="U32" s="4">
        <v>4.8547802775064049E-2</v>
      </c>
      <c r="V32" s="4">
        <v>45.6387231737543</v>
      </c>
      <c r="W32" s="4">
        <v>1.0389653082038101E-2</v>
      </c>
      <c r="X32" s="4"/>
      <c r="Y32" s="4">
        <f t="shared" si="0"/>
        <v>47.926205472025238</v>
      </c>
      <c r="Z32" s="4">
        <f t="shared" si="2"/>
        <v>3.8696624419179302</v>
      </c>
      <c r="AA32" s="4">
        <f t="shared" si="3"/>
        <v>-2.5096368403353893</v>
      </c>
      <c r="AB32" s="4">
        <f t="shared" si="4"/>
        <v>-40.758172666336264</v>
      </c>
      <c r="AC32" s="4">
        <f t="shared" si="5"/>
        <v>35.738898985665486</v>
      </c>
      <c r="AD32" s="5">
        <f t="shared" si="6"/>
        <v>7.4903631596646107</v>
      </c>
      <c r="AE32" s="4">
        <f t="shared" si="7"/>
        <v>38.248535826000875</v>
      </c>
      <c r="AF32" s="4">
        <f t="shared" si="8"/>
        <v>-38.248535826000875</v>
      </c>
      <c r="AG32" t="s">
        <v>169</v>
      </c>
    </row>
    <row r="33" spans="1:33">
      <c r="A33" t="s">
        <v>108</v>
      </c>
      <c r="B33" t="s">
        <v>96</v>
      </c>
      <c r="C33" t="s">
        <v>169</v>
      </c>
      <c r="D33" t="s">
        <v>167</v>
      </c>
      <c r="E33" s="4">
        <v>3.5462461141058797E-2</v>
      </c>
      <c r="F33" s="4">
        <v>0.48672559513962599</v>
      </c>
      <c r="G33" s="4">
        <v>5.3895719994775302</v>
      </c>
      <c r="H33" s="4">
        <v>489.703984876287</v>
      </c>
      <c r="I33" s="4">
        <f t="shared" si="1"/>
        <v>4.89703984876287E-2</v>
      </c>
      <c r="J33" s="4">
        <v>1609.47639709486</v>
      </c>
      <c r="K33" s="4">
        <v>306.03712976581897</v>
      </c>
      <c r="L33" s="4">
        <v>551.06147588928695</v>
      </c>
      <c r="M33" s="4">
        <v>53.1931214359753</v>
      </c>
      <c r="N33" s="4">
        <v>3.9563728560308902</v>
      </c>
      <c r="O33" s="4">
        <v>2509.6216235939301</v>
      </c>
      <c r="P33" s="4">
        <v>4.8345717072329999E-2</v>
      </c>
      <c r="Q33" s="4">
        <v>0.3987094238701735</v>
      </c>
      <c r="R33" s="4">
        <v>66.372760362011107</v>
      </c>
      <c r="S33" s="4">
        <v>4.6447992728613299E-6</v>
      </c>
      <c r="T33" s="4">
        <v>456.42065449823798</v>
      </c>
      <c r="U33" s="4">
        <v>5.3505412263569002E-2</v>
      </c>
      <c r="V33" s="4">
        <v>27.357822894518399</v>
      </c>
      <c r="W33" s="4">
        <v>1.144158707699385E-2</v>
      </c>
      <c r="X33" s="4"/>
      <c r="Y33" s="4">
        <f t="shared" si="0"/>
        <v>41.678512952164624</v>
      </c>
      <c r="Z33" s="4">
        <f t="shared" si="2"/>
        <v>3.729985719077471</v>
      </c>
      <c r="AA33" s="4">
        <f t="shared" si="3"/>
        <v>5.0887768821855843</v>
      </c>
      <c r="AB33" s="4">
        <f t="shared" si="4"/>
        <v>-32.140118867079934</v>
      </c>
      <c r="AC33" s="4">
        <f t="shared" si="5"/>
        <v>42.317672631451103</v>
      </c>
      <c r="AD33" s="5">
        <f t="shared" si="6"/>
        <v>15.088776882185584</v>
      </c>
      <c r="AE33" s="4">
        <f t="shared" si="7"/>
        <v>37.228895749265519</v>
      </c>
      <c r="AF33" s="4">
        <f t="shared" si="8"/>
        <v>-37.228895749265519</v>
      </c>
      <c r="AG33" t="s">
        <v>169</v>
      </c>
    </row>
    <row r="34" spans="1:33">
      <c r="A34" t="s">
        <v>109</v>
      </c>
      <c r="B34" t="s">
        <v>96</v>
      </c>
      <c r="C34" t="s">
        <v>169</v>
      </c>
      <c r="D34" t="s">
        <v>167</v>
      </c>
      <c r="E34" s="4">
        <v>5.5685804485960499E-2</v>
      </c>
      <c r="F34" s="4">
        <v>0.50033324065457496</v>
      </c>
      <c r="G34" s="4">
        <v>5.4890618117442997</v>
      </c>
      <c r="H34" s="4">
        <v>879.94460389240601</v>
      </c>
      <c r="I34" s="4">
        <f t="shared" si="1"/>
        <v>8.7994460389240595E-2</v>
      </c>
      <c r="J34" s="4">
        <v>1569.7720143199699</v>
      </c>
      <c r="K34" s="4">
        <v>863.01816498279004</v>
      </c>
      <c r="L34" s="4">
        <v>294.42174349995298</v>
      </c>
      <c r="M34" s="4">
        <v>63.034035054888598</v>
      </c>
      <c r="N34" s="4">
        <v>2.5394853610774102</v>
      </c>
      <c r="O34" s="4">
        <v>3232.7619831898201</v>
      </c>
      <c r="P34" s="4">
        <v>1.4991385766851949E-2</v>
      </c>
      <c r="Q34" s="4">
        <v>0.49302034118101101</v>
      </c>
      <c r="R34" s="4">
        <v>79.238788640783596</v>
      </c>
      <c r="S34" s="4">
        <v>5.2504067373151004E-6</v>
      </c>
      <c r="T34" s="4">
        <v>111.01054725347799</v>
      </c>
      <c r="U34" s="4">
        <v>3.503357261383535E-2</v>
      </c>
      <c r="V34" s="4">
        <v>27.944311990733102</v>
      </c>
      <c r="W34" s="4">
        <v>1.7985460633987399E-2</v>
      </c>
      <c r="X34" s="4"/>
      <c r="Y34" s="4">
        <f t="shared" si="0"/>
        <v>41.130641634740087</v>
      </c>
      <c r="Z34" s="4">
        <f t="shared" si="2"/>
        <v>3.7167533822845242</v>
      </c>
      <c r="AA34" s="4">
        <f t="shared" si="3"/>
        <v>5.8086160037218804</v>
      </c>
      <c r="AB34" s="4">
        <f t="shared" si="4"/>
        <v>-31.323683686955121</v>
      </c>
      <c r="AC34" s="4">
        <f t="shared" si="5"/>
        <v>42.94091569439891</v>
      </c>
      <c r="AD34" s="5">
        <f t="shared" si="6"/>
        <v>15.80861600372188</v>
      </c>
      <c r="AE34" s="4">
        <f t="shared" si="7"/>
        <v>37.132299690677002</v>
      </c>
      <c r="AF34" s="4">
        <f t="shared" si="8"/>
        <v>-37.13229969067703</v>
      </c>
      <c r="AG34" t="s">
        <v>169</v>
      </c>
    </row>
    <row r="35" spans="1:33">
      <c r="A35" t="s">
        <v>110</v>
      </c>
      <c r="B35" t="s">
        <v>96</v>
      </c>
      <c r="C35" t="s">
        <v>169</v>
      </c>
      <c r="D35" t="s">
        <v>167</v>
      </c>
      <c r="E35" s="4">
        <v>8.2634838183699502E-2</v>
      </c>
      <c r="F35" s="4">
        <v>0.57015117066208498</v>
      </c>
      <c r="G35" s="4">
        <v>6.87226436409978</v>
      </c>
      <c r="H35" s="4">
        <v>163.45597283764599</v>
      </c>
      <c r="I35" s="4">
        <f t="shared" si="1"/>
        <v>1.6345597283764599E-2</v>
      </c>
      <c r="J35" s="4">
        <v>1293.5064837632999</v>
      </c>
      <c r="K35" s="4">
        <v>217.74439986685101</v>
      </c>
      <c r="L35" s="4">
        <v>469.32449171046898</v>
      </c>
      <c r="M35" s="4">
        <v>40.5046596613387</v>
      </c>
      <c r="N35" s="4">
        <v>1.15752109735347</v>
      </c>
      <c r="O35" s="4">
        <v>2303.7262119162801</v>
      </c>
      <c r="P35" s="4">
        <v>3.2076126291821251E-2</v>
      </c>
      <c r="Q35" s="4">
        <v>0.55840311542265997</v>
      </c>
      <c r="R35" s="4">
        <v>38.826406881446999</v>
      </c>
      <c r="S35" s="4">
        <v>6.9449455920208002E-6</v>
      </c>
      <c r="T35" s="4">
        <v>171.132117612569</v>
      </c>
      <c r="U35" s="4">
        <v>2.9047266323989102E-2</v>
      </c>
      <c r="V35" s="4">
        <v>8.4795780871825599</v>
      </c>
      <c r="W35" s="4">
        <v>3.4879356482228348E-2</v>
      </c>
      <c r="X35" s="4"/>
      <c r="Y35" s="4">
        <f t="shared" si="0"/>
        <v>55.60015339233378</v>
      </c>
      <c r="Z35" s="4">
        <f t="shared" si="2"/>
        <v>4.0181859601076555</v>
      </c>
      <c r="AA35" s="4">
        <f t="shared" si="3"/>
        <v>-10.58931622985645</v>
      </c>
      <c r="AB35" s="4">
        <f t="shared" si="4"/>
        <v>-49.922073738642325</v>
      </c>
      <c r="AC35" s="4">
        <f t="shared" si="5"/>
        <v>28.743441278929424</v>
      </c>
      <c r="AD35" s="5">
        <f t="shared" si="6"/>
        <v>-0.58931622985645049</v>
      </c>
      <c r="AE35" s="4">
        <f t="shared" si="7"/>
        <v>39.332757508785875</v>
      </c>
      <c r="AF35" s="4">
        <f t="shared" si="8"/>
        <v>-39.332757508785875</v>
      </c>
      <c r="AG35" t="s">
        <v>169</v>
      </c>
    </row>
    <row r="36" spans="1:33">
      <c r="A36" t="s">
        <v>111</v>
      </c>
      <c r="B36" t="s">
        <v>96</v>
      </c>
      <c r="C36" t="s">
        <v>169</v>
      </c>
      <c r="D36" t="s">
        <v>167</v>
      </c>
      <c r="E36" s="4">
        <v>3.2487339701804202E-2</v>
      </c>
      <c r="F36" s="4">
        <v>0.68605734696080001</v>
      </c>
      <c r="G36" s="4">
        <v>5.5656794458314502</v>
      </c>
      <c r="H36" s="4">
        <v>617.74127642074404</v>
      </c>
      <c r="I36" s="4">
        <f t="shared" si="1"/>
        <v>6.1774127642074406E-2</v>
      </c>
      <c r="J36" s="4">
        <v>752.63581621867502</v>
      </c>
      <c r="K36" s="4">
        <v>288.206196665628</v>
      </c>
      <c r="L36" s="4">
        <v>180.757077969432</v>
      </c>
      <c r="M36" s="4">
        <v>33.695039792882604</v>
      </c>
      <c r="N36" s="4">
        <v>2.3764094674287799</v>
      </c>
      <c r="O36" s="4">
        <v>2827.7286567225001</v>
      </c>
      <c r="P36" s="4">
        <v>2.9756796564887399E-2</v>
      </c>
      <c r="Q36" s="4">
        <v>0.67057264555632501</v>
      </c>
      <c r="R36" s="4">
        <v>42.537871061674899</v>
      </c>
      <c r="S36" s="4">
        <v>7.5585993525206501E-6</v>
      </c>
      <c r="T36" s="4">
        <v>147.69779639324301</v>
      </c>
      <c r="U36" s="4">
        <v>2.6229561961330701E-2</v>
      </c>
      <c r="V36" s="4">
        <v>16.470023791784701</v>
      </c>
      <c r="W36" s="4">
        <v>1.6946289944107448E-2</v>
      </c>
      <c r="X36" s="4"/>
      <c r="Y36" s="4">
        <f t="shared" si="0"/>
        <v>30.805977400109601</v>
      </c>
      <c r="Z36" s="4">
        <f t="shared" si="2"/>
        <v>3.4277087425822343</v>
      </c>
      <c r="AA36" s="4">
        <f t="shared" si="3"/>
        <v>21.532644403526461</v>
      </c>
      <c r="AB36" s="4">
        <f t="shared" si="4"/>
        <v>-13.48962941732384</v>
      </c>
      <c r="AC36" s="4">
        <f t="shared" si="5"/>
        <v>56.554918224376763</v>
      </c>
      <c r="AD36" s="5">
        <f t="shared" si="6"/>
        <v>31.532644403526461</v>
      </c>
      <c r="AE36" s="4">
        <f t="shared" si="7"/>
        <v>35.022273820850302</v>
      </c>
      <c r="AF36" s="4">
        <f t="shared" si="8"/>
        <v>-35.022273820850302</v>
      </c>
      <c r="AG36" t="s">
        <v>169</v>
      </c>
    </row>
    <row r="37" spans="1:33">
      <c r="A37" t="s">
        <v>112</v>
      </c>
      <c r="B37" t="s">
        <v>96</v>
      </c>
      <c r="C37" t="s">
        <v>169</v>
      </c>
      <c r="D37" t="s">
        <v>167</v>
      </c>
      <c r="E37" s="4">
        <v>3.4331086969727503E-2</v>
      </c>
      <c r="F37" s="4">
        <v>0.72494401452421497</v>
      </c>
      <c r="G37" s="4">
        <v>7.3340305343071703</v>
      </c>
      <c r="H37" s="4">
        <v>236.58018030483501</v>
      </c>
      <c r="I37" s="4">
        <f t="shared" si="1"/>
        <v>2.3658018030483501E-2</v>
      </c>
      <c r="J37" s="4">
        <v>1104.2385694965301</v>
      </c>
      <c r="K37" s="4">
        <v>191.639768692818</v>
      </c>
      <c r="L37" s="4">
        <v>401.905730583241</v>
      </c>
      <c r="M37" s="4">
        <v>13.037836060523899</v>
      </c>
      <c r="N37" s="4">
        <v>1.0445811580933</v>
      </c>
      <c r="O37" s="4">
        <v>2654.75817522546</v>
      </c>
      <c r="P37" s="4">
        <v>3.1446352505127097E-2</v>
      </c>
      <c r="Q37" s="4">
        <v>0.70824988874603001</v>
      </c>
      <c r="R37" s="4">
        <v>10.628623926211</v>
      </c>
      <c r="S37" s="4">
        <v>7.9970258142826995E-6</v>
      </c>
      <c r="T37" s="4">
        <v>158.084139661698</v>
      </c>
      <c r="U37" s="4">
        <v>2.7737165857702001E-2</v>
      </c>
      <c r="V37" s="4">
        <v>2.2029736478182498</v>
      </c>
      <c r="W37" s="4">
        <v>1.7905822582357449E-2</v>
      </c>
      <c r="X37" s="4"/>
      <c r="Y37" s="4">
        <f t="shared" si="0"/>
        <v>45.066787450027199</v>
      </c>
      <c r="Z37" s="4">
        <f t="shared" si="2"/>
        <v>3.8081455550413166</v>
      </c>
      <c r="AA37" s="4">
        <f t="shared" si="3"/>
        <v>0.8368818057523697</v>
      </c>
      <c r="AB37" s="4">
        <f t="shared" si="4"/>
        <v>-36.962580746049213</v>
      </c>
      <c r="AC37" s="4">
        <f t="shared" si="5"/>
        <v>38.63634435755398</v>
      </c>
      <c r="AD37" s="5">
        <f t="shared" si="6"/>
        <v>10.83688180575237</v>
      </c>
      <c r="AE37" s="4">
        <f t="shared" si="7"/>
        <v>37.799462551801582</v>
      </c>
      <c r="AF37" s="4">
        <f t="shared" si="8"/>
        <v>-37.799462551801611</v>
      </c>
      <c r="AG37" t="s">
        <v>169</v>
      </c>
    </row>
    <row r="38" spans="1:33">
      <c r="A38" t="s">
        <v>113</v>
      </c>
      <c r="B38" t="s">
        <v>114</v>
      </c>
      <c r="C38" t="s">
        <v>170</v>
      </c>
      <c r="D38" t="s">
        <v>167</v>
      </c>
      <c r="E38" s="4">
        <v>1.9973975217177899E-2</v>
      </c>
      <c r="F38" s="4">
        <v>0.65442124604131502</v>
      </c>
      <c r="G38" s="4">
        <v>5.9604820367068703</v>
      </c>
      <c r="H38" s="4">
        <v>91.413185380904494</v>
      </c>
      <c r="I38" s="4">
        <f t="shared" si="1"/>
        <v>9.1413185380904496E-3</v>
      </c>
      <c r="J38" s="4">
        <v>1874.62270380067</v>
      </c>
      <c r="K38" s="4">
        <v>1850.49721367692</v>
      </c>
      <c r="L38" s="4">
        <v>164.05761514748201</v>
      </c>
      <c r="M38" s="4">
        <v>1.108963291555185</v>
      </c>
      <c r="N38" s="4">
        <v>0.89584099584914101</v>
      </c>
      <c r="O38" s="4">
        <v>2437.4122776086501</v>
      </c>
      <c r="P38" s="4">
        <v>3.5310964910020053E-2</v>
      </c>
      <c r="Q38" s="4">
        <v>0.61435465867318495</v>
      </c>
      <c r="R38" s="4">
        <v>0.30181302538281801</v>
      </c>
      <c r="S38" s="4">
        <v>7.2606068040156499E-6</v>
      </c>
      <c r="T38" s="4">
        <v>569.22228772275605</v>
      </c>
      <c r="U38" s="4">
        <v>2.0772342834282202E-2</v>
      </c>
      <c r="V38" s="4">
        <v>0.58889139194629203</v>
      </c>
      <c r="W38" s="4">
        <v>1.7695897111182749E-2</v>
      </c>
      <c r="X38" s="4"/>
      <c r="Y38" s="4">
        <f t="shared" si="0"/>
        <v>89.265194481178597</v>
      </c>
      <c r="Z38" s="4">
        <f t="shared" si="2"/>
        <v>4.4916116524572089</v>
      </c>
      <c r="AA38" s="4">
        <f t="shared" si="3"/>
        <v>-36.343673893672161</v>
      </c>
      <c r="AB38" s="4">
        <f t="shared" si="4"/>
        <v>-79.132438956609747</v>
      </c>
      <c r="AC38" s="4">
        <f t="shared" si="5"/>
        <v>6.4450911692654529</v>
      </c>
      <c r="AD38" s="5">
        <f t="shared" si="6"/>
        <v>-26.343673893672161</v>
      </c>
      <c r="AE38" s="4">
        <f t="shared" si="7"/>
        <v>42.788765062937586</v>
      </c>
      <c r="AF38" s="4">
        <f t="shared" si="8"/>
        <v>-42.788765062937614</v>
      </c>
      <c r="AG38" t="s">
        <v>170</v>
      </c>
    </row>
    <row r="39" spans="1:33">
      <c r="A39" t="s">
        <v>115</v>
      </c>
      <c r="B39" t="s">
        <v>114</v>
      </c>
      <c r="C39" t="s">
        <v>170</v>
      </c>
      <c r="D39" t="s">
        <v>167</v>
      </c>
      <c r="E39" s="4">
        <v>7.8781889113976294E-2</v>
      </c>
      <c r="F39" s="4">
        <v>0.68043261630427998</v>
      </c>
      <c r="G39" s="4">
        <v>5.9563060763416598</v>
      </c>
      <c r="H39" s="4">
        <v>120.908964331696</v>
      </c>
      <c r="I39" s="4">
        <f t="shared" si="1"/>
        <v>1.2090896433169599E-2</v>
      </c>
      <c r="J39" s="4">
        <v>1861.86152655449</v>
      </c>
      <c r="K39" s="4">
        <v>1347.8251268951699</v>
      </c>
      <c r="L39" s="4">
        <v>407.131411952409</v>
      </c>
      <c r="M39" s="4">
        <v>5.2309989646071697</v>
      </c>
      <c r="N39" s="4">
        <v>0.74941270295892504</v>
      </c>
      <c r="O39" s="4">
        <v>2598.3662973338801</v>
      </c>
      <c r="P39" s="4">
        <v>3.6707734012398803E-2</v>
      </c>
      <c r="Q39" s="4">
        <v>0.63835200501588496</v>
      </c>
      <c r="R39" s="4">
        <v>8.9566734326889392</v>
      </c>
      <c r="S39" s="4">
        <v>7.5672482055076501E-6</v>
      </c>
      <c r="T39" s="4">
        <v>371.732661917933</v>
      </c>
      <c r="U39" s="4">
        <v>2.16140409699076E-2</v>
      </c>
      <c r="V39" s="4">
        <v>3.0058660062109199</v>
      </c>
      <c r="W39" s="4">
        <v>1.8392009575779449E-2</v>
      </c>
      <c r="X39" s="4"/>
      <c r="Y39" s="4">
        <f t="shared" si="0"/>
        <v>91.344034729464227</v>
      </c>
      <c r="Z39" s="4">
        <f t="shared" si="2"/>
        <v>4.5146329794270361</v>
      </c>
      <c r="AA39" s="4">
        <f t="shared" si="3"/>
        <v>-37.596034080830748</v>
      </c>
      <c r="AB39" s="4">
        <f t="shared" si="4"/>
        <v>-80.55285483064813</v>
      </c>
      <c r="AC39" s="4">
        <f t="shared" si="5"/>
        <v>5.3607866689866057</v>
      </c>
      <c r="AD39" s="5">
        <f t="shared" si="6"/>
        <v>-27.596034080830748</v>
      </c>
      <c r="AE39" s="4">
        <f t="shared" si="7"/>
        <v>42.956820749817382</v>
      </c>
      <c r="AF39" s="4">
        <f t="shared" si="8"/>
        <v>-42.956820749817354</v>
      </c>
      <c r="AG39" t="s">
        <v>170</v>
      </c>
    </row>
    <row r="40" spans="1:33">
      <c r="A40" t="s">
        <v>116</v>
      </c>
      <c r="B40" t="s">
        <v>114</v>
      </c>
      <c r="C40" t="s">
        <v>170</v>
      </c>
      <c r="D40" t="s">
        <v>167</v>
      </c>
      <c r="E40" s="4">
        <v>4.93598166852319E-2</v>
      </c>
      <c r="F40" s="4">
        <v>0.46742322342650949</v>
      </c>
      <c r="G40" s="4">
        <v>5.1678228644803497</v>
      </c>
      <c r="H40" s="4">
        <v>107.191176589131</v>
      </c>
      <c r="I40" s="4">
        <f t="shared" si="1"/>
        <v>1.07191176589131E-2</v>
      </c>
      <c r="J40" s="4">
        <v>1529.1938970957999</v>
      </c>
      <c r="K40" s="4">
        <v>1170.0518578477299</v>
      </c>
      <c r="L40" s="4">
        <v>310.06718331767502</v>
      </c>
      <c r="M40" s="4">
        <v>16.183499611082102</v>
      </c>
      <c r="N40" s="4">
        <v>1.61890047637243</v>
      </c>
      <c r="O40" s="4">
        <v>2623.4945957633799</v>
      </c>
      <c r="P40" s="4">
        <v>4.9879677859958699E-2</v>
      </c>
      <c r="Q40" s="4">
        <v>0.41496364403138247</v>
      </c>
      <c r="R40" s="4">
        <v>21.5656926407536</v>
      </c>
      <c r="S40" s="4">
        <v>0.71828911233530501</v>
      </c>
      <c r="T40" s="4">
        <v>428.99612235839902</v>
      </c>
      <c r="U40" s="4">
        <v>3.1592032453402551E-2</v>
      </c>
      <c r="V40" s="4">
        <v>7.3970345786280998</v>
      </c>
      <c r="W40" s="4">
        <v>1.63336386737956E-2</v>
      </c>
      <c r="X40" s="4"/>
      <c r="Y40" s="4">
        <f t="shared" si="0"/>
        <v>86.998681215377403</v>
      </c>
      <c r="Z40" s="4">
        <f t="shared" si="2"/>
        <v>4.4658929600957551</v>
      </c>
      <c r="AA40" s="4">
        <f t="shared" si="3"/>
        <v>-34.944577029209057</v>
      </c>
      <c r="AB40" s="4">
        <f t="shared" si="4"/>
        <v>-77.545595637908093</v>
      </c>
      <c r="AC40" s="4">
        <f t="shared" si="5"/>
        <v>7.6564415794899219</v>
      </c>
      <c r="AD40" s="5">
        <f t="shared" si="6"/>
        <v>-24.944577029209057</v>
      </c>
      <c r="AE40" s="4">
        <f t="shared" si="7"/>
        <v>42.601018608699036</v>
      </c>
      <c r="AF40" s="4">
        <f t="shared" si="8"/>
        <v>-42.601018608698979</v>
      </c>
      <c r="AG40" t="s">
        <v>170</v>
      </c>
    </row>
    <row r="41" spans="1:33">
      <c r="A41" t="s">
        <v>117</v>
      </c>
      <c r="B41" t="s">
        <v>114</v>
      </c>
      <c r="C41" t="s">
        <v>170</v>
      </c>
      <c r="D41" t="s">
        <v>167</v>
      </c>
      <c r="E41" s="4">
        <v>4.9466388958071948E-2</v>
      </c>
      <c r="F41" s="4">
        <v>10.8502750189847</v>
      </c>
      <c r="G41" s="4">
        <v>5.3455930007291297</v>
      </c>
      <c r="H41" s="4">
        <v>159.86468516539301</v>
      </c>
      <c r="I41" s="4">
        <f t="shared" si="1"/>
        <v>1.5986468516539301E-2</v>
      </c>
      <c r="J41" s="4">
        <v>1640.2112239545199</v>
      </c>
      <c r="K41" s="4">
        <v>1096.31590061098</v>
      </c>
      <c r="L41" s="4">
        <v>374.399834371937</v>
      </c>
      <c r="M41" s="4">
        <v>36.830982683592801</v>
      </c>
      <c r="N41" s="4">
        <v>2.3990159900810899</v>
      </c>
      <c r="O41" s="4">
        <v>2560.6378836481299</v>
      </c>
      <c r="P41" s="4">
        <v>4.9980099237336449E-2</v>
      </c>
      <c r="Q41" s="4">
        <v>0.41568372853042901</v>
      </c>
      <c r="R41" s="4">
        <v>45.588421299098002</v>
      </c>
      <c r="S41" s="4">
        <v>0.72140632785705505</v>
      </c>
      <c r="T41" s="4">
        <v>384.02508054702298</v>
      </c>
      <c r="U41" s="4">
        <v>6.3593995004911294E-2</v>
      </c>
      <c r="V41" s="4">
        <v>13.885526525498801</v>
      </c>
      <c r="W41" s="4">
        <v>1.6363590660276602E-2</v>
      </c>
      <c r="X41" s="4"/>
      <c r="Y41" s="4">
        <f t="shared" si="0"/>
        <v>76.568893562207549</v>
      </c>
      <c r="Z41" s="4">
        <f t="shared" si="2"/>
        <v>4.3381909050037502</v>
      </c>
      <c r="AA41" s="4">
        <f t="shared" si="3"/>
        <v>-27.997585232203988</v>
      </c>
      <c r="AB41" s="4">
        <f t="shared" si="4"/>
        <v>-69.666378838731362</v>
      </c>
      <c r="AC41" s="4">
        <f t="shared" si="5"/>
        <v>13.671208374323356</v>
      </c>
      <c r="AD41" s="5">
        <f t="shared" si="6"/>
        <v>-17.997585232203988</v>
      </c>
      <c r="AE41" s="4">
        <f t="shared" si="7"/>
        <v>41.668793606527373</v>
      </c>
      <c r="AF41" s="4">
        <f t="shared" si="8"/>
        <v>-41.668793606527345</v>
      </c>
      <c r="AG41" t="s">
        <v>170</v>
      </c>
    </row>
    <row r="42" spans="1:33">
      <c r="A42" t="s">
        <v>118</v>
      </c>
      <c r="B42" t="s">
        <v>114</v>
      </c>
      <c r="C42" t="s">
        <v>170</v>
      </c>
      <c r="D42" t="s">
        <v>167</v>
      </c>
      <c r="E42" s="4">
        <v>5.2944431265894501E-2</v>
      </c>
      <c r="F42" s="4">
        <v>0.54519070208374998</v>
      </c>
      <c r="G42" s="4">
        <v>5.41672365744577</v>
      </c>
      <c r="H42" s="4">
        <v>91.604734631737102</v>
      </c>
      <c r="I42" s="4">
        <f t="shared" si="1"/>
        <v>9.16047346317371E-3</v>
      </c>
      <c r="J42" s="4">
        <v>1696.5853771146001</v>
      </c>
      <c r="K42" s="4">
        <v>1243.35998306128</v>
      </c>
      <c r="L42" s="4">
        <v>333.31981668011503</v>
      </c>
      <c r="M42" s="4">
        <v>24.825465617927499</v>
      </c>
      <c r="N42" s="4">
        <v>1.3546327695117599</v>
      </c>
      <c r="O42" s="4">
        <v>2567.0912963976202</v>
      </c>
      <c r="P42" s="4">
        <v>3.1425190663411047E-2</v>
      </c>
      <c r="Q42" s="4">
        <v>0.78046203942964998</v>
      </c>
      <c r="R42" s="4">
        <v>35.631144577384603</v>
      </c>
      <c r="S42" s="4">
        <v>6.97334081177535E-6</v>
      </c>
      <c r="T42" s="4">
        <v>377.78932892201499</v>
      </c>
      <c r="U42" s="4">
        <v>5.8695182519314999E-2</v>
      </c>
      <c r="V42" s="4">
        <v>8.4629736359742598</v>
      </c>
      <c r="W42" s="4">
        <v>1.22164833919584E-2</v>
      </c>
      <c r="X42" s="4"/>
      <c r="Y42" s="4">
        <f t="shared" si="0"/>
        <v>98.504485170057265</v>
      </c>
      <c r="Z42" s="4">
        <f t="shared" si="2"/>
        <v>4.5901020818627627</v>
      </c>
      <c r="AA42" s="4">
        <f t="shared" si="3"/>
        <v>-41.701553253334282</v>
      </c>
      <c r="AB42" s="4">
        <f t="shared" si="4"/>
        <v>-85.209298450932465</v>
      </c>
      <c r="AC42" s="4">
        <f t="shared" si="5"/>
        <v>1.8061919442638725</v>
      </c>
      <c r="AD42" s="5">
        <f t="shared" si="6"/>
        <v>-31.701553253334282</v>
      </c>
      <c r="AE42" s="4">
        <f t="shared" si="7"/>
        <v>43.507745197598183</v>
      </c>
      <c r="AF42" s="4">
        <f t="shared" si="8"/>
        <v>-43.507745197598155</v>
      </c>
      <c r="AG42" t="s">
        <v>170</v>
      </c>
    </row>
    <row r="43" spans="1:33">
      <c r="A43" t="s">
        <v>119</v>
      </c>
      <c r="B43" t="s">
        <v>114</v>
      </c>
      <c r="C43" t="s">
        <v>170</v>
      </c>
      <c r="D43" t="s">
        <v>167</v>
      </c>
      <c r="E43" s="4">
        <v>5.0641046434811501E-2</v>
      </c>
      <c r="F43" s="4">
        <v>0.52152308329328501</v>
      </c>
      <c r="G43" s="4">
        <v>7.6082470628583003</v>
      </c>
      <c r="H43" s="4">
        <v>214.07315864532899</v>
      </c>
      <c r="I43" s="4">
        <f t="shared" si="1"/>
        <v>2.14073158645329E-2</v>
      </c>
      <c r="J43" s="4">
        <v>466.31139023664298</v>
      </c>
      <c r="K43" s="4">
        <v>425.245086305435</v>
      </c>
      <c r="L43" s="4">
        <v>45.4076780153489</v>
      </c>
      <c r="M43" s="4">
        <v>5.2529361770262701</v>
      </c>
      <c r="N43" s="4">
        <v>8.7062188027045408</v>
      </c>
      <c r="O43" s="4">
        <v>3089.83460257344</v>
      </c>
      <c r="P43" s="4">
        <v>0.101117302139038</v>
      </c>
      <c r="Q43" s="4">
        <v>1.7880460377615699</v>
      </c>
      <c r="R43" s="4">
        <v>7.2823545319181804</v>
      </c>
      <c r="S43" s="4">
        <v>6.6842501608321999E-6</v>
      </c>
      <c r="T43" s="4">
        <v>421.406126978918</v>
      </c>
      <c r="U43" s="4">
        <v>2.4024255761721298E-2</v>
      </c>
      <c r="V43" s="4">
        <v>10.9306867005364</v>
      </c>
      <c r="W43" s="4">
        <v>1.1680964549024E-2</v>
      </c>
      <c r="X43" s="4"/>
      <c r="Y43" s="4">
        <f t="shared" si="0"/>
        <v>30.466432463342969</v>
      </c>
      <c r="Z43" s="4">
        <f t="shared" si="2"/>
        <v>3.4166255025636394</v>
      </c>
      <c r="AA43" s="4">
        <f t="shared" si="3"/>
        <v>22.135572660538031</v>
      </c>
      <c r="AB43" s="4">
        <f t="shared" si="4"/>
        <v>-12.805793508176549</v>
      </c>
      <c r="AC43" s="4">
        <f t="shared" si="5"/>
        <v>57.076938829252583</v>
      </c>
      <c r="AD43" s="5">
        <f t="shared" si="6"/>
        <v>32.135572660538031</v>
      </c>
      <c r="AE43" s="4">
        <f t="shared" si="7"/>
        <v>34.94136616871458</v>
      </c>
      <c r="AF43" s="4">
        <f t="shared" si="8"/>
        <v>-34.941366168714552</v>
      </c>
      <c r="AG43" t="s">
        <v>170</v>
      </c>
    </row>
    <row r="44" spans="1:33">
      <c r="A44" t="s">
        <v>120</v>
      </c>
      <c r="B44" t="s">
        <v>114</v>
      </c>
      <c r="C44" t="s">
        <v>170</v>
      </c>
      <c r="D44" t="s">
        <v>167</v>
      </c>
      <c r="E44" s="4">
        <v>5.2968646025492797E-3</v>
      </c>
      <c r="F44" s="4">
        <v>0.65578639806398498</v>
      </c>
      <c r="G44" s="4">
        <v>7.2821962367198303</v>
      </c>
      <c r="H44" s="4">
        <v>85.748943844248899</v>
      </c>
      <c r="I44" s="4">
        <f t="shared" si="1"/>
        <v>8.5748943844248891E-3</v>
      </c>
      <c r="J44" s="4">
        <v>1510.6361572020801</v>
      </c>
      <c r="K44" s="4">
        <v>1776.73545886842</v>
      </c>
      <c r="L44" s="4">
        <v>118.02689744172</v>
      </c>
      <c r="M44" s="4">
        <v>1.82600401542155</v>
      </c>
      <c r="N44" s="4">
        <v>1.00554596719442</v>
      </c>
      <c r="O44" s="4">
        <v>2995.6261629694</v>
      </c>
      <c r="P44" s="4">
        <v>0.25956083375817102</v>
      </c>
      <c r="Q44" s="4">
        <v>0.39852330073695752</v>
      </c>
      <c r="R44" s="4">
        <v>0.76748739009046496</v>
      </c>
      <c r="S44" s="4">
        <v>4.53077627900696E-6</v>
      </c>
      <c r="T44" s="4">
        <v>306.87453985193201</v>
      </c>
      <c r="U44" s="4">
        <v>3.6913648236375649E-2</v>
      </c>
      <c r="V44" s="4">
        <v>1.2575595438647</v>
      </c>
      <c r="W44" s="4">
        <v>3.6692805926236353E-2</v>
      </c>
      <c r="X44" s="4"/>
      <c r="Y44" s="4">
        <f t="shared" si="0"/>
        <v>66.310421315536829</v>
      </c>
      <c r="Z44" s="4">
        <f t="shared" si="2"/>
        <v>4.1943470690860751</v>
      </c>
      <c r="AA44" s="4">
        <f t="shared" si="3"/>
        <v>-20.172480558282473</v>
      </c>
      <c r="AB44" s="4">
        <f t="shared" si="4"/>
        <v>-60.7912141626108</v>
      </c>
      <c r="AC44" s="4">
        <f t="shared" si="5"/>
        <v>20.446253046045854</v>
      </c>
      <c r="AD44" s="5">
        <f t="shared" si="6"/>
        <v>-10.172480558282473</v>
      </c>
      <c r="AE44" s="4">
        <f t="shared" si="7"/>
        <v>40.618733604328327</v>
      </c>
      <c r="AF44" s="4">
        <f t="shared" si="8"/>
        <v>-40.618733604328327</v>
      </c>
      <c r="AG44" t="s">
        <v>170</v>
      </c>
    </row>
    <row r="45" spans="1:33">
      <c r="A45" t="s">
        <v>121</v>
      </c>
      <c r="B45" t="s">
        <v>114</v>
      </c>
      <c r="C45" t="s">
        <v>170</v>
      </c>
      <c r="D45" t="s">
        <v>167</v>
      </c>
      <c r="E45" s="4">
        <v>0.14151254498357549</v>
      </c>
      <c r="F45" s="4">
        <v>0.93084295240201498</v>
      </c>
      <c r="G45" s="4">
        <v>6.1053899679455297</v>
      </c>
      <c r="H45" s="4">
        <v>82.591105284516303</v>
      </c>
      <c r="I45" s="4">
        <f t="shared" si="1"/>
        <v>8.2591105284516297E-3</v>
      </c>
      <c r="J45" s="4">
        <v>2134.3462040177701</v>
      </c>
      <c r="K45" s="4">
        <v>1798.80591165275</v>
      </c>
      <c r="L45" s="4">
        <v>312.88832198627699</v>
      </c>
      <c r="M45" s="4">
        <v>8.7252106202398192</v>
      </c>
      <c r="N45" s="4">
        <v>5.5531136541796</v>
      </c>
      <c r="O45" s="4">
        <v>2489.3572382090601</v>
      </c>
      <c r="P45" s="4">
        <v>3.5059229938954453E-2</v>
      </c>
      <c r="Q45" s="4">
        <v>0.75935140589795502</v>
      </c>
      <c r="R45" s="4">
        <v>15.143888295901</v>
      </c>
      <c r="S45" s="4">
        <v>6.9374261623277997E-6</v>
      </c>
      <c r="T45" s="4">
        <v>316.26160333816301</v>
      </c>
      <c r="U45" s="4">
        <v>4.3251317744791649E-2</v>
      </c>
      <c r="V45" s="4">
        <v>24.8192942373303</v>
      </c>
      <c r="W45" s="4">
        <v>3.62460629848851E-2</v>
      </c>
      <c r="X45" s="4"/>
      <c r="Y45" s="4">
        <f t="shared" si="0"/>
        <v>105.72896317287831</v>
      </c>
      <c r="Z45" s="4">
        <f t="shared" si="2"/>
        <v>4.6608788683299318</v>
      </c>
      <c r="AA45" s="4">
        <f t="shared" si="3"/>
        <v>-45.551810437148276</v>
      </c>
      <c r="AB45" s="4">
        <f t="shared" si="4"/>
        <v>-89.576226175956776</v>
      </c>
      <c r="AC45" s="4">
        <f t="shared" si="5"/>
        <v>-1.5273946983398048</v>
      </c>
      <c r="AD45" s="5">
        <f t="shared" si="6"/>
        <v>-35.551810437148276</v>
      </c>
      <c r="AE45" s="4">
        <f t="shared" si="7"/>
        <v>44.0244157388085</v>
      </c>
      <c r="AF45" s="4">
        <f t="shared" si="8"/>
        <v>-44.024415738808472</v>
      </c>
      <c r="AG45" t="s">
        <v>170</v>
      </c>
    </row>
    <row r="46" spans="1:33">
      <c r="A46" t="s">
        <v>122</v>
      </c>
      <c r="B46" t="s">
        <v>114</v>
      </c>
      <c r="C46" t="s">
        <v>170</v>
      </c>
      <c r="D46" t="s">
        <v>167</v>
      </c>
      <c r="E46" s="4">
        <v>0.12752555808081201</v>
      </c>
      <c r="F46" s="4">
        <v>0.69439492770084998</v>
      </c>
      <c r="G46" s="4">
        <v>10.0817756070467</v>
      </c>
      <c r="H46" s="4">
        <v>46.727471595928101</v>
      </c>
      <c r="I46" s="4">
        <f t="shared" si="1"/>
        <v>4.67274715959281E-3</v>
      </c>
      <c r="J46" s="4">
        <v>2157.14912658904</v>
      </c>
      <c r="K46" s="4">
        <v>2045.80536127449</v>
      </c>
      <c r="L46" s="4">
        <v>250.91207906583301</v>
      </c>
      <c r="M46" s="4">
        <v>4.7765147275416497</v>
      </c>
      <c r="N46" s="4">
        <v>0.94103575877281698</v>
      </c>
      <c r="O46" s="4">
        <v>2507.2836994109898</v>
      </c>
      <c r="P46" s="4">
        <v>2.6955702543921801E-2</v>
      </c>
      <c r="Q46" s="4">
        <v>0.54277194989223498</v>
      </c>
      <c r="R46" s="4">
        <v>7.0231782361639601</v>
      </c>
      <c r="S46" s="4">
        <v>6.7526527124819001E-6</v>
      </c>
      <c r="T46" s="4">
        <v>496.72538574079698</v>
      </c>
      <c r="U46" s="4">
        <v>2.8814574692619999E-2</v>
      </c>
      <c r="V46" s="4">
        <v>1.55286984498786</v>
      </c>
      <c r="W46" s="4">
        <v>2.4378761709465652E-2</v>
      </c>
      <c r="X46" s="4"/>
      <c r="Y46" s="4">
        <f t="shared" si="0"/>
        <v>118.78748257993584</v>
      </c>
      <c r="Z46" s="4">
        <f t="shared" si="2"/>
        <v>4.7773360358884558</v>
      </c>
      <c r="AA46" s="4">
        <f t="shared" si="3"/>
        <v>-51.887080352331964</v>
      </c>
      <c r="AB46" s="4">
        <f t="shared" si="4"/>
        <v>-96.761633414317714</v>
      </c>
      <c r="AC46" s="4">
        <f t="shared" si="5"/>
        <v>-7.0125272903462701</v>
      </c>
      <c r="AD46" s="5">
        <f t="shared" si="6"/>
        <v>-41.887080352331964</v>
      </c>
      <c r="AE46" s="4">
        <f t="shared" si="7"/>
        <v>44.87455306198575</v>
      </c>
      <c r="AF46" s="4">
        <f t="shared" si="8"/>
        <v>-44.874553061985694</v>
      </c>
      <c r="AG46" t="s">
        <v>170</v>
      </c>
    </row>
    <row r="47" spans="1:33">
      <c r="A47" t="s">
        <v>123</v>
      </c>
      <c r="B47" t="s">
        <v>114</v>
      </c>
      <c r="C47" t="s">
        <v>170</v>
      </c>
      <c r="D47" t="s">
        <v>167</v>
      </c>
      <c r="E47" s="4">
        <v>0.148355517375167</v>
      </c>
      <c r="F47" s="4">
        <v>0.56876222357935502</v>
      </c>
      <c r="G47" s="4">
        <v>9.4268067012140708</v>
      </c>
      <c r="H47" s="4">
        <v>55.253178929682598</v>
      </c>
      <c r="I47" s="4">
        <f t="shared" si="1"/>
        <v>5.5253178929682602E-3</v>
      </c>
      <c r="J47" s="4">
        <v>1963.87907812399</v>
      </c>
      <c r="K47" s="4">
        <v>2108.9061472639701</v>
      </c>
      <c r="L47" s="4">
        <v>167.74498597110201</v>
      </c>
      <c r="M47" s="4">
        <v>5.5829428216778902</v>
      </c>
      <c r="N47" s="4">
        <v>0.70970589436079901</v>
      </c>
      <c r="O47" s="4">
        <v>2373.0264205745698</v>
      </c>
      <c r="P47" s="4">
        <v>9.1550529426581706E-2</v>
      </c>
      <c r="Q47" s="4">
        <v>0.58850830464850001</v>
      </c>
      <c r="R47" s="4">
        <v>8.3715480076712492</v>
      </c>
      <c r="S47" s="4">
        <v>6.1915741074377004E-6</v>
      </c>
      <c r="T47" s="4">
        <v>437.83091726994502</v>
      </c>
      <c r="U47" s="4">
        <v>2.8011911168545799E-2</v>
      </c>
      <c r="V47" s="4">
        <v>2.2646769387322201</v>
      </c>
      <c r="W47" s="4">
        <v>7.5909141770559999E-3</v>
      </c>
      <c r="X47" s="4"/>
      <c r="Y47" s="4">
        <f t="shared" si="0"/>
        <v>92.258056147502018</v>
      </c>
      <c r="Z47" s="4">
        <f t="shared" si="2"/>
        <v>4.5245896086198538</v>
      </c>
      <c r="AA47" s="4">
        <f t="shared" si="3"/>
        <v>-38.137674708920031</v>
      </c>
      <c r="AB47" s="4">
        <f t="shared" si="4"/>
        <v>-81.167178851844938</v>
      </c>
      <c r="AC47" s="4">
        <f t="shared" si="5"/>
        <v>4.891829434004876</v>
      </c>
      <c r="AD47" s="5">
        <f t="shared" si="6"/>
        <v>-28.137674708920031</v>
      </c>
      <c r="AE47" s="4">
        <f t="shared" si="7"/>
        <v>43.029504142924907</v>
      </c>
      <c r="AF47" s="4">
        <f t="shared" si="8"/>
        <v>-43.029504142924907</v>
      </c>
      <c r="AG47" t="s">
        <v>170</v>
      </c>
    </row>
    <row r="48" spans="1:33">
      <c r="A48" t="s">
        <v>124</v>
      </c>
      <c r="B48" t="s">
        <v>114</v>
      </c>
      <c r="C48" t="s">
        <v>170</v>
      </c>
      <c r="D48" t="s">
        <v>167</v>
      </c>
      <c r="E48" s="4">
        <v>5.3684583134858001E-2</v>
      </c>
      <c r="F48" s="4">
        <v>0.58350029538664006</v>
      </c>
      <c r="G48" s="4">
        <v>8.1848057877366092</v>
      </c>
      <c r="H48" s="4">
        <v>59.196597957940497</v>
      </c>
      <c r="I48" s="4">
        <f t="shared" si="1"/>
        <v>5.9196597957940494E-3</v>
      </c>
      <c r="J48" s="4">
        <v>1999.77583030397</v>
      </c>
      <c r="K48" s="4">
        <v>1731.3884598673901</v>
      </c>
      <c r="L48" s="4">
        <v>295.038582579859</v>
      </c>
      <c r="M48" s="4">
        <v>10.9333968126725</v>
      </c>
      <c r="N48" s="4">
        <v>0.85762438933604601</v>
      </c>
      <c r="O48" s="4">
        <v>2439.98508288216</v>
      </c>
      <c r="P48" s="4">
        <v>0.29386019685595499</v>
      </c>
      <c r="Q48" s="4">
        <v>0.60470213845451504</v>
      </c>
      <c r="R48" s="4">
        <v>14.1961083937687</v>
      </c>
      <c r="S48" s="4">
        <v>6.3714037224688499E-6</v>
      </c>
      <c r="T48" s="4">
        <v>439.08907880763599</v>
      </c>
      <c r="U48" s="4">
        <v>2.8742216167616151E-2</v>
      </c>
      <c r="V48" s="4">
        <v>2.8766906208525298</v>
      </c>
      <c r="W48" s="4">
        <v>1.88254806563498E-2</v>
      </c>
      <c r="X48" s="4"/>
      <c r="Y48" s="4">
        <f t="shared" si="0"/>
        <v>89.259527536514881</v>
      </c>
      <c r="Z48" s="4">
        <f t="shared" si="2"/>
        <v>4.4915481660716647</v>
      </c>
      <c r="AA48" s="4">
        <f t="shared" si="3"/>
        <v>-36.340220234298556</v>
      </c>
      <c r="AB48" s="4">
        <f t="shared" si="4"/>
        <v>-79.128521846621709</v>
      </c>
      <c r="AC48" s="4">
        <f t="shared" si="5"/>
        <v>6.4480813780245967</v>
      </c>
      <c r="AD48" s="5">
        <f t="shared" si="6"/>
        <v>-26.340220234298556</v>
      </c>
      <c r="AE48" s="4">
        <f t="shared" si="7"/>
        <v>42.788301612323153</v>
      </c>
      <c r="AF48" s="4">
        <f t="shared" si="8"/>
        <v>-42.788301612323153</v>
      </c>
      <c r="AG48" t="s">
        <v>170</v>
      </c>
    </row>
    <row r="49" spans="1:33">
      <c r="A49" t="s">
        <v>125</v>
      </c>
      <c r="B49" t="s">
        <v>114</v>
      </c>
      <c r="C49" t="s">
        <v>170</v>
      </c>
      <c r="D49" t="s">
        <v>167</v>
      </c>
      <c r="E49" s="4">
        <v>7.3239398983962506E-2</v>
      </c>
      <c r="F49" s="4">
        <v>0.83977325196074504</v>
      </c>
      <c r="G49" s="4">
        <v>11.0186516416498</v>
      </c>
      <c r="H49" s="4">
        <v>84.369541679870096</v>
      </c>
      <c r="I49" s="4">
        <f t="shared" si="1"/>
        <v>8.4369541679870097E-3</v>
      </c>
      <c r="J49" s="4">
        <v>1472.4636507339501</v>
      </c>
      <c r="K49" s="4">
        <v>1702.32820016959</v>
      </c>
      <c r="L49" s="4">
        <v>83.065509080199902</v>
      </c>
      <c r="M49" s="4">
        <v>0.84230848531902003</v>
      </c>
      <c r="N49" s="4">
        <v>0.53095164732837796</v>
      </c>
      <c r="O49" s="4">
        <v>2972.4742888209398</v>
      </c>
      <c r="P49" s="4">
        <v>0.19484320538224301</v>
      </c>
      <c r="Q49" s="4">
        <v>0.55526222974849504</v>
      </c>
      <c r="R49" s="4">
        <v>0.43299823879146798</v>
      </c>
      <c r="S49" s="4">
        <v>7.39969486415655E-6</v>
      </c>
      <c r="T49" s="4">
        <v>556.26297947151102</v>
      </c>
      <c r="U49" s="4">
        <v>3.067333992436035E-2</v>
      </c>
      <c r="V49" s="4">
        <v>0.83749472614472198</v>
      </c>
      <c r="W49" s="4">
        <v>3.260700333069845E-2</v>
      </c>
      <c r="X49" s="4"/>
      <c r="Y49" s="4">
        <f t="shared" si="0"/>
        <v>57.945426397801512</v>
      </c>
      <c r="Z49" s="4">
        <f t="shared" si="2"/>
        <v>4.0595016434235562</v>
      </c>
      <c r="AA49" s="4">
        <f t="shared" si="3"/>
        <v>-12.836889402241439</v>
      </c>
      <c r="AB49" s="4">
        <f t="shared" si="4"/>
        <v>-52.47125139923341</v>
      </c>
      <c r="AC49" s="4">
        <f t="shared" si="5"/>
        <v>26.797472594750502</v>
      </c>
      <c r="AD49" s="5">
        <f t="shared" si="6"/>
        <v>-2.8368894022414395</v>
      </c>
      <c r="AE49" s="4">
        <f t="shared" si="7"/>
        <v>39.63436199699197</v>
      </c>
      <c r="AF49" s="4">
        <f t="shared" si="8"/>
        <v>-39.634361996991942</v>
      </c>
      <c r="AG49" t="s">
        <v>170</v>
      </c>
    </row>
    <row r="50" spans="1:33">
      <c r="A50" t="s">
        <v>126</v>
      </c>
      <c r="B50" t="s">
        <v>114</v>
      </c>
      <c r="C50" t="s">
        <v>170</v>
      </c>
      <c r="D50" t="s">
        <v>167</v>
      </c>
      <c r="E50" s="4">
        <v>9.0372514418712996E-2</v>
      </c>
      <c r="F50" s="4">
        <v>0.50814043514904506</v>
      </c>
      <c r="G50" s="4">
        <v>12.680108841078001</v>
      </c>
      <c r="H50" s="4">
        <v>74.878569509328898</v>
      </c>
      <c r="I50" s="4">
        <f t="shared" si="1"/>
        <v>7.4878569509328899E-3</v>
      </c>
      <c r="J50" s="4">
        <v>435.71083863651103</v>
      </c>
      <c r="K50" s="4">
        <v>467.84557903911502</v>
      </c>
      <c r="L50" s="4">
        <v>40.694863960375798</v>
      </c>
      <c r="M50" s="4">
        <v>1.3333346735392799</v>
      </c>
      <c r="N50" s="4">
        <v>0.341560278298919</v>
      </c>
      <c r="O50" s="4">
        <v>3337.9483627047198</v>
      </c>
      <c r="P50" s="4">
        <v>3.8214920191651201E-2</v>
      </c>
      <c r="Q50" s="4">
        <v>0.423785265537169</v>
      </c>
      <c r="R50" s="4">
        <v>0.45793262843953902</v>
      </c>
      <c r="S50" s="4">
        <v>7.7437029798682003E-6</v>
      </c>
      <c r="T50" s="4">
        <v>611.42774453597201</v>
      </c>
      <c r="U50" s="4">
        <v>3.5878272648074347E-2</v>
      </c>
      <c r="V50" s="4">
        <v>5.1442343869082396</v>
      </c>
      <c r="W50" s="4">
        <v>1.0497595387897799E-2</v>
      </c>
      <c r="X50" s="4"/>
      <c r="Y50" s="4">
        <f t="shared" si="0"/>
        <v>44.582158074516116</v>
      </c>
      <c r="Z50" s="4">
        <f t="shared" si="2"/>
        <v>3.7973337358151174</v>
      </c>
      <c r="AA50" s="4">
        <f t="shared" si="3"/>
        <v>1.4250447716576105</v>
      </c>
      <c r="AB50" s="4">
        <f t="shared" si="4"/>
        <v>-36.295491499792718</v>
      </c>
      <c r="AC50" s="4">
        <f t="shared" si="5"/>
        <v>39.145581043107967</v>
      </c>
      <c r="AD50" s="5">
        <f t="shared" si="6"/>
        <v>11.42504477165761</v>
      </c>
      <c r="AE50" s="4">
        <f t="shared" si="7"/>
        <v>37.720536271450328</v>
      </c>
      <c r="AF50" s="4">
        <f t="shared" si="8"/>
        <v>-37.720536271450356</v>
      </c>
      <c r="AG50" t="s">
        <v>170</v>
      </c>
    </row>
    <row r="51" spans="1:33">
      <c r="A51" t="s">
        <v>127</v>
      </c>
      <c r="B51" t="s">
        <v>114</v>
      </c>
      <c r="C51" t="s">
        <v>170</v>
      </c>
      <c r="D51" t="s">
        <v>167</v>
      </c>
      <c r="E51" s="4">
        <v>8.0287632139645806E-2</v>
      </c>
      <c r="F51" s="4">
        <v>0.83114291087342995</v>
      </c>
      <c r="G51" s="4">
        <v>11.8772773614009</v>
      </c>
      <c r="H51" s="4">
        <v>30.26283236906545</v>
      </c>
      <c r="I51" s="4">
        <f t="shared" si="1"/>
        <v>3.026283236906545E-3</v>
      </c>
      <c r="J51" s="4">
        <v>1199.88380867878</v>
      </c>
      <c r="K51" s="4">
        <v>498.191899228598</v>
      </c>
      <c r="L51" s="4">
        <v>363.77344093491701</v>
      </c>
      <c r="M51" s="4">
        <v>19.044026410627701</v>
      </c>
      <c r="N51" s="4">
        <v>0.56531211636091006</v>
      </c>
      <c r="O51" s="4">
        <v>2493.5747275101799</v>
      </c>
      <c r="P51" s="4">
        <v>4.885900856621235E-2</v>
      </c>
      <c r="Q51" s="4">
        <v>0.40895148804897502</v>
      </c>
      <c r="R51" s="4">
        <v>19.477534695394102</v>
      </c>
      <c r="S51" s="4">
        <v>6.3913447885797504E-6</v>
      </c>
      <c r="T51" s="4">
        <v>498.85464843325798</v>
      </c>
      <c r="U51" s="4">
        <v>2.8495114509979699E-2</v>
      </c>
      <c r="V51" s="4">
        <v>3.3052928255455001</v>
      </c>
      <c r="W51" s="4">
        <v>1.52858167770377E-2</v>
      </c>
      <c r="X51" s="4"/>
      <c r="Y51" s="4">
        <f t="shared" si="0"/>
        <v>101.16626036639657</v>
      </c>
      <c r="Z51" s="4">
        <f t="shared" si="2"/>
        <v>4.6167653056757336</v>
      </c>
      <c r="AA51" s="4">
        <f t="shared" si="3"/>
        <v>-43.152032628759912</v>
      </c>
      <c r="AB51" s="4">
        <f t="shared" si="4"/>
        <v>-86.854419360192765</v>
      </c>
      <c r="AC51" s="4">
        <f t="shared" si="5"/>
        <v>0.55035410267294083</v>
      </c>
      <c r="AD51" s="5">
        <f t="shared" si="6"/>
        <v>-33.152032628759912</v>
      </c>
      <c r="AE51" s="4">
        <f t="shared" si="7"/>
        <v>43.702386731432853</v>
      </c>
      <c r="AF51" s="4">
        <f t="shared" si="8"/>
        <v>-43.702386731432853</v>
      </c>
      <c r="AG51" t="s">
        <v>170</v>
      </c>
    </row>
    <row r="52" spans="1:33">
      <c r="A52" t="s">
        <v>128</v>
      </c>
      <c r="B52" t="s">
        <v>114</v>
      </c>
      <c r="C52" t="s">
        <v>170</v>
      </c>
      <c r="D52" t="s">
        <v>167</v>
      </c>
      <c r="E52" s="4">
        <v>0.39728176870645299</v>
      </c>
      <c r="F52" s="4">
        <v>0.83485649842783005</v>
      </c>
      <c r="G52" s="4">
        <v>14.000178419893199</v>
      </c>
      <c r="H52" s="4">
        <v>7011.4762423314896</v>
      </c>
      <c r="I52" s="4">
        <f t="shared" si="1"/>
        <v>0.70114762423314891</v>
      </c>
      <c r="J52" s="4">
        <v>1798.2234687963301</v>
      </c>
      <c r="K52" s="4">
        <v>1918.80947582</v>
      </c>
      <c r="L52" s="4">
        <v>92.179325964714295</v>
      </c>
      <c r="M52" s="4">
        <v>4.8803877142323104</v>
      </c>
      <c r="N52" s="4">
        <v>0.87366455052971104</v>
      </c>
      <c r="O52" s="4">
        <v>2380.4012954905002</v>
      </c>
      <c r="P52" s="4">
        <v>4.9000665669331103E-2</v>
      </c>
      <c r="Q52" s="4">
        <v>0.41164359815483298</v>
      </c>
      <c r="R52" s="4">
        <v>3.31007495228774</v>
      </c>
      <c r="S52" s="4">
        <v>6.4414112612965504E-6</v>
      </c>
      <c r="T52" s="4">
        <v>595.09573763552601</v>
      </c>
      <c r="U52" s="4">
        <v>2.8627140586947999E-2</v>
      </c>
      <c r="V52" s="4">
        <v>3.9291582394165498</v>
      </c>
      <c r="W52" s="4">
        <v>1.5323777918248901E-2</v>
      </c>
      <c r="X52" s="4"/>
      <c r="Y52" s="4">
        <f t="shared" si="0"/>
        <v>12.980456597981654</v>
      </c>
      <c r="Z52" s="4">
        <f t="shared" si="2"/>
        <v>2.5634448876974356</v>
      </c>
      <c r="AA52" s="4">
        <f t="shared" si="3"/>
        <v>68.548598109259501</v>
      </c>
      <c r="AB52" s="4">
        <f t="shared" si="4"/>
        <v>39.835450429068231</v>
      </c>
      <c r="AC52" s="4">
        <f t="shared" si="5"/>
        <v>97.261745789450785</v>
      </c>
      <c r="AD52" s="5">
        <f t="shared" si="6"/>
        <v>78.548598109259501</v>
      </c>
      <c r="AE52" s="4">
        <f t="shared" si="7"/>
        <v>28.71314768019127</v>
      </c>
      <c r="AF52" s="4">
        <f t="shared" si="8"/>
        <v>-28.713147680191284</v>
      </c>
      <c r="AG52" t="s">
        <v>170</v>
      </c>
    </row>
    <row r="53" spans="1:33">
      <c r="A53" t="s">
        <v>129</v>
      </c>
      <c r="B53" t="s">
        <v>114</v>
      </c>
      <c r="C53" t="s">
        <v>170</v>
      </c>
      <c r="D53" t="s">
        <v>167</v>
      </c>
      <c r="E53" s="4">
        <v>0.33591555565380199</v>
      </c>
      <c r="F53" s="4">
        <v>0.49331997777457748</v>
      </c>
      <c r="G53" s="4">
        <v>14.629640478051799</v>
      </c>
      <c r="H53" s="4">
        <v>33.033516910999602</v>
      </c>
      <c r="I53" s="4">
        <f t="shared" si="1"/>
        <v>3.3033516910999602E-3</v>
      </c>
      <c r="J53" s="4">
        <v>1704.8899855235099</v>
      </c>
      <c r="K53" s="4">
        <v>1846.2791689967901</v>
      </c>
      <c r="L53" s="4">
        <v>104.33790528751</v>
      </c>
      <c r="M53" s="4">
        <v>0.85941197304153005</v>
      </c>
      <c r="N53" s="4">
        <v>0.82537427300194499</v>
      </c>
      <c r="O53" s="4">
        <v>2494.0499684727702</v>
      </c>
      <c r="P53" s="4">
        <v>2.59226335965635E-2</v>
      </c>
      <c r="Q53" s="4">
        <v>0.61250317264345999</v>
      </c>
      <c r="R53" s="4">
        <v>1.8351293732555001</v>
      </c>
      <c r="S53" s="4">
        <v>8.3165542593864998E-6</v>
      </c>
      <c r="T53" s="4">
        <v>565.94979094168104</v>
      </c>
      <c r="U53" s="4">
        <v>2.48533160725956E-2</v>
      </c>
      <c r="V53" s="4">
        <v>0.64315436487152899</v>
      </c>
      <c r="W53" s="4">
        <v>1.9900949520150899E-2</v>
      </c>
      <c r="X53" s="4"/>
      <c r="Y53" s="4">
        <f t="shared" si="0"/>
        <v>101.44128980704744</v>
      </c>
      <c r="Z53" s="4">
        <f t="shared" si="2"/>
        <v>4.6194802055829181</v>
      </c>
      <c r="AA53" s="4">
        <f t="shared" si="3"/>
        <v>-43.299723183710739</v>
      </c>
      <c r="AB53" s="4">
        <f t="shared" si="4"/>
        <v>-87.021928684466047</v>
      </c>
      <c r="AC53" s="4">
        <f t="shared" si="5"/>
        <v>0.42248231704454042</v>
      </c>
      <c r="AD53" s="5">
        <f t="shared" si="6"/>
        <v>-33.299723183710739</v>
      </c>
      <c r="AE53" s="4">
        <f t="shared" si="7"/>
        <v>43.722205500755308</v>
      </c>
      <c r="AF53" s="4">
        <f t="shared" si="8"/>
        <v>-43.72220550075528</v>
      </c>
      <c r="AG53" t="s">
        <v>170</v>
      </c>
    </row>
    <row r="54" spans="1:33">
      <c r="A54" t="s">
        <v>130</v>
      </c>
      <c r="B54" t="s">
        <v>114</v>
      </c>
      <c r="C54" t="s">
        <v>170</v>
      </c>
      <c r="D54" t="s">
        <v>167</v>
      </c>
      <c r="E54" s="4">
        <v>0.51588721201463805</v>
      </c>
      <c r="F54" s="4">
        <v>0.62273493681823</v>
      </c>
      <c r="G54" s="4">
        <v>14.1679394297883</v>
      </c>
      <c r="H54" s="4">
        <v>13.7937838043028</v>
      </c>
      <c r="I54" s="4">
        <f t="shared" si="1"/>
        <v>1.3793783804302801E-3</v>
      </c>
      <c r="J54" s="4">
        <v>1908.7856484608701</v>
      </c>
      <c r="K54" s="4">
        <v>2009.2527769589501</v>
      </c>
      <c r="L54" s="4">
        <v>97.634538957608697</v>
      </c>
      <c r="M54" s="4">
        <v>1.27040403208125</v>
      </c>
      <c r="N54" s="4">
        <v>0.71531817339098303</v>
      </c>
      <c r="O54" s="4">
        <v>2504.0893944495701</v>
      </c>
      <c r="P54" s="4">
        <v>3.6905348956604002E-2</v>
      </c>
      <c r="Q54" s="4">
        <v>0.56799362548176502</v>
      </c>
      <c r="R54" s="4">
        <v>0.55813573916207604</v>
      </c>
      <c r="S54" s="4">
        <v>1.02087704242539E-5</v>
      </c>
      <c r="T54" s="4">
        <v>587.89636950643001</v>
      </c>
      <c r="U54" s="4">
        <v>3.6715342384966099E-2</v>
      </c>
      <c r="V54" s="4">
        <v>0.360793185642104</v>
      </c>
      <c r="W54" s="4">
        <v>1.1281891494764549E-2</v>
      </c>
      <c r="X54" s="4"/>
      <c r="Y54" s="4">
        <f t="shared" si="0"/>
        <v>136.68700862664508</v>
      </c>
      <c r="Z54" s="4">
        <f t="shared" si="2"/>
        <v>4.9176937035637307</v>
      </c>
      <c r="AA54" s="4">
        <f t="shared" si="3"/>
        <v>-59.522537473866919</v>
      </c>
      <c r="AB54" s="4">
        <f t="shared" si="4"/>
        <v>-105.42170150988215</v>
      </c>
      <c r="AC54" s="4">
        <f t="shared" si="5"/>
        <v>-13.623373437851711</v>
      </c>
      <c r="AD54" s="5">
        <f t="shared" si="6"/>
        <v>-49.522537473866919</v>
      </c>
      <c r="AE54" s="4">
        <f t="shared" si="7"/>
        <v>45.899164036015236</v>
      </c>
      <c r="AF54" s="4">
        <f t="shared" si="8"/>
        <v>-45.899164036015208</v>
      </c>
      <c r="AG54" t="s">
        <v>170</v>
      </c>
    </row>
    <row r="55" spans="1:33">
      <c r="A55" t="s">
        <v>131</v>
      </c>
      <c r="B55" t="s">
        <v>132</v>
      </c>
      <c r="C55" t="s">
        <v>171</v>
      </c>
      <c r="D55" t="s">
        <v>167</v>
      </c>
      <c r="E55" s="4">
        <v>0.30896478228597901</v>
      </c>
      <c r="F55" s="4">
        <v>0.612569836077</v>
      </c>
      <c r="G55" s="4">
        <v>21.142586586941</v>
      </c>
      <c r="H55" s="4">
        <v>20.9064632535035</v>
      </c>
      <c r="I55" s="4">
        <f t="shared" si="1"/>
        <v>2.0906463253503498E-3</v>
      </c>
      <c r="J55" s="4">
        <v>483.55226695842902</v>
      </c>
      <c r="K55" s="4">
        <v>576.02926260525396</v>
      </c>
      <c r="L55" s="4">
        <v>6.8478829593094996</v>
      </c>
      <c r="M55" s="4">
        <v>1.3151777980590349</v>
      </c>
      <c r="N55" s="4">
        <v>0.30384194201013498</v>
      </c>
      <c r="O55" s="4">
        <v>2399.8984361176199</v>
      </c>
      <c r="P55" s="4">
        <v>3.6040312866876797E-2</v>
      </c>
      <c r="Q55" s="4">
        <v>0.64502780327374998</v>
      </c>
      <c r="R55" s="4">
        <v>6.4898104096325002E-2</v>
      </c>
      <c r="S55" s="4">
        <v>0.46957552961993398</v>
      </c>
      <c r="T55" s="4">
        <v>962.27381804941501</v>
      </c>
      <c r="U55" s="4">
        <v>2.034823698350275E-2</v>
      </c>
      <c r="V55" s="4">
        <v>0.42095658742244402</v>
      </c>
      <c r="W55" s="4">
        <v>1.71704206580107E-2</v>
      </c>
      <c r="X55" s="4"/>
      <c r="Y55" s="4">
        <f t="shared" si="0"/>
        <v>45.909853093408834</v>
      </c>
      <c r="Z55" s="4">
        <f t="shared" si="2"/>
        <v>3.826679758373825</v>
      </c>
      <c r="AA55" s="4">
        <f t="shared" si="3"/>
        <v>-0.17137885553606225</v>
      </c>
      <c r="AB55" s="4">
        <f t="shared" si="4"/>
        <v>-38.106141091664995</v>
      </c>
      <c r="AC55" s="4">
        <f t="shared" si="5"/>
        <v>37.763383380592842</v>
      </c>
      <c r="AD55" s="5">
        <f t="shared" si="6"/>
        <v>9.8286211444639378</v>
      </c>
      <c r="AE55" s="4">
        <f t="shared" si="7"/>
        <v>37.934762236128932</v>
      </c>
      <c r="AF55" s="4">
        <f t="shared" si="8"/>
        <v>-37.934762236128904</v>
      </c>
      <c r="AG55" t="s">
        <v>171</v>
      </c>
    </row>
    <row r="56" spans="1:33">
      <c r="A56" t="s">
        <v>133</v>
      </c>
      <c r="B56" t="s">
        <v>132</v>
      </c>
      <c r="C56" t="s">
        <v>171</v>
      </c>
      <c r="D56" t="s">
        <v>167</v>
      </c>
      <c r="E56" s="4">
        <v>8.7374184349939502E-2</v>
      </c>
      <c r="F56" s="4">
        <v>0.38413500894422598</v>
      </c>
      <c r="G56" s="4">
        <v>21.557108603269601</v>
      </c>
      <c r="H56" s="4">
        <v>14.16698549773645</v>
      </c>
      <c r="I56" s="4">
        <f t="shared" si="1"/>
        <v>1.4166985497736449E-3</v>
      </c>
      <c r="J56" s="4">
        <v>401.6630571563</v>
      </c>
      <c r="K56" s="4">
        <v>487.76007177744299</v>
      </c>
      <c r="L56" s="4">
        <v>4.8158959797781797</v>
      </c>
      <c r="M56" s="4">
        <v>0.62768609261251995</v>
      </c>
      <c r="N56" s="4">
        <v>0.372106801183476</v>
      </c>
      <c r="O56" s="4">
        <v>2435.5571091786501</v>
      </c>
      <c r="P56" s="4">
        <v>1.067389164845155E-4</v>
      </c>
      <c r="Q56" s="4">
        <v>0.52310348359862502</v>
      </c>
      <c r="R56" s="4">
        <v>9.6453976601081501E-2</v>
      </c>
      <c r="S56" s="4">
        <v>7.8817623655985501E-6</v>
      </c>
      <c r="T56" s="4">
        <v>804.91261566348896</v>
      </c>
      <c r="U56" s="4">
        <v>2.3957764975711851E-2</v>
      </c>
      <c r="V56" s="4">
        <v>0.48412945319207601</v>
      </c>
      <c r="W56" s="4">
        <v>5.4132300319533503E-3</v>
      </c>
      <c r="X56" s="4"/>
      <c r="Y56" s="4">
        <f t="shared" si="0"/>
        <v>84.347322003591628</v>
      </c>
      <c r="Z56" s="4">
        <f t="shared" si="2"/>
        <v>4.4349430598642874</v>
      </c>
      <c r="AA56" s="4">
        <f t="shared" si="3"/>
        <v>-33.260902456617231</v>
      </c>
      <c r="AB56" s="4">
        <f t="shared" si="4"/>
        <v>-75.6359867936265</v>
      </c>
      <c r="AC56" s="4">
        <f t="shared" si="5"/>
        <v>9.1141818803920671</v>
      </c>
      <c r="AD56" s="5">
        <f t="shared" si="6"/>
        <v>-23.260902456617231</v>
      </c>
      <c r="AE56" s="4">
        <f t="shared" si="7"/>
        <v>42.37508433700927</v>
      </c>
      <c r="AF56" s="4">
        <f t="shared" si="8"/>
        <v>-42.375084337009298</v>
      </c>
      <c r="AG56" t="s">
        <v>171</v>
      </c>
    </row>
    <row r="57" spans="1:33">
      <c r="A57" t="s">
        <v>134</v>
      </c>
      <c r="B57" t="s">
        <v>132</v>
      </c>
      <c r="C57" t="s">
        <v>171</v>
      </c>
      <c r="D57" t="s">
        <v>167</v>
      </c>
      <c r="E57" s="4">
        <v>0.31143449526775302</v>
      </c>
      <c r="F57" s="4">
        <v>0.36806895195290151</v>
      </c>
      <c r="G57" s="4">
        <v>19.943038492711501</v>
      </c>
      <c r="H57" s="4">
        <v>13.586537371210399</v>
      </c>
      <c r="I57" s="4">
        <f t="shared" si="1"/>
        <v>1.35865373712104E-3</v>
      </c>
      <c r="J57" s="4">
        <v>678.30129672407395</v>
      </c>
      <c r="K57" s="4">
        <v>800.63867869092803</v>
      </c>
      <c r="L57" s="4">
        <v>9.6816077231522097</v>
      </c>
      <c r="M57" s="4">
        <v>0.60300068991375499</v>
      </c>
      <c r="N57" s="4">
        <v>0.35731006534786303</v>
      </c>
      <c r="O57" s="4">
        <v>2279.3561300503402</v>
      </c>
      <c r="P57" s="4">
        <v>4.7666498658966501E-2</v>
      </c>
      <c r="Q57" s="4">
        <v>0.50118895193833501</v>
      </c>
      <c r="R57" s="4">
        <v>9.2480072182040504E-2</v>
      </c>
      <c r="S57" s="4">
        <v>7.57103833632655E-6</v>
      </c>
      <c r="T57" s="4">
        <v>660.06801781861998</v>
      </c>
      <c r="U57" s="4">
        <v>2.29626056968937E-2</v>
      </c>
      <c r="V57" s="4">
        <v>0.53659085718933497</v>
      </c>
      <c r="W57" s="4">
        <v>5.1827989420679E-3</v>
      </c>
      <c r="X57" s="4"/>
      <c r="Y57" s="4">
        <f t="shared" si="0"/>
        <v>61.465957117229522</v>
      </c>
      <c r="Z57" s="4">
        <f t="shared" si="2"/>
        <v>4.1184834787418145</v>
      </c>
      <c r="AA57" s="4">
        <f t="shared" si="3"/>
        <v>-16.045501243554696</v>
      </c>
      <c r="AB57" s="4">
        <f t="shared" si="4"/>
        <v>-56.110430638369934</v>
      </c>
      <c r="AC57" s="4">
        <f t="shared" si="5"/>
        <v>24.019428151260541</v>
      </c>
      <c r="AD57" s="5">
        <f t="shared" si="6"/>
        <v>-6.0455012435546962</v>
      </c>
      <c r="AE57" s="4">
        <f t="shared" si="7"/>
        <v>40.064929394815238</v>
      </c>
      <c r="AF57" s="4">
        <f t="shared" si="8"/>
        <v>-40.064929394815238</v>
      </c>
      <c r="AG57" t="s">
        <v>171</v>
      </c>
    </row>
    <row r="58" spans="1:33">
      <c r="A58" t="s">
        <v>135</v>
      </c>
      <c r="B58" t="s">
        <v>132</v>
      </c>
      <c r="C58" t="s">
        <v>171</v>
      </c>
      <c r="D58" t="s">
        <v>167</v>
      </c>
      <c r="E58" s="4">
        <v>1.90764510004099</v>
      </c>
      <c r="F58" s="4">
        <v>0.62634315318425504</v>
      </c>
      <c r="G58" s="4">
        <v>22.188756560308299</v>
      </c>
      <c r="H58" s="4">
        <v>16.997388964632449</v>
      </c>
      <c r="I58" s="4">
        <f t="shared" si="1"/>
        <v>1.6997388964632449E-3</v>
      </c>
      <c r="J58" s="4">
        <v>537.53144864953504</v>
      </c>
      <c r="K58" s="4">
        <v>691.99176382656003</v>
      </c>
      <c r="L58" s="4">
        <v>1.6320115307912</v>
      </c>
      <c r="M58" s="4">
        <v>0.73846709243535502</v>
      </c>
      <c r="N58" s="4">
        <v>0.41668846698060402</v>
      </c>
      <c r="O58" s="4">
        <v>2816.9148420759002</v>
      </c>
      <c r="P58" s="4">
        <v>6.0076385135193998E-2</v>
      </c>
      <c r="Q58" s="4">
        <v>0.66685159715044995</v>
      </c>
      <c r="R58" s="4">
        <v>0.10478511114127249</v>
      </c>
      <c r="S58" s="4">
        <v>5.8325921883188002E-6</v>
      </c>
      <c r="T58" s="4">
        <v>958.60905561336995</v>
      </c>
      <c r="U58" s="4">
        <v>3.3105582331721201E-2</v>
      </c>
      <c r="V58" s="4">
        <v>0.80582679476600205</v>
      </c>
      <c r="W58" s="4">
        <v>1.515588569599715E-2</v>
      </c>
      <c r="X58" s="4"/>
      <c r="Y58" s="4">
        <f t="shared" si="0"/>
        <v>35.422802810096158</v>
      </c>
      <c r="Z58" s="4">
        <f t="shared" si="2"/>
        <v>3.5673557599438408</v>
      </c>
      <c r="AA58" s="4">
        <f t="shared" si="3"/>
        <v>13.935846659055073</v>
      </c>
      <c r="AB58" s="4">
        <f t="shared" si="4"/>
        <v>-22.105850388534975</v>
      </c>
      <c r="AC58" s="4">
        <f t="shared" si="5"/>
        <v>49.977543706645093</v>
      </c>
      <c r="AD58" s="5">
        <f t="shared" si="6"/>
        <v>23.935846659055073</v>
      </c>
      <c r="AE58" s="4">
        <f t="shared" si="7"/>
        <v>36.041697047590048</v>
      </c>
      <c r="AF58" s="4">
        <f t="shared" si="8"/>
        <v>-36.04169704759002</v>
      </c>
      <c r="AG58" t="s">
        <v>171</v>
      </c>
    </row>
    <row r="59" spans="1:33">
      <c r="A59" t="s">
        <v>136</v>
      </c>
      <c r="B59" t="s">
        <v>132</v>
      </c>
      <c r="C59" t="s">
        <v>171</v>
      </c>
      <c r="D59" t="s">
        <v>167</v>
      </c>
      <c r="E59" s="4">
        <v>1.9944932567057101</v>
      </c>
      <c r="F59" s="4">
        <v>0.59293648749296501</v>
      </c>
      <c r="G59" s="4">
        <v>24.5196391495043</v>
      </c>
      <c r="H59" s="4">
        <v>16.102864174029449</v>
      </c>
      <c r="I59" s="4">
        <f t="shared" si="1"/>
        <v>1.6102864174029449E-3</v>
      </c>
      <c r="J59" s="4">
        <v>598.526599690902</v>
      </c>
      <c r="K59" s="4">
        <v>713.27052798449301</v>
      </c>
      <c r="L59" s="4">
        <v>1.1062680471417901</v>
      </c>
      <c r="M59" s="4">
        <v>0.70087549662315496</v>
      </c>
      <c r="N59" s="4">
        <v>0.53151999962126395</v>
      </c>
      <c r="O59" s="4">
        <v>3034.3196486893098</v>
      </c>
      <c r="P59" s="4">
        <v>5.6838636334435498E-2</v>
      </c>
      <c r="Q59" s="4">
        <v>0.63132786277016995</v>
      </c>
      <c r="R59" s="4">
        <v>9.9265981522035002E-2</v>
      </c>
      <c r="S59" s="4">
        <v>5.5345707749874003E-6</v>
      </c>
      <c r="T59" s="4">
        <v>946.78492421288502</v>
      </c>
      <c r="U59" s="4">
        <v>3.13470182642571E-2</v>
      </c>
      <c r="V59" s="4">
        <v>0.58799023311976595</v>
      </c>
      <c r="W59" s="4">
        <v>1.43359933788596E-2</v>
      </c>
      <c r="X59" s="4"/>
      <c r="Y59" s="4">
        <f t="shared" si="0"/>
        <v>32.918791615111772</v>
      </c>
      <c r="Z59" s="4">
        <f t="shared" si="2"/>
        <v>3.4940436684253124</v>
      </c>
      <c r="AA59" s="4">
        <f t="shared" si="3"/>
        <v>17.924024437663007</v>
      </c>
      <c r="AB59" s="4">
        <f t="shared" si="4"/>
        <v>-17.582494341841766</v>
      </c>
      <c r="AC59" s="4">
        <f t="shared" si="5"/>
        <v>53.430543217167781</v>
      </c>
      <c r="AD59" s="5">
        <f t="shared" si="6"/>
        <v>27.924024437663007</v>
      </c>
      <c r="AE59" s="4">
        <f t="shared" si="7"/>
        <v>35.506518779504773</v>
      </c>
      <c r="AF59" s="4">
        <f t="shared" si="8"/>
        <v>-35.506518779504773</v>
      </c>
      <c r="AG59" t="s">
        <v>171</v>
      </c>
    </row>
    <row r="60" spans="1:33">
      <c r="A60" t="s">
        <v>137</v>
      </c>
      <c r="B60" t="s">
        <v>132</v>
      </c>
      <c r="C60" t="s">
        <v>171</v>
      </c>
      <c r="D60" t="s">
        <v>167</v>
      </c>
      <c r="E60" s="4">
        <v>1.4962368688822101</v>
      </c>
      <c r="F60" s="4">
        <v>0.48992995091131353</v>
      </c>
      <c r="G60" s="4">
        <v>21.749582338379899</v>
      </c>
      <c r="H60" s="4">
        <v>13.659758924235399</v>
      </c>
      <c r="I60" s="4">
        <f t="shared" si="1"/>
        <v>1.36597589242354E-3</v>
      </c>
      <c r="J60" s="4">
        <v>535.00910118626098</v>
      </c>
      <c r="K60" s="4">
        <v>645.59324741137402</v>
      </c>
      <c r="L60" s="4">
        <v>1.3592512643975301</v>
      </c>
      <c r="M60" s="4">
        <v>0.43433795275711401</v>
      </c>
      <c r="N60" s="4">
        <v>0.32511891000343002</v>
      </c>
      <c r="O60" s="4">
        <v>2946.9497864464902</v>
      </c>
      <c r="P60" s="4">
        <v>1.317241339447295E-2</v>
      </c>
      <c r="Q60" s="4">
        <v>0.54071059465431504</v>
      </c>
      <c r="R60" s="4">
        <v>0.10170264403620601</v>
      </c>
      <c r="S60" s="4">
        <v>5.7859829951919499E-6</v>
      </c>
      <c r="T60" s="4">
        <v>894.23126388854803</v>
      </c>
      <c r="U60" s="4">
        <v>2.3113938383007002E-2</v>
      </c>
      <c r="V60" s="4">
        <v>0.60985383213940303</v>
      </c>
      <c r="W60" s="4">
        <v>1.9731602733124999E-2</v>
      </c>
      <c r="X60" s="4"/>
      <c r="Y60" s="4">
        <f t="shared" si="0"/>
        <v>42.456704113449177</v>
      </c>
      <c r="Z60" s="4">
        <f t="shared" si="2"/>
        <v>3.7484848299332287</v>
      </c>
      <c r="AA60" s="4">
        <f t="shared" si="3"/>
        <v>4.0824252516323725</v>
      </c>
      <c r="AB60" s="4">
        <f t="shared" si="4"/>
        <v>-33.281514006880201</v>
      </c>
      <c r="AC60" s="4">
        <f t="shared" si="5"/>
        <v>41.446364510144917</v>
      </c>
      <c r="AD60" s="5">
        <f t="shared" si="6"/>
        <v>14.082425251632372</v>
      </c>
      <c r="AE60" s="4">
        <f t="shared" si="7"/>
        <v>37.363939258512573</v>
      </c>
      <c r="AF60" s="4">
        <f t="shared" si="8"/>
        <v>-37.363939258512545</v>
      </c>
      <c r="AG60" t="s">
        <v>171</v>
      </c>
    </row>
    <row r="61" spans="1:33">
      <c r="A61" t="s">
        <v>138</v>
      </c>
      <c r="B61" t="s">
        <v>132</v>
      </c>
      <c r="C61" t="s">
        <v>171</v>
      </c>
      <c r="D61" t="s">
        <v>167</v>
      </c>
      <c r="E61" s="4">
        <v>1.8102949875149801</v>
      </c>
      <c r="F61" s="4">
        <v>1.09644803252381</v>
      </c>
      <c r="G61" s="4">
        <v>22.834798326831699</v>
      </c>
      <c r="H61" s="4">
        <v>21.478481548452098</v>
      </c>
      <c r="I61" s="4">
        <f t="shared" si="1"/>
        <v>2.1478481548452099E-3</v>
      </c>
      <c r="J61" s="4">
        <v>568.62388465548895</v>
      </c>
      <c r="K61" s="4">
        <v>712.95997856021097</v>
      </c>
      <c r="L61" s="4">
        <v>2.1708452656911401</v>
      </c>
      <c r="M61" s="4">
        <v>1.717871146247365</v>
      </c>
      <c r="N61" s="4">
        <v>0.57603739967325596</v>
      </c>
      <c r="O61" s="4">
        <v>3039.8146891516799</v>
      </c>
      <c r="P61" s="4">
        <v>2.97633609132016E-2</v>
      </c>
      <c r="Q61" s="4">
        <v>0.61179473014271502</v>
      </c>
      <c r="R61" s="4">
        <v>1.4397509791063801E-2</v>
      </c>
      <c r="S61" s="4">
        <v>4.7927608084036597E-6</v>
      </c>
      <c r="T61" s="4">
        <v>992.56304956162603</v>
      </c>
      <c r="U61" s="4">
        <v>2.8225671397201752E-6</v>
      </c>
      <c r="V61" s="4">
        <v>0.642956086643374</v>
      </c>
      <c r="W61" s="4">
        <v>1.103496056057085E-2</v>
      </c>
      <c r="X61" s="4"/>
      <c r="Y61" s="4">
        <f t="shared" si="0"/>
        <v>37.136735852952761</v>
      </c>
      <c r="Z61" s="4">
        <f t="shared" si="2"/>
        <v>3.6146066644195858</v>
      </c>
      <c r="AA61" s="4">
        <f t="shared" si="3"/>
        <v>11.365397455574538</v>
      </c>
      <c r="AB61" s="4">
        <f t="shared" si="4"/>
        <v>-25.021231194688426</v>
      </c>
      <c r="AC61" s="4">
        <f t="shared" si="5"/>
        <v>47.752026105837501</v>
      </c>
      <c r="AD61" s="5">
        <f t="shared" si="6"/>
        <v>21.365397455574538</v>
      </c>
      <c r="AE61" s="4">
        <f t="shared" si="7"/>
        <v>36.386628650262963</v>
      </c>
      <c r="AF61" s="4">
        <f t="shared" si="8"/>
        <v>-36.386628650262963</v>
      </c>
      <c r="AG61" t="s">
        <v>171</v>
      </c>
    </row>
    <row r="62" spans="1:33">
      <c r="A62" t="s">
        <v>139</v>
      </c>
      <c r="B62" t="s">
        <v>132</v>
      </c>
      <c r="C62" t="s">
        <v>171</v>
      </c>
      <c r="D62" t="s">
        <v>167</v>
      </c>
      <c r="E62" s="4">
        <v>5.4975558281983999E-2</v>
      </c>
      <c r="F62" s="4">
        <v>0.58275391669943999</v>
      </c>
      <c r="G62" s="4">
        <v>16.950242648440199</v>
      </c>
      <c r="H62" s="4">
        <v>17.802157424511549</v>
      </c>
      <c r="I62" s="4">
        <f t="shared" si="1"/>
        <v>1.7802157424511549E-3</v>
      </c>
      <c r="J62" s="4">
        <v>269.60932455243602</v>
      </c>
      <c r="K62" s="4">
        <v>298.62216639233998</v>
      </c>
      <c r="L62" s="4">
        <v>2.2452243109047201</v>
      </c>
      <c r="M62" s="4">
        <v>0.90679099129926999</v>
      </c>
      <c r="N62" s="4">
        <v>0.300590351189364</v>
      </c>
      <c r="O62" s="4">
        <v>2262.1145322354901</v>
      </c>
      <c r="P62" s="4">
        <v>2.99281385913053E-2</v>
      </c>
      <c r="Q62" s="4">
        <v>0.396118173897896</v>
      </c>
      <c r="R62" s="4">
        <v>0.12634400779404401</v>
      </c>
      <c r="S62" s="4">
        <v>0.34359937962046649</v>
      </c>
      <c r="T62" s="4">
        <v>665.75904403137497</v>
      </c>
      <c r="U62" s="4">
        <v>2.6744492381947899E-2</v>
      </c>
      <c r="V62" s="4">
        <v>0.57510685404501805</v>
      </c>
      <c r="W62" s="4">
        <v>1.09597971587823E-2</v>
      </c>
      <c r="X62" s="4"/>
      <c r="Y62" s="4">
        <f t="shared" si="0"/>
        <v>35.130631836586367</v>
      </c>
      <c r="Z62" s="4">
        <f t="shared" si="2"/>
        <v>3.5590734517859746</v>
      </c>
      <c r="AA62" s="4">
        <f t="shared" si="3"/>
        <v>14.386404222842998</v>
      </c>
      <c r="AB62" s="4">
        <f t="shared" si="4"/>
        <v>-21.594831975194609</v>
      </c>
      <c r="AC62" s="4">
        <f t="shared" si="5"/>
        <v>50.367640420880605</v>
      </c>
      <c r="AD62" s="5">
        <f t="shared" si="6"/>
        <v>24.386404222842998</v>
      </c>
      <c r="AE62" s="4">
        <f t="shared" si="7"/>
        <v>35.981236198037607</v>
      </c>
      <c r="AF62" s="4">
        <f t="shared" si="8"/>
        <v>-35.981236198037607</v>
      </c>
      <c r="AG62" t="s">
        <v>171</v>
      </c>
    </row>
    <row r="63" spans="1:33">
      <c r="A63" t="s">
        <v>140</v>
      </c>
      <c r="B63" t="s">
        <v>132</v>
      </c>
      <c r="C63" t="s">
        <v>171</v>
      </c>
      <c r="D63" t="s">
        <v>167</v>
      </c>
      <c r="E63" s="4">
        <v>5.3760012016845E-2</v>
      </c>
      <c r="F63" s="4">
        <v>0.57014410477111499</v>
      </c>
      <c r="G63" s="4">
        <v>16.4303407234665</v>
      </c>
      <c r="H63" s="4">
        <v>17.429251555985601</v>
      </c>
      <c r="I63" s="4">
        <f t="shared" si="1"/>
        <v>1.7429251555985601E-3</v>
      </c>
      <c r="J63" s="4">
        <v>349.58176782401301</v>
      </c>
      <c r="K63" s="4">
        <v>392.97973756765703</v>
      </c>
      <c r="L63" s="4">
        <v>9.3215611702153005</v>
      </c>
      <c r="M63" s="4">
        <v>0.89175494826775004</v>
      </c>
      <c r="N63" s="4">
        <v>0.30202334459415903</v>
      </c>
      <c r="O63" s="4">
        <v>2333.2633189313801</v>
      </c>
      <c r="P63" s="4">
        <v>2.9240244626687249E-2</v>
      </c>
      <c r="Q63" s="4">
        <v>0.38808164771459103</v>
      </c>
      <c r="R63" s="4">
        <v>0.39623223773665001</v>
      </c>
      <c r="S63" s="4">
        <v>0.33735862722767551</v>
      </c>
      <c r="T63" s="4">
        <v>704.59858923036995</v>
      </c>
      <c r="U63" s="4">
        <v>2.6170756961666299E-2</v>
      </c>
      <c r="V63" s="4">
        <v>0.40066798621324201</v>
      </c>
      <c r="W63" s="4">
        <v>1.0703607139059599E-2</v>
      </c>
      <c r="X63" s="4"/>
      <c r="Y63" s="4">
        <f t="shared" si="0"/>
        <v>51.885784969091446</v>
      </c>
      <c r="Z63" s="4">
        <f t="shared" si="2"/>
        <v>3.9490448599606549</v>
      </c>
      <c r="AA63" s="4">
        <f t="shared" si="3"/>
        <v>-6.8280403818596085</v>
      </c>
      <c r="AB63" s="4">
        <f t="shared" si="4"/>
        <v>-45.656067859572403</v>
      </c>
      <c r="AC63" s="4">
        <f t="shared" si="5"/>
        <v>31.999987095853157</v>
      </c>
      <c r="AD63" s="5">
        <f t="shared" si="6"/>
        <v>3.1719596181403915</v>
      </c>
      <c r="AE63" s="4">
        <f t="shared" si="7"/>
        <v>38.828027477712794</v>
      </c>
      <c r="AF63" s="4">
        <f t="shared" si="8"/>
        <v>-38.828027477712766</v>
      </c>
      <c r="AG63" t="s">
        <v>171</v>
      </c>
    </row>
    <row r="64" spans="1:33">
      <c r="A64" t="s">
        <v>141</v>
      </c>
      <c r="B64" t="s">
        <v>132</v>
      </c>
      <c r="C64" t="s">
        <v>171</v>
      </c>
      <c r="D64" t="s">
        <v>167</v>
      </c>
      <c r="E64" s="4">
        <v>0.14978481808618899</v>
      </c>
      <c r="F64" s="4">
        <v>0.81365689171126998</v>
      </c>
      <c r="G64" s="4">
        <v>15.512759614018799</v>
      </c>
      <c r="H64" s="4">
        <v>18.027358150219101</v>
      </c>
      <c r="I64" s="4">
        <f t="shared" si="1"/>
        <v>1.8027358150219102E-3</v>
      </c>
      <c r="J64" s="4">
        <v>518.05761907824603</v>
      </c>
      <c r="K64" s="4">
        <v>563.85449898359605</v>
      </c>
      <c r="L64" s="4">
        <v>16.566635541705601</v>
      </c>
      <c r="M64" s="4">
        <v>0.66949280254244503</v>
      </c>
      <c r="N64" s="4">
        <v>0.34124125111300102</v>
      </c>
      <c r="O64" s="4">
        <v>2329.5604088390501</v>
      </c>
      <c r="P64" s="4">
        <v>1.6434587025539502E-2</v>
      </c>
      <c r="Q64" s="4">
        <v>0.43855025206007298</v>
      </c>
      <c r="R64" s="4">
        <v>0.13050412735986949</v>
      </c>
      <c r="S64" s="4">
        <v>0.44092811927604098</v>
      </c>
      <c r="T64" s="4">
        <v>680.28756299718702</v>
      </c>
      <c r="U64" s="4">
        <v>2.449915615508895E-2</v>
      </c>
      <c r="V64" s="4">
        <v>0.655430970322881</v>
      </c>
      <c r="W64" s="4">
        <v>9.2986330116415997E-3</v>
      </c>
      <c r="X64" s="4"/>
      <c r="Y64" s="4">
        <f t="shared" si="0"/>
        <v>67.46518828000994</v>
      </c>
      <c r="Z64" s="4">
        <f t="shared" si="2"/>
        <v>4.2116117356594085</v>
      </c>
      <c r="AA64" s="4">
        <f t="shared" si="3"/>
        <v>-21.111678419871822</v>
      </c>
      <c r="AB64" s="4">
        <f t="shared" si="4"/>
        <v>-61.856444090185505</v>
      </c>
      <c r="AC64" s="4">
        <f t="shared" si="5"/>
        <v>19.633087250441861</v>
      </c>
      <c r="AD64" s="5">
        <f t="shared" si="6"/>
        <v>-11.111678419871822</v>
      </c>
      <c r="AE64" s="4">
        <f t="shared" si="7"/>
        <v>40.744765670313683</v>
      </c>
      <c r="AF64" s="4">
        <f t="shared" si="8"/>
        <v>-40.744765670313683</v>
      </c>
      <c r="AG64" t="s">
        <v>171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9770C754368F49BB2A63D8816AD496" ma:contentTypeVersion="3" ma:contentTypeDescription="Create a new document." ma:contentTypeScope="" ma:versionID="6cd95dd43520703c042c7d5ccfb67660">
  <xsd:schema xmlns:xsd="http://www.w3.org/2001/XMLSchema" xmlns:xs="http://www.w3.org/2001/XMLSchema" xmlns:p="http://schemas.microsoft.com/office/2006/metadata/properties" xmlns:ns2="07286b27-ac00-4b57-920d-5e26223b3ea4" targetNamespace="http://schemas.microsoft.com/office/2006/metadata/properties" ma:root="true" ma:fieldsID="dc5f8338b6116805ec1a3fefc0475030" ns2:_="">
    <xsd:import namespace="07286b27-ac00-4b57-920d-5e26223b3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86b27-ac00-4b57-920d-5e26223b3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7B441F4-B3F1-4D32-91A3-983B4D07C905}"/>
</file>

<file path=customXml/itemProps2.xml><?xml version="1.0" encoding="utf-8"?>
<ds:datastoreItem xmlns:ds="http://schemas.openxmlformats.org/officeDocument/2006/customXml" ds:itemID="{B0155270-6FDA-45A2-A369-3A7792CA65F9}"/>
</file>

<file path=customXml/itemProps3.xml><?xml version="1.0" encoding="utf-8"?>
<ds:datastoreItem xmlns:ds="http://schemas.openxmlformats.org/officeDocument/2006/customXml" ds:itemID="{9B0B3CC4-0963-430A-BDC8-BD15A3B465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Aleš Šoster</dc:creator>
  <cp:keywords/>
  <dc:description/>
  <cp:lastModifiedBy>uporabnik</cp:lastModifiedBy>
  <cp:revision/>
  <dcterms:created xsi:type="dcterms:W3CDTF">2015-06-05T18:17:20Z</dcterms:created>
  <dcterms:modified xsi:type="dcterms:W3CDTF">2025-02-12T14:11:26Z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0x010100E89770C754368F49BB2A63D8816AD496</vt:lpwstr>
  </property>
</Properties>
</file>