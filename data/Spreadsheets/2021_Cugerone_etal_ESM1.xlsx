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AUVEGARDE 28-05-2018\ARTICLES et THESE\MINERALIUM DEPOSITA_EBSD-LASER\REVIEW FINALE\Supplementary material\"/>
    </mc:Choice>
  </mc:AlternateContent>
  <bookViews>
    <workbookView xWindow="0" yWindow="0" windowWidth="23040" windowHeight="8772"/>
  </bookViews>
  <sheets>
    <sheet name="Table S1" sheetId="6" r:id="rId1"/>
    <sheet name="Table S2" sheetId="7" r:id="rId2"/>
    <sheet name="Table S3" sheetId="8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8" l="1"/>
  <c r="K2" i="8"/>
  <c r="J3" i="8"/>
  <c r="K3" i="8"/>
  <c r="J4" i="8"/>
  <c r="K4" i="8"/>
  <c r="J5" i="8"/>
  <c r="K5" i="8"/>
  <c r="J6" i="8"/>
  <c r="K6" i="8"/>
  <c r="J7" i="8"/>
  <c r="K7" i="8"/>
  <c r="J8" i="8"/>
  <c r="K8" i="8"/>
  <c r="J9" i="8"/>
  <c r="K9" i="8"/>
  <c r="J10" i="8"/>
  <c r="K10" i="8"/>
  <c r="J11" i="8"/>
  <c r="K11" i="8"/>
  <c r="J12" i="8"/>
  <c r="K12" i="8"/>
  <c r="J13" i="8"/>
  <c r="K13" i="8"/>
  <c r="J14" i="8"/>
  <c r="K14" i="8"/>
  <c r="J15" i="8"/>
  <c r="K15" i="8"/>
  <c r="J16" i="8"/>
  <c r="K16" i="8"/>
  <c r="J17" i="8"/>
  <c r="K17" i="8"/>
  <c r="J18" i="8"/>
  <c r="K18" i="8"/>
  <c r="J19" i="8"/>
  <c r="K19" i="8"/>
  <c r="J20" i="8"/>
  <c r="K20" i="8"/>
  <c r="J21" i="8"/>
  <c r="K21" i="8"/>
  <c r="J22" i="8"/>
  <c r="K22" i="8"/>
  <c r="J23" i="8"/>
  <c r="K23" i="8"/>
  <c r="J24" i="8"/>
  <c r="K24" i="8"/>
  <c r="J25" i="8"/>
  <c r="K25" i="8"/>
  <c r="J26" i="8"/>
  <c r="K26" i="8"/>
  <c r="J27" i="8"/>
  <c r="K27" i="8"/>
  <c r="J28" i="8"/>
  <c r="K28" i="8"/>
  <c r="J29" i="8"/>
  <c r="K29" i="8"/>
  <c r="J30" i="8"/>
  <c r="K30" i="8"/>
  <c r="J31" i="8"/>
  <c r="K31" i="8"/>
  <c r="J32" i="8"/>
  <c r="K32" i="8"/>
  <c r="J33" i="8"/>
  <c r="K33" i="8"/>
  <c r="J34" i="8"/>
  <c r="K34" i="8"/>
  <c r="J35" i="8"/>
  <c r="K35" i="8"/>
  <c r="J36" i="8"/>
  <c r="K36" i="8"/>
  <c r="J37" i="8"/>
  <c r="K37" i="8"/>
  <c r="J38" i="8"/>
  <c r="K38" i="8"/>
  <c r="J39" i="8"/>
  <c r="K39" i="8"/>
  <c r="J40" i="8"/>
  <c r="K40" i="8"/>
  <c r="J41" i="8"/>
  <c r="K41" i="8"/>
  <c r="J42" i="8"/>
  <c r="K42" i="8"/>
  <c r="J43" i="8"/>
  <c r="K43" i="8"/>
  <c r="J44" i="8"/>
  <c r="K44" i="8"/>
  <c r="J45" i="8"/>
  <c r="K45" i="8"/>
  <c r="J46" i="8"/>
  <c r="K46" i="8"/>
  <c r="J47" i="8"/>
  <c r="K47" i="8"/>
  <c r="J48" i="8"/>
  <c r="K48" i="8"/>
  <c r="J49" i="8"/>
  <c r="K49" i="8"/>
  <c r="J50" i="8"/>
  <c r="K50" i="8"/>
  <c r="J51" i="8"/>
  <c r="K51" i="8"/>
  <c r="J52" i="8"/>
  <c r="K52" i="8"/>
  <c r="J53" i="8"/>
  <c r="K53" i="8"/>
  <c r="J54" i="8"/>
  <c r="K54" i="8"/>
  <c r="J55" i="8"/>
  <c r="K55" i="8"/>
  <c r="J56" i="8"/>
  <c r="K56" i="8"/>
  <c r="J57" i="8"/>
  <c r="K57" i="8"/>
  <c r="J58" i="8"/>
  <c r="K58" i="8"/>
  <c r="J59" i="8"/>
  <c r="K59" i="8"/>
  <c r="J60" i="8"/>
  <c r="K60" i="8"/>
  <c r="J61" i="8"/>
  <c r="K61" i="8"/>
  <c r="J62" i="8"/>
  <c r="K62" i="8"/>
  <c r="J63" i="8"/>
  <c r="K63" i="8"/>
  <c r="J64" i="8"/>
  <c r="K64" i="8"/>
  <c r="J65" i="8"/>
  <c r="K65" i="8"/>
  <c r="J66" i="8"/>
  <c r="K66" i="8"/>
  <c r="J67" i="8"/>
  <c r="K67" i="8"/>
  <c r="J68" i="8"/>
  <c r="K68" i="8"/>
  <c r="J69" i="8"/>
  <c r="K69" i="8"/>
  <c r="J70" i="8"/>
  <c r="K70" i="8"/>
  <c r="J71" i="8"/>
  <c r="K71" i="8"/>
  <c r="J72" i="8"/>
  <c r="K72" i="8"/>
  <c r="J73" i="8"/>
  <c r="K73" i="8"/>
  <c r="J74" i="8"/>
  <c r="K74" i="8"/>
  <c r="J75" i="8"/>
  <c r="K75" i="8"/>
  <c r="J76" i="8"/>
  <c r="K76" i="8"/>
  <c r="J77" i="8"/>
  <c r="K77" i="8"/>
  <c r="J78" i="8"/>
  <c r="K78" i="8"/>
  <c r="J79" i="8"/>
  <c r="K79" i="8"/>
  <c r="J80" i="8"/>
  <c r="K80" i="8"/>
  <c r="J81" i="8"/>
  <c r="K81" i="8"/>
  <c r="J82" i="8"/>
  <c r="K82" i="8"/>
  <c r="J83" i="8"/>
  <c r="K83" i="8"/>
  <c r="J84" i="8"/>
  <c r="K84" i="8"/>
  <c r="J85" i="8"/>
  <c r="K85" i="8"/>
  <c r="J86" i="8"/>
  <c r="K86" i="8"/>
  <c r="J87" i="8"/>
  <c r="K87" i="8"/>
  <c r="J88" i="8"/>
  <c r="K88" i="8"/>
  <c r="J89" i="8"/>
  <c r="K89" i="8"/>
  <c r="J90" i="8"/>
  <c r="K90" i="8"/>
  <c r="J91" i="8"/>
  <c r="K91" i="8"/>
  <c r="J92" i="8"/>
  <c r="K92" i="8"/>
  <c r="J93" i="8"/>
  <c r="K93" i="8"/>
  <c r="J94" i="8"/>
  <c r="K94" i="8"/>
  <c r="J95" i="8"/>
  <c r="K95" i="8"/>
  <c r="J96" i="8"/>
  <c r="K96" i="8"/>
  <c r="J97" i="8"/>
  <c r="K97" i="8"/>
  <c r="J98" i="8"/>
  <c r="K98" i="8"/>
  <c r="J99" i="8"/>
  <c r="K99" i="8"/>
  <c r="J100" i="8"/>
  <c r="K100" i="8"/>
  <c r="J101" i="8"/>
  <c r="K101" i="8"/>
  <c r="J102" i="8"/>
  <c r="K102" i="8"/>
  <c r="J103" i="8"/>
  <c r="K103" i="8"/>
  <c r="J104" i="8"/>
  <c r="K104" i="8"/>
  <c r="J105" i="8"/>
  <c r="K105" i="8"/>
  <c r="J106" i="8"/>
  <c r="K106" i="8"/>
  <c r="J107" i="8"/>
  <c r="K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E146" i="8" l="1"/>
  <c r="I146" i="8" s="1"/>
  <c r="I145" i="8"/>
  <c r="E145" i="8"/>
  <c r="I144" i="8"/>
  <c r="E144" i="8"/>
  <c r="I143" i="8"/>
  <c r="E143" i="8"/>
  <c r="E142" i="8"/>
  <c r="I142" i="8" s="1"/>
  <c r="I141" i="8"/>
  <c r="E141" i="8"/>
  <c r="I140" i="8"/>
  <c r="E140" i="8"/>
  <c r="I139" i="8"/>
  <c r="E139" i="8"/>
  <c r="I138" i="8"/>
  <c r="E138" i="8"/>
  <c r="E137" i="8"/>
  <c r="I137" i="8" s="1"/>
  <c r="E136" i="8"/>
  <c r="I136" i="8" s="1"/>
  <c r="E135" i="8"/>
  <c r="I135" i="8" s="1"/>
  <c r="I134" i="8"/>
  <c r="E134" i="8"/>
  <c r="E133" i="8"/>
  <c r="I133" i="8" s="1"/>
  <c r="I132" i="8"/>
  <c r="E132" i="8"/>
  <c r="I131" i="8"/>
  <c r="E131" i="8"/>
  <c r="I130" i="8"/>
  <c r="E130" i="8"/>
  <c r="E129" i="8"/>
  <c r="I129" i="8" s="1"/>
  <c r="E128" i="8"/>
  <c r="I128" i="8" s="1"/>
  <c r="Q18" i="8" s="1"/>
  <c r="E127" i="8"/>
  <c r="I127" i="8" s="1"/>
  <c r="I126" i="8"/>
  <c r="E126" i="8"/>
  <c r="E125" i="8"/>
  <c r="I125" i="8" s="1"/>
  <c r="I124" i="8"/>
  <c r="E124" i="8"/>
  <c r="I123" i="8"/>
  <c r="E123" i="8"/>
  <c r="I122" i="8"/>
  <c r="E122" i="8"/>
  <c r="E121" i="8"/>
  <c r="I121" i="8" s="1"/>
  <c r="E120" i="8"/>
  <c r="I120" i="8" s="1"/>
  <c r="E119" i="8"/>
  <c r="I119" i="8" s="1"/>
  <c r="I118" i="8"/>
  <c r="E118" i="8"/>
  <c r="E117" i="8"/>
  <c r="I117" i="8" s="1"/>
  <c r="I116" i="8"/>
  <c r="E116" i="8"/>
  <c r="I115" i="8"/>
  <c r="E115" i="8"/>
  <c r="I114" i="8"/>
  <c r="E114" i="8"/>
  <c r="E113" i="8"/>
  <c r="I113" i="8" s="1"/>
  <c r="E112" i="8"/>
  <c r="I112" i="8" s="1"/>
  <c r="E111" i="8"/>
  <c r="I111" i="8" s="1"/>
  <c r="I110" i="8"/>
  <c r="E110" i="8"/>
  <c r="E109" i="8"/>
  <c r="I109" i="8" s="1"/>
  <c r="I108" i="8"/>
  <c r="E108" i="8"/>
  <c r="E107" i="8"/>
  <c r="I107" i="8" s="1"/>
  <c r="I106" i="8"/>
  <c r="E106" i="8"/>
  <c r="E105" i="8"/>
  <c r="I105" i="8" s="1"/>
  <c r="I104" i="8"/>
  <c r="E104" i="8"/>
  <c r="E103" i="8"/>
  <c r="I103" i="8" s="1"/>
  <c r="I102" i="8"/>
  <c r="E102" i="8"/>
  <c r="E101" i="8"/>
  <c r="I101" i="8" s="1"/>
  <c r="I100" i="8"/>
  <c r="E100" i="8"/>
  <c r="E99" i="8"/>
  <c r="I99" i="8" s="1"/>
  <c r="I98" i="8"/>
  <c r="E98" i="8"/>
  <c r="E97" i="8"/>
  <c r="I97" i="8" s="1"/>
  <c r="I96" i="8"/>
  <c r="E96" i="8"/>
  <c r="E95" i="8"/>
  <c r="I95" i="8" s="1"/>
  <c r="I94" i="8"/>
  <c r="E94" i="8"/>
  <c r="E93" i="8"/>
  <c r="I93" i="8" s="1"/>
  <c r="I92" i="8"/>
  <c r="E92" i="8"/>
  <c r="E91" i="8"/>
  <c r="I91" i="8" s="1"/>
  <c r="I90" i="8"/>
  <c r="E90" i="8"/>
  <c r="E89" i="8"/>
  <c r="I89" i="8" s="1"/>
  <c r="I88" i="8"/>
  <c r="E88" i="8"/>
  <c r="E87" i="8"/>
  <c r="I87" i="8" s="1"/>
  <c r="I86" i="8"/>
  <c r="E86" i="8"/>
  <c r="E85" i="8"/>
  <c r="I85" i="8" s="1"/>
  <c r="I84" i="8"/>
  <c r="E84" i="8"/>
  <c r="E83" i="8"/>
  <c r="I83" i="8" s="1"/>
  <c r="I82" i="8"/>
  <c r="E82" i="8"/>
  <c r="E81" i="8"/>
  <c r="I81" i="8" s="1"/>
  <c r="I80" i="8"/>
  <c r="E80" i="8"/>
  <c r="E79" i="8"/>
  <c r="I79" i="8" s="1"/>
  <c r="I78" i="8"/>
  <c r="E78" i="8"/>
  <c r="E77" i="8"/>
  <c r="I77" i="8" s="1"/>
  <c r="I76" i="8"/>
  <c r="E76" i="8"/>
  <c r="E75" i="8"/>
  <c r="I75" i="8" s="1"/>
  <c r="I74" i="8"/>
  <c r="E74" i="8"/>
  <c r="E73" i="8"/>
  <c r="I73" i="8" s="1"/>
  <c r="I72" i="8"/>
  <c r="E72" i="8"/>
  <c r="E71" i="8"/>
  <c r="I71" i="8" s="1"/>
  <c r="I70" i="8"/>
  <c r="E70" i="8"/>
  <c r="E69" i="8"/>
  <c r="I69" i="8" s="1"/>
  <c r="I68" i="8"/>
  <c r="E68" i="8"/>
  <c r="E67" i="8"/>
  <c r="I67" i="8" s="1"/>
  <c r="I66" i="8"/>
  <c r="E66" i="8"/>
  <c r="E65" i="8"/>
  <c r="I65" i="8" s="1"/>
  <c r="I64" i="8"/>
  <c r="E64" i="8"/>
  <c r="E63" i="8"/>
  <c r="I63" i="8" s="1"/>
  <c r="I62" i="8"/>
  <c r="E62" i="8"/>
  <c r="E61" i="8"/>
  <c r="I61" i="8" s="1"/>
  <c r="I60" i="8"/>
  <c r="E60" i="8"/>
  <c r="E59" i="8"/>
  <c r="I59" i="8" s="1"/>
  <c r="I58" i="8"/>
  <c r="E58" i="8"/>
  <c r="E57" i="8"/>
  <c r="I57" i="8" s="1"/>
  <c r="I56" i="8"/>
  <c r="E56" i="8"/>
  <c r="E55" i="8"/>
  <c r="I55" i="8" s="1"/>
  <c r="I54" i="8"/>
  <c r="E54" i="8"/>
  <c r="E53" i="8"/>
  <c r="I53" i="8" s="1"/>
  <c r="I52" i="8"/>
  <c r="E52" i="8"/>
  <c r="E51" i="8"/>
  <c r="I51" i="8" s="1"/>
  <c r="I50" i="8"/>
  <c r="E50" i="8"/>
  <c r="E49" i="8"/>
  <c r="I49" i="8" s="1"/>
  <c r="I48" i="8"/>
  <c r="E48" i="8"/>
  <c r="E47" i="8"/>
  <c r="I47" i="8" s="1"/>
  <c r="I46" i="8"/>
  <c r="E46" i="8"/>
  <c r="E45" i="8"/>
  <c r="I45" i="8" s="1"/>
  <c r="I44" i="8"/>
  <c r="E44" i="8"/>
  <c r="I43" i="8"/>
  <c r="E43" i="8"/>
  <c r="E42" i="8"/>
  <c r="I42" i="8" s="1"/>
  <c r="I41" i="8"/>
  <c r="E41" i="8"/>
  <c r="E40" i="8"/>
  <c r="I40" i="8" s="1"/>
  <c r="I39" i="8"/>
  <c r="E39" i="8"/>
  <c r="I38" i="8"/>
  <c r="E38" i="8"/>
  <c r="E37" i="8"/>
  <c r="I37" i="8" s="1"/>
  <c r="I36" i="8"/>
  <c r="E36" i="8"/>
  <c r="E35" i="8"/>
  <c r="I35" i="8" s="1"/>
  <c r="I34" i="8"/>
  <c r="E34" i="8"/>
  <c r="I33" i="8"/>
  <c r="E33" i="8"/>
  <c r="E32" i="8"/>
  <c r="I32" i="8" s="1"/>
  <c r="E31" i="8"/>
  <c r="I31" i="8" s="1"/>
  <c r="E30" i="8"/>
  <c r="I30" i="8" s="1"/>
  <c r="I29" i="8"/>
  <c r="E29" i="8"/>
  <c r="E28" i="8"/>
  <c r="I28" i="8" s="1"/>
  <c r="I27" i="8"/>
  <c r="E27" i="8"/>
  <c r="E26" i="8"/>
  <c r="I26" i="8" s="1"/>
  <c r="I25" i="8"/>
  <c r="E25" i="8"/>
  <c r="E24" i="8"/>
  <c r="I24" i="8" s="1"/>
  <c r="E23" i="8"/>
  <c r="I23" i="8" s="1"/>
  <c r="I22" i="8"/>
  <c r="E22" i="8"/>
  <c r="I21" i="8"/>
  <c r="E21" i="8"/>
  <c r="E20" i="8"/>
  <c r="I20" i="8" s="1"/>
  <c r="R19" i="8"/>
  <c r="S19" i="8" s="1"/>
  <c r="Q19" i="8"/>
  <c r="I19" i="8"/>
  <c r="E19" i="8"/>
  <c r="R18" i="8"/>
  <c r="I18" i="8"/>
  <c r="E18" i="8"/>
  <c r="R17" i="8"/>
  <c r="I17" i="8"/>
  <c r="E17" i="8"/>
  <c r="E16" i="8"/>
  <c r="I16" i="8" s="1"/>
  <c r="R15" i="8"/>
  <c r="I15" i="8"/>
  <c r="E15" i="8"/>
  <c r="R14" i="8"/>
  <c r="R16" i="8" s="1"/>
  <c r="E14" i="8"/>
  <c r="I14" i="8" s="1"/>
  <c r="I13" i="8"/>
  <c r="E13" i="8"/>
  <c r="E12" i="8"/>
  <c r="I12" i="8" s="1"/>
  <c r="I11" i="8"/>
  <c r="E11" i="8"/>
  <c r="E10" i="8"/>
  <c r="I10" i="8" s="1"/>
  <c r="I9" i="8"/>
  <c r="E9" i="8"/>
  <c r="I8" i="8"/>
  <c r="E8" i="8"/>
  <c r="E7" i="8"/>
  <c r="I7" i="8" s="1"/>
  <c r="E6" i="8"/>
  <c r="I6" i="8" s="1"/>
  <c r="E5" i="8"/>
  <c r="I5" i="8" s="1"/>
  <c r="E4" i="8"/>
  <c r="I4" i="8" s="1"/>
  <c r="I3" i="8"/>
  <c r="E3" i="8"/>
  <c r="E2" i="8"/>
  <c r="I2" i="8" s="1"/>
  <c r="R20" i="8" l="1"/>
  <c r="S18" i="8"/>
  <c r="S20" i="8" s="1"/>
  <c r="Q20" i="8"/>
  <c r="R11" i="8"/>
  <c r="R12" i="8"/>
  <c r="Q14" i="8"/>
  <c r="R8" i="8"/>
  <c r="R6" i="8"/>
  <c r="Q6" i="8"/>
  <c r="Q17" i="8"/>
  <c r="S17" i="8" s="1"/>
  <c r="R3" i="8"/>
  <c r="Q15" i="8"/>
  <c r="S15" i="8" s="1"/>
  <c r="S6" i="8" l="1"/>
  <c r="R9" i="8"/>
  <c r="S14" i="8"/>
  <c r="S16" i="8" s="1"/>
  <c r="Q16" i="8"/>
  <c r="R10" i="8"/>
  <c r="R13" i="8" s="1"/>
  <c r="R2" i="8"/>
  <c r="R4" i="8"/>
  <c r="Q12" i="8"/>
  <c r="S12" i="8" s="1"/>
  <c r="Q11" i="8"/>
  <c r="S11" i="8" s="1"/>
  <c r="Q4" i="8"/>
  <c r="Q2" i="8"/>
  <c r="R7" i="8"/>
  <c r="Q7" i="8"/>
  <c r="S7" i="8" s="1"/>
  <c r="Q3" i="8"/>
  <c r="S3" i="8" s="1"/>
  <c r="Q8" i="8"/>
  <c r="S8" i="8" s="1"/>
  <c r="Q10" i="8"/>
  <c r="R5" i="8" l="1"/>
  <c r="Q5" i="8"/>
  <c r="S2" i="8"/>
  <c r="S10" i="8"/>
  <c r="S13" i="8" s="1"/>
  <c r="Q13" i="8"/>
  <c r="S4" i="8"/>
  <c r="Q9" i="8"/>
  <c r="S9" i="8"/>
  <c r="S5" i="8" l="1"/>
  <c r="B5" i="7" l="1"/>
  <c r="B6" i="7" s="1"/>
  <c r="F3" i="7"/>
  <c r="F4" i="7" s="1"/>
  <c r="F6" i="7" s="1"/>
  <c r="E3" i="7"/>
  <c r="B4" i="7" s="1"/>
  <c r="C4" i="7" l="1"/>
  <c r="C6" i="7" s="1"/>
  <c r="D4" i="7"/>
  <c r="D6" i="7" s="1"/>
  <c r="D7" i="7" l="1"/>
  <c r="D9" i="7" s="1"/>
  <c r="C7" i="7"/>
  <c r="C9" i="7" s="1"/>
  <c r="E4" i="7"/>
  <c r="E6" i="7"/>
  <c r="B7" i="7" l="1"/>
  <c r="F7" i="7"/>
  <c r="F9" i="7" s="1"/>
  <c r="E7" i="7" l="1"/>
  <c r="B9" i="7"/>
  <c r="E9" i="7" l="1"/>
  <c r="B10" i="7"/>
  <c r="D10" i="7" l="1"/>
  <c r="E10" i="7" s="1"/>
  <c r="C10" i="7"/>
</calcChain>
</file>

<file path=xl/sharedStrings.xml><?xml version="1.0" encoding="utf-8"?>
<sst xmlns="http://schemas.openxmlformats.org/spreadsheetml/2006/main" count="1391" uniqueCount="72">
  <si>
    <t>Deposit</t>
  </si>
  <si>
    <t>Texture</t>
  </si>
  <si>
    <t>S34</t>
  </si>
  <si>
    <t>Mn55</t>
  </si>
  <si>
    <t>Fe57</t>
  </si>
  <si>
    <t>Co59</t>
  </si>
  <si>
    <t>Cu63</t>
  </si>
  <si>
    <t>Zn64</t>
  </si>
  <si>
    <t>Ga69</t>
  </si>
  <si>
    <t>Ga71</t>
  </si>
  <si>
    <t>Ge74</t>
  </si>
  <si>
    <t>Ag107</t>
  </si>
  <si>
    <t>Cd111</t>
  </si>
  <si>
    <t>In115</t>
  </si>
  <si>
    <t>Sn118</t>
  </si>
  <si>
    <t>Sb121</t>
  </si>
  <si>
    <t>Pb208</t>
  </si>
  <si>
    <t>ANGLAS</t>
  </si>
  <si>
    <t>Recrystallized grains</t>
  </si>
  <si>
    <t>&lt;LOD</t>
  </si>
  <si>
    <t>ARRE</t>
  </si>
  <si>
    <t>PALE BIDAU</t>
  </si>
  <si>
    <t>Dark domains-coarse grains</t>
  </si>
  <si>
    <t>Light domains-coarse grains</t>
  </si>
  <si>
    <t>VICTORIA</t>
  </si>
  <si>
    <t>Coarse grains</t>
  </si>
  <si>
    <t>MARGALIDA</t>
  </si>
  <si>
    <t>BENTAILLOU</t>
  </si>
  <si>
    <t>Type 1 disseminated</t>
  </si>
  <si>
    <t>Content (ppm)</t>
  </si>
  <si>
    <t>Detection limit (ppm)</t>
  </si>
  <si>
    <t>1 sigma (ppm)</t>
  </si>
  <si>
    <t>Ge distribution</t>
  </si>
  <si>
    <t>Ge-minerals</t>
  </si>
  <si>
    <t>Sphalerite-noGe</t>
  </si>
  <si>
    <t>Sphalerite-Ge</t>
  </si>
  <si>
    <t>Total</t>
  </si>
  <si>
    <t>Projection of a primary sph without Ge-minerals</t>
  </si>
  <si>
    <t>Sum pixels</t>
  </si>
  <si>
    <t>Volume (%)</t>
  </si>
  <si>
    <t>Density (g/cm3)</t>
  </si>
  <si>
    <t>Weight</t>
  </si>
  <si>
    <t>Weight (%)</t>
  </si>
  <si>
    <t>[Ge] (ppm)</t>
  </si>
  <si>
    <t>Weight Ge (wt.%)</t>
  </si>
  <si>
    <t>Ge fraction</t>
  </si>
  <si>
    <t>PC1</t>
  </si>
  <si>
    <t>T min</t>
  </si>
  <si>
    <t>Tmax</t>
  </si>
  <si>
    <t>Tmin mean</t>
  </si>
  <si>
    <t>Tmax mean</t>
  </si>
  <si>
    <t>T mean</t>
  </si>
  <si>
    <t>Anglas</t>
  </si>
  <si>
    <t>All</t>
  </si>
  <si>
    <t>Arre</t>
  </si>
  <si>
    <t>Victoria</t>
  </si>
  <si>
    <t>Pale Bidau</t>
  </si>
  <si>
    <t>Bentaillou</t>
  </si>
  <si>
    <t>Margalida</t>
  </si>
  <si>
    <r>
      <t>Article Title:</t>
    </r>
    <r>
      <rPr>
        <sz val="11"/>
        <color rgb="FF000000"/>
        <rFont val="Arial"/>
        <family val="2"/>
      </rPr>
      <t xml:space="preserve"> </t>
    </r>
    <r>
      <rPr>
        <i/>
        <sz val="11"/>
        <color rgb="FF000000"/>
        <rFont val="Arial"/>
        <family val="2"/>
      </rPr>
      <t>Behavior of critical metals in metamorphosed Pb-Zn ore deposits: example from the Pyrenean Axial Zone</t>
    </r>
  </si>
  <si>
    <r>
      <rPr>
        <u/>
        <sz val="11"/>
        <color theme="1"/>
        <rFont val="Arial"/>
        <family val="2"/>
      </rPr>
      <t>Journal: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Mineralium Deposita</t>
    </r>
  </si>
  <si>
    <r>
      <rPr>
        <u/>
        <sz val="11"/>
        <color theme="1"/>
        <rFont val="Arial"/>
        <family val="2"/>
      </rPr>
      <t>Authors:</t>
    </r>
    <r>
      <rPr>
        <i/>
        <sz val="11"/>
        <color theme="1"/>
        <rFont val="Arial"/>
        <family val="2"/>
      </rPr>
      <t xml:space="preserve"> Alexandre Cugerone, Bénédicte Cenki-Tok, Manuel Muñoz, Kalin Kouzmanov, Emilien Oliot, Vincent Motto-Ros, Elisabeth Le Goff</t>
    </r>
  </si>
  <si>
    <r>
      <rPr>
        <u/>
        <sz val="11"/>
        <color theme="1"/>
        <rFont val="Arial"/>
        <family val="2"/>
      </rPr>
      <t>Affiliation of the corresponding author: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Géosciences Montpellier, Université de Montpellier, CNRS, France</t>
    </r>
  </si>
  <si>
    <r>
      <rPr>
        <u/>
        <sz val="11"/>
        <color theme="1"/>
        <rFont val="Arial"/>
        <family val="2"/>
      </rPr>
      <t>e-mail address: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alex.cugerone@gmail.com</t>
    </r>
  </si>
  <si>
    <t>Electronic supplementary material</t>
  </si>
  <si>
    <t>In-situ LA-ICP-MS dataset of the Type 1, Type 2a and Type 2b mineralizations.</t>
  </si>
  <si>
    <t>-</t>
  </si>
  <si>
    <t>ESM1-Table S1</t>
  </si>
  <si>
    <t>ESM1 - Table S3</t>
  </si>
  <si>
    <t>ESM1 - Table S2</t>
  </si>
  <si>
    <t>Mass balance calculation in Ge-rich sphalerite from the Arre deposit</t>
  </si>
  <si>
    <t>GGIMF geothermometer calculation of the in-situ LA-ICP-MS datas based on the equation from Frenzel et al. (2016).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</si>
</sst>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0"/>
      <color theme="1"/>
      <name val="Times New Roman"/>
      <family val="1"/>
    </font>
    <font>
      <u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u/>
      <sz val="11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b/>
      <sz val="10"/>
      <color indexed="8"/>
      <name val="Arial"/>
      <family val="2"/>
    </font>
    <font>
      <sz val="16"/>
      <color theme="1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164" fontId="1" fillId="0" borderId="9" xfId="0" applyNumberFormat="1" applyFont="1" applyFill="1" applyBorder="1" applyAlignment="1">
      <alignment horizontal="center" vertical="center"/>
    </xf>
    <xf numFmtId="1" fontId="1" fillId="0" borderId="3" xfId="0" applyNumberFormat="1" applyFon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/>
    </xf>
    <xf numFmtId="164" fontId="1" fillId="0" borderId="1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164" fontId="1" fillId="0" borderId="12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64" fontId="1" fillId="0" borderId="14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164" fontId="2" fillId="0" borderId="12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64" fontId="2" fillId="0" borderId="14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4" fontId="1" fillId="2" borderId="12" xfId="0" applyNumberFormat="1" applyFont="1" applyFill="1" applyBorder="1" applyAlignment="1">
      <alignment horizontal="center" vertical="center"/>
    </xf>
    <xf numFmtId="164" fontId="1" fillId="2" borderId="17" xfId="0" applyNumberFormat="1" applyFont="1" applyFill="1" applyBorder="1" applyAlignment="1">
      <alignment horizontal="center" vertical="center"/>
    </xf>
    <xf numFmtId="164" fontId="1" fillId="2" borderId="18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2" fontId="1" fillId="2" borderId="17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164" fontId="1" fillId="2" borderId="21" xfId="0" applyNumberFormat="1" applyFont="1" applyFill="1" applyBorder="1" applyAlignment="1">
      <alignment horizontal="center" vertical="center"/>
    </xf>
    <xf numFmtId="164" fontId="1" fillId="2" borderId="19" xfId="0" applyNumberFormat="1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165" fontId="1" fillId="2" borderId="10" xfId="0" applyNumberFormat="1" applyFont="1" applyFill="1" applyBorder="1" applyAlignment="1">
      <alignment horizontal="center" vertical="center"/>
    </xf>
    <xf numFmtId="165" fontId="1" fillId="2" borderId="12" xfId="0" applyNumberFormat="1" applyFont="1" applyFill="1" applyBorder="1" applyAlignment="1">
      <alignment horizontal="center" vertical="center"/>
    </xf>
    <xf numFmtId="165" fontId="1" fillId="2" borderId="14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 vertical="center" wrapText="1"/>
    </xf>
    <xf numFmtId="164" fontId="2" fillId="0" borderId="5" xfId="0" applyNumberFormat="1" applyFont="1" applyFill="1" applyBorder="1" applyAlignment="1">
      <alignment horizontal="center" vertical="center" wrapText="1"/>
    </xf>
    <xf numFmtId="164" fontId="2" fillId="0" borderId="5" xfId="0" applyNumberFormat="1" applyFont="1" applyFill="1" applyBorder="1" applyAlignment="1">
      <alignment horizontal="center" vertical="center"/>
    </xf>
    <xf numFmtId="164" fontId="2" fillId="0" borderId="4" xfId="0" applyNumberFormat="1" applyFont="1" applyFill="1" applyBorder="1" applyAlignment="1">
      <alignment horizontal="center" vertical="center"/>
    </xf>
    <xf numFmtId="164" fontId="2" fillId="0" borderId="20" xfId="0" applyNumberFormat="1" applyFont="1" applyFill="1" applyBorder="1" applyAlignment="1">
      <alignment horizontal="center" vertical="center" wrapText="1"/>
    </xf>
    <xf numFmtId="164" fontId="2" fillId="0" borderId="22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2" fontId="10" fillId="2" borderId="0" xfId="0" applyNumberFormat="1" applyFont="1" applyFill="1" applyBorder="1" applyAlignment="1">
      <alignment horizontal="left" vertical="center"/>
    </xf>
    <xf numFmtId="0" fontId="1" fillId="0" borderId="28" xfId="0" applyNumberFormat="1" applyFont="1" applyFill="1" applyBorder="1" applyAlignment="1">
      <alignment horizontal="center" vertical="center" wrapText="1"/>
    </xf>
    <xf numFmtId="0" fontId="1" fillId="0" borderId="29" xfId="0" applyNumberFormat="1" applyFont="1" applyFill="1" applyBorder="1" applyAlignment="1">
      <alignment horizontal="center" vertical="center" wrapText="1"/>
    </xf>
    <xf numFmtId="166" fontId="1" fillId="0" borderId="28" xfId="0" applyNumberFormat="1" applyFont="1" applyFill="1" applyBorder="1" applyAlignment="1">
      <alignment horizontal="center" vertical="center" wrapText="1"/>
    </xf>
    <xf numFmtId="166" fontId="1" fillId="0" borderId="29" xfId="0" applyNumberFormat="1" applyFont="1" applyFill="1" applyBorder="1" applyAlignment="1">
      <alignment horizontal="center" vertical="center" wrapText="1"/>
    </xf>
    <xf numFmtId="2" fontId="1" fillId="0" borderId="28" xfId="0" applyNumberFormat="1" applyFont="1" applyFill="1" applyBorder="1" applyAlignment="1">
      <alignment horizontal="center" vertical="center" wrapText="1"/>
    </xf>
    <xf numFmtId="2" fontId="1" fillId="0" borderId="29" xfId="0" applyNumberFormat="1" applyFont="1" applyFill="1" applyBorder="1" applyAlignment="1">
      <alignment horizontal="center" vertical="center" wrapText="1"/>
    </xf>
    <xf numFmtId="0" fontId="11" fillId="0" borderId="29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 wrapText="1"/>
    </xf>
    <xf numFmtId="2" fontId="1" fillId="0" borderId="16" xfId="0" applyNumberFormat="1" applyFont="1" applyFill="1" applyBorder="1" applyAlignment="1">
      <alignment horizontal="center" vertical="center" wrapText="1"/>
    </xf>
    <xf numFmtId="2" fontId="1" fillId="0" borderId="17" xfId="0" applyNumberFormat="1" applyFont="1" applyFill="1" applyBorder="1" applyAlignment="1">
      <alignment horizontal="center" vertical="center" wrapText="1"/>
    </xf>
    <xf numFmtId="2" fontId="1" fillId="2" borderId="0" xfId="0" applyNumberFormat="1" applyFont="1" applyFill="1"/>
    <xf numFmtId="164" fontId="1" fillId="0" borderId="31" xfId="0" applyNumberFormat="1" applyFont="1" applyBorder="1" applyAlignment="1">
      <alignment horizontal="center" vertical="center"/>
    </xf>
    <xf numFmtId="0" fontId="1" fillId="2" borderId="0" xfId="0" applyFont="1" applyFill="1"/>
    <xf numFmtId="2" fontId="1" fillId="2" borderId="0" xfId="0" applyNumberFormat="1" applyFont="1" applyFill="1" applyBorder="1"/>
    <xf numFmtId="0" fontId="1" fillId="2" borderId="0" xfId="0" applyFont="1" applyFill="1" applyBorder="1"/>
    <xf numFmtId="164" fontId="1" fillId="2" borderId="31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/>
    <xf numFmtId="164" fontId="1" fillId="0" borderId="32" xfId="0" applyNumberFormat="1" applyFont="1" applyBorder="1" applyAlignment="1">
      <alignment horizontal="center" vertical="center"/>
    </xf>
    <xf numFmtId="1" fontId="1" fillId="2" borderId="0" xfId="0" applyNumberFormat="1" applyFont="1" applyFill="1" applyBorder="1"/>
    <xf numFmtId="164" fontId="13" fillId="2" borderId="0" xfId="0" applyNumberFormat="1" applyFont="1" applyFill="1" applyBorder="1" applyAlignment="1">
      <alignment horizontal="center" vertical="center"/>
    </xf>
    <xf numFmtId="164" fontId="13" fillId="2" borderId="0" xfId="0" applyNumberFormat="1" applyFont="1" applyFill="1" applyBorder="1" applyAlignment="1">
      <alignment vertical="center" wrapText="1"/>
    </xf>
    <xf numFmtId="164" fontId="2" fillId="2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164" fontId="2" fillId="2" borderId="28" xfId="0" applyNumberFormat="1" applyFont="1" applyFill="1" applyBorder="1" applyAlignment="1">
      <alignment horizontal="center" vertical="center"/>
    </xf>
    <xf numFmtId="1" fontId="2" fillId="2" borderId="28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vertical="center"/>
    </xf>
    <xf numFmtId="2" fontId="2" fillId="2" borderId="0" xfId="0" applyNumberFormat="1" applyFont="1" applyFill="1" applyBorder="1"/>
    <xf numFmtId="2" fontId="2" fillId="2" borderId="28" xfId="0" applyNumberFormat="1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0" borderId="0" xfId="0" applyFont="1"/>
    <xf numFmtId="0" fontId="10" fillId="2" borderId="0" xfId="0" applyFont="1" applyFill="1"/>
    <xf numFmtId="164" fontId="1" fillId="2" borderId="31" xfId="0" applyNumberFormat="1" applyFont="1" applyFill="1" applyBorder="1" applyAlignment="1">
      <alignment horizontal="center" vertical="center" wrapText="1"/>
    </xf>
    <xf numFmtId="164" fontId="2" fillId="2" borderId="31" xfId="0" applyNumberFormat="1" applyFont="1" applyFill="1" applyBorder="1" applyAlignment="1">
      <alignment horizontal="center" vertical="center" wrapText="1"/>
    </xf>
    <xf numFmtId="164" fontId="2" fillId="2" borderId="31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 wrapText="1"/>
    </xf>
    <xf numFmtId="164" fontId="2" fillId="2" borderId="32" xfId="0" applyNumberFormat="1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2" fontId="2" fillId="2" borderId="0" xfId="0" applyNumberFormat="1" applyFont="1" applyFill="1"/>
    <xf numFmtId="164" fontId="2" fillId="2" borderId="4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33" xfId="0" applyNumberFormat="1" applyFont="1" applyFill="1" applyBorder="1" applyAlignment="1">
      <alignment horizontal="center" vertical="center"/>
    </xf>
    <xf numFmtId="164" fontId="2" fillId="2" borderId="33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/>
    <xf numFmtId="0" fontId="2" fillId="2" borderId="0" xfId="0" applyFont="1" applyFill="1"/>
    <xf numFmtId="164" fontId="2" fillId="2" borderId="0" xfId="0" applyNumberFormat="1" applyFont="1" applyFill="1" applyBorder="1" applyAlignment="1">
      <alignment horizontal="center"/>
    </xf>
    <xf numFmtId="164" fontId="2" fillId="2" borderId="28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1" fontId="2" fillId="2" borderId="26" xfId="0" applyNumberFormat="1" applyFont="1" applyFill="1" applyBorder="1" applyAlignment="1">
      <alignment horizontal="center"/>
    </xf>
    <xf numFmtId="1" fontId="2" fillId="2" borderId="12" xfId="0" applyNumberFormat="1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164" fontId="2" fillId="2" borderId="22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" fontId="2" fillId="2" borderId="17" xfId="0" applyNumberFormat="1" applyFont="1" applyFill="1" applyBorder="1" applyAlignment="1">
      <alignment horizontal="center" vertical="center"/>
    </xf>
    <xf numFmtId="2" fontId="2" fillId="2" borderId="17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/>
    </xf>
    <xf numFmtId="1" fontId="2" fillId="2" borderId="30" xfId="0" applyNumberFormat="1" applyFont="1" applyFill="1" applyBorder="1" applyAlignment="1">
      <alignment horizontal="center"/>
    </xf>
    <xf numFmtId="1" fontId="2" fillId="2" borderId="18" xfId="0" applyNumberFormat="1" applyFont="1" applyFill="1" applyBorder="1" applyAlignment="1">
      <alignment horizontal="center"/>
    </xf>
    <xf numFmtId="164" fontId="2" fillId="2" borderId="10" xfId="0" applyNumberFormat="1" applyFont="1" applyFill="1" applyBorder="1" applyAlignment="1">
      <alignment horizontal="center" vertical="center"/>
    </xf>
    <xf numFmtId="49" fontId="16" fillId="0" borderId="3" xfId="0" applyNumberFormat="1" applyFont="1" applyFill="1" applyBorder="1" applyAlignment="1">
      <alignment horizontal="center" vertical="center" wrapText="1"/>
    </xf>
    <xf numFmtId="49" fontId="16" fillId="0" borderId="10" xfId="0" applyNumberFormat="1" applyFont="1" applyFill="1" applyBorder="1" applyAlignment="1">
      <alignment horizontal="center" vertical="center" wrapText="1"/>
    </xf>
    <xf numFmtId="49" fontId="16" fillId="0" borderId="27" xfId="0" applyNumberFormat="1" applyFont="1" applyFill="1" applyBorder="1" applyAlignment="1">
      <alignment horizontal="center" vertical="center" wrapText="1"/>
    </xf>
    <xf numFmtId="49" fontId="16" fillId="0" borderId="15" xfId="0" applyNumberFormat="1" applyFont="1" applyFill="1" applyBorder="1" applyAlignment="1">
      <alignment horizontal="center" vertical="center" wrapText="1"/>
    </xf>
    <xf numFmtId="49" fontId="16" fillId="0" borderId="30" xfId="0" applyNumberFormat="1" applyFont="1" applyFill="1" applyBorder="1" applyAlignment="1">
      <alignment horizontal="center" vertical="center" wrapText="1"/>
    </xf>
    <xf numFmtId="2" fontId="1" fillId="2" borderId="18" xfId="0" applyNumberFormat="1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49" fontId="16" fillId="0" borderId="0" xfId="0" applyNumberFormat="1" applyFont="1" applyFill="1" applyBorder="1" applyAlignment="1">
      <alignment horizontal="center" vertical="center" wrapText="1"/>
    </xf>
    <xf numFmtId="49" fontId="16" fillId="0" borderId="3" xfId="0" applyNumberFormat="1" applyFont="1" applyFill="1" applyBorder="1" applyAlignment="1">
      <alignment horizontal="center" vertical="center" wrapText="1"/>
    </xf>
    <xf numFmtId="0" fontId="15" fillId="0" borderId="24" xfId="0" applyFont="1" applyFill="1" applyBorder="1" applyAlignment="1">
      <alignment horizontal="center" vertical="center"/>
    </xf>
    <xf numFmtId="0" fontId="15" fillId="0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164" fontId="1" fillId="2" borderId="31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41"/>
  <sheetViews>
    <sheetView tabSelected="1" zoomScale="70" zoomScaleNormal="70" workbookViewId="0">
      <pane ySplit="1" topLeftCell="A2" activePane="bottomLeft" state="frozen"/>
      <selection pane="bottomLeft" activeCell="F11" sqref="F11"/>
    </sheetView>
  </sheetViews>
  <sheetFormatPr baseColWidth="10" defaultRowHeight="27" customHeight="1" x14ac:dyDescent="0.3"/>
  <cols>
    <col min="1" max="1" width="17.44140625" style="55" customWidth="1"/>
    <col min="2" max="2" width="25.5546875" style="56" customWidth="1"/>
    <col min="3" max="3" width="11.5546875" style="54"/>
    <col min="4" max="4" width="11.5546875" style="51"/>
    <col min="5" max="5" width="11.5546875" style="54"/>
    <col min="6" max="7" width="11.5546875" style="51"/>
    <col min="8" max="8" width="11.5546875" style="54"/>
    <col min="9" max="12" width="11.5546875" style="51"/>
    <col min="13" max="13" width="11.5546875" style="54"/>
    <col min="14" max="16" width="11.5546875" style="51"/>
    <col min="17" max="17" width="11.5546875" style="57"/>
    <col min="18" max="16384" width="11.5546875" style="50"/>
  </cols>
  <sheetData>
    <row r="1" spans="1:34" s="51" customFormat="1" ht="27" customHeight="1" thickBot="1" x14ac:dyDescent="0.35">
      <c r="A1" s="1" t="s">
        <v>0</v>
      </c>
      <c r="B1" s="4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28"/>
      <c r="S1" s="62" t="s">
        <v>64</v>
      </c>
    </row>
    <row r="2" spans="1:34" s="51" customFormat="1" ht="27" customHeight="1" thickTop="1" thickBot="1" x14ac:dyDescent="0.35">
      <c r="A2" s="133" t="s">
        <v>29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4"/>
      <c r="S2" s="92" t="s">
        <v>67</v>
      </c>
    </row>
    <row r="3" spans="1:34" ht="27" customHeight="1" thickTop="1" x14ac:dyDescent="0.25">
      <c r="A3" s="33" t="s">
        <v>17</v>
      </c>
      <c r="B3" s="43" t="s">
        <v>18</v>
      </c>
      <c r="C3" s="5">
        <v>236254.38</v>
      </c>
      <c r="D3" s="6">
        <v>194.62</v>
      </c>
      <c r="E3" s="5">
        <v>25101.45</v>
      </c>
      <c r="F3" s="6">
        <v>137.33000000000001</v>
      </c>
      <c r="G3" s="6">
        <v>94.53</v>
      </c>
      <c r="H3" s="5">
        <v>604452.56000000006</v>
      </c>
      <c r="I3" s="6">
        <v>32.36</v>
      </c>
      <c r="J3" s="6">
        <v>32.72</v>
      </c>
      <c r="K3" s="6">
        <v>33.01</v>
      </c>
      <c r="L3" s="6">
        <v>2.2799999999999998</v>
      </c>
      <c r="M3" s="5">
        <v>1020.99</v>
      </c>
      <c r="N3" s="7">
        <v>1.6</v>
      </c>
      <c r="O3" s="6">
        <v>1.87</v>
      </c>
      <c r="P3" s="6">
        <v>12.64</v>
      </c>
      <c r="Q3" s="8">
        <v>23.33</v>
      </c>
      <c r="R3" s="49"/>
      <c r="S3" s="93" t="s">
        <v>65</v>
      </c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</row>
    <row r="4" spans="1:34" ht="27" customHeight="1" x14ac:dyDescent="0.25">
      <c r="A4" s="33" t="s">
        <v>17</v>
      </c>
      <c r="B4" s="43" t="s">
        <v>18</v>
      </c>
      <c r="C4" s="5">
        <v>261025.63</v>
      </c>
      <c r="D4" s="6">
        <v>92.26</v>
      </c>
      <c r="E4" s="5">
        <v>12729.64</v>
      </c>
      <c r="F4" s="6">
        <v>103.09</v>
      </c>
      <c r="G4" s="6">
        <v>28.78</v>
      </c>
      <c r="H4" s="5">
        <v>606146.75</v>
      </c>
      <c r="I4" s="6">
        <v>28.3</v>
      </c>
      <c r="J4" s="6">
        <v>25.2</v>
      </c>
      <c r="K4" s="6">
        <v>16.66</v>
      </c>
      <c r="L4" s="6">
        <v>1.93</v>
      </c>
      <c r="M4" s="5">
        <v>904.85</v>
      </c>
      <c r="N4" s="7">
        <v>1.44</v>
      </c>
      <c r="O4" s="6">
        <v>2.82</v>
      </c>
      <c r="P4" s="6">
        <v>10.01</v>
      </c>
      <c r="Q4" s="8">
        <v>20.149999999999999</v>
      </c>
      <c r="R4" s="49"/>
      <c r="T4" s="59"/>
      <c r="U4" s="59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</row>
    <row r="5" spans="1:34" ht="27" customHeight="1" x14ac:dyDescent="0.25">
      <c r="A5" s="33" t="s">
        <v>17</v>
      </c>
      <c r="B5" s="43" t="s">
        <v>18</v>
      </c>
      <c r="C5" s="5">
        <v>230995.34</v>
      </c>
      <c r="D5" s="6">
        <v>230.21</v>
      </c>
      <c r="E5" s="5">
        <v>29756.86</v>
      </c>
      <c r="F5" s="6">
        <v>172.54</v>
      </c>
      <c r="G5" s="6">
        <v>53.8</v>
      </c>
      <c r="H5" s="5">
        <v>605812.63</v>
      </c>
      <c r="I5" s="6">
        <v>31.58</v>
      </c>
      <c r="J5" s="6">
        <v>30.45</v>
      </c>
      <c r="K5" s="6">
        <v>40.71</v>
      </c>
      <c r="L5" s="6">
        <v>2.2000000000000002</v>
      </c>
      <c r="M5" s="5">
        <v>1028.71</v>
      </c>
      <c r="N5" s="7">
        <v>1.73</v>
      </c>
      <c r="O5" s="6">
        <v>1.0589999999999999</v>
      </c>
      <c r="P5" s="6">
        <v>8.5399999999999991</v>
      </c>
      <c r="Q5" s="8">
        <v>22.68</v>
      </c>
      <c r="R5" s="49"/>
      <c r="S5" s="60" t="s">
        <v>59</v>
      </c>
      <c r="T5" s="59"/>
      <c r="U5" s="59"/>
      <c r="V5" s="59"/>
      <c r="W5" s="59"/>
      <c r="X5" s="59"/>
      <c r="Y5" s="58"/>
      <c r="Z5" s="58"/>
      <c r="AA5" s="58"/>
      <c r="AB5" s="58"/>
      <c r="AC5" s="58"/>
      <c r="AD5" s="58"/>
      <c r="AE5" s="58"/>
      <c r="AF5" s="58"/>
      <c r="AG5" s="58"/>
      <c r="AH5" s="58"/>
    </row>
    <row r="6" spans="1:34" s="51" customFormat="1" ht="27" customHeight="1" x14ac:dyDescent="0.3">
      <c r="A6" s="33" t="s">
        <v>17</v>
      </c>
      <c r="B6" s="43" t="s">
        <v>18</v>
      </c>
      <c r="C6" s="5">
        <v>240435.8</v>
      </c>
      <c r="D6" s="6">
        <v>195.93</v>
      </c>
      <c r="E6" s="5">
        <v>25556.55</v>
      </c>
      <c r="F6" s="6">
        <v>142.94</v>
      </c>
      <c r="G6" s="6">
        <v>49.44</v>
      </c>
      <c r="H6" s="5">
        <v>602939</v>
      </c>
      <c r="I6" s="6">
        <v>31.06</v>
      </c>
      <c r="J6" s="6">
        <v>30.83</v>
      </c>
      <c r="K6" s="6">
        <v>62.05</v>
      </c>
      <c r="L6" s="6">
        <v>1.65</v>
      </c>
      <c r="M6" s="5">
        <v>998.88</v>
      </c>
      <c r="N6" s="7">
        <v>1.84</v>
      </c>
      <c r="O6" s="6">
        <v>0.97</v>
      </c>
      <c r="P6" s="6">
        <v>6.13</v>
      </c>
      <c r="Q6" s="8">
        <v>20.059999999999999</v>
      </c>
      <c r="R6" s="28"/>
      <c r="S6" s="61" t="s">
        <v>60</v>
      </c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</row>
    <row r="7" spans="1:34" s="51" customFormat="1" ht="27" customHeight="1" x14ac:dyDescent="0.25">
      <c r="A7" s="33" t="s">
        <v>17</v>
      </c>
      <c r="B7" s="43" t="s">
        <v>18</v>
      </c>
      <c r="C7" s="5">
        <v>233790.53</v>
      </c>
      <c r="D7" s="6">
        <v>196.97</v>
      </c>
      <c r="E7" s="5">
        <v>25175</v>
      </c>
      <c r="F7" s="6">
        <v>142.13</v>
      </c>
      <c r="G7" s="6">
        <v>49.96</v>
      </c>
      <c r="H7" s="5">
        <v>605185.18999999994</v>
      </c>
      <c r="I7" s="6">
        <v>40.29</v>
      </c>
      <c r="J7" s="6">
        <v>39.96</v>
      </c>
      <c r="K7" s="6">
        <v>13.09</v>
      </c>
      <c r="L7" s="6">
        <v>1.64</v>
      </c>
      <c r="M7" s="5">
        <v>996.71</v>
      </c>
      <c r="N7" s="7">
        <v>1.5</v>
      </c>
      <c r="O7" s="6">
        <v>0.79700000000000004</v>
      </c>
      <c r="P7" s="6">
        <v>6.54</v>
      </c>
      <c r="Q7" s="8">
        <v>16.61</v>
      </c>
      <c r="R7" s="28"/>
      <c r="S7" s="61" t="s">
        <v>61</v>
      </c>
      <c r="T7" s="59"/>
      <c r="U7" s="59"/>
      <c r="V7" s="59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</row>
    <row r="8" spans="1:34" s="51" customFormat="1" ht="27" customHeight="1" x14ac:dyDescent="0.3">
      <c r="A8" s="33" t="s">
        <v>17</v>
      </c>
      <c r="B8" s="43" t="s">
        <v>18</v>
      </c>
      <c r="C8" s="5">
        <v>233964.36</v>
      </c>
      <c r="D8" s="6">
        <v>200.46</v>
      </c>
      <c r="E8" s="5">
        <v>25674.47</v>
      </c>
      <c r="F8" s="6">
        <v>145.03</v>
      </c>
      <c r="G8" s="6">
        <v>60.12</v>
      </c>
      <c r="H8" s="5">
        <v>608009.06000000006</v>
      </c>
      <c r="I8" s="6">
        <v>52.27</v>
      </c>
      <c r="J8" s="6">
        <v>52.6</v>
      </c>
      <c r="K8" s="6">
        <v>40.229999999999997</v>
      </c>
      <c r="L8" s="6">
        <v>1.589</v>
      </c>
      <c r="M8" s="5">
        <v>1001.37</v>
      </c>
      <c r="N8" s="7">
        <v>1.51</v>
      </c>
      <c r="O8" s="6">
        <v>0.82299999999999995</v>
      </c>
      <c r="P8" s="6">
        <v>6.1</v>
      </c>
      <c r="Q8" s="8">
        <v>13.69</v>
      </c>
      <c r="R8" s="28"/>
      <c r="S8" s="61" t="s">
        <v>62</v>
      </c>
    </row>
    <row r="9" spans="1:34" s="51" customFormat="1" ht="27" customHeight="1" x14ac:dyDescent="0.3">
      <c r="A9" s="33" t="s">
        <v>17</v>
      </c>
      <c r="B9" s="43" t="s">
        <v>18</v>
      </c>
      <c r="C9" s="5">
        <v>227424.88</v>
      </c>
      <c r="D9" s="6">
        <v>96.93</v>
      </c>
      <c r="E9" s="5">
        <v>14844.66</v>
      </c>
      <c r="F9" s="6">
        <v>104.32</v>
      </c>
      <c r="G9" s="6">
        <v>48.64</v>
      </c>
      <c r="H9" s="5">
        <v>599784.13</v>
      </c>
      <c r="I9" s="6">
        <v>32.68</v>
      </c>
      <c r="J9" s="6">
        <v>32.380000000000003</v>
      </c>
      <c r="K9" s="6">
        <v>5.68</v>
      </c>
      <c r="L9" s="6">
        <v>2.31</v>
      </c>
      <c r="M9" s="5">
        <v>1049.56</v>
      </c>
      <c r="N9" s="7" t="s">
        <v>19</v>
      </c>
      <c r="O9" s="6">
        <v>2.63</v>
      </c>
      <c r="P9" s="6">
        <v>6.15</v>
      </c>
      <c r="Q9" s="8">
        <v>23.8</v>
      </c>
      <c r="R9" s="28"/>
      <c r="S9" s="61" t="s">
        <v>63</v>
      </c>
    </row>
    <row r="10" spans="1:34" s="51" customFormat="1" ht="27" customHeight="1" x14ac:dyDescent="0.3">
      <c r="A10" s="33" t="s">
        <v>17</v>
      </c>
      <c r="B10" s="43" t="s">
        <v>18</v>
      </c>
      <c r="C10" s="5">
        <v>234058.2</v>
      </c>
      <c r="D10" s="6">
        <v>149.88</v>
      </c>
      <c r="E10" s="5">
        <v>22447.279999999999</v>
      </c>
      <c r="F10" s="6">
        <v>152.86000000000001</v>
      </c>
      <c r="G10" s="6">
        <v>72.03</v>
      </c>
      <c r="H10" s="5">
        <v>599784.13</v>
      </c>
      <c r="I10" s="6">
        <v>38.65</v>
      </c>
      <c r="J10" s="6">
        <v>38.25</v>
      </c>
      <c r="K10" s="6">
        <v>1.67</v>
      </c>
      <c r="L10" s="6">
        <v>2.76</v>
      </c>
      <c r="M10" s="5">
        <v>1023.24</v>
      </c>
      <c r="N10" s="7" t="s">
        <v>19</v>
      </c>
      <c r="O10" s="6">
        <v>2.35</v>
      </c>
      <c r="P10" s="6">
        <v>7.11</v>
      </c>
      <c r="Q10" s="8">
        <v>29.11</v>
      </c>
      <c r="R10" s="28"/>
      <c r="S10" s="28"/>
    </row>
    <row r="11" spans="1:34" s="51" customFormat="1" ht="27" customHeight="1" x14ac:dyDescent="0.3">
      <c r="A11" s="33" t="s">
        <v>17</v>
      </c>
      <c r="B11" s="43" t="s">
        <v>18</v>
      </c>
      <c r="C11" s="5">
        <v>242048.7</v>
      </c>
      <c r="D11" s="6">
        <v>158.61000000000001</v>
      </c>
      <c r="E11" s="5">
        <v>23444.26</v>
      </c>
      <c r="F11" s="6">
        <v>160.72</v>
      </c>
      <c r="G11" s="6">
        <v>50.41</v>
      </c>
      <c r="H11" s="5">
        <v>615660.38</v>
      </c>
      <c r="I11" s="6">
        <v>29.34</v>
      </c>
      <c r="J11" s="6">
        <v>29.43</v>
      </c>
      <c r="K11" s="6">
        <v>3.38</v>
      </c>
      <c r="L11" s="6">
        <v>1.93</v>
      </c>
      <c r="M11" s="5">
        <v>1003.49</v>
      </c>
      <c r="N11" s="7" t="s">
        <v>19</v>
      </c>
      <c r="O11" s="6">
        <v>1.3380000000000001</v>
      </c>
      <c r="P11" s="6">
        <v>9.1300000000000008</v>
      </c>
      <c r="Q11" s="8">
        <v>20.96</v>
      </c>
      <c r="R11" s="28"/>
      <c r="S11" s="28"/>
    </row>
    <row r="12" spans="1:34" s="51" customFormat="1" ht="27" customHeight="1" x14ac:dyDescent="0.3">
      <c r="A12" s="33" t="s">
        <v>17</v>
      </c>
      <c r="B12" s="43" t="s">
        <v>18</v>
      </c>
      <c r="C12" s="5">
        <v>244190.69</v>
      </c>
      <c r="D12" s="6">
        <v>166.56</v>
      </c>
      <c r="E12" s="5">
        <v>24268.58</v>
      </c>
      <c r="F12" s="6">
        <v>165.79</v>
      </c>
      <c r="G12" s="6">
        <v>49.37</v>
      </c>
      <c r="H12" s="5">
        <v>612817.25</v>
      </c>
      <c r="I12" s="6">
        <v>35.880000000000003</v>
      </c>
      <c r="J12" s="6">
        <v>34.630000000000003</v>
      </c>
      <c r="K12" s="6">
        <v>19.63</v>
      </c>
      <c r="L12" s="6">
        <v>1.94</v>
      </c>
      <c r="M12" s="5">
        <v>993.23</v>
      </c>
      <c r="N12" s="7" t="s">
        <v>19</v>
      </c>
      <c r="O12" s="6">
        <v>0.89900000000000002</v>
      </c>
      <c r="P12" s="6">
        <v>3.65</v>
      </c>
      <c r="Q12" s="8">
        <v>13.87</v>
      </c>
      <c r="R12" s="28"/>
      <c r="S12" s="28"/>
    </row>
    <row r="13" spans="1:34" s="51" customFormat="1" ht="27" customHeight="1" x14ac:dyDescent="0.3">
      <c r="A13" s="33" t="s">
        <v>17</v>
      </c>
      <c r="B13" s="43" t="s">
        <v>18</v>
      </c>
      <c r="C13" s="5">
        <v>234516.98</v>
      </c>
      <c r="D13" s="6">
        <v>128.69</v>
      </c>
      <c r="E13" s="5">
        <v>19377.5</v>
      </c>
      <c r="F13" s="6">
        <v>139.41999999999999</v>
      </c>
      <c r="G13" s="6">
        <v>63.74</v>
      </c>
      <c r="H13" s="5">
        <v>613269.56000000006</v>
      </c>
      <c r="I13" s="6">
        <v>41.75</v>
      </c>
      <c r="J13" s="6">
        <v>41.25</v>
      </c>
      <c r="K13" s="6">
        <v>1.44</v>
      </c>
      <c r="L13" s="6">
        <v>3.47</v>
      </c>
      <c r="M13" s="5">
        <v>982.16</v>
      </c>
      <c r="N13" s="7" t="s">
        <v>19</v>
      </c>
      <c r="O13" s="6">
        <v>1.4</v>
      </c>
      <c r="P13" s="6">
        <v>5.87</v>
      </c>
      <c r="Q13" s="8">
        <v>22.31</v>
      </c>
      <c r="R13" s="28"/>
      <c r="S13" s="28"/>
    </row>
    <row r="14" spans="1:34" s="51" customFormat="1" ht="27" customHeight="1" x14ac:dyDescent="0.3">
      <c r="A14" s="33" t="s">
        <v>17</v>
      </c>
      <c r="B14" s="43" t="s">
        <v>18</v>
      </c>
      <c r="C14" s="5">
        <v>248446.28</v>
      </c>
      <c r="D14" s="6">
        <v>151.52000000000001</v>
      </c>
      <c r="E14" s="5">
        <v>22796.47</v>
      </c>
      <c r="F14" s="6">
        <v>143.41999999999999</v>
      </c>
      <c r="G14" s="6">
        <v>67.180000000000007</v>
      </c>
      <c r="H14" s="5">
        <v>620019.5</v>
      </c>
      <c r="I14" s="6">
        <v>24.3</v>
      </c>
      <c r="J14" s="6">
        <v>24.36</v>
      </c>
      <c r="K14" s="6">
        <v>4.2699999999999996</v>
      </c>
      <c r="L14" s="6">
        <v>2.84</v>
      </c>
      <c r="M14" s="5">
        <v>1031.57</v>
      </c>
      <c r="N14" s="7">
        <v>0.64400000000000002</v>
      </c>
      <c r="O14" s="6">
        <v>7.68</v>
      </c>
      <c r="P14" s="6">
        <v>12.47</v>
      </c>
      <c r="Q14" s="8">
        <v>38.270000000000003</v>
      </c>
      <c r="R14" s="28"/>
      <c r="S14" s="28"/>
    </row>
    <row r="15" spans="1:34" s="51" customFormat="1" ht="27" customHeight="1" x14ac:dyDescent="0.3">
      <c r="A15" s="33" t="s">
        <v>17</v>
      </c>
      <c r="B15" s="43" t="s">
        <v>18</v>
      </c>
      <c r="C15" s="5">
        <v>241187.33</v>
      </c>
      <c r="D15" s="6">
        <v>139.1</v>
      </c>
      <c r="E15" s="5">
        <v>20742.79</v>
      </c>
      <c r="F15" s="6">
        <v>130.78</v>
      </c>
      <c r="G15" s="6">
        <v>50.73</v>
      </c>
      <c r="H15" s="5">
        <v>615249.88</v>
      </c>
      <c r="I15" s="6">
        <v>20.32</v>
      </c>
      <c r="J15" s="6">
        <v>20.41</v>
      </c>
      <c r="K15" s="6">
        <v>3</v>
      </c>
      <c r="L15" s="6">
        <v>2.14</v>
      </c>
      <c r="M15" s="5">
        <v>1027.1300000000001</v>
      </c>
      <c r="N15" s="7">
        <v>0.60799999999999998</v>
      </c>
      <c r="O15" s="6">
        <v>7.53</v>
      </c>
      <c r="P15" s="6">
        <v>7.4</v>
      </c>
      <c r="Q15" s="8">
        <v>24.74</v>
      </c>
      <c r="R15" s="28"/>
      <c r="S15" s="28"/>
    </row>
    <row r="16" spans="1:34" s="51" customFormat="1" ht="27" customHeight="1" x14ac:dyDescent="0.3">
      <c r="A16" s="33" t="s">
        <v>17</v>
      </c>
      <c r="B16" s="43" t="s">
        <v>18</v>
      </c>
      <c r="C16" s="5">
        <v>250083.44</v>
      </c>
      <c r="D16" s="6">
        <v>159.72999999999999</v>
      </c>
      <c r="E16" s="5">
        <v>22326.26</v>
      </c>
      <c r="F16" s="6">
        <v>134.47999999999999</v>
      </c>
      <c r="G16" s="6">
        <v>40.92</v>
      </c>
      <c r="H16" s="5">
        <v>616078.13</v>
      </c>
      <c r="I16" s="6">
        <v>24.95</v>
      </c>
      <c r="J16" s="6">
        <v>24.45</v>
      </c>
      <c r="K16" s="6">
        <v>1.49</v>
      </c>
      <c r="L16" s="6">
        <v>1.77</v>
      </c>
      <c r="M16" s="5">
        <v>918.06</v>
      </c>
      <c r="N16" s="7">
        <v>0.46800000000000003</v>
      </c>
      <c r="O16" s="6">
        <v>0.60199999999999998</v>
      </c>
      <c r="P16" s="6">
        <v>5.9</v>
      </c>
      <c r="Q16" s="8">
        <v>12.68</v>
      </c>
      <c r="R16" s="28"/>
      <c r="S16" s="28"/>
    </row>
    <row r="17" spans="1:30" s="51" customFormat="1" ht="27" customHeight="1" x14ac:dyDescent="0.3">
      <c r="A17" s="33" t="s">
        <v>17</v>
      </c>
      <c r="B17" s="43" t="s">
        <v>18</v>
      </c>
      <c r="C17" s="5">
        <v>248000.02</v>
      </c>
      <c r="D17" s="6">
        <v>155.78</v>
      </c>
      <c r="E17" s="5">
        <v>22009.85</v>
      </c>
      <c r="F17" s="6">
        <v>131.76</v>
      </c>
      <c r="G17" s="6">
        <v>44.34</v>
      </c>
      <c r="H17" s="5">
        <v>614252.88</v>
      </c>
      <c r="I17" s="6">
        <v>24.29</v>
      </c>
      <c r="J17" s="6">
        <v>24.12</v>
      </c>
      <c r="K17" s="6">
        <v>0.82</v>
      </c>
      <c r="L17" s="6">
        <v>2.2000000000000002</v>
      </c>
      <c r="M17" s="5">
        <v>929</v>
      </c>
      <c r="N17" s="7">
        <v>0.55100000000000005</v>
      </c>
      <c r="O17" s="6">
        <v>0.68300000000000005</v>
      </c>
      <c r="P17" s="6">
        <v>5.24</v>
      </c>
      <c r="Q17" s="8">
        <v>22.74</v>
      </c>
      <c r="R17" s="28"/>
      <c r="S17" s="28"/>
    </row>
    <row r="18" spans="1:30" s="52" customFormat="1" ht="27" customHeight="1" x14ac:dyDescent="0.3">
      <c r="A18" s="33" t="s">
        <v>20</v>
      </c>
      <c r="B18" s="44" t="s">
        <v>18</v>
      </c>
      <c r="C18" s="9">
        <v>249314.75</v>
      </c>
      <c r="D18" s="10">
        <v>18.559999999999999</v>
      </c>
      <c r="E18" s="9">
        <v>16915.900000000001</v>
      </c>
      <c r="F18" s="10">
        <v>144.69999999999999</v>
      </c>
      <c r="G18" s="10">
        <v>33.92</v>
      </c>
      <c r="H18" s="9">
        <v>627187.06000000006</v>
      </c>
      <c r="I18" s="10">
        <v>9.36</v>
      </c>
      <c r="J18" s="10">
        <v>9.2200000000000006</v>
      </c>
      <c r="K18" s="10">
        <v>7.93</v>
      </c>
      <c r="L18" s="10">
        <v>4.95</v>
      </c>
      <c r="M18" s="9">
        <v>1166.4000000000001</v>
      </c>
      <c r="N18" s="11">
        <v>4.8000000000000001E-2</v>
      </c>
      <c r="O18" s="10">
        <v>1.04</v>
      </c>
      <c r="P18" s="10">
        <v>7.75</v>
      </c>
      <c r="Q18" s="12">
        <v>37.67</v>
      </c>
      <c r="R18" s="30"/>
      <c r="S18" s="30"/>
    </row>
    <row r="19" spans="1:30" s="51" customFormat="1" ht="27" customHeight="1" x14ac:dyDescent="0.3">
      <c r="A19" s="33" t="s">
        <v>20</v>
      </c>
      <c r="B19" s="43" t="s">
        <v>18</v>
      </c>
      <c r="C19" s="13">
        <v>261254.23</v>
      </c>
      <c r="D19" s="14">
        <v>18.02</v>
      </c>
      <c r="E19" s="13">
        <v>21797.88</v>
      </c>
      <c r="F19" s="14">
        <v>163.6</v>
      </c>
      <c r="G19" s="14">
        <v>10.31</v>
      </c>
      <c r="H19" s="13">
        <v>623044.06000000006</v>
      </c>
      <c r="I19" s="14">
        <v>0.64</v>
      </c>
      <c r="J19" s="14">
        <v>0.47599999999999998</v>
      </c>
      <c r="K19" s="14">
        <v>1.46</v>
      </c>
      <c r="L19" s="14">
        <v>1.33</v>
      </c>
      <c r="M19" s="13">
        <v>1091.8</v>
      </c>
      <c r="N19" s="15">
        <v>2.8000000000000001E-2</v>
      </c>
      <c r="O19" s="14">
        <v>0.28699999999999998</v>
      </c>
      <c r="P19" s="14">
        <v>2.5</v>
      </c>
      <c r="Q19" s="16">
        <v>2.92</v>
      </c>
      <c r="R19" s="28"/>
      <c r="S19" s="28"/>
    </row>
    <row r="20" spans="1:30" s="51" customFormat="1" ht="27" customHeight="1" x14ac:dyDescent="0.3">
      <c r="A20" s="33" t="s">
        <v>20</v>
      </c>
      <c r="B20" s="43" t="s">
        <v>18</v>
      </c>
      <c r="C20" s="5">
        <v>249143.89</v>
      </c>
      <c r="D20" s="6">
        <v>19.41</v>
      </c>
      <c r="E20" s="5">
        <v>20264.849999999999</v>
      </c>
      <c r="F20" s="6">
        <v>169.36</v>
      </c>
      <c r="G20" s="6">
        <v>20.170000000000002</v>
      </c>
      <c r="H20" s="5">
        <v>619786.38</v>
      </c>
      <c r="I20" s="6">
        <v>0.28000000000000003</v>
      </c>
      <c r="J20" s="6">
        <v>0.36899999999999999</v>
      </c>
      <c r="K20" s="6">
        <v>1.66</v>
      </c>
      <c r="L20" s="6">
        <v>2.46</v>
      </c>
      <c r="M20" s="5">
        <v>1056.67</v>
      </c>
      <c r="N20" s="7" t="s">
        <v>19</v>
      </c>
      <c r="O20" s="6">
        <v>0.36499999999999999</v>
      </c>
      <c r="P20" s="6">
        <v>2.38</v>
      </c>
      <c r="Q20" s="8">
        <v>9.7899999999999991</v>
      </c>
      <c r="R20" s="28"/>
      <c r="S20" s="28"/>
    </row>
    <row r="21" spans="1:30" s="51" customFormat="1" ht="27" customHeight="1" x14ac:dyDescent="0.3">
      <c r="A21" s="33" t="s">
        <v>20</v>
      </c>
      <c r="B21" s="43" t="s">
        <v>18</v>
      </c>
      <c r="C21" s="5">
        <v>258107.19</v>
      </c>
      <c r="D21" s="6">
        <v>23.75</v>
      </c>
      <c r="E21" s="5">
        <v>22067.18</v>
      </c>
      <c r="F21" s="6">
        <v>172.66</v>
      </c>
      <c r="G21" s="6">
        <v>35</v>
      </c>
      <c r="H21" s="5">
        <v>621670.31000000006</v>
      </c>
      <c r="I21" s="6">
        <v>2.88</v>
      </c>
      <c r="J21" s="6">
        <v>2.66</v>
      </c>
      <c r="K21" s="6">
        <v>4.2</v>
      </c>
      <c r="L21" s="6">
        <v>4.63</v>
      </c>
      <c r="M21" s="5">
        <v>1098.17</v>
      </c>
      <c r="N21" s="7" t="s">
        <v>19</v>
      </c>
      <c r="O21" s="6">
        <v>1.18</v>
      </c>
      <c r="P21" s="6">
        <v>8.17</v>
      </c>
      <c r="Q21" s="8">
        <v>30.61</v>
      </c>
      <c r="R21" s="28"/>
      <c r="S21" s="28"/>
    </row>
    <row r="22" spans="1:30" s="51" customFormat="1" ht="27" customHeight="1" x14ac:dyDescent="0.3">
      <c r="A22" s="33" t="s">
        <v>20</v>
      </c>
      <c r="B22" s="43" t="s">
        <v>18</v>
      </c>
      <c r="C22" s="5">
        <v>249628.88</v>
      </c>
      <c r="D22" s="6">
        <v>22</v>
      </c>
      <c r="E22" s="5">
        <v>21919.3</v>
      </c>
      <c r="F22" s="6">
        <v>170.22</v>
      </c>
      <c r="G22" s="6">
        <v>34.659999999999997</v>
      </c>
      <c r="H22" s="5">
        <v>619783.93999999994</v>
      </c>
      <c r="I22" s="6">
        <v>5.42</v>
      </c>
      <c r="J22" s="6">
        <v>5.21</v>
      </c>
      <c r="K22" s="6">
        <v>3.84</v>
      </c>
      <c r="L22" s="6">
        <v>3.65</v>
      </c>
      <c r="M22" s="5">
        <v>1128.1500000000001</v>
      </c>
      <c r="N22" s="7" t="s">
        <v>19</v>
      </c>
      <c r="O22" s="6">
        <v>1.06</v>
      </c>
      <c r="P22" s="6">
        <v>5.16</v>
      </c>
      <c r="Q22" s="8">
        <v>25.48</v>
      </c>
      <c r="R22" s="28"/>
      <c r="S22" s="28"/>
    </row>
    <row r="23" spans="1:30" s="51" customFormat="1" ht="27" customHeight="1" x14ac:dyDescent="0.3">
      <c r="A23" s="33" t="s">
        <v>20</v>
      </c>
      <c r="B23" s="43" t="s">
        <v>18</v>
      </c>
      <c r="C23" s="5">
        <v>275506.34000000003</v>
      </c>
      <c r="D23" s="6">
        <v>19.02</v>
      </c>
      <c r="E23" s="5">
        <v>18961.7</v>
      </c>
      <c r="F23" s="6">
        <v>160.38999999999999</v>
      </c>
      <c r="G23" s="6">
        <v>27.32</v>
      </c>
      <c r="H23" s="5">
        <v>623592.81000000006</v>
      </c>
      <c r="I23" s="6">
        <v>4.7</v>
      </c>
      <c r="J23" s="6">
        <v>4.42</v>
      </c>
      <c r="K23" s="6">
        <v>4.88</v>
      </c>
      <c r="L23" s="6">
        <v>3.81</v>
      </c>
      <c r="M23" s="5">
        <v>1091.69</v>
      </c>
      <c r="N23" s="7" t="s">
        <v>19</v>
      </c>
      <c r="O23" s="6">
        <v>0.81399999999999995</v>
      </c>
      <c r="P23" s="6">
        <v>5.26</v>
      </c>
      <c r="Q23" s="8">
        <v>20.46</v>
      </c>
      <c r="R23" s="28"/>
      <c r="S23" s="28"/>
    </row>
    <row r="24" spans="1:30" s="51" customFormat="1" ht="27" customHeight="1" x14ac:dyDescent="0.3">
      <c r="A24" s="33" t="s">
        <v>20</v>
      </c>
      <c r="B24" s="43" t="s">
        <v>18</v>
      </c>
      <c r="C24" s="5">
        <v>271844.15999999997</v>
      </c>
      <c r="D24" s="6">
        <v>20.34</v>
      </c>
      <c r="E24" s="5">
        <v>18036.82</v>
      </c>
      <c r="F24" s="6">
        <v>153.88999999999999</v>
      </c>
      <c r="G24" s="6">
        <v>30.82</v>
      </c>
      <c r="H24" s="5">
        <v>622920.31000000006</v>
      </c>
      <c r="I24" s="6">
        <v>4.96</v>
      </c>
      <c r="J24" s="6">
        <v>4.38</v>
      </c>
      <c r="K24" s="6">
        <v>5.36</v>
      </c>
      <c r="L24" s="6">
        <v>4.2699999999999996</v>
      </c>
      <c r="M24" s="5">
        <v>1087.19</v>
      </c>
      <c r="N24" s="7" t="s">
        <v>19</v>
      </c>
      <c r="O24" s="6">
        <v>0.60199999999999998</v>
      </c>
      <c r="P24" s="6">
        <v>6.42</v>
      </c>
      <c r="Q24" s="8">
        <v>23.35</v>
      </c>
      <c r="R24" s="28"/>
      <c r="S24" s="28"/>
    </row>
    <row r="25" spans="1:30" s="51" customFormat="1" ht="27" customHeight="1" x14ac:dyDescent="0.3">
      <c r="A25" s="33" t="s">
        <v>20</v>
      </c>
      <c r="B25" s="43" t="s">
        <v>18</v>
      </c>
      <c r="C25" s="5">
        <v>260366.16</v>
      </c>
      <c r="D25" s="6">
        <v>18.39</v>
      </c>
      <c r="E25" s="5">
        <v>18044.599999999999</v>
      </c>
      <c r="F25" s="6">
        <v>158.78</v>
      </c>
      <c r="G25" s="6">
        <v>24.94</v>
      </c>
      <c r="H25" s="5">
        <v>622402.93999999994</v>
      </c>
      <c r="I25" s="6">
        <v>3.97</v>
      </c>
      <c r="J25" s="6">
        <v>3.78</v>
      </c>
      <c r="K25" s="6">
        <v>2.2400000000000002</v>
      </c>
      <c r="L25" s="6">
        <v>3.69</v>
      </c>
      <c r="M25" s="5">
        <v>1059.96</v>
      </c>
      <c r="N25" s="7" t="s">
        <v>19</v>
      </c>
      <c r="O25" s="6">
        <v>0.6</v>
      </c>
      <c r="P25" s="6">
        <v>4.5599999999999996</v>
      </c>
      <c r="Q25" s="8">
        <v>19.13</v>
      </c>
      <c r="R25" s="28"/>
      <c r="S25" s="28"/>
    </row>
    <row r="26" spans="1:30" s="51" customFormat="1" ht="27" customHeight="1" x14ac:dyDescent="0.3">
      <c r="A26" s="33" t="s">
        <v>20</v>
      </c>
      <c r="B26" s="43" t="s">
        <v>18</v>
      </c>
      <c r="C26" s="5">
        <v>275684.94</v>
      </c>
      <c r="D26" s="6">
        <v>16.18</v>
      </c>
      <c r="E26" s="5">
        <v>17205.82</v>
      </c>
      <c r="F26" s="6">
        <v>155.63</v>
      </c>
      <c r="G26" s="6">
        <v>17.059999999999999</v>
      </c>
      <c r="H26" s="5">
        <v>622974.13</v>
      </c>
      <c r="I26" s="6">
        <v>5.86</v>
      </c>
      <c r="J26" s="6">
        <v>5.61</v>
      </c>
      <c r="K26" s="6">
        <v>1.05</v>
      </c>
      <c r="L26" s="6">
        <v>1.72</v>
      </c>
      <c r="M26" s="5">
        <v>1036.03</v>
      </c>
      <c r="N26" s="7" t="s">
        <v>19</v>
      </c>
      <c r="O26" s="6">
        <v>0.60099999999999998</v>
      </c>
      <c r="P26" s="6">
        <v>2.8</v>
      </c>
      <c r="Q26" s="8">
        <v>10.53</v>
      </c>
      <c r="R26" s="28"/>
      <c r="S26" s="28"/>
    </row>
    <row r="27" spans="1:30" s="51" customFormat="1" ht="27" customHeight="1" x14ac:dyDescent="0.3">
      <c r="A27" s="33" t="s">
        <v>20</v>
      </c>
      <c r="B27" s="43" t="s">
        <v>18</v>
      </c>
      <c r="C27" s="5">
        <v>256573.08</v>
      </c>
      <c r="D27" s="6">
        <v>13.68</v>
      </c>
      <c r="E27" s="5">
        <v>14116.59</v>
      </c>
      <c r="F27" s="6">
        <v>128.22</v>
      </c>
      <c r="G27" s="6">
        <v>24.72</v>
      </c>
      <c r="H27" s="5">
        <v>623857.13</v>
      </c>
      <c r="I27" s="6">
        <v>6.5</v>
      </c>
      <c r="J27" s="6">
        <v>6.49</v>
      </c>
      <c r="K27" s="6">
        <v>3.89</v>
      </c>
      <c r="L27" s="6">
        <v>3.18</v>
      </c>
      <c r="M27" s="5">
        <v>1073.3800000000001</v>
      </c>
      <c r="N27" s="7" t="s">
        <v>19</v>
      </c>
      <c r="O27" s="6">
        <v>0.60299999999999998</v>
      </c>
      <c r="P27" s="6">
        <v>5.94</v>
      </c>
      <c r="Q27" s="8">
        <v>17.239999999999998</v>
      </c>
      <c r="R27" s="28"/>
      <c r="S27" s="28"/>
    </row>
    <row r="28" spans="1:30" s="51" customFormat="1" ht="27" customHeight="1" x14ac:dyDescent="0.3">
      <c r="A28" s="33" t="s">
        <v>20</v>
      </c>
      <c r="B28" s="43" t="s">
        <v>18</v>
      </c>
      <c r="C28" s="5">
        <v>261417.31</v>
      </c>
      <c r="D28" s="6">
        <v>20.64</v>
      </c>
      <c r="E28" s="5">
        <v>17911.080000000002</v>
      </c>
      <c r="F28" s="6">
        <v>154.57</v>
      </c>
      <c r="G28" s="6">
        <v>44.63</v>
      </c>
      <c r="H28" s="5">
        <v>625398.81000000006</v>
      </c>
      <c r="I28" s="6">
        <v>6.91</v>
      </c>
      <c r="J28" s="6">
        <v>6.46</v>
      </c>
      <c r="K28" s="6">
        <v>8.44</v>
      </c>
      <c r="L28" s="6">
        <v>5.82</v>
      </c>
      <c r="M28" s="5">
        <v>1080.45</v>
      </c>
      <c r="N28" s="7" t="s">
        <v>19</v>
      </c>
      <c r="O28" s="6">
        <v>1.3</v>
      </c>
      <c r="P28" s="6">
        <v>9.75</v>
      </c>
      <c r="Q28" s="8">
        <v>37.18</v>
      </c>
      <c r="R28" s="28"/>
      <c r="S28" s="28"/>
    </row>
    <row r="29" spans="1:30" s="51" customFormat="1" ht="27" customHeight="1" x14ac:dyDescent="0.3">
      <c r="A29" s="33" t="s">
        <v>20</v>
      </c>
      <c r="B29" s="43" t="s">
        <v>18</v>
      </c>
      <c r="C29" s="5">
        <v>268070.40999999997</v>
      </c>
      <c r="D29" s="6">
        <v>18.47</v>
      </c>
      <c r="E29" s="5">
        <v>19096.650000000001</v>
      </c>
      <c r="F29" s="6">
        <v>164.97</v>
      </c>
      <c r="G29" s="6">
        <v>35.85</v>
      </c>
      <c r="H29" s="5">
        <v>624462.06000000006</v>
      </c>
      <c r="I29" s="6">
        <v>6.32</v>
      </c>
      <c r="J29" s="6">
        <v>6.06</v>
      </c>
      <c r="K29" s="6">
        <v>4.72</v>
      </c>
      <c r="L29" s="6">
        <v>4.83</v>
      </c>
      <c r="M29" s="5">
        <v>1061.6099999999999</v>
      </c>
      <c r="N29" s="7" t="s">
        <v>19</v>
      </c>
      <c r="O29" s="6">
        <v>0.98</v>
      </c>
      <c r="P29" s="6">
        <v>9.9600000000000009</v>
      </c>
      <c r="Q29" s="8">
        <v>31.35</v>
      </c>
      <c r="R29" s="28"/>
      <c r="S29" s="28"/>
    </row>
    <row r="30" spans="1:30" s="51" customFormat="1" ht="27" customHeight="1" x14ac:dyDescent="0.3">
      <c r="A30" s="33" t="s">
        <v>20</v>
      </c>
      <c r="B30" s="43" t="s">
        <v>18</v>
      </c>
      <c r="C30" s="5">
        <v>263131.96999999997</v>
      </c>
      <c r="D30" s="6">
        <v>17.010000000000002</v>
      </c>
      <c r="E30" s="5">
        <v>15256.52</v>
      </c>
      <c r="F30" s="6">
        <v>136.16</v>
      </c>
      <c r="G30" s="6">
        <v>49.47</v>
      </c>
      <c r="H30" s="5">
        <v>624801.06000000006</v>
      </c>
      <c r="I30" s="6">
        <v>5.22</v>
      </c>
      <c r="J30" s="6">
        <v>5.2</v>
      </c>
      <c r="K30" s="6">
        <v>12.81</v>
      </c>
      <c r="L30" s="6">
        <v>7</v>
      </c>
      <c r="M30" s="5">
        <v>1046.07</v>
      </c>
      <c r="N30" s="7" t="s">
        <v>19</v>
      </c>
      <c r="O30" s="6">
        <v>1.26</v>
      </c>
      <c r="P30" s="6">
        <v>12.03</v>
      </c>
      <c r="Q30" s="8">
        <v>49.32</v>
      </c>
      <c r="R30" s="28"/>
      <c r="S30" s="28"/>
    </row>
    <row r="31" spans="1:30" s="51" customFormat="1" ht="27" customHeight="1" x14ac:dyDescent="0.3">
      <c r="A31" s="33" t="s">
        <v>20</v>
      </c>
      <c r="B31" s="43" t="s">
        <v>18</v>
      </c>
      <c r="C31" s="13">
        <v>274644.59000000003</v>
      </c>
      <c r="D31" s="14">
        <v>17.350000000000001</v>
      </c>
      <c r="E31" s="13">
        <v>20272.88</v>
      </c>
      <c r="F31" s="14">
        <v>170.77</v>
      </c>
      <c r="G31" s="14">
        <v>17.22</v>
      </c>
      <c r="H31" s="13">
        <v>622447.13</v>
      </c>
      <c r="I31" s="14">
        <v>0.66</v>
      </c>
      <c r="J31" s="14">
        <v>0.254</v>
      </c>
      <c r="K31" s="14">
        <v>1.47</v>
      </c>
      <c r="L31" s="14">
        <v>1.96</v>
      </c>
      <c r="M31" s="13">
        <v>1103.05</v>
      </c>
      <c r="N31" s="7" t="s">
        <v>19</v>
      </c>
      <c r="O31" s="14">
        <v>0.55100000000000005</v>
      </c>
      <c r="P31" s="14">
        <v>2.37</v>
      </c>
      <c r="Q31" s="16">
        <v>10.130000000000001</v>
      </c>
      <c r="R31" s="28"/>
      <c r="S31" s="28"/>
    </row>
    <row r="32" spans="1:30" s="52" customFormat="1" ht="27" customHeight="1" x14ac:dyDescent="0.3">
      <c r="A32" s="33" t="s">
        <v>21</v>
      </c>
      <c r="B32" s="44" t="s">
        <v>18</v>
      </c>
      <c r="C32" s="9">
        <v>230211.61</v>
      </c>
      <c r="D32" s="10">
        <v>22.74</v>
      </c>
      <c r="E32" s="9">
        <v>21349.46</v>
      </c>
      <c r="F32" s="10">
        <v>129.86000000000001</v>
      </c>
      <c r="G32" s="10">
        <v>42.5</v>
      </c>
      <c r="H32" s="9">
        <v>625499.18999999994</v>
      </c>
      <c r="I32" s="10">
        <v>31.55</v>
      </c>
      <c r="J32" s="10">
        <v>31.97</v>
      </c>
      <c r="K32" s="10">
        <v>3.67</v>
      </c>
      <c r="L32" s="10">
        <v>12.85</v>
      </c>
      <c r="M32" s="9">
        <v>1526.31</v>
      </c>
      <c r="N32" s="11">
        <v>2.2200000000000002</v>
      </c>
      <c r="O32" s="10">
        <v>6.06</v>
      </c>
      <c r="P32" s="10">
        <v>15.16</v>
      </c>
      <c r="Q32" s="12">
        <v>38.380000000000003</v>
      </c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spans="1:32" s="51" customFormat="1" ht="27" customHeight="1" x14ac:dyDescent="0.3">
      <c r="A33" s="33" t="s">
        <v>21</v>
      </c>
      <c r="B33" s="43" t="s">
        <v>18</v>
      </c>
      <c r="C33" s="5">
        <v>226129.63</v>
      </c>
      <c r="D33" s="6">
        <v>23.8</v>
      </c>
      <c r="E33" s="5">
        <v>22636.639999999999</v>
      </c>
      <c r="F33" s="6">
        <v>139.91999999999999</v>
      </c>
      <c r="G33" s="6">
        <v>43.46</v>
      </c>
      <c r="H33" s="5">
        <v>624931.93999999994</v>
      </c>
      <c r="I33" s="6">
        <v>26.77</v>
      </c>
      <c r="J33" s="6">
        <v>27.39</v>
      </c>
      <c r="K33" s="6">
        <v>4.7699999999999996</v>
      </c>
      <c r="L33" s="6">
        <v>15.5</v>
      </c>
      <c r="M33" s="5">
        <v>1533.5</v>
      </c>
      <c r="N33" s="7">
        <v>1.97</v>
      </c>
      <c r="O33" s="6">
        <v>7.49</v>
      </c>
      <c r="P33" s="6">
        <v>16.52</v>
      </c>
      <c r="Q33" s="8">
        <v>40.119999999999997</v>
      </c>
      <c r="R33" s="28"/>
      <c r="S33" s="28"/>
    </row>
    <row r="34" spans="1:32" s="51" customFormat="1" ht="27" customHeight="1" x14ac:dyDescent="0.3">
      <c r="A34" s="33" t="s">
        <v>21</v>
      </c>
      <c r="B34" s="43" t="s">
        <v>18</v>
      </c>
      <c r="C34" s="5">
        <v>225249.3</v>
      </c>
      <c r="D34" s="6">
        <v>25.08</v>
      </c>
      <c r="E34" s="5">
        <v>24145.11</v>
      </c>
      <c r="F34" s="6">
        <v>145.52000000000001</v>
      </c>
      <c r="G34" s="6">
        <v>52.1</v>
      </c>
      <c r="H34" s="5">
        <v>624932</v>
      </c>
      <c r="I34" s="6">
        <v>33.909999999999997</v>
      </c>
      <c r="J34" s="6">
        <v>34.54</v>
      </c>
      <c r="K34" s="6">
        <v>4.68</v>
      </c>
      <c r="L34" s="6">
        <v>15.99</v>
      </c>
      <c r="M34" s="5">
        <v>1526.81</v>
      </c>
      <c r="N34" s="7">
        <v>2</v>
      </c>
      <c r="O34" s="6">
        <v>7.24</v>
      </c>
      <c r="P34" s="6">
        <v>16.54</v>
      </c>
      <c r="Q34" s="8">
        <v>43.45</v>
      </c>
      <c r="R34" s="28"/>
      <c r="S34" s="28"/>
    </row>
    <row r="35" spans="1:32" s="51" customFormat="1" ht="27" customHeight="1" x14ac:dyDescent="0.3">
      <c r="A35" s="33" t="s">
        <v>21</v>
      </c>
      <c r="B35" s="43" t="s">
        <v>18</v>
      </c>
      <c r="C35" s="5">
        <v>232305.31</v>
      </c>
      <c r="D35" s="6">
        <v>20.94</v>
      </c>
      <c r="E35" s="5">
        <v>21807.59</v>
      </c>
      <c r="F35" s="6">
        <v>133.01</v>
      </c>
      <c r="G35" s="6">
        <v>35.72</v>
      </c>
      <c r="H35" s="5">
        <v>624932</v>
      </c>
      <c r="I35" s="6">
        <v>30.86</v>
      </c>
      <c r="J35" s="6">
        <v>31.74</v>
      </c>
      <c r="K35" s="6">
        <v>3</v>
      </c>
      <c r="L35" s="6">
        <v>9.77</v>
      </c>
      <c r="M35" s="5">
        <v>1560.83</v>
      </c>
      <c r="N35" s="7">
        <v>2.15</v>
      </c>
      <c r="O35" s="6">
        <v>4.97</v>
      </c>
      <c r="P35" s="6">
        <v>11.03</v>
      </c>
      <c r="Q35" s="8">
        <v>27.13</v>
      </c>
      <c r="R35" s="28"/>
      <c r="S35" s="28"/>
    </row>
    <row r="36" spans="1:32" s="51" customFormat="1" ht="27" customHeight="1" x14ac:dyDescent="0.3">
      <c r="A36" s="33" t="s">
        <v>21</v>
      </c>
      <c r="B36" s="43" t="s">
        <v>18</v>
      </c>
      <c r="C36" s="5">
        <v>229688.23</v>
      </c>
      <c r="D36" s="6">
        <v>21.37</v>
      </c>
      <c r="E36" s="5">
        <v>21235.88</v>
      </c>
      <c r="F36" s="6">
        <v>133.56</v>
      </c>
      <c r="G36" s="6">
        <v>77.510000000000005</v>
      </c>
      <c r="H36" s="5">
        <v>630610.18999999994</v>
      </c>
      <c r="I36" s="6">
        <v>76.239999999999995</v>
      </c>
      <c r="J36" s="6">
        <v>78.2</v>
      </c>
      <c r="K36" s="6">
        <v>5.28</v>
      </c>
      <c r="L36" s="6">
        <v>13.84</v>
      </c>
      <c r="M36" s="5">
        <v>1499.97</v>
      </c>
      <c r="N36" s="7">
        <v>1.04</v>
      </c>
      <c r="O36" s="6">
        <v>7.01</v>
      </c>
      <c r="P36" s="6">
        <v>16.68</v>
      </c>
      <c r="Q36" s="8">
        <v>32.17</v>
      </c>
      <c r="R36" s="28"/>
      <c r="S36" s="28"/>
    </row>
    <row r="37" spans="1:32" s="51" customFormat="1" ht="27" customHeight="1" x14ac:dyDescent="0.3">
      <c r="A37" s="33" t="s">
        <v>21</v>
      </c>
      <c r="B37" s="43" t="s">
        <v>18</v>
      </c>
      <c r="C37" s="5">
        <v>233948.63</v>
      </c>
      <c r="D37" s="6">
        <v>27.09</v>
      </c>
      <c r="E37" s="5">
        <v>21958.84</v>
      </c>
      <c r="F37" s="6">
        <v>142.71</v>
      </c>
      <c r="G37" s="6">
        <v>114.33</v>
      </c>
      <c r="H37" s="5">
        <v>629136.81000000006</v>
      </c>
      <c r="I37" s="6">
        <v>101.61</v>
      </c>
      <c r="J37" s="6">
        <v>104.32</v>
      </c>
      <c r="K37" s="6">
        <v>5.07</v>
      </c>
      <c r="L37" s="6">
        <v>24.74</v>
      </c>
      <c r="M37" s="5">
        <v>1501.16</v>
      </c>
      <c r="N37" s="7">
        <v>0.95699999999999996</v>
      </c>
      <c r="O37" s="6">
        <v>11.53</v>
      </c>
      <c r="P37" s="6">
        <v>34.630000000000003</v>
      </c>
      <c r="Q37" s="8">
        <v>9420.74</v>
      </c>
      <c r="R37" s="28"/>
      <c r="S37" s="28"/>
    </row>
    <row r="38" spans="1:32" s="51" customFormat="1" ht="27" customHeight="1" x14ac:dyDescent="0.3">
      <c r="A38" s="33" t="s">
        <v>21</v>
      </c>
      <c r="B38" s="43" t="s">
        <v>18</v>
      </c>
      <c r="C38" s="5">
        <v>231901.89</v>
      </c>
      <c r="D38" s="6">
        <v>23.23</v>
      </c>
      <c r="E38" s="5">
        <v>20602.21</v>
      </c>
      <c r="F38" s="6">
        <v>135.11000000000001</v>
      </c>
      <c r="G38" s="6">
        <v>128.28</v>
      </c>
      <c r="H38" s="5">
        <v>629728.93999999994</v>
      </c>
      <c r="I38" s="6">
        <v>148.78</v>
      </c>
      <c r="J38" s="6">
        <v>152.78</v>
      </c>
      <c r="K38" s="6">
        <v>3.15</v>
      </c>
      <c r="L38" s="6">
        <v>14.8</v>
      </c>
      <c r="M38" s="5">
        <v>1531.13</v>
      </c>
      <c r="N38" s="7">
        <v>0.65600000000000003</v>
      </c>
      <c r="O38" s="6">
        <v>5.37</v>
      </c>
      <c r="P38" s="6">
        <v>16.23</v>
      </c>
      <c r="Q38" s="8">
        <v>1872.31</v>
      </c>
      <c r="R38" s="28"/>
      <c r="S38" s="28"/>
    </row>
    <row r="39" spans="1:32" s="51" customFormat="1" ht="27" customHeight="1" x14ac:dyDescent="0.3">
      <c r="A39" s="33" t="s">
        <v>21</v>
      </c>
      <c r="B39" s="43" t="s">
        <v>18</v>
      </c>
      <c r="C39" s="5">
        <v>230218.59</v>
      </c>
      <c r="D39" s="6">
        <v>25.56</v>
      </c>
      <c r="E39" s="5">
        <v>21082.77</v>
      </c>
      <c r="F39" s="6">
        <v>140.55000000000001</v>
      </c>
      <c r="G39" s="6">
        <v>141.25</v>
      </c>
      <c r="H39" s="5">
        <v>628380</v>
      </c>
      <c r="I39" s="6">
        <v>156.38</v>
      </c>
      <c r="J39" s="6">
        <v>159.13</v>
      </c>
      <c r="K39" s="6">
        <v>5.03</v>
      </c>
      <c r="L39" s="6">
        <v>19.25</v>
      </c>
      <c r="M39" s="5">
        <v>1569.02</v>
      </c>
      <c r="N39" s="7">
        <v>0.50700000000000001</v>
      </c>
      <c r="O39" s="6">
        <v>6.36</v>
      </c>
      <c r="P39" s="6">
        <v>19.52</v>
      </c>
      <c r="Q39" s="8">
        <v>144.46</v>
      </c>
      <c r="R39" s="28"/>
      <c r="S39" s="28"/>
    </row>
    <row r="40" spans="1:32" s="51" customFormat="1" ht="27" customHeight="1" x14ac:dyDescent="0.3">
      <c r="A40" s="33" t="s">
        <v>21</v>
      </c>
      <c r="B40" s="43" t="s">
        <v>18</v>
      </c>
      <c r="C40" s="5">
        <v>232678.5</v>
      </c>
      <c r="D40" s="6">
        <v>22.87</v>
      </c>
      <c r="E40" s="5">
        <v>18938.16</v>
      </c>
      <c r="F40" s="6">
        <v>126.09</v>
      </c>
      <c r="G40" s="6">
        <v>114.79</v>
      </c>
      <c r="H40" s="5">
        <v>625653.43999999994</v>
      </c>
      <c r="I40" s="6">
        <v>153.87</v>
      </c>
      <c r="J40" s="6">
        <v>157.62</v>
      </c>
      <c r="K40" s="6">
        <v>1.74</v>
      </c>
      <c r="L40" s="6">
        <v>7.14</v>
      </c>
      <c r="M40" s="5">
        <v>1546.37</v>
      </c>
      <c r="N40" s="7">
        <v>0.48899999999999999</v>
      </c>
      <c r="O40" s="6">
        <v>2.33</v>
      </c>
      <c r="P40" s="6">
        <v>6.49</v>
      </c>
      <c r="Q40" s="8">
        <v>189.28</v>
      </c>
      <c r="R40" s="28"/>
      <c r="S40" s="28"/>
    </row>
    <row r="41" spans="1:32" s="51" customFormat="1" ht="27" customHeight="1" x14ac:dyDescent="0.3">
      <c r="A41" s="33" t="s">
        <v>21</v>
      </c>
      <c r="B41" s="43" t="s">
        <v>18</v>
      </c>
      <c r="C41" s="5">
        <v>231699.3</v>
      </c>
      <c r="D41" s="6">
        <v>20.9</v>
      </c>
      <c r="E41" s="5">
        <v>21201.01</v>
      </c>
      <c r="F41" s="6">
        <v>138.6</v>
      </c>
      <c r="G41" s="6">
        <v>88.75</v>
      </c>
      <c r="H41" s="5">
        <v>629728.88</v>
      </c>
      <c r="I41" s="6">
        <v>108.98</v>
      </c>
      <c r="J41" s="6">
        <v>111.57</v>
      </c>
      <c r="K41" s="6">
        <v>0.48</v>
      </c>
      <c r="L41" s="6">
        <v>4.8</v>
      </c>
      <c r="M41" s="5">
        <v>1515.14</v>
      </c>
      <c r="N41" s="7">
        <v>0.72699999999999998</v>
      </c>
      <c r="O41" s="6">
        <v>1.78</v>
      </c>
      <c r="P41" s="6">
        <v>2.81</v>
      </c>
      <c r="Q41" s="8">
        <v>14.76</v>
      </c>
      <c r="R41" s="28"/>
      <c r="S41" s="28"/>
    </row>
    <row r="42" spans="1:32" s="51" customFormat="1" ht="27" customHeight="1" x14ac:dyDescent="0.3">
      <c r="A42" s="33" t="s">
        <v>21</v>
      </c>
      <c r="B42" s="43" t="s">
        <v>18</v>
      </c>
      <c r="C42" s="5">
        <v>220894.97</v>
      </c>
      <c r="D42" s="6">
        <v>26.35</v>
      </c>
      <c r="E42" s="5">
        <v>22434.29</v>
      </c>
      <c r="F42" s="6">
        <v>147.86000000000001</v>
      </c>
      <c r="G42" s="6">
        <v>150.36000000000001</v>
      </c>
      <c r="H42" s="5">
        <v>624172</v>
      </c>
      <c r="I42" s="6">
        <v>146.52000000000001</v>
      </c>
      <c r="J42" s="6">
        <v>151.35</v>
      </c>
      <c r="K42" s="6">
        <v>4.45</v>
      </c>
      <c r="L42" s="6">
        <v>21.15</v>
      </c>
      <c r="M42" s="5">
        <v>1545.75</v>
      </c>
      <c r="N42" s="7">
        <v>0.53700000000000003</v>
      </c>
      <c r="O42" s="6">
        <v>6.87</v>
      </c>
      <c r="P42" s="6">
        <v>20.89</v>
      </c>
      <c r="Q42" s="8">
        <v>41.56</v>
      </c>
      <c r="R42" s="28"/>
      <c r="S42" s="28"/>
    </row>
    <row r="43" spans="1:32" s="51" customFormat="1" ht="27" customHeight="1" x14ac:dyDescent="0.3">
      <c r="A43" s="33" t="s">
        <v>21</v>
      </c>
      <c r="B43" s="43" t="s">
        <v>18</v>
      </c>
      <c r="C43" s="5">
        <v>234495.2</v>
      </c>
      <c r="D43" s="6">
        <v>26.41</v>
      </c>
      <c r="E43" s="5">
        <v>20780.599999999999</v>
      </c>
      <c r="F43" s="6">
        <v>142.77000000000001</v>
      </c>
      <c r="G43" s="6">
        <v>123</v>
      </c>
      <c r="H43" s="5">
        <v>621274.18999999994</v>
      </c>
      <c r="I43" s="6">
        <v>142.91999999999999</v>
      </c>
      <c r="J43" s="6">
        <v>148.01</v>
      </c>
      <c r="K43" s="6">
        <v>1.84</v>
      </c>
      <c r="L43" s="6">
        <v>9.14</v>
      </c>
      <c r="M43" s="5">
        <v>1526.16</v>
      </c>
      <c r="N43" s="7">
        <v>0.44800000000000001</v>
      </c>
      <c r="O43" s="6">
        <v>2.82</v>
      </c>
      <c r="P43" s="6">
        <v>8.33</v>
      </c>
      <c r="Q43" s="8">
        <v>22.16</v>
      </c>
      <c r="R43" s="28"/>
      <c r="S43" s="28"/>
    </row>
    <row r="44" spans="1:32" s="52" customFormat="1" ht="27" customHeight="1" x14ac:dyDescent="0.3">
      <c r="A44" s="33" t="s">
        <v>17</v>
      </c>
      <c r="B44" s="44" t="s">
        <v>22</v>
      </c>
      <c r="C44" s="9">
        <v>223643.7</v>
      </c>
      <c r="D44" s="10">
        <v>158.47999999999999</v>
      </c>
      <c r="E44" s="9">
        <v>22736.06</v>
      </c>
      <c r="F44" s="10">
        <v>116.06</v>
      </c>
      <c r="G44" s="10">
        <v>520.34</v>
      </c>
      <c r="H44" s="9">
        <v>592870.31000000006</v>
      </c>
      <c r="I44" s="10">
        <v>11.22</v>
      </c>
      <c r="J44" s="10">
        <v>10.94</v>
      </c>
      <c r="K44" s="10">
        <v>257.57</v>
      </c>
      <c r="L44" s="10">
        <v>2.83</v>
      </c>
      <c r="M44" s="9">
        <v>943.65</v>
      </c>
      <c r="N44" s="11" t="s">
        <v>19</v>
      </c>
      <c r="O44" s="10">
        <v>0.41099999999999998</v>
      </c>
      <c r="P44" s="10">
        <v>41.88</v>
      </c>
      <c r="Q44" s="12">
        <v>12.09</v>
      </c>
      <c r="R44" s="30"/>
      <c r="S44" s="30"/>
    </row>
    <row r="45" spans="1:32" ht="27" customHeight="1" x14ac:dyDescent="0.3">
      <c r="A45" s="33" t="s">
        <v>17</v>
      </c>
      <c r="B45" s="43" t="s">
        <v>22</v>
      </c>
      <c r="C45" s="5">
        <v>230354.09</v>
      </c>
      <c r="D45" s="6">
        <v>167.81</v>
      </c>
      <c r="E45" s="5">
        <v>23308.05</v>
      </c>
      <c r="F45" s="6">
        <v>117.92</v>
      </c>
      <c r="G45" s="6">
        <v>655.8</v>
      </c>
      <c r="H45" s="5">
        <v>605197.25</v>
      </c>
      <c r="I45" s="6">
        <v>17.04</v>
      </c>
      <c r="J45" s="6">
        <v>16.62</v>
      </c>
      <c r="K45" s="6">
        <v>324.54000000000002</v>
      </c>
      <c r="L45" s="6">
        <v>3.86</v>
      </c>
      <c r="M45" s="5">
        <v>967.66</v>
      </c>
      <c r="N45" s="7" t="s">
        <v>19</v>
      </c>
      <c r="O45" s="6">
        <v>0.36399999999999999</v>
      </c>
      <c r="P45" s="6">
        <v>110.4</v>
      </c>
      <c r="Q45" s="8">
        <v>49.06</v>
      </c>
      <c r="R45" s="28"/>
      <c r="S45" s="28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</row>
    <row r="46" spans="1:32" ht="27" customHeight="1" x14ac:dyDescent="0.3">
      <c r="A46" s="33" t="s">
        <v>17</v>
      </c>
      <c r="B46" s="43" t="s">
        <v>22</v>
      </c>
      <c r="C46" s="5">
        <v>226911.58</v>
      </c>
      <c r="D46" s="6">
        <v>151.22999999999999</v>
      </c>
      <c r="E46" s="5">
        <v>22886.91</v>
      </c>
      <c r="F46" s="6">
        <v>123.21</v>
      </c>
      <c r="G46" s="6">
        <v>575.09</v>
      </c>
      <c r="H46" s="5">
        <v>611467.56000000006</v>
      </c>
      <c r="I46" s="6">
        <v>40.94</v>
      </c>
      <c r="J46" s="6">
        <v>41.02</v>
      </c>
      <c r="K46" s="6">
        <v>232.03</v>
      </c>
      <c r="L46" s="6">
        <v>3.2</v>
      </c>
      <c r="M46" s="5">
        <v>964.34</v>
      </c>
      <c r="N46" s="7" t="s">
        <v>19</v>
      </c>
      <c r="O46" s="6">
        <v>0.152</v>
      </c>
      <c r="P46" s="6">
        <v>108.62</v>
      </c>
      <c r="Q46" s="8">
        <v>51.7</v>
      </c>
      <c r="R46" s="28"/>
      <c r="S46" s="28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</row>
    <row r="47" spans="1:32" ht="27" customHeight="1" x14ac:dyDescent="0.3">
      <c r="A47" s="33" t="s">
        <v>17</v>
      </c>
      <c r="B47" s="43" t="s">
        <v>22</v>
      </c>
      <c r="C47" s="5">
        <v>232249.75</v>
      </c>
      <c r="D47" s="6">
        <v>135.79</v>
      </c>
      <c r="E47" s="5">
        <v>21025.91</v>
      </c>
      <c r="F47" s="6">
        <v>112.46</v>
      </c>
      <c r="G47" s="6">
        <v>660.89</v>
      </c>
      <c r="H47" s="5">
        <v>607756.75</v>
      </c>
      <c r="I47" s="6">
        <v>45.58</v>
      </c>
      <c r="J47" s="6">
        <v>45.71</v>
      </c>
      <c r="K47" s="6">
        <v>289.93</v>
      </c>
      <c r="L47" s="6">
        <v>3.77</v>
      </c>
      <c r="M47" s="5">
        <v>955.02</v>
      </c>
      <c r="N47" s="7" t="s">
        <v>19</v>
      </c>
      <c r="O47" s="6">
        <v>0.374</v>
      </c>
      <c r="P47" s="6">
        <v>128.19999999999999</v>
      </c>
      <c r="Q47" s="8">
        <v>44.71</v>
      </c>
      <c r="R47" s="28"/>
      <c r="S47" s="28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</row>
    <row r="48" spans="1:32" ht="27" customHeight="1" x14ac:dyDescent="0.3">
      <c r="A48" s="33" t="s">
        <v>17</v>
      </c>
      <c r="B48" s="43" t="s">
        <v>22</v>
      </c>
      <c r="C48" s="5">
        <v>235822.69</v>
      </c>
      <c r="D48" s="6">
        <v>152.16</v>
      </c>
      <c r="E48" s="5">
        <v>23885.73</v>
      </c>
      <c r="F48" s="6">
        <v>126.45</v>
      </c>
      <c r="G48" s="6">
        <v>609.47</v>
      </c>
      <c r="H48" s="5">
        <v>607756.75</v>
      </c>
      <c r="I48" s="6">
        <v>42.17</v>
      </c>
      <c r="J48" s="6">
        <v>42.27</v>
      </c>
      <c r="K48" s="6">
        <v>253.12</v>
      </c>
      <c r="L48" s="6">
        <v>3.56</v>
      </c>
      <c r="M48" s="5">
        <v>962.15</v>
      </c>
      <c r="N48" s="7" t="s">
        <v>19</v>
      </c>
      <c r="O48" s="6">
        <v>0.29199999999999998</v>
      </c>
      <c r="P48" s="6">
        <v>183.21</v>
      </c>
      <c r="Q48" s="8">
        <v>53.61</v>
      </c>
      <c r="R48" s="28"/>
      <c r="S48" s="28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</row>
    <row r="49" spans="1:32" ht="27" customHeight="1" x14ac:dyDescent="0.3">
      <c r="A49" s="33" t="s">
        <v>17</v>
      </c>
      <c r="B49" s="43" t="s">
        <v>22</v>
      </c>
      <c r="C49" s="5">
        <v>233786.45</v>
      </c>
      <c r="D49" s="6">
        <v>182.89</v>
      </c>
      <c r="E49" s="5">
        <v>24620.93</v>
      </c>
      <c r="F49" s="6">
        <v>139.76</v>
      </c>
      <c r="G49" s="6">
        <v>396.66</v>
      </c>
      <c r="H49" s="5">
        <v>605353.88</v>
      </c>
      <c r="I49" s="6">
        <v>37.880000000000003</v>
      </c>
      <c r="J49" s="6">
        <v>38.25</v>
      </c>
      <c r="K49" s="6">
        <v>181.89</v>
      </c>
      <c r="L49" s="6">
        <v>2.46</v>
      </c>
      <c r="M49" s="5">
        <v>995.16</v>
      </c>
      <c r="N49" s="7">
        <v>2.4300000000000002</v>
      </c>
      <c r="O49" s="6">
        <v>7.43</v>
      </c>
      <c r="P49" s="6">
        <v>35.04</v>
      </c>
      <c r="Q49" s="8">
        <v>21.13</v>
      </c>
      <c r="R49" s="28"/>
      <c r="S49" s="28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</row>
    <row r="50" spans="1:32" ht="27" customHeight="1" x14ac:dyDescent="0.3">
      <c r="A50" s="33" t="s">
        <v>17</v>
      </c>
      <c r="B50" s="43" t="s">
        <v>22</v>
      </c>
      <c r="C50" s="5">
        <v>234013.81</v>
      </c>
      <c r="D50" s="6">
        <v>179.29</v>
      </c>
      <c r="E50" s="5">
        <v>23991.13</v>
      </c>
      <c r="F50" s="6">
        <v>137.28</v>
      </c>
      <c r="G50" s="6">
        <v>595.46</v>
      </c>
      <c r="H50" s="5">
        <v>603421.75</v>
      </c>
      <c r="I50" s="6">
        <v>23.89</v>
      </c>
      <c r="J50" s="6">
        <v>24.15</v>
      </c>
      <c r="K50" s="6">
        <v>268.12</v>
      </c>
      <c r="L50" s="6">
        <v>3.13</v>
      </c>
      <c r="M50" s="5">
        <v>977.27</v>
      </c>
      <c r="N50" s="7">
        <v>3.31</v>
      </c>
      <c r="O50" s="6">
        <v>20.96</v>
      </c>
      <c r="P50" s="6">
        <v>96.72</v>
      </c>
      <c r="Q50" s="8">
        <v>45.05</v>
      </c>
      <c r="R50" s="28"/>
      <c r="S50" s="28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</row>
    <row r="51" spans="1:32" ht="27" customHeight="1" x14ac:dyDescent="0.3">
      <c r="A51" s="33" t="s">
        <v>17</v>
      </c>
      <c r="B51" s="43" t="s">
        <v>22</v>
      </c>
      <c r="C51" s="5">
        <v>233053.11</v>
      </c>
      <c r="D51" s="6">
        <v>179.51</v>
      </c>
      <c r="E51" s="5">
        <v>24033.42</v>
      </c>
      <c r="F51" s="6">
        <v>137.33000000000001</v>
      </c>
      <c r="G51" s="6">
        <v>378.8</v>
      </c>
      <c r="H51" s="5">
        <v>603906.25</v>
      </c>
      <c r="I51" s="6">
        <v>13.66</v>
      </c>
      <c r="J51" s="6">
        <v>13.42</v>
      </c>
      <c r="K51" s="6">
        <v>200.19</v>
      </c>
      <c r="L51" s="6">
        <v>2.27</v>
      </c>
      <c r="M51" s="5">
        <v>967.08</v>
      </c>
      <c r="N51" s="7">
        <v>2.8</v>
      </c>
      <c r="O51" s="6">
        <v>20.399999999999999</v>
      </c>
      <c r="P51" s="6">
        <v>32.61</v>
      </c>
      <c r="Q51" s="8">
        <v>14.08</v>
      </c>
      <c r="R51" s="28"/>
      <c r="S51" s="28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</row>
    <row r="52" spans="1:32" ht="27" customHeight="1" x14ac:dyDescent="0.3">
      <c r="A52" s="33" t="s">
        <v>17</v>
      </c>
      <c r="B52" s="43" t="s">
        <v>22</v>
      </c>
      <c r="C52" s="5">
        <v>238895.61</v>
      </c>
      <c r="D52" s="6">
        <v>184.34</v>
      </c>
      <c r="E52" s="5">
        <v>24762.16</v>
      </c>
      <c r="F52" s="6">
        <v>139.87</v>
      </c>
      <c r="G52" s="6">
        <v>308.79000000000002</v>
      </c>
      <c r="H52" s="5">
        <v>603776.88</v>
      </c>
      <c r="I52" s="6">
        <v>18.82</v>
      </c>
      <c r="J52" s="6">
        <v>18.89</v>
      </c>
      <c r="K52" s="6">
        <v>228.01</v>
      </c>
      <c r="L52" s="6">
        <v>2.84</v>
      </c>
      <c r="M52" s="5">
        <v>972.93</v>
      </c>
      <c r="N52" s="7">
        <v>2.25</v>
      </c>
      <c r="O52" s="6">
        <v>18.61</v>
      </c>
      <c r="P52" s="6">
        <v>14.44</v>
      </c>
      <c r="Q52" s="8">
        <v>20.43</v>
      </c>
      <c r="R52" s="28"/>
      <c r="S52" s="28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</row>
    <row r="53" spans="1:32" ht="27" customHeight="1" x14ac:dyDescent="0.3">
      <c r="A53" s="33" t="s">
        <v>17</v>
      </c>
      <c r="B53" s="43" t="s">
        <v>22</v>
      </c>
      <c r="C53" s="5">
        <v>237785.45</v>
      </c>
      <c r="D53" s="6">
        <v>217.88</v>
      </c>
      <c r="E53" s="5">
        <v>28641.68</v>
      </c>
      <c r="F53" s="6">
        <v>156.5</v>
      </c>
      <c r="G53" s="6">
        <v>291.01</v>
      </c>
      <c r="H53" s="5">
        <v>606726.06000000006</v>
      </c>
      <c r="I53" s="6">
        <v>24.43</v>
      </c>
      <c r="J53" s="6">
        <v>24.73</v>
      </c>
      <c r="K53" s="6">
        <v>194</v>
      </c>
      <c r="L53" s="6">
        <v>2.1800000000000002</v>
      </c>
      <c r="M53" s="5">
        <v>982.4</v>
      </c>
      <c r="N53" s="7">
        <v>1.88</v>
      </c>
      <c r="O53" s="6">
        <v>6.63</v>
      </c>
      <c r="P53" s="6">
        <v>32.47</v>
      </c>
      <c r="Q53" s="8">
        <v>16.850000000000001</v>
      </c>
      <c r="R53" s="28"/>
      <c r="S53" s="28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</row>
    <row r="54" spans="1:32" ht="27" customHeight="1" x14ac:dyDescent="0.3">
      <c r="A54" s="33" t="s">
        <v>17</v>
      </c>
      <c r="B54" s="43" t="s">
        <v>22</v>
      </c>
      <c r="C54" s="5">
        <v>234951.2</v>
      </c>
      <c r="D54" s="6">
        <v>131.99</v>
      </c>
      <c r="E54" s="5">
        <v>21614.080000000002</v>
      </c>
      <c r="F54" s="6">
        <v>159.03</v>
      </c>
      <c r="G54" s="6">
        <v>720.91</v>
      </c>
      <c r="H54" s="5">
        <v>610619.18999999994</v>
      </c>
      <c r="I54" s="6">
        <v>68.55</v>
      </c>
      <c r="J54" s="6">
        <v>67.650000000000006</v>
      </c>
      <c r="K54" s="6">
        <v>337.83</v>
      </c>
      <c r="L54" s="6">
        <v>9.5</v>
      </c>
      <c r="M54" s="5">
        <v>974.82</v>
      </c>
      <c r="N54" s="7">
        <v>0.375</v>
      </c>
      <c r="O54" s="6">
        <v>4.41</v>
      </c>
      <c r="P54" s="6">
        <v>14.17</v>
      </c>
      <c r="Q54" s="8">
        <v>65.08</v>
      </c>
      <c r="R54" s="28"/>
      <c r="S54" s="28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</row>
    <row r="55" spans="1:32" ht="27" customHeight="1" x14ac:dyDescent="0.3">
      <c r="A55" s="33" t="s">
        <v>17</v>
      </c>
      <c r="B55" s="43" t="s">
        <v>22</v>
      </c>
      <c r="C55" s="5">
        <v>244285.66</v>
      </c>
      <c r="D55" s="6">
        <v>134.35</v>
      </c>
      <c r="E55" s="5">
        <v>21529.68</v>
      </c>
      <c r="F55" s="6">
        <v>147.63</v>
      </c>
      <c r="G55" s="6">
        <v>455.19</v>
      </c>
      <c r="H55" s="5">
        <v>619817.81000000006</v>
      </c>
      <c r="I55" s="6">
        <v>128.62</v>
      </c>
      <c r="J55" s="6">
        <v>128.34</v>
      </c>
      <c r="K55" s="6">
        <v>224.71</v>
      </c>
      <c r="L55" s="6">
        <v>4.5999999999999996</v>
      </c>
      <c r="M55" s="5">
        <v>968.77</v>
      </c>
      <c r="N55" s="7">
        <v>1.8</v>
      </c>
      <c r="O55" s="6">
        <v>38.5</v>
      </c>
      <c r="P55" s="6">
        <v>2.0099999999999998</v>
      </c>
      <c r="Q55" s="8">
        <v>11.34</v>
      </c>
      <c r="R55" s="28"/>
      <c r="S55" s="28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</row>
    <row r="56" spans="1:32" ht="27" customHeight="1" x14ac:dyDescent="0.3">
      <c r="A56" s="33" t="s">
        <v>17</v>
      </c>
      <c r="B56" s="43" t="s">
        <v>22</v>
      </c>
      <c r="C56" s="5">
        <v>246019.56</v>
      </c>
      <c r="D56" s="6">
        <v>147.63</v>
      </c>
      <c r="E56" s="5">
        <v>21769.49</v>
      </c>
      <c r="F56" s="6">
        <v>135.71</v>
      </c>
      <c r="G56" s="6">
        <v>537.67999999999995</v>
      </c>
      <c r="H56" s="5">
        <v>612170.5</v>
      </c>
      <c r="I56" s="6">
        <v>38.869999999999997</v>
      </c>
      <c r="J56" s="6">
        <v>39.03</v>
      </c>
      <c r="K56" s="6">
        <v>252.02</v>
      </c>
      <c r="L56" s="6">
        <v>3.28</v>
      </c>
      <c r="M56" s="5">
        <v>971.52</v>
      </c>
      <c r="N56" s="7">
        <v>0.37</v>
      </c>
      <c r="O56" s="6">
        <v>3.17</v>
      </c>
      <c r="P56" s="6">
        <v>99.35</v>
      </c>
      <c r="Q56" s="8">
        <v>46.87</v>
      </c>
      <c r="R56" s="28"/>
      <c r="S56" s="28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</row>
    <row r="57" spans="1:32" ht="27" customHeight="1" x14ac:dyDescent="0.3">
      <c r="A57" s="33" t="s">
        <v>17</v>
      </c>
      <c r="B57" s="43" t="s">
        <v>22</v>
      </c>
      <c r="C57" s="5">
        <v>243575.73</v>
      </c>
      <c r="D57" s="6">
        <v>146.81</v>
      </c>
      <c r="E57" s="5">
        <v>21977.24</v>
      </c>
      <c r="F57" s="6">
        <v>132.94999999999999</v>
      </c>
      <c r="G57" s="6">
        <v>533.5</v>
      </c>
      <c r="H57" s="5">
        <v>612853.43999999994</v>
      </c>
      <c r="I57" s="6">
        <v>19.36</v>
      </c>
      <c r="J57" s="6">
        <v>19.95</v>
      </c>
      <c r="K57" s="6">
        <v>235.05</v>
      </c>
      <c r="L57" s="6">
        <v>3.23</v>
      </c>
      <c r="M57" s="5">
        <v>965.12</v>
      </c>
      <c r="N57" s="7" t="s">
        <v>19</v>
      </c>
      <c r="O57" s="6">
        <v>2.15</v>
      </c>
      <c r="P57" s="6">
        <v>144.94999999999999</v>
      </c>
      <c r="Q57" s="8">
        <v>78.34</v>
      </c>
      <c r="R57" s="28"/>
      <c r="S57" s="28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</row>
    <row r="58" spans="1:32" ht="27" customHeight="1" x14ac:dyDescent="0.3">
      <c r="A58" s="33" t="s">
        <v>17</v>
      </c>
      <c r="B58" s="43" t="s">
        <v>22</v>
      </c>
      <c r="C58" s="5">
        <v>249022.75</v>
      </c>
      <c r="D58" s="6">
        <v>173.75</v>
      </c>
      <c r="E58" s="5">
        <v>23773.02</v>
      </c>
      <c r="F58" s="6">
        <v>134.54</v>
      </c>
      <c r="G58" s="6">
        <v>228.42</v>
      </c>
      <c r="H58" s="5">
        <v>609508.93999999994</v>
      </c>
      <c r="I58" s="6">
        <v>35.67</v>
      </c>
      <c r="J58" s="6">
        <v>35.35</v>
      </c>
      <c r="K58" s="6">
        <v>102.32</v>
      </c>
      <c r="L58" s="6">
        <v>2.78</v>
      </c>
      <c r="M58" s="5">
        <v>1002.82</v>
      </c>
      <c r="N58" s="7" t="s">
        <v>19</v>
      </c>
      <c r="O58" s="6">
        <v>0.51200000000000001</v>
      </c>
      <c r="P58" s="6">
        <v>7.43</v>
      </c>
      <c r="Q58" s="8">
        <v>2.75</v>
      </c>
      <c r="R58" s="28"/>
      <c r="S58" s="28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</row>
    <row r="59" spans="1:32" ht="27" customHeight="1" x14ac:dyDescent="0.3">
      <c r="A59" s="33" t="s">
        <v>17</v>
      </c>
      <c r="B59" s="43" t="s">
        <v>22</v>
      </c>
      <c r="C59" s="5">
        <v>245625.86</v>
      </c>
      <c r="D59" s="6">
        <v>81.87</v>
      </c>
      <c r="E59" s="5">
        <v>17934.79</v>
      </c>
      <c r="F59" s="6">
        <v>131.68</v>
      </c>
      <c r="G59" s="6">
        <v>698.04</v>
      </c>
      <c r="H59" s="5">
        <v>618606.38</v>
      </c>
      <c r="I59" s="6">
        <v>20.55</v>
      </c>
      <c r="J59" s="6">
        <v>20.53</v>
      </c>
      <c r="K59" s="6">
        <v>294.07</v>
      </c>
      <c r="L59" s="6">
        <v>3.5</v>
      </c>
      <c r="M59" s="5">
        <v>924.59</v>
      </c>
      <c r="N59" s="7" t="s">
        <v>19</v>
      </c>
      <c r="O59" s="6">
        <v>0.17199999999999999</v>
      </c>
      <c r="P59" s="6">
        <v>217.15</v>
      </c>
      <c r="Q59" s="8">
        <v>108.03</v>
      </c>
      <c r="R59" s="28"/>
      <c r="S59" s="28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</row>
    <row r="60" spans="1:32" ht="27" customHeight="1" x14ac:dyDescent="0.3">
      <c r="A60" s="33" t="s">
        <v>17</v>
      </c>
      <c r="B60" s="43" t="s">
        <v>22</v>
      </c>
      <c r="C60" s="5">
        <v>250329.14</v>
      </c>
      <c r="D60" s="6">
        <v>83.86</v>
      </c>
      <c r="E60" s="5">
        <v>18202.310000000001</v>
      </c>
      <c r="F60" s="6">
        <v>132.61000000000001</v>
      </c>
      <c r="G60" s="6">
        <v>840.56</v>
      </c>
      <c r="H60" s="5">
        <v>621169.13</v>
      </c>
      <c r="I60" s="6">
        <v>30.36</v>
      </c>
      <c r="J60" s="6">
        <v>30.04</v>
      </c>
      <c r="K60" s="6">
        <v>364.44</v>
      </c>
      <c r="L60" s="6">
        <v>3.76</v>
      </c>
      <c r="M60" s="5">
        <v>904.61</v>
      </c>
      <c r="N60" s="7" t="s">
        <v>19</v>
      </c>
      <c r="O60" s="6">
        <v>8.8999999999999996E-2</v>
      </c>
      <c r="P60" s="6">
        <v>218.35</v>
      </c>
      <c r="Q60" s="8">
        <v>89.71</v>
      </c>
      <c r="R60" s="28"/>
      <c r="S60" s="28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</row>
    <row r="61" spans="1:32" ht="27" customHeight="1" x14ac:dyDescent="0.3">
      <c r="A61" s="33" t="s">
        <v>17</v>
      </c>
      <c r="B61" s="43" t="s">
        <v>22</v>
      </c>
      <c r="C61" s="5">
        <v>248433.67</v>
      </c>
      <c r="D61" s="6">
        <v>103.15</v>
      </c>
      <c r="E61" s="5">
        <v>19356.7</v>
      </c>
      <c r="F61" s="6">
        <v>134.34</v>
      </c>
      <c r="G61" s="6">
        <v>653.53</v>
      </c>
      <c r="H61" s="5">
        <v>619504.5</v>
      </c>
      <c r="I61" s="6">
        <v>72.19</v>
      </c>
      <c r="J61" s="6">
        <v>72.39</v>
      </c>
      <c r="K61" s="6">
        <v>401.11</v>
      </c>
      <c r="L61" s="6">
        <v>3.85</v>
      </c>
      <c r="M61" s="5">
        <v>935.93</v>
      </c>
      <c r="N61" s="7">
        <v>7.8E-2</v>
      </c>
      <c r="O61" s="6">
        <v>3.32</v>
      </c>
      <c r="P61" s="6">
        <v>54.38</v>
      </c>
      <c r="Q61" s="8">
        <v>15.99</v>
      </c>
      <c r="R61" s="28"/>
      <c r="S61" s="28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</row>
    <row r="62" spans="1:32" s="52" customFormat="1" ht="27" customHeight="1" x14ac:dyDescent="0.3">
      <c r="A62" s="34" t="s">
        <v>17</v>
      </c>
      <c r="B62" s="44" t="s">
        <v>22</v>
      </c>
      <c r="C62" s="9">
        <v>247319.34</v>
      </c>
      <c r="D62" s="10">
        <v>15.85</v>
      </c>
      <c r="E62" s="9">
        <v>15518.97</v>
      </c>
      <c r="F62" s="10">
        <v>133.27000000000001</v>
      </c>
      <c r="G62" s="10">
        <v>552.70000000000005</v>
      </c>
      <c r="H62" s="9">
        <v>627485.93999999994</v>
      </c>
      <c r="I62" s="10">
        <v>7.76</v>
      </c>
      <c r="J62" s="10">
        <v>7.83</v>
      </c>
      <c r="K62" s="10">
        <v>305.41000000000003</v>
      </c>
      <c r="L62" s="10">
        <v>3.18</v>
      </c>
      <c r="M62" s="9">
        <v>1155.49</v>
      </c>
      <c r="N62" s="11" t="s">
        <v>19</v>
      </c>
      <c r="O62" s="10">
        <v>3.72</v>
      </c>
      <c r="P62" s="10">
        <v>3.6</v>
      </c>
      <c r="Q62" s="12">
        <v>16.059999999999999</v>
      </c>
      <c r="R62" s="30"/>
      <c r="S62" s="30"/>
    </row>
    <row r="63" spans="1:32" ht="27" customHeight="1" x14ac:dyDescent="0.3">
      <c r="A63" s="33" t="s">
        <v>17</v>
      </c>
      <c r="B63" s="43" t="s">
        <v>22</v>
      </c>
      <c r="C63" s="5">
        <v>245895.48</v>
      </c>
      <c r="D63" s="6">
        <v>18.14</v>
      </c>
      <c r="E63" s="5">
        <v>16521.080000000002</v>
      </c>
      <c r="F63" s="6">
        <v>140.55000000000001</v>
      </c>
      <c r="G63" s="6">
        <v>1019.53</v>
      </c>
      <c r="H63" s="5">
        <v>624812.31000000006</v>
      </c>
      <c r="I63" s="6">
        <v>8.2899999999999991</v>
      </c>
      <c r="J63" s="6">
        <v>7.88</v>
      </c>
      <c r="K63" s="6">
        <v>511.23</v>
      </c>
      <c r="L63" s="6">
        <v>3.22</v>
      </c>
      <c r="M63" s="5">
        <v>1150.81</v>
      </c>
      <c r="N63" s="7" t="s">
        <v>19</v>
      </c>
      <c r="O63" s="6">
        <v>3.09</v>
      </c>
      <c r="P63" s="6">
        <v>2.64</v>
      </c>
      <c r="Q63" s="8">
        <v>9.48</v>
      </c>
      <c r="R63" s="28"/>
      <c r="S63" s="28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</row>
    <row r="64" spans="1:32" ht="27" customHeight="1" x14ac:dyDescent="0.3">
      <c r="A64" s="33" t="s">
        <v>17</v>
      </c>
      <c r="B64" s="43" t="s">
        <v>22</v>
      </c>
      <c r="C64" s="5">
        <v>250692.41</v>
      </c>
      <c r="D64" s="6">
        <v>17.37</v>
      </c>
      <c r="E64" s="5">
        <v>16543.830000000002</v>
      </c>
      <c r="F64" s="6">
        <v>138.72999999999999</v>
      </c>
      <c r="G64" s="6">
        <v>905.56</v>
      </c>
      <c r="H64" s="5">
        <v>622664.06000000006</v>
      </c>
      <c r="I64" s="6">
        <v>5.63</v>
      </c>
      <c r="J64" s="6">
        <v>5.63</v>
      </c>
      <c r="K64" s="6">
        <v>432.77</v>
      </c>
      <c r="L64" s="6">
        <v>2.91</v>
      </c>
      <c r="M64" s="5">
        <v>1152.75</v>
      </c>
      <c r="N64" s="7">
        <v>4.8000000000000001E-2</v>
      </c>
      <c r="O64" s="6">
        <v>2.97</v>
      </c>
      <c r="P64" s="6">
        <v>2.06</v>
      </c>
      <c r="Q64" s="8">
        <v>10.56</v>
      </c>
      <c r="R64" s="28"/>
      <c r="S64" s="28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</row>
    <row r="65" spans="1:32" ht="27" customHeight="1" x14ac:dyDescent="0.3">
      <c r="A65" s="33" t="s">
        <v>17</v>
      </c>
      <c r="B65" s="43" t="s">
        <v>22</v>
      </c>
      <c r="C65" s="5">
        <v>251376.39</v>
      </c>
      <c r="D65" s="6">
        <v>15.26</v>
      </c>
      <c r="E65" s="5">
        <v>17154.04</v>
      </c>
      <c r="F65" s="6">
        <v>135.69999999999999</v>
      </c>
      <c r="G65" s="6">
        <v>461.29</v>
      </c>
      <c r="H65" s="5">
        <v>621952.25</v>
      </c>
      <c r="I65" s="6">
        <v>4.92</v>
      </c>
      <c r="J65" s="6">
        <v>4.9400000000000004</v>
      </c>
      <c r="K65" s="6">
        <v>227.05</v>
      </c>
      <c r="L65" s="6">
        <v>2.63</v>
      </c>
      <c r="M65" s="5">
        <v>1120.83</v>
      </c>
      <c r="N65" s="7" t="s">
        <v>19</v>
      </c>
      <c r="O65" s="6">
        <v>0.22600000000000001</v>
      </c>
      <c r="P65" s="6">
        <v>7</v>
      </c>
      <c r="Q65" s="8">
        <v>2.1800000000000002</v>
      </c>
      <c r="R65" s="28"/>
      <c r="S65" s="28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</row>
    <row r="66" spans="1:32" ht="27" customHeight="1" x14ac:dyDescent="0.3">
      <c r="A66" s="33" t="s">
        <v>17</v>
      </c>
      <c r="B66" s="43" t="s">
        <v>22</v>
      </c>
      <c r="C66" s="5">
        <v>249074.09</v>
      </c>
      <c r="D66" s="6">
        <v>16.7</v>
      </c>
      <c r="E66" s="5">
        <v>18303.62</v>
      </c>
      <c r="F66" s="6">
        <v>147.33000000000001</v>
      </c>
      <c r="G66" s="6">
        <v>522.87</v>
      </c>
      <c r="H66" s="5">
        <v>620572.88</v>
      </c>
      <c r="I66" s="6">
        <v>6.14</v>
      </c>
      <c r="J66" s="6">
        <v>5.57</v>
      </c>
      <c r="K66" s="6">
        <v>246.63</v>
      </c>
      <c r="L66" s="6">
        <v>2.59</v>
      </c>
      <c r="M66" s="5">
        <v>1099.3800000000001</v>
      </c>
      <c r="N66" s="7" t="s">
        <v>19</v>
      </c>
      <c r="O66" s="6">
        <v>0.26700000000000002</v>
      </c>
      <c r="P66" s="6">
        <v>8.7200000000000006</v>
      </c>
      <c r="Q66" s="8">
        <v>2.27</v>
      </c>
      <c r="R66" s="28"/>
      <c r="S66" s="28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</row>
    <row r="67" spans="1:32" ht="27" customHeight="1" x14ac:dyDescent="0.3">
      <c r="A67" s="33" t="s">
        <v>17</v>
      </c>
      <c r="B67" s="43" t="s">
        <v>22</v>
      </c>
      <c r="C67" s="5">
        <v>261244.14</v>
      </c>
      <c r="D67" s="6">
        <v>18.399999999999999</v>
      </c>
      <c r="E67" s="5">
        <v>20554.349999999999</v>
      </c>
      <c r="F67" s="6">
        <v>164.73</v>
      </c>
      <c r="G67" s="6">
        <v>558.54999999999995</v>
      </c>
      <c r="H67" s="5">
        <v>626458.38</v>
      </c>
      <c r="I67" s="6">
        <v>0.51600000000000001</v>
      </c>
      <c r="J67" s="6">
        <v>0.124</v>
      </c>
      <c r="K67" s="6">
        <v>241.08</v>
      </c>
      <c r="L67" s="6">
        <v>2.2200000000000002</v>
      </c>
      <c r="M67" s="5">
        <v>1084.78</v>
      </c>
      <c r="N67" s="7" t="s">
        <v>19</v>
      </c>
      <c r="O67" s="6">
        <v>0.17100000000000001</v>
      </c>
      <c r="P67" s="6">
        <v>1.1850000000000001</v>
      </c>
      <c r="Q67" s="8">
        <v>1.49</v>
      </c>
      <c r="R67" s="28"/>
      <c r="S67" s="28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</row>
    <row r="68" spans="1:32" ht="27" customHeight="1" x14ac:dyDescent="0.3">
      <c r="A68" s="33" t="s">
        <v>17</v>
      </c>
      <c r="B68" s="43" t="s">
        <v>22</v>
      </c>
      <c r="C68" s="5">
        <v>259860.66</v>
      </c>
      <c r="D68" s="6">
        <v>19.57</v>
      </c>
      <c r="E68" s="5">
        <v>21797.54</v>
      </c>
      <c r="F68" s="6">
        <v>170.67</v>
      </c>
      <c r="G68" s="6">
        <v>1120.08</v>
      </c>
      <c r="H68" s="5">
        <v>625361.88</v>
      </c>
      <c r="I68" s="6">
        <v>4.51</v>
      </c>
      <c r="J68" s="6">
        <v>4.55</v>
      </c>
      <c r="K68" s="6">
        <v>480.9</v>
      </c>
      <c r="L68" s="6">
        <v>2.54</v>
      </c>
      <c r="M68" s="5">
        <v>1115.54</v>
      </c>
      <c r="N68" s="7" t="s">
        <v>19</v>
      </c>
      <c r="O68" s="6">
        <v>5.31</v>
      </c>
      <c r="P68" s="6">
        <v>2.8</v>
      </c>
      <c r="Q68" s="8">
        <v>7.15</v>
      </c>
      <c r="R68" s="28"/>
      <c r="S68" s="28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</row>
    <row r="69" spans="1:32" ht="27" customHeight="1" x14ac:dyDescent="0.3">
      <c r="A69" s="33" t="s">
        <v>17</v>
      </c>
      <c r="B69" s="43" t="s">
        <v>22</v>
      </c>
      <c r="C69" s="5">
        <v>248540.88</v>
      </c>
      <c r="D69" s="6">
        <v>14.37</v>
      </c>
      <c r="E69" s="5">
        <v>15972.29</v>
      </c>
      <c r="F69" s="6">
        <v>139.28</v>
      </c>
      <c r="G69" s="6">
        <v>761.93</v>
      </c>
      <c r="H69" s="5">
        <v>620538.31000000006</v>
      </c>
      <c r="I69" s="6">
        <v>7.82</v>
      </c>
      <c r="J69" s="6">
        <v>7.68</v>
      </c>
      <c r="K69" s="6">
        <v>386.89</v>
      </c>
      <c r="L69" s="6">
        <v>2.2200000000000002</v>
      </c>
      <c r="M69" s="5">
        <v>1121.43</v>
      </c>
      <c r="N69" s="7" t="s">
        <v>19</v>
      </c>
      <c r="O69" s="6">
        <v>6.42</v>
      </c>
      <c r="P69" s="6">
        <v>1.76</v>
      </c>
      <c r="Q69" s="8">
        <v>6.26</v>
      </c>
      <c r="R69" s="28"/>
      <c r="S69" s="28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</row>
    <row r="70" spans="1:32" ht="27" customHeight="1" x14ac:dyDescent="0.3">
      <c r="A70" s="33" t="s">
        <v>17</v>
      </c>
      <c r="B70" s="43" t="s">
        <v>22</v>
      </c>
      <c r="C70" s="5">
        <v>253390.52</v>
      </c>
      <c r="D70" s="6">
        <v>13.06</v>
      </c>
      <c r="E70" s="5">
        <v>16178.92</v>
      </c>
      <c r="F70" s="6">
        <v>143.05000000000001</v>
      </c>
      <c r="G70" s="6">
        <v>1175.42</v>
      </c>
      <c r="H70" s="5">
        <v>623366.93999999994</v>
      </c>
      <c r="I70" s="6">
        <v>8.2899999999999991</v>
      </c>
      <c r="J70" s="6">
        <v>8.32</v>
      </c>
      <c r="K70" s="6">
        <v>579.59</v>
      </c>
      <c r="L70" s="6">
        <v>2.48</v>
      </c>
      <c r="M70" s="5">
        <v>1088.76</v>
      </c>
      <c r="N70" s="7" t="s">
        <v>19</v>
      </c>
      <c r="O70" s="6">
        <v>0.96199999999999997</v>
      </c>
      <c r="P70" s="6">
        <v>5.09</v>
      </c>
      <c r="Q70" s="8">
        <v>3.16</v>
      </c>
      <c r="R70" s="28"/>
      <c r="S70" s="28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</row>
    <row r="71" spans="1:32" ht="27" customHeight="1" x14ac:dyDescent="0.3">
      <c r="A71" s="33" t="s">
        <v>17</v>
      </c>
      <c r="B71" s="43" t="s">
        <v>22</v>
      </c>
      <c r="C71" s="5">
        <v>257653.61</v>
      </c>
      <c r="D71" s="6">
        <v>15.7</v>
      </c>
      <c r="E71" s="5">
        <v>18340.75</v>
      </c>
      <c r="F71" s="6">
        <v>160.99</v>
      </c>
      <c r="G71" s="6">
        <v>1265.3499999999999</v>
      </c>
      <c r="H71" s="5">
        <v>619794.43999999994</v>
      </c>
      <c r="I71" s="6">
        <v>6.89</v>
      </c>
      <c r="J71" s="6">
        <v>6.56</v>
      </c>
      <c r="K71" s="6">
        <v>540.82000000000005</v>
      </c>
      <c r="L71" s="6">
        <v>3</v>
      </c>
      <c r="M71" s="5">
        <v>1095.98</v>
      </c>
      <c r="N71" s="7">
        <v>5.8000000000000003E-2</v>
      </c>
      <c r="O71" s="6">
        <v>1.63</v>
      </c>
      <c r="P71" s="6">
        <v>3.11</v>
      </c>
      <c r="Q71" s="8">
        <v>4.0599999999999996</v>
      </c>
      <c r="R71" s="28"/>
      <c r="S71" s="28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</row>
    <row r="72" spans="1:32" ht="27" customHeight="1" x14ac:dyDescent="0.3">
      <c r="A72" s="33" t="s">
        <v>17</v>
      </c>
      <c r="B72" s="43" t="s">
        <v>22</v>
      </c>
      <c r="C72" s="5">
        <v>252882.38</v>
      </c>
      <c r="D72" s="6">
        <v>15.42</v>
      </c>
      <c r="E72" s="5">
        <v>17873.580000000002</v>
      </c>
      <c r="F72" s="6">
        <v>157.16</v>
      </c>
      <c r="G72" s="6">
        <v>1224.99</v>
      </c>
      <c r="H72" s="5">
        <v>617455.81000000006</v>
      </c>
      <c r="I72" s="6">
        <v>9.68</v>
      </c>
      <c r="J72" s="6">
        <v>9.56</v>
      </c>
      <c r="K72" s="6">
        <v>525.09</v>
      </c>
      <c r="L72" s="6">
        <v>2.36</v>
      </c>
      <c r="M72" s="5">
        <v>1071.4100000000001</v>
      </c>
      <c r="N72" s="7" t="s">
        <v>19</v>
      </c>
      <c r="O72" s="6">
        <v>2.92</v>
      </c>
      <c r="P72" s="6">
        <v>1.89</v>
      </c>
      <c r="Q72" s="8">
        <v>3.4</v>
      </c>
      <c r="R72" s="28"/>
      <c r="S72" s="28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</row>
    <row r="73" spans="1:32" ht="27" customHeight="1" x14ac:dyDescent="0.3">
      <c r="A73" s="33" t="s">
        <v>17</v>
      </c>
      <c r="B73" s="43" t="s">
        <v>22</v>
      </c>
      <c r="C73" s="5">
        <v>254546.42</v>
      </c>
      <c r="D73" s="6">
        <v>16.190000000000001</v>
      </c>
      <c r="E73" s="5">
        <v>17896.29</v>
      </c>
      <c r="F73" s="6">
        <v>159.22999999999999</v>
      </c>
      <c r="G73" s="6">
        <v>1040.08</v>
      </c>
      <c r="H73" s="5">
        <v>620317.43999999994</v>
      </c>
      <c r="I73" s="6">
        <v>10.25</v>
      </c>
      <c r="J73" s="6">
        <v>10.02</v>
      </c>
      <c r="K73" s="6">
        <v>460.73</v>
      </c>
      <c r="L73" s="6">
        <v>4.62</v>
      </c>
      <c r="M73" s="5">
        <v>1089.25</v>
      </c>
      <c r="N73" s="7" t="s">
        <v>19</v>
      </c>
      <c r="O73" s="6">
        <v>10.029999999999999</v>
      </c>
      <c r="P73" s="6">
        <v>5.61</v>
      </c>
      <c r="Q73" s="8">
        <v>24.83</v>
      </c>
      <c r="R73" s="28"/>
      <c r="S73" s="28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</row>
    <row r="74" spans="1:32" ht="27" customHeight="1" x14ac:dyDescent="0.3">
      <c r="A74" s="33" t="s">
        <v>17</v>
      </c>
      <c r="B74" s="43" t="s">
        <v>22</v>
      </c>
      <c r="C74" s="5">
        <v>266281.15999999997</v>
      </c>
      <c r="D74" s="6">
        <v>15.08</v>
      </c>
      <c r="E74" s="5">
        <v>17565.48</v>
      </c>
      <c r="F74" s="6">
        <v>158.77000000000001</v>
      </c>
      <c r="G74" s="6">
        <v>869.16</v>
      </c>
      <c r="H74" s="5">
        <v>620188.88</v>
      </c>
      <c r="I74" s="6">
        <v>11.33</v>
      </c>
      <c r="J74" s="6">
        <v>10.52</v>
      </c>
      <c r="K74" s="6">
        <v>431.66</v>
      </c>
      <c r="L74" s="6">
        <v>3.41</v>
      </c>
      <c r="M74" s="5">
        <v>1051.3</v>
      </c>
      <c r="N74" s="7" t="s">
        <v>19</v>
      </c>
      <c r="O74" s="6">
        <v>8.84</v>
      </c>
      <c r="P74" s="6">
        <v>2.58</v>
      </c>
      <c r="Q74" s="8">
        <v>15.49</v>
      </c>
      <c r="R74" s="28"/>
      <c r="S74" s="28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</row>
    <row r="75" spans="1:32" ht="27" customHeight="1" x14ac:dyDescent="0.3">
      <c r="A75" s="33" t="s">
        <v>17</v>
      </c>
      <c r="B75" s="43" t="s">
        <v>22</v>
      </c>
      <c r="C75" s="5">
        <v>274498.90999999997</v>
      </c>
      <c r="D75" s="6">
        <v>15.45</v>
      </c>
      <c r="E75" s="5">
        <v>17236.240000000002</v>
      </c>
      <c r="F75" s="6">
        <v>154.97999999999999</v>
      </c>
      <c r="G75" s="6">
        <v>1127.47</v>
      </c>
      <c r="H75" s="5">
        <v>618876.18999999994</v>
      </c>
      <c r="I75" s="6">
        <v>5.16</v>
      </c>
      <c r="J75" s="6">
        <v>5.16</v>
      </c>
      <c r="K75" s="6">
        <v>519.76</v>
      </c>
      <c r="L75" s="6">
        <v>2.76</v>
      </c>
      <c r="M75" s="5">
        <v>1008.9</v>
      </c>
      <c r="N75" s="7" t="s">
        <v>19</v>
      </c>
      <c r="O75" s="6">
        <v>0.41799999999999998</v>
      </c>
      <c r="P75" s="6">
        <v>4.4000000000000004</v>
      </c>
      <c r="Q75" s="8">
        <v>3.76</v>
      </c>
      <c r="R75" s="28"/>
      <c r="S75" s="28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</row>
    <row r="76" spans="1:32" ht="27" customHeight="1" x14ac:dyDescent="0.3">
      <c r="A76" s="33" t="s">
        <v>17</v>
      </c>
      <c r="B76" s="43" t="s">
        <v>22</v>
      </c>
      <c r="C76" s="5">
        <v>270724</v>
      </c>
      <c r="D76" s="6">
        <v>14.75</v>
      </c>
      <c r="E76" s="5">
        <v>17484.509999999998</v>
      </c>
      <c r="F76" s="6">
        <v>153.71</v>
      </c>
      <c r="G76" s="6">
        <v>908.54</v>
      </c>
      <c r="H76" s="5">
        <v>618790.18999999994</v>
      </c>
      <c r="I76" s="6">
        <v>5.42</v>
      </c>
      <c r="J76" s="6">
        <v>5.13</v>
      </c>
      <c r="K76" s="6">
        <v>404.33</v>
      </c>
      <c r="L76" s="6">
        <v>3.26</v>
      </c>
      <c r="M76" s="5">
        <v>1010.85</v>
      </c>
      <c r="N76" s="7" t="s">
        <v>19</v>
      </c>
      <c r="O76" s="6">
        <v>2.5</v>
      </c>
      <c r="P76" s="6">
        <v>2.75</v>
      </c>
      <c r="Q76" s="8">
        <v>7.62</v>
      </c>
      <c r="R76" s="28"/>
      <c r="S76" s="28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</row>
    <row r="77" spans="1:32" ht="27" customHeight="1" x14ac:dyDescent="0.3">
      <c r="A77" s="33" t="s">
        <v>17</v>
      </c>
      <c r="B77" s="43" t="s">
        <v>22</v>
      </c>
      <c r="C77" s="5">
        <v>291187.40999999997</v>
      </c>
      <c r="D77" s="6">
        <v>18.010000000000002</v>
      </c>
      <c r="E77" s="5">
        <v>20585.13</v>
      </c>
      <c r="F77" s="6">
        <v>160.04</v>
      </c>
      <c r="G77" s="6">
        <v>1222.72</v>
      </c>
      <c r="H77" s="5">
        <v>625592.38</v>
      </c>
      <c r="I77" s="6">
        <v>5.99</v>
      </c>
      <c r="J77" s="6">
        <v>5.62</v>
      </c>
      <c r="K77" s="6">
        <v>507.28</v>
      </c>
      <c r="L77" s="6">
        <v>6.09</v>
      </c>
      <c r="M77" s="5">
        <v>1072.82</v>
      </c>
      <c r="N77" s="7" t="s">
        <v>19</v>
      </c>
      <c r="O77" s="6">
        <v>0.60599999999999998</v>
      </c>
      <c r="P77" s="6">
        <v>5.95</v>
      </c>
      <c r="Q77" s="8">
        <v>4.99</v>
      </c>
      <c r="R77" s="28"/>
      <c r="S77" s="28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</row>
    <row r="78" spans="1:32" ht="28.2" customHeight="1" x14ac:dyDescent="0.3">
      <c r="A78" s="33" t="s">
        <v>17</v>
      </c>
      <c r="B78" s="43" t="s">
        <v>22</v>
      </c>
      <c r="C78" s="5">
        <v>260769.88</v>
      </c>
      <c r="D78" s="6">
        <v>19.02</v>
      </c>
      <c r="E78" s="5">
        <v>21088.02</v>
      </c>
      <c r="F78" s="6">
        <v>164.94</v>
      </c>
      <c r="G78" s="6">
        <v>1012.36</v>
      </c>
      <c r="H78" s="5">
        <v>625253.31000000006</v>
      </c>
      <c r="I78" s="6">
        <v>5</v>
      </c>
      <c r="J78" s="6">
        <v>4.34</v>
      </c>
      <c r="K78" s="6">
        <v>415.19</v>
      </c>
      <c r="L78" s="6">
        <v>4.8099999999999996</v>
      </c>
      <c r="M78" s="5">
        <v>1114.6400000000001</v>
      </c>
      <c r="N78" s="7">
        <v>3.7999999999999999E-2</v>
      </c>
      <c r="O78" s="6">
        <v>0.47099999999999997</v>
      </c>
      <c r="P78" s="6">
        <v>12.42</v>
      </c>
      <c r="Q78" s="8">
        <v>5.9</v>
      </c>
      <c r="R78" s="28"/>
      <c r="S78" s="28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</row>
    <row r="79" spans="1:32" s="52" customFormat="1" ht="27" customHeight="1" x14ac:dyDescent="0.3">
      <c r="A79" s="34" t="s">
        <v>21</v>
      </c>
      <c r="B79" s="44" t="s">
        <v>22</v>
      </c>
      <c r="C79" s="9">
        <v>228421.66</v>
      </c>
      <c r="D79" s="10">
        <v>20.81</v>
      </c>
      <c r="E79" s="9">
        <v>20311.25</v>
      </c>
      <c r="F79" s="10">
        <v>131.54</v>
      </c>
      <c r="G79" s="10">
        <v>220.47</v>
      </c>
      <c r="H79" s="9">
        <v>629728.93999999994</v>
      </c>
      <c r="I79" s="10">
        <v>119.7</v>
      </c>
      <c r="J79" s="10">
        <v>122.94</v>
      </c>
      <c r="K79" s="10">
        <v>145.93</v>
      </c>
      <c r="L79" s="10">
        <v>6.98</v>
      </c>
      <c r="M79" s="9">
        <v>1497.88</v>
      </c>
      <c r="N79" s="11">
        <v>0.77600000000000002</v>
      </c>
      <c r="O79" s="10">
        <v>7.38</v>
      </c>
      <c r="P79" s="10">
        <v>4.25</v>
      </c>
      <c r="Q79" s="12">
        <v>20.9</v>
      </c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spans="1:32" ht="27" customHeight="1" x14ac:dyDescent="0.3">
      <c r="A80" s="33" t="s">
        <v>21</v>
      </c>
      <c r="B80" s="43" t="s">
        <v>22</v>
      </c>
      <c r="C80" s="5">
        <v>228410.46</v>
      </c>
      <c r="D80" s="6">
        <v>18.600000000000001</v>
      </c>
      <c r="E80" s="5">
        <v>20300.05</v>
      </c>
      <c r="F80" s="6">
        <v>110.33</v>
      </c>
      <c r="G80" s="6">
        <v>209.27</v>
      </c>
      <c r="H80" s="5">
        <v>629717.74</v>
      </c>
      <c r="I80" s="6">
        <v>109.3</v>
      </c>
      <c r="J80" s="6">
        <v>111.74</v>
      </c>
      <c r="K80" s="6">
        <v>134.72999999999999</v>
      </c>
      <c r="L80" s="6">
        <v>4.32</v>
      </c>
      <c r="M80" s="5">
        <v>1486.68</v>
      </c>
      <c r="N80" s="7">
        <v>0.21</v>
      </c>
      <c r="O80" s="6">
        <v>5.0229999999999997</v>
      </c>
      <c r="P80" s="6">
        <v>4.8968999999999996</v>
      </c>
      <c r="Q80" s="8">
        <v>9.6999999999999993</v>
      </c>
      <c r="R80" s="28"/>
      <c r="S80" s="28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</row>
    <row r="81" spans="1:32" ht="27" customHeight="1" x14ac:dyDescent="0.3">
      <c r="A81" s="33" t="s">
        <v>21</v>
      </c>
      <c r="B81" s="43" t="s">
        <v>22</v>
      </c>
      <c r="C81" s="5">
        <v>228432.76</v>
      </c>
      <c r="D81" s="6">
        <v>25.3</v>
      </c>
      <c r="E81" s="5">
        <v>22322.35</v>
      </c>
      <c r="F81" s="6">
        <v>132.63</v>
      </c>
      <c r="G81" s="6">
        <v>231.57</v>
      </c>
      <c r="H81" s="5">
        <v>629740.04</v>
      </c>
      <c r="I81" s="6">
        <v>124.3</v>
      </c>
      <c r="J81" s="6">
        <v>134.04</v>
      </c>
      <c r="K81" s="6">
        <v>157.03</v>
      </c>
      <c r="L81" s="6">
        <v>7.2359999999999998</v>
      </c>
      <c r="M81" s="5">
        <v>1408.98</v>
      </c>
      <c r="N81" s="7">
        <v>0.52300000000000002</v>
      </c>
      <c r="O81" s="6">
        <v>27.323</v>
      </c>
      <c r="P81" s="6">
        <v>5.3240999999999996</v>
      </c>
      <c r="Q81" s="8">
        <v>32</v>
      </c>
      <c r="R81" s="28"/>
      <c r="S81" s="28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</row>
    <row r="82" spans="1:32" ht="32.4" customHeight="1" x14ac:dyDescent="0.3">
      <c r="A82" s="33" t="s">
        <v>21</v>
      </c>
      <c r="B82" s="43" t="s">
        <v>22</v>
      </c>
      <c r="C82" s="5">
        <v>228472.86</v>
      </c>
      <c r="D82" s="6">
        <v>22.3</v>
      </c>
      <c r="E82" s="5">
        <v>50362.45</v>
      </c>
      <c r="F82" s="6">
        <v>172.73</v>
      </c>
      <c r="G82" s="6">
        <v>269.3</v>
      </c>
      <c r="H82" s="5">
        <v>629780.14</v>
      </c>
      <c r="I82" s="6">
        <v>142.30000000000001</v>
      </c>
      <c r="J82" s="6">
        <v>174.14</v>
      </c>
      <c r="K82" s="6">
        <v>197.13</v>
      </c>
      <c r="L82" s="6">
        <v>8.4600000000000009</v>
      </c>
      <c r="M82" s="5">
        <v>1849.08</v>
      </c>
      <c r="N82" s="7">
        <v>0.42299999999999999</v>
      </c>
      <c r="O82" s="6">
        <v>3.0263499999999999</v>
      </c>
      <c r="P82" s="6">
        <v>8.32</v>
      </c>
      <c r="Q82" s="8">
        <v>48.3</v>
      </c>
      <c r="R82" s="28"/>
      <c r="S82" s="28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</row>
    <row r="83" spans="1:32" s="52" customFormat="1" ht="27" customHeight="1" x14ac:dyDescent="0.3">
      <c r="A83" s="34" t="s">
        <v>17</v>
      </c>
      <c r="B83" s="44" t="s">
        <v>23</v>
      </c>
      <c r="C83" s="9">
        <v>240196.63</v>
      </c>
      <c r="D83" s="10">
        <v>124.74</v>
      </c>
      <c r="E83" s="9">
        <v>21114.25</v>
      </c>
      <c r="F83" s="10">
        <v>156.21</v>
      </c>
      <c r="G83" s="10">
        <v>251.87</v>
      </c>
      <c r="H83" s="9">
        <v>615298.06000000006</v>
      </c>
      <c r="I83" s="10">
        <v>60.42</v>
      </c>
      <c r="J83" s="10">
        <v>60.94</v>
      </c>
      <c r="K83" s="10">
        <v>111.02</v>
      </c>
      <c r="L83" s="10">
        <v>4.0199999999999996</v>
      </c>
      <c r="M83" s="9">
        <v>967.31</v>
      </c>
      <c r="N83" s="11">
        <v>0.20499999999999999</v>
      </c>
      <c r="O83" s="10">
        <v>3.83</v>
      </c>
      <c r="P83" s="10">
        <v>4.17</v>
      </c>
      <c r="Q83" s="12">
        <v>33.5</v>
      </c>
      <c r="R83" s="30"/>
      <c r="S83" s="30"/>
    </row>
    <row r="84" spans="1:32" ht="27" customHeight="1" x14ac:dyDescent="0.3">
      <c r="A84" s="33" t="s">
        <v>17</v>
      </c>
      <c r="B84" s="43" t="s">
        <v>23</v>
      </c>
      <c r="C84" s="5">
        <v>246638.23</v>
      </c>
      <c r="D84" s="6">
        <v>88.73</v>
      </c>
      <c r="E84" s="5">
        <v>18972.64</v>
      </c>
      <c r="F84" s="6">
        <v>148.87</v>
      </c>
      <c r="G84" s="6">
        <v>242.36</v>
      </c>
      <c r="H84" s="5">
        <v>615786.5</v>
      </c>
      <c r="I84" s="6">
        <v>95.3</v>
      </c>
      <c r="J84" s="6">
        <v>95.46</v>
      </c>
      <c r="K84" s="6">
        <v>75.78</v>
      </c>
      <c r="L84" s="6">
        <v>3.74</v>
      </c>
      <c r="M84" s="5">
        <v>951.04</v>
      </c>
      <c r="N84" s="7">
        <v>0.20899999999999999</v>
      </c>
      <c r="O84" s="6">
        <v>11.78</v>
      </c>
      <c r="P84" s="6">
        <v>5.74</v>
      </c>
      <c r="Q84" s="8">
        <v>3.72</v>
      </c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51"/>
      <c r="AF84" s="51"/>
    </row>
    <row r="85" spans="1:32" ht="27" customHeight="1" x14ac:dyDescent="0.3">
      <c r="A85" s="33" t="s">
        <v>17</v>
      </c>
      <c r="B85" s="43" t="s">
        <v>23</v>
      </c>
      <c r="C85" s="5">
        <v>244048.59</v>
      </c>
      <c r="D85" s="6">
        <v>77.88</v>
      </c>
      <c r="E85" s="5">
        <v>18125.87</v>
      </c>
      <c r="F85" s="6">
        <v>142.19</v>
      </c>
      <c r="G85" s="6">
        <v>190.51</v>
      </c>
      <c r="H85" s="5">
        <v>622178.93999999994</v>
      </c>
      <c r="I85" s="6">
        <v>82.93</v>
      </c>
      <c r="J85" s="6">
        <v>82.17</v>
      </c>
      <c r="K85" s="6">
        <v>61.21</v>
      </c>
      <c r="L85" s="6">
        <v>1.5349999999999999</v>
      </c>
      <c r="M85" s="5">
        <v>932.58</v>
      </c>
      <c r="N85" s="7">
        <v>1.5800000000000002E-2</v>
      </c>
      <c r="O85" s="6">
        <v>0.91200000000000003</v>
      </c>
      <c r="P85" s="6">
        <v>5.12</v>
      </c>
      <c r="Q85" s="8">
        <v>1.93</v>
      </c>
      <c r="R85" s="28"/>
      <c r="S85" s="28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</row>
    <row r="86" spans="1:32" ht="27" customHeight="1" x14ac:dyDescent="0.3">
      <c r="A86" s="33" t="s">
        <v>17</v>
      </c>
      <c r="B86" s="43" t="s">
        <v>23</v>
      </c>
      <c r="C86" s="5">
        <v>243835.47</v>
      </c>
      <c r="D86" s="6">
        <v>173.05</v>
      </c>
      <c r="E86" s="5">
        <v>23585</v>
      </c>
      <c r="F86" s="6">
        <v>133.02000000000001</v>
      </c>
      <c r="G86" s="6">
        <v>201.72</v>
      </c>
      <c r="H86" s="5">
        <v>611658</v>
      </c>
      <c r="I86" s="6">
        <v>47.55</v>
      </c>
      <c r="J86" s="6">
        <v>47.37</v>
      </c>
      <c r="K86" s="6">
        <v>136.69</v>
      </c>
      <c r="L86" s="6">
        <v>1.74</v>
      </c>
      <c r="M86" s="5">
        <v>1001.97</v>
      </c>
      <c r="N86" s="7">
        <v>2.4E-2</v>
      </c>
      <c r="O86" s="6">
        <v>0.877</v>
      </c>
      <c r="P86" s="6">
        <v>11.75</v>
      </c>
      <c r="Q86" s="8">
        <v>3.75</v>
      </c>
      <c r="R86" s="28"/>
      <c r="S86" s="28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</row>
    <row r="87" spans="1:32" ht="27" customHeight="1" x14ac:dyDescent="0.3">
      <c r="A87" s="33" t="s">
        <v>17</v>
      </c>
      <c r="B87" s="43" t="s">
        <v>23</v>
      </c>
      <c r="C87" s="5">
        <v>251632.06</v>
      </c>
      <c r="D87" s="6">
        <v>83.93</v>
      </c>
      <c r="E87" s="5">
        <v>18016.060000000001</v>
      </c>
      <c r="F87" s="6">
        <v>133.84</v>
      </c>
      <c r="G87" s="6">
        <v>55.58</v>
      </c>
      <c r="H87" s="5">
        <v>620286.93999999994</v>
      </c>
      <c r="I87" s="6">
        <v>4.51</v>
      </c>
      <c r="J87" s="6">
        <v>4.24</v>
      </c>
      <c r="K87" s="6">
        <v>19.399999999999999</v>
      </c>
      <c r="L87" s="6">
        <v>3.07</v>
      </c>
      <c r="M87" s="5">
        <v>912.07</v>
      </c>
      <c r="N87" s="7">
        <v>1.7000000000000001E-2</v>
      </c>
      <c r="O87" s="6">
        <v>0.13800000000000001</v>
      </c>
      <c r="P87" s="6">
        <v>2.1800000000000002</v>
      </c>
      <c r="Q87" s="8">
        <v>15.1</v>
      </c>
      <c r="R87" s="28"/>
      <c r="S87" s="28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</row>
    <row r="88" spans="1:32" ht="27" customHeight="1" x14ac:dyDescent="0.3">
      <c r="A88" s="33" t="s">
        <v>17</v>
      </c>
      <c r="B88" s="43" t="s">
        <v>23</v>
      </c>
      <c r="C88" s="5">
        <v>250490.69</v>
      </c>
      <c r="D88" s="6">
        <v>90.65</v>
      </c>
      <c r="E88" s="5">
        <v>18449.939999999999</v>
      </c>
      <c r="F88" s="6">
        <v>131.82</v>
      </c>
      <c r="G88" s="6">
        <v>77.28</v>
      </c>
      <c r="H88" s="5">
        <v>623235.38</v>
      </c>
      <c r="I88" s="6">
        <v>5.41</v>
      </c>
      <c r="J88" s="6">
        <v>5.28</v>
      </c>
      <c r="K88" s="6">
        <v>22.11</v>
      </c>
      <c r="L88" s="6">
        <v>5.31</v>
      </c>
      <c r="M88" s="5">
        <v>917.07</v>
      </c>
      <c r="N88" s="7">
        <v>1.6799999999999999E-2</v>
      </c>
      <c r="O88" s="6">
        <v>0.438</v>
      </c>
      <c r="P88" s="6">
        <v>3.94</v>
      </c>
      <c r="Q88" s="8">
        <v>47.63</v>
      </c>
      <c r="R88" s="28"/>
      <c r="S88" s="28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</row>
    <row r="89" spans="1:32" ht="27" customHeight="1" x14ac:dyDescent="0.3">
      <c r="A89" s="33" t="s">
        <v>17</v>
      </c>
      <c r="B89" s="43" t="s">
        <v>23</v>
      </c>
      <c r="C89" s="5">
        <v>249531.44</v>
      </c>
      <c r="D89" s="6">
        <v>91.31</v>
      </c>
      <c r="E89" s="5">
        <v>18623.650000000001</v>
      </c>
      <c r="F89" s="6">
        <v>134.68</v>
      </c>
      <c r="G89" s="6">
        <v>66.31</v>
      </c>
      <c r="H89" s="5">
        <v>622195.81000000006</v>
      </c>
      <c r="I89" s="6">
        <v>3.91</v>
      </c>
      <c r="J89" s="6">
        <v>3.7</v>
      </c>
      <c r="K89" s="6">
        <v>18.11</v>
      </c>
      <c r="L89" s="6">
        <v>4.24</v>
      </c>
      <c r="M89" s="5">
        <v>946.1</v>
      </c>
      <c r="N89" s="7">
        <v>1.7000000000000001E-2</v>
      </c>
      <c r="O89" s="6">
        <v>0.42199999999999999</v>
      </c>
      <c r="P89" s="6">
        <v>3.86</v>
      </c>
      <c r="Q89" s="8">
        <v>40.299999999999997</v>
      </c>
      <c r="R89" s="28"/>
      <c r="S89" s="28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</row>
    <row r="90" spans="1:32" s="52" customFormat="1" ht="27" customHeight="1" x14ac:dyDescent="0.3">
      <c r="A90" s="34" t="s">
        <v>20</v>
      </c>
      <c r="B90" s="44" t="s">
        <v>23</v>
      </c>
      <c r="C90" s="9">
        <v>241439.44</v>
      </c>
      <c r="D90" s="10">
        <v>18.88</v>
      </c>
      <c r="E90" s="9">
        <v>16771.59</v>
      </c>
      <c r="F90" s="10">
        <v>150.53</v>
      </c>
      <c r="G90" s="10">
        <v>101.63</v>
      </c>
      <c r="H90" s="9">
        <v>624618.63</v>
      </c>
      <c r="I90" s="10">
        <v>15.58</v>
      </c>
      <c r="J90" s="10">
        <v>15.51</v>
      </c>
      <c r="K90" s="10">
        <v>40.74</v>
      </c>
      <c r="L90" s="10">
        <v>4.45</v>
      </c>
      <c r="M90" s="9">
        <v>1180.79</v>
      </c>
      <c r="N90" s="11">
        <v>3.2000000000000001E-2</v>
      </c>
      <c r="O90" s="10">
        <v>1.25</v>
      </c>
      <c r="P90" s="10">
        <v>5.55</v>
      </c>
      <c r="Q90" s="12">
        <v>31.06</v>
      </c>
      <c r="R90" s="30"/>
      <c r="S90" s="30"/>
    </row>
    <row r="91" spans="1:32" ht="27" customHeight="1" x14ac:dyDescent="0.3">
      <c r="A91" s="33" t="s">
        <v>20</v>
      </c>
      <c r="B91" s="43" t="s">
        <v>23</v>
      </c>
      <c r="C91" s="13">
        <v>251389.19</v>
      </c>
      <c r="D91" s="14">
        <v>19.190000000000001</v>
      </c>
      <c r="E91" s="13">
        <v>16600.349999999999</v>
      </c>
      <c r="F91" s="14">
        <v>136.78</v>
      </c>
      <c r="G91" s="14">
        <v>61.74</v>
      </c>
      <c r="H91" s="13">
        <v>624556.81000000006</v>
      </c>
      <c r="I91" s="14">
        <v>8.83</v>
      </c>
      <c r="J91" s="14">
        <v>8.5</v>
      </c>
      <c r="K91" s="14">
        <v>20.010000000000002</v>
      </c>
      <c r="L91" s="14">
        <v>3.82</v>
      </c>
      <c r="M91" s="13">
        <v>1201.6300000000001</v>
      </c>
      <c r="N91" s="15">
        <v>1.7000000000000001E-2</v>
      </c>
      <c r="O91" s="14">
        <v>1.07</v>
      </c>
      <c r="P91" s="14">
        <v>5.07</v>
      </c>
      <c r="Q91" s="16">
        <v>27.58</v>
      </c>
      <c r="R91" s="28"/>
      <c r="S91" s="28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</row>
    <row r="92" spans="1:32" ht="27" customHeight="1" x14ac:dyDescent="0.3">
      <c r="A92" s="33" t="s">
        <v>20</v>
      </c>
      <c r="B92" s="43" t="s">
        <v>23</v>
      </c>
      <c r="C92" s="5">
        <v>247688.06</v>
      </c>
      <c r="D92" s="6">
        <v>18.36</v>
      </c>
      <c r="E92" s="5">
        <v>20405.96</v>
      </c>
      <c r="F92" s="6">
        <v>158.35</v>
      </c>
      <c r="G92" s="6">
        <v>185.49</v>
      </c>
      <c r="H92" s="5">
        <v>622585.31000000006</v>
      </c>
      <c r="I92" s="6">
        <v>6.94</v>
      </c>
      <c r="J92" s="6">
        <v>6.77</v>
      </c>
      <c r="K92" s="6">
        <v>73.680000000000007</v>
      </c>
      <c r="L92" s="6">
        <v>2.19</v>
      </c>
      <c r="M92" s="5">
        <v>1113.6199999999999</v>
      </c>
      <c r="N92" s="7">
        <v>1.4999999999999999E-2</v>
      </c>
      <c r="O92" s="6">
        <v>0.21</v>
      </c>
      <c r="P92" s="6">
        <v>8.74</v>
      </c>
      <c r="Q92" s="8">
        <v>2.41</v>
      </c>
      <c r="R92" s="28"/>
      <c r="S92" s="28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</row>
    <row r="93" spans="1:32" ht="27" customHeight="1" x14ac:dyDescent="0.3">
      <c r="A93" s="33" t="s">
        <v>20</v>
      </c>
      <c r="B93" s="43" t="s">
        <v>23</v>
      </c>
      <c r="C93" s="5">
        <v>276263.15999999997</v>
      </c>
      <c r="D93" s="6">
        <v>19.23</v>
      </c>
      <c r="E93" s="5">
        <v>19678.400000000001</v>
      </c>
      <c r="F93" s="6">
        <v>162.41</v>
      </c>
      <c r="G93" s="6">
        <v>102.52</v>
      </c>
      <c r="H93" s="5">
        <v>623083.43999999994</v>
      </c>
      <c r="I93" s="6">
        <v>8.3699999999999992</v>
      </c>
      <c r="J93" s="6">
        <v>8.61</v>
      </c>
      <c r="K93" s="6">
        <v>36.03</v>
      </c>
      <c r="L93" s="6">
        <v>3.41</v>
      </c>
      <c r="M93" s="5">
        <v>1094.8900000000001</v>
      </c>
      <c r="N93" s="7">
        <v>7.2999999999999995E-2</v>
      </c>
      <c r="O93" s="6">
        <v>1.1599999999999999</v>
      </c>
      <c r="P93" s="6">
        <v>4.97</v>
      </c>
      <c r="Q93" s="8">
        <v>20.079999999999998</v>
      </c>
      <c r="R93" s="28"/>
      <c r="S93" s="28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</row>
    <row r="94" spans="1:32" ht="27" customHeight="1" x14ac:dyDescent="0.3">
      <c r="A94" s="33" t="s">
        <v>20</v>
      </c>
      <c r="B94" s="43" t="s">
        <v>23</v>
      </c>
      <c r="C94" s="13">
        <v>278604.53000000003</v>
      </c>
      <c r="D94" s="14">
        <v>18.940000000000001</v>
      </c>
      <c r="E94" s="13">
        <v>20692.21</v>
      </c>
      <c r="F94" s="14">
        <v>171.38</v>
      </c>
      <c r="G94" s="14">
        <v>229.65</v>
      </c>
      <c r="H94" s="13">
        <v>625253.31000000006</v>
      </c>
      <c r="I94" s="14">
        <v>7.35</v>
      </c>
      <c r="J94" s="14">
        <v>6.03</v>
      </c>
      <c r="K94" s="14">
        <v>95.45</v>
      </c>
      <c r="L94" s="14">
        <v>1.42</v>
      </c>
      <c r="M94" s="13">
        <v>1085.3</v>
      </c>
      <c r="N94" s="15">
        <v>0.02</v>
      </c>
      <c r="O94" s="14">
        <v>1.64</v>
      </c>
      <c r="P94" s="14">
        <v>1.1399999999999999</v>
      </c>
      <c r="Q94" s="16">
        <v>2.4</v>
      </c>
      <c r="R94" s="28"/>
      <c r="S94" s="28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</row>
    <row r="95" spans="1:32" s="52" customFormat="1" ht="27" customHeight="1" x14ac:dyDescent="0.3">
      <c r="A95" s="34" t="s">
        <v>21</v>
      </c>
      <c r="B95" s="44" t="s">
        <v>23</v>
      </c>
      <c r="C95" s="9">
        <v>227074.98</v>
      </c>
      <c r="D95" s="10">
        <v>22.65</v>
      </c>
      <c r="E95" s="9">
        <v>26709.919999999998</v>
      </c>
      <c r="F95" s="10">
        <v>142.63999999999999</v>
      </c>
      <c r="G95" s="10">
        <v>19.98</v>
      </c>
      <c r="H95" s="9">
        <v>626392.43999999994</v>
      </c>
      <c r="I95" s="10">
        <v>13.61</v>
      </c>
      <c r="J95" s="10">
        <v>13.84</v>
      </c>
      <c r="K95" s="10">
        <v>0.41</v>
      </c>
      <c r="L95" s="10">
        <v>4.34</v>
      </c>
      <c r="M95" s="9">
        <v>1586.12</v>
      </c>
      <c r="N95" s="11">
        <v>4.4000000000000004</v>
      </c>
      <c r="O95" s="10">
        <v>2.27</v>
      </c>
      <c r="P95" s="10">
        <v>4.4400000000000004</v>
      </c>
      <c r="Q95" s="12">
        <v>12.07</v>
      </c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</row>
    <row r="96" spans="1:32" ht="27" customHeight="1" x14ac:dyDescent="0.3">
      <c r="A96" s="33" t="s">
        <v>21</v>
      </c>
      <c r="B96" s="43" t="s">
        <v>23</v>
      </c>
      <c r="C96" s="5">
        <v>225047.95</v>
      </c>
      <c r="D96" s="6">
        <v>26.02</v>
      </c>
      <c r="E96" s="5">
        <v>26057.52</v>
      </c>
      <c r="F96" s="6">
        <v>141.68</v>
      </c>
      <c r="G96" s="6">
        <v>11.08</v>
      </c>
      <c r="H96" s="5">
        <v>629854.38</v>
      </c>
      <c r="I96" s="6">
        <v>5.71</v>
      </c>
      <c r="J96" s="6">
        <v>5.5</v>
      </c>
      <c r="K96" s="6">
        <v>0.17</v>
      </c>
      <c r="L96" s="6">
        <v>1.49</v>
      </c>
      <c r="M96" s="5">
        <v>1584.53</v>
      </c>
      <c r="N96" s="7">
        <v>6.21</v>
      </c>
      <c r="O96" s="6">
        <v>1.1399999999999999</v>
      </c>
      <c r="P96" s="6">
        <v>0.83299999999999996</v>
      </c>
      <c r="Q96" s="8">
        <v>3.18</v>
      </c>
      <c r="R96" s="28"/>
      <c r="S96" s="28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</row>
    <row r="97" spans="1:32" ht="27" customHeight="1" x14ac:dyDescent="0.3">
      <c r="A97" s="33" t="s">
        <v>21</v>
      </c>
      <c r="B97" s="43" t="s">
        <v>23</v>
      </c>
      <c r="C97" s="5">
        <v>218609.03</v>
      </c>
      <c r="D97" s="6">
        <v>24.06</v>
      </c>
      <c r="E97" s="5">
        <v>24583.8</v>
      </c>
      <c r="F97" s="6">
        <v>130.54</v>
      </c>
      <c r="G97" s="6">
        <v>7.81</v>
      </c>
      <c r="H97" s="5">
        <v>629646.18999999994</v>
      </c>
      <c r="I97" s="6">
        <v>2.4300000000000002</v>
      </c>
      <c r="J97" s="6">
        <v>2.36</v>
      </c>
      <c r="K97" s="6">
        <v>0.18</v>
      </c>
      <c r="L97" s="6">
        <v>1.56</v>
      </c>
      <c r="M97" s="5">
        <v>1583.72</v>
      </c>
      <c r="N97" s="7">
        <v>6.09</v>
      </c>
      <c r="O97" s="6">
        <v>0.98099999999999998</v>
      </c>
      <c r="P97" s="6">
        <v>0.75700000000000001</v>
      </c>
      <c r="Q97" s="8">
        <v>2.97</v>
      </c>
      <c r="R97" s="28"/>
      <c r="S97" s="28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</row>
    <row r="98" spans="1:32" ht="27" customHeight="1" x14ac:dyDescent="0.3">
      <c r="A98" s="33" t="s">
        <v>21</v>
      </c>
      <c r="B98" s="43" t="s">
        <v>23</v>
      </c>
      <c r="C98" s="5">
        <v>223586.84</v>
      </c>
      <c r="D98" s="6">
        <v>22.8</v>
      </c>
      <c r="E98" s="5">
        <v>24539.75</v>
      </c>
      <c r="F98" s="6">
        <v>132.5</v>
      </c>
      <c r="G98" s="6">
        <v>9.65</v>
      </c>
      <c r="H98" s="5">
        <v>629913.68999999994</v>
      </c>
      <c r="I98" s="6">
        <v>2.31</v>
      </c>
      <c r="J98" s="6">
        <v>2.17</v>
      </c>
      <c r="K98" s="6">
        <v>0.34</v>
      </c>
      <c r="L98" s="6">
        <v>2.5099999999999998</v>
      </c>
      <c r="M98" s="5">
        <v>1573.39</v>
      </c>
      <c r="N98" s="7">
        <v>5.34</v>
      </c>
      <c r="O98" s="6">
        <v>1.74</v>
      </c>
      <c r="P98" s="6">
        <v>1.95</v>
      </c>
      <c r="Q98" s="8">
        <v>8.31</v>
      </c>
      <c r="R98" s="28"/>
      <c r="S98" s="28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</row>
    <row r="99" spans="1:32" ht="27" customHeight="1" x14ac:dyDescent="0.3">
      <c r="A99" s="33" t="s">
        <v>21</v>
      </c>
      <c r="B99" s="43" t="s">
        <v>23</v>
      </c>
      <c r="C99" s="5">
        <v>222428.09</v>
      </c>
      <c r="D99" s="6">
        <v>23.13</v>
      </c>
      <c r="E99" s="5">
        <v>26700.19</v>
      </c>
      <c r="F99" s="6">
        <v>143.32</v>
      </c>
      <c r="G99" s="6">
        <v>4.74</v>
      </c>
      <c r="H99" s="5">
        <v>625508.31000000006</v>
      </c>
      <c r="I99" s="6">
        <v>1.38</v>
      </c>
      <c r="J99" s="6">
        <v>1.32</v>
      </c>
      <c r="K99" s="6">
        <v>0.14000000000000001</v>
      </c>
      <c r="L99" s="6">
        <v>1.26</v>
      </c>
      <c r="M99" s="5">
        <v>1557.99</v>
      </c>
      <c r="N99" s="7">
        <v>2.57</v>
      </c>
      <c r="O99" s="6">
        <v>1.02</v>
      </c>
      <c r="P99" s="6">
        <v>0.28299999999999997</v>
      </c>
      <c r="Q99" s="8">
        <v>1.87</v>
      </c>
      <c r="R99" s="28"/>
      <c r="S99" s="28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</row>
    <row r="100" spans="1:32" ht="27" customHeight="1" x14ac:dyDescent="0.3">
      <c r="A100" s="33" t="s">
        <v>21</v>
      </c>
      <c r="B100" s="43" t="s">
        <v>23</v>
      </c>
      <c r="C100" s="5">
        <v>224490.28</v>
      </c>
      <c r="D100" s="6">
        <v>24.41</v>
      </c>
      <c r="E100" s="5">
        <v>24956.43</v>
      </c>
      <c r="F100" s="6">
        <v>136.63</v>
      </c>
      <c r="G100" s="6">
        <v>12.99</v>
      </c>
      <c r="H100" s="5">
        <v>626989.43999999994</v>
      </c>
      <c r="I100" s="6">
        <v>5.72</v>
      </c>
      <c r="J100" s="6">
        <v>5.41</v>
      </c>
      <c r="K100" s="6">
        <v>0.96</v>
      </c>
      <c r="L100" s="6">
        <v>3.43</v>
      </c>
      <c r="M100" s="5">
        <v>1582.74</v>
      </c>
      <c r="N100" s="7">
        <v>3.83</v>
      </c>
      <c r="O100" s="6">
        <v>2.15</v>
      </c>
      <c r="P100" s="6">
        <v>3.33</v>
      </c>
      <c r="Q100" s="8">
        <v>12.18</v>
      </c>
      <c r="R100" s="28"/>
      <c r="S100" s="28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</row>
    <row r="101" spans="1:32" ht="27" customHeight="1" x14ac:dyDescent="0.3">
      <c r="A101" s="33" t="s">
        <v>21</v>
      </c>
      <c r="B101" s="43" t="s">
        <v>23</v>
      </c>
      <c r="C101" s="5">
        <v>227441.19</v>
      </c>
      <c r="D101" s="6">
        <v>23.37</v>
      </c>
      <c r="E101" s="5">
        <v>25063.51</v>
      </c>
      <c r="F101" s="6">
        <v>137.72</v>
      </c>
      <c r="G101" s="6">
        <v>12.67</v>
      </c>
      <c r="H101" s="5">
        <v>627549.43999999994</v>
      </c>
      <c r="I101" s="6">
        <v>10.51</v>
      </c>
      <c r="J101" s="6">
        <v>10.48</v>
      </c>
      <c r="K101" s="6">
        <v>0.2</v>
      </c>
      <c r="L101" s="6">
        <v>1.77</v>
      </c>
      <c r="M101" s="5">
        <v>1602.11</v>
      </c>
      <c r="N101" s="7">
        <v>4.2699999999999996</v>
      </c>
      <c r="O101" s="6">
        <v>1.1499999999999999</v>
      </c>
      <c r="P101" s="6">
        <v>1.17</v>
      </c>
      <c r="Q101" s="8">
        <v>4.2699999999999996</v>
      </c>
      <c r="R101" s="28"/>
      <c r="S101" s="28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</row>
    <row r="102" spans="1:32" ht="27" customHeight="1" x14ac:dyDescent="0.3">
      <c r="A102" s="33" t="s">
        <v>21</v>
      </c>
      <c r="B102" s="43" t="s">
        <v>23</v>
      </c>
      <c r="C102" s="5">
        <v>226121.13</v>
      </c>
      <c r="D102" s="6">
        <v>27.36</v>
      </c>
      <c r="E102" s="5">
        <v>27953.24</v>
      </c>
      <c r="F102" s="6">
        <v>154.51</v>
      </c>
      <c r="G102" s="6">
        <v>15.24</v>
      </c>
      <c r="H102" s="5">
        <v>626353.93999999994</v>
      </c>
      <c r="I102" s="6">
        <v>6.09</v>
      </c>
      <c r="J102" s="6">
        <v>5.99</v>
      </c>
      <c r="K102" s="6">
        <v>0.16</v>
      </c>
      <c r="L102" s="6">
        <v>3.33</v>
      </c>
      <c r="M102" s="5">
        <v>1634.5</v>
      </c>
      <c r="N102" s="7">
        <v>4.7</v>
      </c>
      <c r="O102" s="6">
        <v>1.8</v>
      </c>
      <c r="P102" s="6">
        <v>2.74</v>
      </c>
      <c r="Q102" s="8">
        <v>10.55</v>
      </c>
      <c r="R102" s="28"/>
      <c r="S102" s="28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</row>
    <row r="103" spans="1:32" ht="27" customHeight="1" x14ac:dyDescent="0.3">
      <c r="A103" s="33" t="s">
        <v>21</v>
      </c>
      <c r="B103" s="43" t="s">
        <v>23</v>
      </c>
      <c r="C103" s="5">
        <v>229276.25</v>
      </c>
      <c r="D103" s="6">
        <v>29.7</v>
      </c>
      <c r="E103" s="5">
        <v>27976.11</v>
      </c>
      <c r="F103" s="6">
        <v>157.69999999999999</v>
      </c>
      <c r="G103" s="6">
        <v>10.57</v>
      </c>
      <c r="H103" s="5">
        <v>623395.88</v>
      </c>
      <c r="I103" s="6">
        <v>5.65</v>
      </c>
      <c r="J103" s="6">
        <v>5.42</v>
      </c>
      <c r="K103" s="6">
        <v>0.15</v>
      </c>
      <c r="L103" s="6">
        <v>1.93</v>
      </c>
      <c r="M103" s="5">
        <v>1658.41</v>
      </c>
      <c r="N103" s="7">
        <v>3.68</v>
      </c>
      <c r="O103" s="6">
        <v>1.4</v>
      </c>
      <c r="P103" s="6">
        <v>0.98</v>
      </c>
      <c r="Q103" s="8">
        <v>5.43</v>
      </c>
      <c r="R103" s="28"/>
      <c r="S103" s="28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</row>
    <row r="104" spans="1:32" ht="27" customHeight="1" x14ac:dyDescent="0.3">
      <c r="A104" s="33" t="s">
        <v>21</v>
      </c>
      <c r="B104" s="43" t="s">
        <v>23</v>
      </c>
      <c r="C104" s="5">
        <v>233229.83</v>
      </c>
      <c r="D104" s="6">
        <v>27.51</v>
      </c>
      <c r="E104" s="5">
        <v>27680.29</v>
      </c>
      <c r="F104" s="6">
        <v>154.59</v>
      </c>
      <c r="G104" s="6">
        <v>10.67</v>
      </c>
      <c r="H104" s="5">
        <v>626797.43999999994</v>
      </c>
      <c r="I104" s="6">
        <v>6.51</v>
      </c>
      <c r="J104" s="6">
        <v>6.33</v>
      </c>
      <c r="K104" s="6">
        <v>0.21</v>
      </c>
      <c r="L104" s="6">
        <v>1.5</v>
      </c>
      <c r="M104" s="5">
        <v>1634.13</v>
      </c>
      <c r="N104" s="7">
        <v>4.63</v>
      </c>
      <c r="O104" s="6">
        <v>0.98</v>
      </c>
      <c r="P104" s="6">
        <v>0.87</v>
      </c>
      <c r="Q104" s="8">
        <v>3.43</v>
      </c>
      <c r="R104" s="28"/>
      <c r="S104" s="28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</row>
    <row r="105" spans="1:32" ht="27" customHeight="1" x14ac:dyDescent="0.3">
      <c r="A105" s="33" t="s">
        <v>21</v>
      </c>
      <c r="B105" s="43" t="s">
        <v>23</v>
      </c>
      <c r="C105" s="5">
        <v>225045.44</v>
      </c>
      <c r="D105" s="6">
        <v>24.38</v>
      </c>
      <c r="E105" s="5">
        <v>26246.2</v>
      </c>
      <c r="F105" s="6">
        <v>147.81</v>
      </c>
      <c r="G105" s="6">
        <v>11.57</v>
      </c>
      <c r="H105" s="5">
        <v>623428.81000000006</v>
      </c>
      <c r="I105" s="6">
        <v>8.99</v>
      </c>
      <c r="J105" s="6">
        <v>9.17</v>
      </c>
      <c r="K105" s="6">
        <v>0.14000000000000001</v>
      </c>
      <c r="L105" s="6">
        <v>1.37</v>
      </c>
      <c r="M105" s="5">
        <v>1577.28</v>
      </c>
      <c r="N105" s="7">
        <v>3.87</v>
      </c>
      <c r="O105" s="6">
        <v>0.74199999999999999</v>
      </c>
      <c r="P105" s="6">
        <v>0.59299999999999997</v>
      </c>
      <c r="Q105" s="8">
        <v>2.6</v>
      </c>
      <c r="R105" s="28"/>
      <c r="S105" s="28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</row>
    <row r="106" spans="1:32" ht="27" customHeight="1" x14ac:dyDescent="0.3">
      <c r="A106" s="33" t="s">
        <v>21</v>
      </c>
      <c r="B106" s="43" t="s">
        <v>23</v>
      </c>
      <c r="C106" s="5">
        <v>229822.88</v>
      </c>
      <c r="D106" s="6">
        <v>34.29</v>
      </c>
      <c r="E106" s="5">
        <v>29739.51</v>
      </c>
      <c r="F106" s="6">
        <v>175.93</v>
      </c>
      <c r="G106" s="6">
        <v>59.09</v>
      </c>
      <c r="H106" s="5">
        <v>622995.06000000006</v>
      </c>
      <c r="I106" s="6">
        <v>52.96</v>
      </c>
      <c r="J106" s="6">
        <v>53.84</v>
      </c>
      <c r="K106" s="6">
        <v>2.95</v>
      </c>
      <c r="L106" s="6">
        <v>9.0500000000000007</v>
      </c>
      <c r="M106" s="5">
        <v>1756.05</v>
      </c>
      <c r="N106" s="7">
        <v>0.13300000000000001</v>
      </c>
      <c r="O106" s="6">
        <v>4.68</v>
      </c>
      <c r="P106" s="6">
        <v>7.15</v>
      </c>
      <c r="Q106" s="8">
        <v>24.18</v>
      </c>
      <c r="R106" s="28"/>
      <c r="S106" s="28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</row>
    <row r="107" spans="1:32" ht="27" customHeight="1" x14ac:dyDescent="0.3">
      <c r="A107" s="33" t="s">
        <v>21</v>
      </c>
      <c r="B107" s="43" t="s">
        <v>23</v>
      </c>
      <c r="C107" s="5">
        <v>227187.33</v>
      </c>
      <c r="D107" s="6">
        <v>31.54</v>
      </c>
      <c r="E107" s="5">
        <v>45501.15</v>
      </c>
      <c r="F107" s="6">
        <v>184.64</v>
      </c>
      <c r="G107" s="6">
        <v>106.89</v>
      </c>
      <c r="H107" s="5">
        <v>619528.5</v>
      </c>
      <c r="I107" s="6">
        <v>124.97</v>
      </c>
      <c r="J107" s="6">
        <v>127.86</v>
      </c>
      <c r="K107" s="6">
        <v>0.45</v>
      </c>
      <c r="L107" s="6">
        <v>2</v>
      </c>
      <c r="M107" s="5">
        <v>1987.06</v>
      </c>
      <c r="N107" s="7">
        <v>0.36599999999999999</v>
      </c>
      <c r="O107" s="6">
        <v>0.68100000000000005</v>
      </c>
      <c r="P107" s="6">
        <v>0.65</v>
      </c>
      <c r="Q107" s="8">
        <v>3.65</v>
      </c>
      <c r="R107" s="28"/>
      <c r="S107" s="28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</row>
    <row r="108" spans="1:32" ht="27" customHeight="1" x14ac:dyDescent="0.3">
      <c r="A108" s="33" t="s">
        <v>21</v>
      </c>
      <c r="B108" s="43" t="s">
        <v>23</v>
      </c>
      <c r="C108" s="5">
        <v>230036.69</v>
      </c>
      <c r="D108" s="6">
        <v>32.299999999999997</v>
      </c>
      <c r="E108" s="5">
        <v>30200.11</v>
      </c>
      <c r="F108" s="6">
        <v>183.32</v>
      </c>
      <c r="G108" s="6">
        <v>108.04</v>
      </c>
      <c r="H108" s="5">
        <v>617427.68999999994</v>
      </c>
      <c r="I108" s="6">
        <v>129.68</v>
      </c>
      <c r="J108" s="6">
        <v>131.84</v>
      </c>
      <c r="K108" s="6">
        <v>0.13</v>
      </c>
      <c r="L108" s="6">
        <v>1.98</v>
      </c>
      <c r="M108" s="5">
        <v>1826.96</v>
      </c>
      <c r="N108" s="7">
        <v>0.35899999999999999</v>
      </c>
      <c r="O108" s="6">
        <v>0.75600000000000001</v>
      </c>
      <c r="P108" s="6">
        <v>0.51800000000000002</v>
      </c>
      <c r="Q108" s="8">
        <v>3.19</v>
      </c>
      <c r="R108" s="28"/>
      <c r="S108" s="28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</row>
    <row r="109" spans="1:32" s="52" customFormat="1" ht="27" customHeight="1" x14ac:dyDescent="0.3">
      <c r="A109" s="34" t="s">
        <v>24</v>
      </c>
      <c r="B109" s="45" t="s">
        <v>18</v>
      </c>
      <c r="C109" s="9">
        <v>243037.36</v>
      </c>
      <c r="D109" s="10">
        <v>256.58</v>
      </c>
      <c r="E109" s="9">
        <v>26504.44</v>
      </c>
      <c r="F109" s="10">
        <v>92.33</v>
      </c>
      <c r="G109" s="10">
        <v>12.08</v>
      </c>
      <c r="H109" s="9">
        <v>611698.75</v>
      </c>
      <c r="I109" s="10">
        <v>1.17</v>
      </c>
      <c r="J109" s="10">
        <v>0.83499999999999996</v>
      </c>
      <c r="K109" s="17" t="s">
        <v>19</v>
      </c>
      <c r="L109" s="10">
        <v>8.4499999999999993</v>
      </c>
      <c r="M109" s="9">
        <v>918.72</v>
      </c>
      <c r="N109" s="11">
        <v>0.59699999999999998</v>
      </c>
      <c r="O109" s="10">
        <v>1.83</v>
      </c>
      <c r="P109" s="10">
        <v>3.73</v>
      </c>
      <c r="Q109" s="12">
        <v>41.84</v>
      </c>
      <c r="R109" s="30"/>
      <c r="S109" s="30"/>
    </row>
    <row r="110" spans="1:32" ht="27" customHeight="1" x14ac:dyDescent="0.3">
      <c r="A110" s="33" t="s">
        <v>24</v>
      </c>
      <c r="B110" s="46" t="s">
        <v>18</v>
      </c>
      <c r="C110" s="5">
        <v>249430.7</v>
      </c>
      <c r="D110" s="6">
        <v>252.25</v>
      </c>
      <c r="E110" s="5">
        <v>25238.84</v>
      </c>
      <c r="F110" s="6">
        <v>89.76</v>
      </c>
      <c r="G110" s="6">
        <v>7.76</v>
      </c>
      <c r="H110" s="5">
        <v>608275.63</v>
      </c>
      <c r="I110" s="6">
        <v>1.24</v>
      </c>
      <c r="J110" s="6">
        <v>0.96299999999999997</v>
      </c>
      <c r="K110" s="14" t="s">
        <v>19</v>
      </c>
      <c r="L110" s="6">
        <v>5.38</v>
      </c>
      <c r="M110" s="5">
        <v>912.63</v>
      </c>
      <c r="N110" s="7">
        <v>0.52400000000000002</v>
      </c>
      <c r="O110" s="6">
        <v>1.4319999999999999</v>
      </c>
      <c r="P110" s="6">
        <v>3.48</v>
      </c>
      <c r="Q110" s="8">
        <v>26.99</v>
      </c>
      <c r="R110" s="28"/>
      <c r="S110" s="28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</row>
    <row r="111" spans="1:32" ht="27" customHeight="1" x14ac:dyDescent="0.3">
      <c r="A111" s="33" t="s">
        <v>24</v>
      </c>
      <c r="B111" s="46" t="s">
        <v>18</v>
      </c>
      <c r="C111" s="5">
        <v>248917.52</v>
      </c>
      <c r="D111" s="6">
        <v>267.42</v>
      </c>
      <c r="E111" s="5">
        <v>26750.49</v>
      </c>
      <c r="F111" s="6">
        <v>90.13</v>
      </c>
      <c r="G111" s="6">
        <v>18.59</v>
      </c>
      <c r="H111" s="5">
        <v>606273.68999999994</v>
      </c>
      <c r="I111" s="6">
        <v>0.76</v>
      </c>
      <c r="J111" s="6">
        <v>0.63</v>
      </c>
      <c r="K111" s="14" t="s">
        <v>19</v>
      </c>
      <c r="L111" s="6">
        <v>13.78</v>
      </c>
      <c r="M111" s="5">
        <v>948.52</v>
      </c>
      <c r="N111" s="7">
        <v>0.55300000000000005</v>
      </c>
      <c r="O111" s="6">
        <v>2.44</v>
      </c>
      <c r="P111" s="6">
        <v>7.1</v>
      </c>
      <c r="Q111" s="8">
        <v>70.94</v>
      </c>
      <c r="R111" s="28"/>
      <c r="S111" s="28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</row>
    <row r="112" spans="1:32" ht="27" customHeight="1" x14ac:dyDescent="0.3">
      <c r="A112" s="33" t="s">
        <v>24</v>
      </c>
      <c r="B112" s="46" t="s">
        <v>18</v>
      </c>
      <c r="C112" s="5">
        <v>245214.97</v>
      </c>
      <c r="D112" s="6">
        <v>262.52999999999997</v>
      </c>
      <c r="E112" s="5">
        <v>25630.05</v>
      </c>
      <c r="F112" s="6">
        <v>91.72</v>
      </c>
      <c r="G112" s="6">
        <v>16.47</v>
      </c>
      <c r="H112" s="5">
        <v>610786.18999999994</v>
      </c>
      <c r="I112" s="6">
        <v>0.87</v>
      </c>
      <c r="J112" s="6">
        <v>0.60399999999999998</v>
      </c>
      <c r="K112" s="14" t="s">
        <v>19</v>
      </c>
      <c r="L112" s="6">
        <v>12.23</v>
      </c>
      <c r="M112" s="5">
        <v>944.69</v>
      </c>
      <c r="N112" s="7">
        <v>0.54700000000000004</v>
      </c>
      <c r="O112" s="6">
        <v>2.29</v>
      </c>
      <c r="P112" s="6">
        <v>6.56</v>
      </c>
      <c r="Q112" s="8">
        <v>62.94</v>
      </c>
      <c r="R112" s="28"/>
      <c r="S112" s="28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</row>
    <row r="113" spans="1:32" ht="27" customHeight="1" x14ac:dyDescent="0.3">
      <c r="A113" s="33" t="s">
        <v>24</v>
      </c>
      <c r="B113" s="46" t="s">
        <v>18</v>
      </c>
      <c r="C113" s="5">
        <v>242942.38</v>
      </c>
      <c r="D113" s="6">
        <v>259.95999999999998</v>
      </c>
      <c r="E113" s="5">
        <v>27068.69</v>
      </c>
      <c r="F113" s="6">
        <v>88.4</v>
      </c>
      <c r="G113" s="6">
        <v>8.8699999999999992</v>
      </c>
      <c r="H113" s="5">
        <v>607973.56000000006</v>
      </c>
      <c r="I113" s="6">
        <v>1.31</v>
      </c>
      <c r="J113" s="6">
        <v>1.21</v>
      </c>
      <c r="K113" s="14" t="s">
        <v>19</v>
      </c>
      <c r="L113" s="6">
        <v>4.9400000000000004</v>
      </c>
      <c r="M113" s="5">
        <v>939.9</v>
      </c>
      <c r="N113" s="7">
        <v>0.52100000000000002</v>
      </c>
      <c r="O113" s="6">
        <v>1.363</v>
      </c>
      <c r="P113" s="6">
        <v>2.62</v>
      </c>
      <c r="Q113" s="8">
        <v>25.64</v>
      </c>
      <c r="R113" s="28"/>
      <c r="S113" s="28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</row>
    <row r="114" spans="1:32" ht="27" customHeight="1" x14ac:dyDescent="0.3">
      <c r="A114" s="33" t="s">
        <v>24</v>
      </c>
      <c r="B114" s="46" t="s">
        <v>18</v>
      </c>
      <c r="C114" s="5">
        <v>256951.89</v>
      </c>
      <c r="D114" s="6">
        <v>267.72000000000003</v>
      </c>
      <c r="E114" s="5">
        <v>26930.26</v>
      </c>
      <c r="F114" s="6">
        <v>91.33</v>
      </c>
      <c r="G114" s="6">
        <v>15.11</v>
      </c>
      <c r="H114" s="5">
        <v>610249.56000000006</v>
      </c>
      <c r="I114" s="6">
        <v>0.85</v>
      </c>
      <c r="J114" s="6">
        <v>0.66400000000000003</v>
      </c>
      <c r="K114" s="14" t="s">
        <v>19</v>
      </c>
      <c r="L114" s="6">
        <v>11.13</v>
      </c>
      <c r="M114" s="5">
        <v>943.23</v>
      </c>
      <c r="N114" s="7">
        <v>0.58899999999999997</v>
      </c>
      <c r="O114" s="6">
        <v>2.46</v>
      </c>
      <c r="P114" s="6">
        <v>6.18</v>
      </c>
      <c r="Q114" s="8">
        <v>56.19</v>
      </c>
      <c r="R114" s="28"/>
      <c r="S114" s="28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</row>
    <row r="115" spans="1:32" ht="27" customHeight="1" x14ac:dyDescent="0.3">
      <c r="A115" s="33" t="s">
        <v>24</v>
      </c>
      <c r="B115" s="46" t="s">
        <v>18</v>
      </c>
      <c r="C115" s="5">
        <v>260556.61</v>
      </c>
      <c r="D115" s="6">
        <v>268.89999999999998</v>
      </c>
      <c r="E115" s="5">
        <v>26568.33</v>
      </c>
      <c r="F115" s="6">
        <v>98.13</v>
      </c>
      <c r="G115" s="6">
        <v>23.49</v>
      </c>
      <c r="H115" s="5">
        <v>608419.43999999994</v>
      </c>
      <c r="I115" s="6">
        <v>1.35</v>
      </c>
      <c r="J115" s="6">
        <v>1.1599999999999999</v>
      </c>
      <c r="K115" s="14" t="s">
        <v>19</v>
      </c>
      <c r="L115" s="6">
        <v>14.55</v>
      </c>
      <c r="M115" s="5">
        <v>947.94</v>
      </c>
      <c r="N115" s="7">
        <v>0.61599999999999999</v>
      </c>
      <c r="O115" s="6">
        <v>2.4700000000000002</v>
      </c>
      <c r="P115" s="6">
        <v>7.84</v>
      </c>
      <c r="Q115" s="8">
        <v>73.14</v>
      </c>
      <c r="R115" s="28"/>
      <c r="S115" s="28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</row>
    <row r="116" spans="1:32" s="52" customFormat="1" ht="27" customHeight="1" x14ac:dyDescent="0.3">
      <c r="A116" s="34" t="s">
        <v>24</v>
      </c>
      <c r="B116" s="45" t="s">
        <v>25</v>
      </c>
      <c r="C116" s="9">
        <v>242840.27</v>
      </c>
      <c r="D116" s="10">
        <v>472.73</v>
      </c>
      <c r="E116" s="9">
        <v>47425.62</v>
      </c>
      <c r="F116" s="10">
        <v>164.69</v>
      </c>
      <c r="G116" s="10">
        <v>10.48</v>
      </c>
      <c r="H116" s="9">
        <v>577632.56000000006</v>
      </c>
      <c r="I116" s="10">
        <v>9.77</v>
      </c>
      <c r="J116" s="10">
        <v>9.73</v>
      </c>
      <c r="K116" s="17" t="s">
        <v>19</v>
      </c>
      <c r="L116" s="10">
        <v>1.1950000000000001</v>
      </c>
      <c r="M116" s="9">
        <v>1522.59</v>
      </c>
      <c r="N116" s="11">
        <v>0.76400000000000001</v>
      </c>
      <c r="O116" s="10">
        <v>0.41699999999999998</v>
      </c>
      <c r="P116" s="10">
        <v>0.17199999999999999</v>
      </c>
      <c r="Q116" s="12">
        <v>2.5099999999999998</v>
      </c>
      <c r="R116" s="30"/>
      <c r="S116" s="30"/>
    </row>
    <row r="117" spans="1:32" ht="27" customHeight="1" x14ac:dyDescent="0.3">
      <c r="A117" s="33" t="s">
        <v>24</v>
      </c>
      <c r="B117" s="46" t="s">
        <v>25</v>
      </c>
      <c r="C117" s="5">
        <v>246682.09</v>
      </c>
      <c r="D117" s="6">
        <v>468.9</v>
      </c>
      <c r="E117" s="5">
        <v>47190.51</v>
      </c>
      <c r="F117" s="6">
        <v>166.47</v>
      </c>
      <c r="G117" s="6">
        <v>20.14</v>
      </c>
      <c r="H117" s="5">
        <v>576163.18999999994</v>
      </c>
      <c r="I117" s="6">
        <v>11.25</v>
      </c>
      <c r="J117" s="6">
        <v>10.63</v>
      </c>
      <c r="K117" s="14" t="s">
        <v>19</v>
      </c>
      <c r="L117" s="6">
        <v>4.5199999999999996</v>
      </c>
      <c r="M117" s="5">
        <v>1481.28</v>
      </c>
      <c r="N117" s="7">
        <v>0.67700000000000005</v>
      </c>
      <c r="O117" s="6">
        <v>0.61199999999999999</v>
      </c>
      <c r="P117" s="6">
        <v>2.16</v>
      </c>
      <c r="Q117" s="8">
        <v>18.260000000000002</v>
      </c>
      <c r="R117" s="28"/>
      <c r="S117" s="28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</row>
    <row r="118" spans="1:32" ht="27" customHeight="1" x14ac:dyDescent="0.3">
      <c r="A118" s="33" t="s">
        <v>24</v>
      </c>
      <c r="B118" s="46" t="s">
        <v>25</v>
      </c>
      <c r="C118" s="5">
        <v>251850.16</v>
      </c>
      <c r="D118" s="6">
        <v>504.65</v>
      </c>
      <c r="E118" s="5">
        <v>50536.05</v>
      </c>
      <c r="F118" s="6">
        <v>178.07</v>
      </c>
      <c r="G118" s="6">
        <v>15.04</v>
      </c>
      <c r="H118" s="5">
        <v>576952.13</v>
      </c>
      <c r="I118" s="6">
        <v>14.97</v>
      </c>
      <c r="J118" s="6">
        <v>14.74</v>
      </c>
      <c r="K118" s="14" t="s">
        <v>19</v>
      </c>
      <c r="L118" s="6">
        <v>0.85099999999999998</v>
      </c>
      <c r="M118" s="5">
        <v>1434.31</v>
      </c>
      <c r="N118" s="7">
        <v>0.73799999999999999</v>
      </c>
      <c r="O118" s="6">
        <v>0.154</v>
      </c>
      <c r="P118" s="6" t="s">
        <v>19</v>
      </c>
      <c r="Q118" s="8">
        <v>0.60299999999999998</v>
      </c>
      <c r="R118" s="28"/>
      <c r="S118" s="28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</row>
    <row r="119" spans="1:32" ht="27" customHeight="1" x14ac:dyDescent="0.3">
      <c r="A119" s="33" t="s">
        <v>24</v>
      </c>
      <c r="B119" s="46" t="s">
        <v>25</v>
      </c>
      <c r="C119" s="5">
        <v>247504.72</v>
      </c>
      <c r="D119" s="6">
        <v>551.99</v>
      </c>
      <c r="E119" s="5">
        <v>52250.63</v>
      </c>
      <c r="F119" s="6">
        <v>183.87</v>
      </c>
      <c r="G119" s="6">
        <v>16.399999999999999</v>
      </c>
      <c r="H119" s="5">
        <v>578122.63</v>
      </c>
      <c r="I119" s="6">
        <v>14.53</v>
      </c>
      <c r="J119" s="6">
        <v>14.22</v>
      </c>
      <c r="K119" s="14" t="s">
        <v>19</v>
      </c>
      <c r="L119" s="6">
        <v>1.2430000000000001</v>
      </c>
      <c r="M119" s="5">
        <v>1495.37</v>
      </c>
      <c r="N119" s="7">
        <v>0.78500000000000003</v>
      </c>
      <c r="O119" s="6">
        <v>0.11799999999999999</v>
      </c>
      <c r="P119" s="6">
        <v>0.15</v>
      </c>
      <c r="Q119" s="8">
        <v>2.2799999999999998</v>
      </c>
      <c r="R119" s="28"/>
      <c r="S119" s="28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</row>
    <row r="120" spans="1:32" s="52" customFormat="1" ht="27" customHeight="1" x14ac:dyDescent="0.3">
      <c r="A120" s="34" t="s">
        <v>26</v>
      </c>
      <c r="B120" s="45" t="s">
        <v>18</v>
      </c>
      <c r="C120" s="9">
        <v>227831.44</v>
      </c>
      <c r="D120" s="10">
        <v>229.76</v>
      </c>
      <c r="E120" s="9">
        <v>54426.68</v>
      </c>
      <c r="F120" s="10">
        <v>89.36</v>
      </c>
      <c r="G120" s="10">
        <v>10.84</v>
      </c>
      <c r="H120" s="9">
        <v>582370.38</v>
      </c>
      <c r="I120" s="10">
        <v>2.76</v>
      </c>
      <c r="J120" s="10">
        <v>2.65</v>
      </c>
      <c r="K120" s="17" t="s">
        <v>19</v>
      </c>
      <c r="L120" s="10">
        <v>9.89</v>
      </c>
      <c r="M120" s="9">
        <v>1550.99</v>
      </c>
      <c r="N120" s="11" t="s">
        <v>19</v>
      </c>
      <c r="O120" s="10">
        <v>0.37</v>
      </c>
      <c r="P120" s="10">
        <v>7.02</v>
      </c>
      <c r="Q120" s="12">
        <v>8</v>
      </c>
      <c r="R120" s="30"/>
      <c r="S120" s="30"/>
    </row>
    <row r="121" spans="1:32" ht="27" customHeight="1" x14ac:dyDescent="0.3">
      <c r="A121" s="33" t="s">
        <v>26</v>
      </c>
      <c r="B121" s="46" t="s">
        <v>18</v>
      </c>
      <c r="C121" s="5">
        <v>230817.17</v>
      </c>
      <c r="D121" s="6">
        <v>230.31</v>
      </c>
      <c r="E121" s="5">
        <v>53552.27</v>
      </c>
      <c r="F121" s="6">
        <v>84.71</v>
      </c>
      <c r="G121" s="6">
        <v>5.0999999999999996</v>
      </c>
      <c r="H121" s="5">
        <v>589102.31000000006</v>
      </c>
      <c r="I121" s="6">
        <v>1.83</v>
      </c>
      <c r="J121" s="6">
        <v>2.11</v>
      </c>
      <c r="K121" s="14" t="s">
        <v>19</v>
      </c>
      <c r="L121" s="6">
        <v>1.762</v>
      </c>
      <c r="M121" s="5">
        <v>1492.29</v>
      </c>
      <c r="N121" s="7" t="s">
        <v>19</v>
      </c>
      <c r="O121" s="6">
        <v>8.1000000000000003E-2</v>
      </c>
      <c r="P121" s="6">
        <v>0.19500000000000001</v>
      </c>
      <c r="Q121" s="8">
        <v>1.51</v>
      </c>
      <c r="R121" s="28"/>
      <c r="S121" s="28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</row>
    <row r="122" spans="1:32" ht="27" customHeight="1" x14ac:dyDescent="0.3">
      <c r="A122" s="33" t="s">
        <v>26</v>
      </c>
      <c r="B122" s="46" t="s">
        <v>18</v>
      </c>
      <c r="C122" s="5">
        <v>232839.3</v>
      </c>
      <c r="D122" s="6">
        <v>236.15</v>
      </c>
      <c r="E122" s="5">
        <v>53617.25</v>
      </c>
      <c r="F122" s="6">
        <v>83.67</v>
      </c>
      <c r="G122" s="6">
        <v>6.28</v>
      </c>
      <c r="H122" s="5">
        <v>589341.75</v>
      </c>
      <c r="I122" s="6">
        <v>2.02</v>
      </c>
      <c r="J122" s="6">
        <v>1.8</v>
      </c>
      <c r="K122" s="14" t="s">
        <v>19</v>
      </c>
      <c r="L122" s="6">
        <v>2.34</v>
      </c>
      <c r="M122" s="5">
        <v>1511.11</v>
      </c>
      <c r="N122" s="7" t="s">
        <v>19</v>
      </c>
      <c r="O122" s="6">
        <v>0.17</v>
      </c>
      <c r="P122" s="6">
        <v>0.17899999999999999</v>
      </c>
      <c r="Q122" s="8">
        <v>1.1200000000000001</v>
      </c>
      <c r="R122" s="28"/>
      <c r="S122" s="28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</row>
    <row r="123" spans="1:32" ht="27" customHeight="1" x14ac:dyDescent="0.3">
      <c r="A123" s="33" t="s">
        <v>26</v>
      </c>
      <c r="B123" s="46" t="s">
        <v>18</v>
      </c>
      <c r="C123" s="5">
        <v>238176.91</v>
      </c>
      <c r="D123" s="6">
        <v>209.72</v>
      </c>
      <c r="E123" s="5">
        <v>50562.84</v>
      </c>
      <c r="F123" s="6">
        <v>80.599999999999994</v>
      </c>
      <c r="G123" s="6">
        <v>25.1</v>
      </c>
      <c r="H123" s="5">
        <v>590879.38</v>
      </c>
      <c r="I123" s="6">
        <v>4.4000000000000004</v>
      </c>
      <c r="J123" s="6">
        <v>5.13</v>
      </c>
      <c r="K123" s="14" t="s">
        <v>19</v>
      </c>
      <c r="L123" s="6">
        <v>23.24</v>
      </c>
      <c r="M123" s="5">
        <v>1484.72</v>
      </c>
      <c r="N123" s="7" t="s">
        <v>19</v>
      </c>
      <c r="O123" s="6">
        <v>0.748</v>
      </c>
      <c r="P123" s="6">
        <v>17</v>
      </c>
      <c r="Q123" s="8">
        <v>17.86</v>
      </c>
      <c r="R123" s="28"/>
      <c r="S123" s="28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</row>
    <row r="124" spans="1:32" ht="27" customHeight="1" x14ac:dyDescent="0.3">
      <c r="A124" s="33" t="s">
        <v>26</v>
      </c>
      <c r="B124" s="46" t="s">
        <v>18</v>
      </c>
      <c r="C124" s="5">
        <v>241715.03</v>
      </c>
      <c r="D124" s="6">
        <v>216.24</v>
      </c>
      <c r="E124" s="5">
        <v>52049.94</v>
      </c>
      <c r="F124" s="6">
        <v>81.510000000000005</v>
      </c>
      <c r="G124" s="6">
        <v>17.149999999999999</v>
      </c>
      <c r="H124" s="5">
        <v>584965.75</v>
      </c>
      <c r="I124" s="6">
        <v>5.36</v>
      </c>
      <c r="J124" s="6">
        <v>5.43</v>
      </c>
      <c r="K124" s="14" t="s">
        <v>19</v>
      </c>
      <c r="L124" s="6">
        <v>13.42</v>
      </c>
      <c r="M124" s="5">
        <v>1489.18</v>
      </c>
      <c r="N124" s="7" t="s">
        <v>19</v>
      </c>
      <c r="O124" s="6">
        <v>0.40400000000000003</v>
      </c>
      <c r="P124" s="6">
        <v>8.64</v>
      </c>
      <c r="Q124" s="8">
        <v>10.95</v>
      </c>
      <c r="R124" s="28"/>
      <c r="S124" s="28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</row>
    <row r="125" spans="1:32" ht="27" customHeight="1" x14ac:dyDescent="0.3">
      <c r="A125" s="33" t="s">
        <v>26</v>
      </c>
      <c r="B125" s="46" t="s">
        <v>18</v>
      </c>
      <c r="C125" s="5">
        <v>245613.44</v>
      </c>
      <c r="D125" s="6">
        <v>226.83</v>
      </c>
      <c r="E125" s="5">
        <v>48859.5</v>
      </c>
      <c r="F125" s="6">
        <v>79.34</v>
      </c>
      <c r="G125" s="6">
        <v>17.93</v>
      </c>
      <c r="H125" s="5">
        <v>584855.68999999994</v>
      </c>
      <c r="I125" s="6">
        <v>5.08</v>
      </c>
      <c r="J125" s="6">
        <v>5.51</v>
      </c>
      <c r="K125" s="14" t="s">
        <v>19</v>
      </c>
      <c r="L125" s="6">
        <v>11.5</v>
      </c>
      <c r="M125" s="5">
        <v>1541.71</v>
      </c>
      <c r="N125" s="7" t="s">
        <v>19</v>
      </c>
      <c r="O125" s="6">
        <v>0.38100000000000001</v>
      </c>
      <c r="P125" s="6">
        <v>6.42</v>
      </c>
      <c r="Q125" s="8">
        <v>11.37</v>
      </c>
      <c r="R125" s="28"/>
      <c r="S125" s="28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</row>
    <row r="126" spans="1:32" ht="27" customHeight="1" x14ac:dyDescent="0.3">
      <c r="A126" s="33" t="s">
        <v>26</v>
      </c>
      <c r="B126" s="46" t="s">
        <v>18</v>
      </c>
      <c r="C126" s="5">
        <v>246778.41</v>
      </c>
      <c r="D126" s="6">
        <v>208.11</v>
      </c>
      <c r="E126" s="5">
        <v>47230.2</v>
      </c>
      <c r="F126" s="6">
        <v>77.39</v>
      </c>
      <c r="G126" s="6">
        <v>14.46</v>
      </c>
      <c r="H126" s="5">
        <v>585846.25</v>
      </c>
      <c r="I126" s="6">
        <v>1.76</v>
      </c>
      <c r="J126" s="6">
        <v>1.8</v>
      </c>
      <c r="K126" s="14" t="s">
        <v>19</v>
      </c>
      <c r="L126" s="6">
        <v>19.2</v>
      </c>
      <c r="M126" s="5">
        <v>1519.51</v>
      </c>
      <c r="N126" s="7" t="s">
        <v>19</v>
      </c>
      <c r="O126" s="6">
        <v>0.56299999999999994</v>
      </c>
      <c r="P126" s="6">
        <v>14.2</v>
      </c>
      <c r="Q126" s="8">
        <v>81.69</v>
      </c>
      <c r="R126" s="28"/>
      <c r="S126" s="28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</row>
    <row r="127" spans="1:32" ht="27" customHeight="1" x14ac:dyDescent="0.3">
      <c r="A127" s="33" t="s">
        <v>26</v>
      </c>
      <c r="B127" s="46" t="s">
        <v>18</v>
      </c>
      <c r="C127" s="5">
        <v>252659.09</v>
      </c>
      <c r="D127" s="6">
        <v>177.46</v>
      </c>
      <c r="E127" s="5">
        <v>42421.27</v>
      </c>
      <c r="F127" s="6">
        <v>70.260000000000005</v>
      </c>
      <c r="G127" s="6">
        <v>22.11</v>
      </c>
      <c r="H127" s="5">
        <v>583324.5</v>
      </c>
      <c r="I127" s="6">
        <v>0.53</v>
      </c>
      <c r="J127" s="6" t="s">
        <v>19</v>
      </c>
      <c r="K127" s="14" t="s">
        <v>19</v>
      </c>
      <c r="L127" s="6">
        <v>42.55</v>
      </c>
      <c r="M127" s="5">
        <v>1577.82</v>
      </c>
      <c r="N127" s="7" t="s">
        <v>19</v>
      </c>
      <c r="O127" s="6">
        <v>1.79</v>
      </c>
      <c r="P127" s="6">
        <v>44.56</v>
      </c>
      <c r="Q127" s="8">
        <v>4.4729000000000001</v>
      </c>
      <c r="R127" s="28"/>
      <c r="S127" s="28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</row>
    <row r="128" spans="1:32" ht="27" customHeight="1" x14ac:dyDescent="0.3">
      <c r="A128" s="33" t="s">
        <v>26</v>
      </c>
      <c r="B128" s="46" t="s">
        <v>18</v>
      </c>
      <c r="C128" s="5">
        <v>255357</v>
      </c>
      <c r="D128" s="6">
        <v>206.92</v>
      </c>
      <c r="E128" s="5">
        <v>43397.11</v>
      </c>
      <c r="F128" s="6">
        <v>73.37</v>
      </c>
      <c r="G128" s="6">
        <v>9.89</v>
      </c>
      <c r="H128" s="5">
        <v>583324.5</v>
      </c>
      <c r="I128" s="6">
        <v>3.37</v>
      </c>
      <c r="J128" s="6">
        <v>3.17</v>
      </c>
      <c r="K128" s="14" t="s">
        <v>19</v>
      </c>
      <c r="L128" s="6">
        <v>3.66</v>
      </c>
      <c r="M128" s="5">
        <v>1567.97</v>
      </c>
      <c r="N128" s="7" t="s">
        <v>19</v>
      </c>
      <c r="O128" s="6">
        <v>0.27200000000000002</v>
      </c>
      <c r="P128" s="6">
        <v>0.96199999999999997</v>
      </c>
      <c r="Q128" s="8">
        <v>3.68</v>
      </c>
      <c r="R128" s="28"/>
      <c r="S128" s="28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</row>
    <row r="129" spans="1:32" s="52" customFormat="1" ht="27" customHeight="1" x14ac:dyDescent="0.3">
      <c r="A129" s="34" t="s">
        <v>27</v>
      </c>
      <c r="B129" s="45" t="s">
        <v>25</v>
      </c>
      <c r="C129" s="9">
        <v>250925.98</v>
      </c>
      <c r="D129" s="10">
        <v>284.56</v>
      </c>
      <c r="E129" s="9">
        <v>37708.550000000003</v>
      </c>
      <c r="F129" s="10">
        <v>94.5</v>
      </c>
      <c r="G129" s="10">
        <v>4.58</v>
      </c>
      <c r="H129" s="9">
        <v>593659</v>
      </c>
      <c r="I129" s="10">
        <v>1.04</v>
      </c>
      <c r="J129" s="10">
        <v>0.872</v>
      </c>
      <c r="K129" s="17" t="s">
        <v>19</v>
      </c>
      <c r="L129" s="10">
        <v>0.78</v>
      </c>
      <c r="M129" s="9">
        <v>2164.67</v>
      </c>
      <c r="N129" s="11">
        <v>1.07</v>
      </c>
      <c r="O129" s="10">
        <v>0.188</v>
      </c>
      <c r="P129" s="10" t="s">
        <v>19</v>
      </c>
      <c r="Q129" s="12" t="s">
        <v>19</v>
      </c>
      <c r="R129" s="30"/>
    </row>
    <row r="130" spans="1:32" ht="27" customHeight="1" x14ac:dyDescent="0.3">
      <c r="A130" s="33" t="s">
        <v>27</v>
      </c>
      <c r="B130" s="46" t="s">
        <v>25</v>
      </c>
      <c r="C130" s="5">
        <v>251531.58</v>
      </c>
      <c r="D130" s="6">
        <v>289.41000000000003</v>
      </c>
      <c r="E130" s="5">
        <v>38062.39</v>
      </c>
      <c r="F130" s="6">
        <v>94.15</v>
      </c>
      <c r="G130" s="6">
        <v>5.36</v>
      </c>
      <c r="H130" s="5">
        <v>590999.81000000006</v>
      </c>
      <c r="I130" s="6">
        <v>1.31</v>
      </c>
      <c r="J130" s="6">
        <v>1.1819999999999999</v>
      </c>
      <c r="K130" s="14" t="s">
        <v>19</v>
      </c>
      <c r="L130" s="6">
        <v>0.84</v>
      </c>
      <c r="M130" s="5">
        <v>2141.25</v>
      </c>
      <c r="N130" s="7">
        <v>1.02</v>
      </c>
      <c r="O130" s="6">
        <v>0.18099999999999999</v>
      </c>
      <c r="P130" s="6">
        <v>0.16300000000000001</v>
      </c>
      <c r="Q130" s="8">
        <v>0.161</v>
      </c>
      <c r="R130" s="28"/>
      <c r="S130" s="28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</row>
    <row r="131" spans="1:32" ht="27" customHeight="1" x14ac:dyDescent="0.3">
      <c r="A131" s="33" t="s">
        <v>27</v>
      </c>
      <c r="B131" s="46" t="s">
        <v>25</v>
      </c>
      <c r="C131" s="5">
        <v>250141.95</v>
      </c>
      <c r="D131" s="6">
        <v>288.52</v>
      </c>
      <c r="E131" s="5">
        <v>36511.99</v>
      </c>
      <c r="F131" s="6">
        <v>95.88</v>
      </c>
      <c r="G131" s="6">
        <v>8.7799999999999994</v>
      </c>
      <c r="H131" s="5">
        <v>593757.68999999994</v>
      </c>
      <c r="I131" s="6">
        <v>0.9</v>
      </c>
      <c r="J131" s="6">
        <v>0.77800000000000002</v>
      </c>
      <c r="K131" s="14" t="s">
        <v>19</v>
      </c>
      <c r="L131" s="6">
        <v>6.26</v>
      </c>
      <c r="M131" s="5">
        <v>2171.7800000000002</v>
      </c>
      <c r="N131" s="7">
        <v>1.07</v>
      </c>
      <c r="O131" s="6">
        <v>0.40600000000000003</v>
      </c>
      <c r="P131" s="6">
        <v>3.61</v>
      </c>
      <c r="Q131" s="8">
        <v>5.4</v>
      </c>
      <c r="R131" s="28"/>
      <c r="S131" s="28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</row>
    <row r="132" spans="1:32" ht="27" customHeight="1" x14ac:dyDescent="0.3">
      <c r="A132" s="33" t="s">
        <v>27</v>
      </c>
      <c r="B132" s="46" t="s">
        <v>25</v>
      </c>
      <c r="C132" s="5">
        <v>254588.41</v>
      </c>
      <c r="D132" s="6">
        <v>299.87</v>
      </c>
      <c r="E132" s="5">
        <v>37485.550000000003</v>
      </c>
      <c r="F132" s="6">
        <v>95.66</v>
      </c>
      <c r="G132" s="6">
        <v>4.76</v>
      </c>
      <c r="H132" s="5">
        <v>591526.06000000006</v>
      </c>
      <c r="I132" s="6">
        <v>1.02</v>
      </c>
      <c r="J132" s="6">
        <v>1.0249999999999999</v>
      </c>
      <c r="K132" s="14" t="s">
        <v>19</v>
      </c>
      <c r="L132" s="6">
        <v>0.77</v>
      </c>
      <c r="M132" s="5">
        <v>2154.12</v>
      </c>
      <c r="N132" s="7">
        <v>1.08</v>
      </c>
      <c r="O132" s="6">
        <v>0.16400000000000001</v>
      </c>
      <c r="P132" s="6">
        <v>0.14399999999999999</v>
      </c>
      <c r="Q132" s="8">
        <v>0.24099999999999999</v>
      </c>
      <c r="R132" s="28"/>
      <c r="S132" s="28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</row>
    <row r="133" spans="1:32" ht="27" customHeight="1" x14ac:dyDescent="0.3">
      <c r="A133" s="33" t="s">
        <v>27</v>
      </c>
      <c r="B133" s="46" t="s">
        <v>25</v>
      </c>
      <c r="C133" s="5">
        <v>251468.05</v>
      </c>
      <c r="D133" s="6">
        <v>306.74</v>
      </c>
      <c r="E133" s="5">
        <v>41096.160000000003</v>
      </c>
      <c r="F133" s="6">
        <v>99.58</v>
      </c>
      <c r="G133" s="6">
        <v>4.1900000000000004</v>
      </c>
      <c r="H133" s="5">
        <v>593348.88</v>
      </c>
      <c r="I133" s="6">
        <v>1.41</v>
      </c>
      <c r="J133" s="6">
        <v>1.2849999999999999</v>
      </c>
      <c r="K133" s="14" t="s">
        <v>19</v>
      </c>
      <c r="L133" s="6">
        <v>0.72</v>
      </c>
      <c r="M133" s="5">
        <v>2126.4</v>
      </c>
      <c r="N133" s="7">
        <v>1.1000000000000001</v>
      </c>
      <c r="O133" s="6">
        <v>0.2</v>
      </c>
      <c r="P133" s="6" t="s">
        <v>19</v>
      </c>
      <c r="Q133" s="8" t="s">
        <v>19</v>
      </c>
      <c r="R133" s="28"/>
      <c r="S133" s="28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</row>
    <row r="134" spans="1:32" ht="27" customHeight="1" x14ac:dyDescent="0.3">
      <c r="A134" s="33" t="s">
        <v>27</v>
      </c>
      <c r="B134" s="46" t="s">
        <v>25</v>
      </c>
      <c r="C134" s="5">
        <v>247818.25</v>
      </c>
      <c r="D134" s="6">
        <v>277.64</v>
      </c>
      <c r="E134" s="5">
        <v>36674.17</v>
      </c>
      <c r="F134" s="6">
        <v>90.66</v>
      </c>
      <c r="G134" s="6">
        <v>3.87</v>
      </c>
      <c r="H134" s="5">
        <v>593520.06000000006</v>
      </c>
      <c r="I134" s="6">
        <v>1.29</v>
      </c>
      <c r="J134" s="6">
        <v>1.3009999999999999</v>
      </c>
      <c r="K134" s="14" t="s">
        <v>19</v>
      </c>
      <c r="L134" s="6">
        <v>0.69</v>
      </c>
      <c r="M134" s="5">
        <v>2117.46</v>
      </c>
      <c r="N134" s="7">
        <v>1.1000000000000001</v>
      </c>
      <c r="O134" s="6">
        <v>0.17499999999999999</v>
      </c>
      <c r="P134" s="6" t="s">
        <v>19</v>
      </c>
      <c r="Q134" s="8" t="s">
        <v>19</v>
      </c>
      <c r="R134" s="28"/>
      <c r="S134" s="28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</row>
    <row r="135" spans="1:32" ht="27" customHeight="1" x14ac:dyDescent="0.3">
      <c r="A135" s="33" t="s">
        <v>27</v>
      </c>
      <c r="B135" s="46" t="s">
        <v>25</v>
      </c>
      <c r="C135" s="5">
        <v>246017.61</v>
      </c>
      <c r="D135" s="6">
        <v>281.95999999999998</v>
      </c>
      <c r="E135" s="5">
        <v>37675.89</v>
      </c>
      <c r="F135" s="6">
        <v>93.5</v>
      </c>
      <c r="G135" s="6">
        <v>7.64</v>
      </c>
      <c r="H135" s="5">
        <v>593028.43999999994</v>
      </c>
      <c r="I135" s="6">
        <v>0.74</v>
      </c>
      <c r="J135" s="6">
        <v>0.56999999999999995</v>
      </c>
      <c r="K135" s="14" t="s">
        <v>19</v>
      </c>
      <c r="L135" s="6">
        <v>3.81</v>
      </c>
      <c r="M135" s="5">
        <v>2142.17</v>
      </c>
      <c r="N135" s="7">
        <v>1.0900000000000001</v>
      </c>
      <c r="O135" s="6">
        <v>0.35199999999999998</v>
      </c>
      <c r="P135" s="6">
        <v>7.26</v>
      </c>
      <c r="Q135" s="8">
        <v>2.63</v>
      </c>
      <c r="R135" s="28"/>
      <c r="S135" s="28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</row>
    <row r="136" spans="1:32" ht="27" customHeight="1" x14ac:dyDescent="0.3">
      <c r="A136" s="33" t="s">
        <v>27</v>
      </c>
      <c r="B136" s="46" t="s">
        <v>25</v>
      </c>
      <c r="C136" s="5">
        <v>253103.55</v>
      </c>
      <c r="D136" s="6">
        <v>304.74</v>
      </c>
      <c r="E136" s="5">
        <v>39491.040000000001</v>
      </c>
      <c r="F136" s="6">
        <v>96.6</v>
      </c>
      <c r="G136" s="6">
        <v>3.03</v>
      </c>
      <c r="H136" s="5">
        <v>590901</v>
      </c>
      <c r="I136" s="6">
        <v>0.62</v>
      </c>
      <c r="J136" s="6">
        <v>0.66900000000000004</v>
      </c>
      <c r="K136" s="14" t="s">
        <v>19</v>
      </c>
      <c r="L136" s="6">
        <v>0.75</v>
      </c>
      <c r="M136" s="5">
        <v>2102.0300000000002</v>
      </c>
      <c r="N136" s="7">
        <v>1.1000000000000001</v>
      </c>
      <c r="O136" s="6">
        <v>0.17799999999999999</v>
      </c>
      <c r="P136" s="6" t="s">
        <v>19</v>
      </c>
      <c r="Q136" s="8" t="s">
        <v>19</v>
      </c>
      <c r="R136" s="28"/>
      <c r="S136" s="28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</row>
    <row r="137" spans="1:32" ht="27" customHeight="1" x14ac:dyDescent="0.3">
      <c r="A137" s="33" t="s">
        <v>27</v>
      </c>
      <c r="B137" s="46" t="s">
        <v>25</v>
      </c>
      <c r="C137" s="5">
        <v>254076.56</v>
      </c>
      <c r="D137" s="6">
        <v>263.14999999999998</v>
      </c>
      <c r="E137" s="5">
        <v>41446</v>
      </c>
      <c r="F137" s="6">
        <v>86.98</v>
      </c>
      <c r="G137" s="6">
        <v>2.52</v>
      </c>
      <c r="H137" s="5">
        <v>589280.63</v>
      </c>
      <c r="I137" s="6">
        <v>0.55000000000000004</v>
      </c>
      <c r="J137" s="6">
        <v>0.60699999999999998</v>
      </c>
      <c r="K137" s="14" t="s">
        <v>19</v>
      </c>
      <c r="L137" s="6">
        <v>0.77</v>
      </c>
      <c r="M137" s="5">
        <v>2160.94</v>
      </c>
      <c r="N137" s="7">
        <v>1.07</v>
      </c>
      <c r="O137" s="6">
        <v>4.5999999999999999E-2</v>
      </c>
      <c r="P137" s="6">
        <v>0.10100000000000001</v>
      </c>
      <c r="Q137" s="8">
        <v>0.11899999999999999</v>
      </c>
      <c r="R137" s="28"/>
      <c r="S137" s="28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</row>
    <row r="138" spans="1:32" ht="27" customHeight="1" x14ac:dyDescent="0.3">
      <c r="A138" s="33" t="s">
        <v>27</v>
      </c>
      <c r="B138" s="46" t="s">
        <v>25</v>
      </c>
      <c r="C138" s="5">
        <v>253058.55</v>
      </c>
      <c r="D138" s="6">
        <v>265.61</v>
      </c>
      <c r="E138" s="5">
        <v>35365.86</v>
      </c>
      <c r="F138" s="6">
        <v>84.2</v>
      </c>
      <c r="G138" s="6">
        <v>2.97</v>
      </c>
      <c r="H138" s="5">
        <v>592289.38</v>
      </c>
      <c r="I138" s="6">
        <v>0.6</v>
      </c>
      <c r="J138" s="6">
        <v>0.42599999999999999</v>
      </c>
      <c r="K138" s="14" t="s">
        <v>19</v>
      </c>
      <c r="L138" s="6">
        <v>0.89</v>
      </c>
      <c r="M138" s="5">
        <v>2188</v>
      </c>
      <c r="N138" s="7">
        <v>1.05</v>
      </c>
      <c r="O138" s="6">
        <v>0.154</v>
      </c>
      <c r="P138" s="6">
        <v>0.35699999999999998</v>
      </c>
      <c r="Q138" s="8">
        <v>0.57299999999999995</v>
      </c>
      <c r="R138" s="28"/>
      <c r="S138" s="28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</row>
    <row r="139" spans="1:32" ht="27" customHeight="1" x14ac:dyDescent="0.3">
      <c r="A139" s="33" t="s">
        <v>27</v>
      </c>
      <c r="B139" s="46" t="s">
        <v>25</v>
      </c>
      <c r="C139" s="5">
        <v>250674.89</v>
      </c>
      <c r="D139" s="6">
        <v>243.53</v>
      </c>
      <c r="E139" s="5">
        <v>34996.15</v>
      </c>
      <c r="F139" s="6">
        <v>80.28</v>
      </c>
      <c r="G139" s="6">
        <v>2.4500000000000002</v>
      </c>
      <c r="H139" s="5">
        <v>589815.68999999994</v>
      </c>
      <c r="I139" s="6">
        <v>0.9</v>
      </c>
      <c r="J139" s="6">
        <v>0.76900000000000002</v>
      </c>
      <c r="K139" s="14" t="s">
        <v>19</v>
      </c>
      <c r="L139" s="6">
        <v>0.83</v>
      </c>
      <c r="M139" s="5">
        <v>2187.4299999999998</v>
      </c>
      <c r="N139" s="7">
        <v>1.03</v>
      </c>
      <c r="O139" s="6">
        <v>0.109</v>
      </c>
      <c r="P139" s="6">
        <v>0.3</v>
      </c>
      <c r="Q139" s="8">
        <v>0.81899999999999995</v>
      </c>
      <c r="R139" s="28"/>
      <c r="S139" s="28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</row>
    <row r="140" spans="1:32" ht="27" customHeight="1" x14ac:dyDescent="0.3">
      <c r="A140" s="33" t="s">
        <v>27</v>
      </c>
      <c r="B140" s="46" t="s">
        <v>25</v>
      </c>
      <c r="C140" s="5">
        <v>252246.95</v>
      </c>
      <c r="D140" s="6">
        <v>272.95</v>
      </c>
      <c r="E140" s="5">
        <v>33719.78</v>
      </c>
      <c r="F140" s="6">
        <v>80.88</v>
      </c>
      <c r="G140" s="6">
        <v>2.4900000000000002</v>
      </c>
      <c r="H140" s="5">
        <v>590922.81000000006</v>
      </c>
      <c r="I140" s="6">
        <v>0.89</v>
      </c>
      <c r="J140" s="6">
        <v>0.69599999999999995</v>
      </c>
      <c r="K140" s="14" t="s">
        <v>19</v>
      </c>
      <c r="L140" s="6">
        <v>0.76</v>
      </c>
      <c r="M140" s="5">
        <v>2192.52</v>
      </c>
      <c r="N140" s="7">
        <v>1.07</v>
      </c>
      <c r="O140" s="6">
        <v>0.249</v>
      </c>
      <c r="P140" s="6">
        <v>0.14499999999999999</v>
      </c>
      <c r="Q140" s="8">
        <v>0.21299999999999999</v>
      </c>
      <c r="R140" s="28"/>
      <c r="S140" s="28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</row>
    <row r="141" spans="1:32" s="52" customFormat="1" ht="27" customHeight="1" x14ac:dyDescent="0.3">
      <c r="A141" s="34" t="s">
        <v>27</v>
      </c>
      <c r="B141" s="45" t="s">
        <v>28</v>
      </c>
      <c r="C141" s="9">
        <v>209948.53</v>
      </c>
      <c r="D141" s="17">
        <v>171.08</v>
      </c>
      <c r="E141" s="9">
        <v>39403.93</v>
      </c>
      <c r="F141" s="17">
        <v>100.36</v>
      </c>
      <c r="G141" s="17">
        <v>11.97</v>
      </c>
      <c r="H141" s="9">
        <v>592975.43999999994</v>
      </c>
      <c r="I141" s="17">
        <v>28.76</v>
      </c>
      <c r="J141" s="10">
        <v>2.87</v>
      </c>
      <c r="K141" s="17" t="s">
        <v>19</v>
      </c>
      <c r="L141" s="17">
        <v>4.6399999999999997</v>
      </c>
      <c r="M141" s="9">
        <v>1904.19</v>
      </c>
      <c r="N141" s="18">
        <v>0.98</v>
      </c>
      <c r="O141" s="17">
        <v>1.22</v>
      </c>
      <c r="P141" s="17">
        <v>7.05</v>
      </c>
      <c r="Q141" s="19">
        <v>503.17</v>
      </c>
      <c r="R141" s="30"/>
      <c r="S141" s="30"/>
    </row>
    <row r="142" spans="1:32" ht="27" customHeight="1" x14ac:dyDescent="0.3">
      <c r="A142" s="33" t="s">
        <v>27</v>
      </c>
      <c r="B142" s="46" t="s">
        <v>28</v>
      </c>
      <c r="C142" s="5">
        <v>203359.84</v>
      </c>
      <c r="D142" s="14">
        <v>138.41</v>
      </c>
      <c r="E142" s="5">
        <v>34549.93</v>
      </c>
      <c r="F142" s="14">
        <v>72.790000000000006</v>
      </c>
      <c r="G142" s="14">
        <v>7.55</v>
      </c>
      <c r="H142" s="5">
        <v>584228.31000000006</v>
      </c>
      <c r="I142" s="14">
        <v>3.5</v>
      </c>
      <c r="J142" s="6">
        <v>0.74</v>
      </c>
      <c r="K142" s="14" t="s">
        <v>19</v>
      </c>
      <c r="L142" s="14">
        <v>2.87</v>
      </c>
      <c r="M142" s="5">
        <v>1930.7</v>
      </c>
      <c r="N142" s="15">
        <v>0.91</v>
      </c>
      <c r="O142" s="14">
        <v>0.91</v>
      </c>
      <c r="P142" s="14">
        <v>3.93</v>
      </c>
      <c r="Q142" s="16">
        <v>169.05</v>
      </c>
      <c r="R142" s="28"/>
      <c r="S142" s="28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</row>
    <row r="143" spans="1:32" ht="27" customHeight="1" x14ac:dyDescent="0.3">
      <c r="A143" s="33" t="s">
        <v>27</v>
      </c>
      <c r="B143" s="46" t="s">
        <v>28</v>
      </c>
      <c r="C143" s="5">
        <v>204454.67</v>
      </c>
      <c r="D143" s="14">
        <v>163.07</v>
      </c>
      <c r="E143" s="5">
        <v>39555.65</v>
      </c>
      <c r="F143" s="14">
        <v>87.7</v>
      </c>
      <c r="G143" s="14">
        <v>69.77</v>
      </c>
      <c r="H143" s="5">
        <v>589382.75</v>
      </c>
      <c r="I143" s="14">
        <v>10.48</v>
      </c>
      <c r="J143" s="6">
        <v>2.4900000000000002</v>
      </c>
      <c r="K143" s="14" t="s">
        <v>19</v>
      </c>
      <c r="L143" s="14">
        <v>10.19</v>
      </c>
      <c r="M143" s="5">
        <v>1833.17</v>
      </c>
      <c r="N143" s="15">
        <v>0.88</v>
      </c>
      <c r="O143" s="14">
        <v>3.71</v>
      </c>
      <c r="P143" s="14">
        <v>23.84</v>
      </c>
      <c r="Q143" s="16">
        <v>106.19</v>
      </c>
      <c r="R143" s="28"/>
      <c r="S143" s="20"/>
      <c r="T143" s="20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</row>
    <row r="144" spans="1:32" ht="27" customHeight="1" x14ac:dyDescent="0.3">
      <c r="A144" s="33" t="s">
        <v>27</v>
      </c>
      <c r="B144" s="46" t="s">
        <v>28</v>
      </c>
      <c r="C144" s="5">
        <v>206852.42</v>
      </c>
      <c r="D144" s="14">
        <v>162.13999999999999</v>
      </c>
      <c r="E144" s="5">
        <v>44963.63</v>
      </c>
      <c r="F144" s="14">
        <v>95.94</v>
      </c>
      <c r="G144" s="14">
        <v>23.87</v>
      </c>
      <c r="H144" s="5">
        <v>588310.31000000006</v>
      </c>
      <c r="I144" s="14">
        <v>6.42</v>
      </c>
      <c r="J144" s="6">
        <v>1.52</v>
      </c>
      <c r="K144" s="14" t="s">
        <v>19</v>
      </c>
      <c r="L144" s="14">
        <v>7.6</v>
      </c>
      <c r="M144" s="5">
        <v>1837.15</v>
      </c>
      <c r="N144" s="15">
        <v>0.94</v>
      </c>
      <c r="O144" s="14">
        <v>2.4900000000000002</v>
      </c>
      <c r="P144" s="14">
        <v>13.22</v>
      </c>
      <c r="Q144" s="16">
        <v>331.58</v>
      </c>
      <c r="R144" s="28"/>
      <c r="S144" s="28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</row>
    <row r="145" spans="1:32" ht="27" customHeight="1" x14ac:dyDescent="0.3">
      <c r="A145" s="33" t="s">
        <v>27</v>
      </c>
      <c r="B145" s="46" t="s">
        <v>28</v>
      </c>
      <c r="C145" s="5">
        <v>213061.77</v>
      </c>
      <c r="D145" s="14">
        <v>138.41</v>
      </c>
      <c r="E145" s="5">
        <v>35202.21</v>
      </c>
      <c r="F145" s="14">
        <v>79.959999999999994</v>
      </c>
      <c r="G145" s="14">
        <v>39.82</v>
      </c>
      <c r="H145" s="5">
        <v>591453.88</v>
      </c>
      <c r="I145" s="14">
        <v>19.399999999999999</v>
      </c>
      <c r="J145" s="6">
        <v>3.95</v>
      </c>
      <c r="K145" s="14" t="s">
        <v>19</v>
      </c>
      <c r="L145" s="14">
        <v>10.59</v>
      </c>
      <c r="M145" s="5">
        <v>1866.42</v>
      </c>
      <c r="N145" s="15">
        <v>0.84</v>
      </c>
      <c r="O145" s="14">
        <v>3.18</v>
      </c>
      <c r="P145" s="14">
        <v>16.34</v>
      </c>
      <c r="Q145" s="16">
        <v>150.29</v>
      </c>
      <c r="R145" s="28"/>
      <c r="S145" s="28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</row>
    <row r="146" spans="1:32" ht="27" customHeight="1" x14ac:dyDescent="0.3">
      <c r="A146" s="33" t="s">
        <v>27</v>
      </c>
      <c r="B146" s="46" t="s">
        <v>28</v>
      </c>
      <c r="C146" s="5">
        <v>200801.94</v>
      </c>
      <c r="D146" s="14">
        <v>159.19</v>
      </c>
      <c r="E146" s="5">
        <v>33096.32</v>
      </c>
      <c r="F146" s="14">
        <v>81.47</v>
      </c>
      <c r="G146" s="14">
        <v>14.84</v>
      </c>
      <c r="H146" s="5">
        <v>589382.75</v>
      </c>
      <c r="I146" s="14">
        <v>1.68</v>
      </c>
      <c r="J146" s="6">
        <v>0.81</v>
      </c>
      <c r="K146" s="14" t="s">
        <v>19</v>
      </c>
      <c r="L146" s="14">
        <v>2.4700000000000002</v>
      </c>
      <c r="M146" s="5">
        <v>1925.19</v>
      </c>
      <c r="N146" s="15">
        <v>0.96</v>
      </c>
      <c r="O146" s="14">
        <v>0.35</v>
      </c>
      <c r="P146" s="14">
        <v>3.24</v>
      </c>
      <c r="Q146" s="16">
        <v>172.73</v>
      </c>
      <c r="R146" s="28"/>
      <c r="S146" s="28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</row>
    <row r="147" spans="1:32" ht="27" customHeight="1" x14ac:dyDescent="0.3">
      <c r="A147" s="33" t="s">
        <v>27</v>
      </c>
      <c r="B147" s="46" t="s">
        <v>28</v>
      </c>
      <c r="C147" s="5">
        <v>207418.83</v>
      </c>
      <c r="D147" s="14">
        <v>140.93</v>
      </c>
      <c r="E147" s="5">
        <v>41610.94</v>
      </c>
      <c r="F147" s="14">
        <v>89.07</v>
      </c>
      <c r="G147" s="14">
        <v>37.46</v>
      </c>
      <c r="H147" s="5">
        <v>589382.75</v>
      </c>
      <c r="I147" s="14">
        <v>13.74</v>
      </c>
      <c r="J147" s="6">
        <v>3.54</v>
      </c>
      <c r="K147" s="14" t="s">
        <v>19</v>
      </c>
      <c r="L147" s="14">
        <v>12.02</v>
      </c>
      <c r="M147" s="5">
        <v>1893.86</v>
      </c>
      <c r="N147" s="15">
        <v>0.91</v>
      </c>
      <c r="O147" s="14">
        <v>3.02</v>
      </c>
      <c r="P147" s="14">
        <v>18.350000000000001</v>
      </c>
      <c r="Q147" s="16">
        <v>436.46</v>
      </c>
      <c r="R147" s="28"/>
      <c r="S147" s="28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</row>
    <row r="148" spans="1:32" ht="27" customHeight="1" x14ac:dyDescent="0.3">
      <c r="A148" s="135" t="s">
        <v>30</v>
      </c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7"/>
      <c r="R148" s="28"/>
      <c r="S148" s="28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</row>
    <row r="149" spans="1:32" ht="27" customHeight="1" thickBot="1" x14ac:dyDescent="0.35">
      <c r="A149" s="1" t="s">
        <v>0</v>
      </c>
      <c r="B149" s="42" t="s">
        <v>1</v>
      </c>
      <c r="C149" s="26" t="s">
        <v>2</v>
      </c>
      <c r="D149" s="27" t="s">
        <v>3</v>
      </c>
      <c r="E149" s="27" t="s">
        <v>4</v>
      </c>
      <c r="F149" s="27" t="s">
        <v>5</v>
      </c>
      <c r="G149" s="27" t="s">
        <v>6</v>
      </c>
      <c r="H149" s="27" t="s">
        <v>7</v>
      </c>
      <c r="I149" s="27" t="s">
        <v>8</v>
      </c>
      <c r="J149" s="27" t="s">
        <v>9</v>
      </c>
      <c r="K149" s="27" t="s">
        <v>10</v>
      </c>
      <c r="L149" s="27" t="s">
        <v>11</v>
      </c>
      <c r="M149" s="27" t="s">
        <v>12</v>
      </c>
      <c r="N149" s="27" t="s">
        <v>13</v>
      </c>
      <c r="O149" s="27" t="s">
        <v>14</v>
      </c>
      <c r="P149" s="27" t="s">
        <v>15</v>
      </c>
      <c r="Q149" s="38" t="s">
        <v>16</v>
      </c>
      <c r="R149" s="28"/>
      <c r="S149" s="28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</row>
    <row r="150" spans="1:32" ht="27" customHeight="1" thickTop="1" x14ac:dyDescent="0.3">
      <c r="A150" s="33" t="s">
        <v>17</v>
      </c>
      <c r="B150" s="43" t="s">
        <v>18</v>
      </c>
      <c r="C150" s="20">
        <v>86.46</v>
      </c>
      <c r="D150" s="28">
        <v>0.20200000000000001</v>
      </c>
      <c r="E150" s="28">
        <v>12.9</v>
      </c>
      <c r="F150" s="28">
        <v>0.26700000000000002</v>
      </c>
      <c r="G150" s="28">
        <v>0.156</v>
      </c>
      <c r="H150" s="28">
        <v>0.72899999999999998</v>
      </c>
      <c r="I150" s="28">
        <v>7.22E-2</v>
      </c>
      <c r="J150" s="28">
        <v>2.69E-2</v>
      </c>
      <c r="K150" s="28">
        <v>0.15</v>
      </c>
      <c r="L150" s="28">
        <v>1.89E-2</v>
      </c>
      <c r="M150" s="28">
        <v>0.113</v>
      </c>
      <c r="N150" s="28">
        <v>1.3100000000000001E-2</v>
      </c>
      <c r="O150" s="28">
        <v>4.65E-2</v>
      </c>
      <c r="P150" s="28">
        <v>1.2800000000000001E-2</v>
      </c>
      <c r="Q150" s="39">
        <v>4.5500000000000002E-3</v>
      </c>
      <c r="R150" s="28"/>
      <c r="S150" s="28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</row>
    <row r="151" spans="1:32" ht="27" customHeight="1" x14ac:dyDescent="0.3">
      <c r="A151" s="33" t="s">
        <v>17</v>
      </c>
      <c r="B151" s="43" t="s">
        <v>18</v>
      </c>
      <c r="C151" s="20">
        <v>1527.23</v>
      </c>
      <c r="D151" s="28">
        <v>3.7</v>
      </c>
      <c r="E151" s="28">
        <v>233.61</v>
      </c>
      <c r="F151" s="28">
        <v>4.63</v>
      </c>
      <c r="G151" s="28">
        <v>2.86</v>
      </c>
      <c r="H151" s="28">
        <v>12.42</v>
      </c>
      <c r="I151" s="28">
        <v>1.31</v>
      </c>
      <c r="J151" s="28">
        <v>0.47299999999999998</v>
      </c>
      <c r="K151" s="28">
        <v>2.71</v>
      </c>
      <c r="L151" s="28">
        <v>0.318</v>
      </c>
      <c r="M151" s="28">
        <v>1.9</v>
      </c>
      <c r="N151" s="28">
        <v>0.23300000000000001</v>
      </c>
      <c r="O151" s="28">
        <v>0.8</v>
      </c>
      <c r="P151" s="28">
        <v>0.23100000000000001</v>
      </c>
      <c r="Q151" s="39">
        <v>8.7900000000000006E-2</v>
      </c>
      <c r="R151" s="28"/>
      <c r="S151" s="28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</row>
    <row r="152" spans="1:32" ht="27" customHeight="1" x14ac:dyDescent="0.3">
      <c r="A152" s="33" t="s">
        <v>17</v>
      </c>
      <c r="B152" s="43" t="s">
        <v>18</v>
      </c>
      <c r="C152" s="20">
        <v>52.3</v>
      </c>
      <c r="D152" s="28">
        <v>0.126</v>
      </c>
      <c r="E152" s="28">
        <v>7.95</v>
      </c>
      <c r="F152" s="28">
        <v>0.156</v>
      </c>
      <c r="G152" s="28">
        <v>9.5799999999999996E-2</v>
      </c>
      <c r="H152" s="28">
        <v>0.42299999999999999</v>
      </c>
      <c r="I152" s="28">
        <v>4.3799999999999999E-2</v>
      </c>
      <c r="J152" s="28">
        <v>1.61E-2</v>
      </c>
      <c r="K152" s="28">
        <v>9.0999999999999998E-2</v>
      </c>
      <c r="L152" s="28">
        <v>1.0500000000000001E-2</v>
      </c>
      <c r="M152" s="28">
        <v>6.83E-2</v>
      </c>
      <c r="N152" s="28">
        <v>8.0700000000000008E-3</v>
      </c>
      <c r="O152" s="28">
        <v>2.8199999999999999E-2</v>
      </c>
      <c r="P152" s="28">
        <v>7.7099999999999998E-3</v>
      </c>
      <c r="Q152" s="39">
        <v>2.7599999999999999E-3</v>
      </c>
      <c r="R152" s="28"/>
      <c r="S152" s="28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</row>
    <row r="153" spans="1:32" ht="27" customHeight="1" x14ac:dyDescent="0.3">
      <c r="A153" s="33" t="s">
        <v>17</v>
      </c>
      <c r="B153" s="43" t="s">
        <v>18</v>
      </c>
      <c r="C153" s="20">
        <v>79.81</v>
      </c>
      <c r="D153" s="28">
        <v>0.191</v>
      </c>
      <c r="E153" s="28">
        <v>11.94</v>
      </c>
      <c r="F153" s="28">
        <v>0.24399999999999999</v>
      </c>
      <c r="G153" s="28">
        <v>0.14699999999999999</v>
      </c>
      <c r="H153" s="28">
        <v>0.64600000000000002</v>
      </c>
      <c r="I153" s="28">
        <v>6.7000000000000004E-2</v>
      </c>
      <c r="J153" s="28">
        <v>2.6200000000000001E-2</v>
      </c>
      <c r="K153" s="28">
        <v>0.13900000000000001</v>
      </c>
      <c r="L153" s="28">
        <v>1.6400000000000001E-2</v>
      </c>
      <c r="M153" s="28">
        <v>0.109</v>
      </c>
      <c r="N153" s="28">
        <v>1.21E-2</v>
      </c>
      <c r="O153" s="28">
        <v>4.2500000000000003E-2</v>
      </c>
      <c r="P153" s="28">
        <v>1.2E-2</v>
      </c>
      <c r="Q153" s="39">
        <v>4.0499999999999998E-3</v>
      </c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</row>
    <row r="154" spans="1:32" ht="27" customHeight="1" x14ac:dyDescent="0.3">
      <c r="A154" s="33" t="s">
        <v>17</v>
      </c>
      <c r="B154" s="43" t="s">
        <v>18</v>
      </c>
      <c r="C154" s="20">
        <v>94.43</v>
      </c>
      <c r="D154" s="28">
        <v>0.22800000000000001</v>
      </c>
      <c r="E154" s="28">
        <v>14.12</v>
      </c>
      <c r="F154" s="28">
        <v>0.28999999999999998</v>
      </c>
      <c r="G154" s="28">
        <v>0.17</v>
      </c>
      <c r="H154" s="28">
        <v>0.82399999999999995</v>
      </c>
      <c r="I154" s="28">
        <v>0.08</v>
      </c>
      <c r="J154" s="28">
        <v>3.0499999999999999E-2</v>
      </c>
      <c r="K154" s="28">
        <v>0.16500000000000001</v>
      </c>
      <c r="L154" s="28">
        <v>2.01E-2</v>
      </c>
      <c r="M154" s="28">
        <v>0.126</v>
      </c>
      <c r="N154" s="28">
        <v>1.4999999999999999E-2</v>
      </c>
      <c r="O154" s="28">
        <v>0.05</v>
      </c>
      <c r="P154" s="28">
        <v>1.4200000000000001E-2</v>
      </c>
      <c r="Q154" s="39">
        <v>5.1500000000000001E-3</v>
      </c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</row>
    <row r="155" spans="1:32" ht="27" customHeight="1" x14ac:dyDescent="0.3">
      <c r="A155" s="33" t="s">
        <v>17</v>
      </c>
      <c r="B155" s="43" t="s">
        <v>18</v>
      </c>
      <c r="C155" s="20">
        <v>97.36</v>
      </c>
      <c r="D155" s="28">
        <v>0.23300000000000001</v>
      </c>
      <c r="E155" s="28">
        <v>14.47</v>
      </c>
      <c r="F155" s="28">
        <v>0.3</v>
      </c>
      <c r="G155" s="28">
        <v>0.17899999999999999</v>
      </c>
      <c r="H155" s="28">
        <v>0.82499999999999996</v>
      </c>
      <c r="I155" s="28">
        <v>8.3500000000000005E-2</v>
      </c>
      <c r="J155" s="28">
        <v>2.9100000000000001E-2</v>
      </c>
      <c r="K155" s="28">
        <v>0.17100000000000001</v>
      </c>
      <c r="L155" s="28">
        <v>2.1499999999999998E-2</v>
      </c>
      <c r="M155" s="28">
        <v>0.13500000000000001</v>
      </c>
      <c r="N155" s="28">
        <v>1.4999999999999999E-2</v>
      </c>
      <c r="O155" s="28">
        <v>5.0999999999999997E-2</v>
      </c>
      <c r="P155" s="28">
        <v>1.4800000000000001E-2</v>
      </c>
      <c r="Q155" s="39">
        <v>4.96E-3</v>
      </c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</row>
    <row r="156" spans="1:32" ht="27" customHeight="1" x14ac:dyDescent="0.3">
      <c r="A156" s="33" t="s">
        <v>17</v>
      </c>
      <c r="B156" s="43" t="s">
        <v>18</v>
      </c>
      <c r="C156" s="20">
        <v>182.91</v>
      </c>
      <c r="D156" s="28">
        <v>0.44400000000000001</v>
      </c>
      <c r="E156" s="28">
        <v>27.67</v>
      </c>
      <c r="F156" s="28">
        <v>0.56000000000000005</v>
      </c>
      <c r="G156" s="28">
        <v>0.33300000000000002</v>
      </c>
      <c r="H156" s="28">
        <v>1.58</v>
      </c>
      <c r="I156" s="28">
        <v>0.154</v>
      </c>
      <c r="J156" s="28">
        <v>6.0100000000000001E-2</v>
      </c>
      <c r="K156" s="28">
        <v>0.32300000000000001</v>
      </c>
      <c r="L156" s="28">
        <v>3.6200000000000003E-2</v>
      </c>
      <c r="M156" s="28">
        <v>0.25</v>
      </c>
      <c r="N156" s="28">
        <v>2.8799999999999999E-2</v>
      </c>
      <c r="O156" s="28">
        <v>9.7799999999999998E-2</v>
      </c>
      <c r="P156" s="28">
        <v>2.8199999999999999E-2</v>
      </c>
      <c r="Q156" s="39">
        <v>9.9500000000000005E-3</v>
      </c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</row>
    <row r="157" spans="1:32" ht="27" customHeight="1" x14ac:dyDescent="0.3">
      <c r="A157" s="33" t="s">
        <v>17</v>
      </c>
      <c r="B157" s="43" t="s">
        <v>18</v>
      </c>
      <c r="C157" s="20">
        <v>90.48</v>
      </c>
      <c r="D157" s="28">
        <v>0.223</v>
      </c>
      <c r="E157" s="28">
        <v>13.95</v>
      </c>
      <c r="F157" s="28">
        <v>0.28899999999999998</v>
      </c>
      <c r="G157" s="28">
        <v>0.16800000000000001</v>
      </c>
      <c r="H157" s="28">
        <v>0.82</v>
      </c>
      <c r="I157" s="28">
        <v>8.0799999999999997E-2</v>
      </c>
      <c r="J157" s="28">
        <v>2.9600000000000001E-2</v>
      </c>
      <c r="K157" s="28">
        <v>0.16400000000000001</v>
      </c>
      <c r="L157" s="28">
        <v>1.9699999999999999E-2</v>
      </c>
      <c r="M157" s="28">
        <v>0.13</v>
      </c>
      <c r="N157" s="28">
        <v>1.4800000000000001E-2</v>
      </c>
      <c r="O157" s="28">
        <v>4.7500000000000001E-2</v>
      </c>
      <c r="P157" s="28">
        <v>1.41E-2</v>
      </c>
      <c r="Q157" s="39">
        <v>4.5100000000000001E-3</v>
      </c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</row>
    <row r="158" spans="1:32" ht="27" customHeight="1" x14ac:dyDescent="0.3">
      <c r="A158" s="33" t="s">
        <v>17</v>
      </c>
      <c r="B158" s="43" t="s">
        <v>18</v>
      </c>
      <c r="C158" s="20">
        <v>91.84</v>
      </c>
      <c r="D158" s="28">
        <v>0.22700000000000001</v>
      </c>
      <c r="E158" s="28">
        <v>14.2</v>
      </c>
      <c r="F158" s="28">
        <v>0.28699999999999998</v>
      </c>
      <c r="G158" s="28">
        <v>0.17100000000000001</v>
      </c>
      <c r="H158" s="28">
        <v>0.99199999999999999</v>
      </c>
      <c r="I158" s="28">
        <v>8.1600000000000006E-2</v>
      </c>
      <c r="J158" s="28">
        <v>3.1399999999999997E-2</v>
      </c>
      <c r="K158" s="28">
        <v>0.16300000000000001</v>
      </c>
      <c r="L158" s="28">
        <v>1.95E-2</v>
      </c>
      <c r="M158" s="28">
        <v>0.152</v>
      </c>
      <c r="N158" s="28">
        <v>1.5299999999999999E-2</v>
      </c>
      <c r="O158" s="28">
        <v>4.7100000000000003E-2</v>
      </c>
      <c r="P158" s="28">
        <v>1.43E-2</v>
      </c>
      <c r="Q158" s="39">
        <v>5.2300000000000003E-3</v>
      </c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</row>
    <row r="159" spans="1:32" ht="27" customHeight="1" x14ac:dyDescent="0.3">
      <c r="A159" s="33" t="s">
        <v>17</v>
      </c>
      <c r="B159" s="43" t="s">
        <v>18</v>
      </c>
      <c r="C159" s="20">
        <v>77.959999999999994</v>
      </c>
      <c r="D159" s="28">
        <v>0.193</v>
      </c>
      <c r="E159" s="28">
        <v>12.03</v>
      </c>
      <c r="F159" s="28">
        <v>0.253</v>
      </c>
      <c r="G159" s="28">
        <v>0.14599999999999999</v>
      </c>
      <c r="H159" s="28">
        <v>0.78600000000000003</v>
      </c>
      <c r="I159" s="28">
        <v>7.0000000000000007E-2</v>
      </c>
      <c r="J159" s="28">
        <v>2.6100000000000002E-2</v>
      </c>
      <c r="K159" s="28">
        <v>0.14000000000000001</v>
      </c>
      <c r="L159" s="28">
        <v>1.67E-2</v>
      </c>
      <c r="M159" s="28">
        <v>0.124</v>
      </c>
      <c r="N159" s="28">
        <v>1.3100000000000001E-2</v>
      </c>
      <c r="O159" s="28">
        <v>4.0099999999999997E-2</v>
      </c>
      <c r="P159" s="28">
        <v>1.21E-2</v>
      </c>
      <c r="Q159" s="39">
        <v>3.9199999999999999E-3</v>
      </c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</row>
    <row r="160" spans="1:32" ht="27" customHeight="1" x14ac:dyDescent="0.3">
      <c r="A160" s="33" t="s">
        <v>17</v>
      </c>
      <c r="B160" s="43" t="s">
        <v>18</v>
      </c>
      <c r="C160" s="20">
        <v>132.94999999999999</v>
      </c>
      <c r="D160" s="28">
        <v>0.33400000000000002</v>
      </c>
      <c r="E160" s="28">
        <v>20.67</v>
      </c>
      <c r="F160" s="28">
        <v>0.43</v>
      </c>
      <c r="G160" s="28">
        <v>0.26</v>
      </c>
      <c r="H160" s="28">
        <v>1.25</v>
      </c>
      <c r="I160" s="28">
        <v>0.12</v>
      </c>
      <c r="J160" s="28">
        <v>4.6899999999999997E-2</v>
      </c>
      <c r="K160" s="28">
        <v>0.24</v>
      </c>
      <c r="L160" s="28">
        <v>2.9399999999999999E-2</v>
      </c>
      <c r="M160" s="28">
        <v>0.19800000000000001</v>
      </c>
      <c r="N160" s="28">
        <v>2.2200000000000001E-2</v>
      </c>
      <c r="O160" s="28">
        <v>6.8500000000000005E-2</v>
      </c>
      <c r="P160" s="28">
        <v>2.1000000000000001E-2</v>
      </c>
      <c r="Q160" s="39">
        <v>7.3099999999999997E-3</v>
      </c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</row>
    <row r="161" spans="1:32" ht="27" customHeight="1" x14ac:dyDescent="0.3">
      <c r="A161" s="33" t="s">
        <v>17</v>
      </c>
      <c r="B161" s="43" t="s">
        <v>18</v>
      </c>
      <c r="C161" s="20">
        <v>94.81</v>
      </c>
      <c r="D161" s="28">
        <v>0.23599999999999999</v>
      </c>
      <c r="E161" s="28">
        <v>14.56</v>
      </c>
      <c r="F161" s="28">
        <v>0.32200000000000001</v>
      </c>
      <c r="G161" s="28">
        <v>0.18099999999999999</v>
      </c>
      <c r="H161" s="28">
        <v>1</v>
      </c>
      <c r="I161" s="28">
        <v>8.7099999999999997E-2</v>
      </c>
      <c r="J161" s="28">
        <v>3.1399999999999997E-2</v>
      </c>
      <c r="K161" s="28">
        <v>0.17</v>
      </c>
      <c r="L161" s="28">
        <v>2.1000000000000001E-2</v>
      </c>
      <c r="M161" s="28">
        <v>0.156</v>
      </c>
      <c r="N161" s="28">
        <v>1.6199999999999999E-2</v>
      </c>
      <c r="O161" s="28">
        <v>4.7699999999999999E-2</v>
      </c>
      <c r="P161" s="28">
        <v>1.4800000000000001E-2</v>
      </c>
      <c r="Q161" s="39">
        <v>5.1799999999999997E-3</v>
      </c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</row>
    <row r="162" spans="1:32" ht="27" customHeight="1" x14ac:dyDescent="0.3">
      <c r="A162" s="33" t="s">
        <v>17</v>
      </c>
      <c r="B162" s="43" t="s">
        <v>18</v>
      </c>
      <c r="C162" s="20">
        <v>112.44</v>
      </c>
      <c r="D162" s="28">
        <v>0.27900000000000003</v>
      </c>
      <c r="E162" s="28">
        <v>17.32</v>
      </c>
      <c r="F162" s="28">
        <v>0.38400000000000001</v>
      </c>
      <c r="G162" s="28">
        <v>0.21199999999999999</v>
      </c>
      <c r="H162" s="28">
        <v>1.22</v>
      </c>
      <c r="I162" s="28">
        <v>0.104</v>
      </c>
      <c r="J162" s="28">
        <v>3.73E-2</v>
      </c>
      <c r="K162" s="28">
        <v>0.20399999999999999</v>
      </c>
      <c r="L162" s="28">
        <v>2.4799999999999999E-2</v>
      </c>
      <c r="M162" s="28">
        <v>0.184</v>
      </c>
      <c r="N162" s="28">
        <v>1.9400000000000001E-2</v>
      </c>
      <c r="O162" s="28">
        <v>5.7299999999999997E-2</v>
      </c>
      <c r="P162" s="28">
        <v>1.7500000000000002E-2</v>
      </c>
      <c r="Q162" s="39">
        <v>6.1399999999999996E-3</v>
      </c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</row>
    <row r="163" spans="1:32" ht="27" customHeight="1" x14ac:dyDescent="0.3">
      <c r="A163" s="33" t="s">
        <v>17</v>
      </c>
      <c r="B163" s="43" t="s">
        <v>18</v>
      </c>
      <c r="C163" s="20">
        <v>102.72</v>
      </c>
      <c r="D163" s="28">
        <v>0.254</v>
      </c>
      <c r="E163" s="28">
        <v>16.059999999999999</v>
      </c>
      <c r="F163" s="28">
        <v>0.34699999999999998</v>
      </c>
      <c r="G163" s="28">
        <v>0.19500000000000001</v>
      </c>
      <c r="H163" s="28">
        <v>1.05</v>
      </c>
      <c r="I163" s="28">
        <v>9.5399999999999999E-2</v>
      </c>
      <c r="J163" s="28">
        <v>3.6299999999999999E-2</v>
      </c>
      <c r="K163" s="28">
        <v>0.186</v>
      </c>
      <c r="L163" s="28">
        <v>2.2800000000000001E-2</v>
      </c>
      <c r="M163" s="28">
        <v>0.16300000000000001</v>
      </c>
      <c r="N163" s="28">
        <v>1.8100000000000002E-2</v>
      </c>
      <c r="O163" s="28">
        <v>5.2699999999999997E-2</v>
      </c>
      <c r="P163" s="28">
        <v>1.66E-2</v>
      </c>
      <c r="Q163" s="39">
        <v>5.3800000000000002E-3</v>
      </c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</row>
    <row r="164" spans="1:32" ht="27" customHeight="1" x14ac:dyDescent="0.3">
      <c r="A164" s="33" t="s">
        <v>17</v>
      </c>
      <c r="B164" s="43" t="s">
        <v>18</v>
      </c>
      <c r="C164" s="20">
        <v>99.8</v>
      </c>
      <c r="D164" s="28">
        <v>0.247</v>
      </c>
      <c r="E164" s="28">
        <v>15.42</v>
      </c>
      <c r="F164" s="28">
        <v>0.34100000000000003</v>
      </c>
      <c r="G164" s="28">
        <v>0.19</v>
      </c>
      <c r="H164" s="28">
        <v>1.05</v>
      </c>
      <c r="I164" s="28">
        <v>9.3799999999999994E-2</v>
      </c>
      <c r="J164" s="28">
        <v>3.2599999999999997E-2</v>
      </c>
      <c r="K164" s="28">
        <v>0.17799999999999999</v>
      </c>
      <c r="L164" s="28">
        <v>2.3099999999999999E-2</v>
      </c>
      <c r="M164" s="28">
        <v>0.16</v>
      </c>
      <c r="N164" s="28">
        <v>1.72E-2</v>
      </c>
      <c r="O164" s="28">
        <v>5.0599999999999999E-2</v>
      </c>
      <c r="P164" s="28">
        <v>1.6400000000000001E-2</v>
      </c>
      <c r="Q164" s="39">
        <v>4.9300000000000004E-3</v>
      </c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</row>
    <row r="165" spans="1:32" ht="27" customHeight="1" x14ac:dyDescent="0.3">
      <c r="A165" s="34" t="s">
        <v>20</v>
      </c>
      <c r="B165" s="44" t="s">
        <v>18</v>
      </c>
      <c r="C165" s="29">
        <v>91.09</v>
      </c>
      <c r="D165" s="30">
        <v>0.16600000000000001</v>
      </c>
      <c r="E165" s="30">
        <v>15.43</v>
      </c>
      <c r="F165" s="30">
        <v>0.40699999999999997</v>
      </c>
      <c r="G165" s="30">
        <v>0.214</v>
      </c>
      <c r="H165" s="30">
        <v>0.47</v>
      </c>
      <c r="I165" s="30">
        <v>0.111</v>
      </c>
      <c r="J165" s="30">
        <v>2.3900000000000001E-2</v>
      </c>
      <c r="K165" s="30">
        <v>0.16800000000000001</v>
      </c>
      <c r="L165" s="30">
        <v>2.92E-2</v>
      </c>
      <c r="M165" s="30">
        <v>9.6199999999999994E-2</v>
      </c>
      <c r="N165" s="30">
        <v>1.5900000000000001E-2</v>
      </c>
      <c r="O165" s="30">
        <v>6.0699999999999997E-2</v>
      </c>
      <c r="P165" s="30">
        <v>1.43E-2</v>
      </c>
      <c r="Q165" s="40">
        <v>6.4599999999999996E-3</v>
      </c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</row>
    <row r="166" spans="1:32" ht="27" customHeight="1" x14ac:dyDescent="0.3">
      <c r="A166" s="33" t="s">
        <v>20</v>
      </c>
      <c r="B166" s="43" t="s">
        <v>18</v>
      </c>
      <c r="C166" s="20">
        <v>69.72</v>
      </c>
      <c r="D166" s="28">
        <v>0.125</v>
      </c>
      <c r="E166" s="28">
        <v>12.17</v>
      </c>
      <c r="F166" s="28">
        <v>0.376</v>
      </c>
      <c r="G166" s="28">
        <v>0.183</v>
      </c>
      <c r="H166" s="28">
        <v>0.60499999999999998</v>
      </c>
      <c r="I166" s="28">
        <v>9.9099999999999994E-2</v>
      </c>
      <c r="J166" s="28">
        <v>2.06E-2</v>
      </c>
      <c r="K166" s="28">
        <v>0.125</v>
      </c>
      <c r="L166" s="28">
        <v>2.46E-2</v>
      </c>
      <c r="M166" s="28">
        <v>0.108</v>
      </c>
      <c r="N166" s="28">
        <v>1.5800000000000002E-2</v>
      </c>
      <c r="O166" s="28">
        <v>4.1399999999999999E-2</v>
      </c>
      <c r="P166" s="28">
        <v>1.24E-2</v>
      </c>
      <c r="Q166" s="39">
        <v>5.0699999999999999E-3</v>
      </c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</row>
    <row r="167" spans="1:32" ht="27" customHeight="1" x14ac:dyDescent="0.3">
      <c r="A167" s="33" t="s">
        <v>20</v>
      </c>
      <c r="B167" s="43" t="s">
        <v>18</v>
      </c>
      <c r="C167" s="20">
        <v>72.89</v>
      </c>
      <c r="D167" s="28">
        <v>0.13100000000000001</v>
      </c>
      <c r="E167" s="28">
        <v>12.74</v>
      </c>
      <c r="F167" s="28">
        <v>0.38800000000000001</v>
      </c>
      <c r="G167" s="28">
        <v>0.187</v>
      </c>
      <c r="H167" s="28">
        <v>0.66800000000000004</v>
      </c>
      <c r="I167" s="28">
        <v>0.104</v>
      </c>
      <c r="J167" s="28">
        <v>2.3900000000000001E-2</v>
      </c>
      <c r="K167" s="28">
        <v>0.13400000000000001</v>
      </c>
      <c r="L167" s="28">
        <v>2.5600000000000001E-2</v>
      </c>
      <c r="M167" s="28">
        <v>0.127</v>
      </c>
      <c r="N167" s="28">
        <v>1.6500000000000001E-2</v>
      </c>
      <c r="O167" s="28">
        <v>4.4200000000000003E-2</v>
      </c>
      <c r="P167" s="28">
        <v>1.3100000000000001E-2</v>
      </c>
      <c r="Q167" s="39">
        <v>5.3E-3</v>
      </c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</row>
    <row r="168" spans="1:32" ht="27" customHeight="1" x14ac:dyDescent="0.3">
      <c r="A168" s="33" t="s">
        <v>20</v>
      </c>
      <c r="B168" s="43" t="s">
        <v>18</v>
      </c>
      <c r="C168" s="20">
        <v>73.17</v>
      </c>
      <c r="D168" s="28">
        <v>0.13</v>
      </c>
      <c r="E168" s="28">
        <v>12.72</v>
      </c>
      <c r="F168" s="28">
        <v>0.38800000000000001</v>
      </c>
      <c r="G168" s="28">
        <v>0.186</v>
      </c>
      <c r="H168" s="28">
        <v>0.66900000000000004</v>
      </c>
      <c r="I168" s="28">
        <v>0.10299999999999999</v>
      </c>
      <c r="J168" s="28">
        <v>2.5000000000000001E-2</v>
      </c>
      <c r="K168" s="28">
        <v>0.13500000000000001</v>
      </c>
      <c r="L168" s="28">
        <v>2.4400000000000002E-2</v>
      </c>
      <c r="M168" s="28">
        <v>0.124</v>
      </c>
      <c r="N168" s="28">
        <v>1.6400000000000001E-2</v>
      </c>
      <c r="O168" s="28">
        <v>4.4699999999999997E-2</v>
      </c>
      <c r="P168" s="28">
        <v>1.3299999999999999E-2</v>
      </c>
      <c r="Q168" s="39">
        <v>5.4299999999999999E-3</v>
      </c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</row>
    <row r="169" spans="1:32" ht="27" customHeight="1" x14ac:dyDescent="0.3">
      <c r="A169" s="33" t="s">
        <v>20</v>
      </c>
      <c r="B169" s="43" t="s">
        <v>18</v>
      </c>
      <c r="C169" s="20">
        <v>63.28</v>
      </c>
      <c r="D169" s="28">
        <v>0.112</v>
      </c>
      <c r="E169" s="28">
        <v>10.73</v>
      </c>
      <c r="F169" s="28">
        <v>0.33700000000000002</v>
      </c>
      <c r="G169" s="28">
        <v>0.159</v>
      </c>
      <c r="H169" s="28">
        <v>0.58699999999999997</v>
      </c>
      <c r="I169" s="28">
        <v>8.7099999999999997E-2</v>
      </c>
      <c r="J169" s="28">
        <v>2.1100000000000001E-2</v>
      </c>
      <c r="K169" s="28">
        <v>0.11799999999999999</v>
      </c>
      <c r="L169" s="28">
        <v>2.1600000000000001E-2</v>
      </c>
      <c r="M169" s="28">
        <v>0.108</v>
      </c>
      <c r="N169" s="28">
        <v>1.44E-2</v>
      </c>
      <c r="O169" s="28">
        <v>3.8300000000000001E-2</v>
      </c>
      <c r="P169" s="28">
        <v>1.1599999999999999E-2</v>
      </c>
      <c r="Q169" s="39">
        <v>4.5500000000000002E-3</v>
      </c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</row>
    <row r="170" spans="1:32" ht="27" customHeight="1" x14ac:dyDescent="0.3">
      <c r="A170" s="33" t="s">
        <v>20</v>
      </c>
      <c r="B170" s="43" t="s">
        <v>18</v>
      </c>
      <c r="C170" s="20">
        <v>76.44</v>
      </c>
      <c r="D170" s="28">
        <v>0.13600000000000001</v>
      </c>
      <c r="E170" s="28">
        <v>13.45</v>
      </c>
      <c r="F170" s="28">
        <v>0.43</v>
      </c>
      <c r="G170" s="28">
        <v>0.20899999999999999</v>
      </c>
      <c r="H170" s="28">
        <v>0.74</v>
      </c>
      <c r="I170" s="28">
        <v>0.115</v>
      </c>
      <c r="J170" s="28">
        <v>2.69E-2</v>
      </c>
      <c r="K170" s="28">
        <v>0.14399999999999999</v>
      </c>
      <c r="L170" s="28">
        <v>2.8000000000000001E-2</v>
      </c>
      <c r="M170" s="28">
        <v>0.14000000000000001</v>
      </c>
      <c r="N170" s="28">
        <v>1.8800000000000001E-2</v>
      </c>
      <c r="O170" s="28">
        <v>4.7199999999999999E-2</v>
      </c>
      <c r="P170" s="28">
        <v>1.67E-2</v>
      </c>
      <c r="Q170" s="39">
        <v>5.3800000000000002E-3</v>
      </c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</row>
    <row r="171" spans="1:32" ht="27" customHeight="1" x14ac:dyDescent="0.3">
      <c r="A171" s="33" t="s">
        <v>20</v>
      </c>
      <c r="B171" s="43" t="s">
        <v>18</v>
      </c>
      <c r="C171" s="20">
        <v>83.72</v>
      </c>
      <c r="D171" s="28">
        <v>0.14899999999999999</v>
      </c>
      <c r="E171" s="28">
        <v>14.74</v>
      </c>
      <c r="F171" s="28">
        <v>0.47299999999999998</v>
      </c>
      <c r="G171" s="28">
        <v>0.22700000000000001</v>
      </c>
      <c r="H171" s="28">
        <v>0.82</v>
      </c>
      <c r="I171" s="28">
        <v>0.128</v>
      </c>
      <c r="J171" s="28">
        <v>3.0700000000000002E-2</v>
      </c>
      <c r="K171" s="28">
        <v>0.157</v>
      </c>
      <c r="L171" s="28">
        <v>3.0599999999999999E-2</v>
      </c>
      <c r="M171" s="28">
        <v>0.15</v>
      </c>
      <c r="N171" s="28">
        <v>2.1000000000000001E-2</v>
      </c>
      <c r="O171" s="28">
        <v>5.0999999999999997E-2</v>
      </c>
      <c r="P171" s="28">
        <v>1.7500000000000002E-2</v>
      </c>
      <c r="Q171" s="39">
        <v>6.0600000000000003E-3</v>
      </c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</row>
    <row r="172" spans="1:32" ht="27" customHeight="1" x14ac:dyDescent="0.3">
      <c r="A172" s="33" t="s">
        <v>20</v>
      </c>
      <c r="B172" s="43" t="s">
        <v>18</v>
      </c>
      <c r="C172" s="20">
        <v>76.2</v>
      </c>
      <c r="D172" s="28">
        <v>0.13300000000000001</v>
      </c>
      <c r="E172" s="28">
        <v>13.32</v>
      </c>
      <c r="F172" s="28">
        <v>0.434</v>
      </c>
      <c r="G172" s="28">
        <v>0.20499999999999999</v>
      </c>
      <c r="H172" s="28">
        <v>0.749</v>
      </c>
      <c r="I172" s="28">
        <v>0.11600000000000001</v>
      </c>
      <c r="J172" s="28">
        <v>2.7E-2</v>
      </c>
      <c r="K172" s="28">
        <v>0.14399999999999999</v>
      </c>
      <c r="L172" s="28">
        <v>2.69E-2</v>
      </c>
      <c r="M172" s="28">
        <v>0.14599999999999999</v>
      </c>
      <c r="N172" s="28">
        <v>1.89E-2</v>
      </c>
      <c r="O172" s="28">
        <v>4.6300000000000001E-2</v>
      </c>
      <c r="P172" s="28">
        <v>1.5699999999999999E-2</v>
      </c>
      <c r="Q172" s="39">
        <v>6.0000000000000001E-3</v>
      </c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</row>
    <row r="173" spans="1:32" ht="27" customHeight="1" x14ac:dyDescent="0.3">
      <c r="A173" s="33" t="s">
        <v>20</v>
      </c>
      <c r="B173" s="43" t="s">
        <v>18</v>
      </c>
      <c r="C173" s="20">
        <v>81.38</v>
      </c>
      <c r="D173" s="28">
        <v>0.152</v>
      </c>
      <c r="E173" s="28">
        <v>14.97</v>
      </c>
      <c r="F173" s="28">
        <v>0.48</v>
      </c>
      <c r="G173" s="28">
        <v>0.22900000000000001</v>
      </c>
      <c r="H173" s="28">
        <v>0.85299999999999998</v>
      </c>
      <c r="I173" s="28">
        <v>0.127</v>
      </c>
      <c r="J173" s="28">
        <v>2.9600000000000001E-2</v>
      </c>
      <c r="K173" s="28">
        <v>0.159</v>
      </c>
      <c r="L173" s="28">
        <v>3.1300000000000001E-2</v>
      </c>
      <c r="M173" s="28">
        <v>0.157</v>
      </c>
      <c r="N173" s="28">
        <v>2.1100000000000001E-2</v>
      </c>
      <c r="O173" s="28">
        <v>5.1900000000000002E-2</v>
      </c>
      <c r="P173" s="28">
        <v>1.77E-2</v>
      </c>
      <c r="Q173" s="39">
        <v>6.3499999999999997E-3</v>
      </c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</row>
    <row r="174" spans="1:32" ht="27" customHeight="1" x14ac:dyDescent="0.3">
      <c r="A174" s="33" t="s">
        <v>20</v>
      </c>
      <c r="B174" s="43" t="s">
        <v>18</v>
      </c>
      <c r="C174" s="20">
        <v>86.18</v>
      </c>
      <c r="D174" s="28">
        <v>8.2000000000000003E-2</v>
      </c>
      <c r="E174" s="28">
        <v>13.79</v>
      </c>
      <c r="F174" s="28">
        <v>4.91</v>
      </c>
      <c r="G174" s="28">
        <v>2.2599999999999998</v>
      </c>
      <c r="H174" s="28">
        <v>0.85399999999999998</v>
      </c>
      <c r="I174" s="28">
        <v>0.42</v>
      </c>
      <c r="J174" s="28">
        <v>0.38</v>
      </c>
      <c r="K174" s="28">
        <v>0.36</v>
      </c>
      <c r="L174" s="28">
        <v>0.3</v>
      </c>
      <c r="M174" s="28">
        <v>0.159</v>
      </c>
      <c r="N174" s="28">
        <v>0.03</v>
      </c>
      <c r="O174" s="28">
        <v>9.6000000000000002E-2</v>
      </c>
      <c r="P174" s="28">
        <v>0.45</v>
      </c>
      <c r="Q174" s="39">
        <v>2.2599999999999998</v>
      </c>
    </row>
    <row r="175" spans="1:32" ht="27" customHeight="1" x14ac:dyDescent="0.3">
      <c r="A175" s="33" t="s">
        <v>20</v>
      </c>
      <c r="B175" s="43" t="s">
        <v>18</v>
      </c>
      <c r="C175" s="20">
        <v>79.91</v>
      </c>
      <c r="D175" s="28">
        <v>0.13700000000000001</v>
      </c>
      <c r="E175" s="28">
        <v>13.87</v>
      </c>
      <c r="F175" s="28">
        <v>0.44600000000000001</v>
      </c>
      <c r="G175" s="28">
        <v>0.218</v>
      </c>
      <c r="H175" s="28">
        <v>0.79700000000000004</v>
      </c>
      <c r="I175" s="28">
        <v>0.123</v>
      </c>
      <c r="J175" s="28">
        <v>2.9499999999999998E-2</v>
      </c>
      <c r="K175" s="28">
        <v>0.14699999999999999</v>
      </c>
      <c r="L175" s="28">
        <v>2.8299999999999999E-2</v>
      </c>
      <c r="M175" s="28">
        <v>0.151</v>
      </c>
      <c r="N175" s="28">
        <v>1.95E-2</v>
      </c>
      <c r="O175" s="28">
        <v>4.87E-2</v>
      </c>
      <c r="P175" s="28">
        <v>1.6199999999999999E-2</v>
      </c>
      <c r="Q175" s="39">
        <v>6.0000000000000001E-3</v>
      </c>
    </row>
    <row r="176" spans="1:32" ht="27" customHeight="1" x14ac:dyDescent="0.3">
      <c r="A176" s="33" t="s">
        <v>20</v>
      </c>
      <c r="B176" s="43" t="s">
        <v>18</v>
      </c>
      <c r="C176" s="20">
        <v>72.56</v>
      </c>
      <c r="D176" s="28">
        <v>0.125</v>
      </c>
      <c r="E176" s="28">
        <v>12.55</v>
      </c>
      <c r="F176" s="28">
        <v>0.40400000000000003</v>
      </c>
      <c r="G176" s="28">
        <v>0.19600000000000001</v>
      </c>
      <c r="H176" s="28">
        <v>0.73699999999999999</v>
      </c>
      <c r="I176" s="28">
        <v>0.11</v>
      </c>
      <c r="J176" s="28">
        <v>2.4199999999999999E-2</v>
      </c>
      <c r="K176" s="28">
        <v>0.13300000000000001</v>
      </c>
      <c r="L176" s="28">
        <v>2.5499999999999998E-2</v>
      </c>
      <c r="M176" s="28">
        <v>0.14199999999999999</v>
      </c>
      <c r="N176" s="28">
        <v>1.84E-2</v>
      </c>
      <c r="O176" s="28">
        <v>4.2700000000000002E-2</v>
      </c>
      <c r="P176" s="28">
        <v>1.4999999999999999E-2</v>
      </c>
      <c r="Q176" s="39">
        <v>5.7299999999999999E-3</v>
      </c>
    </row>
    <row r="177" spans="1:17" ht="27" customHeight="1" x14ac:dyDescent="0.3">
      <c r="A177" s="33" t="s">
        <v>20</v>
      </c>
      <c r="B177" s="43" t="s">
        <v>18</v>
      </c>
      <c r="C177" s="20">
        <v>72.42</v>
      </c>
      <c r="D177" s="28">
        <v>0.10199999999999999</v>
      </c>
      <c r="E177" s="28">
        <v>12.45</v>
      </c>
      <c r="F177" s="28">
        <v>5.28</v>
      </c>
      <c r="G177" s="28">
        <v>4.47</v>
      </c>
      <c r="H177" s="28">
        <v>0.72699999999999998</v>
      </c>
      <c r="I177" s="28">
        <v>0.39</v>
      </c>
      <c r="J177" s="28">
        <v>0.35</v>
      </c>
      <c r="K177" s="28">
        <v>0.86</v>
      </c>
      <c r="L177" s="28">
        <v>0.64</v>
      </c>
      <c r="M177" s="28">
        <v>0.14799999999999999</v>
      </c>
      <c r="N177" s="28">
        <v>3.5000000000000003E-2</v>
      </c>
      <c r="O177" s="28">
        <v>0.15</v>
      </c>
      <c r="P177" s="28">
        <v>0.91</v>
      </c>
      <c r="Q177" s="39">
        <v>6.47</v>
      </c>
    </row>
    <row r="178" spans="1:17" ht="27" customHeight="1" x14ac:dyDescent="0.3">
      <c r="A178" s="33" t="s">
        <v>20</v>
      </c>
      <c r="B178" s="43" t="s">
        <v>18</v>
      </c>
      <c r="C178" s="20">
        <v>81.67</v>
      </c>
      <c r="D178" s="28">
        <v>0.14099999999999999</v>
      </c>
      <c r="E178" s="28">
        <v>14.47</v>
      </c>
      <c r="F178" s="28">
        <v>0.44900000000000001</v>
      </c>
      <c r="G178" s="28">
        <v>0.221</v>
      </c>
      <c r="H178" s="28">
        <v>0.82899999999999996</v>
      </c>
      <c r="I178" s="28">
        <v>0.125</v>
      </c>
      <c r="J178" s="28">
        <v>2.9499999999999998E-2</v>
      </c>
      <c r="K178" s="28">
        <v>0.151</v>
      </c>
      <c r="L178" s="28">
        <v>2.9899999999999999E-2</v>
      </c>
      <c r="M178" s="28">
        <v>0.16300000000000001</v>
      </c>
      <c r="N178" s="28">
        <v>2.0199999999999999E-2</v>
      </c>
      <c r="O178" s="28">
        <v>4.99E-2</v>
      </c>
      <c r="P178" s="28">
        <v>1.7100000000000001E-2</v>
      </c>
      <c r="Q178" s="39">
        <v>6.11E-3</v>
      </c>
    </row>
    <row r="179" spans="1:17" ht="27" customHeight="1" x14ac:dyDescent="0.3">
      <c r="A179" s="34" t="s">
        <v>21</v>
      </c>
      <c r="B179" s="44" t="s">
        <v>18</v>
      </c>
      <c r="C179" s="29">
        <v>84.36</v>
      </c>
      <c r="D179" s="30">
        <v>0.192</v>
      </c>
      <c r="E179" s="30">
        <v>14.08</v>
      </c>
      <c r="F179" s="30">
        <v>0.23699999999999999</v>
      </c>
      <c r="G179" s="30">
        <v>0.14699999999999999</v>
      </c>
      <c r="H179" s="30">
        <v>0.79</v>
      </c>
      <c r="I179" s="30">
        <v>8.1199999999999994E-2</v>
      </c>
      <c r="J179" s="30">
        <v>3.3399999999999999E-2</v>
      </c>
      <c r="K179" s="30">
        <v>0.16800000000000001</v>
      </c>
      <c r="L179" s="30">
        <v>1.7399999999999999E-2</v>
      </c>
      <c r="M179" s="30">
        <v>0.14199999999999999</v>
      </c>
      <c r="N179" s="30">
        <v>1.2200000000000001E-2</v>
      </c>
      <c r="O179" s="30">
        <v>4.3900000000000002E-2</v>
      </c>
      <c r="P179" s="30">
        <v>1.2E-2</v>
      </c>
      <c r="Q179" s="40">
        <v>6.5100000000000002E-3</v>
      </c>
    </row>
    <row r="180" spans="1:17" ht="27" customHeight="1" x14ac:dyDescent="0.3">
      <c r="A180" s="33" t="s">
        <v>21</v>
      </c>
      <c r="B180" s="43" t="s">
        <v>18</v>
      </c>
      <c r="C180" s="20">
        <v>69.7</v>
      </c>
      <c r="D180" s="28">
        <v>0.159</v>
      </c>
      <c r="E180" s="28">
        <v>11.47</v>
      </c>
      <c r="F180" s="28">
        <v>0.19700000000000001</v>
      </c>
      <c r="G180" s="28">
        <v>0.122</v>
      </c>
      <c r="H180" s="28">
        <v>0.66500000000000004</v>
      </c>
      <c r="I180" s="28">
        <v>6.59E-2</v>
      </c>
      <c r="J180" s="28">
        <v>2.63E-2</v>
      </c>
      <c r="K180" s="28">
        <v>0.13900000000000001</v>
      </c>
      <c r="L180" s="28">
        <v>1.41E-2</v>
      </c>
      <c r="M180" s="28">
        <v>0.11600000000000001</v>
      </c>
      <c r="N180" s="28">
        <v>0.01</v>
      </c>
      <c r="O180" s="28">
        <v>3.6499999999999998E-2</v>
      </c>
      <c r="P180" s="28">
        <v>1.0200000000000001E-2</v>
      </c>
      <c r="Q180" s="39">
        <v>3.7100000000000002E-3</v>
      </c>
    </row>
    <row r="181" spans="1:17" ht="27" customHeight="1" x14ac:dyDescent="0.3">
      <c r="A181" s="33" t="s">
        <v>21</v>
      </c>
      <c r="B181" s="43" t="s">
        <v>18</v>
      </c>
      <c r="C181" s="20">
        <v>57.6</v>
      </c>
      <c r="D181" s="28">
        <v>0.13200000000000001</v>
      </c>
      <c r="E181" s="28">
        <v>9.4600000000000009</v>
      </c>
      <c r="F181" s="28">
        <v>0.16500000000000001</v>
      </c>
      <c r="G181" s="28">
        <v>0.10199999999999999</v>
      </c>
      <c r="H181" s="28">
        <v>0.55500000000000005</v>
      </c>
      <c r="I181" s="28">
        <v>5.4199999999999998E-2</v>
      </c>
      <c r="J181" s="28">
        <v>2.1700000000000001E-2</v>
      </c>
      <c r="K181" s="28">
        <v>0.11600000000000001</v>
      </c>
      <c r="L181" s="28">
        <v>1.12E-2</v>
      </c>
      <c r="M181" s="28">
        <v>9.9699999999999997E-2</v>
      </c>
      <c r="N181" s="28">
        <v>8.5000000000000006E-3</v>
      </c>
      <c r="O181" s="28">
        <v>2.9499999999999998E-2</v>
      </c>
      <c r="P181" s="28">
        <v>8.5900000000000004E-3</v>
      </c>
      <c r="Q181" s="39">
        <v>2.7599999999999999E-3</v>
      </c>
    </row>
    <row r="182" spans="1:17" ht="27" customHeight="1" x14ac:dyDescent="0.3">
      <c r="A182" s="33" t="s">
        <v>21</v>
      </c>
      <c r="B182" s="43" t="s">
        <v>18</v>
      </c>
      <c r="C182" s="20">
        <v>81.02</v>
      </c>
      <c r="D182" s="28">
        <v>0.185</v>
      </c>
      <c r="E182" s="28">
        <v>13.28</v>
      </c>
      <c r="F182" s="28">
        <v>0.23100000000000001</v>
      </c>
      <c r="G182" s="28">
        <v>0.14399999999999999</v>
      </c>
      <c r="H182" s="28">
        <v>0.83699999999999997</v>
      </c>
      <c r="I182" s="28">
        <v>7.7700000000000005E-2</v>
      </c>
      <c r="J182" s="28">
        <v>3.0800000000000001E-2</v>
      </c>
      <c r="K182" s="28">
        <v>0.16200000000000001</v>
      </c>
      <c r="L182" s="28">
        <v>1.72E-2</v>
      </c>
      <c r="M182" s="28">
        <v>0.13500000000000001</v>
      </c>
      <c r="N182" s="28">
        <v>1.1900000000000001E-2</v>
      </c>
      <c r="O182" s="28">
        <v>4.2000000000000003E-2</v>
      </c>
      <c r="P182" s="28">
        <v>1.14E-2</v>
      </c>
      <c r="Q182" s="39">
        <v>3.8999999999999998E-3</v>
      </c>
    </row>
    <row r="183" spans="1:17" ht="27" customHeight="1" x14ac:dyDescent="0.3">
      <c r="A183" s="33" t="s">
        <v>21</v>
      </c>
      <c r="B183" s="43" t="s">
        <v>18</v>
      </c>
      <c r="C183" s="20">
        <v>72.510000000000005</v>
      </c>
      <c r="D183" s="28">
        <v>0.16400000000000001</v>
      </c>
      <c r="E183" s="28">
        <v>11.87</v>
      </c>
      <c r="F183" s="28">
        <v>0.20799999999999999</v>
      </c>
      <c r="G183" s="28">
        <v>0.127</v>
      </c>
      <c r="H183" s="28">
        <v>0.76800000000000002</v>
      </c>
      <c r="I183" s="28">
        <v>6.9800000000000001E-2</v>
      </c>
      <c r="J183" s="28">
        <v>2.7300000000000001E-2</v>
      </c>
      <c r="K183" s="28">
        <v>0.14399999999999999</v>
      </c>
      <c r="L183" s="28">
        <v>1.43E-2</v>
      </c>
      <c r="M183" s="28">
        <v>0.127</v>
      </c>
      <c r="N183" s="28">
        <v>1.0999999999999999E-2</v>
      </c>
      <c r="O183" s="28">
        <v>3.7999999999999999E-2</v>
      </c>
      <c r="P183" s="28">
        <v>1.0699999999999999E-2</v>
      </c>
      <c r="Q183" s="39">
        <v>3.63E-3</v>
      </c>
    </row>
    <row r="184" spans="1:17" ht="27" customHeight="1" x14ac:dyDescent="0.3">
      <c r="A184" s="33" t="s">
        <v>21</v>
      </c>
      <c r="B184" s="43" t="s">
        <v>18</v>
      </c>
      <c r="C184" s="20">
        <v>63.56</v>
      </c>
      <c r="D184" s="28">
        <v>0.14299999999999999</v>
      </c>
      <c r="E184" s="28">
        <v>10.34</v>
      </c>
      <c r="F184" s="28">
        <v>0.17799999999999999</v>
      </c>
      <c r="G184" s="28">
        <v>0.113</v>
      </c>
      <c r="H184" s="28">
        <v>0.623</v>
      </c>
      <c r="I184" s="28">
        <v>6.1199999999999997E-2</v>
      </c>
      <c r="J184" s="28">
        <v>2.41E-2</v>
      </c>
      <c r="K184" s="28">
        <v>0.127</v>
      </c>
      <c r="L184" s="28">
        <v>1.3299999999999999E-2</v>
      </c>
      <c r="M184" s="28">
        <v>0.105</v>
      </c>
      <c r="N184" s="28">
        <v>9.6699999999999998E-3</v>
      </c>
      <c r="O184" s="28">
        <v>3.3599999999999998E-2</v>
      </c>
      <c r="P184" s="28">
        <v>9.4500000000000001E-3</v>
      </c>
      <c r="Q184" s="39">
        <v>4.3E-3</v>
      </c>
    </row>
    <row r="185" spans="1:17" ht="27" customHeight="1" x14ac:dyDescent="0.3">
      <c r="A185" s="33" t="s">
        <v>21</v>
      </c>
      <c r="B185" s="43" t="s">
        <v>18</v>
      </c>
      <c r="C185" s="20">
        <v>82.09</v>
      </c>
      <c r="D185" s="28">
        <v>0.187</v>
      </c>
      <c r="E185" s="28">
        <v>13.29</v>
      </c>
      <c r="F185" s="28">
        <v>0.23300000000000001</v>
      </c>
      <c r="G185" s="28">
        <v>0.14399999999999999</v>
      </c>
      <c r="H185" s="28">
        <v>0.81200000000000006</v>
      </c>
      <c r="I185" s="28">
        <v>7.8100000000000003E-2</v>
      </c>
      <c r="J185" s="28">
        <v>3.2000000000000001E-2</v>
      </c>
      <c r="K185" s="28">
        <v>0.16400000000000001</v>
      </c>
      <c r="L185" s="28">
        <v>1.6400000000000001E-2</v>
      </c>
      <c r="M185" s="28">
        <v>0.13800000000000001</v>
      </c>
      <c r="N185" s="28">
        <v>1.23E-2</v>
      </c>
      <c r="O185" s="28">
        <v>4.2999999999999997E-2</v>
      </c>
      <c r="P185" s="28">
        <v>1.2E-2</v>
      </c>
      <c r="Q185" s="39">
        <v>1.26E-2</v>
      </c>
    </row>
    <row r="186" spans="1:17" ht="27" customHeight="1" x14ac:dyDescent="0.3">
      <c r="A186" s="33" t="s">
        <v>21</v>
      </c>
      <c r="B186" s="43" t="s">
        <v>18</v>
      </c>
      <c r="C186" s="20">
        <v>64.819999999999993</v>
      </c>
      <c r="D186" s="28">
        <v>0.14699999999999999</v>
      </c>
      <c r="E186" s="28">
        <v>10.41</v>
      </c>
      <c r="F186" s="28">
        <v>0.182</v>
      </c>
      <c r="G186" s="28">
        <v>0.114</v>
      </c>
      <c r="H186" s="28">
        <v>0.63500000000000001</v>
      </c>
      <c r="I186" s="28">
        <v>6.0900000000000003E-2</v>
      </c>
      <c r="J186" s="28">
        <v>2.3599999999999999E-2</v>
      </c>
      <c r="K186" s="28">
        <v>0.127</v>
      </c>
      <c r="L186" s="28">
        <v>1.2800000000000001E-2</v>
      </c>
      <c r="M186" s="28">
        <v>0.11</v>
      </c>
      <c r="N186" s="28">
        <v>9.7900000000000001E-3</v>
      </c>
      <c r="O186" s="28">
        <v>3.4700000000000002E-2</v>
      </c>
      <c r="P186" s="28">
        <v>9.2800000000000001E-3</v>
      </c>
      <c r="Q186" s="39">
        <v>8.8400000000000006E-3</v>
      </c>
    </row>
    <row r="187" spans="1:17" ht="27" customHeight="1" x14ac:dyDescent="0.3">
      <c r="A187" s="33" t="s">
        <v>21</v>
      </c>
      <c r="B187" s="43" t="s">
        <v>18</v>
      </c>
      <c r="C187" s="20">
        <v>92</v>
      </c>
      <c r="D187" s="28">
        <v>0.21</v>
      </c>
      <c r="E187" s="28">
        <v>14.77</v>
      </c>
      <c r="F187" s="28">
        <v>0.25700000000000001</v>
      </c>
      <c r="G187" s="28">
        <v>0.16200000000000001</v>
      </c>
      <c r="H187" s="28">
        <v>0.92200000000000004</v>
      </c>
      <c r="I187" s="28">
        <v>8.8599999999999998E-2</v>
      </c>
      <c r="J187" s="28">
        <v>3.7499999999999999E-2</v>
      </c>
      <c r="K187" s="28">
        <v>0.18099999999999999</v>
      </c>
      <c r="L187" s="28">
        <v>1.9199999999999998E-2</v>
      </c>
      <c r="M187" s="28">
        <v>0.16400000000000001</v>
      </c>
      <c r="N187" s="28">
        <v>1.38E-2</v>
      </c>
      <c r="O187" s="28">
        <v>4.9200000000000001E-2</v>
      </c>
      <c r="P187" s="28">
        <v>1.32E-2</v>
      </c>
      <c r="Q187" s="39">
        <v>1.0200000000000001E-2</v>
      </c>
    </row>
    <row r="188" spans="1:17" ht="27" customHeight="1" x14ac:dyDescent="0.3">
      <c r="A188" s="33" t="s">
        <v>21</v>
      </c>
      <c r="B188" s="43" t="s">
        <v>18</v>
      </c>
      <c r="C188" s="20">
        <v>72.09</v>
      </c>
      <c r="D188" s="28">
        <v>0.16600000000000001</v>
      </c>
      <c r="E188" s="28">
        <v>11.53</v>
      </c>
      <c r="F188" s="28">
        <v>0.21099999999999999</v>
      </c>
      <c r="G188" s="28">
        <v>0.129</v>
      </c>
      <c r="H188" s="28">
        <v>0.74099999999999999</v>
      </c>
      <c r="I188" s="28">
        <v>7.0199999999999999E-2</v>
      </c>
      <c r="J188" s="28">
        <v>2.8299999999999999E-2</v>
      </c>
      <c r="K188" s="28">
        <v>0.14599999999999999</v>
      </c>
      <c r="L188" s="28">
        <v>1.5900000000000001E-2</v>
      </c>
      <c r="M188" s="28">
        <v>0.13100000000000001</v>
      </c>
      <c r="N188" s="28">
        <v>1.1599999999999999E-2</v>
      </c>
      <c r="O188" s="28">
        <v>3.85E-2</v>
      </c>
      <c r="P188" s="28">
        <v>1.06E-2</v>
      </c>
      <c r="Q188" s="39">
        <v>6.5500000000000003E-3</v>
      </c>
    </row>
    <row r="189" spans="1:17" ht="27" customHeight="1" x14ac:dyDescent="0.3">
      <c r="A189" s="33" t="s">
        <v>21</v>
      </c>
      <c r="B189" s="43" t="s">
        <v>18</v>
      </c>
      <c r="C189" s="20">
        <v>51.01</v>
      </c>
      <c r="D189" s="28">
        <v>0.11600000000000001</v>
      </c>
      <c r="E189" s="28">
        <v>8.1</v>
      </c>
      <c r="F189" s="28">
        <v>0.152</v>
      </c>
      <c r="G189" s="28">
        <v>9.0800000000000006E-2</v>
      </c>
      <c r="H189" s="28">
        <v>0.53800000000000003</v>
      </c>
      <c r="I189" s="28">
        <v>5.0099999999999999E-2</v>
      </c>
      <c r="J189" s="28">
        <v>1.95E-2</v>
      </c>
      <c r="K189" s="28">
        <v>0.10100000000000001</v>
      </c>
      <c r="L189" s="28">
        <v>1.0699999999999999E-2</v>
      </c>
      <c r="M189" s="28">
        <v>9.35E-2</v>
      </c>
      <c r="N189" s="28">
        <v>7.9399999999999991E-3</v>
      </c>
      <c r="O189" s="28">
        <v>2.7E-2</v>
      </c>
      <c r="P189" s="28">
        <v>7.6499999999999997E-3</v>
      </c>
      <c r="Q189" s="39">
        <v>4.2599999999999999E-3</v>
      </c>
    </row>
    <row r="190" spans="1:17" ht="27" customHeight="1" x14ac:dyDescent="0.3">
      <c r="A190" s="33" t="s">
        <v>21</v>
      </c>
      <c r="B190" s="43" t="s">
        <v>18</v>
      </c>
      <c r="C190" s="20">
        <v>62.82</v>
      </c>
      <c r="D190" s="28">
        <v>0.14499999999999999</v>
      </c>
      <c r="E190" s="28">
        <v>9.93</v>
      </c>
      <c r="F190" s="28">
        <v>0.188</v>
      </c>
      <c r="G190" s="28">
        <v>0.113</v>
      </c>
      <c r="H190" s="28">
        <v>0.65900000000000003</v>
      </c>
      <c r="I190" s="28">
        <v>6.0900000000000003E-2</v>
      </c>
      <c r="J190" s="28">
        <v>2.53E-2</v>
      </c>
      <c r="K190" s="28">
        <v>0.127</v>
      </c>
      <c r="L190" s="28">
        <v>1.2999999999999999E-2</v>
      </c>
      <c r="M190" s="28">
        <v>0.113</v>
      </c>
      <c r="N190" s="28">
        <v>0.01</v>
      </c>
      <c r="O190" s="28">
        <v>3.3300000000000003E-2</v>
      </c>
      <c r="P190" s="28">
        <v>9.0299999999999998E-3</v>
      </c>
      <c r="Q190" s="39">
        <v>5.0499999999999998E-3</v>
      </c>
    </row>
    <row r="191" spans="1:17" ht="27" customHeight="1" x14ac:dyDescent="0.3">
      <c r="A191" s="34" t="s">
        <v>17</v>
      </c>
      <c r="B191" s="44" t="s">
        <v>22</v>
      </c>
      <c r="C191" s="29">
        <v>100.26</v>
      </c>
      <c r="D191" s="30">
        <v>0.218</v>
      </c>
      <c r="E191" s="30">
        <v>14.07</v>
      </c>
      <c r="F191" s="30">
        <v>0.27500000000000002</v>
      </c>
      <c r="G191" s="30">
        <v>0.17100000000000001</v>
      </c>
      <c r="H191" s="30">
        <v>0.46100000000000002</v>
      </c>
      <c r="I191" s="30">
        <v>7.6899999999999996E-2</v>
      </c>
      <c r="J191" s="30">
        <v>2.86E-2</v>
      </c>
      <c r="K191" s="30">
        <v>0.16400000000000001</v>
      </c>
      <c r="L191" s="30">
        <v>1.8700000000000001E-2</v>
      </c>
      <c r="M191" s="30">
        <v>7.9799999999999996E-2</v>
      </c>
      <c r="N191" s="30">
        <v>1.2500000000000001E-2</v>
      </c>
      <c r="O191" s="30">
        <v>5.6800000000000003E-2</v>
      </c>
      <c r="P191" s="30">
        <v>1.46E-2</v>
      </c>
      <c r="Q191" s="40">
        <v>4.7400000000000003E-3</v>
      </c>
    </row>
    <row r="192" spans="1:17" ht="27" customHeight="1" x14ac:dyDescent="0.3">
      <c r="A192" s="33" t="s">
        <v>17</v>
      </c>
      <c r="B192" s="43" t="s">
        <v>22</v>
      </c>
      <c r="C192" s="20">
        <v>98.56</v>
      </c>
      <c r="D192" s="28">
        <v>0.216</v>
      </c>
      <c r="E192" s="28">
        <v>13.78</v>
      </c>
      <c r="F192" s="28">
        <v>0.27700000000000002</v>
      </c>
      <c r="G192" s="28">
        <v>0.17100000000000001</v>
      </c>
      <c r="H192" s="28">
        <v>0.55600000000000005</v>
      </c>
      <c r="I192" s="28">
        <v>7.5999999999999998E-2</v>
      </c>
      <c r="J192" s="28">
        <v>2.7400000000000001E-2</v>
      </c>
      <c r="K192" s="28">
        <v>0.16700000000000001</v>
      </c>
      <c r="L192" s="28">
        <v>1.89E-2</v>
      </c>
      <c r="M192" s="28">
        <v>0.10299999999999999</v>
      </c>
      <c r="N192" s="28">
        <v>1.2800000000000001E-2</v>
      </c>
      <c r="O192" s="28">
        <v>5.4399999999999997E-2</v>
      </c>
      <c r="P192" s="28">
        <v>1.47E-2</v>
      </c>
      <c r="Q192" s="39">
        <v>4.9800000000000001E-3</v>
      </c>
    </row>
    <row r="193" spans="1:17" ht="27" customHeight="1" x14ac:dyDescent="0.3">
      <c r="A193" s="33" t="s">
        <v>17</v>
      </c>
      <c r="B193" s="43" t="s">
        <v>22</v>
      </c>
      <c r="C193" s="20">
        <v>76.760000000000005</v>
      </c>
      <c r="D193" s="28">
        <v>0.17199999999999999</v>
      </c>
      <c r="E193" s="28">
        <v>11</v>
      </c>
      <c r="F193" s="28">
        <v>0.219</v>
      </c>
      <c r="G193" s="28">
        <v>0.13300000000000001</v>
      </c>
      <c r="H193" s="28">
        <v>0.47599999999999998</v>
      </c>
      <c r="I193" s="28">
        <v>6.0699999999999997E-2</v>
      </c>
      <c r="J193" s="28">
        <v>2.1899999999999999E-2</v>
      </c>
      <c r="K193" s="28">
        <v>0.13</v>
      </c>
      <c r="L193" s="28">
        <v>1.5100000000000001E-2</v>
      </c>
      <c r="M193" s="28">
        <v>8.2799999999999999E-2</v>
      </c>
      <c r="N193" s="28">
        <v>9.8899999999999995E-3</v>
      </c>
      <c r="O193" s="28">
        <v>4.3200000000000002E-2</v>
      </c>
      <c r="P193" s="28">
        <v>1.11E-2</v>
      </c>
      <c r="Q193" s="39">
        <v>3.9300000000000003E-3</v>
      </c>
    </row>
    <row r="194" spans="1:17" ht="27" customHeight="1" x14ac:dyDescent="0.3">
      <c r="A194" s="33" t="s">
        <v>17</v>
      </c>
      <c r="B194" s="43" t="s">
        <v>22</v>
      </c>
      <c r="C194" s="20">
        <v>106</v>
      </c>
      <c r="D194" s="28">
        <v>0.23400000000000001</v>
      </c>
      <c r="E194" s="28">
        <v>15.15</v>
      </c>
      <c r="F194" s="28">
        <v>0.30299999999999999</v>
      </c>
      <c r="G194" s="28">
        <v>0.185</v>
      </c>
      <c r="H194" s="28">
        <v>0.71199999999999997</v>
      </c>
      <c r="I194" s="28">
        <v>8.2900000000000001E-2</v>
      </c>
      <c r="J194" s="28">
        <v>2.9899999999999999E-2</v>
      </c>
      <c r="K194" s="28">
        <v>0.17799999999999999</v>
      </c>
      <c r="L194" s="28">
        <v>2.1000000000000001E-2</v>
      </c>
      <c r="M194" s="28">
        <v>0.122</v>
      </c>
      <c r="N194" s="28">
        <v>1.4200000000000001E-2</v>
      </c>
      <c r="O194" s="28">
        <v>5.8900000000000001E-2</v>
      </c>
      <c r="P194" s="28">
        <v>1.49E-2</v>
      </c>
      <c r="Q194" s="39">
        <v>5.5300000000000002E-3</v>
      </c>
    </row>
    <row r="195" spans="1:17" ht="27" customHeight="1" x14ac:dyDescent="0.3">
      <c r="A195" s="33" t="s">
        <v>17</v>
      </c>
      <c r="B195" s="43" t="s">
        <v>22</v>
      </c>
      <c r="C195" s="20">
        <v>71.19</v>
      </c>
      <c r="D195" s="28">
        <v>0.16</v>
      </c>
      <c r="E195" s="28">
        <v>10.23</v>
      </c>
      <c r="F195" s="28">
        <v>0.20599999999999999</v>
      </c>
      <c r="G195" s="28">
        <v>0.124</v>
      </c>
      <c r="H195" s="28">
        <v>0.51500000000000001</v>
      </c>
      <c r="I195" s="28">
        <v>5.67E-2</v>
      </c>
      <c r="J195" s="28">
        <v>1.9900000000000001E-2</v>
      </c>
      <c r="K195" s="28">
        <v>0.121</v>
      </c>
      <c r="L195" s="28">
        <v>1.3899999999999999E-2</v>
      </c>
      <c r="M195" s="28">
        <v>8.6400000000000005E-2</v>
      </c>
      <c r="N195" s="28">
        <v>9.7000000000000003E-3</v>
      </c>
      <c r="O195" s="28">
        <v>3.9600000000000003E-2</v>
      </c>
      <c r="P195" s="28">
        <v>1.04E-2</v>
      </c>
      <c r="Q195" s="39">
        <v>3.6600000000000001E-3</v>
      </c>
    </row>
    <row r="196" spans="1:17" ht="27" customHeight="1" x14ac:dyDescent="0.3">
      <c r="A196" s="33" t="s">
        <v>17</v>
      </c>
      <c r="B196" s="43" t="s">
        <v>22</v>
      </c>
      <c r="C196" s="20">
        <v>96.26</v>
      </c>
      <c r="D196" s="28">
        <v>0.219</v>
      </c>
      <c r="E196" s="28">
        <v>14.14</v>
      </c>
      <c r="F196" s="28">
        <v>0.27900000000000003</v>
      </c>
      <c r="G196" s="28">
        <v>0.16800000000000001</v>
      </c>
      <c r="H196" s="28">
        <v>0.74299999999999999</v>
      </c>
      <c r="I196" s="28">
        <v>7.8100000000000003E-2</v>
      </c>
      <c r="J196" s="28">
        <v>3.0599999999999999E-2</v>
      </c>
      <c r="K196" s="28">
        <v>0.16300000000000001</v>
      </c>
      <c r="L196" s="28">
        <v>2.01E-2</v>
      </c>
      <c r="M196" s="28">
        <v>0.115</v>
      </c>
      <c r="N196" s="28">
        <v>1.34E-2</v>
      </c>
      <c r="O196" s="28">
        <v>5.1900000000000002E-2</v>
      </c>
      <c r="P196" s="28">
        <v>1.3899999999999999E-2</v>
      </c>
      <c r="Q196" s="39">
        <v>5.13E-3</v>
      </c>
    </row>
    <row r="197" spans="1:17" ht="27" customHeight="1" x14ac:dyDescent="0.3">
      <c r="A197" s="33" t="s">
        <v>17</v>
      </c>
      <c r="B197" s="43" t="s">
        <v>22</v>
      </c>
      <c r="C197" s="20">
        <v>91.86</v>
      </c>
      <c r="D197" s="28">
        <v>0.21199999999999999</v>
      </c>
      <c r="E197" s="28">
        <v>13.53</v>
      </c>
      <c r="F197" s="28">
        <v>0.27400000000000002</v>
      </c>
      <c r="G197" s="28">
        <v>0.16500000000000001</v>
      </c>
      <c r="H197" s="28">
        <v>0.72499999999999998</v>
      </c>
      <c r="I197" s="28">
        <v>7.5700000000000003E-2</v>
      </c>
      <c r="J197" s="28">
        <v>2.76E-2</v>
      </c>
      <c r="K197" s="28">
        <v>0.161</v>
      </c>
      <c r="L197" s="28">
        <v>1.83E-2</v>
      </c>
      <c r="M197" s="28">
        <v>0.112</v>
      </c>
      <c r="N197" s="28">
        <v>1.3100000000000001E-2</v>
      </c>
      <c r="O197" s="28">
        <v>4.9399999999999999E-2</v>
      </c>
      <c r="P197" s="28">
        <v>1.37E-2</v>
      </c>
      <c r="Q197" s="39">
        <v>4.8300000000000001E-3</v>
      </c>
    </row>
    <row r="198" spans="1:17" ht="27" customHeight="1" x14ac:dyDescent="0.3">
      <c r="A198" s="33" t="s">
        <v>17</v>
      </c>
      <c r="B198" s="43" t="s">
        <v>22</v>
      </c>
      <c r="C198" s="20">
        <v>90.79</v>
      </c>
      <c r="D198" s="28">
        <v>0.21199999999999999</v>
      </c>
      <c r="E198" s="28">
        <v>13.56</v>
      </c>
      <c r="F198" s="28">
        <v>0.27600000000000002</v>
      </c>
      <c r="G198" s="28">
        <v>0.16600000000000001</v>
      </c>
      <c r="H198" s="28">
        <v>0.752</v>
      </c>
      <c r="I198" s="28">
        <v>7.6899999999999996E-2</v>
      </c>
      <c r="J198" s="28">
        <v>2.7099999999999999E-2</v>
      </c>
      <c r="K198" s="28">
        <v>0.16</v>
      </c>
      <c r="L198" s="28">
        <v>1.8499999999999999E-2</v>
      </c>
      <c r="M198" s="28">
        <v>0.12</v>
      </c>
      <c r="N198" s="28">
        <v>1.34E-2</v>
      </c>
      <c r="O198" s="28">
        <v>4.7300000000000002E-2</v>
      </c>
      <c r="P198" s="28">
        <v>1.3100000000000001E-2</v>
      </c>
      <c r="Q198" s="39">
        <v>4.5100000000000001E-3</v>
      </c>
    </row>
    <row r="199" spans="1:17" ht="27" customHeight="1" x14ac:dyDescent="0.3">
      <c r="A199" s="33" t="s">
        <v>17</v>
      </c>
      <c r="B199" s="43" t="s">
        <v>22</v>
      </c>
      <c r="C199" s="20">
        <v>86.1</v>
      </c>
      <c r="D199" s="28">
        <v>0.20300000000000001</v>
      </c>
      <c r="E199" s="28">
        <v>12.95</v>
      </c>
      <c r="F199" s="28">
        <v>0.27</v>
      </c>
      <c r="G199" s="28">
        <v>0.16200000000000001</v>
      </c>
      <c r="H199" s="28">
        <v>0.77200000000000002</v>
      </c>
      <c r="I199" s="28">
        <v>7.3999999999999996E-2</v>
      </c>
      <c r="J199" s="28">
        <v>2.6200000000000001E-2</v>
      </c>
      <c r="K199" s="28">
        <v>0.153</v>
      </c>
      <c r="L199" s="28">
        <v>1.7899999999999999E-2</v>
      </c>
      <c r="M199" s="28">
        <v>0.113</v>
      </c>
      <c r="N199" s="28">
        <v>1.2999999999999999E-2</v>
      </c>
      <c r="O199" s="28">
        <v>4.5400000000000003E-2</v>
      </c>
      <c r="P199" s="28">
        <v>1.2800000000000001E-2</v>
      </c>
      <c r="Q199" s="39">
        <v>4.0600000000000002E-3</v>
      </c>
    </row>
    <row r="200" spans="1:17" ht="27" customHeight="1" x14ac:dyDescent="0.3">
      <c r="A200" s="33" t="s">
        <v>17</v>
      </c>
      <c r="B200" s="43" t="s">
        <v>22</v>
      </c>
      <c r="C200" s="20">
        <v>57.43</v>
      </c>
      <c r="D200" s="28">
        <v>0.13700000000000001</v>
      </c>
      <c r="E200" s="28">
        <v>8.67</v>
      </c>
      <c r="F200" s="28">
        <v>0.182</v>
      </c>
      <c r="G200" s="28">
        <v>0.106</v>
      </c>
      <c r="H200" s="28">
        <v>0.48599999999999999</v>
      </c>
      <c r="I200" s="28">
        <v>4.9399999999999999E-2</v>
      </c>
      <c r="J200" s="28">
        <v>1.7500000000000002E-2</v>
      </c>
      <c r="K200" s="28">
        <v>0.10199999999999999</v>
      </c>
      <c r="L200" s="28">
        <v>1.1900000000000001E-2</v>
      </c>
      <c r="M200" s="28">
        <v>7.5800000000000006E-2</v>
      </c>
      <c r="N200" s="28">
        <v>8.7899999999999992E-3</v>
      </c>
      <c r="O200" s="28">
        <v>3.0099999999999998E-2</v>
      </c>
      <c r="P200" s="28">
        <v>8.94E-3</v>
      </c>
      <c r="Q200" s="39">
        <v>3.0899999999999999E-3</v>
      </c>
    </row>
    <row r="201" spans="1:17" ht="27" customHeight="1" x14ac:dyDescent="0.3">
      <c r="A201" s="33" t="s">
        <v>17</v>
      </c>
      <c r="B201" s="43" t="s">
        <v>22</v>
      </c>
      <c r="C201" s="20">
        <v>93.51</v>
      </c>
      <c r="D201" s="28">
        <v>0.23300000000000001</v>
      </c>
      <c r="E201" s="28">
        <v>14.52</v>
      </c>
      <c r="F201" s="28">
        <v>0.31</v>
      </c>
      <c r="G201" s="28">
        <v>0.17699999999999999</v>
      </c>
      <c r="H201" s="28">
        <v>0.96699999999999997</v>
      </c>
      <c r="I201" s="28">
        <v>8.43E-2</v>
      </c>
      <c r="J201" s="28">
        <v>3.0499999999999999E-2</v>
      </c>
      <c r="K201" s="28">
        <v>0.16600000000000001</v>
      </c>
      <c r="L201" s="28">
        <v>2.1000000000000001E-2</v>
      </c>
      <c r="M201" s="28">
        <v>0.14499999999999999</v>
      </c>
      <c r="N201" s="28">
        <v>1.5800000000000002E-2</v>
      </c>
      <c r="O201" s="28">
        <v>4.7699999999999999E-2</v>
      </c>
      <c r="P201" s="28">
        <v>1.46E-2</v>
      </c>
      <c r="Q201" s="39">
        <v>5.3200000000000001E-3</v>
      </c>
    </row>
    <row r="202" spans="1:17" ht="27" customHeight="1" x14ac:dyDescent="0.3">
      <c r="A202" s="33" t="s">
        <v>17</v>
      </c>
      <c r="B202" s="43" t="s">
        <v>22</v>
      </c>
      <c r="C202" s="20">
        <v>96.73</v>
      </c>
      <c r="D202" s="28">
        <v>0.23799999999999999</v>
      </c>
      <c r="E202" s="28">
        <v>14.83</v>
      </c>
      <c r="F202" s="28">
        <v>0.32100000000000001</v>
      </c>
      <c r="G202" s="28">
        <v>0.18099999999999999</v>
      </c>
      <c r="H202" s="28">
        <v>0.94499999999999995</v>
      </c>
      <c r="I202" s="28">
        <v>8.7099999999999997E-2</v>
      </c>
      <c r="J202" s="28">
        <v>3.0499999999999999E-2</v>
      </c>
      <c r="K202" s="28">
        <v>0.17100000000000001</v>
      </c>
      <c r="L202" s="28">
        <v>2.1499999999999998E-2</v>
      </c>
      <c r="M202" s="28">
        <v>0.151</v>
      </c>
      <c r="N202" s="28">
        <v>1.6299999999999999E-2</v>
      </c>
      <c r="O202" s="28">
        <v>4.8800000000000003E-2</v>
      </c>
      <c r="P202" s="28">
        <v>1.5100000000000001E-2</v>
      </c>
      <c r="Q202" s="39">
        <v>5.4099999999999999E-3</v>
      </c>
    </row>
    <row r="203" spans="1:17" ht="27" customHeight="1" x14ac:dyDescent="0.3">
      <c r="A203" s="33" t="s">
        <v>17</v>
      </c>
      <c r="B203" s="43" t="s">
        <v>22</v>
      </c>
      <c r="C203" s="20">
        <v>95.22</v>
      </c>
      <c r="D203" s="28">
        <v>0.23799999999999999</v>
      </c>
      <c r="E203" s="28">
        <v>14.83</v>
      </c>
      <c r="F203" s="28">
        <v>0.31900000000000001</v>
      </c>
      <c r="G203" s="28">
        <v>0.18099999999999999</v>
      </c>
      <c r="H203" s="28">
        <v>1.01</v>
      </c>
      <c r="I203" s="28">
        <v>8.8499999999999995E-2</v>
      </c>
      <c r="J203" s="28">
        <v>3.2899999999999999E-2</v>
      </c>
      <c r="K203" s="28">
        <v>0.17</v>
      </c>
      <c r="L203" s="28">
        <v>2.1600000000000001E-2</v>
      </c>
      <c r="M203" s="28">
        <v>0.157</v>
      </c>
      <c r="N203" s="28">
        <v>1.6799999999999999E-2</v>
      </c>
      <c r="O203" s="28">
        <v>4.7800000000000002E-2</v>
      </c>
      <c r="P203" s="28">
        <v>1.46E-2</v>
      </c>
      <c r="Q203" s="39">
        <v>4.7400000000000003E-3</v>
      </c>
    </row>
    <row r="204" spans="1:17" ht="27" customHeight="1" x14ac:dyDescent="0.3">
      <c r="A204" s="33" t="s">
        <v>17</v>
      </c>
      <c r="B204" s="43" t="s">
        <v>22</v>
      </c>
      <c r="C204" s="20">
        <v>97.95</v>
      </c>
      <c r="D204" s="28">
        <v>0.246</v>
      </c>
      <c r="E204" s="28">
        <v>15.52</v>
      </c>
      <c r="F204" s="28">
        <v>0.33</v>
      </c>
      <c r="G204" s="28">
        <v>0.187</v>
      </c>
      <c r="H204" s="28">
        <v>1.1000000000000001</v>
      </c>
      <c r="I204" s="28">
        <v>9.1899999999999996E-2</v>
      </c>
      <c r="J204" s="28">
        <v>3.3500000000000002E-2</v>
      </c>
      <c r="K204" s="28">
        <v>0.17799999999999999</v>
      </c>
      <c r="L204" s="28">
        <v>2.1499999999999998E-2</v>
      </c>
      <c r="M204" s="28">
        <v>0.16200000000000001</v>
      </c>
      <c r="N204" s="28">
        <v>1.67E-2</v>
      </c>
      <c r="O204" s="28">
        <v>4.99E-2</v>
      </c>
      <c r="P204" s="28">
        <v>1.54E-2</v>
      </c>
      <c r="Q204" s="39">
        <v>4.9699999999999996E-3</v>
      </c>
    </row>
    <row r="205" spans="1:17" ht="27" customHeight="1" x14ac:dyDescent="0.3">
      <c r="A205" s="33" t="s">
        <v>17</v>
      </c>
      <c r="B205" s="43" t="s">
        <v>22</v>
      </c>
      <c r="C205" s="20">
        <v>95.45</v>
      </c>
      <c r="D205" s="28">
        <v>0.23699999999999999</v>
      </c>
      <c r="E205" s="28">
        <v>14.78</v>
      </c>
      <c r="F205" s="28">
        <v>0.32200000000000001</v>
      </c>
      <c r="G205" s="28">
        <v>0.182</v>
      </c>
      <c r="H205" s="28">
        <v>0.98799999999999999</v>
      </c>
      <c r="I205" s="28">
        <v>8.8200000000000001E-2</v>
      </c>
      <c r="J205" s="28">
        <v>3.2899999999999999E-2</v>
      </c>
      <c r="K205" s="28">
        <v>0.17100000000000001</v>
      </c>
      <c r="L205" s="28">
        <v>2.1000000000000001E-2</v>
      </c>
      <c r="M205" s="28">
        <v>0.14799999999999999</v>
      </c>
      <c r="N205" s="28">
        <v>1.66E-2</v>
      </c>
      <c r="O205" s="28">
        <v>4.9299999999999997E-2</v>
      </c>
      <c r="P205" s="28">
        <v>1.52E-2</v>
      </c>
      <c r="Q205" s="39">
        <v>4.7099999999999998E-3</v>
      </c>
    </row>
    <row r="206" spans="1:17" ht="27" customHeight="1" x14ac:dyDescent="0.3">
      <c r="A206" s="33" t="s">
        <v>17</v>
      </c>
      <c r="B206" s="43" t="s">
        <v>22</v>
      </c>
      <c r="C206" s="20">
        <v>92</v>
      </c>
      <c r="D206" s="28">
        <v>0.22800000000000001</v>
      </c>
      <c r="E206" s="28">
        <v>14.17</v>
      </c>
      <c r="F206" s="28">
        <v>0.308</v>
      </c>
      <c r="G206" s="28">
        <v>0.17599999999999999</v>
      </c>
      <c r="H206" s="28">
        <v>0.96899999999999997</v>
      </c>
      <c r="I206" s="28">
        <v>8.5400000000000004E-2</v>
      </c>
      <c r="J206" s="28">
        <v>3.1699999999999999E-2</v>
      </c>
      <c r="K206" s="28">
        <v>0.16300000000000001</v>
      </c>
      <c r="L206" s="28">
        <v>2.0199999999999999E-2</v>
      </c>
      <c r="M206" s="28">
        <v>0.14399999999999999</v>
      </c>
      <c r="N206" s="28">
        <v>1.5900000000000001E-2</v>
      </c>
      <c r="O206" s="28">
        <v>4.6399999999999997E-2</v>
      </c>
      <c r="P206" s="28">
        <v>1.4800000000000001E-2</v>
      </c>
      <c r="Q206" s="39">
        <v>4.8500000000000001E-3</v>
      </c>
    </row>
    <row r="207" spans="1:17" ht="27" customHeight="1" x14ac:dyDescent="0.3">
      <c r="A207" s="33" t="s">
        <v>17</v>
      </c>
      <c r="B207" s="43" t="s">
        <v>22</v>
      </c>
      <c r="C207" s="20">
        <v>99.78</v>
      </c>
      <c r="D207" s="28">
        <v>0.24299999999999999</v>
      </c>
      <c r="E207" s="28">
        <v>15.27</v>
      </c>
      <c r="F207" s="28">
        <v>0.33800000000000002</v>
      </c>
      <c r="G207" s="28">
        <v>0.188</v>
      </c>
      <c r="H207" s="28">
        <v>1.1399999999999999</v>
      </c>
      <c r="I207" s="28">
        <v>9.2700000000000005E-2</v>
      </c>
      <c r="J207" s="28">
        <v>3.3599999999999998E-2</v>
      </c>
      <c r="K207" s="28">
        <v>0.17699999999999999</v>
      </c>
      <c r="L207" s="28">
        <v>2.2599999999999999E-2</v>
      </c>
      <c r="M207" s="28">
        <v>0.17</v>
      </c>
      <c r="N207" s="28">
        <v>1.7000000000000001E-2</v>
      </c>
      <c r="O207" s="28">
        <v>5.0700000000000002E-2</v>
      </c>
      <c r="P207" s="28">
        <v>1.6500000000000001E-2</v>
      </c>
      <c r="Q207" s="39">
        <v>4.7999999999999996E-3</v>
      </c>
    </row>
    <row r="208" spans="1:17" ht="27" customHeight="1" x14ac:dyDescent="0.3">
      <c r="A208" s="33" t="s">
        <v>17</v>
      </c>
      <c r="B208" s="43" t="s">
        <v>22</v>
      </c>
      <c r="C208" s="20">
        <v>94.4</v>
      </c>
      <c r="D208" s="28">
        <v>0.23400000000000001</v>
      </c>
      <c r="E208" s="28">
        <v>14.67</v>
      </c>
      <c r="F208" s="28">
        <v>0.315</v>
      </c>
      <c r="G208" s="28">
        <v>0.17899999999999999</v>
      </c>
      <c r="H208" s="28">
        <v>1.06</v>
      </c>
      <c r="I208" s="28">
        <v>8.8099999999999998E-2</v>
      </c>
      <c r="J208" s="28">
        <v>3.3799999999999997E-2</v>
      </c>
      <c r="K208" s="28">
        <v>0.17100000000000001</v>
      </c>
      <c r="L208" s="28">
        <v>2.1000000000000001E-2</v>
      </c>
      <c r="M208" s="28">
        <v>0.154</v>
      </c>
      <c r="N208" s="28">
        <v>1.6400000000000001E-2</v>
      </c>
      <c r="O208" s="28">
        <v>4.8000000000000001E-2</v>
      </c>
      <c r="P208" s="28">
        <v>1.5800000000000002E-2</v>
      </c>
      <c r="Q208" s="39">
        <v>4.6600000000000001E-3</v>
      </c>
    </row>
    <row r="209" spans="1:17" ht="27" customHeight="1" x14ac:dyDescent="0.3">
      <c r="A209" s="34" t="s">
        <v>20</v>
      </c>
      <c r="B209" s="44" t="s">
        <v>22</v>
      </c>
      <c r="C209" s="29">
        <v>109.57</v>
      </c>
      <c r="D209" s="30">
        <v>0.20200000000000001</v>
      </c>
      <c r="E209" s="30">
        <v>18.55</v>
      </c>
      <c r="F209" s="30">
        <v>0.53600000000000003</v>
      </c>
      <c r="G209" s="30">
        <v>0.27</v>
      </c>
      <c r="H209" s="30">
        <v>0.754</v>
      </c>
      <c r="I209" s="30">
        <v>0.13800000000000001</v>
      </c>
      <c r="J209" s="30">
        <v>3.2000000000000001E-2</v>
      </c>
      <c r="K209" s="30">
        <v>0.20399999999999999</v>
      </c>
      <c r="L209" s="30">
        <v>3.5299999999999998E-2</v>
      </c>
      <c r="M209" s="30">
        <v>0.14899999999999999</v>
      </c>
      <c r="N209" s="30">
        <v>2.1100000000000001E-2</v>
      </c>
      <c r="O209" s="30">
        <v>7.0400000000000004E-2</v>
      </c>
      <c r="P209" s="30">
        <v>1.7600000000000001E-2</v>
      </c>
      <c r="Q209" s="40">
        <v>7.3600000000000002E-3</v>
      </c>
    </row>
    <row r="210" spans="1:17" ht="27" customHeight="1" x14ac:dyDescent="0.3">
      <c r="A210" s="33" t="s">
        <v>20</v>
      </c>
      <c r="B210" s="43" t="s">
        <v>22</v>
      </c>
      <c r="C210" s="20">
        <v>93.4</v>
      </c>
      <c r="D210" s="28">
        <v>0.17100000000000001</v>
      </c>
      <c r="E210" s="28">
        <v>15.93</v>
      </c>
      <c r="F210" s="28">
        <v>0.46800000000000003</v>
      </c>
      <c r="G210" s="28">
        <v>0.22800000000000001</v>
      </c>
      <c r="H210" s="28">
        <v>0.69899999999999995</v>
      </c>
      <c r="I210" s="28">
        <v>0.11799999999999999</v>
      </c>
      <c r="J210" s="28">
        <v>2.7199999999999998E-2</v>
      </c>
      <c r="K210" s="28">
        <v>0.17599999999999999</v>
      </c>
      <c r="L210" s="28">
        <v>3.09E-2</v>
      </c>
      <c r="M210" s="28">
        <v>0.13600000000000001</v>
      </c>
      <c r="N210" s="28">
        <v>1.8700000000000001E-2</v>
      </c>
      <c r="O210" s="28">
        <v>5.8599999999999999E-2</v>
      </c>
      <c r="P210" s="28">
        <v>1.4800000000000001E-2</v>
      </c>
      <c r="Q210" s="39">
        <v>6.96E-3</v>
      </c>
    </row>
    <row r="211" spans="1:17" ht="27" customHeight="1" x14ac:dyDescent="0.3">
      <c r="A211" s="33" t="s">
        <v>20</v>
      </c>
      <c r="B211" s="43" t="s">
        <v>22</v>
      </c>
      <c r="C211" s="20">
        <v>86.56</v>
      </c>
      <c r="D211" s="28">
        <v>0.158</v>
      </c>
      <c r="E211" s="28">
        <v>14.81</v>
      </c>
      <c r="F211" s="28">
        <v>0.437</v>
      </c>
      <c r="G211" s="28">
        <v>0.215</v>
      </c>
      <c r="H211" s="28">
        <v>0.66800000000000004</v>
      </c>
      <c r="I211" s="28">
        <v>0.112</v>
      </c>
      <c r="J211" s="28">
        <v>2.4899999999999999E-2</v>
      </c>
      <c r="K211" s="28">
        <v>0.16</v>
      </c>
      <c r="L211" s="28">
        <v>2.87E-2</v>
      </c>
      <c r="M211" s="28">
        <v>0.11799999999999999</v>
      </c>
      <c r="N211" s="28">
        <v>1.7399999999999999E-2</v>
      </c>
      <c r="O211" s="28">
        <v>5.4899999999999997E-2</v>
      </c>
      <c r="P211" s="28">
        <v>1.3100000000000001E-2</v>
      </c>
      <c r="Q211" s="39">
        <v>6.7999999999999996E-3</v>
      </c>
    </row>
    <row r="212" spans="1:17" ht="27" customHeight="1" x14ac:dyDescent="0.3">
      <c r="A212" s="33" t="s">
        <v>20</v>
      </c>
      <c r="B212" s="43" t="s">
        <v>22</v>
      </c>
      <c r="C212" s="20">
        <v>109.93</v>
      </c>
      <c r="D212" s="28">
        <v>0.20300000000000001</v>
      </c>
      <c r="E212" s="28">
        <v>18.8</v>
      </c>
      <c r="F212" s="28">
        <v>0.55300000000000005</v>
      </c>
      <c r="G212" s="28">
        <v>0.27</v>
      </c>
      <c r="H212" s="28">
        <v>0.88100000000000001</v>
      </c>
      <c r="I212" s="28">
        <v>0.14299999999999999</v>
      </c>
      <c r="J212" s="28">
        <v>3.2199999999999999E-2</v>
      </c>
      <c r="K212" s="28">
        <v>0.20300000000000001</v>
      </c>
      <c r="L212" s="28">
        <v>3.6700000000000003E-2</v>
      </c>
      <c r="M212" s="28">
        <v>0.161</v>
      </c>
      <c r="N212" s="28">
        <v>2.3E-2</v>
      </c>
      <c r="O212" s="28">
        <v>7.0300000000000001E-2</v>
      </c>
      <c r="P212" s="28">
        <v>1.7299999999999999E-2</v>
      </c>
      <c r="Q212" s="39">
        <v>7.6E-3</v>
      </c>
    </row>
    <row r="213" spans="1:17" ht="27" customHeight="1" x14ac:dyDescent="0.3">
      <c r="A213" s="33" t="s">
        <v>20</v>
      </c>
      <c r="B213" s="43" t="s">
        <v>22</v>
      </c>
      <c r="C213" s="20">
        <v>91.22</v>
      </c>
      <c r="D213" s="28">
        <v>0.16700000000000001</v>
      </c>
      <c r="E213" s="28">
        <v>15.54</v>
      </c>
      <c r="F213" s="28">
        <v>0.46600000000000003</v>
      </c>
      <c r="G213" s="28">
        <v>0.22800000000000001</v>
      </c>
      <c r="H213" s="28">
        <v>0.751</v>
      </c>
      <c r="I213" s="28">
        <v>0.11899999999999999</v>
      </c>
      <c r="J213" s="28">
        <v>2.7199999999999998E-2</v>
      </c>
      <c r="K213" s="28">
        <v>0.17</v>
      </c>
      <c r="L213" s="28">
        <v>2.9499999999999998E-2</v>
      </c>
      <c r="M213" s="28">
        <v>0.13500000000000001</v>
      </c>
      <c r="N213" s="28">
        <v>1.9400000000000001E-2</v>
      </c>
      <c r="O213" s="28">
        <v>5.6399999999999999E-2</v>
      </c>
      <c r="P213" s="28">
        <v>1.5100000000000001E-2</v>
      </c>
      <c r="Q213" s="39">
        <v>6.5100000000000002E-3</v>
      </c>
    </row>
    <row r="214" spans="1:17" ht="27" customHeight="1" x14ac:dyDescent="0.3">
      <c r="A214" s="33" t="s">
        <v>20</v>
      </c>
      <c r="B214" s="43" t="s">
        <v>22</v>
      </c>
      <c r="C214" s="20">
        <v>74.400000000000006</v>
      </c>
      <c r="D214" s="28">
        <v>0.13400000000000001</v>
      </c>
      <c r="E214" s="28">
        <v>12.83</v>
      </c>
      <c r="F214" s="28">
        <v>0.4</v>
      </c>
      <c r="G214" s="28">
        <v>0.19600000000000001</v>
      </c>
      <c r="H214" s="28">
        <v>0.67</v>
      </c>
      <c r="I214" s="28">
        <v>0.107</v>
      </c>
      <c r="J214" s="28">
        <v>2.6200000000000001E-2</v>
      </c>
      <c r="K214" s="28">
        <v>0.13700000000000001</v>
      </c>
      <c r="L214" s="28">
        <v>2.58E-2</v>
      </c>
      <c r="M214" s="28">
        <v>0.11899999999999999</v>
      </c>
      <c r="N214" s="28">
        <v>1.6799999999999999E-2</v>
      </c>
      <c r="O214" s="28">
        <v>4.58E-2</v>
      </c>
      <c r="P214" s="28">
        <v>1.35E-2</v>
      </c>
      <c r="Q214" s="39">
        <v>5.5199999999999997E-3</v>
      </c>
    </row>
    <row r="215" spans="1:17" ht="27" customHeight="1" x14ac:dyDescent="0.3">
      <c r="A215" s="33" t="s">
        <v>20</v>
      </c>
      <c r="B215" s="43" t="s">
        <v>22</v>
      </c>
      <c r="C215" s="20">
        <v>73.02</v>
      </c>
      <c r="D215" s="28">
        <v>0.13100000000000001</v>
      </c>
      <c r="E215" s="28">
        <v>12.77</v>
      </c>
      <c r="F215" s="28">
        <v>0.39100000000000001</v>
      </c>
      <c r="G215" s="28">
        <v>0.19</v>
      </c>
      <c r="H215" s="28">
        <v>0.69299999999999995</v>
      </c>
      <c r="I215" s="28">
        <v>0.105</v>
      </c>
      <c r="J215" s="28">
        <v>2.41E-2</v>
      </c>
      <c r="K215" s="28">
        <v>0.13300000000000001</v>
      </c>
      <c r="L215" s="28">
        <v>2.58E-2</v>
      </c>
      <c r="M215" s="28">
        <v>0.13</v>
      </c>
      <c r="N215" s="28">
        <v>1.6400000000000001E-2</v>
      </c>
      <c r="O215" s="28">
        <v>4.4299999999999999E-2</v>
      </c>
      <c r="P215" s="28">
        <v>1.35E-2</v>
      </c>
      <c r="Q215" s="39">
        <v>5.47E-3</v>
      </c>
    </row>
    <row r="216" spans="1:17" ht="27" customHeight="1" x14ac:dyDescent="0.3">
      <c r="A216" s="33" t="s">
        <v>20</v>
      </c>
      <c r="B216" s="43" t="s">
        <v>22</v>
      </c>
      <c r="C216" s="20">
        <v>102.5</v>
      </c>
      <c r="D216" s="28">
        <v>0.182</v>
      </c>
      <c r="E216" s="28">
        <v>17.8</v>
      </c>
      <c r="F216" s="28">
        <v>0.54900000000000004</v>
      </c>
      <c r="G216" s="28">
        <v>0.26600000000000001</v>
      </c>
      <c r="H216" s="28">
        <v>0.97</v>
      </c>
      <c r="I216" s="28">
        <v>0.15</v>
      </c>
      <c r="J216" s="28">
        <v>3.5299999999999998E-2</v>
      </c>
      <c r="K216" s="28">
        <v>0.189</v>
      </c>
      <c r="L216" s="28">
        <v>3.6900000000000002E-2</v>
      </c>
      <c r="M216" s="28">
        <v>0.184</v>
      </c>
      <c r="N216" s="28">
        <v>2.3900000000000001E-2</v>
      </c>
      <c r="O216" s="28">
        <v>6.25E-2</v>
      </c>
      <c r="P216" s="28">
        <v>1.9599999999999999E-2</v>
      </c>
      <c r="Q216" s="39">
        <v>6.9699999999999996E-3</v>
      </c>
    </row>
    <row r="217" spans="1:17" ht="27" customHeight="1" x14ac:dyDescent="0.3">
      <c r="A217" s="33" t="s">
        <v>20</v>
      </c>
      <c r="B217" s="43" t="s">
        <v>22</v>
      </c>
      <c r="C217" s="20">
        <v>99.16</v>
      </c>
      <c r="D217" s="28">
        <v>0.17799999999999999</v>
      </c>
      <c r="E217" s="28">
        <v>17.25</v>
      </c>
      <c r="F217" s="28">
        <v>0.54700000000000004</v>
      </c>
      <c r="G217" s="28">
        <v>0.26300000000000001</v>
      </c>
      <c r="H217" s="28">
        <v>0.95199999999999996</v>
      </c>
      <c r="I217" s="28">
        <v>0.14399999999999999</v>
      </c>
      <c r="J217" s="28">
        <v>3.2899999999999999E-2</v>
      </c>
      <c r="K217" s="28">
        <v>0.17799999999999999</v>
      </c>
      <c r="L217" s="28">
        <v>3.6299999999999999E-2</v>
      </c>
      <c r="M217" s="28">
        <v>0.17399999999999999</v>
      </c>
      <c r="N217" s="28">
        <v>2.3900000000000001E-2</v>
      </c>
      <c r="O217" s="28">
        <v>6.0400000000000002E-2</v>
      </c>
      <c r="P217" s="28">
        <v>1.7600000000000001E-2</v>
      </c>
      <c r="Q217" s="39">
        <v>7.1999999999999998E-3</v>
      </c>
    </row>
    <row r="218" spans="1:17" ht="27" customHeight="1" x14ac:dyDescent="0.3">
      <c r="A218" s="33" t="s">
        <v>20</v>
      </c>
      <c r="B218" s="43" t="s">
        <v>22</v>
      </c>
      <c r="C218" s="20">
        <v>73.91</v>
      </c>
      <c r="D218" s="28">
        <v>0.13200000000000001</v>
      </c>
      <c r="E218" s="28">
        <v>12.94</v>
      </c>
      <c r="F218" s="28">
        <v>0.40400000000000003</v>
      </c>
      <c r="G218" s="28">
        <v>0.19400000000000001</v>
      </c>
      <c r="H218" s="28">
        <v>0.74099999999999999</v>
      </c>
      <c r="I218" s="28">
        <v>0.107</v>
      </c>
      <c r="J218" s="28">
        <v>2.4299999999999999E-2</v>
      </c>
      <c r="K218" s="28">
        <v>0.13800000000000001</v>
      </c>
      <c r="L218" s="28">
        <v>2.5399999999999999E-2</v>
      </c>
      <c r="M218" s="28">
        <v>0.13300000000000001</v>
      </c>
      <c r="N218" s="28">
        <v>1.7399999999999999E-2</v>
      </c>
      <c r="O218" s="28">
        <v>4.53E-2</v>
      </c>
      <c r="P218" s="28">
        <v>1.41E-2</v>
      </c>
      <c r="Q218" s="39">
        <v>5.4900000000000001E-3</v>
      </c>
    </row>
    <row r="219" spans="1:17" ht="27" customHeight="1" x14ac:dyDescent="0.3">
      <c r="A219" s="33" t="s">
        <v>20</v>
      </c>
      <c r="B219" s="43" t="s">
        <v>22</v>
      </c>
      <c r="C219" s="20">
        <v>72.02</v>
      </c>
      <c r="D219" s="28">
        <v>0.127</v>
      </c>
      <c r="E219" s="28">
        <v>12.45</v>
      </c>
      <c r="F219" s="28">
        <v>0.39400000000000002</v>
      </c>
      <c r="G219" s="28">
        <v>0.188</v>
      </c>
      <c r="H219" s="28">
        <v>0.70899999999999996</v>
      </c>
      <c r="I219" s="28">
        <v>0.105</v>
      </c>
      <c r="J219" s="28">
        <v>2.6599999999999999E-2</v>
      </c>
      <c r="K219" s="28">
        <v>0.13300000000000001</v>
      </c>
      <c r="L219" s="28">
        <v>2.5100000000000001E-2</v>
      </c>
      <c r="M219" s="28">
        <v>0.13100000000000001</v>
      </c>
      <c r="N219" s="28">
        <v>1.7299999999999999E-2</v>
      </c>
      <c r="O219" s="28">
        <v>4.36E-2</v>
      </c>
      <c r="P219" s="28">
        <v>1.35E-2</v>
      </c>
      <c r="Q219" s="39">
        <v>5.2599999999999999E-3</v>
      </c>
    </row>
    <row r="220" spans="1:17" ht="27" customHeight="1" x14ac:dyDescent="0.3">
      <c r="A220" s="33" t="s">
        <v>20</v>
      </c>
      <c r="B220" s="43" t="s">
        <v>22</v>
      </c>
      <c r="C220" s="20">
        <v>76.849999999999994</v>
      </c>
      <c r="D220" s="28">
        <v>0.13500000000000001</v>
      </c>
      <c r="E220" s="28">
        <v>13.3</v>
      </c>
      <c r="F220" s="28">
        <v>0.42399999999999999</v>
      </c>
      <c r="G220" s="28">
        <v>0.20399999999999999</v>
      </c>
      <c r="H220" s="28">
        <v>0.76500000000000001</v>
      </c>
      <c r="I220" s="28">
        <v>0.112</v>
      </c>
      <c r="J220" s="28">
        <v>2.7199999999999998E-2</v>
      </c>
      <c r="K220" s="28">
        <v>0.14099999999999999</v>
      </c>
      <c r="L220" s="28">
        <v>2.75E-2</v>
      </c>
      <c r="M220" s="28">
        <v>0.14499999999999999</v>
      </c>
      <c r="N220" s="28">
        <v>1.84E-2</v>
      </c>
      <c r="O220" s="28">
        <v>4.6100000000000002E-2</v>
      </c>
      <c r="P220" s="28">
        <v>1.54E-2</v>
      </c>
      <c r="Q220" s="39">
        <v>4.8700000000000002E-3</v>
      </c>
    </row>
    <row r="221" spans="1:17" ht="27" customHeight="1" x14ac:dyDescent="0.3">
      <c r="A221" s="33" t="s">
        <v>20</v>
      </c>
      <c r="B221" s="43" t="s">
        <v>22</v>
      </c>
      <c r="C221" s="20">
        <v>79.05</v>
      </c>
      <c r="D221" s="28">
        <v>0.14000000000000001</v>
      </c>
      <c r="E221" s="28">
        <v>13.96</v>
      </c>
      <c r="F221" s="28">
        <v>0.443</v>
      </c>
      <c r="G221" s="28">
        <v>0.214</v>
      </c>
      <c r="H221" s="28">
        <v>0.74399999999999999</v>
      </c>
      <c r="I221" s="28">
        <v>0.12</v>
      </c>
      <c r="J221" s="28">
        <v>2.86E-2</v>
      </c>
      <c r="K221" s="28">
        <v>0.15</v>
      </c>
      <c r="L221" s="28">
        <v>2.9000000000000001E-2</v>
      </c>
      <c r="M221" s="28">
        <v>0.13600000000000001</v>
      </c>
      <c r="N221" s="28">
        <v>1.95E-2</v>
      </c>
      <c r="O221" s="28">
        <v>4.7600000000000003E-2</v>
      </c>
      <c r="P221" s="28">
        <v>1.5900000000000001E-2</v>
      </c>
      <c r="Q221" s="39">
        <v>6.0600000000000003E-3</v>
      </c>
    </row>
    <row r="222" spans="1:17" ht="27" customHeight="1" x14ac:dyDescent="0.3">
      <c r="A222" s="33" t="s">
        <v>20</v>
      </c>
      <c r="B222" s="43" t="s">
        <v>22</v>
      </c>
      <c r="C222" s="20">
        <v>77.39</v>
      </c>
      <c r="D222" s="28">
        <v>0.13500000000000001</v>
      </c>
      <c r="E222" s="28">
        <v>13.6</v>
      </c>
      <c r="F222" s="28">
        <v>0.40300000000000002</v>
      </c>
      <c r="G222" s="28">
        <v>0.20699999999999999</v>
      </c>
      <c r="H222" s="28">
        <v>0.74199999999999999</v>
      </c>
      <c r="I222" s="28">
        <v>0.11899999999999999</v>
      </c>
      <c r="J222" s="28">
        <v>2.8199999999999999E-2</v>
      </c>
      <c r="K222" s="28">
        <v>0.14299999999999999</v>
      </c>
      <c r="L222" s="28">
        <v>2.7E-2</v>
      </c>
      <c r="M222" s="28">
        <v>0.13800000000000001</v>
      </c>
      <c r="N222" s="28">
        <v>1.8499999999999999E-2</v>
      </c>
      <c r="O222" s="28">
        <v>4.7600000000000003E-2</v>
      </c>
      <c r="P222" s="28">
        <v>1.5699999999999999E-2</v>
      </c>
      <c r="Q222" s="39">
        <v>6.0499999999999998E-3</v>
      </c>
    </row>
    <row r="223" spans="1:17" ht="27" customHeight="1" x14ac:dyDescent="0.3">
      <c r="A223" s="33" t="s">
        <v>20</v>
      </c>
      <c r="B223" s="43" t="s">
        <v>22</v>
      </c>
      <c r="C223" s="20">
        <v>74.81</v>
      </c>
      <c r="D223" s="28">
        <v>0.13100000000000001</v>
      </c>
      <c r="E223" s="28">
        <v>13.08</v>
      </c>
      <c r="F223" s="28">
        <v>0.40400000000000003</v>
      </c>
      <c r="G223" s="28">
        <v>0.20200000000000001</v>
      </c>
      <c r="H223" s="28">
        <v>0.72799999999999998</v>
      </c>
      <c r="I223" s="28">
        <v>0.114</v>
      </c>
      <c r="J223" s="28">
        <v>2.75E-2</v>
      </c>
      <c r="K223" s="28">
        <v>0.13600000000000001</v>
      </c>
      <c r="L223" s="28">
        <v>2.69E-2</v>
      </c>
      <c r="M223" s="28">
        <v>0.14399999999999999</v>
      </c>
      <c r="N223" s="28">
        <v>1.8599999999999998E-2</v>
      </c>
      <c r="O223" s="28">
        <v>4.6300000000000001E-2</v>
      </c>
      <c r="P223" s="28">
        <v>1.54E-2</v>
      </c>
      <c r="Q223" s="39">
        <v>5.2399999999999999E-3</v>
      </c>
    </row>
    <row r="224" spans="1:17" ht="27" customHeight="1" x14ac:dyDescent="0.3">
      <c r="A224" s="33" t="s">
        <v>20</v>
      </c>
      <c r="B224" s="43" t="s">
        <v>22</v>
      </c>
      <c r="C224" s="20">
        <v>78.040000000000006</v>
      </c>
      <c r="D224" s="28">
        <v>0.13600000000000001</v>
      </c>
      <c r="E224" s="28">
        <v>13.65</v>
      </c>
      <c r="F224" s="28">
        <v>0.44800000000000001</v>
      </c>
      <c r="G224" s="28">
        <v>0.214</v>
      </c>
      <c r="H224" s="28">
        <v>0.81299999999999994</v>
      </c>
      <c r="I224" s="28">
        <v>0.125</v>
      </c>
      <c r="J224" s="28">
        <v>2.9600000000000001E-2</v>
      </c>
      <c r="K224" s="28">
        <v>0.14199999999999999</v>
      </c>
      <c r="L224" s="28">
        <v>2.9000000000000001E-2</v>
      </c>
      <c r="M224" s="28">
        <v>0.154</v>
      </c>
      <c r="N224" s="28">
        <v>0.02</v>
      </c>
      <c r="O224" s="28">
        <v>4.6800000000000001E-2</v>
      </c>
      <c r="P224" s="28">
        <v>1.7600000000000001E-2</v>
      </c>
      <c r="Q224" s="39">
        <v>5.1900000000000002E-3</v>
      </c>
    </row>
    <row r="225" spans="1:17" ht="27" customHeight="1" x14ac:dyDescent="0.3">
      <c r="A225" s="33" t="s">
        <v>20</v>
      </c>
      <c r="B225" s="43" t="s">
        <v>22</v>
      </c>
      <c r="C225" s="20">
        <v>84.38</v>
      </c>
      <c r="D225" s="28">
        <v>0.14699999999999999</v>
      </c>
      <c r="E225" s="28">
        <v>14.88</v>
      </c>
      <c r="F225" s="28">
        <v>0.48899999999999999</v>
      </c>
      <c r="G225" s="28">
        <v>0.22900000000000001</v>
      </c>
      <c r="H225" s="28">
        <v>0.88700000000000001</v>
      </c>
      <c r="I225" s="28">
        <v>0.13400000000000001</v>
      </c>
      <c r="J225" s="28">
        <v>2.9499999999999998E-2</v>
      </c>
      <c r="K225" s="28">
        <v>0.156</v>
      </c>
      <c r="L225" s="28">
        <v>3.1300000000000001E-2</v>
      </c>
      <c r="M225" s="28">
        <v>0.158</v>
      </c>
      <c r="N225" s="28">
        <v>2.18E-2</v>
      </c>
      <c r="O225" s="28">
        <v>5.2200000000000003E-2</v>
      </c>
      <c r="P225" s="28">
        <v>1.89E-2</v>
      </c>
      <c r="Q225" s="39">
        <v>6.3E-3</v>
      </c>
    </row>
    <row r="226" spans="1:17" ht="27" customHeight="1" x14ac:dyDescent="0.3">
      <c r="A226" s="34" t="s">
        <v>21</v>
      </c>
      <c r="B226" s="44" t="s">
        <v>22</v>
      </c>
      <c r="C226" s="29">
        <v>90.15</v>
      </c>
      <c r="D226" s="30">
        <v>0.20599999999999999</v>
      </c>
      <c r="E226" s="30">
        <v>14.47</v>
      </c>
      <c r="F226" s="30">
        <v>0.25600000000000001</v>
      </c>
      <c r="G226" s="30">
        <v>0.159</v>
      </c>
      <c r="H226" s="30">
        <v>0.90900000000000003</v>
      </c>
      <c r="I226" s="30">
        <v>8.6699999999999999E-2</v>
      </c>
      <c r="J226" s="30">
        <v>3.6499999999999998E-2</v>
      </c>
      <c r="K226" s="30">
        <v>0.182</v>
      </c>
      <c r="L226" s="30">
        <v>1.9300000000000001E-2</v>
      </c>
      <c r="M226" s="30">
        <v>0.16</v>
      </c>
      <c r="N226" s="30">
        <v>1.3599999999999999E-2</v>
      </c>
      <c r="O226" s="30">
        <v>4.7100000000000003E-2</v>
      </c>
      <c r="P226" s="30">
        <v>1.35E-2</v>
      </c>
      <c r="Q226" s="40">
        <v>9.1500000000000001E-3</v>
      </c>
    </row>
    <row r="227" spans="1:17" ht="27" customHeight="1" x14ac:dyDescent="0.3">
      <c r="A227" s="33" t="s">
        <v>21</v>
      </c>
      <c r="B227" s="43" t="s">
        <v>22</v>
      </c>
      <c r="C227" s="20">
        <v>78.95</v>
      </c>
      <c r="D227" s="28">
        <v>0.20399999999999999</v>
      </c>
      <c r="E227" s="28">
        <v>3.27</v>
      </c>
      <c r="F227" s="28">
        <v>0.25600000000000001</v>
      </c>
      <c r="G227" s="28">
        <v>0.16400000000000001</v>
      </c>
      <c r="H227" s="28">
        <v>0.90900000000000003</v>
      </c>
      <c r="I227" s="28">
        <v>8.6900000000000005E-2</v>
      </c>
      <c r="J227" s="28">
        <v>3.6400000000000002E-2</v>
      </c>
      <c r="K227" s="28">
        <v>0.184</v>
      </c>
      <c r="L227" s="28">
        <v>1.9400000000000001E-2</v>
      </c>
      <c r="M227" s="28">
        <v>0.18</v>
      </c>
      <c r="N227" s="28">
        <v>1.38E-2</v>
      </c>
      <c r="O227" s="28">
        <v>4.7199999999999999E-2</v>
      </c>
      <c r="P227" s="28">
        <v>1.38E-2</v>
      </c>
      <c r="Q227" s="39">
        <v>9.1999999999999998E-3</v>
      </c>
    </row>
    <row r="228" spans="1:17" ht="27" customHeight="1" x14ac:dyDescent="0.3">
      <c r="A228" s="33" t="s">
        <v>21</v>
      </c>
      <c r="B228" s="43" t="s">
        <v>22</v>
      </c>
      <c r="C228" s="20">
        <v>101.25</v>
      </c>
      <c r="D228" s="28">
        <v>0.20100000000000001</v>
      </c>
      <c r="E228" s="28">
        <v>25.57</v>
      </c>
      <c r="F228" s="28">
        <v>0.25600000000000001</v>
      </c>
      <c r="G228" s="28">
        <v>0.14599999999999999</v>
      </c>
      <c r="H228" s="28">
        <v>0.90900000000000003</v>
      </c>
      <c r="I228" s="28">
        <v>8.5699999999999998E-2</v>
      </c>
      <c r="J228" s="28">
        <v>3.6299999999999999E-2</v>
      </c>
      <c r="K228" s="28">
        <v>0.17499999999999999</v>
      </c>
      <c r="L228" s="28">
        <v>1.78E-2</v>
      </c>
      <c r="M228" s="28">
        <v>0.17</v>
      </c>
      <c r="N228" s="28">
        <v>1.4500000000000001E-2</v>
      </c>
      <c r="O228" s="28">
        <v>4.7100000000000003E-2</v>
      </c>
      <c r="P228" s="28">
        <v>1.23E-2</v>
      </c>
      <c r="Q228" s="39">
        <v>9.5300000000000003E-3</v>
      </c>
    </row>
    <row r="229" spans="1:17" ht="27" customHeight="1" x14ac:dyDescent="0.3">
      <c r="A229" s="33" t="s">
        <v>21</v>
      </c>
      <c r="B229" s="43" t="s">
        <v>22</v>
      </c>
      <c r="C229" s="20">
        <v>141.35</v>
      </c>
      <c r="D229" s="28">
        <v>0.185</v>
      </c>
      <c r="E229" s="28">
        <v>65.67</v>
      </c>
      <c r="F229" s="28">
        <v>0.25600000000000001</v>
      </c>
      <c r="G229" s="28">
        <v>0.17399999999999999</v>
      </c>
      <c r="H229" s="28">
        <v>0.90900000000000003</v>
      </c>
      <c r="I229" s="28">
        <v>8.5800000000000001E-2</v>
      </c>
      <c r="J229" s="28">
        <v>3.5799999999999998E-2</v>
      </c>
      <c r="K229" s="28">
        <v>0.17799999999999999</v>
      </c>
      <c r="L229" s="28">
        <v>1.8499999999999999E-2</v>
      </c>
      <c r="M229" s="28">
        <v>0.16</v>
      </c>
      <c r="N229" s="28">
        <v>1.4500000000000001E-2</v>
      </c>
      <c r="O229" s="28">
        <v>4.7800000000000002E-2</v>
      </c>
      <c r="P229" s="28">
        <v>1.34E-2</v>
      </c>
      <c r="Q229" s="39">
        <v>9.3600000000000003E-3</v>
      </c>
    </row>
    <row r="230" spans="1:17" ht="27" customHeight="1" x14ac:dyDescent="0.3">
      <c r="A230" s="34" t="s">
        <v>17</v>
      </c>
      <c r="B230" s="44" t="s">
        <v>23</v>
      </c>
      <c r="C230" s="29">
        <v>94.2</v>
      </c>
      <c r="D230" s="30">
        <v>0.23499999999999999</v>
      </c>
      <c r="E230" s="30">
        <v>14.47</v>
      </c>
      <c r="F230" s="30">
        <v>0.30499999999999999</v>
      </c>
      <c r="G230" s="30">
        <v>0.17699999999999999</v>
      </c>
      <c r="H230" s="30">
        <v>0.88500000000000001</v>
      </c>
      <c r="I230" s="30">
        <v>8.5000000000000006E-2</v>
      </c>
      <c r="J230" s="30">
        <v>3.2300000000000002E-2</v>
      </c>
      <c r="K230" s="30">
        <v>0.16700000000000001</v>
      </c>
      <c r="L230" s="30">
        <v>2.1000000000000001E-2</v>
      </c>
      <c r="M230" s="30">
        <v>0.13700000000000001</v>
      </c>
      <c r="N230" s="30">
        <v>1.5900000000000001E-2</v>
      </c>
      <c r="O230" s="30">
        <v>4.8099999999999997E-2</v>
      </c>
      <c r="P230" s="30">
        <v>1.47E-2</v>
      </c>
      <c r="Q230" s="40">
        <v>4.8199999999999996E-3</v>
      </c>
    </row>
    <row r="231" spans="1:17" ht="27" customHeight="1" x14ac:dyDescent="0.3">
      <c r="A231" s="33" t="s">
        <v>17</v>
      </c>
      <c r="B231" s="43" t="s">
        <v>23</v>
      </c>
      <c r="C231" s="20">
        <v>93.23</v>
      </c>
      <c r="D231" s="28">
        <v>0.22900000000000001</v>
      </c>
      <c r="E231" s="28">
        <v>14.24</v>
      </c>
      <c r="F231" s="28">
        <v>0.312</v>
      </c>
      <c r="G231" s="28">
        <v>0.17499999999999999</v>
      </c>
      <c r="H231" s="28">
        <v>0.93100000000000005</v>
      </c>
      <c r="I231" s="28">
        <v>8.4000000000000005E-2</v>
      </c>
      <c r="J231" s="28">
        <v>3.0800000000000001E-2</v>
      </c>
      <c r="K231" s="28">
        <v>0.16600000000000001</v>
      </c>
      <c r="L231" s="28">
        <v>2.0500000000000001E-2</v>
      </c>
      <c r="M231" s="28">
        <v>0.14699999999999999</v>
      </c>
      <c r="N231" s="28">
        <v>1.5599999999999999E-2</v>
      </c>
      <c r="O231" s="28">
        <v>4.7300000000000002E-2</v>
      </c>
      <c r="P231" s="28">
        <v>1.47E-2</v>
      </c>
      <c r="Q231" s="39">
        <v>4.7600000000000003E-3</v>
      </c>
    </row>
    <row r="232" spans="1:17" ht="27" customHeight="1" x14ac:dyDescent="0.3">
      <c r="A232" s="33" t="s">
        <v>17</v>
      </c>
      <c r="B232" s="43" t="s">
        <v>23</v>
      </c>
      <c r="C232" s="20">
        <v>92.34</v>
      </c>
      <c r="D232" s="28">
        <v>0.23</v>
      </c>
      <c r="E232" s="28">
        <v>14.2</v>
      </c>
      <c r="F232" s="28">
        <v>0.309</v>
      </c>
      <c r="G232" s="28">
        <v>0.17599999999999999</v>
      </c>
      <c r="H232" s="28">
        <v>0.93799999999999994</v>
      </c>
      <c r="I232" s="28">
        <v>8.5099999999999995E-2</v>
      </c>
      <c r="J232" s="28">
        <v>2.9100000000000001E-2</v>
      </c>
      <c r="K232" s="28">
        <v>0.16700000000000001</v>
      </c>
      <c r="L232" s="28">
        <v>2.0500000000000001E-2</v>
      </c>
      <c r="M232" s="28">
        <v>0.14099999999999999</v>
      </c>
      <c r="N232" s="28">
        <v>1.5800000000000002E-2</v>
      </c>
      <c r="O232" s="28">
        <v>4.6800000000000001E-2</v>
      </c>
      <c r="P232" s="28">
        <v>1.49E-2</v>
      </c>
      <c r="Q232" s="39">
        <v>4.4400000000000004E-3</v>
      </c>
    </row>
    <row r="233" spans="1:17" ht="27" customHeight="1" x14ac:dyDescent="0.3">
      <c r="A233" s="33" t="s">
        <v>17</v>
      </c>
      <c r="B233" s="43" t="s">
        <v>23</v>
      </c>
      <c r="C233" s="20">
        <v>97.09</v>
      </c>
      <c r="D233" s="28">
        <v>0.24</v>
      </c>
      <c r="E233" s="28">
        <v>15.01</v>
      </c>
      <c r="F233" s="28">
        <v>0.32400000000000001</v>
      </c>
      <c r="G233" s="28">
        <v>0.185</v>
      </c>
      <c r="H233" s="28">
        <v>0.98</v>
      </c>
      <c r="I233" s="28">
        <v>8.9300000000000004E-2</v>
      </c>
      <c r="J233" s="28">
        <v>3.3700000000000001E-2</v>
      </c>
      <c r="K233" s="28">
        <v>0.17499999999999999</v>
      </c>
      <c r="L233" s="28">
        <v>2.12E-2</v>
      </c>
      <c r="M233" s="28">
        <v>0.13900000000000001</v>
      </c>
      <c r="N233" s="28">
        <v>1.7000000000000001E-2</v>
      </c>
      <c r="O233" s="28">
        <v>4.9399999999999999E-2</v>
      </c>
      <c r="P233" s="28">
        <v>1.54E-2</v>
      </c>
      <c r="Q233" s="39">
        <v>4.81E-3</v>
      </c>
    </row>
    <row r="234" spans="1:17" ht="27" customHeight="1" x14ac:dyDescent="0.3">
      <c r="A234" s="33" t="s">
        <v>17</v>
      </c>
      <c r="B234" s="43" t="s">
        <v>23</v>
      </c>
      <c r="C234" s="20">
        <v>98.79</v>
      </c>
      <c r="D234" s="28">
        <v>0.24299999999999999</v>
      </c>
      <c r="E234" s="28">
        <v>15.29</v>
      </c>
      <c r="F234" s="28">
        <v>0.33600000000000002</v>
      </c>
      <c r="G234" s="28">
        <v>0.187</v>
      </c>
      <c r="H234" s="28">
        <v>1.08</v>
      </c>
      <c r="I234" s="28">
        <v>9.2999999999999999E-2</v>
      </c>
      <c r="J234" s="28">
        <v>3.4500000000000003E-2</v>
      </c>
      <c r="K234" s="28">
        <v>0.18</v>
      </c>
      <c r="L234" s="28">
        <v>2.23E-2</v>
      </c>
      <c r="M234" s="28">
        <v>0.16600000000000001</v>
      </c>
      <c r="N234" s="28">
        <v>1.7100000000000001E-2</v>
      </c>
      <c r="O234" s="28">
        <v>4.9799999999999997E-2</v>
      </c>
      <c r="P234" s="28">
        <v>1.61E-2</v>
      </c>
      <c r="Q234" s="39">
        <v>5.1799999999999997E-3</v>
      </c>
    </row>
    <row r="235" spans="1:17" ht="27" customHeight="1" x14ac:dyDescent="0.3">
      <c r="A235" s="33" t="s">
        <v>17</v>
      </c>
      <c r="B235" s="43" t="s">
        <v>23</v>
      </c>
      <c r="C235" s="20">
        <v>96.37</v>
      </c>
      <c r="D235" s="28">
        <v>0.23899999999999999</v>
      </c>
      <c r="E235" s="28">
        <v>14.97</v>
      </c>
      <c r="F235" s="28">
        <v>0.32400000000000001</v>
      </c>
      <c r="G235" s="28">
        <v>0.18</v>
      </c>
      <c r="H235" s="28">
        <v>1.07</v>
      </c>
      <c r="I235" s="28">
        <v>8.9800000000000005E-2</v>
      </c>
      <c r="J235" s="28">
        <v>3.2300000000000002E-2</v>
      </c>
      <c r="K235" s="28">
        <v>0.17499999999999999</v>
      </c>
      <c r="L235" s="28">
        <v>2.1999999999999999E-2</v>
      </c>
      <c r="M235" s="28">
        <v>0.161</v>
      </c>
      <c r="N235" s="28">
        <v>1.6799999999999999E-2</v>
      </c>
      <c r="O235" s="28">
        <v>4.9000000000000002E-2</v>
      </c>
      <c r="P235" s="28">
        <v>1.5599999999999999E-2</v>
      </c>
      <c r="Q235" s="39">
        <v>5.0699999999999999E-3</v>
      </c>
    </row>
    <row r="236" spans="1:17" ht="27" customHeight="1" x14ac:dyDescent="0.3">
      <c r="A236" s="33" t="s">
        <v>17</v>
      </c>
      <c r="B236" s="43" t="s">
        <v>23</v>
      </c>
      <c r="C236" s="20">
        <v>98.24</v>
      </c>
      <c r="D236" s="28">
        <v>0.24299999999999999</v>
      </c>
      <c r="E236" s="28">
        <v>15.14</v>
      </c>
      <c r="F236" s="28">
        <v>0.33600000000000002</v>
      </c>
      <c r="G236" s="28">
        <v>0.189</v>
      </c>
      <c r="H236" s="28">
        <v>1.1499999999999999</v>
      </c>
      <c r="I236" s="28">
        <v>9.2700000000000005E-2</v>
      </c>
      <c r="J236" s="28">
        <v>3.5000000000000003E-2</v>
      </c>
      <c r="K236" s="28">
        <v>0.17399999999999999</v>
      </c>
      <c r="L236" s="28">
        <v>2.2100000000000002E-2</v>
      </c>
      <c r="M236" s="28">
        <v>0.16300000000000001</v>
      </c>
      <c r="N236" s="28">
        <v>1.7100000000000001E-2</v>
      </c>
      <c r="O236" s="28">
        <v>4.9500000000000002E-2</v>
      </c>
      <c r="P236" s="28">
        <v>1.54E-2</v>
      </c>
      <c r="Q236" s="39">
        <v>4.9199999999999999E-3</v>
      </c>
    </row>
    <row r="237" spans="1:17" ht="27" customHeight="1" x14ac:dyDescent="0.3">
      <c r="A237" s="34" t="s">
        <v>20</v>
      </c>
      <c r="B237" s="44" t="s">
        <v>23</v>
      </c>
      <c r="C237" s="29">
        <v>72.16</v>
      </c>
      <c r="D237" s="30">
        <v>0.13300000000000001</v>
      </c>
      <c r="E237" s="30">
        <v>12.48</v>
      </c>
      <c r="F237" s="30">
        <v>0.29699999999999999</v>
      </c>
      <c r="G237" s="30">
        <v>0.17199999999999999</v>
      </c>
      <c r="H237" s="30">
        <v>0.28100000000000003</v>
      </c>
      <c r="I237" s="30">
        <v>8.6800000000000002E-2</v>
      </c>
      <c r="J237" s="30">
        <v>2.07E-2</v>
      </c>
      <c r="K237" s="30">
        <v>0.13700000000000001</v>
      </c>
      <c r="L237" s="30">
        <v>2.12E-2</v>
      </c>
      <c r="M237" s="30">
        <v>6.5199999999999994E-2</v>
      </c>
      <c r="N237" s="30">
        <v>1.21E-2</v>
      </c>
      <c r="O237" s="30">
        <v>4.9700000000000001E-2</v>
      </c>
      <c r="P237" s="30">
        <v>1.09E-2</v>
      </c>
      <c r="Q237" s="40">
        <v>5.5599999999999998E-3</v>
      </c>
    </row>
    <row r="238" spans="1:17" ht="27" customHeight="1" x14ac:dyDescent="0.3">
      <c r="A238" s="33" t="s">
        <v>20</v>
      </c>
      <c r="B238" s="43" t="s">
        <v>23</v>
      </c>
      <c r="C238" s="20">
        <v>91.09</v>
      </c>
      <c r="D238" s="28">
        <v>0.16600000000000001</v>
      </c>
      <c r="E238" s="28">
        <v>15.43</v>
      </c>
      <c r="F238" s="28">
        <v>0.40699999999999997</v>
      </c>
      <c r="G238" s="28">
        <v>0.214</v>
      </c>
      <c r="H238" s="28">
        <v>0.47</v>
      </c>
      <c r="I238" s="28">
        <v>0.111</v>
      </c>
      <c r="J238" s="28">
        <v>2.3900000000000001E-2</v>
      </c>
      <c r="K238" s="28">
        <v>0.16800000000000001</v>
      </c>
      <c r="L238" s="28">
        <v>2.92E-2</v>
      </c>
      <c r="M238" s="28">
        <v>9.6199999999999994E-2</v>
      </c>
      <c r="N238" s="28">
        <v>1.5900000000000001E-2</v>
      </c>
      <c r="O238" s="28">
        <v>6.0699999999999997E-2</v>
      </c>
      <c r="P238" s="28">
        <v>1.43E-2</v>
      </c>
      <c r="Q238" s="39">
        <v>6.4599999999999996E-3</v>
      </c>
    </row>
    <row r="239" spans="1:17" ht="27" customHeight="1" x14ac:dyDescent="0.3">
      <c r="A239" s="33" t="s">
        <v>20</v>
      </c>
      <c r="B239" s="43" t="s">
        <v>23</v>
      </c>
      <c r="C239" s="20">
        <v>89.64</v>
      </c>
      <c r="D239" s="28">
        <v>0.16300000000000001</v>
      </c>
      <c r="E239" s="28">
        <v>15.11</v>
      </c>
      <c r="F239" s="28">
        <v>0.42699999999999999</v>
      </c>
      <c r="G239" s="28">
        <v>0.21099999999999999</v>
      </c>
      <c r="H239" s="28">
        <v>0.55300000000000005</v>
      </c>
      <c r="I239" s="28">
        <v>0.109</v>
      </c>
      <c r="J239" s="28">
        <v>2.4199999999999999E-2</v>
      </c>
      <c r="K239" s="28">
        <v>0.16500000000000001</v>
      </c>
      <c r="L239" s="28">
        <v>2.8899999999999999E-2</v>
      </c>
      <c r="M239" s="28">
        <v>0.111</v>
      </c>
      <c r="N239" s="28">
        <v>1.6799999999999999E-2</v>
      </c>
      <c r="O239" s="28">
        <v>5.7700000000000001E-2</v>
      </c>
      <c r="P239" s="28">
        <v>1.3299999999999999E-2</v>
      </c>
      <c r="Q239" s="39">
        <v>6.8700000000000002E-3</v>
      </c>
    </row>
    <row r="240" spans="1:17" ht="27" customHeight="1" x14ac:dyDescent="0.3">
      <c r="A240" s="33" t="s">
        <v>20</v>
      </c>
      <c r="B240" s="43" t="s">
        <v>23</v>
      </c>
      <c r="C240" s="20">
        <v>71.86</v>
      </c>
      <c r="D240" s="28">
        <v>0.13100000000000001</v>
      </c>
      <c r="E240" s="28">
        <v>12.43</v>
      </c>
      <c r="F240" s="28">
        <v>0.373</v>
      </c>
      <c r="G240" s="28">
        <v>0.17899999999999999</v>
      </c>
      <c r="H240" s="28">
        <v>0.61099999999999999</v>
      </c>
      <c r="I240" s="28">
        <v>9.74E-2</v>
      </c>
      <c r="J240" s="28">
        <v>2.1600000000000001E-2</v>
      </c>
      <c r="K240" s="28">
        <v>0.13400000000000001</v>
      </c>
      <c r="L240" s="28">
        <v>2.3800000000000002E-2</v>
      </c>
      <c r="M240" s="28">
        <v>0.114</v>
      </c>
      <c r="N240" s="28">
        <v>1.5100000000000001E-2</v>
      </c>
      <c r="O240" s="28">
        <v>4.4400000000000002E-2</v>
      </c>
      <c r="P240" s="28">
        <v>1.1299999999999999E-2</v>
      </c>
      <c r="Q240" s="39">
        <v>5.3200000000000001E-3</v>
      </c>
    </row>
    <row r="241" spans="1:17" ht="27" customHeight="1" x14ac:dyDescent="0.3">
      <c r="A241" s="33" t="s">
        <v>20</v>
      </c>
      <c r="B241" s="43" t="s">
        <v>23</v>
      </c>
      <c r="C241" s="20">
        <v>83.93</v>
      </c>
      <c r="D241" s="28">
        <v>0.14399999999999999</v>
      </c>
      <c r="E241" s="28">
        <v>14.71</v>
      </c>
      <c r="F241" s="28">
        <v>0.47599999999999998</v>
      </c>
      <c r="G241" s="28">
        <v>0.22600000000000001</v>
      </c>
      <c r="H241" s="28">
        <v>0.86299999999999999</v>
      </c>
      <c r="I241" s="28">
        <v>0.13200000000000001</v>
      </c>
      <c r="J241" s="28">
        <v>3.0499999999999999E-2</v>
      </c>
      <c r="K241" s="28">
        <v>0.155</v>
      </c>
      <c r="L241" s="28">
        <v>3.0200000000000001E-2</v>
      </c>
      <c r="M241" s="28">
        <v>0.16</v>
      </c>
      <c r="N241" s="28">
        <v>2.1399999999999999E-2</v>
      </c>
      <c r="O241" s="28">
        <v>5.11E-2</v>
      </c>
      <c r="P241" s="28">
        <v>1.8200000000000001E-2</v>
      </c>
      <c r="Q241" s="39">
        <v>6.4599999999999996E-3</v>
      </c>
    </row>
    <row r="242" spans="1:17" ht="27" customHeight="1" x14ac:dyDescent="0.3">
      <c r="A242" s="34" t="s">
        <v>21</v>
      </c>
      <c r="B242" s="44" t="s">
        <v>23</v>
      </c>
      <c r="C242" s="29">
        <v>72.41</v>
      </c>
      <c r="D242" s="30">
        <v>0.152</v>
      </c>
      <c r="E242" s="30">
        <v>12.26</v>
      </c>
      <c r="F242" s="30">
        <v>0.16300000000000001</v>
      </c>
      <c r="G242" s="30">
        <v>0.109</v>
      </c>
      <c r="H242" s="30">
        <v>0.35399999999999998</v>
      </c>
      <c r="I242" s="30">
        <v>5.7299999999999997E-2</v>
      </c>
      <c r="J242" s="30">
        <v>2.18E-2</v>
      </c>
      <c r="K242" s="30">
        <v>0.13500000000000001</v>
      </c>
      <c r="L242" s="30">
        <v>1.11E-2</v>
      </c>
      <c r="M242" s="30">
        <v>6.1600000000000002E-2</v>
      </c>
      <c r="N242" s="30">
        <v>7.6400000000000001E-3</v>
      </c>
      <c r="O242" s="30">
        <v>3.8899999999999997E-2</v>
      </c>
      <c r="P242" s="30">
        <v>1.04E-2</v>
      </c>
      <c r="Q242" s="40">
        <v>3.6099999999999999E-3</v>
      </c>
    </row>
    <row r="243" spans="1:17" ht="27" customHeight="1" x14ac:dyDescent="0.3">
      <c r="A243" s="33" t="s">
        <v>21</v>
      </c>
      <c r="B243" s="43" t="s">
        <v>23</v>
      </c>
      <c r="C243" s="20">
        <v>75.56</v>
      </c>
      <c r="D243" s="28">
        <v>0.159</v>
      </c>
      <c r="E243" s="28">
        <v>12.77</v>
      </c>
      <c r="F243" s="28">
        <v>0.17199999999999999</v>
      </c>
      <c r="G243" s="28">
        <v>0.111</v>
      </c>
      <c r="H243" s="28">
        <v>0.43099999999999999</v>
      </c>
      <c r="I243" s="28">
        <v>6.0900000000000003E-2</v>
      </c>
      <c r="J243" s="28">
        <v>2.4E-2</v>
      </c>
      <c r="K243" s="28">
        <v>0.14000000000000001</v>
      </c>
      <c r="L243" s="28">
        <v>1.1900000000000001E-2</v>
      </c>
      <c r="M243" s="28">
        <v>7.8899999999999998E-2</v>
      </c>
      <c r="N243" s="28">
        <v>8.3999999999999995E-3</v>
      </c>
      <c r="O243" s="28">
        <v>4.07E-2</v>
      </c>
      <c r="P243" s="28">
        <v>1.03E-2</v>
      </c>
      <c r="Q243" s="39">
        <v>3.31E-3</v>
      </c>
    </row>
    <row r="244" spans="1:17" ht="27" customHeight="1" x14ac:dyDescent="0.3">
      <c r="A244" s="33" t="s">
        <v>21</v>
      </c>
      <c r="B244" s="43" t="s">
        <v>23</v>
      </c>
      <c r="C244" s="20">
        <v>94.95</v>
      </c>
      <c r="D244" s="28">
        <v>0.20300000000000001</v>
      </c>
      <c r="E244" s="28">
        <v>16.12</v>
      </c>
      <c r="F244" s="28">
        <v>0.222</v>
      </c>
      <c r="G244" s="28">
        <v>0.14599999999999999</v>
      </c>
      <c r="H244" s="28">
        <v>0.61499999999999999</v>
      </c>
      <c r="I244" s="28">
        <v>7.9500000000000001E-2</v>
      </c>
      <c r="J244" s="28">
        <v>2.9899999999999999E-2</v>
      </c>
      <c r="K244" s="28">
        <v>0.18099999999999999</v>
      </c>
      <c r="L244" s="28">
        <v>1.5100000000000001E-2</v>
      </c>
      <c r="M244" s="28">
        <v>0.109</v>
      </c>
      <c r="N244" s="28">
        <v>1.0699999999999999E-2</v>
      </c>
      <c r="O244" s="28">
        <v>5.0299999999999997E-2</v>
      </c>
      <c r="P244" s="28">
        <v>1.3299999999999999E-2</v>
      </c>
      <c r="Q244" s="39">
        <v>4.3299999999999996E-3</v>
      </c>
    </row>
    <row r="245" spans="1:17" ht="27" customHeight="1" x14ac:dyDescent="0.3">
      <c r="A245" s="33" t="s">
        <v>21</v>
      </c>
      <c r="B245" s="43" t="s">
        <v>23</v>
      </c>
      <c r="C245" s="20">
        <v>95.12</v>
      </c>
      <c r="D245" s="28">
        <v>0.20499999999999999</v>
      </c>
      <c r="E245" s="28">
        <v>16.34</v>
      </c>
      <c r="F245" s="28">
        <v>0.22600000000000001</v>
      </c>
      <c r="G245" s="28">
        <v>0.14799999999999999</v>
      </c>
      <c r="H245" s="28">
        <v>0.65600000000000003</v>
      </c>
      <c r="I245" s="28">
        <v>8.0299999999999996E-2</v>
      </c>
      <c r="J245" s="28">
        <v>3.1699999999999999E-2</v>
      </c>
      <c r="K245" s="28">
        <v>0.18099999999999999</v>
      </c>
      <c r="L245" s="28">
        <v>1.6400000000000001E-2</v>
      </c>
      <c r="M245" s="28">
        <v>0.11799999999999999</v>
      </c>
      <c r="N245" s="28">
        <v>1.09E-2</v>
      </c>
      <c r="O245" s="28">
        <v>4.9299999999999997E-2</v>
      </c>
      <c r="P245" s="28">
        <v>1.32E-2</v>
      </c>
      <c r="Q245" s="39">
        <v>4.28E-3</v>
      </c>
    </row>
    <row r="246" spans="1:17" ht="27" customHeight="1" x14ac:dyDescent="0.3">
      <c r="A246" s="33" t="s">
        <v>21</v>
      </c>
      <c r="B246" s="43" t="s">
        <v>23</v>
      </c>
      <c r="C246" s="20">
        <v>72.84</v>
      </c>
      <c r="D246" s="28">
        <v>0.158</v>
      </c>
      <c r="E246" s="28">
        <v>12.43</v>
      </c>
      <c r="F246" s="28">
        <v>0.17599999999999999</v>
      </c>
      <c r="G246" s="28">
        <v>0.113</v>
      </c>
      <c r="H246" s="28">
        <v>0.53100000000000003</v>
      </c>
      <c r="I246" s="28">
        <v>6.2E-2</v>
      </c>
      <c r="J246" s="28">
        <v>2.3900000000000001E-2</v>
      </c>
      <c r="K246" s="28">
        <v>0.14099999999999999</v>
      </c>
      <c r="L246" s="28">
        <v>1.24E-2</v>
      </c>
      <c r="M246" s="28">
        <v>9.2799999999999994E-2</v>
      </c>
      <c r="N246" s="28">
        <v>8.6199999999999992E-3</v>
      </c>
      <c r="O246" s="28">
        <v>3.7499999999999999E-2</v>
      </c>
      <c r="P246" s="28">
        <v>9.8399999999999998E-3</v>
      </c>
      <c r="Q246" s="39">
        <v>3.5500000000000002E-3</v>
      </c>
    </row>
    <row r="247" spans="1:17" ht="27" customHeight="1" x14ac:dyDescent="0.3">
      <c r="A247" s="33" t="s">
        <v>21</v>
      </c>
      <c r="B247" s="43" t="s">
        <v>23</v>
      </c>
      <c r="C247" s="20">
        <v>93.5</v>
      </c>
      <c r="D247" s="28">
        <v>0.20300000000000001</v>
      </c>
      <c r="E247" s="28">
        <v>16.100000000000001</v>
      </c>
      <c r="F247" s="28">
        <v>0.22900000000000001</v>
      </c>
      <c r="G247" s="28">
        <v>0.151</v>
      </c>
      <c r="H247" s="28">
        <v>0.71499999999999997</v>
      </c>
      <c r="I247" s="28">
        <v>8.2199999999999995E-2</v>
      </c>
      <c r="J247" s="28">
        <v>3.04E-2</v>
      </c>
      <c r="K247" s="28">
        <v>0.182</v>
      </c>
      <c r="L247" s="28">
        <v>1.66E-2</v>
      </c>
      <c r="M247" s="28">
        <v>0.121</v>
      </c>
      <c r="N247" s="28">
        <v>1.17E-2</v>
      </c>
      <c r="O247" s="28">
        <v>4.7899999999999998E-2</v>
      </c>
      <c r="P247" s="28">
        <v>1.26E-2</v>
      </c>
      <c r="Q247" s="39">
        <v>4.3E-3</v>
      </c>
    </row>
    <row r="248" spans="1:17" ht="27" customHeight="1" x14ac:dyDescent="0.3">
      <c r="A248" s="33" t="s">
        <v>21</v>
      </c>
      <c r="B248" s="43" t="s">
        <v>23</v>
      </c>
      <c r="C248" s="20">
        <v>101.54</v>
      </c>
      <c r="D248" s="28">
        <v>0.224</v>
      </c>
      <c r="E248" s="28">
        <v>17.260000000000002</v>
      </c>
      <c r="F248" s="28">
        <v>0.25700000000000001</v>
      </c>
      <c r="G248" s="28">
        <v>0.16600000000000001</v>
      </c>
      <c r="H248" s="28">
        <v>0.81399999999999995</v>
      </c>
      <c r="I248" s="28">
        <v>9.01E-2</v>
      </c>
      <c r="J248" s="28">
        <v>3.61E-2</v>
      </c>
      <c r="K248" s="28">
        <v>0.19900000000000001</v>
      </c>
      <c r="L248" s="28">
        <v>1.6899999999999998E-2</v>
      </c>
      <c r="M248" s="28">
        <v>0.13800000000000001</v>
      </c>
      <c r="N248" s="28">
        <v>1.26E-2</v>
      </c>
      <c r="O248" s="28">
        <v>5.1499999999999997E-2</v>
      </c>
      <c r="P248" s="28">
        <v>1.3899999999999999E-2</v>
      </c>
      <c r="Q248" s="39">
        <v>4.9100000000000003E-3</v>
      </c>
    </row>
    <row r="249" spans="1:17" ht="27" customHeight="1" x14ac:dyDescent="0.3">
      <c r="A249" s="33" t="s">
        <v>21</v>
      </c>
      <c r="B249" s="43" t="s">
        <v>23</v>
      </c>
      <c r="C249" s="20">
        <v>68.75</v>
      </c>
      <c r="D249" s="28">
        <v>0.151</v>
      </c>
      <c r="E249" s="28">
        <v>11.78</v>
      </c>
      <c r="F249" s="28">
        <v>0.18099999999999999</v>
      </c>
      <c r="G249" s="28">
        <v>0.111</v>
      </c>
      <c r="H249" s="28">
        <v>0.60199999999999998</v>
      </c>
      <c r="I249" s="28">
        <v>6.2100000000000002E-2</v>
      </c>
      <c r="J249" s="28">
        <v>2.4199999999999999E-2</v>
      </c>
      <c r="K249" s="28">
        <v>0.13500000000000001</v>
      </c>
      <c r="L249" s="28">
        <v>1.2699999999999999E-2</v>
      </c>
      <c r="M249" s="28">
        <v>9.4600000000000004E-2</v>
      </c>
      <c r="N249" s="28">
        <v>8.7299999999999999E-3</v>
      </c>
      <c r="O249" s="28">
        <v>3.4500000000000003E-2</v>
      </c>
      <c r="P249" s="28">
        <v>9.5999999999999992E-3</v>
      </c>
      <c r="Q249" s="39">
        <v>3.0200000000000001E-3</v>
      </c>
    </row>
    <row r="250" spans="1:17" ht="27" customHeight="1" x14ac:dyDescent="0.3">
      <c r="A250" s="33" t="s">
        <v>21</v>
      </c>
      <c r="B250" s="43" t="s">
        <v>23</v>
      </c>
      <c r="C250" s="20">
        <v>75.209999999999994</v>
      </c>
      <c r="D250" s="28">
        <v>0.16800000000000001</v>
      </c>
      <c r="E250" s="28">
        <v>12.91</v>
      </c>
      <c r="F250" s="28">
        <v>0.20200000000000001</v>
      </c>
      <c r="G250" s="28">
        <v>0.126</v>
      </c>
      <c r="H250" s="28">
        <v>0.65600000000000003</v>
      </c>
      <c r="I250" s="28">
        <v>6.83E-2</v>
      </c>
      <c r="J250" s="28">
        <v>2.5899999999999999E-2</v>
      </c>
      <c r="K250" s="28">
        <v>0.14799999999999999</v>
      </c>
      <c r="L250" s="28">
        <v>1.43E-2</v>
      </c>
      <c r="M250" s="28">
        <v>0.114</v>
      </c>
      <c r="N250" s="28">
        <v>9.58E-3</v>
      </c>
      <c r="O250" s="28">
        <v>3.78E-2</v>
      </c>
      <c r="P250" s="28">
        <v>1.09E-2</v>
      </c>
      <c r="Q250" s="39">
        <v>3.4099999999999998E-3</v>
      </c>
    </row>
    <row r="251" spans="1:17" ht="27" customHeight="1" x14ac:dyDescent="0.3">
      <c r="A251" s="33" t="s">
        <v>21</v>
      </c>
      <c r="B251" s="43" t="s">
        <v>23</v>
      </c>
      <c r="C251" s="20">
        <v>67.540000000000006</v>
      </c>
      <c r="D251" s="28">
        <v>0.151</v>
      </c>
      <c r="E251" s="28">
        <v>11.53</v>
      </c>
      <c r="F251" s="28">
        <v>0.18</v>
      </c>
      <c r="G251" s="28">
        <v>0.112</v>
      </c>
      <c r="H251" s="28">
        <v>0.61299999999999999</v>
      </c>
      <c r="I251" s="28">
        <v>6.3299999999999995E-2</v>
      </c>
      <c r="J251" s="28">
        <v>2.3300000000000001E-2</v>
      </c>
      <c r="K251" s="28">
        <v>0.13500000000000001</v>
      </c>
      <c r="L251" s="28">
        <v>1.2699999999999999E-2</v>
      </c>
      <c r="M251" s="28">
        <v>0.10299999999999999</v>
      </c>
      <c r="N251" s="28">
        <v>9.2399999999999999E-3</v>
      </c>
      <c r="O251" s="28">
        <v>3.3599999999999998E-2</v>
      </c>
      <c r="P251" s="28">
        <v>9.5200000000000007E-3</v>
      </c>
      <c r="Q251" s="39">
        <v>3.0300000000000001E-3</v>
      </c>
    </row>
    <row r="252" spans="1:17" ht="27" customHeight="1" x14ac:dyDescent="0.3">
      <c r="A252" s="33" t="s">
        <v>21</v>
      </c>
      <c r="B252" s="43" t="s">
        <v>23</v>
      </c>
      <c r="C252" s="20">
        <v>72.83</v>
      </c>
      <c r="D252" s="28">
        <v>0.16300000000000001</v>
      </c>
      <c r="E252" s="28">
        <v>12.46</v>
      </c>
      <c r="F252" s="28">
        <v>0.19800000000000001</v>
      </c>
      <c r="G252" s="28">
        <v>0.12</v>
      </c>
      <c r="H252" s="28">
        <v>0.66400000000000003</v>
      </c>
      <c r="I252" s="28">
        <v>6.7900000000000002E-2</v>
      </c>
      <c r="J252" s="28">
        <v>2.5899999999999999E-2</v>
      </c>
      <c r="K252" s="28">
        <v>0.14399999999999999</v>
      </c>
      <c r="L252" s="28">
        <v>1.37E-2</v>
      </c>
      <c r="M252" s="28">
        <v>0.109</v>
      </c>
      <c r="N252" s="28">
        <v>9.8799999999999999E-3</v>
      </c>
      <c r="O252" s="28">
        <v>3.7199999999999997E-2</v>
      </c>
      <c r="P252" s="28">
        <v>9.5899999999999996E-3</v>
      </c>
      <c r="Q252" s="39">
        <v>3.3700000000000002E-3</v>
      </c>
    </row>
    <row r="253" spans="1:17" ht="27" customHeight="1" x14ac:dyDescent="0.3">
      <c r="A253" s="33" t="s">
        <v>21</v>
      </c>
      <c r="B253" s="43" t="s">
        <v>23</v>
      </c>
      <c r="C253" s="20">
        <v>63.27</v>
      </c>
      <c r="D253" s="28">
        <v>0.14299999999999999</v>
      </c>
      <c r="E253" s="28">
        <v>10.62</v>
      </c>
      <c r="F253" s="28">
        <v>0.17599999999999999</v>
      </c>
      <c r="G253" s="28">
        <v>0.113</v>
      </c>
      <c r="H253" s="28">
        <v>0.52800000000000002</v>
      </c>
      <c r="I253" s="28">
        <v>0.06</v>
      </c>
      <c r="J253" s="28">
        <v>2.4E-2</v>
      </c>
      <c r="K253" s="28">
        <v>0.128</v>
      </c>
      <c r="L253" s="28">
        <v>1.2500000000000001E-2</v>
      </c>
      <c r="M253" s="28">
        <v>8.2600000000000007E-2</v>
      </c>
      <c r="N253" s="28">
        <v>9.2499999999999995E-3</v>
      </c>
      <c r="O253" s="28">
        <v>3.1899999999999998E-2</v>
      </c>
      <c r="P253" s="28">
        <v>9.2099999999999994E-3</v>
      </c>
      <c r="Q253" s="39">
        <v>2.7100000000000002E-3</v>
      </c>
    </row>
    <row r="254" spans="1:17" ht="27" customHeight="1" x14ac:dyDescent="0.3">
      <c r="A254" s="33" t="s">
        <v>21</v>
      </c>
      <c r="B254" s="43" t="s">
        <v>23</v>
      </c>
      <c r="C254" s="20">
        <v>66.069999999999993</v>
      </c>
      <c r="D254" s="28">
        <v>0.14899999999999999</v>
      </c>
      <c r="E254" s="28">
        <v>11.04</v>
      </c>
      <c r="F254" s="28">
        <v>0.18099999999999999</v>
      </c>
      <c r="G254" s="28">
        <v>0.11700000000000001</v>
      </c>
      <c r="H254" s="28">
        <v>0.57699999999999996</v>
      </c>
      <c r="I254" s="28">
        <v>6.1400000000000003E-2</v>
      </c>
      <c r="J254" s="28">
        <v>2.4799999999999999E-2</v>
      </c>
      <c r="K254" s="28">
        <v>0.129</v>
      </c>
      <c r="L254" s="28">
        <v>1.24E-2</v>
      </c>
      <c r="M254" s="28">
        <v>0.104</v>
      </c>
      <c r="N254" s="28">
        <v>9.4900000000000002E-3</v>
      </c>
      <c r="O254" s="28">
        <v>3.4500000000000003E-2</v>
      </c>
      <c r="P254" s="28">
        <v>9.7199999999999995E-3</v>
      </c>
      <c r="Q254" s="39">
        <v>3.1199999999999999E-3</v>
      </c>
    </row>
    <row r="255" spans="1:17" ht="27" customHeight="1" x14ac:dyDescent="0.3">
      <c r="A255" s="33" t="s">
        <v>21</v>
      </c>
      <c r="B255" s="43" t="s">
        <v>23</v>
      </c>
      <c r="C255" s="20">
        <v>67.599999999999994</v>
      </c>
      <c r="D255" s="28">
        <v>0.153</v>
      </c>
      <c r="E255" s="28">
        <v>11.06</v>
      </c>
      <c r="F255" s="28">
        <v>0.188</v>
      </c>
      <c r="G255" s="28">
        <v>0.11600000000000001</v>
      </c>
      <c r="H255" s="28">
        <v>0.60799999999999998</v>
      </c>
      <c r="I255" s="28">
        <v>6.3500000000000001E-2</v>
      </c>
      <c r="J255" s="28">
        <v>2.5600000000000001E-2</v>
      </c>
      <c r="K255" s="28">
        <v>0.13400000000000001</v>
      </c>
      <c r="L255" s="28">
        <v>1.3299999999999999E-2</v>
      </c>
      <c r="M255" s="28">
        <v>0.11</v>
      </c>
      <c r="N255" s="28">
        <v>9.5399999999999999E-3</v>
      </c>
      <c r="O255" s="28">
        <v>3.5299999999999998E-2</v>
      </c>
      <c r="P255" s="28">
        <v>9.5399999999999999E-3</v>
      </c>
      <c r="Q255" s="39">
        <v>3.5699999999999998E-3</v>
      </c>
    </row>
    <row r="256" spans="1:17" ht="27" customHeight="1" x14ac:dyDescent="0.3">
      <c r="A256" s="34" t="s">
        <v>24</v>
      </c>
      <c r="B256" s="45" t="s">
        <v>18</v>
      </c>
      <c r="C256" s="29">
        <v>83.53</v>
      </c>
      <c r="D256" s="30">
        <v>0.17199999999999999</v>
      </c>
      <c r="E256" s="30">
        <v>15.73</v>
      </c>
      <c r="F256" s="30">
        <v>0.50600000000000001</v>
      </c>
      <c r="G256" s="30">
        <v>0.23899999999999999</v>
      </c>
      <c r="H256" s="30">
        <v>0.78600000000000003</v>
      </c>
      <c r="I256" s="30">
        <v>0.14399999999999999</v>
      </c>
      <c r="J256" s="30">
        <v>3.4599999999999999E-2</v>
      </c>
      <c r="K256" s="30">
        <v>0.17399999999999999</v>
      </c>
      <c r="L256" s="30">
        <v>3.2399999999999998E-2</v>
      </c>
      <c r="M256" s="30">
        <v>0.16300000000000001</v>
      </c>
      <c r="N256" s="30">
        <v>2.58E-2</v>
      </c>
      <c r="O256" s="30">
        <v>7.0000000000000007E-2</v>
      </c>
      <c r="P256" s="30">
        <v>2.1299999999999999E-2</v>
      </c>
      <c r="Q256" s="40">
        <v>7.7999999999999996E-3</v>
      </c>
    </row>
    <row r="257" spans="1:17" ht="27" customHeight="1" x14ac:dyDescent="0.3">
      <c r="A257" s="33" t="s">
        <v>24</v>
      </c>
      <c r="B257" s="46" t="s">
        <v>18</v>
      </c>
      <c r="C257" s="20">
        <v>96.53</v>
      </c>
      <c r="D257" s="28">
        <v>0.20100000000000001</v>
      </c>
      <c r="E257" s="28">
        <v>17.78</v>
      </c>
      <c r="F257" s="28">
        <v>0.60899999999999999</v>
      </c>
      <c r="G257" s="28">
        <v>0.26800000000000002</v>
      </c>
      <c r="H257" s="28">
        <v>0.90600000000000003</v>
      </c>
      <c r="I257" s="28">
        <v>0.16200000000000001</v>
      </c>
      <c r="J257" s="28">
        <v>3.9899999999999998E-2</v>
      </c>
      <c r="K257" s="28">
        <v>0.19800000000000001</v>
      </c>
      <c r="L257" s="28">
        <v>3.9699999999999999E-2</v>
      </c>
      <c r="M257" s="28">
        <v>0.2</v>
      </c>
      <c r="N257" s="28">
        <v>2.9899999999999999E-2</v>
      </c>
      <c r="O257" s="28">
        <v>7.8899999999999998E-2</v>
      </c>
      <c r="P257" s="28">
        <v>2.3699999999999999E-2</v>
      </c>
      <c r="Q257" s="39">
        <v>8.8000000000000005E-3</v>
      </c>
    </row>
    <row r="258" spans="1:17" ht="27" customHeight="1" x14ac:dyDescent="0.3">
      <c r="A258" s="33" t="s">
        <v>24</v>
      </c>
      <c r="B258" s="46" t="s">
        <v>18</v>
      </c>
      <c r="C258" s="20">
        <v>74.5</v>
      </c>
      <c r="D258" s="28">
        <v>0.156</v>
      </c>
      <c r="E258" s="28">
        <v>13.88</v>
      </c>
      <c r="F258" s="28">
        <v>0.47599999999999998</v>
      </c>
      <c r="G258" s="28">
        <v>0.20799999999999999</v>
      </c>
      <c r="H258" s="28">
        <v>0.71099999999999997</v>
      </c>
      <c r="I258" s="28">
        <v>0.126</v>
      </c>
      <c r="J258" s="28">
        <v>3.0300000000000001E-2</v>
      </c>
      <c r="K258" s="28">
        <v>0.153</v>
      </c>
      <c r="L258" s="28">
        <v>3.04E-2</v>
      </c>
      <c r="M258" s="28">
        <v>0.157</v>
      </c>
      <c r="N258" s="28">
        <v>2.3699999999999999E-2</v>
      </c>
      <c r="O258" s="28">
        <v>6.0699999999999997E-2</v>
      </c>
      <c r="P258" s="28">
        <v>1.8100000000000002E-2</v>
      </c>
      <c r="Q258" s="39">
        <v>6.4700000000000001E-3</v>
      </c>
    </row>
    <row r="259" spans="1:17" ht="27" customHeight="1" x14ac:dyDescent="0.3">
      <c r="A259" s="33" t="s">
        <v>24</v>
      </c>
      <c r="B259" s="46" t="s">
        <v>18</v>
      </c>
      <c r="C259" s="20">
        <v>81.650000000000006</v>
      </c>
      <c r="D259" s="28">
        <v>0.17</v>
      </c>
      <c r="E259" s="28">
        <v>15.31</v>
      </c>
      <c r="F259" s="28">
        <v>0.52700000000000002</v>
      </c>
      <c r="G259" s="28">
        <v>0.23</v>
      </c>
      <c r="H259" s="28">
        <v>0.85899999999999999</v>
      </c>
      <c r="I259" s="28">
        <v>0.14000000000000001</v>
      </c>
      <c r="J259" s="28">
        <v>3.3000000000000002E-2</v>
      </c>
      <c r="K259" s="28">
        <v>0.17299999999999999</v>
      </c>
      <c r="L259" s="28">
        <v>3.4700000000000002E-2</v>
      </c>
      <c r="M259" s="28">
        <v>0.17</v>
      </c>
      <c r="N259" s="28">
        <v>2.5499999999999998E-2</v>
      </c>
      <c r="O259" s="28">
        <v>6.6100000000000006E-2</v>
      </c>
      <c r="P259" s="28">
        <v>2.0199999999999999E-2</v>
      </c>
      <c r="Q259" s="39">
        <v>6.8500000000000002E-3</v>
      </c>
    </row>
    <row r="260" spans="1:17" ht="27" customHeight="1" x14ac:dyDescent="0.3">
      <c r="A260" s="33" t="s">
        <v>24</v>
      </c>
      <c r="B260" s="46" t="s">
        <v>18</v>
      </c>
      <c r="C260" s="20">
        <v>80.02</v>
      </c>
      <c r="D260" s="28">
        <v>0.16500000000000001</v>
      </c>
      <c r="E260" s="28">
        <v>14.8</v>
      </c>
      <c r="F260" s="28">
        <v>0.52300000000000002</v>
      </c>
      <c r="G260" s="28">
        <v>0.22500000000000001</v>
      </c>
      <c r="H260" s="28">
        <v>0.80400000000000005</v>
      </c>
      <c r="I260" s="28">
        <v>0.13800000000000001</v>
      </c>
      <c r="J260" s="28">
        <v>3.2899999999999999E-2</v>
      </c>
      <c r="K260" s="28">
        <v>0.16300000000000001</v>
      </c>
      <c r="L260" s="28">
        <v>3.32E-2</v>
      </c>
      <c r="M260" s="28">
        <v>0.16300000000000001</v>
      </c>
      <c r="N260" s="28">
        <v>2.5100000000000001E-2</v>
      </c>
      <c r="O260" s="28">
        <v>6.3600000000000004E-2</v>
      </c>
      <c r="P260" s="28">
        <v>0.02</v>
      </c>
      <c r="Q260" s="39">
        <v>6.6400000000000001E-3</v>
      </c>
    </row>
    <row r="261" spans="1:17" ht="27" customHeight="1" x14ac:dyDescent="0.3">
      <c r="A261" s="33" t="s">
        <v>24</v>
      </c>
      <c r="B261" s="46" t="s">
        <v>18</v>
      </c>
      <c r="C261" s="20">
        <v>80.69</v>
      </c>
      <c r="D261" s="28">
        <v>0.16500000000000001</v>
      </c>
      <c r="E261" s="28">
        <v>15.19</v>
      </c>
      <c r="F261" s="28">
        <v>0.52600000000000002</v>
      </c>
      <c r="G261" s="28">
        <v>0.22600000000000001</v>
      </c>
      <c r="H261" s="28">
        <v>0.81499999999999995</v>
      </c>
      <c r="I261" s="28">
        <v>0.14000000000000001</v>
      </c>
      <c r="J261" s="28">
        <v>3.4099999999999998E-2</v>
      </c>
      <c r="K261" s="28">
        <v>0.16800000000000001</v>
      </c>
      <c r="L261" s="28">
        <v>3.4099999999999998E-2</v>
      </c>
      <c r="M261" s="28">
        <v>0.17100000000000001</v>
      </c>
      <c r="N261" s="28">
        <v>2.64E-2</v>
      </c>
      <c r="O261" s="28">
        <v>6.3700000000000007E-2</v>
      </c>
      <c r="P261" s="28">
        <v>1.9800000000000002E-2</v>
      </c>
      <c r="Q261" s="39">
        <v>5.4000000000000003E-3</v>
      </c>
    </row>
    <row r="262" spans="1:17" ht="27" customHeight="1" x14ac:dyDescent="0.3">
      <c r="A262" s="33" t="s">
        <v>24</v>
      </c>
      <c r="B262" s="46" t="s">
        <v>18</v>
      </c>
      <c r="C262" s="20">
        <v>77.92</v>
      </c>
      <c r="D262" s="28">
        <v>0.161</v>
      </c>
      <c r="E262" s="28">
        <v>14.84</v>
      </c>
      <c r="F262" s="28">
        <v>0.48799999999999999</v>
      </c>
      <c r="G262" s="28">
        <v>0.222</v>
      </c>
      <c r="H262" s="28">
        <v>0.75600000000000001</v>
      </c>
      <c r="I262" s="28">
        <v>0.13700000000000001</v>
      </c>
      <c r="J262" s="28">
        <v>3.4000000000000002E-2</v>
      </c>
      <c r="K262" s="28">
        <v>0.16500000000000001</v>
      </c>
      <c r="L262" s="28">
        <v>3.3399999999999999E-2</v>
      </c>
      <c r="M262" s="28">
        <v>0.161</v>
      </c>
      <c r="N262" s="28">
        <v>2.5000000000000001E-2</v>
      </c>
      <c r="O262" s="28">
        <v>6.1100000000000002E-2</v>
      </c>
      <c r="P262" s="28">
        <v>2.0799999999999999E-2</v>
      </c>
      <c r="Q262" s="39">
        <v>7.1799999999999998E-3</v>
      </c>
    </row>
    <row r="263" spans="1:17" ht="27" customHeight="1" x14ac:dyDescent="0.3">
      <c r="A263" s="34" t="s">
        <v>24</v>
      </c>
      <c r="B263" s="45" t="s">
        <v>25</v>
      </c>
      <c r="C263" s="29">
        <v>104.63</v>
      </c>
      <c r="D263" s="30">
        <v>0.21199999999999999</v>
      </c>
      <c r="E263" s="30">
        <v>19.68</v>
      </c>
      <c r="F263" s="30">
        <v>0.64800000000000002</v>
      </c>
      <c r="G263" s="30">
        <v>0.28999999999999998</v>
      </c>
      <c r="H263" s="30">
        <v>1.1200000000000001</v>
      </c>
      <c r="I263" s="30">
        <v>0.18</v>
      </c>
      <c r="J263" s="30">
        <v>4.4400000000000002E-2</v>
      </c>
      <c r="K263" s="30">
        <v>0.22</v>
      </c>
      <c r="L263" s="30">
        <v>4.0899999999999999E-2</v>
      </c>
      <c r="M263" s="30">
        <v>0.21199999999999999</v>
      </c>
      <c r="N263" s="30">
        <v>3.2500000000000001E-2</v>
      </c>
      <c r="O263" s="30">
        <v>8.0500000000000002E-2</v>
      </c>
      <c r="P263" s="30">
        <v>2.69E-2</v>
      </c>
      <c r="Q263" s="40">
        <v>9.7900000000000001E-3</v>
      </c>
    </row>
    <row r="264" spans="1:17" ht="27" customHeight="1" x14ac:dyDescent="0.3">
      <c r="A264" s="33" t="s">
        <v>24</v>
      </c>
      <c r="B264" s="46" t="s">
        <v>25</v>
      </c>
      <c r="C264" s="20">
        <v>100.1</v>
      </c>
      <c r="D264" s="28">
        <v>0.20599999999999999</v>
      </c>
      <c r="E264" s="28">
        <v>18.850000000000001</v>
      </c>
      <c r="F264" s="28">
        <v>0.65200000000000002</v>
      </c>
      <c r="G264" s="28">
        <v>0.28399999999999997</v>
      </c>
      <c r="H264" s="28">
        <v>0.999</v>
      </c>
      <c r="I264" s="28">
        <v>0.17399999999999999</v>
      </c>
      <c r="J264" s="28">
        <v>3.7600000000000001E-2</v>
      </c>
      <c r="K264" s="28">
        <v>0.21299999999999999</v>
      </c>
      <c r="L264" s="28">
        <v>4.2999999999999997E-2</v>
      </c>
      <c r="M264" s="28">
        <v>0.20399999999999999</v>
      </c>
      <c r="N264" s="28">
        <v>3.2199999999999999E-2</v>
      </c>
      <c r="O264" s="28">
        <v>7.7200000000000005E-2</v>
      </c>
      <c r="P264" s="28">
        <v>2.52E-2</v>
      </c>
      <c r="Q264" s="39">
        <v>8.4700000000000001E-3</v>
      </c>
    </row>
    <row r="265" spans="1:17" ht="27" customHeight="1" x14ac:dyDescent="0.3">
      <c r="A265" s="33" t="s">
        <v>24</v>
      </c>
      <c r="B265" s="46" t="s">
        <v>25</v>
      </c>
      <c r="C265" s="20">
        <v>86.78</v>
      </c>
      <c r="D265" s="28">
        <v>0.17599999999999999</v>
      </c>
      <c r="E265" s="28">
        <v>16.100000000000001</v>
      </c>
      <c r="F265" s="28">
        <v>0.56699999999999995</v>
      </c>
      <c r="G265" s="28">
        <v>0.24199999999999999</v>
      </c>
      <c r="H265" s="28">
        <v>0.86299999999999999</v>
      </c>
      <c r="I265" s="28">
        <v>0.152</v>
      </c>
      <c r="J265" s="28">
        <v>3.4799999999999998E-2</v>
      </c>
      <c r="K265" s="28">
        <v>0.184</v>
      </c>
      <c r="L265" s="28">
        <v>3.7499999999999999E-2</v>
      </c>
      <c r="M265" s="28">
        <v>0.185</v>
      </c>
      <c r="N265" s="28">
        <v>2.7400000000000001E-2</v>
      </c>
      <c r="O265" s="28">
        <v>6.6000000000000003E-2</v>
      </c>
      <c r="P265" s="28">
        <v>2.2200000000000001E-2</v>
      </c>
      <c r="Q265" s="39">
        <v>7.7999999999999996E-3</v>
      </c>
    </row>
    <row r="266" spans="1:17" ht="27" customHeight="1" x14ac:dyDescent="0.3">
      <c r="A266" s="33" t="s">
        <v>24</v>
      </c>
      <c r="B266" s="46" t="s">
        <v>25</v>
      </c>
      <c r="C266" s="20">
        <v>93.04</v>
      </c>
      <c r="D266" s="28">
        <v>0.19</v>
      </c>
      <c r="E266" s="28">
        <v>17.489999999999998</v>
      </c>
      <c r="F266" s="28">
        <v>0.622</v>
      </c>
      <c r="G266" s="28">
        <v>0.26400000000000001</v>
      </c>
      <c r="H266" s="28">
        <v>0.93899999999999995</v>
      </c>
      <c r="I266" s="28">
        <v>0.16500000000000001</v>
      </c>
      <c r="J266" s="28">
        <v>3.6600000000000001E-2</v>
      </c>
      <c r="K266" s="28">
        <v>0.19700000000000001</v>
      </c>
      <c r="L266" s="28">
        <v>4.1000000000000002E-2</v>
      </c>
      <c r="M266" s="28">
        <v>0.21</v>
      </c>
      <c r="N266" s="28">
        <v>3.0300000000000001E-2</v>
      </c>
      <c r="O266" s="28">
        <v>7.1300000000000002E-2</v>
      </c>
      <c r="P266" s="28">
        <v>2.3900000000000001E-2</v>
      </c>
      <c r="Q266" s="39">
        <v>7.6600000000000001E-3</v>
      </c>
    </row>
    <row r="267" spans="1:17" ht="27" customHeight="1" x14ac:dyDescent="0.3">
      <c r="A267" s="34" t="s">
        <v>26</v>
      </c>
      <c r="B267" s="45" t="s">
        <v>18</v>
      </c>
      <c r="C267" s="29">
        <v>102</v>
      </c>
      <c r="D267" s="30">
        <v>0.17</v>
      </c>
      <c r="E267" s="30">
        <v>15.21</v>
      </c>
      <c r="F267" s="30">
        <v>15.2</v>
      </c>
      <c r="G267" s="30">
        <v>0.91</v>
      </c>
      <c r="H267" s="30">
        <v>0.93400000000000005</v>
      </c>
      <c r="I267" s="30">
        <v>0.63</v>
      </c>
      <c r="J267" s="30">
        <v>0.39</v>
      </c>
      <c r="K267" s="30">
        <v>0.31</v>
      </c>
      <c r="L267" s="30">
        <v>0.42</v>
      </c>
      <c r="M267" s="30">
        <v>0.24</v>
      </c>
      <c r="N267" s="30">
        <v>3.4000000000000002E-2</v>
      </c>
      <c r="O267" s="30">
        <v>0.12</v>
      </c>
      <c r="P267" s="30">
        <v>0.5</v>
      </c>
      <c r="Q267" s="40">
        <v>2.1</v>
      </c>
    </row>
    <row r="268" spans="1:17" ht="27" customHeight="1" x14ac:dyDescent="0.3">
      <c r="A268" s="33" t="s">
        <v>26</v>
      </c>
      <c r="B268" s="46" t="s">
        <v>18</v>
      </c>
      <c r="C268" s="20">
        <v>101.3</v>
      </c>
      <c r="D268" s="28">
        <v>0.14000000000000001</v>
      </c>
      <c r="E268" s="28">
        <v>10.23</v>
      </c>
      <c r="F268" s="28">
        <v>14.76</v>
      </c>
      <c r="G268" s="28">
        <v>0.39</v>
      </c>
      <c r="H268" s="28">
        <v>0.92100000000000004</v>
      </c>
      <c r="I268" s="28">
        <v>0.41</v>
      </c>
      <c r="J268" s="28">
        <v>0.28000000000000003</v>
      </c>
      <c r="K268" s="28">
        <v>0.15</v>
      </c>
      <c r="L268" s="28">
        <v>7.9000000000000001E-2</v>
      </c>
      <c r="M268" s="28">
        <v>0.23</v>
      </c>
      <c r="N268" s="28">
        <v>1.6E-2</v>
      </c>
      <c r="O268" s="28">
        <v>5.2999999999999999E-2</v>
      </c>
      <c r="P268" s="28">
        <v>2.3E-2</v>
      </c>
      <c r="Q268" s="39">
        <v>0.41</v>
      </c>
    </row>
    <row r="269" spans="1:17" ht="27" customHeight="1" x14ac:dyDescent="0.3">
      <c r="A269" s="33" t="s">
        <v>26</v>
      </c>
      <c r="B269" s="46" t="s">
        <v>18</v>
      </c>
      <c r="C269" s="20">
        <v>95.63</v>
      </c>
      <c r="D269" s="28">
        <v>0.12</v>
      </c>
      <c r="E269" s="28">
        <v>14.23</v>
      </c>
      <c r="F269" s="28">
        <v>15.08</v>
      </c>
      <c r="G269" s="28">
        <v>0.5</v>
      </c>
      <c r="H269" s="28">
        <v>0.91900000000000004</v>
      </c>
      <c r="I269" s="28">
        <v>0.47</v>
      </c>
      <c r="J269" s="28">
        <v>0.25</v>
      </c>
      <c r="K269" s="28">
        <v>0.18</v>
      </c>
      <c r="L269" s="28">
        <v>0.11</v>
      </c>
      <c r="M269" s="28">
        <v>0.23</v>
      </c>
      <c r="N269" s="28">
        <v>2.3E-2</v>
      </c>
      <c r="O269" s="28">
        <v>6.2E-2</v>
      </c>
      <c r="P269" s="28">
        <v>2.5999999999999999E-2</v>
      </c>
      <c r="Q269" s="39">
        <v>0.32</v>
      </c>
    </row>
    <row r="270" spans="1:17" ht="27" customHeight="1" x14ac:dyDescent="0.3">
      <c r="A270" s="33" t="s">
        <v>26</v>
      </c>
      <c r="B270" s="46" t="s">
        <v>18</v>
      </c>
      <c r="C270" s="20">
        <v>96.45</v>
      </c>
      <c r="D270" s="28">
        <v>0.23</v>
      </c>
      <c r="E270" s="28">
        <v>17.2</v>
      </c>
      <c r="F270" s="28">
        <v>15.06</v>
      </c>
      <c r="G270" s="28">
        <v>1.68</v>
      </c>
      <c r="H270" s="28">
        <v>0.84099999999999997</v>
      </c>
      <c r="I270" s="28">
        <v>1.04</v>
      </c>
      <c r="J270" s="28">
        <v>0.69</v>
      </c>
      <c r="K270" s="28">
        <v>0.15</v>
      </c>
      <c r="L270" s="28">
        <v>0.79</v>
      </c>
      <c r="M270" s="28">
        <v>0.24</v>
      </c>
      <c r="N270" s="28">
        <v>1.7999999999999999E-2</v>
      </c>
      <c r="O270" s="28">
        <v>7.0000000000000007E-2</v>
      </c>
      <c r="P270" s="28">
        <v>1.26</v>
      </c>
      <c r="Q270" s="39">
        <v>5.23</v>
      </c>
    </row>
    <row r="271" spans="1:17" ht="27" customHeight="1" x14ac:dyDescent="0.3">
      <c r="A271" s="33" t="s">
        <v>26</v>
      </c>
      <c r="B271" s="46" t="s">
        <v>18</v>
      </c>
      <c r="C271" s="20">
        <v>96.78</v>
      </c>
      <c r="D271" s="28">
        <v>0.28000000000000003</v>
      </c>
      <c r="E271" s="28">
        <v>17.3</v>
      </c>
      <c r="F271" s="28">
        <v>15.84</v>
      </c>
      <c r="G271" s="28">
        <v>1.23</v>
      </c>
      <c r="H271" s="28">
        <v>0.52300000000000002</v>
      </c>
      <c r="I271" s="28">
        <v>1.32</v>
      </c>
      <c r="J271" s="28">
        <v>0.77</v>
      </c>
      <c r="K271" s="28">
        <v>0.18</v>
      </c>
      <c r="L271" s="28">
        <v>0.48</v>
      </c>
      <c r="M271" s="28">
        <v>0.25</v>
      </c>
      <c r="N271" s="28">
        <v>1.9E-2</v>
      </c>
      <c r="O271" s="28">
        <v>6.5000000000000002E-2</v>
      </c>
      <c r="P271" s="28">
        <v>0.67</v>
      </c>
      <c r="Q271" s="39">
        <v>3.35</v>
      </c>
    </row>
    <row r="272" spans="1:17" ht="27" customHeight="1" x14ac:dyDescent="0.3">
      <c r="A272" s="33" t="s">
        <v>26</v>
      </c>
      <c r="B272" s="46" t="s">
        <v>18</v>
      </c>
      <c r="C272" s="20">
        <v>98.58</v>
      </c>
      <c r="D272" s="28">
        <v>0.21</v>
      </c>
      <c r="E272" s="28">
        <v>17.600000000000001</v>
      </c>
      <c r="F272" s="28">
        <v>16.059999999999999</v>
      </c>
      <c r="G272" s="28">
        <v>1.33</v>
      </c>
      <c r="H272" s="28">
        <v>0.84</v>
      </c>
      <c r="I272" s="28">
        <v>1.31</v>
      </c>
      <c r="J272" s="28">
        <v>0.81</v>
      </c>
      <c r="K272" s="28">
        <v>0.17</v>
      </c>
      <c r="L272" s="28">
        <v>0.42</v>
      </c>
      <c r="M272" s="28">
        <v>0.26</v>
      </c>
      <c r="N272" s="28">
        <v>1.7999999999999999E-2</v>
      </c>
      <c r="O272" s="28">
        <v>6.4000000000000001E-2</v>
      </c>
      <c r="P272" s="28">
        <v>0.52</v>
      </c>
      <c r="Q272" s="39">
        <v>3.64</v>
      </c>
    </row>
    <row r="273" spans="1:17" ht="27" customHeight="1" x14ac:dyDescent="0.3">
      <c r="A273" s="33" t="s">
        <v>26</v>
      </c>
      <c r="B273" s="46" t="s">
        <v>18</v>
      </c>
      <c r="C273" s="20">
        <v>100.2</v>
      </c>
      <c r="D273" s="28">
        <v>0.23</v>
      </c>
      <c r="E273" s="28">
        <v>17.8</v>
      </c>
      <c r="F273" s="28">
        <v>16.329999999999998</v>
      </c>
      <c r="G273" s="28">
        <v>1.1399999999999999</v>
      </c>
      <c r="H273" s="28">
        <v>0.54200000000000004</v>
      </c>
      <c r="I273" s="28">
        <v>0.49</v>
      </c>
      <c r="J273" s="28">
        <v>0.28999999999999998</v>
      </c>
      <c r="K273" s="28">
        <v>0.18</v>
      </c>
      <c r="L273" s="28">
        <v>0.69</v>
      </c>
      <c r="M273" s="28">
        <v>0.28000000000000003</v>
      </c>
      <c r="N273" s="28">
        <v>0.03</v>
      </c>
      <c r="O273" s="28">
        <v>7.3999999999999996E-2</v>
      </c>
      <c r="P273" s="28">
        <v>1.18</v>
      </c>
      <c r="Q273" s="41">
        <v>27.35</v>
      </c>
    </row>
    <row r="274" spans="1:17" ht="27" customHeight="1" x14ac:dyDescent="0.3">
      <c r="A274" s="33" t="s">
        <v>26</v>
      </c>
      <c r="B274" s="46" t="s">
        <v>18</v>
      </c>
      <c r="C274" s="20">
        <v>104.3</v>
      </c>
      <c r="D274" s="28">
        <v>0.24</v>
      </c>
      <c r="E274" s="28">
        <v>17.399999999999999</v>
      </c>
      <c r="F274" s="28">
        <v>15.46</v>
      </c>
      <c r="G274" s="28">
        <v>1.74</v>
      </c>
      <c r="H274" s="28">
        <v>0.63500000000000001</v>
      </c>
      <c r="I274" s="28">
        <v>0.18</v>
      </c>
      <c r="J274" s="28">
        <v>9.2999999999999999E-2</v>
      </c>
      <c r="K274" s="28">
        <v>0.18</v>
      </c>
      <c r="L274" s="28">
        <v>1.49</v>
      </c>
      <c r="M274" s="28">
        <v>0.27</v>
      </c>
      <c r="N274" s="28">
        <v>2.7E-2</v>
      </c>
      <c r="O274" s="28">
        <v>0.13</v>
      </c>
      <c r="P274" s="28">
        <v>3.84</v>
      </c>
      <c r="Q274" s="39">
        <v>1.5672999999999999</v>
      </c>
    </row>
    <row r="275" spans="1:17" ht="27" customHeight="1" x14ac:dyDescent="0.3">
      <c r="A275" s="33" t="s">
        <v>26</v>
      </c>
      <c r="B275" s="46" t="s">
        <v>18</v>
      </c>
      <c r="C275" s="20">
        <v>93.04</v>
      </c>
      <c r="D275" s="28">
        <v>0.27</v>
      </c>
      <c r="E275" s="28">
        <v>14.6</v>
      </c>
      <c r="F275" s="28">
        <v>17.55</v>
      </c>
      <c r="G275" s="28">
        <v>0.89</v>
      </c>
      <c r="H275" s="28">
        <v>0.63400000000000001</v>
      </c>
      <c r="I275" s="28">
        <v>1.04</v>
      </c>
      <c r="J275" s="28">
        <v>0.55000000000000004</v>
      </c>
      <c r="K275" s="28">
        <v>0.16</v>
      </c>
      <c r="L275" s="28">
        <v>0.15</v>
      </c>
      <c r="M275" s="28">
        <v>0.21</v>
      </c>
      <c r="N275" s="28">
        <v>2.4E-2</v>
      </c>
      <c r="O275" s="28">
        <v>5.6000000000000001E-2</v>
      </c>
      <c r="P275" s="28">
        <v>9.6000000000000002E-2</v>
      </c>
      <c r="Q275" s="39">
        <v>1.41</v>
      </c>
    </row>
    <row r="276" spans="1:17" ht="27" customHeight="1" x14ac:dyDescent="0.3">
      <c r="A276" s="34" t="s">
        <v>27</v>
      </c>
      <c r="B276" s="45" t="s">
        <v>25</v>
      </c>
      <c r="C276" s="29">
        <v>72.2</v>
      </c>
      <c r="D276" s="30">
        <v>0.155</v>
      </c>
      <c r="E276" s="30">
        <v>10.72</v>
      </c>
      <c r="F276" s="30">
        <v>0.21199999999999999</v>
      </c>
      <c r="G276" s="30">
        <v>0.153</v>
      </c>
      <c r="H276" s="30">
        <v>0.57199999999999995</v>
      </c>
      <c r="I276" s="30">
        <v>6.5699999999999995E-2</v>
      </c>
      <c r="J276" s="30">
        <v>2.64E-2</v>
      </c>
      <c r="K276" s="30">
        <v>0.13400000000000001</v>
      </c>
      <c r="L276" s="30">
        <v>1.54E-2</v>
      </c>
      <c r="M276" s="30">
        <v>0.113</v>
      </c>
      <c r="N276" s="30">
        <v>1.12E-2</v>
      </c>
      <c r="O276" s="30">
        <v>4.6300000000000001E-2</v>
      </c>
      <c r="P276" s="30">
        <v>1.11E-2</v>
      </c>
      <c r="Q276" s="40">
        <v>4.64E-3</v>
      </c>
    </row>
    <row r="277" spans="1:17" ht="27" customHeight="1" x14ac:dyDescent="0.3">
      <c r="A277" s="33" t="s">
        <v>27</v>
      </c>
      <c r="B277" s="46" t="s">
        <v>25</v>
      </c>
      <c r="C277" s="20">
        <v>63.25</v>
      </c>
      <c r="D277" s="28">
        <v>0.13600000000000001</v>
      </c>
      <c r="E277" s="28">
        <v>9.44</v>
      </c>
      <c r="F277" s="28">
        <v>0.187</v>
      </c>
      <c r="G277" s="28">
        <v>0.13400000000000001</v>
      </c>
      <c r="H277" s="28">
        <v>0.51800000000000002</v>
      </c>
      <c r="I277" s="28">
        <v>5.8799999999999998E-2</v>
      </c>
      <c r="J277" s="28">
        <v>2.23E-2</v>
      </c>
      <c r="K277" s="28">
        <v>0.11799999999999999</v>
      </c>
      <c r="L277" s="28">
        <v>1.34E-2</v>
      </c>
      <c r="M277" s="28">
        <v>0.108</v>
      </c>
      <c r="N277" s="28">
        <v>0.01</v>
      </c>
      <c r="O277" s="28">
        <v>4.0099999999999997E-2</v>
      </c>
      <c r="P277" s="28">
        <v>9.3900000000000008E-3</v>
      </c>
      <c r="Q277" s="39">
        <v>3.8E-3</v>
      </c>
    </row>
    <row r="278" spans="1:17" ht="27" customHeight="1" x14ac:dyDescent="0.3">
      <c r="A278" s="33" t="s">
        <v>27</v>
      </c>
      <c r="B278" s="46" t="s">
        <v>25</v>
      </c>
      <c r="C278" s="20">
        <v>77.69</v>
      </c>
      <c r="D278" s="28">
        <v>0.17100000000000001</v>
      </c>
      <c r="E278" s="28">
        <v>11.76</v>
      </c>
      <c r="F278" s="28">
        <v>0.22900000000000001</v>
      </c>
      <c r="G278" s="28">
        <v>0.16300000000000001</v>
      </c>
      <c r="H278" s="28">
        <v>0.65100000000000002</v>
      </c>
      <c r="I278" s="28">
        <v>7.2999999999999995E-2</v>
      </c>
      <c r="J278" s="28">
        <v>2.8500000000000001E-2</v>
      </c>
      <c r="K278" s="28">
        <v>0.14699999999999999</v>
      </c>
      <c r="L278" s="28">
        <v>1.7000000000000001E-2</v>
      </c>
      <c r="M278" s="28">
        <v>0.13900000000000001</v>
      </c>
      <c r="N278" s="28">
        <v>1.21E-2</v>
      </c>
      <c r="O278" s="28">
        <v>4.8099999999999997E-2</v>
      </c>
      <c r="P278" s="28">
        <v>1.17E-2</v>
      </c>
      <c r="Q278" s="39">
        <v>4.6499999999999996E-3</v>
      </c>
    </row>
    <row r="279" spans="1:17" ht="27" customHeight="1" x14ac:dyDescent="0.3">
      <c r="A279" s="33" t="s">
        <v>27</v>
      </c>
      <c r="B279" s="46" t="s">
        <v>25</v>
      </c>
      <c r="C279" s="20">
        <v>71.599999999999994</v>
      </c>
      <c r="D279" s="28">
        <v>0.158</v>
      </c>
      <c r="E279" s="28">
        <v>10.81</v>
      </c>
      <c r="F279" s="28">
        <v>0.21199999999999999</v>
      </c>
      <c r="G279" s="28">
        <v>0.15</v>
      </c>
      <c r="H279" s="28">
        <v>0.60799999999999998</v>
      </c>
      <c r="I279" s="28">
        <v>6.8199999999999997E-2</v>
      </c>
      <c r="J279" s="28">
        <v>2.81E-2</v>
      </c>
      <c r="K279" s="28">
        <v>0.13700000000000001</v>
      </c>
      <c r="L279" s="28">
        <v>1.4999999999999999E-2</v>
      </c>
      <c r="M279" s="28">
        <v>0.13200000000000001</v>
      </c>
      <c r="N279" s="28">
        <v>1.15E-2</v>
      </c>
      <c r="O279" s="28">
        <v>4.41E-2</v>
      </c>
      <c r="P279" s="28">
        <v>1.0800000000000001E-2</v>
      </c>
      <c r="Q279" s="39">
        <v>4.1999999999999997E-3</v>
      </c>
    </row>
    <row r="280" spans="1:17" ht="27" customHeight="1" x14ac:dyDescent="0.3">
      <c r="A280" s="33" t="s">
        <v>27</v>
      </c>
      <c r="B280" s="46" t="s">
        <v>25</v>
      </c>
      <c r="C280" s="20">
        <v>60.41</v>
      </c>
      <c r="D280" s="28">
        <v>0.13600000000000001</v>
      </c>
      <c r="E280" s="28">
        <v>9.24</v>
      </c>
      <c r="F280" s="28">
        <v>0.183</v>
      </c>
      <c r="G280" s="28">
        <v>0.126</v>
      </c>
      <c r="H280" s="28">
        <v>0.53300000000000003</v>
      </c>
      <c r="I280" s="28">
        <v>5.7700000000000001E-2</v>
      </c>
      <c r="J280" s="28">
        <v>2.2200000000000001E-2</v>
      </c>
      <c r="K280" s="28">
        <v>0.113</v>
      </c>
      <c r="L280" s="28">
        <v>1.32E-2</v>
      </c>
      <c r="M280" s="28">
        <v>0.111</v>
      </c>
      <c r="N280" s="28">
        <v>1.01E-2</v>
      </c>
      <c r="O280" s="28">
        <v>3.6799999999999999E-2</v>
      </c>
      <c r="P280" s="28">
        <v>9.4299999999999991E-3</v>
      </c>
      <c r="Q280" s="39">
        <v>3.5599999999999998E-3</v>
      </c>
    </row>
    <row r="281" spans="1:17" ht="27" customHeight="1" x14ac:dyDescent="0.3">
      <c r="A281" s="33" t="s">
        <v>27</v>
      </c>
      <c r="B281" s="46" t="s">
        <v>25</v>
      </c>
      <c r="C281" s="20">
        <v>85.3</v>
      </c>
      <c r="D281" s="28">
        <v>0.191</v>
      </c>
      <c r="E281" s="28">
        <v>13.06</v>
      </c>
      <c r="F281" s="28">
        <v>0.25700000000000001</v>
      </c>
      <c r="G281" s="28">
        <v>0.17599999999999999</v>
      </c>
      <c r="H281" s="28">
        <v>0.755</v>
      </c>
      <c r="I281" s="28">
        <v>8.4000000000000005E-2</v>
      </c>
      <c r="J281" s="28">
        <v>3.2500000000000001E-2</v>
      </c>
      <c r="K281" s="28">
        <v>0.16300000000000001</v>
      </c>
      <c r="L281" s="28">
        <v>1.7999999999999999E-2</v>
      </c>
      <c r="M281" s="28">
        <v>0.161</v>
      </c>
      <c r="N281" s="28">
        <v>1.44E-2</v>
      </c>
      <c r="O281" s="28">
        <v>5.1700000000000003E-2</v>
      </c>
      <c r="P281" s="28">
        <v>1.2699999999999999E-2</v>
      </c>
      <c r="Q281" s="39">
        <v>4.9699999999999996E-3</v>
      </c>
    </row>
    <row r="282" spans="1:17" ht="27" customHeight="1" x14ac:dyDescent="0.3">
      <c r="A282" s="33" t="s">
        <v>27</v>
      </c>
      <c r="B282" s="46" t="s">
        <v>25</v>
      </c>
      <c r="C282" s="20">
        <v>82.15</v>
      </c>
      <c r="D282" s="28">
        <v>0.187</v>
      </c>
      <c r="E282" s="28">
        <v>12.75</v>
      </c>
      <c r="F282" s="28">
        <v>0.248</v>
      </c>
      <c r="G282" s="28">
        <v>0.16800000000000001</v>
      </c>
      <c r="H282" s="28">
        <v>0.73799999999999999</v>
      </c>
      <c r="I282" s="28">
        <v>7.9799999999999996E-2</v>
      </c>
      <c r="J282" s="28">
        <v>3.0800000000000001E-2</v>
      </c>
      <c r="K282" s="28">
        <v>0.155</v>
      </c>
      <c r="L282" s="28">
        <v>1.7600000000000001E-2</v>
      </c>
      <c r="M282" s="28">
        <v>0.159</v>
      </c>
      <c r="N282" s="28">
        <v>1.4200000000000001E-2</v>
      </c>
      <c r="O282" s="28">
        <v>4.9399999999999999E-2</v>
      </c>
      <c r="P282" s="28">
        <v>1.2500000000000001E-2</v>
      </c>
      <c r="Q282" s="39">
        <v>4.4999999999999997E-3</v>
      </c>
    </row>
    <row r="283" spans="1:17" ht="27" customHeight="1" x14ac:dyDescent="0.3">
      <c r="A283" s="33" t="s">
        <v>27</v>
      </c>
      <c r="B283" s="46" t="s">
        <v>25</v>
      </c>
      <c r="C283" s="20">
        <v>66.17</v>
      </c>
      <c r="D283" s="28">
        <v>0.153</v>
      </c>
      <c r="E283" s="28">
        <v>10.33</v>
      </c>
      <c r="F283" s="28">
        <v>0.19900000000000001</v>
      </c>
      <c r="G283" s="28">
        <v>0.13400000000000001</v>
      </c>
      <c r="H283" s="28">
        <v>0.58199999999999996</v>
      </c>
      <c r="I283" s="28">
        <v>6.4600000000000005E-2</v>
      </c>
      <c r="J283" s="28">
        <v>2.7099999999999999E-2</v>
      </c>
      <c r="K283" s="28">
        <v>0.124</v>
      </c>
      <c r="L283" s="28">
        <v>1.41E-2</v>
      </c>
      <c r="M283" s="28">
        <v>0.128</v>
      </c>
      <c r="N283" s="28">
        <v>1.11E-2</v>
      </c>
      <c r="O283" s="28">
        <v>3.9100000000000003E-2</v>
      </c>
      <c r="P283" s="28">
        <v>9.8799999999999999E-3</v>
      </c>
      <c r="Q283" s="39">
        <v>3.8600000000000001E-3</v>
      </c>
    </row>
    <row r="284" spans="1:17" ht="27" customHeight="1" x14ac:dyDescent="0.3">
      <c r="A284" s="33" t="s">
        <v>27</v>
      </c>
      <c r="B284" s="46" t="s">
        <v>25</v>
      </c>
      <c r="C284" s="20">
        <v>69.44</v>
      </c>
      <c r="D284" s="28">
        <v>0.161</v>
      </c>
      <c r="E284" s="28">
        <v>10.89</v>
      </c>
      <c r="F284" s="28">
        <v>0.21</v>
      </c>
      <c r="G284" s="28">
        <v>0.13900000000000001</v>
      </c>
      <c r="H284" s="28">
        <v>0.623</v>
      </c>
      <c r="I284" s="28">
        <v>6.9800000000000001E-2</v>
      </c>
      <c r="J284" s="28">
        <v>2.69E-2</v>
      </c>
      <c r="K284" s="28">
        <v>0.13500000000000001</v>
      </c>
      <c r="L284" s="28">
        <v>1.47E-2</v>
      </c>
      <c r="M284" s="28">
        <v>0.13200000000000001</v>
      </c>
      <c r="N284" s="28">
        <v>1.21E-2</v>
      </c>
      <c r="O284" s="28">
        <v>4.5699999999999998E-2</v>
      </c>
      <c r="P284" s="28">
        <v>1.06E-2</v>
      </c>
      <c r="Q284" s="39">
        <v>4.7999999999999996E-3</v>
      </c>
    </row>
    <row r="285" spans="1:17" ht="27" customHeight="1" x14ac:dyDescent="0.3">
      <c r="A285" s="33" t="s">
        <v>27</v>
      </c>
      <c r="B285" s="46" t="s">
        <v>25</v>
      </c>
      <c r="C285" s="20">
        <v>94.27</v>
      </c>
      <c r="D285" s="28">
        <v>0.223</v>
      </c>
      <c r="E285" s="28">
        <v>15.01</v>
      </c>
      <c r="F285" s="28">
        <v>0.28000000000000003</v>
      </c>
      <c r="G285" s="28">
        <v>0.189</v>
      </c>
      <c r="H285" s="28">
        <v>0.84699999999999998</v>
      </c>
      <c r="I285" s="28">
        <v>9.5799999999999996E-2</v>
      </c>
      <c r="J285" s="28">
        <v>3.4700000000000002E-2</v>
      </c>
      <c r="K285" s="28">
        <v>0.18</v>
      </c>
      <c r="L285" s="28">
        <v>1.9900000000000001E-2</v>
      </c>
      <c r="M285" s="28">
        <v>0.18</v>
      </c>
      <c r="N285" s="28">
        <v>1.61E-2</v>
      </c>
      <c r="O285" s="28">
        <v>5.6000000000000001E-2</v>
      </c>
      <c r="P285" s="28">
        <v>1.3899999999999999E-2</v>
      </c>
      <c r="Q285" s="39">
        <v>5.3E-3</v>
      </c>
    </row>
    <row r="286" spans="1:17" ht="27" customHeight="1" x14ac:dyDescent="0.3">
      <c r="A286" s="33" t="s">
        <v>27</v>
      </c>
      <c r="B286" s="46" t="s">
        <v>25</v>
      </c>
      <c r="C286" s="20">
        <v>88.04</v>
      </c>
      <c r="D286" s="28">
        <v>0.21</v>
      </c>
      <c r="E286" s="28">
        <v>13.95</v>
      </c>
      <c r="F286" s="28">
        <v>0.26600000000000001</v>
      </c>
      <c r="G286" s="28">
        <v>0.17799999999999999</v>
      </c>
      <c r="H286" s="28">
        <v>0.79600000000000004</v>
      </c>
      <c r="I286" s="28">
        <v>9.0399999999999994E-2</v>
      </c>
      <c r="J286" s="28">
        <v>3.3399999999999999E-2</v>
      </c>
      <c r="K286" s="28">
        <v>0.16900000000000001</v>
      </c>
      <c r="L286" s="28">
        <v>1.8499999999999999E-2</v>
      </c>
      <c r="M286" s="28">
        <v>0.17100000000000001</v>
      </c>
      <c r="N286" s="28">
        <v>1.5299999999999999E-2</v>
      </c>
      <c r="O286" s="28">
        <v>5.1799999999999999E-2</v>
      </c>
      <c r="P286" s="28">
        <v>1.2999999999999999E-2</v>
      </c>
      <c r="Q286" s="39">
        <v>4.9199999999999999E-3</v>
      </c>
    </row>
    <row r="287" spans="1:17" ht="27" customHeight="1" x14ac:dyDescent="0.3">
      <c r="A287" s="33" t="s">
        <v>27</v>
      </c>
      <c r="B287" s="46" t="s">
        <v>25</v>
      </c>
      <c r="C287" s="20">
        <v>102.62</v>
      </c>
      <c r="D287" s="28">
        <v>0.246</v>
      </c>
      <c r="E287" s="28">
        <v>16.47</v>
      </c>
      <c r="F287" s="28">
        <v>0.312</v>
      </c>
      <c r="G287" s="28">
        <v>0.20699999999999999</v>
      </c>
      <c r="H287" s="28">
        <v>0.92100000000000004</v>
      </c>
      <c r="I287" s="28">
        <v>0.106</v>
      </c>
      <c r="J287" s="28">
        <v>4.02E-2</v>
      </c>
      <c r="K287" s="28">
        <v>0.20100000000000001</v>
      </c>
      <c r="L287" s="28">
        <v>2.1700000000000001E-2</v>
      </c>
      <c r="M287" s="28">
        <v>0.185</v>
      </c>
      <c r="N287" s="28">
        <v>1.8499999999999999E-2</v>
      </c>
      <c r="O287" s="28">
        <v>5.8900000000000001E-2</v>
      </c>
      <c r="P287" s="28">
        <v>1.47E-2</v>
      </c>
      <c r="Q287" s="39">
        <v>6.2199999999999998E-3</v>
      </c>
    </row>
    <row r="288" spans="1:17" ht="27" customHeight="1" x14ac:dyDescent="0.3">
      <c r="A288" s="34" t="s">
        <v>27</v>
      </c>
      <c r="B288" s="45" t="s">
        <v>28</v>
      </c>
      <c r="C288" s="29">
        <v>494.01</v>
      </c>
      <c r="D288" s="30">
        <v>1.36</v>
      </c>
      <c r="E288" s="30">
        <v>114.64</v>
      </c>
      <c r="F288" s="30">
        <v>1.83</v>
      </c>
      <c r="G288" s="30">
        <v>1.25</v>
      </c>
      <c r="H288" s="30">
        <v>4.63</v>
      </c>
      <c r="I288" s="30">
        <v>0.63500000000000001</v>
      </c>
      <c r="J288" s="30">
        <v>0.23599999999999999</v>
      </c>
      <c r="K288" s="30">
        <v>1.0900000000000001</v>
      </c>
      <c r="L288" s="30">
        <v>0.13</v>
      </c>
      <c r="M288" s="30">
        <v>0.89600000000000002</v>
      </c>
      <c r="N288" s="30">
        <v>0.10100000000000001</v>
      </c>
      <c r="O288" s="30">
        <v>0.34</v>
      </c>
      <c r="P288" s="30">
        <v>8.9800000000000005E-2</v>
      </c>
      <c r="Q288" s="40">
        <v>3.0200000000000001E-2</v>
      </c>
    </row>
    <row r="289" spans="1:28" ht="27" customHeight="1" x14ac:dyDescent="0.3">
      <c r="A289" s="33" t="s">
        <v>27</v>
      </c>
      <c r="B289" s="46" t="s">
        <v>28</v>
      </c>
      <c r="C289" s="20">
        <v>311.3</v>
      </c>
      <c r="D289" s="28">
        <v>0.84799999999999998</v>
      </c>
      <c r="E289" s="28">
        <v>71.260000000000005</v>
      </c>
      <c r="F289" s="28">
        <v>1.18</v>
      </c>
      <c r="G289" s="28">
        <v>0.79400000000000004</v>
      </c>
      <c r="H289" s="28">
        <v>2.89</v>
      </c>
      <c r="I289" s="28">
        <v>0.41</v>
      </c>
      <c r="J289" s="28">
        <v>0.159</v>
      </c>
      <c r="K289" s="28">
        <v>0.69</v>
      </c>
      <c r="L289" s="28">
        <v>8.0600000000000005E-2</v>
      </c>
      <c r="M289" s="28">
        <v>0.6</v>
      </c>
      <c r="N289" s="28">
        <v>6.6699999999999995E-2</v>
      </c>
      <c r="O289" s="28">
        <v>0.21099999999999999</v>
      </c>
      <c r="P289" s="28">
        <v>5.8200000000000002E-2</v>
      </c>
      <c r="Q289" s="39">
        <v>1.9699999999999999E-2</v>
      </c>
    </row>
    <row r="290" spans="1:28" ht="27" customHeight="1" x14ac:dyDescent="0.3">
      <c r="A290" s="33" t="s">
        <v>27</v>
      </c>
      <c r="B290" s="46" t="s">
        <v>28</v>
      </c>
      <c r="C290" s="20">
        <v>304.10000000000002</v>
      </c>
      <c r="D290" s="28">
        <v>0.82899999999999996</v>
      </c>
      <c r="E290" s="28">
        <v>68.89</v>
      </c>
      <c r="F290" s="28">
        <v>1.23</v>
      </c>
      <c r="G290" s="28">
        <v>0.76100000000000001</v>
      </c>
      <c r="H290" s="28">
        <v>2.83</v>
      </c>
      <c r="I290" s="28">
        <v>0.39600000000000002</v>
      </c>
      <c r="J290" s="28">
        <v>0.14699999999999999</v>
      </c>
      <c r="K290" s="28">
        <v>0.67100000000000004</v>
      </c>
      <c r="L290" s="28">
        <v>7.8E-2</v>
      </c>
      <c r="M290" s="28">
        <v>0.58299999999999996</v>
      </c>
      <c r="N290" s="28">
        <v>6.3700000000000007E-2</v>
      </c>
      <c r="O290" s="28">
        <v>0.20300000000000001</v>
      </c>
      <c r="P290" s="28">
        <v>5.8500000000000003E-2</v>
      </c>
      <c r="Q290" s="39">
        <v>2.0400000000000001E-2</v>
      </c>
    </row>
    <row r="291" spans="1:28" ht="27" customHeight="1" x14ac:dyDescent="0.3">
      <c r="A291" s="33" t="s">
        <v>27</v>
      </c>
      <c r="B291" s="46" t="s">
        <v>28</v>
      </c>
      <c r="C291" s="20">
        <v>310.83999999999997</v>
      </c>
      <c r="D291" s="28">
        <v>0.84799999999999998</v>
      </c>
      <c r="E291" s="28">
        <v>72.37</v>
      </c>
      <c r="F291" s="28">
        <v>1.26</v>
      </c>
      <c r="G291" s="28">
        <v>0.79500000000000004</v>
      </c>
      <c r="H291" s="28">
        <v>2.9</v>
      </c>
      <c r="I291" s="28">
        <v>0.40699999999999997</v>
      </c>
      <c r="J291" s="28">
        <v>0.14899999999999999</v>
      </c>
      <c r="K291" s="28">
        <v>0.69799999999999995</v>
      </c>
      <c r="L291" s="28">
        <v>8.5599999999999996E-2</v>
      </c>
      <c r="M291" s="28">
        <v>0.59299999999999997</v>
      </c>
      <c r="N291" s="28">
        <v>6.5699999999999995E-2</v>
      </c>
      <c r="O291" s="28">
        <v>0.20799999999999999</v>
      </c>
      <c r="P291" s="28">
        <v>5.6399999999999999E-2</v>
      </c>
      <c r="Q291" s="39">
        <v>1.9300000000000001E-2</v>
      </c>
    </row>
    <row r="292" spans="1:28" ht="27" customHeight="1" x14ac:dyDescent="0.3">
      <c r="A292" s="33" t="s">
        <v>27</v>
      </c>
      <c r="B292" s="46" t="s">
        <v>28</v>
      </c>
      <c r="C292" s="20">
        <v>492.54</v>
      </c>
      <c r="D292" s="28">
        <v>1.34</v>
      </c>
      <c r="E292" s="28">
        <v>112.62</v>
      </c>
      <c r="F292" s="28">
        <v>2.02</v>
      </c>
      <c r="G292" s="28">
        <v>1.25</v>
      </c>
      <c r="H292" s="28">
        <v>4.66</v>
      </c>
      <c r="I292" s="28">
        <v>0.66</v>
      </c>
      <c r="J292" s="28">
        <v>0.23100000000000001</v>
      </c>
      <c r="K292" s="28">
        <v>1.1000000000000001</v>
      </c>
      <c r="L292" s="28">
        <v>0.129</v>
      </c>
      <c r="M292" s="28">
        <v>0.873</v>
      </c>
      <c r="N292" s="28">
        <v>0.106</v>
      </c>
      <c r="O292" s="28">
        <v>0.32900000000000001</v>
      </c>
      <c r="P292" s="28">
        <v>8.7999999999999995E-2</v>
      </c>
      <c r="Q292" s="39">
        <v>2.8299999999999999E-2</v>
      </c>
    </row>
    <row r="293" spans="1:28" ht="27" customHeight="1" x14ac:dyDescent="0.3">
      <c r="A293" s="33" t="s">
        <v>27</v>
      </c>
      <c r="B293" s="46" t="s">
        <v>28</v>
      </c>
      <c r="C293" s="20">
        <v>312.64</v>
      </c>
      <c r="D293" s="28">
        <v>0.84799999999999998</v>
      </c>
      <c r="E293" s="28">
        <v>72.510000000000005</v>
      </c>
      <c r="F293" s="28">
        <v>1.28</v>
      </c>
      <c r="G293" s="28">
        <v>0.80500000000000005</v>
      </c>
      <c r="H293" s="28">
        <v>2.91</v>
      </c>
      <c r="I293" s="28">
        <v>0.41299999999999998</v>
      </c>
      <c r="J293" s="28">
        <v>0.153</v>
      </c>
      <c r="K293" s="28">
        <v>0.69399999999999995</v>
      </c>
      <c r="L293" s="28">
        <v>8.1500000000000003E-2</v>
      </c>
      <c r="M293" s="28">
        <v>0.57899999999999996</v>
      </c>
      <c r="N293" s="28">
        <v>6.7699999999999996E-2</v>
      </c>
      <c r="O293" s="28">
        <v>0.21</v>
      </c>
      <c r="P293" s="28">
        <v>6.0299999999999999E-2</v>
      </c>
      <c r="Q293" s="39">
        <v>1.7999999999999999E-2</v>
      </c>
    </row>
    <row r="294" spans="1:28" ht="27" customHeight="1" x14ac:dyDescent="0.3">
      <c r="A294" s="33" t="s">
        <v>27</v>
      </c>
      <c r="B294" s="46" t="s">
        <v>28</v>
      </c>
      <c r="C294" s="20">
        <v>541.58000000000004</v>
      </c>
      <c r="D294" s="28">
        <v>1.48</v>
      </c>
      <c r="E294" s="28">
        <v>123.82</v>
      </c>
      <c r="F294" s="28">
        <v>2.23</v>
      </c>
      <c r="G294" s="28">
        <v>1.36</v>
      </c>
      <c r="H294" s="28">
        <v>5.04</v>
      </c>
      <c r="I294" s="28">
        <v>0.72</v>
      </c>
      <c r="J294" s="28">
        <v>0.25700000000000001</v>
      </c>
      <c r="K294" s="28">
        <v>1.21</v>
      </c>
      <c r="L294" s="28">
        <v>0.15</v>
      </c>
      <c r="M294" s="28">
        <v>1.02</v>
      </c>
      <c r="N294" s="28">
        <v>0.11799999999999999</v>
      </c>
      <c r="O294" s="28">
        <v>0.36099999999999999</v>
      </c>
      <c r="P294" s="28">
        <v>0.1</v>
      </c>
      <c r="Q294" s="39">
        <v>3.3000000000000002E-2</v>
      </c>
    </row>
    <row r="295" spans="1:28" ht="27" customHeight="1" thickBot="1" x14ac:dyDescent="0.35">
      <c r="A295" s="138" t="s">
        <v>31</v>
      </c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40"/>
    </row>
    <row r="296" spans="1:28" ht="27" customHeight="1" thickBot="1" x14ac:dyDescent="0.35">
      <c r="A296" s="36" t="s">
        <v>0</v>
      </c>
      <c r="B296" s="47" t="s">
        <v>1</v>
      </c>
      <c r="C296" s="24" t="s">
        <v>2</v>
      </c>
      <c r="D296" s="24" t="s">
        <v>3</v>
      </c>
      <c r="E296" s="24" t="s">
        <v>4</v>
      </c>
      <c r="F296" s="24" t="s">
        <v>5</v>
      </c>
      <c r="G296" s="24" t="s">
        <v>6</v>
      </c>
      <c r="H296" s="24" t="s">
        <v>7</v>
      </c>
      <c r="I296" s="24" t="s">
        <v>8</v>
      </c>
      <c r="J296" s="24" t="s">
        <v>9</v>
      </c>
      <c r="K296" s="24" t="s">
        <v>10</v>
      </c>
      <c r="L296" s="24" t="s">
        <v>11</v>
      </c>
      <c r="M296" s="24" t="s">
        <v>12</v>
      </c>
      <c r="N296" s="37" t="s">
        <v>13</v>
      </c>
      <c r="O296" s="24" t="s">
        <v>14</v>
      </c>
      <c r="P296" s="24" t="s">
        <v>15</v>
      </c>
      <c r="Q296" s="25" t="s">
        <v>16</v>
      </c>
    </row>
    <row r="297" spans="1:28" ht="27" customHeight="1" thickTop="1" x14ac:dyDescent="0.3">
      <c r="A297" s="33" t="s">
        <v>17</v>
      </c>
      <c r="B297" s="43" t="s">
        <v>18</v>
      </c>
      <c r="C297" s="20">
        <v>35683.57</v>
      </c>
      <c r="D297" s="20">
        <v>12.71</v>
      </c>
      <c r="E297" s="20">
        <v>1813.35</v>
      </c>
      <c r="F297" s="20">
        <v>5.67</v>
      </c>
      <c r="G297" s="20">
        <v>8.0299999999999994</v>
      </c>
      <c r="H297" s="20">
        <v>19114.73</v>
      </c>
      <c r="I297" s="20">
        <v>1.55</v>
      </c>
      <c r="J297" s="20">
        <v>1.83</v>
      </c>
      <c r="K297" s="20">
        <v>1.8</v>
      </c>
      <c r="L297" s="20">
        <v>0.14000000000000001</v>
      </c>
      <c r="M297" s="20">
        <v>83.73</v>
      </c>
      <c r="N297" s="28">
        <v>0.14000000000000001</v>
      </c>
      <c r="O297" s="20">
        <v>0.13</v>
      </c>
      <c r="P297" s="20">
        <v>0.65</v>
      </c>
      <c r="Q297" s="21">
        <v>1.69</v>
      </c>
      <c r="S297" s="53"/>
      <c r="T297" s="53"/>
      <c r="U297" s="53"/>
      <c r="V297" s="53"/>
      <c r="W297" s="53"/>
      <c r="X297" s="53"/>
      <c r="Y297" s="53"/>
      <c r="Z297" s="53"/>
      <c r="AA297" s="53"/>
      <c r="AB297" s="53"/>
    </row>
    <row r="298" spans="1:28" ht="27" customHeight="1" x14ac:dyDescent="0.3">
      <c r="A298" s="33" t="s">
        <v>17</v>
      </c>
      <c r="B298" s="43" t="s">
        <v>18</v>
      </c>
      <c r="C298" s="20">
        <v>39479.68</v>
      </c>
      <c r="D298" s="20">
        <v>7.36</v>
      </c>
      <c r="E298" s="20">
        <v>979.08</v>
      </c>
      <c r="F298" s="20">
        <v>7.09</v>
      </c>
      <c r="G298" s="20">
        <v>4.2</v>
      </c>
      <c r="H298" s="20">
        <v>19175.53</v>
      </c>
      <c r="I298" s="20">
        <v>2.2200000000000002</v>
      </c>
      <c r="J298" s="20">
        <v>2.0099999999999998</v>
      </c>
      <c r="K298" s="20">
        <v>3.21</v>
      </c>
      <c r="L298" s="20">
        <v>0.42</v>
      </c>
      <c r="M298" s="20">
        <v>75.67</v>
      </c>
      <c r="N298" s="28">
        <v>0.31</v>
      </c>
      <c r="O298" s="20">
        <v>0.88</v>
      </c>
      <c r="P298" s="20">
        <v>0.72</v>
      </c>
      <c r="Q298" s="21">
        <v>1.56</v>
      </c>
    </row>
    <row r="299" spans="1:28" ht="27" customHeight="1" x14ac:dyDescent="0.3">
      <c r="A299" s="33" t="s">
        <v>17</v>
      </c>
      <c r="B299" s="43" t="s">
        <v>18</v>
      </c>
      <c r="C299" s="20">
        <v>34890.379999999997</v>
      </c>
      <c r="D299" s="20">
        <v>15.04</v>
      </c>
      <c r="E299" s="20">
        <v>2150.8000000000002</v>
      </c>
      <c r="F299" s="20">
        <v>7.16</v>
      </c>
      <c r="G299" s="20">
        <v>4.6100000000000003</v>
      </c>
      <c r="H299" s="20">
        <v>19158.07</v>
      </c>
      <c r="I299" s="20">
        <v>1.54</v>
      </c>
      <c r="J299" s="20">
        <v>1.73</v>
      </c>
      <c r="K299" s="20">
        <v>2.2599999999999998</v>
      </c>
      <c r="L299" s="20">
        <v>0.15</v>
      </c>
      <c r="M299" s="20">
        <v>84.43</v>
      </c>
      <c r="N299" s="28">
        <v>0.16</v>
      </c>
      <c r="O299" s="20">
        <v>9.2999999999999999E-2</v>
      </c>
      <c r="P299" s="20">
        <v>0.45</v>
      </c>
      <c r="Q299" s="21">
        <v>1.65</v>
      </c>
    </row>
    <row r="300" spans="1:28" ht="27" customHeight="1" x14ac:dyDescent="0.3">
      <c r="A300" s="33" t="s">
        <v>17</v>
      </c>
      <c r="B300" s="43" t="s">
        <v>18</v>
      </c>
      <c r="C300" s="20">
        <v>36317.370000000003</v>
      </c>
      <c r="D300" s="20">
        <v>12.82</v>
      </c>
      <c r="E300" s="20">
        <v>1848.91</v>
      </c>
      <c r="F300" s="20">
        <v>6.01</v>
      </c>
      <c r="G300" s="20">
        <v>4.2699999999999996</v>
      </c>
      <c r="H300" s="20">
        <v>19067.509999999998</v>
      </c>
      <c r="I300" s="20">
        <v>1.53</v>
      </c>
      <c r="J300" s="20">
        <v>1.78</v>
      </c>
      <c r="K300" s="20">
        <v>3.44</v>
      </c>
      <c r="L300" s="20">
        <v>0.13</v>
      </c>
      <c r="M300" s="20">
        <v>82.05</v>
      </c>
      <c r="N300" s="28">
        <v>0.17</v>
      </c>
      <c r="O300" s="20">
        <v>0.11</v>
      </c>
      <c r="P300" s="20">
        <v>0.34</v>
      </c>
      <c r="Q300" s="21">
        <v>1.46</v>
      </c>
    </row>
    <row r="301" spans="1:28" ht="27" customHeight="1" x14ac:dyDescent="0.3">
      <c r="A301" s="33" t="s">
        <v>17</v>
      </c>
      <c r="B301" s="43" t="s">
        <v>18</v>
      </c>
      <c r="C301" s="20">
        <v>35310.93</v>
      </c>
      <c r="D301" s="20">
        <v>12.85</v>
      </c>
      <c r="E301" s="20">
        <v>1818.05</v>
      </c>
      <c r="F301" s="20">
        <v>5.84</v>
      </c>
      <c r="G301" s="20">
        <v>4.24</v>
      </c>
      <c r="H301" s="20">
        <v>19137.759999999998</v>
      </c>
      <c r="I301" s="20">
        <v>1.91</v>
      </c>
      <c r="J301" s="20">
        <v>2.21</v>
      </c>
      <c r="K301" s="20">
        <v>0.72</v>
      </c>
      <c r="L301" s="20">
        <v>0.1</v>
      </c>
      <c r="M301" s="20">
        <v>81.709999999999994</v>
      </c>
      <c r="N301" s="28">
        <v>0.13</v>
      </c>
      <c r="O301" s="20">
        <v>6.0999999999999999E-2</v>
      </c>
      <c r="P301" s="20">
        <v>0.34</v>
      </c>
      <c r="Q301" s="21">
        <v>1.2</v>
      </c>
    </row>
    <row r="302" spans="1:28" ht="27" customHeight="1" x14ac:dyDescent="0.3">
      <c r="A302" s="33" t="s">
        <v>17</v>
      </c>
      <c r="B302" s="43" t="s">
        <v>18</v>
      </c>
      <c r="C302" s="20">
        <v>35337.199999999997</v>
      </c>
      <c r="D302" s="20">
        <v>13.08</v>
      </c>
      <c r="E302" s="20">
        <v>1854.12</v>
      </c>
      <c r="F302" s="20">
        <v>5.96</v>
      </c>
      <c r="G302" s="20">
        <v>5.0999999999999996</v>
      </c>
      <c r="H302" s="20">
        <v>19227.060000000001</v>
      </c>
      <c r="I302" s="20">
        <v>2.48</v>
      </c>
      <c r="J302" s="20">
        <v>2.91</v>
      </c>
      <c r="K302" s="20">
        <v>2.16</v>
      </c>
      <c r="L302" s="20">
        <v>9.8000000000000004E-2</v>
      </c>
      <c r="M302" s="20">
        <v>82.1</v>
      </c>
      <c r="N302" s="28">
        <v>0.13</v>
      </c>
      <c r="O302" s="20">
        <v>6.3E-2</v>
      </c>
      <c r="P302" s="20">
        <v>0.31</v>
      </c>
      <c r="Q302" s="21">
        <v>0.99</v>
      </c>
    </row>
    <row r="303" spans="1:28" ht="27" customHeight="1" x14ac:dyDescent="0.3">
      <c r="A303" s="33" t="s">
        <v>17</v>
      </c>
      <c r="B303" s="43" t="s">
        <v>18</v>
      </c>
      <c r="C303" s="20">
        <v>34351.919999999998</v>
      </c>
      <c r="D303" s="20">
        <v>6.37</v>
      </c>
      <c r="E303" s="20">
        <v>1075.07</v>
      </c>
      <c r="F303" s="20">
        <v>4.42</v>
      </c>
      <c r="G303" s="20">
        <v>4.2</v>
      </c>
      <c r="H303" s="20">
        <v>18967.57</v>
      </c>
      <c r="I303" s="20">
        <v>1.6</v>
      </c>
      <c r="J303" s="20">
        <v>1.85</v>
      </c>
      <c r="K303" s="20">
        <v>0.5</v>
      </c>
      <c r="L303" s="20">
        <v>0.16</v>
      </c>
      <c r="M303" s="20">
        <v>86.17</v>
      </c>
      <c r="N303" s="28">
        <v>4.9000000000000002E-2</v>
      </c>
      <c r="O303" s="20">
        <v>0.21</v>
      </c>
      <c r="P303" s="20">
        <v>0.33</v>
      </c>
      <c r="Q303" s="21">
        <v>1.73</v>
      </c>
    </row>
    <row r="304" spans="1:28" ht="27" customHeight="1" x14ac:dyDescent="0.3">
      <c r="A304" s="33" t="s">
        <v>17</v>
      </c>
      <c r="B304" s="43" t="s">
        <v>18</v>
      </c>
      <c r="C304" s="20">
        <v>35351.370000000003</v>
      </c>
      <c r="D304" s="20">
        <v>9.7799999999999994</v>
      </c>
      <c r="E304" s="20">
        <v>1621.13</v>
      </c>
      <c r="F304" s="20">
        <v>6.28</v>
      </c>
      <c r="G304" s="20">
        <v>6.11</v>
      </c>
      <c r="H304" s="20">
        <v>18966.96</v>
      </c>
      <c r="I304" s="20">
        <v>1.84</v>
      </c>
      <c r="J304" s="20">
        <v>2.12</v>
      </c>
      <c r="K304" s="20">
        <v>0.14000000000000001</v>
      </c>
      <c r="L304" s="20">
        <v>0.17</v>
      </c>
      <c r="M304" s="20">
        <v>83.89</v>
      </c>
      <c r="N304" s="28">
        <v>3.6999999999999998E-2</v>
      </c>
      <c r="O304" s="20">
        <v>0.15</v>
      </c>
      <c r="P304" s="20">
        <v>0.36</v>
      </c>
      <c r="Q304" s="21">
        <v>2.1</v>
      </c>
    </row>
    <row r="305" spans="1:17" ht="27" customHeight="1" x14ac:dyDescent="0.3">
      <c r="A305" s="33" t="s">
        <v>17</v>
      </c>
      <c r="B305" s="43" t="s">
        <v>18</v>
      </c>
      <c r="C305" s="20">
        <v>36558.21</v>
      </c>
      <c r="D305" s="20">
        <v>10.35</v>
      </c>
      <c r="E305" s="20">
        <v>1693.11</v>
      </c>
      <c r="F305" s="20">
        <v>6.6</v>
      </c>
      <c r="G305" s="20">
        <v>4.28</v>
      </c>
      <c r="H305" s="20">
        <v>19469.009999999998</v>
      </c>
      <c r="I305" s="20">
        <v>1.4</v>
      </c>
      <c r="J305" s="20">
        <v>1.63</v>
      </c>
      <c r="K305" s="20">
        <v>0.22</v>
      </c>
      <c r="L305" s="20">
        <v>0.12</v>
      </c>
      <c r="M305" s="20">
        <v>82.27</v>
      </c>
      <c r="N305" s="28">
        <v>4.1000000000000002E-2</v>
      </c>
      <c r="O305" s="20">
        <v>9.1999999999999998E-2</v>
      </c>
      <c r="P305" s="20">
        <v>0.47</v>
      </c>
      <c r="Q305" s="21">
        <v>1.52</v>
      </c>
    </row>
    <row r="306" spans="1:17" ht="27" customHeight="1" x14ac:dyDescent="0.3">
      <c r="A306" s="33" t="s">
        <v>17</v>
      </c>
      <c r="B306" s="43" t="s">
        <v>18</v>
      </c>
      <c r="C306" s="20">
        <v>36883.699999999997</v>
      </c>
      <c r="D306" s="20">
        <v>10.89</v>
      </c>
      <c r="E306" s="20">
        <v>1754.99</v>
      </c>
      <c r="F306" s="20">
        <v>6.91</v>
      </c>
      <c r="G306" s="20">
        <v>4.25</v>
      </c>
      <c r="H306" s="20">
        <v>19379.66</v>
      </c>
      <c r="I306" s="20">
        <v>1.75</v>
      </c>
      <c r="J306" s="20">
        <v>1.97</v>
      </c>
      <c r="K306" s="20">
        <v>1.1499999999999999</v>
      </c>
      <c r="L306" s="20">
        <v>0.14000000000000001</v>
      </c>
      <c r="M306" s="20">
        <v>81.540000000000006</v>
      </c>
      <c r="N306" s="28">
        <v>4.4999999999999998E-2</v>
      </c>
      <c r="O306" s="20">
        <v>9.0999999999999998E-2</v>
      </c>
      <c r="P306" s="20">
        <v>0.2</v>
      </c>
      <c r="Q306" s="21">
        <v>1.01</v>
      </c>
    </row>
    <row r="307" spans="1:17" ht="27" customHeight="1" x14ac:dyDescent="0.3">
      <c r="A307" s="33" t="s">
        <v>17</v>
      </c>
      <c r="B307" s="43" t="s">
        <v>18</v>
      </c>
      <c r="C307" s="20">
        <v>35421.269999999997</v>
      </c>
      <c r="D307" s="20">
        <v>8.41</v>
      </c>
      <c r="E307" s="20">
        <v>1400.21</v>
      </c>
      <c r="F307" s="20">
        <v>5.76</v>
      </c>
      <c r="G307" s="20">
        <v>5.43</v>
      </c>
      <c r="H307" s="20">
        <v>19393.57</v>
      </c>
      <c r="I307" s="20">
        <v>2</v>
      </c>
      <c r="J307" s="20">
        <v>2.2999999999999998</v>
      </c>
      <c r="K307" s="20">
        <v>0.2</v>
      </c>
      <c r="L307" s="20">
        <v>0.21</v>
      </c>
      <c r="M307" s="20">
        <v>80.55</v>
      </c>
      <c r="N307" s="28">
        <v>4.3999999999999997E-2</v>
      </c>
      <c r="O307" s="20">
        <v>0.11</v>
      </c>
      <c r="P307" s="20">
        <v>0.31</v>
      </c>
      <c r="Q307" s="21">
        <v>1.62</v>
      </c>
    </row>
    <row r="308" spans="1:17" ht="27" customHeight="1" x14ac:dyDescent="0.3">
      <c r="A308" s="33" t="s">
        <v>17</v>
      </c>
      <c r="B308" s="43" t="s">
        <v>18</v>
      </c>
      <c r="C308" s="20">
        <v>37524.5</v>
      </c>
      <c r="D308" s="20">
        <v>9.89</v>
      </c>
      <c r="E308" s="20">
        <v>1646.38</v>
      </c>
      <c r="F308" s="20">
        <v>5.9</v>
      </c>
      <c r="G308" s="20">
        <v>5.7</v>
      </c>
      <c r="H308" s="20">
        <v>19606.87</v>
      </c>
      <c r="I308" s="20">
        <v>1.1599999999999999</v>
      </c>
      <c r="J308" s="20">
        <v>1.35</v>
      </c>
      <c r="K308" s="20">
        <v>0.27</v>
      </c>
      <c r="L308" s="20">
        <v>0.17</v>
      </c>
      <c r="M308" s="20">
        <v>84.57</v>
      </c>
      <c r="N308" s="28">
        <v>5.8000000000000003E-2</v>
      </c>
      <c r="O308" s="20">
        <v>0.49</v>
      </c>
      <c r="P308" s="20">
        <v>0.64</v>
      </c>
      <c r="Q308" s="21">
        <v>2.77</v>
      </c>
    </row>
    <row r="309" spans="1:17" ht="27" customHeight="1" x14ac:dyDescent="0.3">
      <c r="A309" s="33" t="s">
        <v>17</v>
      </c>
      <c r="B309" s="43" t="s">
        <v>18</v>
      </c>
      <c r="C309" s="20">
        <v>36428.839999999997</v>
      </c>
      <c r="D309" s="20">
        <v>9.09</v>
      </c>
      <c r="E309" s="20">
        <v>1498.94</v>
      </c>
      <c r="F309" s="20">
        <v>5.41</v>
      </c>
      <c r="G309" s="20">
        <v>4.33</v>
      </c>
      <c r="H309" s="20">
        <v>19456.23</v>
      </c>
      <c r="I309" s="20">
        <v>0.99</v>
      </c>
      <c r="J309" s="20">
        <v>1.1499999999999999</v>
      </c>
      <c r="K309" s="20">
        <v>0.26</v>
      </c>
      <c r="L309" s="20">
        <v>0.14000000000000001</v>
      </c>
      <c r="M309" s="20">
        <v>84.25</v>
      </c>
      <c r="N309" s="28">
        <v>5.8000000000000003E-2</v>
      </c>
      <c r="O309" s="20">
        <v>0.49</v>
      </c>
      <c r="P309" s="20">
        <v>0.38</v>
      </c>
      <c r="Q309" s="21">
        <v>1.79</v>
      </c>
    </row>
    <row r="310" spans="1:17" ht="27" customHeight="1" x14ac:dyDescent="0.3">
      <c r="A310" s="33" t="s">
        <v>17</v>
      </c>
      <c r="B310" s="43" t="s">
        <v>18</v>
      </c>
      <c r="C310" s="20">
        <v>37771.800000000003</v>
      </c>
      <c r="D310" s="20">
        <v>10.43</v>
      </c>
      <c r="E310" s="20">
        <v>1612.47</v>
      </c>
      <c r="F310" s="20">
        <v>5.53</v>
      </c>
      <c r="G310" s="20">
        <v>3.48</v>
      </c>
      <c r="H310" s="20">
        <v>19482.240000000002</v>
      </c>
      <c r="I310" s="20">
        <v>1.19</v>
      </c>
      <c r="J310" s="20">
        <v>1.36</v>
      </c>
      <c r="K310" s="20">
        <v>0.15</v>
      </c>
      <c r="L310" s="20">
        <v>0.11</v>
      </c>
      <c r="M310" s="20">
        <v>75.27</v>
      </c>
      <c r="N310" s="28">
        <v>4.2999999999999997E-2</v>
      </c>
      <c r="O310" s="20">
        <v>5.1999999999999998E-2</v>
      </c>
      <c r="P310" s="20">
        <v>0.3</v>
      </c>
      <c r="Q310" s="21">
        <v>0.92</v>
      </c>
    </row>
    <row r="311" spans="1:17" ht="27" customHeight="1" x14ac:dyDescent="0.3">
      <c r="A311" s="33" t="s">
        <v>17</v>
      </c>
      <c r="B311" s="43" t="s">
        <v>18</v>
      </c>
      <c r="C311" s="20">
        <v>37457.120000000003</v>
      </c>
      <c r="D311" s="20">
        <v>10.17</v>
      </c>
      <c r="E311" s="20">
        <v>1589.61</v>
      </c>
      <c r="F311" s="20">
        <v>5.42</v>
      </c>
      <c r="G311" s="20">
        <v>3.77</v>
      </c>
      <c r="H311" s="20">
        <v>19424.52</v>
      </c>
      <c r="I311" s="20">
        <v>1.1599999999999999</v>
      </c>
      <c r="J311" s="20">
        <v>1.34</v>
      </c>
      <c r="K311" s="20">
        <v>0.12</v>
      </c>
      <c r="L311" s="20">
        <v>0.13</v>
      </c>
      <c r="M311" s="20">
        <v>76.17</v>
      </c>
      <c r="N311" s="28">
        <v>0.05</v>
      </c>
      <c r="O311" s="20">
        <v>5.6000000000000001E-2</v>
      </c>
      <c r="P311" s="20">
        <v>0.27</v>
      </c>
      <c r="Q311" s="21">
        <v>1.64</v>
      </c>
    </row>
    <row r="312" spans="1:17" ht="27" customHeight="1" x14ac:dyDescent="0.3">
      <c r="A312" s="34" t="s">
        <v>20</v>
      </c>
      <c r="B312" s="44" t="s">
        <v>18</v>
      </c>
      <c r="C312" s="29">
        <v>43783.16</v>
      </c>
      <c r="D312" s="29">
        <v>1.05</v>
      </c>
      <c r="E312" s="29">
        <v>833.45</v>
      </c>
      <c r="F312" s="29">
        <v>5.43</v>
      </c>
      <c r="G312" s="29">
        <v>3.02</v>
      </c>
      <c r="H312" s="29">
        <v>19833.599999999999</v>
      </c>
      <c r="I312" s="29">
        <v>0.51</v>
      </c>
      <c r="J312" s="29">
        <v>0.48</v>
      </c>
      <c r="K312" s="29">
        <v>0.48</v>
      </c>
      <c r="L312" s="29">
        <v>0.44</v>
      </c>
      <c r="M312" s="29">
        <v>183.1</v>
      </c>
      <c r="N312" s="30">
        <v>1.2999999999999999E-2</v>
      </c>
      <c r="O312" s="29">
        <v>0.11</v>
      </c>
      <c r="P312" s="29">
        <v>0.56999999999999995</v>
      </c>
      <c r="Q312" s="31">
        <v>4.93</v>
      </c>
    </row>
    <row r="313" spans="1:17" ht="27" customHeight="1" x14ac:dyDescent="0.3">
      <c r="A313" s="33" t="s">
        <v>20</v>
      </c>
      <c r="B313" s="43" t="s">
        <v>18</v>
      </c>
      <c r="C313" s="20">
        <v>45880.25</v>
      </c>
      <c r="D313" s="20">
        <v>1.03</v>
      </c>
      <c r="E313" s="20">
        <v>1074.51</v>
      </c>
      <c r="F313" s="20">
        <v>6.17</v>
      </c>
      <c r="G313" s="20">
        <v>0.96</v>
      </c>
      <c r="H313" s="20">
        <v>19702.740000000002</v>
      </c>
      <c r="I313" s="20">
        <v>0.11</v>
      </c>
      <c r="J313" s="20">
        <v>5.2999999999999999E-2</v>
      </c>
      <c r="K313" s="20">
        <v>0.17</v>
      </c>
      <c r="L313" s="20">
        <v>0.13</v>
      </c>
      <c r="M313" s="20">
        <v>171.41</v>
      </c>
      <c r="N313" s="28">
        <v>1.6E-2</v>
      </c>
      <c r="O313" s="20">
        <v>5.1999999999999998E-2</v>
      </c>
      <c r="P313" s="20">
        <v>0.19</v>
      </c>
      <c r="Q313" s="21">
        <v>0.39</v>
      </c>
    </row>
    <row r="314" spans="1:17" ht="27" customHeight="1" x14ac:dyDescent="0.3">
      <c r="A314" s="33" t="s">
        <v>20</v>
      </c>
      <c r="B314" s="43" t="s">
        <v>18</v>
      </c>
      <c r="C314" s="20">
        <v>43753.91</v>
      </c>
      <c r="D314" s="20">
        <v>1.1200000000000001</v>
      </c>
      <c r="E314" s="20">
        <v>1000.03</v>
      </c>
      <c r="F314" s="20">
        <v>6.41</v>
      </c>
      <c r="G314" s="20">
        <v>1.84</v>
      </c>
      <c r="H314" s="20">
        <v>19599.86</v>
      </c>
      <c r="I314" s="20">
        <v>0.12</v>
      </c>
      <c r="J314" s="20">
        <v>5.5E-2</v>
      </c>
      <c r="K314" s="20">
        <v>0.21</v>
      </c>
      <c r="L314" s="20">
        <v>0.23</v>
      </c>
      <c r="M314" s="20">
        <v>165.92</v>
      </c>
      <c r="N314" s="28">
        <v>1.7999999999999999E-2</v>
      </c>
      <c r="O314" s="20">
        <v>6.5000000000000002E-2</v>
      </c>
      <c r="P314" s="20">
        <v>0.19</v>
      </c>
      <c r="Q314" s="21">
        <v>1.29</v>
      </c>
    </row>
    <row r="315" spans="1:17" ht="27" customHeight="1" x14ac:dyDescent="0.3">
      <c r="A315" s="33" t="s">
        <v>20</v>
      </c>
      <c r="B315" s="43" t="s">
        <v>18</v>
      </c>
      <c r="C315" s="20">
        <v>45327.86</v>
      </c>
      <c r="D315" s="20">
        <v>1.35</v>
      </c>
      <c r="E315" s="20">
        <v>1088.4100000000001</v>
      </c>
      <c r="F315" s="20">
        <v>6.52</v>
      </c>
      <c r="G315" s="20">
        <v>3.14</v>
      </c>
      <c r="H315" s="20">
        <v>19659.39</v>
      </c>
      <c r="I315" s="20">
        <v>0.21</v>
      </c>
      <c r="J315" s="20">
        <v>0.18</v>
      </c>
      <c r="K315" s="20">
        <v>0.32</v>
      </c>
      <c r="L315" s="20">
        <v>0.42</v>
      </c>
      <c r="M315" s="20">
        <v>172.42</v>
      </c>
      <c r="N315" s="28">
        <v>1.7000000000000001E-2</v>
      </c>
      <c r="O315" s="20">
        <v>0.12</v>
      </c>
      <c r="P315" s="20">
        <v>0.61</v>
      </c>
      <c r="Q315" s="21">
        <v>4.01</v>
      </c>
    </row>
    <row r="316" spans="1:17" ht="27" customHeight="1" x14ac:dyDescent="0.3">
      <c r="A316" s="33" t="s">
        <v>20</v>
      </c>
      <c r="B316" s="43" t="s">
        <v>18</v>
      </c>
      <c r="C316" s="20">
        <v>43839.69</v>
      </c>
      <c r="D316" s="20">
        <v>1.27</v>
      </c>
      <c r="E316" s="20">
        <v>1082.9100000000001</v>
      </c>
      <c r="F316" s="20">
        <v>6.48</v>
      </c>
      <c r="G316" s="20">
        <v>3.14</v>
      </c>
      <c r="H316" s="20">
        <v>19600.009999999998</v>
      </c>
      <c r="I316" s="20">
        <v>0.35</v>
      </c>
      <c r="J316" s="20">
        <v>0.33</v>
      </c>
      <c r="K316" s="20">
        <v>0.34</v>
      </c>
      <c r="L316" s="20">
        <v>0.34</v>
      </c>
      <c r="M316" s="20">
        <v>177.17</v>
      </c>
      <c r="N316" s="28">
        <v>0.02</v>
      </c>
      <c r="O316" s="20">
        <v>0.12</v>
      </c>
      <c r="P316" s="20">
        <v>0.4</v>
      </c>
      <c r="Q316" s="21">
        <v>3.34</v>
      </c>
    </row>
    <row r="317" spans="1:17" ht="27" customHeight="1" x14ac:dyDescent="0.3">
      <c r="A317" s="33" t="s">
        <v>20</v>
      </c>
      <c r="B317" s="43" t="s">
        <v>18</v>
      </c>
      <c r="C317" s="20">
        <v>48383.39</v>
      </c>
      <c r="D317" s="20">
        <v>1.0900000000000001</v>
      </c>
      <c r="E317" s="20">
        <v>935.76</v>
      </c>
      <c r="F317" s="20">
        <v>6.07</v>
      </c>
      <c r="G317" s="20">
        <v>2.4700000000000002</v>
      </c>
      <c r="H317" s="20">
        <v>19720.2</v>
      </c>
      <c r="I317" s="20">
        <v>0.3</v>
      </c>
      <c r="J317" s="20">
        <v>0.27</v>
      </c>
      <c r="K317" s="20">
        <v>0.36</v>
      </c>
      <c r="L317" s="20">
        <v>0.35</v>
      </c>
      <c r="M317" s="20">
        <v>171.41</v>
      </c>
      <c r="N317" s="28">
        <v>1.9E-2</v>
      </c>
      <c r="O317" s="20">
        <v>9.5000000000000001E-2</v>
      </c>
      <c r="P317" s="20">
        <v>0.4</v>
      </c>
      <c r="Q317" s="21">
        <v>2.68</v>
      </c>
    </row>
    <row r="318" spans="1:17" ht="27" customHeight="1" x14ac:dyDescent="0.3">
      <c r="A318" s="33" t="s">
        <v>20</v>
      </c>
      <c r="B318" s="43" t="s">
        <v>18</v>
      </c>
      <c r="C318" s="20">
        <v>47740.76</v>
      </c>
      <c r="D318" s="20">
        <v>1.18</v>
      </c>
      <c r="E318" s="20">
        <v>891.5</v>
      </c>
      <c r="F318" s="20">
        <v>5.87</v>
      </c>
      <c r="G318" s="20">
        <v>2.8</v>
      </c>
      <c r="H318" s="20">
        <v>19699.11</v>
      </c>
      <c r="I318" s="20">
        <v>0.34</v>
      </c>
      <c r="J318" s="20">
        <v>0.28000000000000003</v>
      </c>
      <c r="K318" s="20">
        <v>0.42</v>
      </c>
      <c r="L318" s="20">
        <v>0.4</v>
      </c>
      <c r="M318" s="20">
        <v>170.73</v>
      </c>
      <c r="N318" s="28">
        <v>2.4E-2</v>
      </c>
      <c r="O318" s="20">
        <v>8.8999999999999996E-2</v>
      </c>
      <c r="P318" s="20">
        <v>0.49</v>
      </c>
      <c r="Q318" s="21">
        <v>3.06</v>
      </c>
    </row>
    <row r="319" spans="1:17" ht="27" customHeight="1" x14ac:dyDescent="0.3">
      <c r="A319" s="33" t="s">
        <v>20</v>
      </c>
      <c r="B319" s="43" t="s">
        <v>18</v>
      </c>
      <c r="C319" s="20">
        <v>45725.07</v>
      </c>
      <c r="D319" s="20">
        <v>1.07</v>
      </c>
      <c r="E319" s="20">
        <v>891.84</v>
      </c>
      <c r="F319" s="20">
        <v>6.05</v>
      </c>
      <c r="G319" s="20">
        <v>2.2799999999999998</v>
      </c>
      <c r="H319" s="20">
        <v>19682.75</v>
      </c>
      <c r="I319" s="20">
        <v>0.28999999999999998</v>
      </c>
      <c r="J319" s="20">
        <v>0.25</v>
      </c>
      <c r="K319" s="20">
        <v>0.26</v>
      </c>
      <c r="L319" s="20">
        <v>0.34</v>
      </c>
      <c r="M319" s="20">
        <v>166.45</v>
      </c>
      <c r="N319" s="28">
        <v>2.3E-2</v>
      </c>
      <c r="O319" s="20">
        <v>8.6999999999999994E-2</v>
      </c>
      <c r="P319" s="20">
        <v>0.35</v>
      </c>
      <c r="Q319" s="21">
        <v>2.5099999999999998</v>
      </c>
    </row>
    <row r="320" spans="1:17" ht="27" customHeight="1" x14ac:dyDescent="0.3">
      <c r="A320" s="33" t="s">
        <v>20</v>
      </c>
      <c r="B320" s="43" t="s">
        <v>18</v>
      </c>
      <c r="C320" s="20">
        <v>48415.68</v>
      </c>
      <c r="D320" s="20">
        <v>0.96</v>
      </c>
      <c r="E320" s="20">
        <v>851.7</v>
      </c>
      <c r="F320" s="20">
        <v>5.97</v>
      </c>
      <c r="G320" s="20">
        <v>1.61</v>
      </c>
      <c r="H320" s="20">
        <v>19700.98</v>
      </c>
      <c r="I320" s="20">
        <v>0.39</v>
      </c>
      <c r="J320" s="20">
        <v>0.36</v>
      </c>
      <c r="K320" s="20">
        <v>0.24</v>
      </c>
      <c r="L320" s="20">
        <v>0.18</v>
      </c>
      <c r="M320" s="20">
        <v>162.72</v>
      </c>
      <c r="N320" s="28">
        <v>2.7E-2</v>
      </c>
      <c r="O320" s="20">
        <v>9.6000000000000002E-2</v>
      </c>
      <c r="P320" s="20">
        <v>0.23</v>
      </c>
      <c r="Q320" s="21">
        <v>1.39</v>
      </c>
    </row>
    <row r="321" spans="1:17" ht="27" customHeight="1" x14ac:dyDescent="0.3">
      <c r="A321" s="33" t="s">
        <v>20</v>
      </c>
      <c r="B321" s="43" t="s">
        <v>18</v>
      </c>
      <c r="C321" s="20">
        <v>256573.08</v>
      </c>
      <c r="D321" s="20">
        <v>1.3680000000000001</v>
      </c>
      <c r="E321" s="20">
        <v>816.59</v>
      </c>
      <c r="F321" s="20">
        <v>5.22</v>
      </c>
      <c r="G321" s="20">
        <v>2.4700000000000002</v>
      </c>
      <c r="H321" s="20">
        <v>19702.3</v>
      </c>
      <c r="I321" s="20">
        <v>6.5</v>
      </c>
      <c r="J321" s="20">
        <v>6.49</v>
      </c>
      <c r="K321" s="20">
        <v>3.89</v>
      </c>
      <c r="L321" s="20">
        <v>3.18</v>
      </c>
      <c r="M321" s="20">
        <v>1073.3800000000001</v>
      </c>
      <c r="N321" s="28">
        <v>4.2999999999999997E-2</v>
      </c>
      <c r="O321" s="20">
        <v>0.60299999999999998</v>
      </c>
      <c r="P321" s="20">
        <v>5.94</v>
      </c>
      <c r="Q321" s="21">
        <v>17.239999999999998</v>
      </c>
    </row>
    <row r="322" spans="1:17" ht="27" customHeight="1" x14ac:dyDescent="0.3">
      <c r="A322" s="33" t="s">
        <v>20</v>
      </c>
      <c r="B322" s="43" t="s">
        <v>18</v>
      </c>
      <c r="C322" s="20">
        <v>45908.77</v>
      </c>
      <c r="D322" s="20">
        <v>1.17</v>
      </c>
      <c r="E322" s="20">
        <v>883.04</v>
      </c>
      <c r="F322" s="20">
        <v>5.82</v>
      </c>
      <c r="G322" s="20">
        <v>3.98</v>
      </c>
      <c r="H322" s="20">
        <v>19777.150000000001</v>
      </c>
      <c r="I322" s="20">
        <v>0.4</v>
      </c>
      <c r="J322" s="20">
        <v>0.35</v>
      </c>
      <c r="K322" s="20">
        <v>0.52</v>
      </c>
      <c r="L322" s="20">
        <v>0.52</v>
      </c>
      <c r="M322" s="20">
        <v>169.62</v>
      </c>
      <c r="N322" s="28">
        <v>1.7000000000000001E-2</v>
      </c>
      <c r="O322" s="20">
        <v>0.13</v>
      </c>
      <c r="P322" s="20">
        <v>0.72</v>
      </c>
      <c r="Q322" s="21">
        <v>4.87</v>
      </c>
    </row>
    <row r="323" spans="1:17" ht="27" customHeight="1" x14ac:dyDescent="0.3">
      <c r="A323" s="33" t="s">
        <v>20</v>
      </c>
      <c r="B323" s="43" t="s">
        <v>18</v>
      </c>
      <c r="C323" s="20">
        <v>47078.71</v>
      </c>
      <c r="D323" s="20">
        <v>1.0900000000000001</v>
      </c>
      <c r="E323" s="20">
        <v>945.27</v>
      </c>
      <c r="F323" s="20">
        <v>6.33</v>
      </c>
      <c r="G323" s="20">
        <v>3.27</v>
      </c>
      <c r="H323" s="20">
        <v>19748.12</v>
      </c>
      <c r="I323" s="20">
        <v>0.42</v>
      </c>
      <c r="J323" s="20">
        <v>0.39</v>
      </c>
      <c r="K323" s="20">
        <v>0.42</v>
      </c>
      <c r="L323" s="20">
        <v>0.45</v>
      </c>
      <c r="M323" s="20">
        <v>166.75</v>
      </c>
      <c r="N323" s="28">
        <v>2.9000000000000001E-2</v>
      </c>
      <c r="O323" s="20">
        <v>0.12</v>
      </c>
      <c r="P323" s="20">
        <v>0.75</v>
      </c>
      <c r="Q323" s="21">
        <v>4.1100000000000003</v>
      </c>
    </row>
    <row r="324" spans="1:17" ht="27" customHeight="1" x14ac:dyDescent="0.3">
      <c r="A324" s="33" t="s">
        <v>20</v>
      </c>
      <c r="B324" s="43" t="s">
        <v>18</v>
      </c>
      <c r="C324" s="20">
        <v>263131.96999999997</v>
      </c>
      <c r="D324" s="20">
        <v>1.7010000000000001</v>
      </c>
      <c r="E324" s="20">
        <v>856.52</v>
      </c>
      <c r="F324" s="20">
        <v>5.16</v>
      </c>
      <c r="G324" s="20">
        <v>4.97</v>
      </c>
      <c r="H324" s="20">
        <v>62480.63</v>
      </c>
      <c r="I324" s="20">
        <v>5.22</v>
      </c>
      <c r="J324" s="20">
        <v>5.2</v>
      </c>
      <c r="K324" s="20">
        <v>1.28</v>
      </c>
      <c r="L324" s="20">
        <v>7</v>
      </c>
      <c r="M324" s="20">
        <v>1046.07</v>
      </c>
      <c r="N324" s="28">
        <v>0.05</v>
      </c>
      <c r="O324" s="20">
        <v>1.26</v>
      </c>
      <c r="P324" s="20">
        <v>12.03</v>
      </c>
      <c r="Q324" s="21">
        <v>49.32</v>
      </c>
    </row>
    <row r="325" spans="1:17" ht="27" customHeight="1" x14ac:dyDescent="0.3">
      <c r="A325" s="33" t="s">
        <v>20</v>
      </c>
      <c r="B325" s="43" t="s">
        <v>18</v>
      </c>
      <c r="C325" s="20">
        <v>48232.69</v>
      </c>
      <c r="D325" s="20">
        <v>1.02</v>
      </c>
      <c r="E325" s="20">
        <v>1001.82</v>
      </c>
      <c r="F325" s="20">
        <v>6.5</v>
      </c>
      <c r="G325" s="20">
        <v>1.61</v>
      </c>
      <c r="H325" s="20">
        <v>19684.21</v>
      </c>
      <c r="I325" s="20">
        <v>0.16</v>
      </c>
      <c r="J325" s="20">
        <v>5.8000000000000003E-2</v>
      </c>
      <c r="K325" s="20">
        <v>0.24</v>
      </c>
      <c r="L325" s="20">
        <v>0.19</v>
      </c>
      <c r="M325" s="20">
        <v>173.22</v>
      </c>
      <c r="N325" s="28">
        <v>2.8000000000000001E-2</v>
      </c>
      <c r="O325" s="20">
        <v>8.6999999999999994E-2</v>
      </c>
      <c r="P325" s="20">
        <v>0.19</v>
      </c>
      <c r="Q325" s="21">
        <v>1.33</v>
      </c>
    </row>
    <row r="326" spans="1:17" ht="27" customHeight="1" x14ac:dyDescent="0.3">
      <c r="A326" s="34" t="s">
        <v>21</v>
      </c>
      <c r="B326" s="44" t="s">
        <v>18</v>
      </c>
      <c r="C326" s="29">
        <v>22474.53</v>
      </c>
      <c r="D326" s="29">
        <v>3.3</v>
      </c>
      <c r="E326" s="29">
        <v>2190.4299999999998</v>
      </c>
      <c r="F326" s="29">
        <v>18.53</v>
      </c>
      <c r="G326" s="29">
        <v>7.33</v>
      </c>
      <c r="H326" s="29">
        <v>19780.13</v>
      </c>
      <c r="I326" s="29">
        <v>2.95</v>
      </c>
      <c r="J326" s="29">
        <v>2.83</v>
      </c>
      <c r="K326" s="29">
        <v>0.45</v>
      </c>
      <c r="L326" s="29">
        <v>2.4500000000000002</v>
      </c>
      <c r="M326" s="29">
        <v>266.36</v>
      </c>
      <c r="N326" s="30">
        <v>0.12</v>
      </c>
      <c r="O326" s="29">
        <v>0.7</v>
      </c>
      <c r="P326" s="29">
        <v>2.16</v>
      </c>
      <c r="Q326" s="31">
        <v>11.76</v>
      </c>
    </row>
    <row r="327" spans="1:17" ht="27" customHeight="1" x14ac:dyDescent="0.3">
      <c r="A327" s="33" t="s">
        <v>21</v>
      </c>
      <c r="B327" s="43" t="s">
        <v>18</v>
      </c>
      <c r="C327" s="20">
        <v>22458.22</v>
      </c>
      <c r="D327" s="20">
        <v>3.52</v>
      </c>
      <c r="E327" s="20">
        <v>2356.91</v>
      </c>
      <c r="F327" s="20">
        <v>20.34</v>
      </c>
      <c r="G327" s="20">
        <v>7.66</v>
      </c>
      <c r="H327" s="20">
        <v>19762.21</v>
      </c>
      <c r="I327" s="20">
        <v>2.54</v>
      </c>
      <c r="J327" s="20">
        <v>2.4700000000000002</v>
      </c>
      <c r="K327" s="20">
        <v>0.57999999999999996</v>
      </c>
      <c r="L327" s="20">
        <v>3.02</v>
      </c>
      <c r="M327" s="20">
        <v>273.27999999999997</v>
      </c>
      <c r="N327" s="28">
        <v>0.11</v>
      </c>
      <c r="O327" s="20">
        <v>0.89</v>
      </c>
      <c r="P327" s="20">
        <v>2.4</v>
      </c>
      <c r="Q327" s="21">
        <v>12.56</v>
      </c>
    </row>
    <row r="328" spans="1:17" ht="27" customHeight="1" x14ac:dyDescent="0.3">
      <c r="A328" s="33" t="s">
        <v>21</v>
      </c>
      <c r="B328" s="43" t="s">
        <v>18</v>
      </c>
      <c r="C328" s="20">
        <v>22761.51</v>
      </c>
      <c r="D328" s="20">
        <v>3.78</v>
      </c>
      <c r="E328" s="20">
        <v>2551.5700000000002</v>
      </c>
      <c r="F328" s="20">
        <v>21.55</v>
      </c>
      <c r="G328" s="20">
        <v>9.3800000000000008</v>
      </c>
      <c r="H328" s="20">
        <v>19762.25</v>
      </c>
      <c r="I328" s="20">
        <v>3.27</v>
      </c>
      <c r="J328" s="20">
        <v>3.16</v>
      </c>
      <c r="K328" s="20">
        <v>0.57999999999999996</v>
      </c>
      <c r="L328" s="20">
        <v>3.18</v>
      </c>
      <c r="M328" s="20">
        <v>277.88</v>
      </c>
      <c r="N328" s="28">
        <v>0.11</v>
      </c>
      <c r="O328" s="20">
        <v>0.87</v>
      </c>
      <c r="P328" s="20">
        <v>2.4500000000000002</v>
      </c>
      <c r="Q328" s="21">
        <v>13.89</v>
      </c>
    </row>
    <row r="329" spans="1:17" ht="27" customHeight="1" x14ac:dyDescent="0.3">
      <c r="A329" s="33" t="s">
        <v>21</v>
      </c>
      <c r="B329" s="43" t="s">
        <v>18</v>
      </c>
      <c r="C329" s="20">
        <v>23886.53</v>
      </c>
      <c r="D329" s="20">
        <v>3.21</v>
      </c>
      <c r="E329" s="20">
        <v>2338.9</v>
      </c>
      <c r="F329" s="20">
        <v>20.07</v>
      </c>
      <c r="G329" s="20">
        <v>6.56</v>
      </c>
      <c r="H329" s="20">
        <v>19762.2</v>
      </c>
      <c r="I329" s="20">
        <v>3.02</v>
      </c>
      <c r="J329" s="20">
        <v>2.95</v>
      </c>
      <c r="K329" s="20">
        <v>0.39</v>
      </c>
      <c r="L329" s="20">
        <v>1.98</v>
      </c>
      <c r="M329" s="20">
        <v>290.14999999999998</v>
      </c>
      <c r="N329" s="28">
        <v>0.12</v>
      </c>
      <c r="O329" s="20">
        <v>0.61</v>
      </c>
      <c r="P329" s="20">
        <v>1.66</v>
      </c>
      <c r="Q329" s="21">
        <v>8.86</v>
      </c>
    </row>
    <row r="330" spans="1:17" ht="27" customHeight="1" x14ac:dyDescent="0.3">
      <c r="A330" s="33" t="s">
        <v>21</v>
      </c>
      <c r="B330" s="43" t="s">
        <v>18</v>
      </c>
      <c r="C330" s="20">
        <v>24034.06</v>
      </c>
      <c r="D330" s="20">
        <v>3.34</v>
      </c>
      <c r="E330" s="20">
        <v>2311.75</v>
      </c>
      <c r="F330" s="20">
        <v>20.54</v>
      </c>
      <c r="G330" s="20">
        <v>4.53</v>
      </c>
      <c r="H330" s="20">
        <v>19941.759999999998</v>
      </c>
      <c r="I330" s="20">
        <v>7.59</v>
      </c>
      <c r="J330" s="20">
        <v>7.39</v>
      </c>
      <c r="K330" s="20">
        <v>0.67</v>
      </c>
      <c r="L330" s="20">
        <v>2.87</v>
      </c>
      <c r="M330" s="20">
        <v>284.82</v>
      </c>
      <c r="N330" s="28">
        <v>0.06</v>
      </c>
      <c r="O330" s="20">
        <v>0.88</v>
      </c>
      <c r="P330" s="20">
        <v>2.56</v>
      </c>
      <c r="Q330" s="21">
        <v>10.74</v>
      </c>
    </row>
    <row r="331" spans="1:17" ht="27" customHeight="1" x14ac:dyDescent="0.3">
      <c r="A331" s="33" t="s">
        <v>21</v>
      </c>
      <c r="B331" s="43" t="s">
        <v>18</v>
      </c>
      <c r="C331" s="20">
        <v>24912.99</v>
      </c>
      <c r="D331" s="20">
        <v>4.32</v>
      </c>
      <c r="E331" s="20">
        <v>2426.4</v>
      </c>
      <c r="F331" s="20">
        <v>22.36</v>
      </c>
      <c r="G331" s="20">
        <v>1.84</v>
      </c>
      <c r="H331" s="20">
        <v>19895.21</v>
      </c>
      <c r="I331" s="20">
        <v>10.28</v>
      </c>
      <c r="J331" s="20">
        <v>10.02</v>
      </c>
      <c r="K331" s="20">
        <v>0.66</v>
      </c>
      <c r="L331" s="20">
        <v>5.24</v>
      </c>
      <c r="M331" s="20">
        <v>291.18</v>
      </c>
      <c r="N331" s="28">
        <v>5.7000000000000002E-2</v>
      </c>
      <c r="O331" s="20">
        <v>1.47</v>
      </c>
      <c r="P331" s="20">
        <v>5.43</v>
      </c>
      <c r="Q331" s="21">
        <v>3213.31</v>
      </c>
    </row>
    <row r="332" spans="1:17" ht="27" customHeight="1" x14ac:dyDescent="0.3">
      <c r="A332" s="33" t="s">
        <v>21</v>
      </c>
      <c r="B332" s="43" t="s">
        <v>18</v>
      </c>
      <c r="C332" s="20">
        <v>25132.080000000002</v>
      </c>
      <c r="D332" s="20">
        <v>3.77</v>
      </c>
      <c r="E332" s="20">
        <v>2310.44</v>
      </c>
      <c r="F332" s="20">
        <v>21.57</v>
      </c>
      <c r="G332" s="20">
        <v>8.07</v>
      </c>
      <c r="H332" s="20">
        <v>19913.89</v>
      </c>
      <c r="I332" s="20">
        <v>15.3</v>
      </c>
      <c r="J332" s="20">
        <v>14.91</v>
      </c>
      <c r="K332" s="20">
        <v>0.43</v>
      </c>
      <c r="L332" s="20">
        <v>3.2</v>
      </c>
      <c r="M332" s="20">
        <v>303.38</v>
      </c>
      <c r="N332" s="28">
        <v>0.04</v>
      </c>
      <c r="O332" s="20">
        <v>0.7</v>
      </c>
      <c r="P332" s="20">
        <v>2.59</v>
      </c>
      <c r="Q332" s="21">
        <v>652.6</v>
      </c>
    </row>
    <row r="333" spans="1:17" ht="27" customHeight="1" x14ac:dyDescent="0.3">
      <c r="A333" s="33" t="s">
        <v>21</v>
      </c>
      <c r="B333" s="43" t="s">
        <v>18</v>
      </c>
      <c r="C333" s="20">
        <v>25391.47</v>
      </c>
      <c r="D333" s="20">
        <v>4.22</v>
      </c>
      <c r="E333" s="20">
        <v>2399.71</v>
      </c>
      <c r="F333" s="20">
        <v>22.86</v>
      </c>
      <c r="G333" s="20">
        <v>8.14</v>
      </c>
      <c r="H333" s="20">
        <v>19871.28</v>
      </c>
      <c r="I333" s="20">
        <v>16.350000000000001</v>
      </c>
      <c r="J333" s="20">
        <v>15.8</v>
      </c>
      <c r="K333" s="20">
        <v>0.68</v>
      </c>
      <c r="L333" s="20">
        <v>4.26</v>
      </c>
      <c r="M333" s="20">
        <v>317.58</v>
      </c>
      <c r="N333" s="28">
        <v>3.3000000000000002E-2</v>
      </c>
      <c r="O333" s="20">
        <v>0.84</v>
      </c>
      <c r="P333" s="20">
        <v>3.18</v>
      </c>
      <c r="Q333" s="21">
        <v>51.45</v>
      </c>
    </row>
    <row r="334" spans="1:17" ht="27" customHeight="1" x14ac:dyDescent="0.3">
      <c r="A334" s="33" t="s">
        <v>21</v>
      </c>
      <c r="B334" s="43" t="s">
        <v>18</v>
      </c>
      <c r="C334" s="20">
        <v>26116.38</v>
      </c>
      <c r="D334" s="20">
        <v>3.85</v>
      </c>
      <c r="E334" s="20">
        <v>2187.67</v>
      </c>
      <c r="F334" s="20">
        <v>20.89</v>
      </c>
      <c r="G334" s="20">
        <v>3.34</v>
      </c>
      <c r="H334" s="20">
        <v>19785.07</v>
      </c>
      <c r="I334" s="20">
        <v>16.350000000000001</v>
      </c>
      <c r="J334" s="20">
        <v>15.91</v>
      </c>
      <c r="K334" s="20">
        <v>0.27</v>
      </c>
      <c r="L334" s="20">
        <v>1.61</v>
      </c>
      <c r="M334" s="20">
        <v>319.72000000000003</v>
      </c>
      <c r="N334" s="28">
        <v>3.3000000000000002E-2</v>
      </c>
      <c r="O334" s="20">
        <v>0.32</v>
      </c>
      <c r="P334" s="20">
        <v>1.08</v>
      </c>
      <c r="Q334" s="21">
        <v>68.89</v>
      </c>
    </row>
    <row r="335" spans="1:17" ht="27" customHeight="1" x14ac:dyDescent="0.3">
      <c r="A335" s="33" t="s">
        <v>21</v>
      </c>
      <c r="B335" s="43" t="s">
        <v>18</v>
      </c>
      <c r="C335" s="20">
        <v>26929.49</v>
      </c>
      <c r="D335" s="20">
        <v>3.65</v>
      </c>
      <c r="E335" s="20">
        <v>2521.39</v>
      </c>
      <c r="F335" s="20">
        <v>23.82</v>
      </c>
      <c r="G335" s="20">
        <v>5.03</v>
      </c>
      <c r="H335" s="20">
        <v>19913.91</v>
      </c>
      <c r="I335" s="20">
        <v>11.96</v>
      </c>
      <c r="J335" s="20">
        <v>11.64</v>
      </c>
      <c r="K335" s="20">
        <v>0.12</v>
      </c>
      <c r="L335" s="20">
        <v>1.1299999999999999</v>
      </c>
      <c r="M335" s="20">
        <v>326.8</v>
      </c>
      <c r="N335" s="28">
        <v>4.7E-2</v>
      </c>
      <c r="O335" s="20">
        <v>0.25</v>
      </c>
      <c r="P335" s="20">
        <v>0.49</v>
      </c>
      <c r="Q335" s="21">
        <v>5.61</v>
      </c>
    </row>
    <row r="336" spans="1:17" ht="27" customHeight="1" x14ac:dyDescent="0.3">
      <c r="A336" s="33" t="s">
        <v>21</v>
      </c>
      <c r="B336" s="43" t="s">
        <v>18</v>
      </c>
      <c r="C336" s="20">
        <v>26123.73</v>
      </c>
      <c r="D336" s="20">
        <v>4.6900000000000004</v>
      </c>
      <c r="E336" s="20">
        <v>2707.55</v>
      </c>
      <c r="F336" s="20">
        <v>25.89</v>
      </c>
      <c r="G336" s="20">
        <v>2.84</v>
      </c>
      <c r="H336" s="20">
        <v>19738.46</v>
      </c>
      <c r="I336" s="20">
        <v>16.350000000000001</v>
      </c>
      <c r="J336" s="20">
        <v>16.059999999999999</v>
      </c>
      <c r="K336" s="20">
        <v>0.66</v>
      </c>
      <c r="L336" s="20">
        <v>5.09</v>
      </c>
      <c r="M336" s="20">
        <v>340.51</v>
      </c>
      <c r="N336" s="28">
        <v>4.1000000000000002E-2</v>
      </c>
      <c r="O336" s="20">
        <v>0.99</v>
      </c>
      <c r="P336" s="20">
        <v>3.67</v>
      </c>
      <c r="Q336" s="21">
        <v>16.14</v>
      </c>
    </row>
    <row r="337" spans="1:17" ht="27" customHeight="1" x14ac:dyDescent="0.3">
      <c r="A337" s="33" t="s">
        <v>21</v>
      </c>
      <c r="B337" s="43" t="s">
        <v>18</v>
      </c>
      <c r="C337" s="20">
        <v>28213.23</v>
      </c>
      <c r="D337" s="20">
        <v>4.78</v>
      </c>
      <c r="E337" s="20">
        <v>2543.42</v>
      </c>
      <c r="F337" s="20">
        <v>25.45</v>
      </c>
      <c r="G337" s="20">
        <v>24.1</v>
      </c>
      <c r="H337" s="20">
        <v>19646.57</v>
      </c>
      <c r="I337" s="20">
        <v>16.190000000000001</v>
      </c>
      <c r="J337" s="20">
        <v>15.96</v>
      </c>
      <c r="K337" s="20">
        <v>0.28999999999999998</v>
      </c>
      <c r="L337" s="20">
        <v>2.25</v>
      </c>
      <c r="M337" s="20">
        <v>343.29</v>
      </c>
      <c r="N337" s="28">
        <v>3.1E-2</v>
      </c>
      <c r="O337" s="20">
        <v>0.41</v>
      </c>
      <c r="P337" s="20">
        <v>1.49</v>
      </c>
      <c r="Q337" s="21">
        <v>8.7899999999999991</v>
      </c>
    </row>
    <row r="338" spans="1:17" ht="27" customHeight="1" x14ac:dyDescent="0.3">
      <c r="A338" s="34" t="s">
        <v>17</v>
      </c>
      <c r="B338" s="44" t="s">
        <v>22</v>
      </c>
      <c r="C338" s="29">
        <v>33778.42</v>
      </c>
      <c r="D338" s="29">
        <v>10.34</v>
      </c>
      <c r="E338" s="29">
        <v>1641.97</v>
      </c>
      <c r="F338" s="29">
        <v>4.7699999999999996</v>
      </c>
      <c r="G338" s="29">
        <v>44.09</v>
      </c>
      <c r="H338" s="29">
        <v>18748.330000000002</v>
      </c>
      <c r="I338" s="29">
        <v>0.54</v>
      </c>
      <c r="J338" s="29">
        <v>0.61</v>
      </c>
      <c r="K338" s="29">
        <v>13.75</v>
      </c>
      <c r="L338" s="29">
        <v>0.17</v>
      </c>
      <c r="M338" s="29">
        <v>77.37</v>
      </c>
      <c r="N338" s="30">
        <v>7.6E-3</v>
      </c>
      <c r="O338" s="29">
        <v>4.3999999999999997E-2</v>
      </c>
      <c r="P338" s="29">
        <v>2.13</v>
      </c>
      <c r="Q338" s="31">
        <v>0.87</v>
      </c>
    </row>
    <row r="339" spans="1:17" ht="27" customHeight="1" x14ac:dyDescent="0.3">
      <c r="A339" s="33" t="s">
        <v>17</v>
      </c>
      <c r="B339" s="43" t="s">
        <v>22</v>
      </c>
      <c r="C339" s="20">
        <v>34791.93</v>
      </c>
      <c r="D339" s="20">
        <v>10.95</v>
      </c>
      <c r="E339" s="20">
        <v>1683.27</v>
      </c>
      <c r="F339" s="20">
        <v>4.8499999999999996</v>
      </c>
      <c r="G339" s="20">
        <v>55.56</v>
      </c>
      <c r="H339" s="20">
        <v>19138.14</v>
      </c>
      <c r="I339" s="20">
        <v>0.82</v>
      </c>
      <c r="J339" s="20">
        <v>0.93</v>
      </c>
      <c r="K339" s="20">
        <v>17.32</v>
      </c>
      <c r="L339" s="20">
        <v>0.23</v>
      </c>
      <c r="M339" s="20">
        <v>79.33</v>
      </c>
      <c r="N339" s="28">
        <v>7.9000000000000008E-3</v>
      </c>
      <c r="O339" s="20">
        <v>4.2000000000000003E-2</v>
      </c>
      <c r="P339" s="20">
        <v>5.61</v>
      </c>
      <c r="Q339" s="21">
        <v>3.55</v>
      </c>
    </row>
    <row r="340" spans="1:17" ht="27" customHeight="1" x14ac:dyDescent="0.3">
      <c r="A340" s="33" t="s">
        <v>17</v>
      </c>
      <c r="B340" s="43" t="s">
        <v>22</v>
      </c>
      <c r="C340" s="20">
        <v>34272.04</v>
      </c>
      <c r="D340" s="20">
        <v>9.8699999999999992</v>
      </c>
      <c r="E340" s="20">
        <v>1652.94</v>
      </c>
      <c r="F340" s="20">
        <v>5.07</v>
      </c>
      <c r="G340" s="20">
        <v>48.73</v>
      </c>
      <c r="H340" s="20">
        <v>19336.439999999999</v>
      </c>
      <c r="I340" s="20">
        <v>1.95</v>
      </c>
      <c r="J340" s="20">
        <v>2.27</v>
      </c>
      <c r="K340" s="20">
        <v>12.39</v>
      </c>
      <c r="L340" s="20">
        <v>0.19</v>
      </c>
      <c r="M340" s="20">
        <v>79.069999999999993</v>
      </c>
      <c r="N340" s="28">
        <v>6.7000000000000002E-3</v>
      </c>
      <c r="O340" s="20">
        <v>3.2000000000000001E-2</v>
      </c>
      <c r="P340" s="20">
        <v>5.52</v>
      </c>
      <c r="Q340" s="21">
        <v>3.74</v>
      </c>
    </row>
    <row r="341" spans="1:17" ht="27" customHeight="1" x14ac:dyDescent="0.3">
      <c r="A341" s="33" t="s">
        <v>17</v>
      </c>
      <c r="B341" s="43" t="s">
        <v>22</v>
      </c>
      <c r="C341" s="20">
        <v>35078.22</v>
      </c>
      <c r="D341" s="20">
        <v>8.86</v>
      </c>
      <c r="E341" s="20">
        <v>1518.49</v>
      </c>
      <c r="F341" s="20">
        <v>4.63</v>
      </c>
      <c r="G341" s="20">
        <v>55.99</v>
      </c>
      <c r="H341" s="20">
        <v>19219.07</v>
      </c>
      <c r="I341" s="20">
        <v>2.16</v>
      </c>
      <c r="J341" s="20">
        <v>2.5299999999999998</v>
      </c>
      <c r="K341" s="20">
        <v>15.48</v>
      </c>
      <c r="L341" s="20">
        <v>0.23</v>
      </c>
      <c r="M341" s="20">
        <v>78.3</v>
      </c>
      <c r="N341" s="28">
        <v>8.2000000000000007E-3</v>
      </c>
      <c r="O341" s="20">
        <v>4.2999999999999997E-2</v>
      </c>
      <c r="P341" s="20">
        <v>6.51</v>
      </c>
      <c r="Q341" s="21">
        <v>3.23</v>
      </c>
    </row>
    <row r="342" spans="1:17" ht="27" customHeight="1" x14ac:dyDescent="0.3">
      <c r="A342" s="33" t="s">
        <v>17</v>
      </c>
      <c r="B342" s="43" t="s">
        <v>22</v>
      </c>
      <c r="C342" s="20">
        <v>35618.050000000003</v>
      </c>
      <c r="D342" s="20">
        <v>9.93</v>
      </c>
      <c r="E342" s="20">
        <v>1725.2</v>
      </c>
      <c r="F342" s="20">
        <v>5.21</v>
      </c>
      <c r="G342" s="20">
        <v>51.64</v>
      </c>
      <c r="H342" s="20">
        <v>19219.13</v>
      </c>
      <c r="I342" s="20">
        <v>2.0099999999999998</v>
      </c>
      <c r="J342" s="20">
        <v>2.34</v>
      </c>
      <c r="K342" s="20">
        <v>13.52</v>
      </c>
      <c r="L342" s="20">
        <v>0.22</v>
      </c>
      <c r="M342" s="20">
        <v>78.89</v>
      </c>
      <c r="N342" s="28">
        <v>7.4999999999999997E-3</v>
      </c>
      <c r="O342" s="20">
        <v>3.7999999999999999E-2</v>
      </c>
      <c r="P342" s="20">
        <v>9.3000000000000007</v>
      </c>
      <c r="Q342" s="21">
        <v>3.88</v>
      </c>
    </row>
    <row r="343" spans="1:17" ht="27" customHeight="1" x14ac:dyDescent="0.3">
      <c r="A343" s="33" t="s">
        <v>17</v>
      </c>
      <c r="B343" s="43" t="s">
        <v>22</v>
      </c>
      <c r="C343" s="20">
        <v>35310.32</v>
      </c>
      <c r="D343" s="20">
        <v>11.93</v>
      </c>
      <c r="E343" s="20">
        <v>1778.04</v>
      </c>
      <c r="F343" s="20">
        <v>5.74</v>
      </c>
      <c r="G343" s="20">
        <v>33.61</v>
      </c>
      <c r="H343" s="20">
        <v>19143.09</v>
      </c>
      <c r="I343" s="20">
        <v>1.8</v>
      </c>
      <c r="J343" s="20">
        <v>2.12</v>
      </c>
      <c r="K343" s="20">
        <v>9.7200000000000006</v>
      </c>
      <c r="L343" s="20">
        <v>0.15</v>
      </c>
      <c r="M343" s="20">
        <v>81.59</v>
      </c>
      <c r="N343" s="28">
        <v>0.21</v>
      </c>
      <c r="O343" s="20">
        <v>0.47</v>
      </c>
      <c r="P343" s="20">
        <v>1.78</v>
      </c>
      <c r="Q343" s="21">
        <v>1.53</v>
      </c>
    </row>
    <row r="344" spans="1:17" ht="27" customHeight="1" x14ac:dyDescent="0.3">
      <c r="A344" s="33" t="s">
        <v>17</v>
      </c>
      <c r="B344" s="43" t="s">
        <v>22</v>
      </c>
      <c r="C344" s="20">
        <v>35344.65</v>
      </c>
      <c r="D344" s="20">
        <v>11.7</v>
      </c>
      <c r="E344" s="20">
        <v>1732.57</v>
      </c>
      <c r="F344" s="20">
        <v>5.64</v>
      </c>
      <c r="G344" s="20">
        <v>50.45</v>
      </c>
      <c r="H344" s="20">
        <v>19081.990000000002</v>
      </c>
      <c r="I344" s="20">
        <v>1.1399999999999999</v>
      </c>
      <c r="J344" s="20">
        <v>1.34</v>
      </c>
      <c r="K344" s="20">
        <v>14.31</v>
      </c>
      <c r="L344" s="20">
        <v>0.19</v>
      </c>
      <c r="M344" s="20">
        <v>80.12</v>
      </c>
      <c r="N344" s="28">
        <v>0.28999999999999998</v>
      </c>
      <c r="O344" s="20">
        <v>1.33</v>
      </c>
      <c r="P344" s="20">
        <v>4.91</v>
      </c>
      <c r="Q344" s="21">
        <v>3.26</v>
      </c>
    </row>
    <row r="345" spans="1:17" ht="27" customHeight="1" x14ac:dyDescent="0.3">
      <c r="A345" s="33" t="s">
        <v>17</v>
      </c>
      <c r="B345" s="43" t="s">
        <v>22</v>
      </c>
      <c r="C345" s="20">
        <v>35199.550000000003</v>
      </c>
      <c r="D345" s="20">
        <v>11.71</v>
      </c>
      <c r="E345" s="20">
        <v>1735.62</v>
      </c>
      <c r="F345" s="20">
        <v>5.64</v>
      </c>
      <c r="G345" s="20">
        <v>32.1</v>
      </c>
      <c r="H345" s="20">
        <v>19097.310000000001</v>
      </c>
      <c r="I345" s="20">
        <v>0.66</v>
      </c>
      <c r="J345" s="20">
        <v>0.75</v>
      </c>
      <c r="K345" s="20">
        <v>10.69</v>
      </c>
      <c r="L345" s="20">
        <v>0.14000000000000001</v>
      </c>
      <c r="M345" s="20">
        <v>79.290000000000006</v>
      </c>
      <c r="N345" s="28">
        <v>0.24</v>
      </c>
      <c r="O345" s="20">
        <v>1.29</v>
      </c>
      <c r="P345" s="20">
        <v>1.66</v>
      </c>
      <c r="Q345" s="21">
        <v>1.02</v>
      </c>
    </row>
    <row r="346" spans="1:17" ht="27" customHeight="1" x14ac:dyDescent="0.3">
      <c r="A346" s="33" t="s">
        <v>17</v>
      </c>
      <c r="B346" s="43" t="s">
        <v>22</v>
      </c>
      <c r="C346" s="20">
        <v>36081.94</v>
      </c>
      <c r="D346" s="20">
        <v>12.03</v>
      </c>
      <c r="E346" s="20">
        <v>1788.2</v>
      </c>
      <c r="F346" s="20">
        <v>5.75</v>
      </c>
      <c r="G346" s="20">
        <v>26.17</v>
      </c>
      <c r="H346" s="20">
        <v>19093.21</v>
      </c>
      <c r="I346" s="20">
        <v>0.9</v>
      </c>
      <c r="J346" s="20">
        <v>1.05</v>
      </c>
      <c r="K346" s="20">
        <v>12.17</v>
      </c>
      <c r="L346" s="20">
        <v>0.17</v>
      </c>
      <c r="M346" s="20">
        <v>79.760000000000005</v>
      </c>
      <c r="N346" s="28">
        <v>0.19</v>
      </c>
      <c r="O346" s="20">
        <v>1.18</v>
      </c>
      <c r="P346" s="20">
        <v>0.74</v>
      </c>
      <c r="Q346" s="21">
        <v>1.48</v>
      </c>
    </row>
    <row r="347" spans="1:17" ht="27" customHeight="1" x14ac:dyDescent="0.3">
      <c r="A347" s="33" t="s">
        <v>17</v>
      </c>
      <c r="B347" s="43" t="s">
        <v>22</v>
      </c>
      <c r="C347" s="20">
        <v>35914.720000000001</v>
      </c>
      <c r="D347" s="20">
        <v>14.22</v>
      </c>
      <c r="E347" s="20">
        <v>2068.84</v>
      </c>
      <c r="F347" s="20">
        <v>6.45</v>
      </c>
      <c r="G347" s="20">
        <v>24.67</v>
      </c>
      <c r="H347" s="20">
        <v>19186.61</v>
      </c>
      <c r="I347" s="20">
        <v>1.17</v>
      </c>
      <c r="J347" s="20">
        <v>1.38</v>
      </c>
      <c r="K347" s="20">
        <v>10.38</v>
      </c>
      <c r="L347" s="20">
        <v>0.14000000000000001</v>
      </c>
      <c r="M347" s="20">
        <v>80.569999999999993</v>
      </c>
      <c r="N347" s="28">
        <v>0.16</v>
      </c>
      <c r="O347" s="20">
        <v>0.43</v>
      </c>
      <c r="P347" s="20">
        <v>1.65</v>
      </c>
      <c r="Q347" s="21">
        <v>1.22</v>
      </c>
    </row>
    <row r="348" spans="1:17" ht="27" customHeight="1" x14ac:dyDescent="0.3">
      <c r="A348" s="33" t="s">
        <v>17</v>
      </c>
      <c r="B348" s="43" t="s">
        <v>22</v>
      </c>
      <c r="C348" s="20">
        <v>35486.26</v>
      </c>
      <c r="D348" s="20">
        <v>8.6199999999999992</v>
      </c>
      <c r="E348" s="20">
        <v>1561</v>
      </c>
      <c r="F348" s="20">
        <v>6.53</v>
      </c>
      <c r="G348" s="20">
        <v>61.08</v>
      </c>
      <c r="H348" s="20">
        <v>19309.599999999999</v>
      </c>
      <c r="I348" s="20">
        <v>3.25</v>
      </c>
      <c r="J348" s="20">
        <v>3.74</v>
      </c>
      <c r="K348" s="20">
        <v>18.03</v>
      </c>
      <c r="L348" s="20">
        <v>0.56000000000000005</v>
      </c>
      <c r="M348" s="20">
        <v>79.92</v>
      </c>
      <c r="N348" s="28">
        <v>3.5000000000000003E-2</v>
      </c>
      <c r="O348" s="20">
        <v>0.28000000000000003</v>
      </c>
      <c r="P348" s="20">
        <v>0.72</v>
      </c>
      <c r="Q348" s="21">
        <v>4.7</v>
      </c>
    </row>
    <row r="349" spans="1:17" ht="27" customHeight="1" x14ac:dyDescent="0.3">
      <c r="A349" s="33" t="s">
        <v>17</v>
      </c>
      <c r="B349" s="43" t="s">
        <v>22</v>
      </c>
      <c r="C349" s="20">
        <v>36896.1</v>
      </c>
      <c r="D349" s="20">
        <v>8.77</v>
      </c>
      <c r="E349" s="20">
        <v>1554.92</v>
      </c>
      <c r="F349" s="20">
        <v>6.07</v>
      </c>
      <c r="G349" s="20">
        <v>38.57</v>
      </c>
      <c r="H349" s="20">
        <v>19600.490000000002</v>
      </c>
      <c r="I349" s="20">
        <v>6.09</v>
      </c>
      <c r="J349" s="20">
        <v>7.08</v>
      </c>
      <c r="K349" s="20">
        <v>12</v>
      </c>
      <c r="L349" s="20">
        <v>0.28000000000000003</v>
      </c>
      <c r="M349" s="20">
        <v>79.430000000000007</v>
      </c>
      <c r="N349" s="28">
        <v>0.16</v>
      </c>
      <c r="O349" s="20">
        <v>2.44</v>
      </c>
      <c r="P349" s="20">
        <v>0.11</v>
      </c>
      <c r="Q349" s="21">
        <v>0.82</v>
      </c>
    </row>
    <row r="350" spans="1:17" ht="27" customHeight="1" x14ac:dyDescent="0.3">
      <c r="A350" s="33" t="s">
        <v>17</v>
      </c>
      <c r="B350" s="43" t="s">
        <v>22</v>
      </c>
      <c r="C350" s="20">
        <v>37157.980000000003</v>
      </c>
      <c r="D350" s="20">
        <v>9.64</v>
      </c>
      <c r="E350" s="20">
        <v>1572.24</v>
      </c>
      <c r="F350" s="20">
        <v>5.58</v>
      </c>
      <c r="G350" s="20">
        <v>45.56</v>
      </c>
      <c r="H350" s="20">
        <v>19358.66</v>
      </c>
      <c r="I350" s="20">
        <v>1.85</v>
      </c>
      <c r="J350" s="20">
        <v>2.16</v>
      </c>
      <c r="K350" s="20">
        <v>13.46</v>
      </c>
      <c r="L350" s="20">
        <v>0.2</v>
      </c>
      <c r="M350" s="20">
        <v>79.650000000000006</v>
      </c>
      <c r="N350" s="28">
        <v>3.5000000000000003E-2</v>
      </c>
      <c r="O350" s="20">
        <v>0.21</v>
      </c>
      <c r="P350" s="20">
        <v>5.05</v>
      </c>
      <c r="Q350" s="21">
        <v>3.39</v>
      </c>
    </row>
    <row r="351" spans="1:17" ht="27" customHeight="1" x14ac:dyDescent="0.3">
      <c r="A351" s="33" t="s">
        <v>17</v>
      </c>
      <c r="B351" s="43" t="s">
        <v>22</v>
      </c>
      <c r="C351" s="20">
        <v>36788.879999999997</v>
      </c>
      <c r="D351" s="20">
        <v>9.58</v>
      </c>
      <c r="E351" s="20">
        <v>1587.24</v>
      </c>
      <c r="F351" s="20">
        <v>5.47</v>
      </c>
      <c r="G351" s="20">
        <v>45.2</v>
      </c>
      <c r="H351" s="20">
        <v>19380.259999999998</v>
      </c>
      <c r="I351" s="20">
        <v>0.93</v>
      </c>
      <c r="J351" s="20">
        <v>1.1100000000000001</v>
      </c>
      <c r="K351" s="20">
        <v>12.55</v>
      </c>
      <c r="L351" s="20">
        <v>0.19</v>
      </c>
      <c r="M351" s="20">
        <v>79.13</v>
      </c>
      <c r="N351" s="28">
        <v>0.02</v>
      </c>
      <c r="O351" s="20">
        <v>0.14000000000000001</v>
      </c>
      <c r="P351" s="20">
        <v>7.36</v>
      </c>
      <c r="Q351" s="21">
        <v>5.66</v>
      </c>
    </row>
    <row r="352" spans="1:17" ht="27" customHeight="1" x14ac:dyDescent="0.3">
      <c r="A352" s="33" t="s">
        <v>17</v>
      </c>
      <c r="B352" s="43" t="s">
        <v>22</v>
      </c>
      <c r="C352" s="20">
        <v>37611.57</v>
      </c>
      <c r="D352" s="20">
        <v>11.34</v>
      </c>
      <c r="E352" s="20">
        <v>1716.88</v>
      </c>
      <c r="F352" s="20">
        <v>5.53</v>
      </c>
      <c r="G352" s="20">
        <v>19.36</v>
      </c>
      <c r="H352" s="20">
        <v>19274.5</v>
      </c>
      <c r="I352" s="20">
        <v>1.7</v>
      </c>
      <c r="J352" s="20">
        <v>1.96</v>
      </c>
      <c r="K352" s="20">
        <v>5.48</v>
      </c>
      <c r="L352" s="20">
        <v>0.17</v>
      </c>
      <c r="M352" s="20">
        <v>82.22</v>
      </c>
      <c r="N352" s="28">
        <v>1.9E-2</v>
      </c>
      <c r="O352" s="20">
        <v>4.5999999999999999E-2</v>
      </c>
      <c r="P352" s="20">
        <v>0.38</v>
      </c>
      <c r="Q352" s="21">
        <v>0.2</v>
      </c>
    </row>
    <row r="353" spans="1:17" ht="27" customHeight="1" x14ac:dyDescent="0.3">
      <c r="A353" s="33" t="s">
        <v>17</v>
      </c>
      <c r="B353" s="43" t="s">
        <v>22</v>
      </c>
      <c r="C353" s="20">
        <v>37098.53</v>
      </c>
      <c r="D353" s="20">
        <v>5.35</v>
      </c>
      <c r="E353" s="20">
        <v>1295.4000000000001</v>
      </c>
      <c r="F353" s="20">
        <v>5.42</v>
      </c>
      <c r="G353" s="20">
        <v>59.14</v>
      </c>
      <c r="H353" s="20">
        <v>19562.189999999999</v>
      </c>
      <c r="I353" s="20">
        <v>0.98</v>
      </c>
      <c r="J353" s="20">
        <v>1.1399999999999999</v>
      </c>
      <c r="K353" s="20">
        <v>15.7</v>
      </c>
      <c r="L353" s="20">
        <v>0.21</v>
      </c>
      <c r="M353" s="20">
        <v>75.81</v>
      </c>
      <c r="N353" s="28">
        <v>9.7999999999999997E-3</v>
      </c>
      <c r="O353" s="20">
        <v>3.1E-2</v>
      </c>
      <c r="P353" s="20">
        <v>11.02</v>
      </c>
      <c r="Q353" s="21">
        <v>7.81</v>
      </c>
    </row>
    <row r="354" spans="1:17" ht="27" customHeight="1" x14ac:dyDescent="0.3">
      <c r="A354" s="33" t="s">
        <v>17</v>
      </c>
      <c r="B354" s="43" t="s">
        <v>22</v>
      </c>
      <c r="C354" s="20">
        <v>37808.89</v>
      </c>
      <c r="D354" s="20">
        <v>5.48</v>
      </c>
      <c r="E354" s="20">
        <v>1314.72</v>
      </c>
      <c r="F354" s="20">
        <v>5.46</v>
      </c>
      <c r="G354" s="20">
        <v>71.209999999999994</v>
      </c>
      <c r="H354" s="20">
        <v>19643.23</v>
      </c>
      <c r="I354" s="20">
        <v>1.45</v>
      </c>
      <c r="J354" s="20">
        <v>1.67</v>
      </c>
      <c r="K354" s="20">
        <v>19.45</v>
      </c>
      <c r="L354" s="20">
        <v>0.23</v>
      </c>
      <c r="M354" s="20">
        <v>74.17</v>
      </c>
      <c r="N354" s="28">
        <v>0.01</v>
      </c>
      <c r="O354" s="20">
        <v>3.1E-2</v>
      </c>
      <c r="P354" s="20">
        <v>11.09</v>
      </c>
      <c r="Q354" s="21">
        <v>6.48</v>
      </c>
    </row>
    <row r="355" spans="1:17" ht="27" customHeight="1" x14ac:dyDescent="0.3">
      <c r="A355" s="33" t="s">
        <v>17</v>
      </c>
      <c r="B355" s="43" t="s">
        <v>22</v>
      </c>
      <c r="C355" s="20">
        <v>37522.6</v>
      </c>
      <c r="D355" s="20">
        <v>6.74</v>
      </c>
      <c r="E355" s="20">
        <v>1398.05</v>
      </c>
      <c r="F355" s="20">
        <v>5.53</v>
      </c>
      <c r="G355" s="20">
        <v>55.37</v>
      </c>
      <c r="H355" s="20">
        <v>19590.59</v>
      </c>
      <c r="I355" s="20">
        <v>3.42</v>
      </c>
      <c r="J355" s="20">
        <v>4</v>
      </c>
      <c r="K355" s="20">
        <v>21.41</v>
      </c>
      <c r="L355" s="20">
        <v>0.23</v>
      </c>
      <c r="M355" s="20">
        <v>76.739999999999995</v>
      </c>
      <c r="N355" s="28">
        <v>1.2999999999999999E-2</v>
      </c>
      <c r="O355" s="20">
        <v>0.22</v>
      </c>
      <c r="P355" s="20">
        <v>2.76</v>
      </c>
      <c r="Q355" s="21">
        <v>1.1599999999999999</v>
      </c>
    </row>
    <row r="356" spans="1:17" ht="27" customHeight="1" x14ac:dyDescent="0.3">
      <c r="A356" s="34" t="s">
        <v>20</v>
      </c>
      <c r="B356" s="44" t="s">
        <v>22</v>
      </c>
      <c r="C356" s="29">
        <v>43432.71</v>
      </c>
      <c r="D356" s="29">
        <v>0.9</v>
      </c>
      <c r="E356" s="29">
        <v>764.65</v>
      </c>
      <c r="F356" s="29">
        <v>5.01</v>
      </c>
      <c r="G356" s="29">
        <v>48.9</v>
      </c>
      <c r="H356" s="29">
        <v>19843.04</v>
      </c>
      <c r="I356" s="29">
        <v>0.43</v>
      </c>
      <c r="J356" s="29">
        <v>0.41</v>
      </c>
      <c r="K356" s="29">
        <v>16.61</v>
      </c>
      <c r="L356" s="29">
        <v>0.28999999999999998</v>
      </c>
      <c r="M356" s="29">
        <v>181.39</v>
      </c>
      <c r="N356" s="30">
        <v>1.4E-2</v>
      </c>
      <c r="O356" s="29">
        <v>0.33</v>
      </c>
      <c r="P356" s="29">
        <v>0.27</v>
      </c>
      <c r="Q356" s="31">
        <v>2.11</v>
      </c>
    </row>
    <row r="357" spans="1:17" ht="27" customHeight="1" x14ac:dyDescent="0.3">
      <c r="A357" s="33" t="s">
        <v>20</v>
      </c>
      <c r="B357" s="43" t="s">
        <v>22</v>
      </c>
      <c r="C357" s="20">
        <v>43182.6</v>
      </c>
      <c r="D357" s="20">
        <v>1.03</v>
      </c>
      <c r="E357" s="20">
        <v>813.78</v>
      </c>
      <c r="F357" s="20">
        <v>5.27</v>
      </c>
      <c r="G357" s="20">
        <v>90.18</v>
      </c>
      <c r="H357" s="20">
        <v>19758.47</v>
      </c>
      <c r="I357" s="20">
        <v>0.46</v>
      </c>
      <c r="J357" s="20">
        <v>0.41</v>
      </c>
      <c r="K357" s="20">
        <v>27.79</v>
      </c>
      <c r="L357" s="20">
        <v>0.28999999999999998</v>
      </c>
      <c r="M357" s="20">
        <v>180.65</v>
      </c>
      <c r="N357" s="28">
        <v>1.2999999999999999E-2</v>
      </c>
      <c r="O357" s="20">
        <v>0.28000000000000003</v>
      </c>
      <c r="P357" s="20">
        <v>0.2</v>
      </c>
      <c r="Q357" s="21">
        <v>1.24</v>
      </c>
    </row>
    <row r="358" spans="1:17" ht="27" customHeight="1" x14ac:dyDescent="0.3">
      <c r="A358" s="33" t="s">
        <v>20</v>
      </c>
      <c r="B358" s="43" t="s">
        <v>22</v>
      </c>
      <c r="C358" s="20">
        <v>44025.1</v>
      </c>
      <c r="D358" s="20">
        <v>0.99</v>
      </c>
      <c r="E358" s="20">
        <v>815.16</v>
      </c>
      <c r="F358" s="20">
        <v>5.21</v>
      </c>
      <c r="G358" s="20">
        <v>80.11</v>
      </c>
      <c r="H358" s="20">
        <v>19690.580000000002</v>
      </c>
      <c r="I358" s="20">
        <v>0.32</v>
      </c>
      <c r="J358" s="20">
        <v>0.3</v>
      </c>
      <c r="K358" s="20">
        <v>23.53</v>
      </c>
      <c r="L358" s="20">
        <v>0.26</v>
      </c>
      <c r="M358" s="20">
        <v>180.96</v>
      </c>
      <c r="N358" s="28">
        <v>1.4E-2</v>
      </c>
      <c r="O358" s="20">
        <v>0.27</v>
      </c>
      <c r="P358" s="20">
        <v>0.16</v>
      </c>
      <c r="Q358" s="21">
        <v>1.38</v>
      </c>
    </row>
    <row r="359" spans="1:17" ht="27" customHeight="1" x14ac:dyDescent="0.3">
      <c r="A359" s="33" t="s">
        <v>20</v>
      </c>
      <c r="B359" s="43" t="s">
        <v>22</v>
      </c>
      <c r="C359" s="20">
        <v>44145.11</v>
      </c>
      <c r="D359" s="20">
        <v>0.87</v>
      </c>
      <c r="E359" s="20">
        <v>844.9</v>
      </c>
      <c r="F359" s="20">
        <v>5.09</v>
      </c>
      <c r="G359" s="20">
        <v>40.81</v>
      </c>
      <c r="H359" s="20">
        <v>19668.03</v>
      </c>
      <c r="I359" s="20">
        <v>0.28000000000000003</v>
      </c>
      <c r="J359" s="20">
        <v>0.26</v>
      </c>
      <c r="K359" s="20">
        <v>12.36</v>
      </c>
      <c r="L359" s="20">
        <v>0.24</v>
      </c>
      <c r="M359" s="20">
        <v>175.94</v>
      </c>
      <c r="N359" s="28">
        <v>1.4E-2</v>
      </c>
      <c r="O359" s="20">
        <v>4.8000000000000001E-2</v>
      </c>
      <c r="P359" s="20">
        <v>0.52</v>
      </c>
      <c r="Q359" s="21">
        <v>0.28999999999999998</v>
      </c>
    </row>
    <row r="360" spans="1:17" ht="27" customHeight="1" x14ac:dyDescent="0.3">
      <c r="A360" s="33" t="s">
        <v>20</v>
      </c>
      <c r="B360" s="43" t="s">
        <v>22</v>
      </c>
      <c r="C360" s="20">
        <v>43740.87</v>
      </c>
      <c r="D360" s="20">
        <v>0.95</v>
      </c>
      <c r="E360" s="20">
        <v>901.63</v>
      </c>
      <c r="F360" s="20">
        <v>5.53</v>
      </c>
      <c r="G360" s="20">
        <v>46.26</v>
      </c>
      <c r="H360" s="20">
        <v>19624.439999999999</v>
      </c>
      <c r="I360" s="20">
        <v>0.35</v>
      </c>
      <c r="J360" s="20">
        <v>0.3</v>
      </c>
      <c r="K360" s="20">
        <v>13.42</v>
      </c>
      <c r="L360" s="20">
        <v>0.24</v>
      </c>
      <c r="M360" s="20">
        <v>172.58</v>
      </c>
      <c r="N360" s="28">
        <v>1.2999999999999999E-2</v>
      </c>
      <c r="O360" s="20">
        <v>4.8000000000000001E-2</v>
      </c>
      <c r="P360" s="20">
        <v>0.65</v>
      </c>
      <c r="Q360" s="21">
        <v>0.3</v>
      </c>
    </row>
    <row r="361" spans="1:17" ht="27" customHeight="1" x14ac:dyDescent="0.3">
      <c r="A361" s="33" t="s">
        <v>20</v>
      </c>
      <c r="B361" s="43" t="s">
        <v>22</v>
      </c>
      <c r="C361" s="20">
        <v>45878.239999999998</v>
      </c>
      <c r="D361" s="20">
        <v>1.05</v>
      </c>
      <c r="E361" s="20">
        <v>1012.75</v>
      </c>
      <c r="F361" s="20">
        <v>6.19</v>
      </c>
      <c r="G361" s="20">
        <v>49.42</v>
      </c>
      <c r="H361" s="20">
        <v>19810.62</v>
      </c>
      <c r="I361" s="20">
        <v>9.7000000000000003E-2</v>
      </c>
      <c r="J361" s="20">
        <v>2.9000000000000001E-2</v>
      </c>
      <c r="K361" s="20">
        <v>13.13</v>
      </c>
      <c r="L361" s="20">
        <v>0.2</v>
      </c>
      <c r="M361" s="20">
        <v>170.3</v>
      </c>
      <c r="N361" s="28">
        <v>1.4E-2</v>
      </c>
      <c r="O361" s="20">
        <v>4.2999999999999997E-2</v>
      </c>
      <c r="P361" s="20">
        <v>9.4E-2</v>
      </c>
      <c r="Q361" s="21">
        <v>0.2</v>
      </c>
    </row>
    <row r="362" spans="1:17" ht="27" customHeight="1" x14ac:dyDescent="0.3">
      <c r="A362" s="33" t="s">
        <v>20</v>
      </c>
      <c r="B362" s="43" t="s">
        <v>22</v>
      </c>
      <c r="C362" s="20">
        <v>45635.42</v>
      </c>
      <c r="D362" s="20">
        <v>1.1100000000000001</v>
      </c>
      <c r="E362" s="20">
        <v>1074.24</v>
      </c>
      <c r="F362" s="20">
        <v>6.42</v>
      </c>
      <c r="G362" s="20">
        <v>99.09</v>
      </c>
      <c r="H362" s="20">
        <v>19775.990000000002</v>
      </c>
      <c r="I362" s="20">
        <v>0.28000000000000003</v>
      </c>
      <c r="J362" s="20">
        <v>0.26</v>
      </c>
      <c r="K362" s="20">
        <v>26.16</v>
      </c>
      <c r="L362" s="20">
        <v>0.23</v>
      </c>
      <c r="M362" s="20">
        <v>175.13</v>
      </c>
      <c r="N362" s="28">
        <v>1.6E-2</v>
      </c>
      <c r="O362" s="20">
        <v>0.47</v>
      </c>
      <c r="P362" s="20">
        <v>0.21</v>
      </c>
      <c r="Q362" s="21">
        <v>0.94</v>
      </c>
    </row>
    <row r="363" spans="1:17" ht="27" customHeight="1" x14ac:dyDescent="0.3">
      <c r="A363" s="33" t="s">
        <v>20</v>
      </c>
      <c r="B363" s="43" t="s">
        <v>22</v>
      </c>
      <c r="C363" s="20">
        <v>43647.19</v>
      </c>
      <c r="D363" s="20">
        <v>0.82</v>
      </c>
      <c r="E363" s="20">
        <v>786.85</v>
      </c>
      <c r="F363" s="20">
        <v>5.23</v>
      </c>
      <c r="G363" s="20">
        <v>67.400000000000006</v>
      </c>
      <c r="H363" s="20">
        <v>19623.32</v>
      </c>
      <c r="I363" s="20">
        <v>0.44</v>
      </c>
      <c r="J363" s="20">
        <v>0.4</v>
      </c>
      <c r="K363" s="20">
        <v>21.04</v>
      </c>
      <c r="L363" s="20">
        <v>0.2</v>
      </c>
      <c r="M363" s="20">
        <v>176.04</v>
      </c>
      <c r="N363" s="28">
        <v>1.4999999999999999E-2</v>
      </c>
      <c r="O363" s="20">
        <v>0.56999999999999995</v>
      </c>
      <c r="P363" s="20">
        <v>0.13</v>
      </c>
      <c r="Q363" s="21">
        <v>0.82</v>
      </c>
    </row>
    <row r="364" spans="1:17" ht="27" customHeight="1" x14ac:dyDescent="0.3">
      <c r="A364" s="33" t="s">
        <v>20</v>
      </c>
      <c r="B364" s="43" t="s">
        <v>22</v>
      </c>
      <c r="C364" s="20">
        <v>44498.84</v>
      </c>
      <c r="D364" s="20">
        <v>0.75</v>
      </c>
      <c r="E364" s="20">
        <v>797</v>
      </c>
      <c r="F364" s="20">
        <v>5.37</v>
      </c>
      <c r="G364" s="20">
        <v>103.97</v>
      </c>
      <c r="H364" s="20">
        <v>19712.77</v>
      </c>
      <c r="I364" s="20">
        <v>0.46</v>
      </c>
      <c r="J364" s="20">
        <v>0.43</v>
      </c>
      <c r="K364" s="20">
        <v>31.5</v>
      </c>
      <c r="L364" s="20">
        <v>0.23</v>
      </c>
      <c r="M364" s="20">
        <v>170.91</v>
      </c>
      <c r="N364" s="28">
        <v>1.4999999999999999E-2</v>
      </c>
      <c r="O364" s="20">
        <v>9.6000000000000002E-2</v>
      </c>
      <c r="P364" s="20">
        <v>0.38</v>
      </c>
      <c r="Q364" s="21">
        <v>0.42</v>
      </c>
    </row>
    <row r="365" spans="1:17" ht="27" customHeight="1" x14ac:dyDescent="0.3">
      <c r="A365" s="33" t="s">
        <v>20</v>
      </c>
      <c r="B365" s="43" t="s">
        <v>22</v>
      </c>
      <c r="C365" s="20">
        <v>45248.26</v>
      </c>
      <c r="D365" s="20">
        <v>0.91</v>
      </c>
      <c r="E365" s="20">
        <v>905.27</v>
      </c>
      <c r="F365" s="20">
        <v>6.09</v>
      </c>
      <c r="G365" s="20">
        <v>111.95</v>
      </c>
      <c r="H365" s="20">
        <v>19600.09</v>
      </c>
      <c r="I365" s="20">
        <v>0.41</v>
      </c>
      <c r="J365" s="20">
        <v>0.37</v>
      </c>
      <c r="K365" s="20">
        <v>29.44</v>
      </c>
      <c r="L365" s="20">
        <v>0.28000000000000003</v>
      </c>
      <c r="M365" s="20">
        <v>172.08</v>
      </c>
      <c r="N365" s="28">
        <v>2.1000000000000001E-2</v>
      </c>
      <c r="O365" s="20">
        <v>0.16</v>
      </c>
      <c r="P365" s="20">
        <v>0.24</v>
      </c>
      <c r="Q365" s="21">
        <v>0.54</v>
      </c>
    </row>
    <row r="366" spans="1:17" ht="27" customHeight="1" x14ac:dyDescent="0.3">
      <c r="A366" s="33" t="s">
        <v>20</v>
      </c>
      <c r="B366" s="43" t="s">
        <v>22</v>
      </c>
      <c r="C366" s="20">
        <v>44410.43</v>
      </c>
      <c r="D366" s="20">
        <v>0.9</v>
      </c>
      <c r="E366" s="20">
        <v>882.44</v>
      </c>
      <c r="F366" s="20">
        <v>5.95</v>
      </c>
      <c r="G366" s="20">
        <v>108.38</v>
      </c>
      <c r="H366" s="20">
        <v>19526.16</v>
      </c>
      <c r="I366" s="20">
        <v>0.56000000000000005</v>
      </c>
      <c r="J366" s="20">
        <v>0.52</v>
      </c>
      <c r="K366" s="20">
        <v>28.59</v>
      </c>
      <c r="L366" s="20">
        <v>0.22</v>
      </c>
      <c r="M366" s="20">
        <v>168.23</v>
      </c>
      <c r="N366" s="28">
        <v>1.7999999999999999E-2</v>
      </c>
      <c r="O366" s="20">
        <v>0.27</v>
      </c>
      <c r="P366" s="20">
        <v>0.15</v>
      </c>
      <c r="Q366" s="21">
        <v>0.45</v>
      </c>
    </row>
    <row r="367" spans="1:17" ht="27" customHeight="1" x14ac:dyDescent="0.3">
      <c r="A367" s="33" t="s">
        <v>20</v>
      </c>
      <c r="B367" s="43" t="s">
        <v>22</v>
      </c>
      <c r="C367" s="20">
        <v>44703.040000000001</v>
      </c>
      <c r="D367" s="20">
        <v>0.95</v>
      </c>
      <c r="E367" s="20">
        <v>884.5</v>
      </c>
      <c r="F367" s="20">
        <v>6.06</v>
      </c>
      <c r="G367" s="20">
        <v>92.04</v>
      </c>
      <c r="H367" s="20">
        <v>19616.79</v>
      </c>
      <c r="I367" s="20">
        <v>0.6</v>
      </c>
      <c r="J367" s="20">
        <v>0.56000000000000005</v>
      </c>
      <c r="K367" s="20">
        <v>25.12</v>
      </c>
      <c r="L367" s="20">
        <v>0.43</v>
      </c>
      <c r="M367" s="20">
        <v>171.05</v>
      </c>
      <c r="N367" s="28">
        <v>2.3E-2</v>
      </c>
      <c r="O367" s="20">
        <v>0.89</v>
      </c>
      <c r="P367" s="20">
        <v>0.43</v>
      </c>
      <c r="Q367" s="21">
        <v>3.26</v>
      </c>
    </row>
    <row r="368" spans="1:17" ht="27" customHeight="1" x14ac:dyDescent="0.3">
      <c r="A368" s="33" t="s">
        <v>20</v>
      </c>
      <c r="B368" s="43" t="s">
        <v>22</v>
      </c>
      <c r="C368" s="20">
        <v>46763</v>
      </c>
      <c r="D368" s="20">
        <v>0.87</v>
      </c>
      <c r="E368" s="20">
        <v>866.24</v>
      </c>
      <c r="F368" s="20">
        <v>5.98</v>
      </c>
      <c r="G368" s="20">
        <v>76.900000000000006</v>
      </c>
      <c r="H368" s="20">
        <v>19612.43</v>
      </c>
      <c r="I368" s="20">
        <v>0.63</v>
      </c>
      <c r="J368" s="20">
        <v>0.55000000000000004</v>
      </c>
      <c r="K368" s="20">
        <v>23.49</v>
      </c>
      <c r="L368" s="20">
        <v>0.31</v>
      </c>
      <c r="M368" s="20">
        <v>165.05</v>
      </c>
      <c r="N368" s="28">
        <v>1.7000000000000001E-2</v>
      </c>
      <c r="O368" s="20">
        <v>0.78</v>
      </c>
      <c r="P368" s="20">
        <v>0.2</v>
      </c>
      <c r="Q368" s="21">
        <v>2.0299999999999998</v>
      </c>
    </row>
    <row r="369" spans="1:17" ht="27" customHeight="1" x14ac:dyDescent="0.3">
      <c r="A369" s="33" t="s">
        <v>20</v>
      </c>
      <c r="B369" s="43" t="s">
        <v>22</v>
      </c>
      <c r="C369" s="20">
        <v>48206.48</v>
      </c>
      <c r="D369" s="20">
        <v>0.9</v>
      </c>
      <c r="E369" s="20">
        <v>850.93</v>
      </c>
      <c r="F369" s="20">
        <v>5.87</v>
      </c>
      <c r="G369" s="20">
        <v>99.76</v>
      </c>
      <c r="H369" s="20">
        <v>19571.05</v>
      </c>
      <c r="I369" s="20">
        <v>0.33</v>
      </c>
      <c r="J369" s="20">
        <v>0.3</v>
      </c>
      <c r="K369" s="20">
        <v>28.3</v>
      </c>
      <c r="L369" s="20">
        <v>0.26</v>
      </c>
      <c r="M369" s="20">
        <v>158.41</v>
      </c>
      <c r="N369" s="28">
        <v>0.02</v>
      </c>
      <c r="O369" s="20">
        <v>6.8000000000000005E-2</v>
      </c>
      <c r="P369" s="20">
        <v>0.33</v>
      </c>
      <c r="Q369" s="21">
        <v>0.5</v>
      </c>
    </row>
    <row r="370" spans="1:17" ht="27" customHeight="1" x14ac:dyDescent="0.3">
      <c r="A370" s="33" t="s">
        <v>20</v>
      </c>
      <c r="B370" s="43" t="s">
        <v>22</v>
      </c>
      <c r="C370" s="20">
        <v>47543.44</v>
      </c>
      <c r="D370" s="20">
        <v>0.85</v>
      </c>
      <c r="E370" s="20">
        <v>862.83</v>
      </c>
      <c r="F370" s="20">
        <v>5.81</v>
      </c>
      <c r="G370" s="20">
        <v>80.39</v>
      </c>
      <c r="H370" s="20">
        <v>19568.29</v>
      </c>
      <c r="I370" s="20">
        <v>0.33</v>
      </c>
      <c r="J370" s="20">
        <v>0.3</v>
      </c>
      <c r="K370" s="20">
        <v>22.02</v>
      </c>
      <c r="L370" s="20">
        <v>0.3</v>
      </c>
      <c r="M370" s="20">
        <v>158.72</v>
      </c>
      <c r="N370" s="28">
        <v>1.9E-2</v>
      </c>
      <c r="O370" s="20">
        <v>0.23</v>
      </c>
      <c r="P370" s="20">
        <v>0.21</v>
      </c>
      <c r="Q370" s="21">
        <v>1</v>
      </c>
    </row>
    <row r="371" spans="1:17" ht="27" customHeight="1" x14ac:dyDescent="0.3">
      <c r="A371" s="33" t="s">
        <v>20</v>
      </c>
      <c r="B371" s="43" t="s">
        <v>22</v>
      </c>
      <c r="C371" s="20">
        <v>51137.58</v>
      </c>
      <c r="D371" s="20">
        <v>1.05</v>
      </c>
      <c r="E371" s="20">
        <v>1016.63</v>
      </c>
      <c r="F371" s="20">
        <v>6.09</v>
      </c>
      <c r="G371" s="20">
        <v>108.19</v>
      </c>
      <c r="H371" s="20">
        <v>19783.59</v>
      </c>
      <c r="I371" s="20">
        <v>0.38</v>
      </c>
      <c r="J371" s="20">
        <v>0.34</v>
      </c>
      <c r="K371" s="20">
        <v>27.64</v>
      </c>
      <c r="L371" s="20">
        <v>0.55000000000000004</v>
      </c>
      <c r="M371" s="20">
        <v>168.47</v>
      </c>
      <c r="N371" s="28">
        <v>2.4E-2</v>
      </c>
      <c r="O371" s="20">
        <v>8.5999999999999993E-2</v>
      </c>
      <c r="P371" s="20">
        <v>0.45</v>
      </c>
      <c r="Q371" s="21">
        <v>0.66</v>
      </c>
    </row>
    <row r="372" spans="1:17" ht="27" customHeight="1" x14ac:dyDescent="0.3">
      <c r="A372" s="33" t="s">
        <v>20</v>
      </c>
      <c r="B372" s="43" t="s">
        <v>22</v>
      </c>
      <c r="C372" s="20">
        <v>45796.23</v>
      </c>
      <c r="D372" s="20">
        <v>1.1100000000000001</v>
      </c>
      <c r="E372" s="20">
        <v>1042.17</v>
      </c>
      <c r="F372" s="20">
        <v>6.3</v>
      </c>
      <c r="G372" s="20">
        <v>89.6</v>
      </c>
      <c r="H372" s="20">
        <v>19772.98</v>
      </c>
      <c r="I372" s="20">
        <v>0.35</v>
      </c>
      <c r="J372" s="20">
        <v>0.28999999999999998</v>
      </c>
      <c r="K372" s="20">
        <v>22.66</v>
      </c>
      <c r="L372" s="20">
        <v>0.45</v>
      </c>
      <c r="M372" s="20">
        <v>175.05</v>
      </c>
      <c r="N372" s="28">
        <v>2.7E-2</v>
      </c>
      <c r="O372" s="20">
        <v>8.4000000000000005E-2</v>
      </c>
      <c r="P372" s="20">
        <v>0.93</v>
      </c>
      <c r="Q372" s="21">
        <v>0.78</v>
      </c>
    </row>
    <row r="373" spans="1:17" ht="27" customHeight="1" x14ac:dyDescent="0.3">
      <c r="A373" s="34" t="s">
        <v>21</v>
      </c>
      <c r="B373" s="44" t="s">
        <v>22</v>
      </c>
      <c r="C373" s="29">
        <v>26092.59</v>
      </c>
      <c r="D373" s="29">
        <v>3.59</v>
      </c>
      <c r="E373" s="29">
        <v>2382.2399999999998</v>
      </c>
      <c r="F373" s="29">
        <v>22.22</v>
      </c>
      <c r="G373" s="29">
        <v>25.9</v>
      </c>
      <c r="H373" s="29">
        <v>19914.419999999998</v>
      </c>
      <c r="I373" s="29">
        <v>12.94</v>
      </c>
      <c r="J373" s="29">
        <v>12.64</v>
      </c>
      <c r="K373" s="29">
        <v>19.93</v>
      </c>
      <c r="L373" s="29">
        <v>1.61</v>
      </c>
      <c r="M373" s="29">
        <v>316.37</v>
      </c>
      <c r="N373" s="30">
        <v>5.8999999999999997E-2</v>
      </c>
      <c r="O373" s="29">
        <v>1.03</v>
      </c>
      <c r="P373" s="29">
        <v>0.72</v>
      </c>
      <c r="Q373" s="31">
        <v>7.77</v>
      </c>
    </row>
    <row r="374" spans="1:17" ht="27" customHeight="1" x14ac:dyDescent="0.3">
      <c r="A374" s="33" t="s">
        <v>21</v>
      </c>
      <c r="B374" s="43" t="s">
        <v>22</v>
      </c>
      <c r="C374" s="20">
        <v>26097.72</v>
      </c>
      <c r="D374" s="20">
        <v>3.61</v>
      </c>
      <c r="E374" s="20">
        <v>2381.23</v>
      </c>
      <c r="F374" s="20">
        <v>22.28</v>
      </c>
      <c r="G374" s="20">
        <v>23.5</v>
      </c>
      <c r="H374" s="20">
        <v>19915.45</v>
      </c>
      <c r="I374" s="20">
        <v>12.99</v>
      </c>
      <c r="J374" s="20">
        <v>12.67</v>
      </c>
      <c r="K374" s="20">
        <v>19.940000000000001</v>
      </c>
      <c r="L374" s="20">
        <v>1.64</v>
      </c>
      <c r="M374" s="20">
        <v>317.3</v>
      </c>
      <c r="N374" s="28">
        <v>4.7E-2</v>
      </c>
      <c r="O374" s="20">
        <v>1.06</v>
      </c>
      <c r="P374" s="20">
        <v>0.74</v>
      </c>
      <c r="Q374" s="21">
        <v>7.45</v>
      </c>
    </row>
    <row r="375" spans="1:17" ht="27" customHeight="1" x14ac:dyDescent="0.3">
      <c r="A375" s="33" t="s">
        <v>21</v>
      </c>
      <c r="B375" s="43" t="s">
        <v>22</v>
      </c>
      <c r="C375" s="20">
        <v>26097.59</v>
      </c>
      <c r="D375" s="20">
        <v>3.47</v>
      </c>
      <c r="E375" s="20">
        <v>2387.3200000000002</v>
      </c>
      <c r="F375" s="20">
        <v>22.13</v>
      </c>
      <c r="G375" s="20">
        <v>21.3</v>
      </c>
      <c r="H375" s="20">
        <v>19919.3</v>
      </c>
      <c r="I375" s="20">
        <v>12.34</v>
      </c>
      <c r="J375" s="20">
        <v>12.36</v>
      </c>
      <c r="K375" s="20">
        <v>19.78</v>
      </c>
      <c r="L375" s="20">
        <v>1.67</v>
      </c>
      <c r="M375" s="20">
        <v>319.39999999999998</v>
      </c>
      <c r="N375" s="28">
        <v>5.6000000000000001E-2</v>
      </c>
      <c r="O375" s="20">
        <v>1.1399999999999999</v>
      </c>
      <c r="P375" s="20">
        <v>0.64</v>
      </c>
      <c r="Q375" s="21">
        <v>7.53</v>
      </c>
    </row>
    <row r="376" spans="1:17" ht="27" customHeight="1" x14ac:dyDescent="0.3">
      <c r="A376" s="33" t="s">
        <v>21</v>
      </c>
      <c r="B376" s="43" t="s">
        <v>22</v>
      </c>
      <c r="C376" s="20">
        <v>26098.41</v>
      </c>
      <c r="D376" s="20">
        <v>3.56</v>
      </c>
      <c r="E376" s="20">
        <v>2382.7800000000002</v>
      </c>
      <c r="F376" s="20">
        <v>22.56</v>
      </c>
      <c r="G376" s="20">
        <v>26.3</v>
      </c>
      <c r="H376" s="20">
        <v>19916.169999999998</v>
      </c>
      <c r="I376" s="20">
        <v>13.25</v>
      </c>
      <c r="J376" s="20">
        <v>12.45</v>
      </c>
      <c r="K376" s="20">
        <v>19.559999999999999</v>
      </c>
      <c r="L376" s="20">
        <v>1.36</v>
      </c>
      <c r="M376" s="20">
        <v>324.63</v>
      </c>
      <c r="N376" s="28">
        <v>4.7E-2</v>
      </c>
      <c r="O376" s="20">
        <v>1.08</v>
      </c>
      <c r="P376" s="20">
        <v>0.85</v>
      </c>
      <c r="Q376" s="21">
        <v>7.66</v>
      </c>
    </row>
    <row r="377" spans="1:17" ht="27" customHeight="1" x14ac:dyDescent="0.3">
      <c r="A377" s="34" t="s">
        <v>17</v>
      </c>
      <c r="B377" s="44" t="s">
        <v>23</v>
      </c>
      <c r="C377" s="29">
        <v>36278.5</v>
      </c>
      <c r="D377" s="29">
        <v>8.14</v>
      </c>
      <c r="E377" s="29">
        <v>1524.92</v>
      </c>
      <c r="F377" s="29">
        <v>6.42</v>
      </c>
      <c r="G377" s="29">
        <v>21.35</v>
      </c>
      <c r="H377" s="29">
        <v>19457.560000000001</v>
      </c>
      <c r="I377" s="29">
        <v>2.87</v>
      </c>
      <c r="J377" s="29">
        <v>3.37</v>
      </c>
      <c r="K377" s="29">
        <v>5.94</v>
      </c>
      <c r="L377" s="29">
        <v>0.24</v>
      </c>
      <c r="M377" s="29">
        <v>79.31</v>
      </c>
      <c r="N377" s="30">
        <v>2.1000000000000001E-2</v>
      </c>
      <c r="O377" s="29">
        <v>0.25</v>
      </c>
      <c r="P377" s="29">
        <v>0.22</v>
      </c>
      <c r="Q377" s="31">
        <v>2.42</v>
      </c>
    </row>
    <row r="378" spans="1:17" ht="27" customHeight="1" x14ac:dyDescent="0.3">
      <c r="A378" s="33" t="s">
        <v>17</v>
      </c>
      <c r="B378" s="43" t="s">
        <v>23</v>
      </c>
      <c r="C378" s="20">
        <v>37251.4</v>
      </c>
      <c r="D378" s="20">
        <v>5.79</v>
      </c>
      <c r="E378" s="20">
        <v>1370.3</v>
      </c>
      <c r="F378" s="20">
        <v>6.12</v>
      </c>
      <c r="G378" s="20">
        <v>20.54</v>
      </c>
      <c r="H378" s="20">
        <v>19473.009999999998</v>
      </c>
      <c r="I378" s="20">
        <v>4.5199999999999996</v>
      </c>
      <c r="J378" s="20">
        <v>5.27</v>
      </c>
      <c r="K378" s="20">
        <v>4.0599999999999996</v>
      </c>
      <c r="L378" s="20">
        <v>0.22</v>
      </c>
      <c r="M378" s="20">
        <v>77.97</v>
      </c>
      <c r="N378" s="28">
        <v>2.1999999999999999E-2</v>
      </c>
      <c r="O378" s="20">
        <v>0.75</v>
      </c>
      <c r="P378" s="20">
        <v>0.3</v>
      </c>
      <c r="Q378" s="21">
        <v>0.27</v>
      </c>
    </row>
    <row r="379" spans="1:17" ht="27" customHeight="1" x14ac:dyDescent="0.3">
      <c r="A379" s="33" t="s">
        <v>17</v>
      </c>
      <c r="B379" s="43" t="s">
        <v>23</v>
      </c>
      <c r="C379" s="20">
        <v>36860.29</v>
      </c>
      <c r="D379" s="20">
        <v>5.09</v>
      </c>
      <c r="E379" s="20">
        <v>1309.18</v>
      </c>
      <c r="F379" s="20">
        <v>5.85</v>
      </c>
      <c r="G379" s="20">
        <v>16.149999999999999</v>
      </c>
      <c r="H379" s="20">
        <v>19675.16</v>
      </c>
      <c r="I379" s="20">
        <v>3.93</v>
      </c>
      <c r="J379" s="20">
        <v>4.54</v>
      </c>
      <c r="K379" s="20">
        <v>3.28</v>
      </c>
      <c r="L379" s="20">
        <v>9.6000000000000002E-2</v>
      </c>
      <c r="M379" s="20">
        <v>76.459999999999994</v>
      </c>
      <c r="N379" s="28">
        <v>9.5999999999999992E-3</v>
      </c>
      <c r="O379" s="20">
        <v>6.8000000000000005E-2</v>
      </c>
      <c r="P379" s="20">
        <v>0.26</v>
      </c>
      <c r="Q379" s="21">
        <v>0.14000000000000001</v>
      </c>
    </row>
    <row r="380" spans="1:17" ht="27" customHeight="1" x14ac:dyDescent="0.3">
      <c r="A380" s="33" t="s">
        <v>17</v>
      </c>
      <c r="B380" s="43" t="s">
        <v>23</v>
      </c>
      <c r="C380" s="20">
        <v>36828.120000000003</v>
      </c>
      <c r="D380" s="20">
        <v>11.29</v>
      </c>
      <c r="E380" s="20">
        <v>1703.32</v>
      </c>
      <c r="F380" s="20">
        <v>5.47</v>
      </c>
      <c r="G380" s="20">
        <v>17.100000000000001</v>
      </c>
      <c r="H380" s="20">
        <v>19342.46</v>
      </c>
      <c r="I380" s="20">
        <v>2.2599999999999998</v>
      </c>
      <c r="J380" s="20">
        <v>2.62</v>
      </c>
      <c r="K380" s="20">
        <v>7.31</v>
      </c>
      <c r="L380" s="20">
        <v>0.11</v>
      </c>
      <c r="M380" s="20">
        <v>82.15</v>
      </c>
      <c r="N380" s="28">
        <v>1.0999999999999999E-2</v>
      </c>
      <c r="O380" s="20">
        <v>6.6000000000000003E-2</v>
      </c>
      <c r="P380" s="20">
        <v>0.6</v>
      </c>
      <c r="Q380" s="21">
        <v>0.27</v>
      </c>
    </row>
    <row r="381" spans="1:17" ht="27" customHeight="1" x14ac:dyDescent="0.3">
      <c r="A381" s="33" t="s">
        <v>17</v>
      </c>
      <c r="B381" s="43" t="s">
        <v>23</v>
      </c>
      <c r="C381" s="20">
        <v>38005.68</v>
      </c>
      <c r="D381" s="20">
        <v>5.48</v>
      </c>
      <c r="E381" s="20">
        <v>1301.28</v>
      </c>
      <c r="F381" s="20">
        <v>5.51</v>
      </c>
      <c r="G381" s="20">
        <v>4.72</v>
      </c>
      <c r="H381" s="20">
        <v>19615.330000000002</v>
      </c>
      <c r="I381" s="20">
        <v>0.23</v>
      </c>
      <c r="J381" s="20">
        <v>0.25</v>
      </c>
      <c r="K381" s="20">
        <v>1.06</v>
      </c>
      <c r="L381" s="20">
        <v>0.19</v>
      </c>
      <c r="M381" s="20">
        <v>74.78</v>
      </c>
      <c r="N381" s="28">
        <v>0.01</v>
      </c>
      <c r="O381" s="20">
        <v>3.2000000000000001E-2</v>
      </c>
      <c r="P381" s="20">
        <v>0.11</v>
      </c>
      <c r="Q381" s="21">
        <v>1.0900000000000001</v>
      </c>
    </row>
    <row r="382" spans="1:17" ht="27" customHeight="1" x14ac:dyDescent="0.3">
      <c r="A382" s="33" t="s">
        <v>17</v>
      </c>
      <c r="B382" s="43" t="s">
        <v>23</v>
      </c>
      <c r="C382" s="20">
        <v>37833.300000000003</v>
      </c>
      <c r="D382" s="20">
        <v>5.92</v>
      </c>
      <c r="E382" s="20">
        <v>1332.61</v>
      </c>
      <c r="F382" s="20">
        <v>5.42</v>
      </c>
      <c r="G382" s="20">
        <v>6.56</v>
      </c>
      <c r="H382" s="20">
        <v>19708.57</v>
      </c>
      <c r="I382" s="20">
        <v>0.27</v>
      </c>
      <c r="J382" s="20">
        <v>0.3</v>
      </c>
      <c r="K382" s="20">
        <v>1.2</v>
      </c>
      <c r="L382" s="20">
        <v>0.32</v>
      </c>
      <c r="M382" s="20">
        <v>75.19</v>
      </c>
      <c r="N382" s="28">
        <v>0.01</v>
      </c>
      <c r="O382" s="20">
        <v>4.2999999999999997E-2</v>
      </c>
      <c r="P382" s="20">
        <v>0.2</v>
      </c>
      <c r="Q382" s="21">
        <v>3.44</v>
      </c>
    </row>
    <row r="383" spans="1:17" ht="27" customHeight="1" x14ac:dyDescent="0.3">
      <c r="A383" s="33" t="s">
        <v>17</v>
      </c>
      <c r="B383" s="43" t="s">
        <v>23</v>
      </c>
      <c r="C383" s="20">
        <v>37688.43</v>
      </c>
      <c r="D383" s="20">
        <v>5.96</v>
      </c>
      <c r="E383" s="20">
        <v>1345.16</v>
      </c>
      <c r="F383" s="20">
        <v>5.54</v>
      </c>
      <c r="G383" s="20">
        <v>5.63</v>
      </c>
      <c r="H383" s="20">
        <v>19675.7</v>
      </c>
      <c r="I383" s="20">
        <v>0.2</v>
      </c>
      <c r="J383" s="20">
        <v>0.22</v>
      </c>
      <c r="K383" s="20">
        <v>0.99</v>
      </c>
      <c r="L383" s="20">
        <v>0.25</v>
      </c>
      <c r="M383" s="20">
        <v>77.569999999999993</v>
      </c>
      <c r="N383" s="28">
        <v>0.01</v>
      </c>
      <c r="O383" s="20">
        <v>4.2000000000000003E-2</v>
      </c>
      <c r="P383" s="20">
        <v>0.2</v>
      </c>
      <c r="Q383" s="21">
        <v>2.91</v>
      </c>
    </row>
    <row r="384" spans="1:17" ht="27" customHeight="1" x14ac:dyDescent="0.3">
      <c r="A384" s="34" t="s">
        <v>20</v>
      </c>
      <c r="B384" s="44" t="s">
        <v>23</v>
      </c>
      <c r="C384" s="29">
        <v>42400.52</v>
      </c>
      <c r="D384" s="29">
        <v>1.08</v>
      </c>
      <c r="E384" s="29">
        <v>827.22</v>
      </c>
      <c r="F384" s="29">
        <v>5.67</v>
      </c>
      <c r="G384" s="29">
        <v>9.02</v>
      </c>
      <c r="H384" s="29">
        <v>19752.509999999998</v>
      </c>
      <c r="I384" s="29">
        <v>0.85</v>
      </c>
      <c r="J384" s="29">
        <v>0.8</v>
      </c>
      <c r="K384" s="29">
        <v>2.27</v>
      </c>
      <c r="L384" s="29">
        <v>0.4</v>
      </c>
      <c r="M384" s="29">
        <v>185.38</v>
      </c>
      <c r="N384" s="30">
        <v>1.2999999999999999E-2</v>
      </c>
      <c r="O384" s="29">
        <v>0.13</v>
      </c>
      <c r="P384" s="29">
        <v>0.42</v>
      </c>
      <c r="Q384" s="31">
        <v>4.07</v>
      </c>
    </row>
    <row r="385" spans="1:17" ht="27" customHeight="1" x14ac:dyDescent="0.3">
      <c r="A385" s="33" t="s">
        <v>20</v>
      </c>
      <c r="B385" s="43" t="s">
        <v>23</v>
      </c>
      <c r="C385" s="20">
        <v>44147.45</v>
      </c>
      <c r="D385" s="20">
        <v>1.0900000000000001</v>
      </c>
      <c r="E385" s="20">
        <v>817.91</v>
      </c>
      <c r="F385" s="20">
        <v>5.14</v>
      </c>
      <c r="G385" s="20">
        <v>5.48</v>
      </c>
      <c r="H385" s="20">
        <v>19750.43</v>
      </c>
      <c r="I385" s="20">
        <v>0.49</v>
      </c>
      <c r="J385" s="20">
        <v>0.44</v>
      </c>
      <c r="K385" s="20">
        <v>1.1200000000000001</v>
      </c>
      <c r="L385" s="20">
        <v>0.34</v>
      </c>
      <c r="M385" s="20">
        <v>188.63</v>
      </c>
      <c r="N385" s="28">
        <v>1.2E-2</v>
      </c>
      <c r="O385" s="20">
        <v>0.11</v>
      </c>
      <c r="P385" s="20">
        <v>0.38</v>
      </c>
      <c r="Q385" s="21">
        <v>3.61</v>
      </c>
    </row>
    <row r="386" spans="1:17" ht="27" customHeight="1" x14ac:dyDescent="0.3">
      <c r="A386" s="33" t="s">
        <v>20</v>
      </c>
      <c r="B386" s="43" t="s">
        <v>23</v>
      </c>
      <c r="C386" s="20">
        <v>43497.62</v>
      </c>
      <c r="D386" s="20">
        <v>1.04</v>
      </c>
      <c r="E386" s="20">
        <v>1005.41</v>
      </c>
      <c r="F386" s="20">
        <v>5.95</v>
      </c>
      <c r="G386" s="20">
        <v>16.43</v>
      </c>
      <c r="H386" s="20">
        <v>19688.13</v>
      </c>
      <c r="I386" s="20">
        <v>0.39</v>
      </c>
      <c r="J386" s="20">
        <v>0.36</v>
      </c>
      <c r="K386" s="20">
        <v>4.04</v>
      </c>
      <c r="L386" s="20">
        <v>0.2</v>
      </c>
      <c r="M386" s="20">
        <v>174.82</v>
      </c>
      <c r="N386" s="28">
        <v>1.2999999999999999E-2</v>
      </c>
      <c r="O386" s="20">
        <v>4.3999999999999997E-2</v>
      </c>
      <c r="P386" s="20">
        <v>0.65</v>
      </c>
      <c r="Q386" s="21">
        <v>0.32</v>
      </c>
    </row>
    <row r="387" spans="1:17" ht="27" customHeight="1" x14ac:dyDescent="0.3">
      <c r="A387" s="33" t="s">
        <v>20</v>
      </c>
      <c r="B387" s="43" t="s">
        <v>23</v>
      </c>
      <c r="C387" s="20">
        <v>48516.45</v>
      </c>
      <c r="D387" s="20">
        <v>1.1100000000000001</v>
      </c>
      <c r="E387" s="20">
        <v>971.38</v>
      </c>
      <c r="F387" s="20">
        <v>6.16</v>
      </c>
      <c r="G387" s="20">
        <v>9.1199999999999992</v>
      </c>
      <c r="H387" s="20">
        <v>19704.14</v>
      </c>
      <c r="I387" s="20">
        <v>0.5</v>
      </c>
      <c r="J387" s="20">
        <v>0.48</v>
      </c>
      <c r="K387" s="20">
        <v>2.04</v>
      </c>
      <c r="L387" s="20">
        <v>0.32</v>
      </c>
      <c r="M387" s="20">
        <v>171.92</v>
      </c>
      <c r="N387" s="28">
        <v>2.5000000000000001E-2</v>
      </c>
      <c r="O387" s="20">
        <v>0.13</v>
      </c>
      <c r="P387" s="20">
        <v>0.38</v>
      </c>
      <c r="Q387" s="21">
        <v>2.64</v>
      </c>
    </row>
    <row r="388" spans="1:17" ht="27" customHeight="1" x14ac:dyDescent="0.3">
      <c r="A388" s="33" t="s">
        <v>20</v>
      </c>
      <c r="B388" s="43" t="s">
        <v>23</v>
      </c>
      <c r="C388" s="20">
        <v>48928.53</v>
      </c>
      <c r="D388" s="20">
        <v>1.1100000000000001</v>
      </c>
      <c r="E388" s="20">
        <v>1023.52</v>
      </c>
      <c r="F388" s="20">
        <v>6.56</v>
      </c>
      <c r="G388" s="20">
        <v>20.39</v>
      </c>
      <c r="H388" s="20">
        <v>19773.11</v>
      </c>
      <c r="I388" s="20">
        <v>0.47</v>
      </c>
      <c r="J388" s="20">
        <v>0.38</v>
      </c>
      <c r="K388" s="20">
        <v>5.32</v>
      </c>
      <c r="L388" s="20">
        <v>0.15</v>
      </c>
      <c r="M388" s="20">
        <v>170.46</v>
      </c>
      <c r="N388" s="28">
        <v>2.7E-2</v>
      </c>
      <c r="O388" s="20">
        <v>0.18</v>
      </c>
      <c r="P388" s="20">
        <v>0.1</v>
      </c>
      <c r="Q388" s="21">
        <v>0.32</v>
      </c>
    </row>
    <row r="389" spans="1:17" ht="27" customHeight="1" x14ac:dyDescent="0.3">
      <c r="A389" s="34" t="s">
        <v>21</v>
      </c>
      <c r="B389" s="44" t="s">
        <v>23</v>
      </c>
      <c r="C389" s="29">
        <v>17690.36</v>
      </c>
      <c r="D389" s="29">
        <v>2.58</v>
      </c>
      <c r="E389" s="29">
        <v>2286.4699999999998</v>
      </c>
      <c r="F389" s="29">
        <v>15.84</v>
      </c>
      <c r="G389" s="29">
        <v>2.59</v>
      </c>
      <c r="H389" s="29">
        <v>19808.43</v>
      </c>
      <c r="I389" s="29">
        <v>1.04</v>
      </c>
      <c r="J389" s="29">
        <v>1</v>
      </c>
      <c r="K389" s="29">
        <v>0.12</v>
      </c>
      <c r="L389" s="29">
        <v>0.62</v>
      </c>
      <c r="M389" s="29">
        <v>207.05</v>
      </c>
      <c r="N389" s="30">
        <v>0.2</v>
      </c>
      <c r="O389" s="29">
        <v>0.21</v>
      </c>
      <c r="P389" s="29">
        <v>0.49</v>
      </c>
      <c r="Q389" s="31">
        <v>2.75</v>
      </c>
    </row>
    <row r="390" spans="1:17" ht="27" customHeight="1" x14ac:dyDescent="0.3">
      <c r="A390" s="33" t="s">
        <v>21</v>
      </c>
      <c r="B390" s="43" t="s">
        <v>23</v>
      </c>
      <c r="C390" s="20">
        <v>17625.509999999998</v>
      </c>
      <c r="D390" s="20">
        <v>2.97</v>
      </c>
      <c r="E390" s="20">
        <v>2235.2199999999998</v>
      </c>
      <c r="F390" s="20">
        <v>15.82</v>
      </c>
      <c r="G390" s="20">
        <v>1.45</v>
      </c>
      <c r="H390" s="20">
        <v>19917.900000000001</v>
      </c>
      <c r="I390" s="20">
        <v>0.44</v>
      </c>
      <c r="J390" s="20">
        <v>0.41</v>
      </c>
      <c r="K390" s="20">
        <v>0.11</v>
      </c>
      <c r="L390" s="20">
        <v>0.22</v>
      </c>
      <c r="M390" s="20">
        <v>208.61</v>
      </c>
      <c r="N390" s="28">
        <v>0.28000000000000003</v>
      </c>
      <c r="O390" s="20">
        <v>0.11</v>
      </c>
      <c r="P390" s="20">
        <v>9.5000000000000001E-2</v>
      </c>
      <c r="Q390" s="21">
        <v>0.73</v>
      </c>
    </row>
    <row r="391" spans="1:17" ht="27" customHeight="1" x14ac:dyDescent="0.3">
      <c r="A391" s="33" t="s">
        <v>21</v>
      </c>
      <c r="B391" s="43" t="s">
        <v>23</v>
      </c>
      <c r="C391" s="20">
        <v>17232.11</v>
      </c>
      <c r="D391" s="20">
        <v>2.77</v>
      </c>
      <c r="E391" s="20">
        <v>2115.91</v>
      </c>
      <c r="F391" s="20">
        <v>14.68</v>
      </c>
      <c r="G391" s="20">
        <v>1.03</v>
      </c>
      <c r="H391" s="20">
        <v>19911.28</v>
      </c>
      <c r="I391" s="20">
        <v>0.2</v>
      </c>
      <c r="J391" s="20">
        <v>0.18</v>
      </c>
      <c r="K391" s="20">
        <v>0.11</v>
      </c>
      <c r="L391" s="20">
        <v>0.23</v>
      </c>
      <c r="M391" s="20">
        <v>210.53</v>
      </c>
      <c r="N391" s="28">
        <v>0.27</v>
      </c>
      <c r="O391" s="20">
        <v>9.6000000000000002E-2</v>
      </c>
      <c r="P391" s="20">
        <v>8.5999999999999993E-2</v>
      </c>
      <c r="Q391" s="21">
        <v>0.69</v>
      </c>
    </row>
    <row r="392" spans="1:17" ht="27" customHeight="1" x14ac:dyDescent="0.3">
      <c r="A392" s="33" t="s">
        <v>21</v>
      </c>
      <c r="B392" s="43" t="s">
        <v>23</v>
      </c>
      <c r="C392" s="20">
        <v>17758.79</v>
      </c>
      <c r="D392" s="20">
        <v>2.65</v>
      </c>
      <c r="E392" s="20">
        <v>2122.15</v>
      </c>
      <c r="F392" s="20">
        <v>15.03</v>
      </c>
      <c r="G392" s="20">
        <v>1.29</v>
      </c>
      <c r="H392" s="20">
        <v>19919.73</v>
      </c>
      <c r="I392" s="20">
        <v>0.19</v>
      </c>
      <c r="J392" s="20">
        <v>0.17</v>
      </c>
      <c r="K392" s="20">
        <v>0.11</v>
      </c>
      <c r="L392" s="20">
        <v>0.37</v>
      </c>
      <c r="M392" s="20">
        <v>211.46</v>
      </c>
      <c r="N392" s="28">
        <v>0.24</v>
      </c>
      <c r="O392" s="20">
        <v>0.16</v>
      </c>
      <c r="P392" s="20">
        <v>0.22</v>
      </c>
      <c r="Q392" s="21">
        <v>1.95</v>
      </c>
    </row>
    <row r="393" spans="1:17" ht="27" customHeight="1" x14ac:dyDescent="0.3">
      <c r="A393" s="33" t="s">
        <v>21</v>
      </c>
      <c r="B393" s="43" t="s">
        <v>23</v>
      </c>
      <c r="C393" s="20">
        <v>17820.669999999998</v>
      </c>
      <c r="D393" s="20">
        <v>2.71</v>
      </c>
      <c r="E393" s="20">
        <v>2322.91</v>
      </c>
      <c r="F393" s="20">
        <v>16.420000000000002</v>
      </c>
      <c r="G393" s="20">
        <v>0.65</v>
      </c>
      <c r="H393" s="20">
        <v>19780.47</v>
      </c>
      <c r="I393" s="20">
        <v>0.12</v>
      </c>
      <c r="J393" s="20">
        <v>0.11</v>
      </c>
      <c r="K393" s="20">
        <v>0.11</v>
      </c>
      <c r="L393" s="20">
        <v>0.19</v>
      </c>
      <c r="M393" s="20">
        <v>211.94</v>
      </c>
      <c r="N393" s="28">
        <v>0.12</v>
      </c>
      <c r="O393" s="20">
        <v>0.1</v>
      </c>
      <c r="P393" s="20">
        <v>3.5000000000000003E-2</v>
      </c>
      <c r="Q393" s="21">
        <v>0.45</v>
      </c>
    </row>
    <row r="394" spans="1:17" ht="27" customHeight="1" x14ac:dyDescent="0.3">
      <c r="A394" s="33" t="s">
        <v>21</v>
      </c>
      <c r="B394" s="43" t="s">
        <v>23</v>
      </c>
      <c r="C394" s="20">
        <v>18160.37</v>
      </c>
      <c r="D394" s="20">
        <v>2.89</v>
      </c>
      <c r="E394" s="20">
        <v>2186.52</v>
      </c>
      <c r="F394" s="20">
        <v>15.83</v>
      </c>
      <c r="G394" s="20">
        <v>1.77</v>
      </c>
      <c r="H394" s="20">
        <v>19827.27</v>
      </c>
      <c r="I394" s="20">
        <v>0.46</v>
      </c>
      <c r="J394" s="20">
        <v>0.41</v>
      </c>
      <c r="K394" s="20">
        <v>0.15</v>
      </c>
      <c r="L394" s="20">
        <v>0.52</v>
      </c>
      <c r="M394" s="20">
        <v>218.14</v>
      </c>
      <c r="N394" s="28">
        <v>0.18</v>
      </c>
      <c r="O394" s="20">
        <v>0.21</v>
      </c>
      <c r="P394" s="20">
        <v>0.39</v>
      </c>
      <c r="Q394" s="21">
        <v>2.93</v>
      </c>
    </row>
    <row r="395" spans="1:17" ht="27" customHeight="1" x14ac:dyDescent="0.3">
      <c r="A395" s="33" t="s">
        <v>21</v>
      </c>
      <c r="B395" s="43" t="s">
        <v>23</v>
      </c>
      <c r="C395" s="20">
        <v>18595.38</v>
      </c>
      <c r="D395" s="20">
        <v>2.8</v>
      </c>
      <c r="E395" s="20">
        <v>2213.84</v>
      </c>
      <c r="F395" s="20">
        <v>16.14</v>
      </c>
      <c r="G395" s="20">
        <v>1.76</v>
      </c>
      <c r="H395" s="20">
        <v>19844.97</v>
      </c>
      <c r="I395" s="20">
        <v>0.84</v>
      </c>
      <c r="J395" s="20">
        <v>0.79</v>
      </c>
      <c r="K395" s="20">
        <v>0.11</v>
      </c>
      <c r="L395" s="20">
        <v>0.27</v>
      </c>
      <c r="M395" s="20">
        <v>223.96</v>
      </c>
      <c r="N395" s="28">
        <v>0.2</v>
      </c>
      <c r="O395" s="20">
        <v>0.12</v>
      </c>
      <c r="P395" s="20">
        <v>0.14000000000000001</v>
      </c>
      <c r="Q395" s="21">
        <v>1.05</v>
      </c>
    </row>
    <row r="396" spans="1:17" ht="27" customHeight="1" x14ac:dyDescent="0.3">
      <c r="A396" s="33" t="s">
        <v>21</v>
      </c>
      <c r="B396" s="43" t="s">
        <v>23</v>
      </c>
      <c r="C396" s="20">
        <v>18701.400000000001</v>
      </c>
      <c r="D396" s="20">
        <v>3.32</v>
      </c>
      <c r="E396" s="20">
        <v>2491.79</v>
      </c>
      <c r="F396" s="20">
        <v>18.350000000000001</v>
      </c>
      <c r="G396" s="20">
        <v>2.14</v>
      </c>
      <c r="H396" s="20">
        <v>19807.21</v>
      </c>
      <c r="I396" s="20">
        <v>0.5</v>
      </c>
      <c r="J396" s="20">
        <v>0.46</v>
      </c>
      <c r="K396" s="20">
        <v>0.11</v>
      </c>
      <c r="L396" s="20">
        <v>0.52</v>
      </c>
      <c r="M396" s="20">
        <v>231.96</v>
      </c>
      <c r="N396" s="28">
        <v>0.22</v>
      </c>
      <c r="O396" s="20">
        <v>0.18</v>
      </c>
      <c r="P396" s="20">
        <v>0.33</v>
      </c>
      <c r="Q396" s="21">
        <v>2.62</v>
      </c>
    </row>
    <row r="397" spans="1:17" ht="27" customHeight="1" x14ac:dyDescent="0.3">
      <c r="A397" s="33" t="s">
        <v>21</v>
      </c>
      <c r="B397" s="43" t="s">
        <v>23</v>
      </c>
      <c r="C397" s="20">
        <v>19197.05</v>
      </c>
      <c r="D397" s="20">
        <v>3.65</v>
      </c>
      <c r="E397" s="20">
        <v>2518.81</v>
      </c>
      <c r="F397" s="20">
        <v>18.989999999999998</v>
      </c>
      <c r="G397" s="20">
        <v>1.51</v>
      </c>
      <c r="H397" s="20">
        <v>19713.66</v>
      </c>
      <c r="I397" s="20">
        <v>0.47</v>
      </c>
      <c r="J397" s="20">
        <v>0.43</v>
      </c>
      <c r="K397" s="20">
        <v>0.11</v>
      </c>
      <c r="L397" s="20">
        <v>0.31</v>
      </c>
      <c r="M397" s="20">
        <v>239.12</v>
      </c>
      <c r="N397" s="28">
        <v>0.17</v>
      </c>
      <c r="O397" s="20">
        <v>0.14000000000000001</v>
      </c>
      <c r="P397" s="20">
        <v>0.12</v>
      </c>
      <c r="Q397" s="21">
        <v>1.37</v>
      </c>
    </row>
    <row r="398" spans="1:17" ht="27" customHeight="1" x14ac:dyDescent="0.3">
      <c r="A398" s="33" t="s">
        <v>21</v>
      </c>
      <c r="B398" s="43" t="s">
        <v>23</v>
      </c>
      <c r="C398" s="20">
        <v>19784.73</v>
      </c>
      <c r="D398" s="20">
        <v>3.43</v>
      </c>
      <c r="E398" s="20">
        <v>2519.3000000000002</v>
      </c>
      <c r="F398" s="20">
        <v>18.89</v>
      </c>
      <c r="G398" s="20">
        <v>1.56</v>
      </c>
      <c r="H398" s="20">
        <v>19821.259999999998</v>
      </c>
      <c r="I398" s="20">
        <v>0.54</v>
      </c>
      <c r="J398" s="20">
        <v>0.5</v>
      </c>
      <c r="K398" s="20">
        <v>0.11</v>
      </c>
      <c r="L398" s="20">
        <v>0.24</v>
      </c>
      <c r="M398" s="20">
        <v>239.59</v>
      </c>
      <c r="N398" s="28">
        <v>0.22</v>
      </c>
      <c r="O398" s="20">
        <v>0.1</v>
      </c>
      <c r="P398" s="20">
        <v>0.11</v>
      </c>
      <c r="Q398" s="21">
        <v>0.88</v>
      </c>
    </row>
    <row r="399" spans="1:17" ht="27" customHeight="1" x14ac:dyDescent="0.3">
      <c r="A399" s="33" t="s">
        <v>21</v>
      </c>
      <c r="B399" s="43" t="s">
        <v>23</v>
      </c>
      <c r="C399" s="20">
        <v>19354.080000000002</v>
      </c>
      <c r="D399" s="20">
        <v>3.09</v>
      </c>
      <c r="E399" s="20">
        <v>2416.19</v>
      </c>
      <c r="F399" s="20">
        <v>18.34</v>
      </c>
      <c r="G399" s="20">
        <v>1.71</v>
      </c>
      <c r="H399" s="20">
        <v>19714.689999999999</v>
      </c>
      <c r="I399" s="20">
        <v>0.75</v>
      </c>
      <c r="J399" s="20">
        <v>0.73</v>
      </c>
      <c r="K399" s="20">
        <v>0.1</v>
      </c>
      <c r="L399" s="20">
        <v>0.22</v>
      </c>
      <c r="M399" s="20">
        <v>235.31</v>
      </c>
      <c r="N399" s="28">
        <v>0.19</v>
      </c>
      <c r="O399" s="20">
        <v>8.1000000000000003E-2</v>
      </c>
      <c r="P399" s="20">
        <v>7.4999999999999997E-2</v>
      </c>
      <c r="Q399" s="21">
        <v>0.68</v>
      </c>
    </row>
    <row r="400" spans="1:17" ht="27" customHeight="1" x14ac:dyDescent="0.3">
      <c r="A400" s="33" t="s">
        <v>21</v>
      </c>
      <c r="B400" s="43" t="s">
        <v>23</v>
      </c>
      <c r="C400" s="20">
        <v>21337.759999999998</v>
      </c>
      <c r="D400" s="20">
        <v>4.72</v>
      </c>
      <c r="E400" s="20">
        <v>2922.5</v>
      </c>
      <c r="F400" s="20">
        <v>23.76</v>
      </c>
      <c r="G400" s="20">
        <v>0.42</v>
      </c>
      <c r="H400" s="20">
        <v>19700.990000000002</v>
      </c>
      <c r="I400" s="20">
        <v>0.45</v>
      </c>
      <c r="J400" s="20">
        <v>4.55</v>
      </c>
      <c r="K400" s="20">
        <v>0.35</v>
      </c>
      <c r="L400" s="20">
        <v>1.62</v>
      </c>
      <c r="M400" s="20">
        <v>288.17</v>
      </c>
      <c r="N400" s="28">
        <v>1.2E-2</v>
      </c>
      <c r="O400" s="20">
        <v>0.52</v>
      </c>
      <c r="P400" s="20">
        <v>0.96</v>
      </c>
      <c r="Q400" s="21">
        <v>6.96</v>
      </c>
    </row>
    <row r="401" spans="1:17" ht="27" customHeight="1" x14ac:dyDescent="0.3">
      <c r="A401" s="33" t="s">
        <v>21</v>
      </c>
      <c r="B401" s="43" t="s">
        <v>23</v>
      </c>
      <c r="C401" s="20">
        <v>21443.86</v>
      </c>
      <c r="D401" s="20">
        <v>4.42</v>
      </c>
      <c r="E401" s="20">
        <v>3040.16</v>
      </c>
      <c r="F401" s="20">
        <v>25.39</v>
      </c>
      <c r="G401" s="20">
        <v>0.53</v>
      </c>
      <c r="H401" s="20">
        <v>19591.39</v>
      </c>
      <c r="I401" s="20">
        <v>0.75</v>
      </c>
      <c r="J401" s="20">
        <v>10.95</v>
      </c>
      <c r="K401" s="20">
        <v>0.12</v>
      </c>
      <c r="L401" s="20">
        <v>0.37</v>
      </c>
      <c r="M401" s="20">
        <v>299.26</v>
      </c>
      <c r="N401" s="28">
        <v>2.3E-2</v>
      </c>
      <c r="O401" s="20">
        <v>8.4000000000000005E-2</v>
      </c>
      <c r="P401" s="20">
        <v>9.0999999999999998E-2</v>
      </c>
      <c r="Q401" s="21">
        <v>1.07</v>
      </c>
    </row>
    <row r="402" spans="1:17" ht="27" customHeight="1" x14ac:dyDescent="0.3">
      <c r="A402" s="33" t="s">
        <v>21</v>
      </c>
      <c r="B402" s="43" t="s">
        <v>23</v>
      </c>
      <c r="C402" s="20">
        <v>22079.62</v>
      </c>
      <c r="D402" s="20">
        <v>4.6100000000000003</v>
      </c>
      <c r="E402" s="20">
        <v>3053.72</v>
      </c>
      <c r="F402" s="20">
        <v>25.68</v>
      </c>
      <c r="G402" s="20">
        <v>0.23</v>
      </c>
      <c r="H402" s="20">
        <v>19524.95</v>
      </c>
      <c r="I402" s="20">
        <v>0.56000000000000005</v>
      </c>
      <c r="J402" s="20">
        <v>11.47</v>
      </c>
      <c r="K402" s="20">
        <v>0.1</v>
      </c>
      <c r="L402" s="20">
        <v>0.37</v>
      </c>
      <c r="M402" s="20">
        <v>312.27999999999997</v>
      </c>
      <c r="N402" s="28">
        <v>2.3E-2</v>
      </c>
      <c r="O402" s="20">
        <v>9.2999999999999999E-2</v>
      </c>
      <c r="P402" s="20">
        <v>7.3999999999999996E-2</v>
      </c>
      <c r="Q402" s="21">
        <v>0.96</v>
      </c>
    </row>
    <row r="403" spans="1:17" ht="27" customHeight="1" x14ac:dyDescent="0.3">
      <c r="A403" s="34" t="s">
        <v>24</v>
      </c>
      <c r="B403" s="45" t="s">
        <v>18</v>
      </c>
      <c r="C403" s="29">
        <v>25698.44</v>
      </c>
      <c r="D403" s="29">
        <v>13.13</v>
      </c>
      <c r="E403" s="29">
        <v>1667.98</v>
      </c>
      <c r="F403" s="29">
        <v>5.57</v>
      </c>
      <c r="G403" s="29">
        <v>1</v>
      </c>
      <c r="H403" s="29">
        <v>19344.09</v>
      </c>
      <c r="I403" s="29">
        <v>0.16</v>
      </c>
      <c r="J403" s="29">
        <v>8.8999999999999996E-2</v>
      </c>
      <c r="K403" s="29">
        <v>0.16</v>
      </c>
      <c r="L403" s="29">
        <v>0.44</v>
      </c>
      <c r="M403" s="29">
        <v>84.35</v>
      </c>
      <c r="N403" s="30">
        <v>6.2E-2</v>
      </c>
      <c r="O403" s="29">
        <v>0.12</v>
      </c>
      <c r="P403" s="29">
        <v>0.18</v>
      </c>
      <c r="Q403" s="31">
        <v>3.69</v>
      </c>
    </row>
    <row r="404" spans="1:17" ht="27" customHeight="1" x14ac:dyDescent="0.3">
      <c r="A404" s="33" t="s">
        <v>24</v>
      </c>
      <c r="B404" s="46" t="s">
        <v>18</v>
      </c>
      <c r="C404" s="20">
        <v>26373.55</v>
      </c>
      <c r="D404" s="20">
        <v>12.9</v>
      </c>
      <c r="E404" s="20">
        <v>1587.38</v>
      </c>
      <c r="F404" s="20">
        <v>5.39</v>
      </c>
      <c r="G404" s="20">
        <v>0.65</v>
      </c>
      <c r="H404" s="20">
        <v>19235.63</v>
      </c>
      <c r="I404" s="20">
        <v>0.14000000000000001</v>
      </c>
      <c r="J404" s="20">
        <v>8.3000000000000004E-2</v>
      </c>
      <c r="K404" s="20">
        <v>0.14000000000000001</v>
      </c>
      <c r="L404" s="20">
        <v>0.28000000000000003</v>
      </c>
      <c r="M404" s="20">
        <v>83.75</v>
      </c>
      <c r="N404" s="28">
        <v>5.1999999999999998E-2</v>
      </c>
      <c r="O404" s="20">
        <v>0.09</v>
      </c>
      <c r="P404" s="20">
        <v>0.16</v>
      </c>
      <c r="Q404" s="21">
        <v>2.38</v>
      </c>
    </row>
    <row r="405" spans="1:17" ht="27" customHeight="1" x14ac:dyDescent="0.3">
      <c r="A405" s="33" t="s">
        <v>24</v>
      </c>
      <c r="B405" s="46" t="s">
        <v>18</v>
      </c>
      <c r="C405" s="20">
        <v>26320.04</v>
      </c>
      <c r="D405" s="20">
        <v>13.69</v>
      </c>
      <c r="E405" s="20">
        <v>1683.32</v>
      </c>
      <c r="F405" s="20">
        <v>5.44</v>
      </c>
      <c r="G405" s="20">
        <v>1.49</v>
      </c>
      <c r="H405" s="20">
        <v>19172.509999999998</v>
      </c>
      <c r="I405" s="20">
        <v>0.14000000000000001</v>
      </c>
      <c r="J405" s="20">
        <v>7.2999999999999995E-2</v>
      </c>
      <c r="K405" s="20">
        <v>0.15</v>
      </c>
      <c r="L405" s="20">
        <v>0.7</v>
      </c>
      <c r="M405" s="20">
        <v>87.08</v>
      </c>
      <c r="N405" s="28">
        <v>5.8000000000000003E-2</v>
      </c>
      <c r="O405" s="20">
        <v>0.14000000000000001</v>
      </c>
      <c r="P405" s="20">
        <v>0.33</v>
      </c>
      <c r="Q405" s="21">
        <v>6.24</v>
      </c>
    </row>
    <row r="406" spans="1:17" ht="27" customHeight="1" x14ac:dyDescent="0.3">
      <c r="A406" s="33" t="s">
        <v>24</v>
      </c>
      <c r="B406" s="46" t="s">
        <v>18</v>
      </c>
      <c r="C406" s="20">
        <v>25928.07</v>
      </c>
      <c r="D406" s="20">
        <v>13.43</v>
      </c>
      <c r="E406" s="20">
        <v>1612.29</v>
      </c>
      <c r="F406" s="20">
        <v>5.51</v>
      </c>
      <c r="G406" s="20">
        <v>1.32</v>
      </c>
      <c r="H406" s="20">
        <v>19315.080000000002</v>
      </c>
      <c r="I406" s="20">
        <v>0.13</v>
      </c>
      <c r="J406" s="20">
        <v>6.5000000000000002E-2</v>
      </c>
      <c r="K406" s="20">
        <v>0.14000000000000001</v>
      </c>
      <c r="L406" s="20">
        <v>0.62</v>
      </c>
      <c r="M406" s="20">
        <v>86.7</v>
      </c>
      <c r="N406" s="28">
        <v>5.5E-2</v>
      </c>
      <c r="O406" s="20">
        <v>0.12</v>
      </c>
      <c r="P406" s="20">
        <v>0.3</v>
      </c>
      <c r="Q406" s="21">
        <v>5.54</v>
      </c>
    </row>
    <row r="407" spans="1:17" ht="27" customHeight="1" x14ac:dyDescent="0.3">
      <c r="A407" s="33" t="s">
        <v>24</v>
      </c>
      <c r="B407" s="46" t="s">
        <v>18</v>
      </c>
      <c r="C407" s="20">
        <v>25687.96</v>
      </c>
      <c r="D407" s="20">
        <v>13.3</v>
      </c>
      <c r="E407" s="20">
        <v>1702.9</v>
      </c>
      <c r="F407" s="20">
        <v>5.32</v>
      </c>
      <c r="G407" s="20">
        <v>0.75</v>
      </c>
      <c r="H407" s="20">
        <v>19226.18</v>
      </c>
      <c r="I407" s="20">
        <v>0.15</v>
      </c>
      <c r="J407" s="20">
        <v>0.1</v>
      </c>
      <c r="K407" s="20">
        <v>0.14000000000000001</v>
      </c>
      <c r="L407" s="20">
        <v>0.26</v>
      </c>
      <c r="M407" s="20">
        <v>86.27</v>
      </c>
      <c r="N407" s="28">
        <v>5.3999999999999999E-2</v>
      </c>
      <c r="O407" s="20">
        <v>9.1999999999999998E-2</v>
      </c>
      <c r="P407" s="20">
        <v>0.13</v>
      </c>
      <c r="Q407" s="21">
        <v>2.2599999999999998</v>
      </c>
    </row>
    <row r="408" spans="1:17" ht="27" customHeight="1" x14ac:dyDescent="0.3">
      <c r="A408" s="33" t="s">
        <v>24</v>
      </c>
      <c r="B408" s="46" t="s">
        <v>18</v>
      </c>
      <c r="C408" s="20">
        <v>27169.58</v>
      </c>
      <c r="D408" s="20">
        <v>13.7</v>
      </c>
      <c r="E408" s="20">
        <v>1694.69</v>
      </c>
      <c r="F408" s="20">
        <v>5.51</v>
      </c>
      <c r="G408" s="20">
        <v>1.23</v>
      </c>
      <c r="H408" s="20">
        <v>19298.25</v>
      </c>
      <c r="I408" s="20">
        <v>0.15</v>
      </c>
      <c r="J408" s="20">
        <v>7.6999999999999999E-2</v>
      </c>
      <c r="K408" s="20">
        <v>0.16</v>
      </c>
      <c r="L408" s="20">
        <v>0.56999999999999995</v>
      </c>
      <c r="M408" s="20">
        <v>86.6</v>
      </c>
      <c r="N408" s="28">
        <v>6.2E-2</v>
      </c>
      <c r="O408" s="20">
        <v>0.14000000000000001</v>
      </c>
      <c r="P408" s="20">
        <v>0.28999999999999998</v>
      </c>
      <c r="Q408" s="21">
        <v>4.95</v>
      </c>
    </row>
    <row r="409" spans="1:17" ht="27" customHeight="1" x14ac:dyDescent="0.3">
      <c r="A409" s="33" t="s">
        <v>24</v>
      </c>
      <c r="B409" s="46" t="s">
        <v>18</v>
      </c>
      <c r="C409" s="20">
        <v>27550.44</v>
      </c>
      <c r="D409" s="20">
        <v>13.76</v>
      </c>
      <c r="E409" s="20">
        <v>1671.61</v>
      </c>
      <c r="F409" s="20">
        <v>5.9</v>
      </c>
      <c r="G409" s="20">
        <v>1.86</v>
      </c>
      <c r="H409" s="20">
        <v>19240.310000000001</v>
      </c>
      <c r="I409" s="20">
        <v>0.16</v>
      </c>
      <c r="J409" s="20">
        <v>0.1</v>
      </c>
      <c r="K409" s="20">
        <v>0.15</v>
      </c>
      <c r="L409" s="20">
        <v>0.74</v>
      </c>
      <c r="M409" s="20">
        <v>87.02</v>
      </c>
      <c r="N409" s="28">
        <v>6.2E-2</v>
      </c>
      <c r="O409" s="20">
        <v>0.13</v>
      </c>
      <c r="P409" s="20">
        <v>0.36</v>
      </c>
      <c r="Q409" s="21">
        <v>6.44</v>
      </c>
    </row>
    <row r="410" spans="1:17" ht="27" customHeight="1" x14ac:dyDescent="0.3">
      <c r="A410" s="34" t="s">
        <v>24</v>
      </c>
      <c r="B410" s="45" t="s">
        <v>25</v>
      </c>
      <c r="C410" s="29">
        <v>25676.799999999999</v>
      </c>
      <c r="D410" s="29">
        <v>24.16</v>
      </c>
      <c r="E410" s="29">
        <v>2981.62</v>
      </c>
      <c r="F410" s="29">
        <v>9.85</v>
      </c>
      <c r="G410" s="29">
        <v>0.86</v>
      </c>
      <c r="H410" s="29">
        <v>18266.62</v>
      </c>
      <c r="I410" s="29">
        <v>0.59</v>
      </c>
      <c r="J410" s="29">
        <v>0.61</v>
      </c>
      <c r="K410" s="29">
        <v>0.15</v>
      </c>
      <c r="L410" s="29">
        <v>7.6999999999999999E-2</v>
      </c>
      <c r="M410" s="29">
        <v>139.68</v>
      </c>
      <c r="N410" s="30">
        <v>7.1999999999999995E-2</v>
      </c>
      <c r="O410" s="29">
        <v>6.0999999999999999E-2</v>
      </c>
      <c r="P410" s="29">
        <v>2.3E-2</v>
      </c>
      <c r="Q410" s="31">
        <v>0.23</v>
      </c>
    </row>
    <row r="411" spans="1:17" ht="27" customHeight="1" x14ac:dyDescent="0.3">
      <c r="A411" s="33" t="s">
        <v>24</v>
      </c>
      <c r="B411" s="46" t="s">
        <v>25</v>
      </c>
      <c r="C411" s="20">
        <v>26083.08</v>
      </c>
      <c r="D411" s="20">
        <v>23.97</v>
      </c>
      <c r="E411" s="20">
        <v>2966.96</v>
      </c>
      <c r="F411" s="20">
        <v>9.9499999999999993</v>
      </c>
      <c r="G411" s="20">
        <v>1.6</v>
      </c>
      <c r="H411" s="20">
        <v>18220.18</v>
      </c>
      <c r="I411" s="20">
        <v>0.68</v>
      </c>
      <c r="J411" s="20">
        <v>0.66</v>
      </c>
      <c r="K411" s="20">
        <v>0.15</v>
      </c>
      <c r="L411" s="20">
        <v>0.24</v>
      </c>
      <c r="M411" s="20">
        <v>135.9</v>
      </c>
      <c r="N411" s="28">
        <v>6.6000000000000003E-2</v>
      </c>
      <c r="O411" s="20">
        <v>6.7000000000000004E-2</v>
      </c>
      <c r="P411" s="20">
        <v>0.11</v>
      </c>
      <c r="Q411" s="21">
        <v>1.61</v>
      </c>
    </row>
    <row r="412" spans="1:17" ht="27" customHeight="1" x14ac:dyDescent="0.3">
      <c r="A412" s="33" t="s">
        <v>24</v>
      </c>
      <c r="B412" s="46" t="s">
        <v>25</v>
      </c>
      <c r="C412" s="20">
        <v>26630.23</v>
      </c>
      <c r="D412" s="20">
        <v>25.8</v>
      </c>
      <c r="E412" s="20">
        <v>3178.1</v>
      </c>
      <c r="F412" s="20">
        <v>10.67</v>
      </c>
      <c r="G412" s="20">
        <v>1.23</v>
      </c>
      <c r="H412" s="20">
        <v>18245.3</v>
      </c>
      <c r="I412" s="20">
        <v>0.9</v>
      </c>
      <c r="J412" s="20">
        <v>0.92</v>
      </c>
      <c r="K412" s="20">
        <v>0.17</v>
      </c>
      <c r="L412" s="20">
        <v>7.0999999999999994E-2</v>
      </c>
      <c r="M412" s="20">
        <v>131.63</v>
      </c>
      <c r="N412" s="28">
        <v>7.3999999999999996E-2</v>
      </c>
      <c r="O412" s="20">
        <v>6.3E-2</v>
      </c>
      <c r="P412" s="20">
        <v>0.02</v>
      </c>
      <c r="Q412" s="21">
        <v>6.0999999999999999E-2</v>
      </c>
    </row>
    <row r="413" spans="1:17" ht="27" customHeight="1" x14ac:dyDescent="0.3">
      <c r="A413" s="33" t="s">
        <v>24</v>
      </c>
      <c r="B413" s="46" t="s">
        <v>25</v>
      </c>
      <c r="C413" s="20">
        <v>26170.57</v>
      </c>
      <c r="D413" s="20">
        <v>28.22</v>
      </c>
      <c r="E413" s="20">
        <v>3285.57</v>
      </c>
      <c r="F413" s="20">
        <v>11.01</v>
      </c>
      <c r="G413" s="20">
        <v>1.32</v>
      </c>
      <c r="H413" s="20">
        <v>18282.259999999998</v>
      </c>
      <c r="I413" s="20">
        <v>0.87</v>
      </c>
      <c r="J413" s="20">
        <v>0.89</v>
      </c>
      <c r="K413" s="20">
        <v>0.17</v>
      </c>
      <c r="L413" s="20">
        <v>8.6999999999999994E-2</v>
      </c>
      <c r="M413" s="20">
        <v>137.22</v>
      </c>
      <c r="N413" s="28">
        <v>7.6999999999999999E-2</v>
      </c>
      <c r="O413" s="20">
        <v>6.2E-2</v>
      </c>
      <c r="P413" s="20">
        <v>2.5999999999999999E-2</v>
      </c>
      <c r="Q413" s="21">
        <v>0.21</v>
      </c>
    </row>
    <row r="414" spans="1:17" ht="27" customHeight="1" x14ac:dyDescent="0.3">
      <c r="A414" s="34" t="s">
        <v>26</v>
      </c>
      <c r="B414" s="45" t="s">
        <v>18</v>
      </c>
      <c r="C414" s="29">
        <v>22783.144</v>
      </c>
      <c r="D414" s="29">
        <v>22.975999999999999</v>
      </c>
      <c r="E414" s="29">
        <v>5442.6679999999997</v>
      </c>
      <c r="F414" s="29">
        <v>2.36</v>
      </c>
      <c r="G414" s="29">
        <v>0.84</v>
      </c>
      <c r="H414" s="29">
        <v>18284.259999999998</v>
      </c>
      <c r="I414" s="29">
        <v>2.76</v>
      </c>
      <c r="J414" s="29">
        <v>2.65</v>
      </c>
      <c r="K414" s="29">
        <v>0.1</v>
      </c>
      <c r="L414" s="29">
        <v>9.89</v>
      </c>
      <c r="M414" s="29">
        <v>137.56</v>
      </c>
      <c r="N414" s="30">
        <v>2.3E-2</v>
      </c>
      <c r="O414" s="29">
        <v>0.37</v>
      </c>
      <c r="P414" s="29">
        <v>7.02</v>
      </c>
      <c r="Q414" s="31">
        <v>8</v>
      </c>
    </row>
    <row r="415" spans="1:17" ht="27" customHeight="1" x14ac:dyDescent="0.3">
      <c r="A415" s="33" t="s">
        <v>26</v>
      </c>
      <c r="B415" s="46" t="s">
        <v>18</v>
      </c>
      <c r="C415" s="20">
        <v>23081.717000000001</v>
      </c>
      <c r="D415" s="20">
        <v>23.030999999999999</v>
      </c>
      <c r="E415" s="20">
        <v>5355.2269999999999</v>
      </c>
      <c r="F415" s="20">
        <v>2.71</v>
      </c>
      <c r="G415" s="20">
        <v>0.51</v>
      </c>
      <c r="H415" s="20">
        <v>18287</v>
      </c>
      <c r="I415" s="20">
        <v>1.83</v>
      </c>
      <c r="J415" s="20">
        <v>2.11</v>
      </c>
      <c r="K415" s="20">
        <v>0.1</v>
      </c>
      <c r="L415" s="20">
        <v>1.762</v>
      </c>
      <c r="M415" s="20">
        <v>137.47</v>
      </c>
      <c r="N415" s="28">
        <v>1.2999999999999999E-2</v>
      </c>
      <c r="O415" s="20">
        <v>8.1000000000000003E-2</v>
      </c>
      <c r="P415" s="20">
        <v>0.19500000000000001</v>
      </c>
      <c r="Q415" s="21">
        <v>1.51</v>
      </c>
    </row>
    <row r="416" spans="1:17" ht="27" customHeight="1" x14ac:dyDescent="0.3">
      <c r="A416" s="33" t="s">
        <v>26</v>
      </c>
      <c r="B416" s="46" t="s">
        <v>18</v>
      </c>
      <c r="C416" s="20">
        <v>23283.93</v>
      </c>
      <c r="D416" s="20">
        <v>23.614999999999998</v>
      </c>
      <c r="E416" s="20">
        <v>5361.7250000000004</v>
      </c>
      <c r="F416" s="20">
        <v>2.67</v>
      </c>
      <c r="G416" s="20">
        <v>0.628</v>
      </c>
      <c r="H416" s="20">
        <v>18284.36</v>
      </c>
      <c r="I416" s="20">
        <v>2.02</v>
      </c>
      <c r="J416" s="20">
        <v>1.8</v>
      </c>
      <c r="K416" s="20">
        <v>0.03</v>
      </c>
      <c r="L416" s="20">
        <v>2.34</v>
      </c>
      <c r="M416" s="20">
        <v>134.22999999999999</v>
      </c>
      <c r="N416" s="28">
        <v>6.3E-2</v>
      </c>
      <c r="O416" s="20">
        <v>0.17</v>
      </c>
      <c r="P416" s="20">
        <v>0.17899999999999999</v>
      </c>
      <c r="Q416" s="21">
        <v>1.1200000000000001</v>
      </c>
    </row>
    <row r="417" spans="1:25" ht="27" customHeight="1" x14ac:dyDescent="0.3">
      <c r="A417" s="33" t="s">
        <v>26</v>
      </c>
      <c r="B417" s="46" t="s">
        <v>18</v>
      </c>
      <c r="C417" s="20">
        <v>23817.690999999999</v>
      </c>
      <c r="D417" s="20">
        <v>20.972000000000001</v>
      </c>
      <c r="E417" s="20">
        <v>5056.2839999999997</v>
      </c>
      <c r="F417" s="20">
        <v>2.6</v>
      </c>
      <c r="G417" s="20">
        <v>0.251</v>
      </c>
      <c r="H417" s="20">
        <v>18281.23</v>
      </c>
      <c r="I417" s="20">
        <v>4.4000000000000004</v>
      </c>
      <c r="J417" s="20">
        <v>5.13</v>
      </c>
      <c r="K417" s="20">
        <v>0.14000000000000001</v>
      </c>
      <c r="L417" s="20">
        <v>23.24</v>
      </c>
      <c r="M417" s="20">
        <v>124.6</v>
      </c>
      <c r="N417" s="28">
        <v>4.8000000000000001E-2</v>
      </c>
      <c r="O417" s="20">
        <v>0.748</v>
      </c>
      <c r="P417" s="20">
        <v>17</v>
      </c>
      <c r="Q417" s="21">
        <v>17.86</v>
      </c>
    </row>
    <row r="418" spans="1:25" ht="27" customHeight="1" x14ac:dyDescent="0.3">
      <c r="A418" s="33" t="s">
        <v>26</v>
      </c>
      <c r="B418" s="46" t="s">
        <v>18</v>
      </c>
      <c r="C418" s="20">
        <v>24171.503000000001</v>
      </c>
      <c r="D418" s="20">
        <v>21.623999999999999</v>
      </c>
      <c r="E418" s="20">
        <v>5204.9939999999997</v>
      </c>
      <c r="F418" s="20">
        <v>1.51</v>
      </c>
      <c r="G418" s="20">
        <v>1.7150000000000001</v>
      </c>
      <c r="H418" s="20">
        <v>18294.259999999998</v>
      </c>
      <c r="I418" s="20">
        <v>2.36</v>
      </c>
      <c r="J418" s="20">
        <v>5.43</v>
      </c>
      <c r="K418" s="20">
        <v>0.28000000000000003</v>
      </c>
      <c r="L418" s="20">
        <v>13.42</v>
      </c>
      <c r="M418" s="20">
        <v>117.36</v>
      </c>
      <c r="N418" s="28">
        <v>2.5000000000000001E-2</v>
      </c>
      <c r="O418" s="20">
        <v>0.40400000000000003</v>
      </c>
      <c r="P418" s="20">
        <v>8.64</v>
      </c>
      <c r="Q418" s="21">
        <v>10.95</v>
      </c>
    </row>
    <row r="419" spans="1:25" ht="27" customHeight="1" x14ac:dyDescent="0.3">
      <c r="A419" s="33" t="s">
        <v>26</v>
      </c>
      <c r="B419" s="46" t="s">
        <v>18</v>
      </c>
      <c r="C419" s="20">
        <v>24561.344000000001</v>
      </c>
      <c r="D419" s="20">
        <v>22.683</v>
      </c>
      <c r="E419" s="20">
        <v>4885.95</v>
      </c>
      <c r="F419" s="20">
        <v>2.34</v>
      </c>
      <c r="G419" s="20">
        <v>1.7929999999999999</v>
      </c>
      <c r="H419" s="20">
        <v>18284.23</v>
      </c>
      <c r="I419" s="20">
        <v>2.08</v>
      </c>
      <c r="J419" s="20">
        <v>5.51</v>
      </c>
      <c r="K419" s="20">
        <v>0.3</v>
      </c>
      <c r="L419" s="20">
        <v>11.5</v>
      </c>
      <c r="M419" s="20">
        <v>137.12</v>
      </c>
      <c r="N419" s="28">
        <v>0.01</v>
      </c>
      <c r="O419" s="20">
        <v>0.38100000000000001</v>
      </c>
      <c r="P419" s="20">
        <v>6.42</v>
      </c>
      <c r="Q419" s="21">
        <v>11.37</v>
      </c>
    </row>
    <row r="420" spans="1:25" ht="27" customHeight="1" x14ac:dyDescent="0.3">
      <c r="A420" s="33" t="s">
        <v>26</v>
      </c>
      <c r="B420" s="46" t="s">
        <v>18</v>
      </c>
      <c r="C420" s="20">
        <v>24677.381000000001</v>
      </c>
      <c r="D420" s="20">
        <v>20.811</v>
      </c>
      <c r="E420" s="20">
        <v>4723.0200000000004</v>
      </c>
      <c r="F420" s="20">
        <v>2.39</v>
      </c>
      <c r="G420" s="20">
        <v>1.446</v>
      </c>
      <c r="H420" s="20">
        <v>18287.45</v>
      </c>
      <c r="I420" s="20">
        <v>1.76</v>
      </c>
      <c r="J420" s="20">
        <v>1.8</v>
      </c>
      <c r="K420" s="20">
        <v>0.1</v>
      </c>
      <c r="L420" s="20">
        <v>19.2</v>
      </c>
      <c r="M420" s="20">
        <v>139.36000000000001</v>
      </c>
      <c r="N420" s="28">
        <v>9.9000000000000005E-2</v>
      </c>
      <c r="O420" s="20">
        <v>0.56299999999999994</v>
      </c>
      <c r="P420" s="20">
        <v>14.2</v>
      </c>
      <c r="Q420" s="21">
        <v>81.69</v>
      </c>
    </row>
    <row r="421" spans="1:25" ht="27" customHeight="1" x14ac:dyDescent="0.3">
      <c r="A421" s="33" t="s">
        <v>26</v>
      </c>
      <c r="B421" s="46" t="s">
        <v>18</v>
      </c>
      <c r="C421" s="20">
        <v>25265.909</v>
      </c>
      <c r="D421" s="20">
        <v>17.745999999999999</v>
      </c>
      <c r="E421" s="20">
        <v>4242.1270000000004</v>
      </c>
      <c r="F421" s="20">
        <v>2.2599999999999998</v>
      </c>
      <c r="G421" s="20">
        <v>2.2109999999999999</v>
      </c>
      <c r="H421" s="20">
        <v>18288.36</v>
      </c>
      <c r="I421" s="20">
        <v>0.53</v>
      </c>
      <c r="J421" s="20">
        <v>0.496</v>
      </c>
      <c r="K421" s="20">
        <v>0.68</v>
      </c>
      <c r="L421" s="20">
        <v>12.6</v>
      </c>
      <c r="M421" s="20">
        <v>135.36000000000001</v>
      </c>
      <c r="N421" s="28">
        <v>9.0999999999999998E-2</v>
      </c>
      <c r="O421" s="20">
        <v>1.79</v>
      </c>
      <c r="P421" s="20">
        <v>14.6</v>
      </c>
      <c r="Q421" s="21">
        <v>4.4729000000000001</v>
      </c>
    </row>
    <row r="422" spans="1:25" ht="27" customHeight="1" x14ac:dyDescent="0.3">
      <c r="A422" s="33" t="s">
        <v>26</v>
      </c>
      <c r="B422" s="46" t="s">
        <v>18</v>
      </c>
      <c r="C422" s="20">
        <v>25535.7</v>
      </c>
      <c r="D422" s="20">
        <v>20.692</v>
      </c>
      <c r="E422" s="20">
        <v>4339.7110000000002</v>
      </c>
      <c r="F422" s="20">
        <v>2.37</v>
      </c>
      <c r="G422" s="20">
        <v>0.98899999999999999</v>
      </c>
      <c r="H422" s="20">
        <v>18282.259999999998</v>
      </c>
      <c r="I422" s="20">
        <v>3.37</v>
      </c>
      <c r="J422" s="20">
        <v>3.17</v>
      </c>
      <c r="K422" s="20">
        <v>0.2</v>
      </c>
      <c r="L422" s="20">
        <v>3.66</v>
      </c>
      <c r="M422" s="20">
        <v>137.27000000000001</v>
      </c>
      <c r="N422" s="28">
        <v>7.0000000000000007E-2</v>
      </c>
      <c r="O422" s="20">
        <v>0.27200000000000002</v>
      </c>
      <c r="P422" s="20">
        <v>0.96199999999999997</v>
      </c>
      <c r="Q422" s="21">
        <v>3.68</v>
      </c>
    </row>
    <row r="423" spans="1:25" ht="27" customHeight="1" x14ac:dyDescent="0.3">
      <c r="A423" s="34" t="s">
        <v>27</v>
      </c>
      <c r="B423" s="45" t="s">
        <v>25</v>
      </c>
      <c r="C423" s="29">
        <v>31285.93</v>
      </c>
      <c r="D423" s="29">
        <v>35.03</v>
      </c>
      <c r="E423" s="29">
        <v>1334.55</v>
      </c>
      <c r="F423" s="29">
        <v>8.89</v>
      </c>
      <c r="G423" s="29">
        <v>0.69</v>
      </c>
      <c r="H423" s="29">
        <v>18773.349999999999</v>
      </c>
      <c r="I423" s="29">
        <v>0.22</v>
      </c>
      <c r="J423" s="29">
        <v>6.2E-2</v>
      </c>
      <c r="K423" s="29">
        <v>0.11</v>
      </c>
      <c r="L423" s="29">
        <v>0.11</v>
      </c>
      <c r="M423" s="29">
        <v>372.62</v>
      </c>
      <c r="N423" s="30">
        <v>0.15</v>
      </c>
      <c r="O423" s="29">
        <v>4.1000000000000002E-2</v>
      </c>
      <c r="P423" s="29">
        <v>9.5999999999999992E-3</v>
      </c>
      <c r="Q423" s="31">
        <v>5.5999999999999999E-3</v>
      </c>
    </row>
    <row r="424" spans="1:25" ht="27" customHeight="1" x14ac:dyDescent="0.3">
      <c r="A424" s="33" t="s">
        <v>27</v>
      </c>
      <c r="B424" s="46" t="s">
        <v>25</v>
      </c>
      <c r="C424" s="20">
        <v>32126.65</v>
      </c>
      <c r="D424" s="20">
        <v>36.840000000000003</v>
      </c>
      <c r="E424" s="20">
        <v>1356.63</v>
      </c>
      <c r="F424" s="20">
        <v>9.1</v>
      </c>
      <c r="G424" s="20">
        <v>0.81</v>
      </c>
      <c r="H424" s="20">
        <v>18689.25</v>
      </c>
      <c r="I424" s="20">
        <v>0.28000000000000003</v>
      </c>
      <c r="J424" s="20">
        <v>7.6999999999999999E-2</v>
      </c>
      <c r="K424" s="20">
        <v>0.1</v>
      </c>
      <c r="L424" s="20">
        <v>0.12</v>
      </c>
      <c r="M424" s="20">
        <v>379.51</v>
      </c>
      <c r="N424" s="28">
        <v>0.15</v>
      </c>
      <c r="O424" s="20">
        <v>3.9E-2</v>
      </c>
      <c r="P424" s="20">
        <v>1.4E-2</v>
      </c>
      <c r="Q424" s="21">
        <v>1.4E-2</v>
      </c>
    </row>
    <row r="425" spans="1:25" ht="27" customHeight="1" x14ac:dyDescent="0.3">
      <c r="A425" s="33" t="s">
        <v>27</v>
      </c>
      <c r="B425" s="46" t="s">
        <v>25</v>
      </c>
      <c r="C425" s="20">
        <v>32854.959999999999</v>
      </c>
      <c r="D425" s="20">
        <v>38.119999999999997</v>
      </c>
      <c r="E425" s="20">
        <v>1312.06</v>
      </c>
      <c r="F425" s="20">
        <v>9.5500000000000007</v>
      </c>
      <c r="G425" s="20">
        <v>1.34</v>
      </c>
      <c r="H425" s="20">
        <v>18776.43</v>
      </c>
      <c r="I425" s="20">
        <v>0.21</v>
      </c>
      <c r="J425" s="20">
        <v>5.6000000000000001E-2</v>
      </c>
      <c r="K425" s="20">
        <v>0.1</v>
      </c>
      <c r="L425" s="20">
        <v>0.87</v>
      </c>
      <c r="M425" s="20">
        <v>398.03</v>
      </c>
      <c r="N425" s="28">
        <v>0.17</v>
      </c>
      <c r="O425" s="20">
        <v>0.05</v>
      </c>
      <c r="P425" s="20">
        <v>0.13</v>
      </c>
      <c r="Q425" s="21">
        <v>0.37</v>
      </c>
    </row>
    <row r="426" spans="1:25" ht="27" customHeight="1" x14ac:dyDescent="0.3">
      <c r="A426" s="33" t="s">
        <v>27</v>
      </c>
      <c r="B426" s="46" t="s">
        <v>25</v>
      </c>
      <c r="C426" s="20">
        <v>34496.86</v>
      </c>
      <c r="D426" s="20">
        <v>41.27</v>
      </c>
      <c r="E426" s="20">
        <v>1360.28</v>
      </c>
      <c r="F426" s="20">
        <v>9.8699999999999992</v>
      </c>
      <c r="G426" s="20">
        <v>0.76</v>
      </c>
      <c r="H426" s="20">
        <v>18705.87</v>
      </c>
      <c r="I426" s="20">
        <v>0.24</v>
      </c>
      <c r="J426" s="20">
        <v>7.0000000000000007E-2</v>
      </c>
      <c r="K426" s="20">
        <v>0.1</v>
      </c>
      <c r="L426" s="20">
        <v>0.11</v>
      </c>
      <c r="M426" s="20">
        <v>409.65</v>
      </c>
      <c r="N426" s="28">
        <v>0.18</v>
      </c>
      <c r="O426" s="20">
        <v>3.6999999999999998E-2</v>
      </c>
      <c r="P426" s="20">
        <v>1.2999999999999999E-2</v>
      </c>
      <c r="Q426" s="21">
        <v>0.02</v>
      </c>
    </row>
    <row r="427" spans="1:25" ht="27" customHeight="1" x14ac:dyDescent="0.3">
      <c r="A427" s="33" t="s">
        <v>27</v>
      </c>
      <c r="B427" s="46" t="s">
        <v>25</v>
      </c>
      <c r="C427" s="20">
        <v>35241.300000000003</v>
      </c>
      <c r="D427" s="20">
        <v>44.09</v>
      </c>
      <c r="E427" s="20">
        <v>1507.89</v>
      </c>
      <c r="F427" s="20">
        <v>10.66</v>
      </c>
      <c r="G427" s="20">
        <v>0.69</v>
      </c>
      <c r="H427" s="20">
        <v>18763.55</v>
      </c>
      <c r="I427" s="20">
        <v>0.34</v>
      </c>
      <c r="J427" s="20">
        <v>8.6999999999999994E-2</v>
      </c>
      <c r="K427" s="20">
        <v>0.1</v>
      </c>
      <c r="L427" s="20">
        <v>0.11</v>
      </c>
      <c r="M427" s="20">
        <v>420.66</v>
      </c>
      <c r="N427" s="28">
        <v>0.19</v>
      </c>
      <c r="O427" s="20">
        <v>3.9E-2</v>
      </c>
      <c r="P427" s="20">
        <v>9.1999999999999998E-3</v>
      </c>
      <c r="Q427" s="21">
        <v>6.7999999999999996E-3</v>
      </c>
    </row>
    <row r="428" spans="1:25" ht="27" customHeight="1" x14ac:dyDescent="0.3">
      <c r="A428" s="33" t="s">
        <v>27</v>
      </c>
      <c r="B428" s="46" t="s">
        <v>25</v>
      </c>
      <c r="C428" s="20">
        <v>35988.67</v>
      </c>
      <c r="D428" s="20">
        <v>41.76</v>
      </c>
      <c r="E428" s="20">
        <v>1361.43</v>
      </c>
      <c r="F428" s="20">
        <v>10.08</v>
      </c>
      <c r="G428" s="20">
        <v>0.66</v>
      </c>
      <c r="H428" s="20">
        <v>18768.88</v>
      </c>
      <c r="I428" s="20">
        <v>0.33</v>
      </c>
      <c r="J428" s="20">
        <v>8.2000000000000003E-2</v>
      </c>
      <c r="K428" s="20">
        <v>0.1</v>
      </c>
      <c r="L428" s="20">
        <v>0.11</v>
      </c>
      <c r="M428" s="20">
        <v>436.52</v>
      </c>
      <c r="N428" s="28">
        <v>0.19</v>
      </c>
      <c r="O428" s="20">
        <v>3.6999999999999998E-2</v>
      </c>
      <c r="P428" s="20">
        <v>8.3000000000000001E-3</v>
      </c>
      <c r="Q428" s="21">
        <v>5.5999999999999999E-3</v>
      </c>
    </row>
    <row r="429" spans="1:25" ht="27" customHeight="1" x14ac:dyDescent="0.3">
      <c r="A429" s="33" t="s">
        <v>27</v>
      </c>
      <c r="B429" s="46" t="s">
        <v>25</v>
      </c>
      <c r="C429" s="20">
        <v>37074.58</v>
      </c>
      <c r="D429" s="20">
        <v>44.46</v>
      </c>
      <c r="E429" s="20">
        <v>1417.34</v>
      </c>
      <c r="F429" s="20">
        <v>10.82</v>
      </c>
      <c r="G429" s="20">
        <v>1.32</v>
      </c>
      <c r="H429" s="20">
        <v>18753.34</v>
      </c>
      <c r="I429" s="20">
        <v>0.2</v>
      </c>
      <c r="J429" s="20">
        <v>4.5999999999999999E-2</v>
      </c>
      <c r="K429" s="20">
        <v>0.1</v>
      </c>
      <c r="L429" s="20">
        <v>0.61</v>
      </c>
      <c r="M429" s="20">
        <v>460.74</v>
      </c>
      <c r="N429" s="28">
        <v>0.2</v>
      </c>
      <c r="O429" s="20">
        <v>4.8000000000000001E-2</v>
      </c>
      <c r="P429" s="20">
        <v>0.27</v>
      </c>
      <c r="Q429" s="21">
        <v>0.21</v>
      </c>
      <c r="S429" s="51"/>
      <c r="T429" s="20"/>
      <c r="U429" s="51"/>
      <c r="V429" s="51"/>
      <c r="W429" s="51"/>
      <c r="X429" s="51"/>
      <c r="Y429" s="51"/>
    </row>
    <row r="430" spans="1:25" ht="27" customHeight="1" x14ac:dyDescent="0.3">
      <c r="A430" s="33" t="s">
        <v>27</v>
      </c>
      <c r="B430" s="46" t="s">
        <v>25</v>
      </c>
      <c r="C430" s="20">
        <v>39618.449999999997</v>
      </c>
      <c r="D430" s="20">
        <v>50.44</v>
      </c>
      <c r="E430" s="20">
        <v>1507.47</v>
      </c>
      <c r="F430" s="20">
        <v>11.65</v>
      </c>
      <c r="G430" s="20">
        <v>0.55000000000000004</v>
      </c>
      <c r="H430" s="20">
        <v>18686.12</v>
      </c>
      <c r="I430" s="20">
        <v>0.18</v>
      </c>
      <c r="J430" s="20">
        <v>5.7000000000000002E-2</v>
      </c>
      <c r="K430" s="20">
        <v>0.1</v>
      </c>
      <c r="L430" s="20">
        <v>0.13</v>
      </c>
      <c r="M430" s="20">
        <v>471.98</v>
      </c>
      <c r="N430" s="28">
        <v>0.21</v>
      </c>
      <c r="O430" s="20">
        <v>3.7999999999999999E-2</v>
      </c>
      <c r="P430" s="20">
        <v>8.6999999999999994E-3</v>
      </c>
      <c r="Q430" s="21">
        <v>4.3E-3</v>
      </c>
      <c r="S430" s="51"/>
      <c r="T430" s="51"/>
      <c r="U430" s="51"/>
      <c r="V430" s="51"/>
      <c r="W430" s="51"/>
      <c r="X430" s="51"/>
      <c r="Y430" s="51"/>
    </row>
    <row r="431" spans="1:25" ht="27" customHeight="1" x14ac:dyDescent="0.3">
      <c r="A431" s="33" t="s">
        <v>27</v>
      </c>
      <c r="B431" s="46" t="s">
        <v>25</v>
      </c>
      <c r="C431" s="20">
        <v>41332.82</v>
      </c>
      <c r="D431" s="20">
        <v>45.75</v>
      </c>
      <c r="E431" s="20">
        <v>1606.73</v>
      </c>
      <c r="F431" s="20">
        <v>10.93</v>
      </c>
      <c r="G431" s="20">
        <v>0.48</v>
      </c>
      <c r="H431" s="20">
        <v>18634.91</v>
      </c>
      <c r="I431" s="20">
        <v>0.17</v>
      </c>
      <c r="J431" s="20">
        <v>5.7000000000000002E-2</v>
      </c>
      <c r="K431" s="20">
        <v>0.11</v>
      </c>
      <c r="L431" s="20">
        <v>0.14000000000000001</v>
      </c>
      <c r="M431" s="20">
        <v>506.64</v>
      </c>
      <c r="N431" s="28">
        <v>0.22</v>
      </c>
      <c r="O431" s="20">
        <v>3.9E-2</v>
      </c>
      <c r="P431" s="20">
        <v>1.2999999999999999E-2</v>
      </c>
      <c r="Q431" s="21">
        <v>1.2999999999999999E-2</v>
      </c>
      <c r="S431" s="51"/>
      <c r="T431" s="51"/>
      <c r="U431" s="51"/>
      <c r="V431" s="51"/>
      <c r="W431" s="51"/>
      <c r="X431" s="51"/>
      <c r="Y431" s="51"/>
    </row>
    <row r="432" spans="1:25" ht="27" customHeight="1" x14ac:dyDescent="0.3">
      <c r="A432" s="33" t="s">
        <v>27</v>
      </c>
      <c r="B432" s="46" t="s">
        <v>25</v>
      </c>
      <c r="C432" s="20">
        <v>42794.12</v>
      </c>
      <c r="D432" s="20">
        <v>48.52</v>
      </c>
      <c r="E432" s="20">
        <v>1393.12</v>
      </c>
      <c r="F432" s="20">
        <v>11.02</v>
      </c>
      <c r="G432" s="20">
        <v>0.57999999999999996</v>
      </c>
      <c r="H432" s="20">
        <v>18729.97</v>
      </c>
      <c r="I432" s="20">
        <v>0.19</v>
      </c>
      <c r="J432" s="20">
        <v>4.2000000000000003E-2</v>
      </c>
      <c r="K432" s="20">
        <v>0.11</v>
      </c>
      <c r="L432" s="20">
        <v>0.16</v>
      </c>
      <c r="M432" s="20">
        <v>535.54999999999995</v>
      </c>
      <c r="N432" s="28">
        <v>0.22</v>
      </c>
      <c r="O432" s="20">
        <v>3.9E-2</v>
      </c>
      <c r="P432" s="20">
        <v>0.02</v>
      </c>
      <c r="Q432" s="21">
        <v>5.2999999999999999E-2</v>
      </c>
      <c r="S432" s="51"/>
      <c r="T432" s="20"/>
      <c r="U432" s="54"/>
      <c r="V432" s="20"/>
      <c r="W432" s="20"/>
      <c r="X432" s="20"/>
      <c r="Y432" s="51"/>
    </row>
    <row r="433" spans="1:25" ht="27" customHeight="1" x14ac:dyDescent="0.3">
      <c r="A433" s="33" t="s">
        <v>27</v>
      </c>
      <c r="B433" s="46" t="s">
        <v>25</v>
      </c>
      <c r="C433" s="20">
        <v>44066.11</v>
      </c>
      <c r="D433" s="20">
        <v>46.76</v>
      </c>
      <c r="E433" s="20">
        <v>1402.96</v>
      </c>
      <c r="F433" s="20">
        <v>10.94</v>
      </c>
      <c r="G433" s="20">
        <v>0.51</v>
      </c>
      <c r="H433" s="20">
        <v>18651.82</v>
      </c>
      <c r="I433" s="20">
        <v>0.28999999999999998</v>
      </c>
      <c r="J433" s="20">
        <v>6.8000000000000005E-2</v>
      </c>
      <c r="K433" s="20">
        <v>0.13</v>
      </c>
      <c r="L433" s="20">
        <v>0.16</v>
      </c>
      <c r="M433" s="20">
        <v>558.76</v>
      </c>
      <c r="N433" s="28">
        <v>0.23</v>
      </c>
      <c r="O433" s="20">
        <v>4.1000000000000002E-2</v>
      </c>
      <c r="P433" s="20">
        <v>0.02</v>
      </c>
      <c r="Q433" s="21">
        <v>7.9000000000000001E-2</v>
      </c>
      <c r="S433" s="51"/>
      <c r="T433" s="20"/>
      <c r="U433" s="20"/>
      <c r="V433" s="20"/>
      <c r="W433" s="20"/>
      <c r="X433" s="20"/>
      <c r="Y433" s="51"/>
    </row>
    <row r="434" spans="1:25" ht="27" customHeight="1" x14ac:dyDescent="0.3">
      <c r="A434" s="33" t="s">
        <v>27</v>
      </c>
      <c r="B434" s="46" t="s">
        <v>25</v>
      </c>
      <c r="C434" s="20">
        <v>46084.23</v>
      </c>
      <c r="D434" s="20">
        <v>55.09</v>
      </c>
      <c r="E434" s="20">
        <v>1375.83</v>
      </c>
      <c r="F434" s="20">
        <v>11.47</v>
      </c>
      <c r="G434" s="20">
        <v>0.53</v>
      </c>
      <c r="H434" s="20">
        <v>18686.77</v>
      </c>
      <c r="I434" s="20">
        <v>0.3</v>
      </c>
      <c r="J434" s="20">
        <v>6.0999999999999999E-2</v>
      </c>
      <c r="K434" s="20">
        <v>0.13</v>
      </c>
      <c r="L434" s="20">
        <v>0.15</v>
      </c>
      <c r="M434" s="20">
        <v>584.14</v>
      </c>
      <c r="N434" s="28">
        <v>0.25</v>
      </c>
      <c r="O434" s="20">
        <v>4.8000000000000001E-2</v>
      </c>
      <c r="P434" s="20">
        <v>1.2999999999999999E-2</v>
      </c>
      <c r="Q434" s="21">
        <v>2.3E-2</v>
      </c>
    </row>
    <row r="435" spans="1:25" ht="27" customHeight="1" x14ac:dyDescent="0.3">
      <c r="A435" s="34" t="s">
        <v>27</v>
      </c>
      <c r="B435" s="45" t="s">
        <v>28</v>
      </c>
      <c r="C435" s="29">
        <v>19052.259999999998</v>
      </c>
      <c r="D435" s="29">
        <v>18.07</v>
      </c>
      <c r="E435" s="29">
        <v>2356.46</v>
      </c>
      <c r="F435" s="29">
        <v>9.41</v>
      </c>
      <c r="G435" s="29">
        <v>3.1</v>
      </c>
      <c r="H435" s="29">
        <v>18753.45</v>
      </c>
      <c r="I435" s="29">
        <v>1.51</v>
      </c>
      <c r="J435" s="29">
        <v>0.34</v>
      </c>
      <c r="K435" s="29">
        <v>0.87</v>
      </c>
      <c r="L435" s="29">
        <v>0.88</v>
      </c>
      <c r="M435" s="29">
        <v>188.71</v>
      </c>
      <c r="N435" s="30">
        <v>0.16</v>
      </c>
      <c r="O435" s="29">
        <v>0.31</v>
      </c>
      <c r="P435" s="29">
        <v>0.31</v>
      </c>
      <c r="Q435" s="31">
        <v>73</v>
      </c>
      <c r="S435" s="53"/>
    </row>
    <row r="436" spans="1:25" ht="27" customHeight="1" x14ac:dyDescent="0.3">
      <c r="A436" s="33" t="s">
        <v>27</v>
      </c>
      <c r="B436" s="46" t="s">
        <v>28</v>
      </c>
      <c r="C436" s="20">
        <v>18446.330000000002</v>
      </c>
      <c r="D436" s="20">
        <v>14.57</v>
      </c>
      <c r="E436" s="20">
        <v>2058.65</v>
      </c>
      <c r="F436" s="20">
        <v>6.73</v>
      </c>
      <c r="G436" s="20">
        <v>1.9</v>
      </c>
      <c r="H436" s="20">
        <v>18475.66</v>
      </c>
      <c r="I436" s="20">
        <v>0.34</v>
      </c>
      <c r="J436" s="20">
        <v>0.14000000000000001</v>
      </c>
      <c r="K436" s="20">
        <v>0.46</v>
      </c>
      <c r="L436" s="20">
        <v>0.54</v>
      </c>
      <c r="M436" s="20">
        <v>191.12</v>
      </c>
      <c r="N436" s="28">
        <v>0.13</v>
      </c>
      <c r="O436" s="20">
        <v>0.16</v>
      </c>
      <c r="P436" s="20">
        <v>0.16</v>
      </c>
      <c r="Q436" s="21">
        <v>24.53</v>
      </c>
    </row>
    <row r="437" spans="1:25" ht="27" customHeight="1" x14ac:dyDescent="0.3">
      <c r="A437" s="33" t="s">
        <v>27</v>
      </c>
      <c r="B437" s="46" t="s">
        <v>28</v>
      </c>
      <c r="C437" s="20">
        <v>18549.849999999999</v>
      </c>
      <c r="D437" s="20">
        <v>17.190000000000001</v>
      </c>
      <c r="E437" s="20">
        <v>2361.46</v>
      </c>
      <c r="F437" s="20">
        <v>8.18</v>
      </c>
      <c r="G437" s="20">
        <v>16.71</v>
      </c>
      <c r="H437" s="20">
        <v>18639.400000000001</v>
      </c>
      <c r="I437" s="20">
        <v>0.68</v>
      </c>
      <c r="J437" s="20">
        <v>0.26</v>
      </c>
      <c r="K437" s="20">
        <v>0.6</v>
      </c>
      <c r="L437" s="20">
        <v>1.88</v>
      </c>
      <c r="M437" s="20">
        <v>181.6</v>
      </c>
      <c r="N437" s="28">
        <v>0.14000000000000001</v>
      </c>
      <c r="O437" s="20">
        <v>0.34</v>
      </c>
      <c r="P437" s="20">
        <v>0.82</v>
      </c>
      <c r="Q437" s="21">
        <v>15.41</v>
      </c>
    </row>
    <row r="438" spans="1:25" ht="27" customHeight="1" x14ac:dyDescent="0.3">
      <c r="A438" s="33" t="s">
        <v>27</v>
      </c>
      <c r="B438" s="46" t="s">
        <v>28</v>
      </c>
      <c r="C438" s="20">
        <v>18764.84</v>
      </c>
      <c r="D438" s="20">
        <v>17.079999999999998</v>
      </c>
      <c r="E438" s="20">
        <v>2679.68</v>
      </c>
      <c r="F438" s="20">
        <v>8.8699999999999992</v>
      </c>
      <c r="G438" s="20">
        <v>5.76</v>
      </c>
      <c r="H438" s="20">
        <v>18605.060000000001</v>
      </c>
      <c r="I438" s="20">
        <v>0.48</v>
      </c>
      <c r="J438" s="20">
        <v>0.19</v>
      </c>
      <c r="K438" s="20">
        <v>0.53</v>
      </c>
      <c r="L438" s="20">
        <v>1.4</v>
      </c>
      <c r="M438" s="20">
        <v>181.92</v>
      </c>
      <c r="N438" s="28">
        <v>0.14000000000000001</v>
      </c>
      <c r="O438" s="20">
        <v>0.25</v>
      </c>
      <c r="P438" s="20">
        <v>0.47</v>
      </c>
      <c r="Q438" s="21">
        <v>48.1</v>
      </c>
    </row>
    <row r="439" spans="1:25" ht="27" customHeight="1" x14ac:dyDescent="0.3">
      <c r="A439" s="33" t="s">
        <v>27</v>
      </c>
      <c r="B439" s="46" t="s">
        <v>28</v>
      </c>
      <c r="C439" s="20">
        <v>19333.57</v>
      </c>
      <c r="D439" s="20">
        <v>14.63</v>
      </c>
      <c r="E439" s="20">
        <v>2105.84</v>
      </c>
      <c r="F439" s="20">
        <v>7.6</v>
      </c>
      <c r="G439" s="20">
        <v>9.61</v>
      </c>
      <c r="H439" s="20">
        <v>18705.2</v>
      </c>
      <c r="I439" s="20">
        <v>1.1200000000000001</v>
      </c>
      <c r="J439" s="20">
        <v>0.37</v>
      </c>
      <c r="K439" s="20">
        <v>0.87</v>
      </c>
      <c r="L439" s="20">
        <v>1.96</v>
      </c>
      <c r="M439" s="20">
        <v>184.94</v>
      </c>
      <c r="N439" s="28">
        <v>0.15</v>
      </c>
      <c r="O439" s="20">
        <v>0.36</v>
      </c>
      <c r="P439" s="20">
        <v>0.6</v>
      </c>
      <c r="Q439" s="21">
        <v>21.81</v>
      </c>
    </row>
    <row r="440" spans="1:25" ht="27" customHeight="1" x14ac:dyDescent="0.3">
      <c r="A440" s="33" t="s">
        <v>27</v>
      </c>
      <c r="B440" s="46" t="s">
        <v>28</v>
      </c>
      <c r="C440" s="20">
        <v>18216.400000000001</v>
      </c>
      <c r="D440" s="20">
        <v>16.77</v>
      </c>
      <c r="E440" s="20">
        <v>1974.94</v>
      </c>
      <c r="F440" s="20">
        <v>7.57</v>
      </c>
      <c r="G440" s="20">
        <v>3.63</v>
      </c>
      <c r="H440" s="20">
        <v>18639.009999999998</v>
      </c>
      <c r="I440" s="20">
        <v>0.35</v>
      </c>
      <c r="J440" s="20">
        <v>0.16</v>
      </c>
      <c r="K440" s="20">
        <v>0.56000000000000005</v>
      </c>
      <c r="L440" s="20">
        <v>0.47</v>
      </c>
      <c r="M440" s="20">
        <v>190.64</v>
      </c>
      <c r="N440" s="28">
        <v>0.14000000000000001</v>
      </c>
      <c r="O440" s="20">
        <v>0.17</v>
      </c>
      <c r="P440" s="20">
        <v>0.15</v>
      </c>
      <c r="Q440" s="21">
        <v>25.06</v>
      </c>
    </row>
    <row r="441" spans="1:25" ht="27" customHeight="1" thickBot="1" x14ac:dyDescent="0.35">
      <c r="A441" s="35" t="s">
        <v>27</v>
      </c>
      <c r="B441" s="48" t="s">
        <v>28</v>
      </c>
      <c r="C441" s="22">
        <v>18840.02</v>
      </c>
      <c r="D441" s="22">
        <v>15.04</v>
      </c>
      <c r="E441" s="22">
        <v>2506.88</v>
      </c>
      <c r="F441" s="22">
        <v>8.85</v>
      </c>
      <c r="G441" s="22">
        <v>9.2200000000000006</v>
      </c>
      <c r="H441" s="22">
        <v>18642.39</v>
      </c>
      <c r="I441" s="22">
        <v>1.22</v>
      </c>
      <c r="J441" s="22">
        <v>0.53</v>
      </c>
      <c r="K441" s="22">
        <v>1.36</v>
      </c>
      <c r="L441" s="22">
        <v>2.2599999999999998</v>
      </c>
      <c r="M441" s="22">
        <v>188.13</v>
      </c>
      <c r="N441" s="32">
        <v>0.2</v>
      </c>
      <c r="O441" s="22">
        <v>0.51</v>
      </c>
      <c r="P441" s="22">
        <v>0.77</v>
      </c>
      <c r="Q441" s="23">
        <v>63.34</v>
      </c>
    </row>
  </sheetData>
  <mergeCells count="3">
    <mergeCell ref="A2:Q2"/>
    <mergeCell ref="A148:Q148"/>
    <mergeCell ref="A295:Q295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zoomScale="70" zoomScaleNormal="70" workbookViewId="0">
      <selection activeCell="J10" sqref="J10"/>
    </sheetView>
  </sheetViews>
  <sheetFormatPr baseColWidth="10" defaultRowHeight="13.8" x14ac:dyDescent="0.25"/>
  <cols>
    <col min="1" max="5" width="11.5546875" style="75"/>
    <col min="6" max="6" width="14.77734375" style="75" customWidth="1"/>
    <col min="7" max="7" width="11.5546875" style="75"/>
    <col min="8" max="8" width="8.33203125" style="75" bestFit="1" customWidth="1"/>
    <col min="9" max="16384" width="11.5546875" style="75"/>
  </cols>
  <sheetData>
    <row r="1" spans="1:8" ht="15" x14ac:dyDescent="0.25">
      <c r="A1" s="141"/>
      <c r="B1" s="143" t="s">
        <v>32</v>
      </c>
      <c r="C1" s="143"/>
      <c r="D1" s="143"/>
      <c r="E1" s="143"/>
      <c r="F1" s="144"/>
      <c r="H1" s="62" t="s">
        <v>64</v>
      </c>
    </row>
    <row r="2" spans="1:8" ht="53.4" thickBot="1" x14ac:dyDescent="0.3">
      <c r="A2" s="142"/>
      <c r="B2" s="127" t="s">
        <v>33</v>
      </c>
      <c r="C2" s="127" t="s">
        <v>34</v>
      </c>
      <c r="D2" s="127" t="s">
        <v>35</v>
      </c>
      <c r="E2" s="127" t="s">
        <v>36</v>
      </c>
      <c r="F2" s="128" t="s">
        <v>37</v>
      </c>
      <c r="H2" s="92" t="s">
        <v>69</v>
      </c>
    </row>
    <row r="3" spans="1:8" ht="15.6" thickTop="1" x14ac:dyDescent="0.25">
      <c r="A3" s="129" t="s">
        <v>38</v>
      </c>
      <c r="B3" s="63">
        <v>49955</v>
      </c>
      <c r="C3" s="63">
        <v>14464106</v>
      </c>
      <c r="D3" s="63">
        <v>15633016</v>
      </c>
      <c r="E3" s="63">
        <f>B3+C3+D3+G3+J3</f>
        <v>30147077</v>
      </c>
      <c r="F3" s="64">
        <f>C3+D3</f>
        <v>30097122</v>
      </c>
      <c r="H3" s="94" t="s">
        <v>70</v>
      </c>
    </row>
    <row r="4" spans="1:8" x14ac:dyDescent="0.25">
      <c r="A4" s="129" t="s">
        <v>39</v>
      </c>
      <c r="B4" s="65">
        <f>(B3/$E$3)*100</f>
        <v>0.16570429033634007</v>
      </c>
      <c r="C4" s="65">
        <f>(C3/$E$3)*100</f>
        <v>47.978469023713309</v>
      </c>
      <c r="D4" s="65">
        <f>(D3/$E$3)*100</f>
        <v>51.855826685950348</v>
      </c>
      <c r="E4" s="65">
        <f>B4+C4+D4+G4+J4</f>
        <v>100</v>
      </c>
      <c r="F4" s="66">
        <f>(F3/$E$3)*100</f>
        <v>99.83429570966365</v>
      </c>
    </row>
    <row r="5" spans="1:8" ht="26.4" x14ac:dyDescent="0.25">
      <c r="A5" s="129" t="s">
        <v>40</v>
      </c>
      <c r="B5" s="67">
        <f>(5.51+3.6)/2</f>
        <v>4.5549999999999997</v>
      </c>
      <c r="C5" s="67">
        <v>4</v>
      </c>
      <c r="D5" s="67">
        <v>4</v>
      </c>
      <c r="E5" s="67" t="s">
        <v>66</v>
      </c>
      <c r="F5" s="68">
        <v>4</v>
      </c>
      <c r="H5" s="60" t="s">
        <v>59</v>
      </c>
    </row>
    <row r="6" spans="1:8" ht="14.4" x14ac:dyDescent="0.25">
      <c r="A6" s="129" t="s">
        <v>41</v>
      </c>
      <c r="B6" s="67">
        <f>B5*B4</f>
        <v>0.75478304248202899</v>
      </c>
      <c r="C6" s="67">
        <f>C5*C4</f>
        <v>191.91387609485324</v>
      </c>
      <c r="D6" s="67">
        <f>D5*D4</f>
        <v>207.42330674380139</v>
      </c>
      <c r="E6" s="67">
        <f>B6+C6+D6+G6+J6</f>
        <v>400.09196588113662</v>
      </c>
      <c r="F6" s="68">
        <f>F5*F4</f>
        <v>399.3371828386546</v>
      </c>
      <c r="H6" s="61" t="s">
        <v>60</v>
      </c>
    </row>
    <row r="7" spans="1:8" ht="14.4" x14ac:dyDescent="0.25">
      <c r="A7" s="129" t="s">
        <v>42</v>
      </c>
      <c r="B7" s="67">
        <f>(B6/$E$6)*100</f>
        <v>0.18865238666308726</v>
      </c>
      <c r="C7" s="67">
        <f>(C6/$E$6)*100</f>
        <v>47.967440603860808</v>
      </c>
      <c r="D7" s="67">
        <f>(D6/$E$6)*100</f>
        <v>51.843907009476119</v>
      </c>
      <c r="E7" s="67">
        <f>B7+C7+D7+G7+J7</f>
        <v>100.00000000000001</v>
      </c>
      <c r="F7" s="68">
        <f>(F6/$E$6)*100</f>
        <v>99.81134761333692</v>
      </c>
      <c r="H7" s="61" t="s">
        <v>61</v>
      </c>
    </row>
    <row r="8" spans="1:8" ht="14.4" x14ac:dyDescent="0.25">
      <c r="A8" s="129" t="s">
        <v>43</v>
      </c>
      <c r="B8" s="63">
        <v>250000</v>
      </c>
      <c r="C8" s="63">
        <v>20</v>
      </c>
      <c r="D8" s="63">
        <v>400</v>
      </c>
      <c r="E8" s="63"/>
      <c r="F8" s="69">
        <v>690</v>
      </c>
      <c r="H8" s="61" t="s">
        <v>62</v>
      </c>
    </row>
    <row r="9" spans="1:8" ht="26.4" x14ac:dyDescent="0.25">
      <c r="A9" s="130" t="s">
        <v>44</v>
      </c>
      <c r="B9" s="70">
        <f>B7*B8/10000</f>
        <v>4.7163096665771818</v>
      </c>
      <c r="C9" s="70">
        <f>C7*C8/10000</f>
        <v>9.5934881207721617E-2</v>
      </c>
      <c r="D9" s="70">
        <f>D7*D8/10000</f>
        <v>2.0737562803790448</v>
      </c>
      <c r="E9" s="70">
        <f>B9+C9+D9+G9+J9</f>
        <v>6.8860008281639482</v>
      </c>
      <c r="F9" s="71">
        <f>F7*F8/10000</f>
        <v>6.8869829853202482</v>
      </c>
      <c r="H9" s="61" t="s">
        <v>63</v>
      </c>
    </row>
    <row r="10" spans="1:8" ht="14.4" thickBot="1" x14ac:dyDescent="0.3">
      <c r="A10" s="131" t="s">
        <v>45</v>
      </c>
      <c r="B10" s="72">
        <f>(B9/$E$9)*100</f>
        <v>68.491273589270207</v>
      </c>
      <c r="C10" s="72">
        <f>(C9/$E$9)*100</f>
        <v>1.393187186608301</v>
      </c>
      <c r="D10" s="72">
        <f>(D9/$E$9)*100</f>
        <v>30.115539224121495</v>
      </c>
      <c r="E10" s="72">
        <f>B10+C10+D10+G10+J10</f>
        <v>100</v>
      </c>
      <c r="F10" s="132" t="s">
        <v>66</v>
      </c>
    </row>
  </sheetData>
  <mergeCells count="2">
    <mergeCell ref="A1:A2"/>
    <mergeCell ref="B1:F1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2"/>
  <sheetViews>
    <sheetView zoomScale="70" zoomScaleNormal="70" workbookViewId="0">
      <pane ySplit="1" topLeftCell="A2" activePane="bottomLeft" state="frozen"/>
      <selection pane="bottomLeft" activeCell="W11" sqref="W11"/>
    </sheetView>
  </sheetViews>
  <sheetFormatPr baseColWidth="10" defaultRowHeight="13.8" x14ac:dyDescent="0.25"/>
  <cols>
    <col min="1" max="1" width="14.88671875" style="77" bestFit="1" customWidth="1"/>
    <col min="2" max="2" width="21.5546875" style="77" bestFit="1" customWidth="1"/>
    <col min="3" max="3" width="6.5546875" style="77" bestFit="1" customWidth="1"/>
    <col min="4" max="4" width="6.77734375" style="77" bestFit="1" customWidth="1"/>
    <col min="5" max="5" width="5.88671875" style="77" bestFit="1" customWidth="1"/>
    <col min="6" max="7" width="6.21875" style="77" bestFit="1" customWidth="1"/>
    <col min="8" max="8" width="5.88671875" style="77" bestFit="1" customWidth="1"/>
    <col min="9" max="9" width="4.88671875" style="115" bestFit="1" customWidth="1"/>
    <col min="10" max="10" width="7" style="118" bestFit="1" customWidth="1"/>
    <col min="11" max="11" width="6.77734375" style="118" bestFit="1" customWidth="1"/>
    <col min="12" max="14" width="11.5546875" style="77"/>
    <col min="15" max="15" width="11.77734375" style="77" bestFit="1" customWidth="1"/>
    <col min="16" max="16" width="21.5546875" style="77" bestFit="1" customWidth="1"/>
    <col min="17" max="17" width="12.33203125" style="77" bestFit="1" customWidth="1"/>
    <col min="18" max="18" width="12.6640625" style="75" bestFit="1" customWidth="1"/>
    <col min="19" max="19" width="8.6640625" style="75" bestFit="1" customWidth="1"/>
    <col min="20" max="16384" width="11.5546875" style="75"/>
  </cols>
  <sheetData>
    <row r="1" spans="1:44" ht="15.6" thickBot="1" x14ac:dyDescent="0.3">
      <c r="A1" s="102" t="s">
        <v>0</v>
      </c>
      <c r="B1" s="103" t="s">
        <v>1</v>
      </c>
      <c r="C1" s="104" t="s">
        <v>3</v>
      </c>
      <c r="D1" s="105" t="s">
        <v>4</v>
      </c>
      <c r="E1" s="105" t="s">
        <v>4</v>
      </c>
      <c r="F1" s="104" t="s">
        <v>8</v>
      </c>
      <c r="G1" s="104" t="s">
        <v>10</v>
      </c>
      <c r="H1" s="104" t="s">
        <v>13</v>
      </c>
      <c r="I1" s="104" t="s">
        <v>46</v>
      </c>
      <c r="J1" s="104" t="s">
        <v>47</v>
      </c>
      <c r="K1" s="126" t="s">
        <v>48</v>
      </c>
      <c r="L1" s="106"/>
      <c r="M1" s="73"/>
      <c r="N1" s="73"/>
      <c r="O1" s="149"/>
      <c r="P1" s="149"/>
      <c r="Q1" s="74" t="s">
        <v>49</v>
      </c>
      <c r="R1" s="74" t="s">
        <v>50</v>
      </c>
      <c r="S1" s="74" t="s">
        <v>51</v>
      </c>
      <c r="V1" s="62" t="s">
        <v>64</v>
      </c>
    </row>
    <row r="2" spans="1:44" ht="18" thickTop="1" x14ac:dyDescent="0.25">
      <c r="A2" s="107" t="s">
        <v>17</v>
      </c>
      <c r="B2" s="108" t="s">
        <v>18</v>
      </c>
      <c r="C2" s="84">
        <v>194.62</v>
      </c>
      <c r="D2" s="85">
        <v>25101.45</v>
      </c>
      <c r="E2" s="86">
        <f>D2*0.0001</f>
        <v>2.5101450000000001</v>
      </c>
      <c r="F2" s="84">
        <v>32.36</v>
      </c>
      <c r="G2" s="84">
        <v>33.01</v>
      </c>
      <c r="H2" s="86">
        <v>1.6</v>
      </c>
      <c r="I2" s="113">
        <f>LN(((F2)^0.22)*((G2)^0.22)/(((E2)^0.37)*((C2)^0.2)*((H2)^0.11)))</f>
        <v>8.7785220728595764E-2</v>
      </c>
      <c r="J2" s="116">
        <f>((54.4-7.3)*I2)+(208-10)</f>
        <v>202.13468389631686</v>
      </c>
      <c r="K2" s="117">
        <f>((54.4+7.3)*I2)+(208+10)</f>
        <v>223.41634811895435</v>
      </c>
      <c r="L2" s="90"/>
      <c r="M2" s="76"/>
      <c r="N2" s="75"/>
      <c r="O2" s="149" t="s">
        <v>52</v>
      </c>
      <c r="P2" s="96" t="s">
        <v>18</v>
      </c>
      <c r="Q2" s="74">
        <f>AVERAGE(J2:J16)</f>
        <v>199.92967418348795</v>
      </c>
      <c r="R2" s="74">
        <f>AVERAGE(K2:K16)</f>
        <v>220.52783221064135</v>
      </c>
      <c r="S2" s="74">
        <f>AVERAGE(Q2:R2)</f>
        <v>210.22875319706463</v>
      </c>
      <c r="U2" s="77"/>
      <c r="V2" s="92" t="s">
        <v>68</v>
      </c>
      <c r="W2" s="77"/>
      <c r="X2" s="77"/>
      <c r="Y2" s="77"/>
      <c r="Z2" s="77"/>
    </row>
    <row r="3" spans="1:44" ht="27.6" x14ac:dyDescent="0.25">
      <c r="A3" s="107" t="s">
        <v>17</v>
      </c>
      <c r="B3" s="108" t="s">
        <v>18</v>
      </c>
      <c r="C3" s="84">
        <v>92.26</v>
      </c>
      <c r="D3" s="85">
        <v>12729.64</v>
      </c>
      <c r="E3" s="86">
        <f t="shared" ref="E3:E66" si="0">D3*0.0001</f>
        <v>1.272964</v>
      </c>
      <c r="F3" s="84">
        <v>28.3</v>
      </c>
      <c r="G3" s="84">
        <v>16.66</v>
      </c>
      <c r="H3" s="86">
        <v>1.44</v>
      </c>
      <c r="I3" s="113">
        <f t="shared" ref="I3:I66" si="1">LN(((F3)^0.22)*((G3)^0.22)/(((E3)^0.37)*((C3)^0.2)*((H3)^0.11)))</f>
        <v>0.31996028436194818</v>
      </c>
      <c r="J3" s="116">
        <f t="shared" ref="J3:J66" si="2">((54.4-7.3)*I3)+(208-10)</f>
        <v>213.07012939344776</v>
      </c>
      <c r="K3" s="117">
        <f t="shared" ref="K3:K66" si="3">((54.4+7.3)*I3)+(208+10)</f>
        <v>237.74154954513222</v>
      </c>
      <c r="L3" s="90"/>
      <c r="M3" s="76"/>
      <c r="N3" s="75"/>
      <c r="O3" s="149"/>
      <c r="P3" s="97" t="s">
        <v>22</v>
      </c>
      <c r="Q3" s="74">
        <f>AVERAGE(J43:J60)</f>
        <v>240.76490158753015</v>
      </c>
      <c r="R3" s="74">
        <f>AVERAGE(K43:K60)</f>
        <v>274.02111311997055</v>
      </c>
      <c r="S3" s="74">
        <f t="shared" ref="S3:S8" si="4">AVERAGE(Q3:R3)</f>
        <v>257.39300735375036</v>
      </c>
      <c r="U3" s="77"/>
      <c r="V3" s="95" t="s">
        <v>71</v>
      </c>
      <c r="W3" s="77"/>
      <c r="X3" s="77"/>
      <c r="Y3" s="20"/>
      <c r="Z3" s="77"/>
    </row>
    <row r="4" spans="1:44" ht="27.6" x14ac:dyDescent="0.25">
      <c r="A4" s="107" t="s">
        <v>17</v>
      </c>
      <c r="B4" s="108" t="s">
        <v>18</v>
      </c>
      <c r="C4" s="84">
        <v>230.21</v>
      </c>
      <c r="D4" s="85">
        <v>29756.86</v>
      </c>
      <c r="E4" s="86">
        <f t="shared" si="0"/>
        <v>2.9756860000000001</v>
      </c>
      <c r="F4" s="84">
        <v>31.58</v>
      </c>
      <c r="G4" s="84">
        <v>40.71</v>
      </c>
      <c r="H4" s="86">
        <v>1.73</v>
      </c>
      <c r="I4" s="113">
        <f t="shared" si="1"/>
        <v>2.3412165352040319E-2</v>
      </c>
      <c r="J4" s="116">
        <f t="shared" si="2"/>
        <v>199.10271298808109</v>
      </c>
      <c r="K4" s="117">
        <f t="shared" si="3"/>
        <v>219.44453060222088</v>
      </c>
      <c r="L4" s="90"/>
      <c r="M4" s="75"/>
      <c r="N4" s="75"/>
      <c r="O4" s="149"/>
      <c r="P4" s="97" t="s">
        <v>23</v>
      </c>
      <c r="Q4" s="74">
        <f>AVERAGE(J82:J107)</f>
        <v>192.45614416883447</v>
      </c>
      <c r="R4" s="74">
        <f>AVERAGE(K82:K107)</f>
        <v>210.73766656511864</v>
      </c>
      <c r="S4" s="74">
        <f t="shared" si="4"/>
        <v>201.59690536697656</v>
      </c>
      <c r="U4" s="77"/>
      <c r="W4" s="77"/>
      <c r="X4" s="77"/>
      <c r="Y4" s="20"/>
      <c r="Z4" s="77"/>
    </row>
    <row r="5" spans="1:44" ht="14.4" x14ac:dyDescent="0.25">
      <c r="A5" s="107" t="s">
        <v>17</v>
      </c>
      <c r="B5" s="108" t="s">
        <v>18</v>
      </c>
      <c r="C5" s="84">
        <v>195.93</v>
      </c>
      <c r="D5" s="85">
        <v>25556.55</v>
      </c>
      <c r="E5" s="86">
        <f t="shared" si="0"/>
        <v>2.5556550000000002</v>
      </c>
      <c r="F5" s="84">
        <v>31.06</v>
      </c>
      <c r="G5" s="84">
        <v>62.05</v>
      </c>
      <c r="H5" s="86">
        <v>1.84</v>
      </c>
      <c r="I5" s="113">
        <f t="shared" si="1"/>
        <v>0.19424962524147407</v>
      </c>
      <c r="J5" s="116">
        <f t="shared" si="2"/>
        <v>207.14915734887342</v>
      </c>
      <c r="K5" s="117">
        <f t="shared" si="3"/>
        <v>229.98520187739894</v>
      </c>
      <c r="L5" s="90"/>
      <c r="M5" s="75"/>
      <c r="N5" s="75"/>
      <c r="O5" s="149"/>
      <c r="P5" s="98" t="s">
        <v>53</v>
      </c>
      <c r="Q5" s="78">
        <f>AVERAGE(Q2:Q4)</f>
        <v>211.05023997995087</v>
      </c>
      <c r="R5" s="78">
        <f t="shared" ref="R5:S5" si="5">AVERAGE(R2:R4)</f>
        <v>235.09553729857683</v>
      </c>
      <c r="S5" s="78">
        <f t="shared" si="5"/>
        <v>223.07288863926385</v>
      </c>
      <c r="U5" s="79"/>
      <c r="V5" s="60" t="s">
        <v>59</v>
      </c>
      <c r="W5" s="77"/>
      <c r="X5" s="77"/>
      <c r="Y5" s="20"/>
      <c r="Z5" s="77"/>
      <c r="AG5" s="76"/>
      <c r="AH5" s="77"/>
      <c r="AI5" s="77"/>
      <c r="AJ5" s="77"/>
      <c r="AK5" s="77"/>
      <c r="AL5" s="77"/>
      <c r="AM5" s="77"/>
      <c r="AN5" s="77"/>
      <c r="AO5" s="77"/>
      <c r="AP5" s="77"/>
    </row>
    <row r="6" spans="1:44" ht="14.4" x14ac:dyDescent="0.25">
      <c r="A6" s="107" t="s">
        <v>17</v>
      </c>
      <c r="B6" s="108" t="s">
        <v>18</v>
      </c>
      <c r="C6" s="84">
        <v>196.97</v>
      </c>
      <c r="D6" s="85">
        <v>25175</v>
      </c>
      <c r="E6" s="86">
        <f t="shared" si="0"/>
        <v>2.5175000000000001</v>
      </c>
      <c r="F6" s="84">
        <v>40.29</v>
      </c>
      <c r="G6" s="84">
        <v>13.09</v>
      </c>
      <c r="H6" s="86">
        <v>1.5</v>
      </c>
      <c r="I6" s="113">
        <f t="shared" si="1"/>
        <v>-6.3870582935819153E-2</v>
      </c>
      <c r="J6" s="116">
        <f t="shared" si="2"/>
        <v>194.99169554372293</v>
      </c>
      <c r="K6" s="117">
        <f t="shared" si="3"/>
        <v>214.05918503285997</v>
      </c>
      <c r="L6" s="90"/>
      <c r="M6" s="75"/>
      <c r="N6" s="75"/>
      <c r="O6" s="149" t="s">
        <v>54</v>
      </c>
      <c r="P6" s="99" t="s">
        <v>18</v>
      </c>
      <c r="Q6" s="80">
        <f>AVERAGE(J17:J30)</f>
        <v>204.82708431220325</v>
      </c>
      <c r="R6" s="80">
        <f>AVERAGE(K17:K30)</f>
        <v>226.94333550027477</v>
      </c>
      <c r="S6" s="80">
        <f t="shared" si="4"/>
        <v>215.88520990623903</v>
      </c>
      <c r="U6" s="77"/>
      <c r="V6" s="61" t="s">
        <v>60</v>
      </c>
      <c r="W6" s="77"/>
      <c r="X6" s="77"/>
      <c r="Y6" s="20"/>
      <c r="Z6" s="77"/>
      <c r="AG6" s="76"/>
      <c r="AH6" s="77"/>
      <c r="AI6" s="77"/>
      <c r="AJ6" s="77"/>
      <c r="AK6" s="77"/>
      <c r="AL6" s="77"/>
      <c r="AM6" s="77"/>
      <c r="AN6" s="77"/>
      <c r="AO6" s="77"/>
      <c r="AP6" s="77"/>
    </row>
    <row r="7" spans="1:44" ht="27.6" x14ac:dyDescent="0.25">
      <c r="A7" s="107" t="s">
        <v>17</v>
      </c>
      <c r="B7" s="108" t="s">
        <v>18</v>
      </c>
      <c r="C7" s="84">
        <v>200.46</v>
      </c>
      <c r="D7" s="85">
        <v>25674.47</v>
      </c>
      <c r="E7" s="86">
        <f t="shared" si="0"/>
        <v>2.567447</v>
      </c>
      <c r="F7" s="84">
        <v>52.27</v>
      </c>
      <c r="G7" s="84">
        <v>40.229999999999997</v>
      </c>
      <c r="H7" s="86">
        <v>1.51</v>
      </c>
      <c r="I7" s="113">
        <f t="shared" si="1"/>
        <v>0.22889537321590167</v>
      </c>
      <c r="J7" s="116">
        <f t="shared" si="2"/>
        <v>208.78097207846898</v>
      </c>
      <c r="K7" s="117">
        <f t="shared" si="3"/>
        <v>232.12284452742114</v>
      </c>
      <c r="L7" s="90"/>
      <c r="M7" s="75"/>
      <c r="N7" s="75"/>
      <c r="O7" s="149"/>
      <c r="P7" s="97" t="s">
        <v>22</v>
      </c>
      <c r="Q7" s="74">
        <f>AVERAGE(J61:J77)</f>
        <v>261.69596908272916</v>
      </c>
      <c r="R7" s="74">
        <f>AVERAGE(K61:K77)</f>
        <v>301.44036714234369</v>
      </c>
      <c r="S7" s="74">
        <f t="shared" si="4"/>
        <v>281.56816811253645</v>
      </c>
      <c r="U7" s="77"/>
      <c r="V7" s="61" t="s">
        <v>61</v>
      </c>
      <c r="W7" s="77"/>
      <c r="X7" s="77"/>
      <c r="Y7" s="20"/>
      <c r="Z7" s="77"/>
      <c r="AG7" s="76"/>
      <c r="AH7" s="76"/>
      <c r="AI7" s="76"/>
      <c r="AJ7" s="81"/>
      <c r="AK7" s="81"/>
      <c r="AL7" s="81"/>
      <c r="AM7" s="77"/>
      <c r="AN7" s="77"/>
      <c r="AO7" s="77"/>
      <c r="AP7" s="77"/>
    </row>
    <row r="8" spans="1:44" ht="27.6" x14ac:dyDescent="0.25">
      <c r="A8" s="107" t="s">
        <v>17</v>
      </c>
      <c r="B8" s="108" t="s">
        <v>18</v>
      </c>
      <c r="C8" s="84">
        <v>96.93</v>
      </c>
      <c r="D8" s="85">
        <v>14844.66</v>
      </c>
      <c r="E8" s="86">
        <f t="shared" si="0"/>
        <v>1.4844660000000001</v>
      </c>
      <c r="F8" s="84">
        <v>32.68</v>
      </c>
      <c r="G8" s="84">
        <v>5.68</v>
      </c>
      <c r="H8" s="86">
        <v>2.8799999999999999E-2</v>
      </c>
      <c r="I8" s="113">
        <f t="shared" si="1"/>
        <v>0.47846077369976603</v>
      </c>
      <c r="J8" s="116">
        <f t="shared" si="2"/>
        <v>220.53550244125898</v>
      </c>
      <c r="K8" s="117">
        <f t="shared" si="3"/>
        <v>247.52102973727557</v>
      </c>
      <c r="L8" s="90"/>
      <c r="M8" s="75"/>
      <c r="N8" s="75"/>
      <c r="O8" s="149"/>
      <c r="P8" s="97" t="s">
        <v>23</v>
      </c>
      <c r="Q8" s="74">
        <f>AVERAGE(J89:J93)</f>
        <v>240.6968846857811</v>
      </c>
      <c r="R8" s="74">
        <f>AVERAGE(K89:K93)</f>
        <v>273.93201242277485</v>
      </c>
      <c r="S8" s="74">
        <f t="shared" si="4"/>
        <v>257.31444855427799</v>
      </c>
      <c r="U8" s="77"/>
      <c r="V8" s="61" t="s">
        <v>62</v>
      </c>
      <c r="W8" s="77"/>
      <c r="X8" s="77"/>
      <c r="Y8" s="20"/>
      <c r="Z8" s="77"/>
      <c r="AG8" s="76"/>
      <c r="AH8" s="76"/>
      <c r="AI8" s="76"/>
      <c r="AJ8" s="81"/>
      <c r="AK8" s="81"/>
      <c r="AL8" s="81"/>
      <c r="AM8" s="150"/>
      <c r="AN8" s="77"/>
      <c r="AO8" s="77"/>
      <c r="AP8" s="82"/>
      <c r="AQ8" s="82"/>
      <c r="AR8" s="82"/>
    </row>
    <row r="9" spans="1:44" ht="17.399999999999999" x14ac:dyDescent="0.25">
      <c r="A9" s="107" t="s">
        <v>17</v>
      </c>
      <c r="B9" s="108" t="s">
        <v>18</v>
      </c>
      <c r="C9" s="84">
        <v>149.88</v>
      </c>
      <c r="D9" s="85">
        <v>22447.279999999999</v>
      </c>
      <c r="E9" s="86">
        <f t="shared" si="0"/>
        <v>2.2447279999999998</v>
      </c>
      <c r="F9" s="84">
        <v>38.65</v>
      </c>
      <c r="G9" s="84">
        <v>1.67</v>
      </c>
      <c r="H9" s="86">
        <v>1.4800000000000001E-2</v>
      </c>
      <c r="I9" s="113">
        <f t="shared" si="1"/>
        <v>7.912237272171424E-2</v>
      </c>
      <c r="J9" s="116">
        <f t="shared" si="2"/>
        <v>201.72666375519273</v>
      </c>
      <c r="K9" s="117">
        <f t="shared" si="3"/>
        <v>222.88185039692976</v>
      </c>
      <c r="L9" s="90"/>
      <c r="M9" s="75"/>
      <c r="N9" s="75"/>
      <c r="O9" s="149"/>
      <c r="P9" s="98" t="s">
        <v>53</v>
      </c>
      <c r="Q9" s="78">
        <f>AVERAGE(Q6:Q8)</f>
        <v>235.73997936023784</v>
      </c>
      <c r="R9" s="78">
        <f t="shared" ref="R9:S9" si="6">AVERAGE(R6:R8)</f>
        <v>267.43857168846444</v>
      </c>
      <c r="S9" s="78">
        <f t="shared" si="6"/>
        <v>251.58927552435117</v>
      </c>
      <c r="V9" s="61" t="s">
        <v>63</v>
      </c>
      <c r="AG9" s="76"/>
      <c r="AH9" s="147"/>
      <c r="AI9" s="76"/>
      <c r="AJ9" s="81"/>
      <c r="AK9" s="81"/>
      <c r="AL9" s="81"/>
      <c r="AM9" s="150"/>
      <c r="AN9" s="83"/>
      <c r="AO9" s="82"/>
      <c r="AP9" s="77"/>
      <c r="AQ9" s="77"/>
      <c r="AR9" s="77"/>
    </row>
    <row r="10" spans="1:44" ht="17.399999999999999" x14ac:dyDescent="0.25">
      <c r="A10" s="107" t="s">
        <v>17</v>
      </c>
      <c r="B10" s="108" t="s">
        <v>18</v>
      </c>
      <c r="C10" s="84">
        <v>158.61000000000001</v>
      </c>
      <c r="D10" s="85">
        <v>23444.26</v>
      </c>
      <c r="E10" s="86">
        <f t="shared" si="0"/>
        <v>2.3444259999999999</v>
      </c>
      <c r="F10" s="84">
        <v>29.34</v>
      </c>
      <c r="G10" s="84">
        <v>3.38</v>
      </c>
      <c r="H10" s="86">
        <v>1.5299999999999999E-2</v>
      </c>
      <c r="I10" s="113">
        <f t="shared" si="1"/>
        <v>0.14254662341524432</v>
      </c>
      <c r="J10" s="116">
        <f t="shared" si="2"/>
        <v>204.71394596285802</v>
      </c>
      <c r="K10" s="117">
        <f t="shared" si="3"/>
        <v>226.79512666472058</v>
      </c>
      <c r="L10" s="90"/>
      <c r="M10" s="75"/>
      <c r="N10" s="75"/>
      <c r="O10" s="149" t="s">
        <v>56</v>
      </c>
      <c r="P10" s="99" t="s">
        <v>18</v>
      </c>
      <c r="Q10" s="80">
        <f>AVERAGE(J31:J42)</f>
        <v>211.96922528704098</v>
      </c>
      <c r="R10" s="80">
        <f>AVERAGE(K31:K42)</f>
        <v>236.29938853949952</v>
      </c>
      <c r="S10" s="80">
        <f>AVERAGE(Q10:R10)</f>
        <v>224.13430691327025</v>
      </c>
      <c r="AG10" s="76"/>
      <c r="AH10" s="147"/>
      <c r="AI10" s="76"/>
      <c r="AJ10" s="81"/>
      <c r="AK10" s="81"/>
      <c r="AL10" s="81"/>
      <c r="AM10" s="150"/>
      <c r="AN10" s="83"/>
      <c r="AO10" s="82"/>
      <c r="AP10" s="77"/>
      <c r="AQ10" s="77"/>
      <c r="AR10" s="77"/>
    </row>
    <row r="11" spans="1:44" ht="27.6" x14ac:dyDescent="0.25">
      <c r="A11" s="107" t="s">
        <v>17</v>
      </c>
      <c r="B11" s="108" t="s">
        <v>18</v>
      </c>
      <c r="C11" s="84">
        <v>166.56</v>
      </c>
      <c r="D11" s="85">
        <v>24268.58</v>
      </c>
      <c r="E11" s="86">
        <f t="shared" si="0"/>
        <v>2.4268580000000002</v>
      </c>
      <c r="F11" s="84">
        <v>35.880000000000003</v>
      </c>
      <c r="G11" s="84">
        <v>19.63</v>
      </c>
      <c r="H11" s="86">
        <v>1.3100000000000001E-2</v>
      </c>
      <c r="I11" s="113">
        <f t="shared" si="1"/>
        <v>0.56834616026042328</v>
      </c>
      <c r="J11" s="116">
        <f t="shared" si="2"/>
        <v>224.76910414826594</v>
      </c>
      <c r="K11" s="117">
        <f t="shared" si="3"/>
        <v>253.06695808806811</v>
      </c>
      <c r="L11" s="90"/>
      <c r="M11" s="75"/>
      <c r="N11" s="75"/>
      <c r="O11" s="149"/>
      <c r="P11" s="97" t="s">
        <v>22</v>
      </c>
      <c r="Q11" s="74">
        <f>AVERAGE(J78:J81)</f>
        <v>263.28156051133703</v>
      </c>
      <c r="R11" s="74">
        <f>AVERAGE(K78:K81)</f>
        <v>303.51745824945851</v>
      </c>
      <c r="S11" s="74">
        <f>AVERAGE(Q11:R11)</f>
        <v>283.39950938039777</v>
      </c>
      <c r="AG11" s="76"/>
      <c r="AH11" s="77"/>
      <c r="AI11" s="77"/>
      <c r="AJ11" s="77"/>
      <c r="AK11" s="77"/>
      <c r="AL11" s="77"/>
      <c r="AM11" s="150"/>
      <c r="AN11" s="83"/>
      <c r="AO11" s="82"/>
      <c r="AP11" s="77"/>
      <c r="AQ11" s="77"/>
      <c r="AR11" s="77"/>
    </row>
    <row r="12" spans="1:44" ht="27.6" x14ac:dyDescent="0.25">
      <c r="A12" s="107" t="s">
        <v>17</v>
      </c>
      <c r="B12" s="108" t="s">
        <v>18</v>
      </c>
      <c r="C12" s="84">
        <v>128.69</v>
      </c>
      <c r="D12" s="85">
        <v>19377.5</v>
      </c>
      <c r="E12" s="86">
        <f t="shared" si="0"/>
        <v>1.9377500000000001</v>
      </c>
      <c r="F12" s="84">
        <v>41.75</v>
      </c>
      <c r="G12" s="84">
        <v>1.44</v>
      </c>
      <c r="H12" s="86">
        <v>2.2200000000000001E-2</v>
      </c>
      <c r="I12" s="113">
        <f t="shared" si="1"/>
        <v>0.10379183359855602</v>
      </c>
      <c r="J12" s="116">
        <f t="shared" si="2"/>
        <v>202.888595362492</v>
      </c>
      <c r="K12" s="117">
        <f t="shared" si="3"/>
        <v>224.4039561330309</v>
      </c>
      <c r="L12" s="90"/>
      <c r="M12" s="75"/>
      <c r="N12" s="75"/>
      <c r="O12" s="149"/>
      <c r="P12" s="97" t="s">
        <v>23</v>
      </c>
      <c r="Q12" s="74">
        <f>AVERAGE(J94:J107)</f>
        <v>155.45148376592738</v>
      </c>
      <c r="R12" s="74">
        <f>AVERAGE(K94:K107)</f>
        <v>162.26234709888999</v>
      </c>
      <c r="S12" s="74">
        <f>AVERAGE(Q12:R12)</f>
        <v>158.8569154324087</v>
      </c>
      <c r="AG12" s="76"/>
      <c r="AH12" s="76"/>
      <c r="AI12" s="76"/>
      <c r="AJ12" s="81"/>
      <c r="AK12" s="81"/>
      <c r="AL12" s="77"/>
      <c r="AM12" s="150"/>
      <c r="AN12" s="83"/>
      <c r="AO12" s="82"/>
      <c r="AP12" s="77"/>
      <c r="AQ12" s="77"/>
      <c r="AR12" s="77"/>
    </row>
    <row r="13" spans="1:44" ht="17.399999999999999" x14ac:dyDescent="0.25">
      <c r="A13" s="107" t="s">
        <v>17</v>
      </c>
      <c r="B13" s="108" t="s">
        <v>18</v>
      </c>
      <c r="C13" s="84">
        <v>151.52000000000001</v>
      </c>
      <c r="D13" s="85">
        <v>22796.47</v>
      </c>
      <c r="E13" s="86">
        <f t="shared" si="0"/>
        <v>2.2796470000000002</v>
      </c>
      <c r="F13" s="84">
        <v>24.3</v>
      </c>
      <c r="G13" s="84">
        <v>4.2699999999999996</v>
      </c>
      <c r="H13" s="86">
        <v>0.64400000000000002</v>
      </c>
      <c r="I13" s="113">
        <f t="shared" si="1"/>
        <v>-0.23936509037665274</v>
      </c>
      <c r="J13" s="116">
        <f t="shared" si="2"/>
        <v>186.72590424325966</v>
      </c>
      <c r="K13" s="117">
        <f t="shared" si="3"/>
        <v>203.23117392376054</v>
      </c>
      <c r="L13" s="90"/>
      <c r="M13" s="75"/>
      <c r="N13" s="75"/>
      <c r="O13" s="149"/>
      <c r="P13" s="98" t="s">
        <v>53</v>
      </c>
      <c r="Q13" s="78">
        <f>AVERAGE(Q10:Q12)</f>
        <v>210.23408985476848</v>
      </c>
      <c r="R13" s="78">
        <f t="shared" ref="R13:S13" si="7">AVERAGE(R10:R12)</f>
        <v>234.02639796261602</v>
      </c>
      <c r="S13" s="78">
        <f t="shared" si="7"/>
        <v>222.13024390869222</v>
      </c>
      <c r="AG13" s="76"/>
      <c r="AH13" s="147"/>
      <c r="AI13" s="76"/>
      <c r="AJ13" s="81"/>
      <c r="AK13" s="81"/>
      <c r="AL13" s="77"/>
      <c r="AM13" s="150"/>
      <c r="AN13" s="83"/>
      <c r="AO13" s="82"/>
      <c r="AP13" s="77"/>
      <c r="AQ13" s="77"/>
      <c r="AR13" s="77"/>
    </row>
    <row r="14" spans="1:44" ht="17.399999999999999" x14ac:dyDescent="0.25">
      <c r="A14" s="107" t="s">
        <v>17</v>
      </c>
      <c r="B14" s="108" t="s">
        <v>18</v>
      </c>
      <c r="C14" s="84">
        <v>139.1</v>
      </c>
      <c r="D14" s="85">
        <v>20742.79</v>
      </c>
      <c r="E14" s="86">
        <f t="shared" si="0"/>
        <v>2.0742790000000002</v>
      </c>
      <c r="F14" s="84">
        <v>20.32</v>
      </c>
      <c r="G14" s="84">
        <v>3</v>
      </c>
      <c r="H14" s="86">
        <v>0.60799999999999998</v>
      </c>
      <c r="I14" s="113">
        <f t="shared" si="1"/>
        <v>-0.29801387627683057</v>
      </c>
      <c r="J14" s="116">
        <f t="shared" si="2"/>
        <v>183.96354642736128</v>
      </c>
      <c r="K14" s="117">
        <f t="shared" si="3"/>
        <v>199.61254383371954</v>
      </c>
      <c r="L14" s="90"/>
      <c r="M14" s="75"/>
      <c r="N14" s="75"/>
      <c r="O14" s="149" t="s">
        <v>55</v>
      </c>
      <c r="P14" s="100" t="s">
        <v>18</v>
      </c>
      <c r="Q14" s="80">
        <f>AVERAGE(J108:J114)</f>
        <v>107.70526545415596</v>
      </c>
      <c r="R14" s="80">
        <f>AVERAGE(K108:K114)</f>
        <v>113.80418157035243</v>
      </c>
      <c r="S14" s="80">
        <f>AVERAGE(Q14:R14)</f>
        <v>110.7547235122542</v>
      </c>
      <c r="AG14" s="76"/>
      <c r="AH14" s="147"/>
      <c r="AI14" s="76"/>
      <c r="AJ14" s="81"/>
      <c r="AK14" s="81"/>
      <c r="AL14" s="81"/>
      <c r="AM14" s="150"/>
      <c r="AN14" s="83"/>
      <c r="AO14" s="82"/>
      <c r="AP14" s="77"/>
      <c r="AQ14" s="77"/>
      <c r="AR14" s="77"/>
    </row>
    <row r="15" spans="1:44" ht="17.399999999999999" x14ac:dyDescent="0.25">
      <c r="A15" s="107" t="s">
        <v>17</v>
      </c>
      <c r="B15" s="108" t="s">
        <v>18</v>
      </c>
      <c r="C15" s="84">
        <v>159.72999999999999</v>
      </c>
      <c r="D15" s="85">
        <v>22326.26</v>
      </c>
      <c r="E15" s="86">
        <f t="shared" si="0"/>
        <v>2.2326259999999998</v>
      </c>
      <c r="F15" s="84">
        <v>24.95</v>
      </c>
      <c r="G15" s="84">
        <v>1.49</v>
      </c>
      <c r="H15" s="86">
        <v>0.46800000000000003</v>
      </c>
      <c r="I15" s="113">
        <f t="shared" si="1"/>
        <v>-0.43290845687309759</v>
      </c>
      <c r="J15" s="116">
        <f t="shared" si="2"/>
        <v>177.61001168127711</v>
      </c>
      <c r="K15" s="117">
        <f t="shared" si="3"/>
        <v>191.28954821092987</v>
      </c>
      <c r="L15" s="90"/>
      <c r="M15" s="75"/>
      <c r="N15" s="75"/>
      <c r="O15" s="149"/>
      <c r="P15" s="98" t="s">
        <v>25</v>
      </c>
      <c r="Q15" s="74">
        <f>AVERAGE(J115:J118)</f>
        <v>119.54119534592044</v>
      </c>
      <c r="R15" s="74">
        <f>AVERAGE(K115:K118)</f>
        <v>122.83938899178044</v>
      </c>
      <c r="S15" s="74">
        <f>AVERAGE(Q15:R15)</f>
        <v>121.19029216885045</v>
      </c>
      <c r="AG15" s="76"/>
      <c r="AH15" s="77"/>
      <c r="AI15" s="77"/>
      <c r="AJ15" s="77"/>
      <c r="AK15" s="81"/>
      <c r="AL15" s="81"/>
      <c r="AM15" s="150"/>
      <c r="AN15" s="83"/>
      <c r="AO15" s="82"/>
      <c r="AP15" s="77"/>
      <c r="AQ15" s="77"/>
      <c r="AR15" s="77"/>
    </row>
    <row r="16" spans="1:44" ht="17.399999999999999" x14ac:dyDescent="0.25">
      <c r="A16" s="109" t="s">
        <v>17</v>
      </c>
      <c r="B16" s="110" t="s">
        <v>18</v>
      </c>
      <c r="C16" s="87">
        <v>155.78</v>
      </c>
      <c r="D16" s="88">
        <v>22009.85</v>
      </c>
      <c r="E16" s="91">
        <f t="shared" si="0"/>
        <v>2.2009849999999997</v>
      </c>
      <c r="F16" s="87">
        <v>24.29</v>
      </c>
      <c r="G16" s="87">
        <v>0.82</v>
      </c>
      <c r="H16" s="91">
        <v>0.55100000000000005</v>
      </c>
      <c r="I16" s="114">
        <f t="shared" si="1"/>
        <v>-0.5778665078250006</v>
      </c>
      <c r="J16" s="116">
        <f t="shared" si="2"/>
        <v>170.78248748144247</v>
      </c>
      <c r="K16" s="117">
        <f t="shared" si="3"/>
        <v>182.34563646719747</v>
      </c>
      <c r="L16" s="90"/>
      <c r="M16" s="75"/>
      <c r="N16" s="75"/>
      <c r="O16" s="149"/>
      <c r="P16" s="98" t="s">
        <v>53</v>
      </c>
      <c r="Q16" s="78">
        <f>AVERAGE(Q14:Q15)</f>
        <v>113.62323040003821</v>
      </c>
      <c r="R16" s="78">
        <f t="shared" ref="R16:S16" si="8">AVERAGE(R14:R15)</f>
        <v>118.32178528106644</v>
      </c>
      <c r="S16" s="78">
        <f t="shared" si="8"/>
        <v>115.97250784055232</v>
      </c>
      <c r="AG16" s="76"/>
      <c r="AH16" s="76"/>
      <c r="AI16" s="76"/>
      <c r="AJ16" s="81"/>
      <c r="AK16" s="81"/>
      <c r="AL16" s="81"/>
      <c r="AM16" s="150"/>
      <c r="AN16" s="83"/>
      <c r="AO16" s="82"/>
      <c r="AP16" s="77"/>
      <c r="AQ16" s="77"/>
      <c r="AR16" s="77"/>
    </row>
    <row r="17" spans="1:44" ht="17.399999999999999" x14ac:dyDescent="0.25">
      <c r="A17" s="107" t="s">
        <v>20</v>
      </c>
      <c r="B17" s="108" t="s">
        <v>18</v>
      </c>
      <c r="C17" s="84">
        <v>18.559999999999999</v>
      </c>
      <c r="D17" s="85">
        <v>16915.900000000001</v>
      </c>
      <c r="E17" s="86">
        <f t="shared" si="0"/>
        <v>1.6915900000000001</v>
      </c>
      <c r="F17" s="84">
        <v>9.36</v>
      </c>
      <c r="G17" s="84">
        <v>7.93</v>
      </c>
      <c r="H17" s="86">
        <v>4.8000000000000001E-2</v>
      </c>
      <c r="I17" s="113">
        <f t="shared" si="1"/>
        <v>0.50288335720332167</v>
      </c>
      <c r="J17" s="116">
        <f t="shared" si="2"/>
        <v>221.68580612427644</v>
      </c>
      <c r="K17" s="117">
        <f t="shared" si="3"/>
        <v>249.02790313944496</v>
      </c>
      <c r="L17" s="90"/>
      <c r="M17" s="75"/>
      <c r="N17" s="75"/>
      <c r="O17" s="78" t="s">
        <v>58</v>
      </c>
      <c r="P17" s="100" t="s">
        <v>18</v>
      </c>
      <c r="Q17" s="80">
        <f>AVERAGE(J119:J127)</f>
        <v>130.18575844345975</v>
      </c>
      <c r="R17" s="80">
        <f>AVERAGE(K119:K127)</f>
        <v>130.96514137256005</v>
      </c>
      <c r="S17" s="80">
        <f>AVERAGE(Q17:R17)</f>
        <v>130.57544990800989</v>
      </c>
      <c r="AG17" s="76"/>
      <c r="AH17" s="147"/>
      <c r="AI17" s="76"/>
      <c r="AJ17" s="81"/>
      <c r="AK17" s="81"/>
      <c r="AL17" s="81"/>
      <c r="AM17" s="150"/>
      <c r="AN17" s="83"/>
      <c r="AO17" s="82"/>
      <c r="AP17" s="77"/>
      <c r="AQ17" s="77"/>
      <c r="AR17" s="77"/>
    </row>
    <row r="18" spans="1:44" ht="17.399999999999999" x14ac:dyDescent="0.25">
      <c r="A18" s="107" t="s">
        <v>20</v>
      </c>
      <c r="B18" s="108" t="s">
        <v>18</v>
      </c>
      <c r="C18" s="84">
        <v>18.02</v>
      </c>
      <c r="D18" s="85">
        <v>21797.88</v>
      </c>
      <c r="E18" s="86">
        <f t="shared" si="0"/>
        <v>2.1797880000000003</v>
      </c>
      <c r="F18" s="84">
        <v>0.64</v>
      </c>
      <c r="G18" s="84">
        <v>1.46</v>
      </c>
      <c r="H18" s="86">
        <v>2.8000000000000001E-2</v>
      </c>
      <c r="I18" s="113">
        <f t="shared" si="1"/>
        <v>-0.48822723360238712</v>
      </c>
      <c r="J18" s="116">
        <f t="shared" si="2"/>
        <v>175.00449729732756</v>
      </c>
      <c r="K18" s="117">
        <f t="shared" si="3"/>
        <v>187.87637968673272</v>
      </c>
      <c r="L18" s="90"/>
      <c r="M18" s="75"/>
      <c r="N18" s="75"/>
      <c r="O18" s="149" t="s">
        <v>57</v>
      </c>
      <c r="P18" s="98" t="s">
        <v>25</v>
      </c>
      <c r="Q18" s="74">
        <f>AVERAGE(J128:J139)</f>
        <v>90.230338446900745</v>
      </c>
      <c r="R18" s="74">
        <f>AVERAGE(K128:K139)</f>
        <v>100.46432643191287</v>
      </c>
      <c r="S18" s="74">
        <f>AVERAGE(Q18:R18)</f>
        <v>95.347332439406813</v>
      </c>
      <c r="AG18" s="76"/>
      <c r="AH18" s="147"/>
      <c r="AI18" s="76"/>
      <c r="AJ18" s="81"/>
      <c r="AK18" s="81"/>
      <c r="AL18" s="81"/>
      <c r="AM18" s="150"/>
      <c r="AN18" s="83"/>
      <c r="AO18" s="82"/>
      <c r="AP18" s="77"/>
      <c r="AQ18" s="77"/>
      <c r="AR18" s="77"/>
    </row>
    <row r="19" spans="1:44" ht="17.399999999999999" x14ac:dyDescent="0.25">
      <c r="A19" s="107" t="s">
        <v>20</v>
      </c>
      <c r="B19" s="108" t="s">
        <v>18</v>
      </c>
      <c r="C19" s="84">
        <v>19.41</v>
      </c>
      <c r="D19" s="85">
        <v>20264.849999999999</v>
      </c>
      <c r="E19" s="86">
        <f t="shared" si="0"/>
        <v>2.0264850000000001</v>
      </c>
      <c r="F19" s="84">
        <v>0.28000000000000003</v>
      </c>
      <c r="G19" s="84">
        <v>1.66</v>
      </c>
      <c r="H19" s="86">
        <v>1.6500000000000001E-2</v>
      </c>
      <c r="I19" s="113">
        <f t="shared" si="1"/>
        <v>-0.57155883990534606</v>
      </c>
      <c r="J19" s="116">
        <f t="shared" si="2"/>
        <v>171.07957864045821</v>
      </c>
      <c r="K19" s="117">
        <f t="shared" si="3"/>
        <v>182.73481957784014</v>
      </c>
      <c r="L19" s="90"/>
      <c r="M19" s="75"/>
      <c r="N19" s="75"/>
      <c r="O19" s="149"/>
      <c r="P19" s="98" t="s">
        <v>28</v>
      </c>
      <c r="Q19" s="74">
        <f>AVERAGE(J140:J146)</f>
        <v>148.1826995084696</v>
      </c>
      <c r="R19" s="74">
        <f>AVERAGE(K140:K146)</f>
        <v>152.74039404824998</v>
      </c>
      <c r="S19" s="74">
        <f>AVERAGE(Q19:R19)</f>
        <v>150.46154677835978</v>
      </c>
      <c r="AG19" s="76"/>
      <c r="AH19" s="77"/>
      <c r="AI19" s="77"/>
      <c r="AJ19" s="77"/>
      <c r="AK19" s="77"/>
      <c r="AL19" s="81"/>
      <c r="AM19" s="83"/>
      <c r="AN19" s="83"/>
      <c r="AO19" s="82"/>
      <c r="AP19" s="77"/>
      <c r="AQ19" s="77"/>
      <c r="AR19" s="77"/>
    </row>
    <row r="20" spans="1:44" ht="17.399999999999999" x14ac:dyDescent="0.25">
      <c r="A20" s="107" t="s">
        <v>20</v>
      </c>
      <c r="B20" s="108" t="s">
        <v>18</v>
      </c>
      <c r="C20" s="84">
        <v>23.75</v>
      </c>
      <c r="D20" s="85">
        <v>22067.18</v>
      </c>
      <c r="E20" s="86">
        <f t="shared" si="0"/>
        <v>2.206718</v>
      </c>
      <c r="F20" s="84">
        <v>2.88</v>
      </c>
      <c r="G20" s="84">
        <v>4.2</v>
      </c>
      <c r="H20" s="86">
        <v>1.6400000000000001E-2</v>
      </c>
      <c r="I20" s="113">
        <f t="shared" si="1"/>
        <v>7.4210740812226353E-2</v>
      </c>
      <c r="J20" s="116">
        <f t="shared" si="2"/>
        <v>201.49532589225586</v>
      </c>
      <c r="K20" s="117">
        <f t="shared" si="3"/>
        <v>222.57880270811435</v>
      </c>
      <c r="L20" s="90"/>
      <c r="M20" s="75"/>
      <c r="N20" s="75"/>
      <c r="O20" s="149"/>
      <c r="P20" s="101" t="s">
        <v>53</v>
      </c>
      <c r="Q20" s="78">
        <f>AVERAGE(Q18:Q19)</f>
        <v>119.20651897768516</v>
      </c>
      <c r="R20" s="78">
        <f t="shared" ref="R20:S20" si="9">AVERAGE(R18:R19)</f>
        <v>126.60236024008142</v>
      </c>
      <c r="S20" s="78">
        <f t="shared" si="9"/>
        <v>122.90443960888329</v>
      </c>
      <c r="AG20" s="76"/>
      <c r="AH20" s="77"/>
      <c r="AI20" s="77"/>
      <c r="AJ20" s="81"/>
      <c r="AK20" s="81"/>
      <c r="AL20" s="81"/>
      <c r="AM20" s="83"/>
      <c r="AN20" s="83"/>
      <c r="AO20" s="82"/>
      <c r="AP20" s="77"/>
      <c r="AQ20" s="77"/>
      <c r="AR20" s="77"/>
    </row>
    <row r="21" spans="1:44" x14ac:dyDescent="0.25">
      <c r="A21" s="107" t="s">
        <v>20</v>
      </c>
      <c r="B21" s="108" t="s">
        <v>18</v>
      </c>
      <c r="C21" s="84">
        <v>22</v>
      </c>
      <c r="D21" s="85">
        <v>21919.3</v>
      </c>
      <c r="E21" s="86">
        <f t="shared" si="0"/>
        <v>2.1919300000000002</v>
      </c>
      <c r="F21" s="84">
        <v>5.42</v>
      </c>
      <c r="G21" s="84">
        <v>3.84</v>
      </c>
      <c r="H21" s="86">
        <v>1.44E-2</v>
      </c>
      <c r="I21" s="113">
        <f t="shared" si="1"/>
        <v>0.22570498666398164</v>
      </c>
      <c r="J21" s="116">
        <f t="shared" si="2"/>
        <v>208.63070487187355</v>
      </c>
      <c r="K21" s="117">
        <f t="shared" si="3"/>
        <v>231.92599767716766</v>
      </c>
      <c r="L21" s="90"/>
      <c r="M21" s="75"/>
      <c r="N21" s="75"/>
      <c r="O21" s="75"/>
      <c r="P21" s="75"/>
      <c r="Q21" s="75"/>
      <c r="AG21" s="76"/>
      <c r="AH21" s="77"/>
      <c r="AI21" s="77"/>
      <c r="AJ21" s="81"/>
      <c r="AK21" s="81"/>
      <c r="AL21" s="81"/>
      <c r="AM21" s="77"/>
      <c r="AN21" s="77"/>
      <c r="AO21" s="77"/>
      <c r="AP21" s="77"/>
    </row>
    <row r="22" spans="1:44" x14ac:dyDescent="0.25">
      <c r="A22" s="107" t="s">
        <v>20</v>
      </c>
      <c r="B22" s="108" t="s">
        <v>18</v>
      </c>
      <c r="C22" s="84">
        <v>19.02</v>
      </c>
      <c r="D22" s="85">
        <v>18961.7</v>
      </c>
      <c r="E22" s="86">
        <f t="shared" si="0"/>
        <v>1.8961700000000001</v>
      </c>
      <c r="F22" s="84">
        <v>4.7</v>
      </c>
      <c r="G22" s="84">
        <v>4.88</v>
      </c>
      <c r="H22" s="86">
        <v>1.8800000000000001E-2</v>
      </c>
      <c r="I22" s="113">
        <f t="shared" si="1"/>
        <v>0.30048697083403098</v>
      </c>
      <c r="J22" s="116">
        <f t="shared" si="2"/>
        <v>212.15293632628286</v>
      </c>
      <c r="K22" s="117">
        <f t="shared" si="3"/>
        <v>236.5400461004597</v>
      </c>
      <c r="L22" s="90"/>
      <c r="M22" s="75"/>
      <c r="N22" s="75"/>
      <c r="O22" s="75"/>
      <c r="P22" s="75"/>
      <c r="Q22" s="75"/>
      <c r="AG22" s="76"/>
      <c r="AH22" s="77"/>
      <c r="AI22" s="77"/>
      <c r="AJ22" s="81"/>
      <c r="AK22" s="81"/>
      <c r="AL22" s="81"/>
      <c r="AM22" s="77"/>
      <c r="AN22" s="77"/>
      <c r="AO22" s="77"/>
      <c r="AP22" s="77"/>
    </row>
    <row r="23" spans="1:44" x14ac:dyDescent="0.25">
      <c r="A23" s="107" t="s">
        <v>20</v>
      </c>
      <c r="B23" s="108" t="s">
        <v>18</v>
      </c>
      <c r="C23" s="84">
        <v>20.34</v>
      </c>
      <c r="D23" s="85">
        <v>18036.82</v>
      </c>
      <c r="E23" s="86">
        <f t="shared" si="0"/>
        <v>1.803682</v>
      </c>
      <c r="F23" s="84">
        <v>4.96</v>
      </c>
      <c r="G23" s="84">
        <v>5.36</v>
      </c>
      <c r="H23" s="86">
        <v>2.1000000000000001E-2</v>
      </c>
      <c r="I23" s="113">
        <f t="shared" si="1"/>
        <v>0.32588192336636018</v>
      </c>
      <c r="J23" s="116">
        <f t="shared" si="2"/>
        <v>213.34903859055555</v>
      </c>
      <c r="K23" s="117">
        <f t="shared" si="3"/>
        <v>238.10691467170443</v>
      </c>
      <c r="L23" s="90"/>
      <c r="M23" s="75"/>
      <c r="N23" s="75"/>
      <c r="O23" s="75"/>
      <c r="P23" s="75"/>
      <c r="Q23" s="75"/>
      <c r="AG23" s="76"/>
      <c r="AH23" s="147"/>
      <c r="AI23" s="76"/>
      <c r="AJ23" s="81"/>
      <c r="AK23" s="81"/>
      <c r="AL23" s="81"/>
      <c r="AM23" s="148"/>
      <c r="AN23" s="77"/>
      <c r="AO23" s="77"/>
      <c r="AP23" s="77"/>
    </row>
    <row r="24" spans="1:44" x14ac:dyDescent="0.25">
      <c r="A24" s="107" t="s">
        <v>20</v>
      </c>
      <c r="B24" s="108" t="s">
        <v>18</v>
      </c>
      <c r="C24" s="84">
        <v>18.39</v>
      </c>
      <c r="D24" s="85">
        <v>18044.599999999999</v>
      </c>
      <c r="E24" s="86">
        <f t="shared" si="0"/>
        <v>1.80446</v>
      </c>
      <c r="F24" s="84">
        <v>3.97</v>
      </c>
      <c r="G24" s="84">
        <v>2.2400000000000002</v>
      </c>
      <c r="H24" s="86">
        <v>1.89E-2</v>
      </c>
      <c r="I24" s="113">
        <f t="shared" si="1"/>
        <v>0.11654038298367428</v>
      </c>
      <c r="J24" s="116">
        <f t="shared" si="2"/>
        <v>203.48905203853107</v>
      </c>
      <c r="K24" s="117">
        <f t="shared" si="3"/>
        <v>225.1905416300927</v>
      </c>
      <c r="L24" s="90"/>
      <c r="M24" s="75"/>
      <c r="N24" s="75"/>
      <c r="O24" s="75"/>
      <c r="P24" s="75"/>
      <c r="Q24" s="75"/>
      <c r="AG24" s="76"/>
      <c r="AH24" s="147"/>
      <c r="AI24" s="76"/>
      <c r="AJ24" s="81"/>
      <c r="AK24" s="81"/>
      <c r="AL24" s="81"/>
      <c r="AM24" s="148"/>
      <c r="AN24" s="77"/>
      <c r="AO24" s="77"/>
      <c r="AP24" s="77"/>
    </row>
    <row r="25" spans="1:44" x14ac:dyDescent="0.25">
      <c r="A25" s="107" t="s">
        <v>20</v>
      </c>
      <c r="B25" s="108" t="s">
        <v>18</v>
      </c>
      <c r="C25" s="84">
        <v>16.18</v>
      </c>
      <c r="D25" s="85">
        <v>17205.82</v>
      </c>
      <c r="E25" s="86">
        <f t="shared" si="0"/>
        <v>1.7205820000000001</v>
      </c>
      <c r="F25" s="84">
        <v>5.86</v>
      </c>
      <c r="G25" s="84">
        <v>1.05</v>
      </c>
      <c r="H25" s="86">
        <v>2.1100000000000001E-2</v>
      </c>
      <c r="I25" s="113">
        <f t="shared" si="1"/>
        <v>6.6619448712901735E-2</v>
      </c>
      <c r="J25" s="116">
        <f t="shared" si="2"/>
        <v>201.13777603437768</v>
      </c>
      <c r="K25" s="117">
        <f t="shared" si="3"/>
        <v>222.11041998558605</v>
      </c>
      <c r="L25" s="90"/>
      <c r="M25" s="75"/>
      <c r="N25" s="75"/>
      <c r="O25" s="75"/>
      <c r="P25" s="75"/>
      <c r="Q25" s="75"/>
      <c r="AG25" s="76"/>
      <c r="AH25" s="147"/>
      <c r="AI25" s="76"/>
      <c r="AJ25" s="81"/>
      <c r="AK25" s="81"/>
      <c r="AL25" s="81"/>
      <c r="AM25" s="148"/>
      <c r="AN25" s="77"/>
      <c r="AO25" s="77"/>
      <c r="AP25" s="77"/>
    </row>
    <row r="26" spans="1:44" x14ac:dyDescent="0.25">
      <c r="A26" s="107" t="s">
        <v>20</v>
      </c>
      <c r="B26" s="108" t="s">
        <v>18</v>
      </c>
      <c r="C26" s="84">
        <v>13.68</v>
      </c>
      <c r="D26" s="85">
        <v>14116.59</v>
      </c>
      <c r="E26" s="86">
        <f t="shared" si="0"/>
        <v>1.411659</v>
      </c>
      <c r="F26" s="84">
        <v>6.5</v>
      </c>
      <c r="G26" s="84">
        <v>3.89</v>
      </c>
      <c r="H26" s="86">
        <v>0.03</v>
      </c>
      <c r="I26" s="113">
        <f t="shared" si="1"/>
        <v>0.44561760472261652</v>
      </c>
      <c r="J26" s="116">
        <f t="shared" si="2"/>
        <v>218.98858918243525</v>
      </c>
      <c r="K26" s="117">
        <f t="shared" si="3"/>
        <v>245.49460621138545</v>
      </c>
      <c r="L26" s="90"/>
      <c r="M26" s="75"/>
      <c r="N26" s="75"/>
      <c r="O26" s="75"/>
      <c r="P26" s="75"/>
      <c r="Q26" s="75"/>
      <c r="AG26" s="76"/>
      <c r="AH26" s="76"/>
      <c r="AI26" s="76"/>
      <c r="AJ26" s="76"/>
      <c r="AK26" s="76"/>
      <c r="AL26" s="76"/>
      <c r="AM26" s="148"/>
      <c r="AN26" s="77"/>
      <c r="AO26" s="77"/>
      <c r="AP26" s="77"/>
    </row>
    <row r="27" spans="1:44" x14ac:dyDescent="0.25">
      <c r="A27" s="107" t="s">
        <v>20</v>
      </c>
      <c r="B27" s="108" t="s">
        <v>18</v>
      </c>
      <c r="C27" s="84">
        <v>20.64</v>
      </c>
      <c r="D27" s="85">
        <v>17911.080000000002</v>
      </c>
      <c r="E27" s="86">
        <f t="shared" si="0"/>
        <v>1.7911080000000004</v>
      </c>
      <c r="F27" s="84">
        <v>6.91</v>
      </c>
      <c r="G27" s="84">
        <v>8.44</v>
      </c>
      <c r="H27" s="86">
        <v>1.95E-2</v>
      </c>
      <c r="I27" s="113">
        <f t="shared" si="1"/>
        <v>0.50652199313375501</v>
      </c>
      <c r="J27" s="116">
        <f t="shared" si="2"/>
        <v>221.85718587659986</v>
      </c>
      <c r="K27" s="117">
        <f t="shared" si="3"/>
        <v>249.25240697635269</v>
      </c>
      <c r="L27" s="90"/>
      <c r="M27" s="75"/>
      <c r="N27" s="75"/>
      <c r="O27" s="75"/>
      <c r="P27" s="75"/>
      <c r="Q27" s="75"/>
      <c r="AG27" s="76"/>
      <c r="AH27" s="147"/>
      <c r="AI27" s="76"/>
      <c r="AJ27" s="76"/>
      <c r="AK27" s="76"/>
      <c r="AL27" s="76"/>
      <c r="AM27" s="148"/>
      <c r="AN27" s="77"/>
      <c r="AO27" s="77"/>
      <c r="AP27" s="77"/>
    </row>
    <row r="28" spans="1:44" x14ac:dyDescent="0.25">
      <c r="A28" s="107" t="s">
        <v>20</v>
      </c>
      <c r="B28" s="108" t="s">
        <v>18</v>
      </c>
      <c r="C28" s="84">
        <v>18.47</v>
      </c>
      <c r="D28" s="85">
        <v>19096.650000000001</v>
      </c>
      <c r="E28" s="86">
        <f t="shared" si="0"/>
        <v>1.9096650000000002</v>
      </c>
      <c r="F28" s="84">
        <v>6.32</v>
      </c>
      <c r="G28" s="84">
        <v>4.72</v>
      </c>
      <c r="H28" s="86">
        <v>1.84E-2</v>
      </c>
      <c r="I28" s="113">
        <f t="shared" si="1"/>
        <v>0.36391781186257566</v>
      </c>
      <c r="J28" s="116">
        <f t="shared" si="2"/>
        <v>215.1405289387273</v>
      </c>
      <c r="K28" s="117">
        <f t="shared" si="3"/>
        <v>240.45372899192091</v>
      </c>
      <c r="L28" s="90"/>
      <c r="M28" s="75"/>
      <c r="N28" s="75"/>
      <c r="O28" s="75"/>
      <c r="P28" s="75"/>
      <c r="Q28" s="75"/>
      <c r="AG28" s="76"/>
      <c r="AH28" s="147"/>
      <c r="AI28" s="76"/>
      <c r="AJ28" s="81"/>
      <c r="AK28" s="81"/>
      <c r="AL28" s="81"/>
      <c r="AM28" s="148"/>
      <c r="AN28" s="77"/>
      <c r="AO28" s="77"/>
      <c r="AP28" s="77"/>
    </row>
    <row r="29" spans="1:44" x14ac:dyDescent="0.25">
      <c r="A29" s="107" t="s">
        <v>20</v>
      </c>
      <c r="B29" s="108" t="s">
        <v>18</v>
      </c>
      <c r="C29" s="84">
        <v>17.010000000000002</v>
      </c>
      <c r="D29" s="85">
        <v>15256.52</v>
      </c>
      <c r="E29" s="86">
        <f t="shared" si="0"/>
        <v>1.525652</v>
      </c>
      <c r="F29" s="84">
        <v>5.22</v>
      </c>
      <c r="G29" s="84">
        <v>12.81</v>
      </c>
      <c r="H29" s="86">
        <v>3.5000000000000003E-2</v>
      </c>
      <c r="I29" s="113">
        <f t="shared" si="1"/>
        <v>0.57030759848019807</v>
      </c>
      <c r="J29" s="116">
        <f t="shared" si="2"/>
        <v>224.86148788841734</v>
      </c>
      <c r="K29" s="117">
        <f t="shared" si="3"/>
        <v>253.18797882622823</v>
      </c>
      <c r="L29" s="90"/>
      <c r="M29" s="75"/>
      <c r="N29" s="75"/>
      <c r="O29" s="75"/>
      <c r="P29" s="75"/>
      <c r="Q29" s="75"/>
      <c r="AG29" s="76"/>
      <c r="AH29" s="147"/>
      <c r="AI29" s="76"/>
      <c r="AJ29" s="81"/>
      <c r="AK29" s="81"/>
      <c r="AL29" s="81"/>
      <c r="AM29" s="148"/>
      <c r="AN29" s="77"/>
      <c r="AO29" s="77"/>
      <c r="AP29" s="77"/>
    </row>
    <row r="30" spans="1:44" x14ac:dyDescent="0.25">
      <c r="A30" s="109" t="s">
        <v>20</v>
      </c>
      <c r="B30" s="110" t="s">
        <v>18</v>
      </c>
      <c r="C30" s="87">
        <v>17.350000000000001</v>
      </c>
      <c r="D30" s="88">
        <v>20272.88</v>
      </c>
      <c r="E30" s="91">
        <f t="shared" si="0"/>
        <v>2.027288</v>
      </c>
      <c r="F30" s="87">
        <v>0.66</v>
      </c>
      <c r="G30" s="87">
        <v>1.47</v>
      </c>
      <c r="H30" s="91">
        <v>2.0199999999999999E-2</v>
      </c>
      <c r="I30" s="114">
        <f t="shared" si="1"/>
        <v>-0.40962478410344716</v>
      </c>
      <c r="J30" s="116">
        <f t="shared" si="2"/>
        <v>178.70667266872763</v>
      </c>
      <c r="K30" s="117">
        <f t="shared" si="3"/>
        <v>192.72615082081731</v>
      </c>
      <c r="L30" s="90"/>
      <c r="M30" s="75"/>
      <c r="N30" s="75"/>
      <c r="O30" s="75"/>
      <c r="P30" s="75"/>
      <c r="Q30" s="75"/>
      <c r="AG30" s="76"/>
      <c r="AH30" s="76"/>
      <c r="AI30" s="76"/>
      <c r="AJ30" s="76"/>
      <c r="AK30" s="76"/>
      <c r="AL30" s="76"/>
      <c r="AM30" s="148"/>
      <c r="AN30" s="77"/>
      <c r="AO30" s="77"/>
      <c r="AP30" s="77"/>
    </row>
    <row r="31" spans="1:44" x14ac:dyDescent="0.25">
      <c r="A31" s="107" t="s">
        <v>21</v>
      </c>
      <c r="B31" s="108" t="s">
        <v>18</v>
      </c>
      <c r="C31" s="84">
        <v>22.74</v>
      </c>
      <c r="D31" s="85">
        <v>21349.46</v>
      </c>
      <c r="E31" s="86">
        <f t="shared" si="0"/>
        <v>2.1349460000000002</v>
      </c>
      <c r="F31" s="84">
        <v>31.55</v>
      </c>
      <c r="G31" s="84">
        <v>3.67</v>
      </c>
      <c r="H31" s="86">
        <v>2.2200000000000002</v>
      </c>
      <c r="I31" s="113">
        <f t="shared" si="1"/>
        <v>5.2214165180425966E-2</v>
      </c>
      <c r="J31" s="116">
        <f t="shared" si="2"/>
        <v>200.45928717999806</v>
      </c>
      <c r="K31" s="117">
        <f t="shared" si="3"/>
        <v>221.2216139916323</v>
      </c>
      <c r="L31" s="90"/>
      <c r="M31" s="75"/>
      <c r="N31" s="75"/>
      <c r="O31" s="75"/>
      <c r="P31" s="75"/>
      <c r="Q31" s="75"/>
      <c r="AG31" s="76"/>
      <c r="AH31" s="147"/>
      <c r="AI31" s="76"/>
      <c r="AJ31" s="81"/>
      <c r="AK31" s="81"/>
      <c r="AL31" s="81"/>
      <c r="AM31" s="148"/>
      <c r="AN31" s="77"/>
      <c r="AO31" s="77"/>
      <c r="AP31" s="77"/>
    </row>
    <row r="32" spans="1:44" x14ac:dyDescent="0.25">
      <c r="A32" s="107" t="s">
        <v>21</v>
      </c>
      <c r="B32" s="108" t="s">
        <v>18</v>
      </c>
      <c r="C32" s="84">
        <v>23.8</v>
      </c>
      <c r="D32" s="85">
        <v>22636.639999999999</v>
      </c>
      <c r="E32" s="86">
        <f t="shared" si="0"/>
        <v>2.2636639999999999</v>
      </c>
      <c r="F32" s="84">
        <v>26.77</v>
      </c>
      <c r="G32" s="84">
        <v>4.7699999999999996</v>
      </c>
      <c r="H32" s="86">
        <v>1.97</v>
      </c>
      <c r="I32" s="113">
        <f t="shared" si="1"/>
        <v>5.6113036306929071E-2</v>
      </c>
      <c r="J32" s="116">
        <f t="shared" si="2"/>
        <v>200.64292401005636</v>
      </c>
      <c r="K32" s="117">
        <f t="shared" si="3"/>
        <v>221.46217434013752</v>
      </c>
      <c r="L32" s="90"/>
      <c r="M32" s="75"/>
      <c r="N32" s="75"/>
      <c r="O32" s="75"/>
      <c r="P32" s="75"/>
      <c r="Q32" s="75"/>
      <c r="AG32" s="76"/>
      <c r="AH32" s="147"/>
      <c r="AI32" s="76"/>
      <c r="AJ32" s="81"/>
      <c r="AK32" s="81"/>
      <c r="AL32" s="81"/>
      <c r="AM32" s="148"/>
      <c r="AN32" s="77"/>
      <c r="AO32" s="77"/>
      <c r="AP32" s="77"/>
    </row>
    <row r="33" spans="1:42" x14ac:dyDescent="0.25">
      <c r="A33" s="107" t="s">
        <v>21</v>
      </c>
      <c r="B33" s="108" t="s">
        <v>18</v>
      </c>
      <c r="C33" s="84">
        <v>25.08</v>
      </c>
      <c r="D33" s="85">
        <v>24145.11</v>
      </c>
      <c r="E33" s="86">
        <f t="shared" si="0"/>
        <v>2.4145110000000001</v>
      </c>
      <c r="F33" s="84">
        <v>33.909999999999997</v>
      </c>
      <c r="G33" s="84">
        <v>4.68</v>
      </c>
      <c r="H33" s="86">
        <v>2</v>
      </c>
      <c r="I33" s="113">
        <f t="shared" si="1"/>
        <v>6.7927632132221499E-2</v>
      </c>
      <c r="J33" s="116">
        <f t="shared" si="2"/>
        <v>201.19939147342762</v>
      </c>
      <c r="K33" s="117">
        <f t="shared" si="3"/>
        <v>222.19113490255808</v>
      </c>
      <c r="L33" s="90"/>
      <c r="M33" s="75"/>
      <c r="N33" s="75"/>
      <c r="O33" s="75"/>
      <c r="P33" s="75"/>
      <c r="Q33" s="75"/>
      <c r="AG33" s="76"/>
      <c r="AH33" s="147"/>
      <c r="AI33" s="76"/>
      <c r="AJ33" s="81"/>
      <c r="AK33" s="81"/>
      <c r="AL33" s="81"/>
      <c r="AM33" s="148"/>
      <c r="AN33" s="77"/>
      <c r="AO33" s="77"/>
      <c r="AP33" s="77"/>
    </row>
    <row r="34" spans="1:42" ht="20.399999999999999" x14ac:dyDescent="0.25">
      <c r="A34" s="107" t="s">
        <v>21</v>
      </c>
      <c r="B34" s="108" t="s">
        <v>18</v>
      </c>
      <c r="C34" s="84">
        <v>20.94</v>
      </c>
      <c r="D34" s="85">
        <v>21807.59</v>
      </c>
      <c r="E34" s="86">
        <f t="shared" si="0"/>
        <v>2.1807590000000001</v>
      </c>
      <c r="F34" s="84">
        <v>30.86</v>
      </c>
      <c r="G34" s="84">
        <v>3</v>
      </c>
      <c r="H34" s="86">
        <v>2.15</v>
      </c>
      <c r="I34" s="113">
        <f t="shared" si="1"/>
        <v>1.516338301187424E-2</v>
      </c>
      <c r="J34" s="116">
        <f t="shared" si="2"/>
        <v>198.71419533985929</v>
      </c>
      <c r="K34" s="117">
        <f t="shared" si="3"/>
        <v>218.93558073183263</v>
      </c>
      <c r="L34" s="90"/>
      <c r="M34" s="75"/>
      <c r="N34" s="75"/>
      <c r="O34" s="75"/>
      <c r="P34" s="75"/>
      <c r="Q34" s="75"/>
      <c r="AG34" s="76"/>
      <c r="AH34" s="77"/>
      <c r="AI34" s="77"/>
      <c r="AJ34" s="77"/>
      <c r="AK34" s="77"/>
      <c r="AL34" s="77"/>
      <c r="AM34" s="89"/>
      <c r="AN34" s="77"/>
      <c r="AO34" s="77"/>
      <c r="AP34" s="77"/>
    </row>
    <row r="35" spans="1:42" x14ac:dyDescent="0.25">
      <c r="A35" s="107" t="s">
        <v>21</v>
      </c>
      <c r="B35" s="108" t="s">
        <v>18</v>
      </c>
      <c r="C35" s="84">
        <v>21.37</v>
      </c>
      <c r="D35" s="85">
        <v>21235.88</v>
      </c>
      <c r="E35" s="86">
        <f t="shared" si="0"/>
        <v>2.1235880000000003</v>
      </c>
      <c r="F35" s="84">
        <v>76.239999999999995</v>
      </c>
      <c r="G35" s="84">
        <v>5.28</v>
      </c>
      <c r="H35" s="86">
        <v>1.04</v>
      </c>
      <c r="I35" s="113">
        <f t="shared" si="1"/>
        <v>0.42415719519703626</v>
      </c>
      <c r="J35" s="116">
        <f t="shared" si="2"/>
        <v>217.97780389378042</v>
      </c>
      <c r="K35" s="117">
        <f t="shared" si="3"/>
        <v>244.17049894365715</v>
      </c>
      <c r="L35" s="90"/>
      <c r="M35" s="75"/>
      <c r="N35" s="75"/>
      <c r="O35" s="75"/>
      <c r="P35" s="75"/>
      <c r="Q35" s="75"/>
      <c r="AG35" s="76"/>
      <c r="AH35" s="76"/>
      <c r="AI35" s="147"/>
      <c r="AJ35" s="76"/>
      <c r="AK35" s="76"/>
      <c r="AL35" s="76"/>
      <c r="AM35" s="77"/>
      <c r="AN35" s="77"/>
      <c r="AO35" s="77"/>
      <c r="AP35" s="77"/>
    </row>
    <row r="36" spans="1:42" x14ac:dyDescent="0.25">
      <c r="A36" s="107" t="s">
        <v>21</v>
      </c>
      <c r="B36" s="108" t="s">
        <v>18</v>
      </c>
      <c r="C36" s="84">
        <v>27.09</v>
      </c>
      <c r="D36" s="85">
        <v>21958.84</v>
      </c>
      <c r="E36" s="86">
        <f t="shared" si="0"/>
        <v>2.1958839999999999</v>
      </c>
      <c r="F36" s="84">
        <v>101.61</v>
      </c>
      <c r="G36" s="84">
        <v>5.07</v>
      </c>
      <c r="H36" s="86">
        <v>0.95699999999999996</v>
      </c>
      <c r="I36" s="113">
        <f t="shared" si="1"/>
        <v>0.42775164788432629</v>
      </c>
      <c r="J36" s="116">
        <f t="shared" si="2"/>
        <v>218.14710261535177</v>
      </c>
      <c r="K36" s="117">
        <f t="shared" si="3"/>
        <v>244.39227667446292</v>
      </c>
      <c r="L36" s="90"/>
      <c r="M36" s="75"/>
      <c r="N36" s="75"/>
      <c r="O36" s="75"/>
      <c r="P36" s="75"/>
      <c r="Q36" s="75"/>
      <c r="AG36" s="76"/>
      <c r="AH36" s="76"/>
      <c r="AI36" s="147"/>
      <c r="AJ36" s="76"/>
      <c r="AK36" s="76"/>
      <c r="AL36" s="76"/>
      <c r="AM36" s="77"/>
      <c r="AN36" s="77"/>
      <c r="AO36" s="77"/>
      <c r="AP36" s="77"/>
    </row>
    <row r="37" spans="1:42" x14ac:dyDescent="0.25">
      <c r="A37" s="107" t="s">
        <v>21</v>
      </c>
      <c r="B37" s="108" t="s">
        <v>18</v>
      </c>
      <c r="C37" s="84">
        <v>23.23</v>
      </c>
      <c r="D37" s="85">
        <v>20602.21</v>
      </c>
      <c r="E37" s="86">
        <f t="shared" si="0"/>
        <v>2.0602209999999999</v>
      </c>
      <c r="F37" s="84">
        <v>148.78</v>
      </c>
      <c r="G37" s="84">
        <v>3.15</v>
      </c>
      <c r="H37" s="86">
        <v>0.65600000000000003</v>
      </c>
      <c r="I37" s="113">
        <f t="shared" si="1"/>
        <v>0.50281723353764951</v>
      </c>
      <c r="J37" s="116">
        <f t="shared" si="2"/>
        <v>221.68269169962329</v>
      </c>
      <c r="K37" s="117">
        <f t="shared" si="3"/>
        <v>249.02382330927298</v>
      </c>
      <c r="L37" s="90"/>
      <c r="M37" s="75"/>
      <c r="N37" s="75"/>
      <c r="O37" s="75"/>
      <c r="P37" s="75"/>
      <c r="Q37" s="75"/>
      <c r="AG37" s="76"/>
      <c r="AH37" s="76"/>
      <c r="AI37" s="147"/>
      <c r="AJ37" s="76"/>
      <c r="AK37" s="76"/>
      <c r="AL37" s="76"/>
      <c r="AM37" s="77"/>
      <c r="AN37" s="77"/>
      <c r="AO37" s="77"/>
      <c r="AP37" s="77"/>
    </row>
    <row r="38" spans="1:42" x14ac:dyDescent="0.25">
      <c r="A38" s="107" t="s">
        <v>21</v>
      </c>
      <c r="B38" s="108" t="s">
        <v>18</v>
      </c>
      <c r="C38" s="84">
        <v>25.56</v>
      </c>
      <c r="D38" s="85">
        <v>21082.77</v>
      </c>
      <c r="E38" s="86">
        <f t="shared" si="0"/>
        <v>2.1082770000000002</v>
      </c>
      <c r="F38" s="84">
        <v>156.38</v>
      </c>
      <c r="G38" s="84">
        <v>5.03</v>
      </c>
      <c r="H38" s="86">
        <v>0.50700000000000001</v>
      </c>
      <c r="I38" s="113">
        <f t="shared" si="1"/>
        <v>0.61743482858716259</v>
      </c>
      <c r="J38" s="116">
        <f t="shared" si="2"/>
        <v>227.08118042645535</v>
      </c>
      <c r="K38" s="117">
        <f t="shared" si="3"/>
        <v>256.09572892382795</v>
      </c>
      <c r="L38" s="90"/>
      <c r="M38" s="75"/>
      <c r="N38" s="75"/>
      <c r="O38" s="75"/>
      <c r="P38" s="75"/>
      <c r="Q38" s="75"/>
      <c r="AG38" s="76"/>
      <c r="AH38" s="76"/>
      <c r="AI38" s="76"/>
      <c r="AJ38" s="76"/>
      <c r="AK38" s="76"/>
      <c r="AL38" s="76"/>
      <c r="AM38" s="77"/>
      <c r="AN38" s="77"/>
      <c r="AO38" s="77"/>
      <c r="AP38" s="77"/>
    </row>
    <row r="39" spans="1:42" x14ac:dyDescent="0.25">
      <c r="A39" s="107" t="s">
        <v>21</v>
      </c>
      <c r="B39" s="108" t="s">
        <v>18</v>
      </c>
      <c r="C39" s="84">
        <v>22.87</v>
      </c>
      <c r="D39" s="85">
        <v>18938.16</v>
      </c>
      <c r="E39" s="86">
        <f t="shared" si="0"/>
        <v>1.8938160000000002</v>
      </c>
      <c r="F39" s="84">
        <v>153.87</v>
      </c>
      <c r="G39" s="84">
        <v>1.74</v>
      </c>
      <c r="H39" s="86">
        <v>0.48899999999999999</v>
      </c>
      <c r="I39" s="113">
        <f t="shared" si="1"/>
        <v>0.44624678873716567</v>
      </c>
      <c r="J39" s="116">
        <f t="shared" si="2"/>
        <v>219.0182237495205</v>
      </c>
      <c r="K39" s="117">
        <f t="shared" si="3"/>
        <v>245.53342686508313</v>
      </c>
      <c r="L39" s="90"/>
      <c r="M39" s="75"/>
      <c r="N39" s="75"/>
      <c r="O39" s="75"/>
      <c r="P39" s="75"/>
      <c r="Q39" s="75"/>
      <c r="AG39" s="76"/>
      <c r="AH39" s="76"/>
      <c r="AI39" s="147"/>
      <c r="AJ39" s="76"/>
      <c r="AK39" s="76"/>
      <c r="AL39" s="76"/>
      <c r="AM39" s="76"/>
      <c r="AN39" s="77"/>
      <c r="AO39" s="77"/>
      <c r="AP39" s="77"/>
    </row>
    <row r="40" spans="1:42" x14ac:dyDescent="0.25">
      <c r="A40" s="107" t="s">
        <v>21</v>
      </c>
      <c r="B40" s="108" t="s">
        <v>18</v>
      </c>
      <c r="C40" s="84">
        <v>20.9</v>
      </c>
      <c r="D40" s="85">
        <v>21201.01</v>
      </c>
      <c r="E40" s="86">
        <f t="shared" si="0"/>
        <v>2.120101</v>
      </c>
      <c r="F40" s="84">
        <v>108.98</v>
      </c>
      <c r="G40" s="84">
        <v>0.48</v>
      </c>
      <c r="H40" s="86">
        <v>0.72699999999999998</v>
      </c>
      <c r="I40" s="113">
        <f>LN(((F40)^0.22)*((G40)^0.22)/(((E40)^0.37)*((C40)^0.2)*((H40)^0.11)))</f>
        <v>1.9662701509982446E-2</v>
      </c>
      <c r="J40" s="116">
        <f>((54.4-7.3)*I40)+(208-10)</f>
        <v>198.92611324112016</v>
      </c>
      <c r="K40" s="117">
        <f t="shared" si="3"/>
        <v>219.21318868316592</v>
      </c>
      <c r="L40" s="90"/>
      <c r="M40" s="75"/>
      <c r="N40" s="75"/>
      <c r="O40" s="75"/>
      <c r="P40" s="75"/>
      <c r="Q40" s="75"/>
      <c r="AG40" s="76"/>
      <c r="AH40" s="76"/>
      <c r="AI40" s="147"/>
      <c r="AJ40" s="76"/>
      <c r="AK40" s="76"/>
      <c r="AL40" s="76"/>
      <c r="AM40" s="76"/>
      <c r="AN40" s="77"/>
      <c r="AO40" s="77"/>
      <c r="AP40" s="77"/>
    </row>
    <row r="41" spans="1:42" x14ac:dyDescent="0.25">
      <c r="A41" s="107" t="s">
        <v>21</v>
      </c>
      <c r="B41" s="108" t="s">
        <v>18</v>
      </c>
      <c r="C41" s="84">
        <v>26.35</v>
      </c>
      <c r="D41" s="85">
        <v>22434.29</v>
      </c>
      <c r="E41" s="86">
        <f t="shared" si="0"/>
        <v>2.2434290000000003</v>
      </c>
      <c r="F41" s="84">
        <v>146.52000000000001</v>
      </c>
      <c r="G41" s="84">
        <v>4.45</v>
      </c>
      <c r="H41" s="86">
        <v>0.53700000000000003</v>
      </c>
      <c r="I41" s="113">
        <f t="shared" si="1"/>
        <v>0.54075212818151774</v>
      </c>
      <c r="J41" s="116">
        <f t="shared" si="2"/>
        <v>223.4694252373495</v>
      </c>
      <c r="K41" s="117">
        <f t="shared" si="3"/>
        <v>251.36440630879963</v>
      </c>
      <c r="L41" s="90"/>
      <c r="M41" s="75"/>
      <c r="N41" s="75"/>
      <c r="O41" s="75"/>
      <c r="P41" s="75"/>
      <c r="Q41" s="75"/>
      <c r="AG41" s="76"/>
      <c r="AH41" s="76"/>
      <c r="AI41" s="147"/>
      <c r="AJ41" s="76"/>
      <c r="AK41" s="76"/>
      <c r="AL41" s="76"/>
      <c r="AM41" s="76"/>
      <c r="AN41" s="77"/>
      <c r="AO41" s="77"/>
      <c r="AP41" s="77"/>
    </row>
    <row r="42" spans="1:42" x14ac:dyDescent="0.25">
      <c r="A42" s="109" t="s">
        <v>21</v>
      </c>
      <c r="B42" s="110" t="s">
        <v>18</v>
      </c>
      <c r="C42" s="87">
        <v>26.41</v>
      </c>
      <c r="D42" s="88">
        <v>20780.599999999999</v>
      </c>
      <c r="E42" s="91">
        <f t="shared" si="0"/>
        <v>2.0780599999999998</v>
      </c>
      <c r="F42" s="87">
        <v>142.91999999999999</v>
      </c>
      <c r="G42" s="87">
        <v>1.84</v>
      </c>
      <c r="H42" s="91">
        <v>0.44800000000000001</v>
      </c>
      <c r="I42" s="114">
        <f t="shared" si="1"/>
        <v>0.38879754942567568</v>
      </c>
      <c r="J42" s="116">
        <f t="shared" si="2"/>
        <v>216.31236457794932</v>
      </c>
      <c r="K42" s="117">
        <f t="shared" si="3"/>
        <v>241.9888087995642</v>
      </c>
      <c r="L42" s="90"/>
      <c r="M42" s="75"/>
      <c r="N42" s="75"/>
      <c r="O42" s="75"/>
      <c r="P42" s="75"/>
      <c r="Q42" s="75"/>
      <c r="AG42" s="76"/>
      <c r="AH42" s="76"/>
      <c r="AI42" s="147"/>
      <c r="AJ42" s="76"/>
      <c r="AK42" s="76"/>
      <c r="AL42" s="76"/>
      <c r="AM42" s="76"/>
      <c r="AN42" s="77"/>
      <c r="AO42" s="77"/>
      <c r="AP42" s="77"/>
    </row>
    <row r="43" spans="1:42" ht="27.6" x14ac:dyDescent="0.25">
      <c r="A43" s="107" t="s">
        <v>17</v>
      </c>
      <c r="B43" s="108" t="s">
        <v>22</v>
      </c>
      <c r="C43" s="84">
        <v>158.47999999999999</v>
      </c>
      <c r="D43" s="85">
        <v>22736.06</v>
      </c>
      <c r="E43" s="86">
        <f t="shared" si="0"/>
        <v>2.2736060000000005</v>
      </c>
      <c r="F43" s="84">
        <v>11.22</v>
      </c>
      <c r="G43" s="84">
        <v>257.57</v>
      </c>
      <c r="H43" s="86">
        <v>1.2500000000000001E-2</v>
      </c>
      <c r="I43" s="113">
        <f t="shared" si="1"/>
        <v>0.91816909006024816</v>
      </c>
      <c r="J43" s="116">
        <f t="shared" si="2"/>
        <v>241.2457641418377</v>
      </c>
      <c r="K43" s="117">
        <f t="shared" si="3"/>
        <v>274.65103285671728</v>
      </c>
      <c r="L43" s="90"/>
      <c r="M43" s="75"/>
      <c r="N43" s="75"/>
      <c r="O43" s="75"/>
      <c r="P43" s="75"/>
      <c r="Q43" s="75"/>
      <c r="AG43" s="76"/>
      <c r="AH43" s="77"/>
      <c r="AI43" s="147"/>
      <c r="AJ43" s="76"/>
      <c r="AK43" s="76"/>
      <c r="AL43" s="76"/>
      <c r="AM43" s="76"/>
      <c r="AN43" s="77"/>
      <c r="AO43" s="77"/>
      <c r="AP43" s="77"/>
    </row>
    <row r="44" spans="1:42" ht="27.6" x14ac:dyDescent="0.25">
      <c r="A44" s="107" t="s">
        <v>17</v>
      </c>
      <c r="B44" s="108" t="s">
        <v>22</v>
      </c>
      <c r="C44" s="84">
        <v>167.81</v>
      </c>
      <c r="D44" s="85">
        <v>23308.05</v>
      </c>
      <c r="E44" s="86">
        <f t="shared" si="0"/>
        <v>2.3308050000000002</v>
      </c>
      <c r="F44" s="84">
        <v>17.04</v>
      </c>
      <c r="G44" s="84">
        <v>324.54000000000002</v>
      </c>
      <c r="H44" s="86">
        <v>1.2800000000000001E-2</v>
      </c>
      <c r="I44" s="113">
        <f t="shared" si="1"/>
        <v>1.0377024745722183</v>
      </c>
      <c r="J44" s="116">
        <f t="shared" si="2"/>
        <v>246.87578655235149</v>
      </c>
      <c r="K44" s="117">
        <f t="shared" si="3"/>
        <v>282.02624268110588</v>
      </c>
      <c r="L44" s="90"/>
      <c r="M44" s="75"/>
      <c r="N44" s="75"/>
      <c r="O44" s="75"/>
      <c r="P44" s="75"/>
      <c r="Q44" s="75"/>
      <c r="AG44" s="76"/>
      <c r="AH44" s="77"/>
      <c r="AI44" s="147"/>
      <c r="AJ44" s="76"/>
      <c r="AK44" s="76"/>
      <c r="AL44" s="76"/>
      <c r="AM44" s="77"/>
      <c r="AN44" s="77"/>
      <c r="AO44" s="77"/>
      <c r="AP44" s="77"/>
    </row>
    <row r="45" spans="1:42" ht="27.6" x14ac:dyDescent="0.25">
      <c r="A45" s="107" t="s">
        <v>17</v>
      </c>
      <c r="B45" s="108" t="s">
        <v>22</v>
      </c>
      <c r="C45" s="84">
        <v>151.22999999999999</v>
      </c>
      <c r="D45" s="85">
        <v>22886.91</v>
      </c>
      <c r="E45" s="86">
        <f t="shared" si="0"/>
        <v>2.288691</v>
      </c>
      <c r="F45" s="84">
        <v>40.94</v>
      </c>
      <c r="G45" s="84">
        <v>232.03</v>
      </c>
      <c r="H45" s="86">
        <v>9.8899999999999995E-3</v>
      </c>
      <c r="I45" s="113">
        <f t="shared" si="1"/>
        <v>1.2126467749581715</v>
      </c>
      <c r="J45" s="116">
        <f t="shared" si="2"/>
        <v>255.11566310052987</v>
      </c>
      <c r="K45" s="117">
        <f t="shared" si="3"/>
        <v>292.8203060149192</v>
      </c>
      <c r="L45" s="90"/>
      <c r="M45" s="75"/>
      <c r="N45" s="75"/>
      <c r="O45" s="75"/>
      <c r="P45" s="75"/>
      <c r="Q45" s="75"/>
      <c r="AG45" s="76"/>
      <c r="AH45" s="77"/>
      <c r="AI45" s="77"/>
      <c r="AJ45" s="77"/>
      <c r="AK45" s="77"/>
      <c r="AL45" s="77"/>
      <c r="AM45" s="77"/>
      <c r="AN45" s="77"/>
      <c r="AO45" s="77"/>
      <c r="AP45" s="77"/>
    </row>
    <row r="46" spans="1:42" ht="27.6" x14ac:dyDescent="0.25">
      <c r="A46" s="107" t="s">
        <v>17</v>
      </c>
      <c r="B46" s="108" t="s">
        <v>22</v>
      </c>
      <c r="C46" s="84">
        <v>135.79</v>
      </c>
      <c r="D46" s="85">
        <v>21025.91</v>
      </c>
      <c r="E46" s="86">
        <f t="shared" si="0"/>
        <v>2.1025909999999999</v>
      </c>
      <c r="F46" s="84">
        <v>45.58</v>
      </c>
      <c r="G46" s="84">
        <v>289.93</v>
      </c>
      <c r="H46" s="86">
        <v>1.4200000000000001E-2</v>
      </c>
      <c r="I46" s="113">
        <f t="shared" si="1"/>
        <v>1.2984053823941171</v>
      </c>
      <c r="J46" s="116">
        <f t="shared" si="2"/>
        <v>259.15489351076292</v>
      </c>
      <c r="K46" s="117">
        <f t="shared" si="3"/>
        <v>298.11161209371699</v>
      </c>
      <c r="L46" s="90"/>
      <c r="M46" s="75"/>
      <c r="N46" s="75"/>
      <c r="O46" s="75"/>
      <c r="P46" s="75"/>
      <c r="Q46" s="75"/>
      <c r="AG46" s="76"/>
      <c r="AH46" s="77"/>
      <c r="AI46" s="77"/>
      <c r="AJ46" s="77"/>
      <c r="AK46" s="77"/>
      <c r="AL46" s="77"/>
      <c r="AM46" s="77"/>
      <c r="AN46" s="77"/>
      <c r="AO46" s="77"/>
      <c r="AP46" s="77"/>
    </row>
    <row r="47" spans="1:42" ht="27.6" x14ac:dyDescent="0.25">
      <c r="A47" s="107" t="s">
        <v>17</v>
      </c>
      <c r="B47" s="108" t="s">
        <v>22</v>
      </c>
      <c r="C47" s="84">
        <v>152.16</v>
      </c>
      <c r="D47" s="85">
        <v>23885.73</v>
      </c>
      <c r="E47" s="86">
        <f t="shared" si="0"/>
        <v>2.3885730000000001</v>
      </c>
      <c r="F47" s="84">
        <v>42.17</v>
      </c>
      <c r="G47" s="84">
        <v>253.12</v>
      </c>
      <c r="H47" s="86">
        <v>9.7000000000000003E-3</v>
      </c>
      <c r="I47" s="113">
        <f t="shared" si="1"/>
        <v>1.2234011559334665</v>
      </c>
      <c r="J47" s="116">
        <f t="shared" si="2"/>
        <v>255.62219444446629</v>
      </c>
      <c r="K47" s="117">
        <f t="shared" si="3"/>
        <v>293.4838513210949</v>
      </c>
      <c r="L47" s="90"/>
      <c r="M47" s="75"/>
      <c r="N47" s="75"/>
      <c r="O47" s="75"/>
      <c r="P47" s="75"/>
      <c r="Q47" s="75"/>
      <c r="AG47" s="76"/>
      <c r="AH47" s="90"/>
      <c r="AI47" s="76"/>
      <c r="AJ47" s="77"/>
      <c r="AK47" s="77"/>
      <c r="AL47" s="77"/>
      <c r="AM47" s="77"/>
      <c r="AN47" s="77"/>
      <c r="AO47" s="77"/>
      <c r="AP47" s="77"/>
    </row>
    <row r="48" spans="1:42" ht="27.6" x14ac:dyDescent="0.25">
      <c r="A48" s="107" t="s">
        <v>17</v>
      </c>
      <c r="B48" s="108" t="s">
        <v>22</v>
      </c>
      <c r="C48" s="84">
        <v>182.89</v>
      </c>
      <c r="D48" s="85">
        <v>24620.93</v>
      </c>
      <c r="E48" s="86">
        <f t="shared" si="0"/>
        <v>2.4620930000000003</v>
      </c>
      <c r="F48" s="84">
        <v>37.880000000000003</v>
      </c>
      <c r="G48" s="84">
        <v>181.89</v>
      </c>
      <c r="H48" s="86">
        <v>2.4300000000000002</v>
      </c>
      <c r="I48" s="113">
        <f t="shared" si="1"/>
        <v>0.47150220235326412</v>
      </c>
      <c r="J48" s="116">
        <f t="shared" si="2"/>
        <v>220.20775373083873</v>
      </c>
      <c r="K48" s="117">
        <f t="shared" si="3"/>
        <v>247.0916858851964</v>
      </c>
      <c r="L48" s="90"/>
      <c r="M48" s="75"/>
      <c r="N48" s="75"/>
      <c r="O48" s="75"/>
      <c r="P48" s="75"/>
      <c r="Q48" s="75"/>
      <c r="AG48" s="76"/>
      <c r="AH48" s="77"/>
      <c r="AI48" s="77"/>
      <c r="AJ48" s="77"/>
      <c r="AK48" s="77"/>
      <c r="AL48" s="77"/>
      <c r="AM48" s="77"/>
      <c r="AN48" s="77"/>
      <c r="AO48" s="77"/>
      <c r="AP48" s="77"/>
    </row>
    <row r="49" spans="1:42" ht="27.6" x14ac:dyDescent="0.25">
      <c r="A49" s="107" t="s">
        <v>17</v>
      </c>
      <c r="B49" s="108" t="s">
        <v>22</v>
      </c>
      <c r="C49" s="84">
        <v>179.29</v>
      </c>
      <c r="D49" s="85">
        <v>23991.13</v>
      </c>
      <c r="E49" s="86">
        <f t="shared" si="0"/>
        <v>2.3991130000000003</v>
      </c>
      <c r="F49" s="84">
        <v>23.89</v>
      </c>
      <c r="G49" s="84">
        <v>268.12</v>
      </c>
      <c r="H49" s="86">
        <v>3.31</v>
      </c>
      <c r="I49" s="113">
        <f t="shared" si="1"/>
        <v>0.43502492875589915</v>
      </c>
      <c r="J49" s="116">
        <f t="shared" si="2"/>
        <v>218.48967414440284</v>
      </c>
      <c r="K49" s="117">
        <f t="shared" si="3"/>
        <v>244.84103810423898</v>
      </c>
      <c r="L49" s="90"/>
      <c r="M49" s="75"/>
      <c r="N49" s="75"/>
      <c r="O49" s="75"/>
      <c r="P49" s="75"/>
      <c r="Q49" s="75"/>
      <c r="AG49" s="76"/>
      <c r="AH49" s="77"/>
      <c r="AI49" s="77"/>
      <c r="AJ49" s="77"/>
      <c r="AK49" s="77"/>
      <c r="AL49" s="77"/>
      <c r="AM49" s="77"/>
      <c r="AN49" s="77"/>
      <c r="AO49" s="77"/>
      <c r="AP49" s="77"/>
    </row>
    <row r="50" spans="1:42" ht="27.6" x14ac:dyDescent="0.25">
      <c r="A50" s="107" t="s">
        <v>17</v>
      </c>
      <c r="B50" s="108" t="s">
        <v>22</v>
      </c>
      <c r="C50" s="84">
        <v>179.51</v>
      </c>
      <c r="D50" s="85">
        <v>24033.42</v>
      </c>
      <c r="E50" s="86">
        <f t="shared" si="0"/>
        <v>2.4033419999999999</v>
      </c>
      <c r="F50" s="84">
        <v>13.66</v>
      </c>
      <c r="G50" s="84">
        <v>200.19</v>
      </c>
      <c r="H50" s="86">
        <v>2.8</v>
      </c>
      <c r="I50" s="113">
        <f t="shared" si="1"/>
        <v>0.26527991068504991</v>
      </c>
      <c r="J50" s="116">
        <f t="shared" si="2"/>
        <v>210.49468379326586</v>
      </c>
      <c r="K50" s="117">
        <f t="shared" si="3"/>
        <v>234.36777048926757</v>
      </c>
      <c r="L50" s="90"/>
      <c r="M50" s="75"/>
      <c r="N50" s="75"/>
      <c r="O50" s="75"/>
      <c r="P50" s="75"/>
      <c r="Q50" s="75"/>
      <c r="AG50" s="76"/>
      <c r="AH50" s="76"/>
      <c r="AI50" s="76"/>
      <c r="AJ50" s="76"/>
      <c r="AK50" s="76"/>
      <c r="AL50" s="76"/>
      <c r="AM50" s="77"/>
      <c r="AN50" s="77"/>
      <c r="AO50" s="77"/>
      <c r="AP50" s="77"/>
    </row>
    <row r="51" spans="1:42" ht="27.6" x14ac:dyDescent="0.25">
      <c r="A51" s="107" t="s">
        <v>17</v>
      </c>
      <c r="B51" s="108" t="s">
        <v>22</v>
      </c>
      <c r="C51" s="84">
        <v>184.34</v>
      </c>
      <c r="D51" s="85">
        <v>24762.16</v>
      </c>
      <c r="E51" s="86">
        <f t="shared" si="0"/>
        <v>2.476216</v>
      </c>
      <c r="F51" s="84">
        <v>18.82</v>
      </c>
      <c r="G51" s="84">
        <v>228.01</v>
      </c>
      <c r="H51" s="86">
        <v>2.25</v>
      </c>
      <c r="I51" s="113">
        <f t="shared" si="1"/>
        <v>0.37209872955491879</v>
      </c>
      <c r="J51" s="116">
        <f t="shared" si="2"/>
        <v>215.52585016203668</v>
      </c>
      <c r="K51" s="117">
        <f t="shared" si="3"/>
        <v>240.95849161353848</v>
      </c>
      <c r="L51" s="90"/>
      <c r="M51" s="75"/>
      <c r="N51" s="75"/>
      <c r="O51" s="75"/>
      <c r="P51" s="75"/>
      <c r="Q51" s="75"/>
      <c r="AG51" s="76"/>
      <c r="AH51" s="76"/>
      <c r="AI51" s="76"/>
      <c r="AJ51" s="76"/>
      <c r="AK51" s="76"/>
      <c r="AL51" s="76"/>
      <c r="AM51" s="77"/>
      <c r="AN51" s="77"/>
      <c r="AO51" s="77"/>
      <c r="AP51" s="77"/>
    </row>
    <row r="52" spans="1:42" ht="27.6" x14ac:dyDescent="0.25">
      <c r="A52" s="107" t="s">
        <v>17</v>
      </c>
      <c r="B52" s="108" t="s">
        <v>22</v>
      </c>
      <c r="C52" s="84">
        <v>217.88</v>
      </c>
      <c r="D52" s="85">
        <v>28641.68</v>
      </c>
      <c r="E52" s="86">
        <f t="shared" si="0"/>
        <v>2.8641680000000003</v>
      </c>
      <c r="F52" s="84">
        <v>24.43</v>
      </c>
      <c r="G52" s="84">
        <v>194</v>
      </c>
      <c r="H52" s="86">
        <v>1.88</v>
      </c>
      <c r="I52" s="113">
        <f t="shared" si="1"/>
        <v>0.32643579835707598</v>
      </c>
      <c r="J52" s="116">
        <f t="shared" si="2"/>
        <v>213.37512610261828</v>
      </c>
      <c r="K52" s="117">
        <f t="shared" si="3"/>
        <v>238.14108875863158</v>
      </c>
      <c r="L52" s="90"/>
      <c r="M52" s="75"/>
      <c r="N52" s="75"/>
      <c r="O52" s="75"/>
      <c r="P52" s="75"/>
      <c r="Q52" s="75"/>
      <c r="AG52" s="76"/>
      <c r="AH52" s="76"/>
      <c r="AI52" s="76"/>
      <c r="AJ52" s="76"/>
      <c r="AK52" s="76"/>
      <c r="AL52" s="76"/>
      <c r="AM52" s="77"/>
      <c r="AN52" s="77"/>
      <c r="AO52" s="77"/>
      <c r="AP52" s="77"/>
    </row>
    <row r="53" spans="1:42" ht="27.6" x14ac:dyDescent="0.25">
      <c r="A53" s="107" t="s">
        <v>17</v>
      </c>
      <c r="B53" s="108" t="s">
        <v>22</v>
      </c>
      <c r="C53" s="84">
        <v>131.99</v>
      </c>
      <c r="D53" s="85">
        <v>21614.080000000002</v>
      </c>
      <c r="E53" s="86">
        <f t="shared" si="0"/>
        <v>2.1614080000000002</v>
      </c>
      <c r="F53" s="84">
        <v>68.55</v>
      </c>
      <c r="G53" s="84">
        <v>337.83</v>
      </c>
      <c r="H53" s="86">
        <v>0.375</v>
      </c>
      <c r="I53" s="113">
        <f t="shared" si="1"/>
        <v>1.0571882043695264</v>
      </c>
      <c r="J53" s="116">
        <f t="shared" si="2"/>
        <v>247.7935644258047</v>
      </c>
      <c r="K53" s="117">
        <f t="shared" si="3"/>
        <v>283.22851220959978</v>
      </c>
      <c r="L53" s="90"/>
      <c r="M53" s="75"/>
      <c r="N53" s="75"/>
      <c r="O53" s="75"/>
      <c r="P53" s="75"/>
      <c r="Q53" s="75"/>
      <c r="AG53" s="76"/>
      <c r="AH53" s="73"/>
      <c r="AI53" s="73"/>
      <c r="AJ53" s="73"/>
      <c r="AK53" s="73"/>
      <c r="AL53" s="73"/>
    </row>
    <row r="54" spans="1:42" ht="27.6" x14ac:dyDescent="0.25">
      <c r="A54" s="107" t="s">
        <v>17</v>
      </c>
      <c r="B54" s="108" t="s">
        <v>22</v>
      </c>
      <c r="C54" s="84">
        <v>134.35</v>
      </c>
      <c r="D54" s="85">
        <v>21529.68</v>
      </c>
      <c r="E54" s="86">
        <f t="shared" si="0"/>
        <v>2.152968</v>
      </c>
      <c r="F54" s="84">
        <v>128.62</v>
      </c>
      <c r="G54" s="84">
        <v>224.71</v>
      </c>
      <c r="H54" s="86">
        <v>1.8</v>
      </c>
      <c r="I54" s="113">
        <f t="shared" si="1"/>
        <v>0.93128833898313224</v>
      </c>
      <c r="J54" s="116">
        <f t="shared" si="2"/>
        <v>241.86368076610552</v>
      </c>
      <c r="K54" s="117">
        <f t="shared" si="3"/>
        <v>275.46049051525927</v>
      </c>
      <c r="L54" s="90"/>
      <c r="M54" s="75"/>
      <c r="N54" s="75"/>
      <c r="O54" s="75"/>
      <c r="P54" s="75"/>
      <c r="Q54" s="75"/>
      <c r="AG54" s="76"/>
      <c r="AH54" s="73"/>
      <c r="AI54" s="73"/>
      <c r="AJ54" s="73"/>
      <c r="AK54" s="73"/>
      <c r="AL54" s="73"/>
    </row>
    <row r="55" spans="1:42" ht="27.6" x14ac:dyDescent="0.25">
      <c r="A55" s="107" t="s">
        <v>17</v>
      </c>
      <c r="B55" s="108" t="s">
        <v>22</v>
      </c>
      <c r="C55" s="84">
        <v>147.63</v>
      </c>
      <c r="D55" s="85">
        <v>21769.49</v>
      </c>
      <c r="E55" s="86">
        <f t="shared" si="0"/>
        <v>2.1769490000000005</v>
      </c>
      <c r="F55" s="84">
        <v>38.869999999999997</v>
      </c>
      <c r="G55" s="84">
        <v>252.02</v>
      </c>
      <c r="H55" s="86">
        <v>0.37</v>
      </c>
      <c r="I55" s="113">
        <f t="shared" si="1"/>
        <v>0.84433477266560919</v>
      </c>
      <c r="J55" s="116">
        <f t="shared" si="2"/>
        <v>237.7681677925502</v>
      </c>
      <c r="K55" s="117">
        <f t="shared" si="3"/>
        <v>270.09545547346806</v>
      </c>
      <c r="L55" s="90"/>
      <c r="M55" s="75"/>
      <c r="N55" s="75"/>
      <c r="O55" s="75"/>
      <c r="P55" s="75"/>
      <c r="Q55" s="75"/>
      <c r="AG55" s="76"/>
      <c r="AH55" s="73"/>
      <c r="AI55" s="73"/>
      <c r="AJ55" s="73"/>
      <c r="AK55" s="73"/>
      <c r="AL55" s="73"/>
    </row>
    <row r="56" spans="1:42" ht="27.6" x14ac:dyDescent="0.25">
      <c r="A56" s="107" t="s">
        <v>17</v>
      </c>
      <c r="B56" s="108" t="s">
        <v>22</v>
      </c>
      <c r="C56" s="84">
        <v>146.81</v>
      </c>
      <c r="D56" s="85">
        <v>21977.24</v>
      </c>
      <c r="E56" s="86">
        <f t="shared" si="0"/>
        <v>2.1977240000000005</v>
      </c>
      <c r="F56" s="84">
        <v>19.36</v>
      </c>
      <c r="G56" s="84">
        <v>235.05</v>
      </c>
      <c r="H56" s="86">
        <v>1.67E-2</v>
      </c>
      <c r="I56" s="113">
        <f t="shared" si="1"/>
        <v>1.014045646074013</v>
      </c>
      <c r="J56" s="116">
        <f t="shared" si="2"/>
        <v>245.76154993008601</v>
      </c>
      <c r="K56" s="117">
        <f t="shared" si="3"/>
        <v>280.56661636276658</v>
      </c>
      <c r="L56" s="90"/>
      <c r="M56" s="76"/>
      <c r="N56" s="73"/>
      <c r="O56" s="73"/>
      <c r="P56" s="73"/>
      <c r="Q56" s="73"/>
      <c r="R56" s="73"/>
      <c r="AG56" s="76"/>
      <c r="AH56" s="73"/>
      <c r="AI56" s="73"/>
      <c r="AJ56" s="73"/>
      <c r="AK56" s="73"/>
      <c r="AL56" s="73"/>
    </row>
    <row r="57" spans="1:42" ht="27.6" x14ac:dyDescent="0.25">
      <c r="A57" s="107" t="s">
        <v>17</v>
      </c>
      <c r="B57" s="108" t="s">
        <v>22</v>
      </c>
      <c r="C57" s="84">
        <v>173.75</v>
      </c>
      <c r="D57" s="85">
        <v>23773.02</v>
      </c>
      <c r="E57" s="86">
        <f t="shared" si="0"/>
        <v>2.3773020000000002</v>
      </c>
      <c r="F57" s="84">
        <v>35.67</v>
      </c>
      <c r="G57" s="84">
        <v>102.32</v>
      </c>
      <c r="H57" s="86">
        <v>1.66E-2</v>
      </c>
      <c r="I57" s="113">
        <f t="shared" si="1"/>
        <v>0.90341911622174331</v>
      </c>
      <c r="J57" s="116">
        <f t="shared" si="2"/>
        <v>240.55104037404411</v>
      </c>
      <c r="K57" s="117">
        <f t="shared" si="3"/>
        <v>273.74095947088153</v>
      </c>
      <c r="L57" s="90"/>
      <c r="M57" s="76"/>
      <c r="N57" s="73"/>
      <c r="O57" s="73"/>
      <c r="P57" s="73"/>
      <c r="Q57" s="73"/>
      <c r="R57" s="73"/>
    </row>
    <row r="58" spans="1:42" ht="27.6" x14ac:dyDescent="0.25">
      <c r="A58" s="107" t="s">
        <v>17</v>
      </c>
      <c r="B58" s="108" t="s">
        <v>22</v>
      </c>
      <c r="C58" s="84">
        <v>81.87</v>
      </c>
      <c r="D58" s="85">
        <v>17934.79</v>
      </c>
      <c r="E58" s="86">
        <f t="shared" si="0"/>
        <v>1.7934790000000003</v>
      </c>
      <c r="F58" s="84">
        <v>20.55</v>
      </c>
      <c r="G58" s="84">
        <v>294.07</v>
      </c>
      <c r="H58" s="86">
        <v>1.5900000000000001E-2</v>
      </c>
      <c r="I58" s="113">
        <f t="shared" si="1"/>
        <v>1.2738625802149428</v>
      </c>
      <c r="J58" s="116">
        <f t="shared" si="2"/>
        <v>257.99892752812383</v>
      </c>
      <c r="K58" s="117">
        <f t="shared" si="3"/>
        <v>296.59732119926196</v>
      </c>
      <c r="L58" s="90"/>
      <c r="M58" s="76"/>
      <c r="N58" s="73"/>
      <c r="O58" s="73"/>
      <c r="P58" s="73"/>
      <c r="Q58" s="73"/>
      <c r="R58" s="73"/>
    </row>
    <row r="59" spans="1:42" ht="27.6" x14ac:dyDescent="0.25">
      <c r="A59" s="107" t="s">
        <v>17</v>
      </c>
      <c r="B59" s="108" t="s">
        <v>22</v>
      </c>
      <c r="C59" s="84">
        <v>83.86</v>
      </c>
      <c r="D59" s="85">
        <v>18202.310000000001</v>
      </c>
      <c r="E59" s="86">
        <f t="shared" si="0"/>
        <v>1.8202310000000002</v>
      </c>
      <c r="F59" s="84">
        <v>30.36</v>
      </c>
      <c r="G59" s="84">
        <v>364.44</v>
      </c>
      <c r="H59" s="86">
        <v>1.7000000000000001E-2</v>
      </c>
      <c r="I59" s="113">
        <f t="shared" si="1"/>
        <v>1.3892807344341245</v>
      </c>
      <c r="J59" s="116">
        <f t="shared" si="2"/>
        <v>263.43512259184729</v>
      </c>
      <c r="K59" s="117">
        <f t="shared" si="3"/>
        <v>303.71862131458545</v>
      </c>
      <c r="L59" s="90"/>
      <c r="M59" s="76"/>
      <c r="N59" s="73"/>
      <c r="O59" s="73"/>
      <c r="P59" s="73"/>
      <c r="Q59" s="73"/>
      <c r="R59" s="73"/>
    </row>
    <row r="60" spans="1:42" ht="27.6" x14ac:dyDescent="0.25">
      <c r="A60" s="109" t="s">
        <v>17</v>
      </c>
      <c r="B60" s="110" t="s">
        <v>22</v>
      </c>
      <c r="C60" s="87">
        <v>103.15</v>
      </c>
      <c r="D60" s="88">
        <v>19356.7</v>
      </c>
      <c r="E60" s="91">
        <f t="shared" si="0"/>
        <v>1.9356700000000002</v>
      </c>
      <c r="F60" s="87">
        <v>72.19</v>
      </c>
      <c r="G60" s="87">
        <v>401.11</v>
      </c>
      <c r="H60" s="91">
        <v>7.8E-2</v>
      </c>
      <c r="I60" s="114">
        <f t="shared" si="1"/>
        <v>1.3691886514622271</v>
      </c>
      <c r="J60" s="116">
        <f t="shared" si="2"/>
        <v>262.48878548387091</v>
      </c>
      <c r="K60" s="117">
        <f t="shared" si="3"/>
        <v>302.47893979521939</v>
      </c>
      <c r="L60" s="90"/>
      <c r="M60" s="76"/>
      <c r="N60" s="73"/>
      <c r="O60" s="73"/>
      <c r="P60" s="73"/>
      <c r="Q60" s="73"/>
      <c r="R60" s="73"/>
    </row>
    <row r="61" spans="1:42" ht="27.6" x14ac:dyDescent="0.25">
      <c r="A61" s="107" t="s">
        <v>20</v>
      </c>
      <c r="B61" s="108" t="s">
        <v>22</v>
      </c>
      <c r="C61" s="84">
        <v>15.85</v>
      </c>
      <c r="D61" s="85">
        <v>15518.97</v>
      </c>
      <c r="E61" s="86">
        <f t="shared" si="0"/>
        <v>1.5518970000000001</v>
      </c>
      <c r="F61" s="84">
        <v>7.76</v>
      </c>
      <c r="G61" s="84">
        <v>305.41000000000003</v>
      </c>
      <c r="H61" s="86">
        <v>2.1100000000000001E-2</v>
      </c>
      <c r="I61" s="113">
        <f t="shared" si="1"/>
        <v>1.4187325098309149</v>
      </c>
      <c r="J61" s="116">
        <f t="shared" si="2"/>
        <v>264.8223012130361</v>
      </c>
      <c r="K61" s="117">
        <f t="shared" si="3"/>
        <v>305.53579585656746</v>
      </c>
      <c r="L61" s="90"/>
      <c r="M61" s="76"/>
      <c r="N61" s="73"/>
      <c r="O61" s="73"/>
      <c r="P61" s="73"/>
      <c r="Q61" s="73"/>
      <c r="R61" s="73"/>
    </row>
    <row r="62" spans="1:42" ht="27.6" x14ac:dyDescent="0.25">
      <c r="A62" s="107" t="s">
        <v>20</v>
      </c>
      <c r="B62" s="108" t="s">
        <v>22</v>
      </c>
      <c r="C62" s="84">
        <v>18.14</v>
      </c>
      <c r="D62" s="85">
        <v>16521.080000000002</v>
      </c>
      <c r="E62" s="86">
        <f t="shared" si="0"/>
        <v>1.6521080000000004</v>
      </c>
      <c r="F62" s="84">
        <v>8.2899999999999991</v>
      </c>
      <c r="G62" s="84">
        <v>511.23</v>
      </c>
      <c r="H62" s="86">
        <v>1.8700000000000001E-2</v>
      </c>
      <c r="I62" s="113">
        <f t="shared" si="1"/>
        <v>1.5097436485736986</v>
      </c>
      <c r="J62" s="116">
        <f t="shared" si="2"/>
        <v>269.10892584782118</v>
      </c>
      <c r="K62" s="117">
        <f t="shared" si="3"/>
        <v>311.15118311699723</v>
      </c>
      <c r="L62" s="90"/>
      <c r="M62" s="76"/>
      <c r="N62" s="73"/>
      <c r="O62" s="73"/>
      <c r="P62" s="73"/>
      <c r="Q62" s="73"/>
      <c r="R62" s="73"/>
    </row>
    <row r="63" spans="1:42" ht="27.6" x14ac:dyDescent="0.25">
      <c r="A63" s="107" t="s">
        <v>20</v>
      </c>
      <c r="B63" s="108" t="s">
        <v>22</v>
      </c>
      <c r="C63" s="84">
        <v>17.37</v>
      </c>
      <c r="D63" s="85">
        <v>16543.830000000002</v>
      </c>
      <c r="E63" s="86">
        <f t="shared" si="0"/>
        <v>1.6543830000000002</v>
      </c>
      <c r="F63" s="84">
        <v>5.63</v>
      </c>
      <c r="G63" s="84">
        <v>432.77</v>
      </c>
      <c r="H63" s="86">
        <v>4.8000000000000001E-2</v>
      </c>
      <c r="I63" s="113">
        <f t="shared" si="1"/>
        <v>1.2924331327308756</v>
      </c>
      <c r="J63" s="116">
        <f t="shared" si="2"/>
        <v>258.87360055162424</v>
      </c>
      <c r="K63" s="117">
        <f t="shared" si="3"/>
        <v>297.74312428949503</v>
      </c>
      <c r="L63" s="90"/>
      <c r="M63" s="76"/>
      <c r="N63" s="73"/>
      <c r="O63" s="73"/>
      <c r="P63" s="73"/>
      <c r="Q63" s="73"/>
      <c r="R63" s="73"/>
    </row>
    <row r="64" spans="1:42" ht="27.6" x14ac:dyDescent="0.25">
      <c r="A64" s="107" t="s">
        <v>20</v>
      </c>
      <c r="B64" s="108" t="s">
        <v>22</v>
      </c>
      <c r="C64" s="84">
        <v>15.26</v>
      </c>
      <c r="D64" s="85">
        <v>17154.04</v>
      </c>
      <c r="E64" s="86">
        <f t="shared" si="0"/>
        <v>1.7154040000000002</v>
      </c>
      <c r="F64" s="84">
        <v>4.92</v>
      </c>
      <c r="G64" s="84">
        <v>227.05</v>
      </c>
      <c r="H64" s="86">
        <v>2.3E-2</v>
      </c>
      <c r="I64" s="113">
        <f t="shared" si="1"/>
        <v>1.214297055221192</v>
      </c>
      <c r="J64" s="116">
        <f t="shared" si="2"/>
        <v>255.19339130091814</v>
      </c>
      <c r="K64" s="117">
        <f t="shared" si="3"/>
        <v>292.92212830714755</v>
      </c>
      <c r="L64" s="90"/>
      <c r="M64" s="76"/>
      <c r="N64" s="73"/>
      <c r="O64" s="73"/>
      <c r="P64" s="73"/>
      <c r="Q64" s="73"/>
      <c r="R64" s="73"/>
    </row>
    <row r="65" spans="1:18" ht="27.6" x14ac:dyDescent="0.25">
      <c r="A65" s="107" t="s">
        <v>20</v>
      </c>
      <c r="B65" s="108" t="s">
        <v>22</v>
      </c>
      <c r="C65" s="84">
        <v>16.7</v>
      </c>
      <c r="D65" s="85">
        <v>18303.62</v>
      </c>
      <c r="E65" s="86">
        <f t="shared" si="0"/>
        <v>1.830362</v>
      </c>
      <c r="F65" s="84">
        <v>6.14</v>
      </c>
      <c r="G65" s="84">
        <v>246.63</v>
      </c>
      <c r="H65" s="86">
        <v>1.9400000000000001E-2</v>
      </c>
      <c r="I65" s="113">
        <f t="shared" si="1"/>
        <v>1.257918283379555</v>
      </c>
      <c r="J65" s="116">
        <f t="shared" si="2"/>
        <v>257.24795114717705</v>
      </c>
      <c r="K65" s="117">
        <f t="shared" si="3"/>
        <v>295.61355808451856</v>
      </c>
      <c r="L65" s="90"/>
      <c r="M65" s="76"/>
      <c r="N65" s="73"/>
      <c r="O65" s="73"/>
      <c r="P65" s="73"/>
      <c r="Q65" s="73"/>
      <c r="R65" s="73"/>
    </row>
    <row r="66" spans="1:18" ht="27.6" x14ac:dyDescent="0.25">
      <c r="A66" s="107" t="s">
        <v>20</v>
      </c>
      <c r="B66" s="108" t="s">
        <v>22</v>
      </c>
      <c r="C66" s="84">
        <v>18.399999999999999</v>
      </c>
      <c r="D66" s="85">
        <v>20554.349999999999</v>
      </c>
      <c r="E66" s="86">
        <f t="shared" si="0"/>
        <v>2.0554350000000001</v>
      </c>
      <c r="F66" s="84">
        <v>0.51600000000000001</v>
      </c>
      <c r="G66" s="84">
        <v>241.08</v>
      </c>
      <c r="H66" s="86">
        <v>1.6799999999999999E-2</v>
      </c>
      <c r="I66" s="113">
        <f t="shared" si="1"/>
        <v>0.66161656296475324</v>
      </c>
      <c r="J66" s="116">
        <f t="shared" si="2"/>
        <v>229.16214011563989</v>
      </c>
      <c r="K66" s="117">
        <f t="shared" si="3"/>
        <v>258.82174193492529</v>
      </c>
      <c r="L66" s="90"/>
      <c r="M66" s="76"/>
      <c r="N66" s="73"/>
      <c r="O66" s="73"/>
      <c r="P66" s="73"/>
      <c r="Q66" s="73"/>
      <c r="R66" s="73"/>
    </row>
    <row r="67" spans="1:18" ht="27.6" x14ac:dyDescent="0.25">
      <c r="A67" s="107" t="s">
        <v>20</v>
      </c>
      <c r="B67" s="108" t="s">
        <v>22</v>
      </c>
      <c r="C67" s="84">
        <v>19.57</v>
      </c>
      <c r="D67" s="85">
        <v>21797.54</v>
      </c>
      <c r="E67" s="86">
        <f t="shared" ref="E67:E130" si="10">D67*0.0001</f>
        <v>2.1797540000000004</v>
      </c>
      <c r="F67" s="84">
        <v>4.51</v>
      </c>
      <c r="G67" s="84">
        <v>480.9</v>
      </c>
      <c r="H67" s="86">
        <v>1.6400000000000001E-2</v>
      </c>
      <c r="I67" s="113">
        <f t="shared" ref="I67:I130" si="11">LN(((F67)^0.22)*((G67)^0.22)/(((E67)^0.37)*((C67)^0.2)*((H67)^0.11)))</f>
        <v>1.2590745582038612</v>
      </c>
      <c r="J67" s="116">
        <f t="shared" ref="J67:J107" si="12">((54.4-7.3)*I67)+(208-10)</f>
        <v>257.30241169140186</v>
      </c>
      <c r="K67" s="117">
        <f t="shared" ref="K67:K107" si="13">((54.4+7.3)*I67)+(208+10)</f>
        <v>295.68490024117824</v>
      </c>
      <c r="L67" s="90"/>
      <c r="M67" s="76"/>
      <c r="N67" s="73"/>
      <c r="O67" s="73"/>
      <c r="P67" s="73"/>
      <c r="Q67" s="73"/>
      <c r="R67" s="73"/>
    </row>
    <row r="68" spans="1:18" ht="27.6" x14ac:dyDescent="0.25">
      <c r="A68" s="107" t="s">
        <v>20</v>
      </c>
      <c r="B68" s="108" t="s">
        <v>22</v>
      </c>
      <c r="C68" s="84">
        <v>14.37</v>
      </c>
      <c r="D68" s="85">
        <v>15972.29</v>
      </c>
      <c r="E68" s="86">
        <f t="shared" si="10"/>
        <v>1.5972290000000002</v>
      </c>
      <c r="F68" s="84">
        <v>7.82</v>
      </c>
      <c r="G68" s="84">
        <v>386.89</v>
      </c>
      <c r="H68" s="86">
        <v>2.3900000000000001E-2</v>
      </c>
      <c r="I68" s="113">
        <f t="shared" si="11"/>
        <v>1.4676994099253351</v>
      </c>
      <c r="J68" s="116">
        <f t="shared" si="12"/>
        <v>267.12864220748327</v>
      </c>
      <c r="K68" s="117">
        <f t="shared" si="13"/>
        <v>308.55705359239317</v>
      </c>
      <c r="L68" s="90"/>
      <c r="M68" s="76"/>
      <c r="N68" s="73"/>
      <c r="O68" s="73"/>
      <c r="P68" s="73"/>
      <c r="Q68" s="73"/>
      <c r="R68" s="73"/>
    </row>
    <row r="69" spans="1:18" ht="27.6" x14ac:dyDescent="0.25">
      <c r="A69" s="107" t="s">
        <v>20</v>
      </c>
      <c r="B69" s="108" t="s">
        <v>22</v>
      </c>
      <c r="C69" s="84">
        <v>13.06</v>
      </c>
      <c r="D69" s="85">
        <v>16178.92</v>
      </c>
      <c r="E69" s="86">
        <f t="shared" si="10"/>
        <v>1.6178920000000001</v>
      </c>
      <c r="F69" s="84">
        <v>8.2899999999999991</v>
      </c>
      <c r="G69" s="84">
        <v>579.59</v>
      </c>
      <c r="H69" s="86">
        <v>2.3900000000000001E-2</v>
      </c>
      <c r="I69" s="113">
        <f t="shared" si="11"/>
        <v>1.5838213242777919</v>
      </c>
      <c r="J69" s="116">
        <f t="shared" si="12"/>
        <v>272.597984373484</v>
      </c>
      <c r="K69" s="117">
        <f t="shared" si="13"/>
        <v>315.72177570793974</v>
      </c>
      <c r="L69" s="90"/>
      <c r="M69" s="76"/>
      <c r="N69" s="73"/>
      <c r="O69" s="73"/>
      <c r="P69" s="73"/>
      <c r="Q69" s="73"/>
      <c r="R69" s="73"/>
    </row>
    <row r="70" spans="1:18" ht="27.6" x14ac:dyDescent="0.25">
      <c r="A70" s="107" t="s">
        <v>20</v>
      </c>
      <c r="B70" s="108" t="s">
        <v>22</v>
      </c>
      <c r="C70" s="84">
        <v>15.7</v>
      </c>
      <c r="D70" s="85">
        <v>18340.75</v>
      </c>
      <c r="E70" s="86">
        <f t="shared" si="10"/>
        <v>1.8340750000000001</v>
      </c>
      <c r="F70" s="84">
        <v>6.89</v>
      </c>
      <c r="G70" s="84">
        <v>540.82000000000005</v>
      </c>
      <c r="H70" s="86">
        <v>5.8000000000000003E-2</v>
      </c>
      <c r="I70" s="113">
        <f t="shared" si="11"/>
        <v>1.347146978276448</v>
      </c>
      <c r="J70" s="116">
        <f t="shared" si="12"/>
        <v>261.45062267682073</v>
      </c>
      <c r="K70" s="117">
        <f t="shared" si="13"/>
        <v>301.11896855965682</v>
      </c>
      <c r="L70" s="90"/>
      <c r="M70" s="76"/>
      <c r="N70" s="73"/>
      <c r="O70" s="73"/>
      <c r="P70" s="73"/>
      <c r="Q70" s="73"/>
      <c r="R70" s="73"/>
    </row>
    <row r="71" spans="1:18" ht="27.6" x14ac:dyDescent="0.25">
      <c r="A71" s="107" t="s">
        <v>20</v>
      </c>
      <c r="B71" s="108" t="s">
        <v>22</v>
      </c>
      <c r="C71" s="84">
        <v>15.42</v>
      </c>
      <c r="D71" s="85">
        <v>17873.580000000002</v>
      </c>
      <c r="E71" s="86">
        <f t="shared" si="10"/>
        <v>1.7873580000000002</v>
      </c>
      <c r="F71" s="84">
        <v>9.68</v>
      </c>
      <c r="G71" s="84">
        <v>525.09</v>
      </c>
      <c r="H71" s="86">
        <v>1.7299999999999999E-2</v>
      </c>
      <c r="I71" s="113">
        <f t="shared" si="11"/>
        <v>1.5616679748103663</v>
      </c>
      <c r="J71" s="116">
        <f t="shared" si="12"/>
        <v>271.55456161356824</v>
      </c>
      <c r="K71" s="117">
        <f t="shared" si="13"/>
        <v>314.3549140457996</v>
      </c>
      <c r="L71" s="90"/>
      <c r="M71" s="76"/>
      <c r="N71" s="73"/>
      <c r="O71" s="73"/>
      <c r="P71" s="73"/>
      <c r="Q71" s="73"/>
      <c r="R71" s="73"/>
    </row>
    <row r="72" spans="1:18" ht="27.6" x14ac:dyDescent="0.25">
      <c r="A72" s="107" t="s">
        <v>20</v>
      </c>
      <c r="B72" s="108" t="s">
        <v>22</v>
      </c>
      <c r="C72" s="84">
        <v>16.190000000000001</v>
      </c>
      <c r="D72" s="85">
        <v>17896.29</v>
      </c>
      <c r="E72" s="86">
        <f t="shared" si="10"/>
        <v>1.7896290000000001</v>
      </c>
      <c r="F72" s="84">
        <v>10.25</v>
      </c>
      <c r="G72" s="84">
        <v>460.73</v>
      </c>
      <c r="H72" s="86">
        <v>1.84E-2</v>
      </c>
      <c r="I72" s="113">
        <f t="shared" si="11"/>
        <v>1.5284924464110952</v>
      </c>
      <c r="J72" s="116">
        <f t="shared" si="12"/>
        <v>269.99199422596257</v>
      </c>
      <c r="K72" s="117">
        <f t="shared" si="13"/>
        <v>312.30798394356458</v>
      </c>
      <c r="L72" s="90"/>
      <c r="M72" s="76"/>
      <c r="N72" s="73"/>
      <c r="O72" s="73"/>
      <c r="P72" s="73"/>
      <c r="Q72" s="73"/>
      <c r="R72" s="73"/>
    </row>
    <row r="73" spans="1:18" ht="27.6" x14ac:dyDescent="0.25">
      <c r="A73" s="107" t="s">
        <v>20</v>
      </c>
      <c r="B73" s="108" t="s">
        <v>22</v>
      </c>
      <c r="C73" s="84">
        <v>15.08</v>
      </c>
      <c r="D73" s="85">
        <v>17565.48</v>
      </c>
      <c r="E73" s="86">
        <f t="shared" si="10"/>
        <v>1.756548</v>
      </c>
      <c r="F73" s="84">
        <v>11.33</v>
      </c>
      <c r="G73" s="84">
        <v>431.66</v>
      </c>
      <c r="H73" s="86">
        <v>1.95E-2</v>
      </c>
      <c r="I73" s="113">
        <f t="shared" si="11"/>
        <v>1.5509142343751074</v>
      </c>
      <c r="J73" s="116">
        <f t="shared" si="12"/>
        <v>271.04806043906757</v>
      </c>
      <c r="K73" s="117">
        <f t="shared" si="13"/>
        <v>313.69140826094412</v>
      </c>
      <c r="L73" s="90"/>
      <c r="M73" s="76"/>
      <c r="N73" s="73"/>
      <c r="O73" s="73"/>
      <c r="P73" s="73"/>
      <c r="Q73" s="73"/>
      <c r="R73" s="73"/>
    </row>
    <row r="74" spans="1:18" ht="27.6" x14ac:dyDescent="0.25">
      <c r="A74" s="107" t="s">
        <v>20</v>
      </c>
      <c r="B74" s="108" t="s">
        <v>22</v>
      </c>
      <c r="C74" s="84">
        <v>15.45</v>
      </c>
      <c r="D74" s="85">
        <v>17236.240000000002</v>
      </c>
      <c r="E74" s="86">
        <f t="shared" si="10"/>
        <v>1.7236240000000003</v>
      </c>
      <c r="F74" s="84">
        <v>5.16</v>
      </c>
      <c r="G74" s="84">
        <v>519.76</v>
      </c>
      <c r="H74" s="86">
        <v>1.8499999999999999E-2</v>
      </c>
      <c r="I74" s="113">
        <f t="shared" si="11"/>
        <v>1.4266845747518886</v>
      </c>
      <c r="J74" s="116">
        <f t="shared" si="12"/>
        <v>265.19684347081397</v>
      </c>
      <c r="K74" s="117">
        <f t="shared" si="13"/>
        <v>306.0264382621915</v>
      </c>
      <c r="L74" s="90"/>
      <c r="M74" s="76"/>
      <c r="N74" s="73"/>
      <c r="O74" s="73"/>
      <c r="P74" s="73"/>
      <c r="Q74" s="73"/>
      <c r="R74" s="73"/>
    </row>
    <row r="75" spans="1:18" ht="27.6" x14ac:dyDescent="0.25">
      <c r="A75" s="107" t="s">
        <v>20</v>
      </c>
      <c r="B75" s="108" t="s">
        <v>22</v>
      </c>
      <c r="C75" s="84">
        <v>14.75</v>
      </c>
      <c r="D75" s="85">
        <v>17484.509999999998</v>
      </c>
      <c r="E75" s="86">
        <f t="shared" si="10"/>
        <v>1.748451</v>
      </c>
      <c r="F75" s="84">
        <v>5.42</v>
      </c>
      <c r="G75" s="84">
        <v>404.33</v>
      </c>
      <c r="H75" s="86">
        <v>1.8599999999999998E-2</v>
      </c>
      <c r="I75" s="113">
        <f t="shared" si="11"/>
        <v>1.3856384787692875</v>
      </c>
      <c r="J75" s="116">
        <f t="shared" si="12"/>
        <v>263.26357235003343</v>
      </c>
      <c r="K75" s="117">
        <f t="shared" si="13"/>
        <v>303.49389414006504</v>
      </c>
      <c r="L75" s="90"/>
      <c r="M75" s="76"/>
      <c r="N75" s="73"/>
      <c r="O75" s="73"/>
      <c r="P75" s="73"/>
      <c r="Q75" s="73"/>
      <c r="R75" s="73"/>
    </row>
    <row r="76" spans="1:18" ht="27.6" x14ac:dyDescent="0.25">
      <c r="A76" s="107" t="s">
        <v>20</v>
      </c>
      <c r="B76" s="108" t="s">
        <v>22</v>
      </c>
      <c r="C76" s="84">
        <v>18.010000000000002</v>
      </c>
      <c r="D76" s="85">
        <v>20585.13</v>
      </c>
      <c r="E76" s="86">
        <f t="shared" si="10"/>
        <v>2.058513</v>
      </c>
      <c r="F76" s="84">
        <v>5.99</v>
      </c>
      <c r="G76" s="84">
        <v>507.28</v>
      </c>
      <c r="H76" s="86">
        <v>0.02</v>
      </c>
      <c r="I76" s="113">
        <f t="shared" si="11"/>
        <v>1.3492170610239143</v>
      </c>
      <c r="J76" s="116">
        <f t="shared" si="12"/>
        <v>261.54812357422634</v>
      </c>
      <c r="K76" s="117">
        <f t="shared" si="13"/>
        <v>301.24669266517549</v>
      </c>
      <c r="L76" s="90"/>
      <c r="M76" s="76"/>
      <c r="N76" s="73"/>
      <c r="O76" s="73"/>
      <c r="P76" s="73"/>
      <c r="Q76" s="73"/>
      <c r="R76" s="73"/>
    </row>
    <row r="77" spans="1:18" ht="27.6" x14ac:dyDescent="0.25">
      <c r="A77" s="109" t="s">
        <v>20</v>
      </c>
      <c r="B77" s="110" t="s">
        <v>22</v>
      </c>
      <c r="C77" s="87">
        <v>19.02</v>
      </c>
      <c r="D77" s="88">
        <v>21088.02</v>
      </c>
      <c r="E77" s="91">
        <f t="shared" si="10"/>
        <v>2.1088020000000003</v>
      </c>
      <c r="F77" s="87">
        <v>5</v>
      </c>
      <c r="G77" s="87">
        <v>415.19</v>
      </c>
      <c r="H77" s="91">
        <v>3.7999999999999999E-2</v>
      </c>
      <c r="I77" s="114">
        <f t="shared" si="11"/>
        <v>1.1749543016415505</v>
      </c>
      <c r="J77" s="116">
        <f t="shared" si="12"/>
        <v>253.34034760731703</v>
      </c>
      <c r="K77" s="117">
        <f t="shared" si="13"/>
        <v>290.49468041128364</v>
      </c>
      <c r="L77" s="90"/>
      <c r="M77" s="76"/>
      <c r="N77" s="73"/>
      <c r="O77" s="73"/>
      <c r="P77" s="73"/>
      <c r="Q77" s="73"/>
      <c r="R77" s="73"/>
    </row>
    <row r="78" spans="1:18" ht="27.6" x14ac:dyDescent="0.25">
      <c r="A78" s="107" t="s">
        <v>21</v>
      </c>
      <c r="B78" s="108" t="s">
        <v>22</v>
      </c>
      <c r="C78" s="84">
        <v>20.81</v>
      </c>
      <c r="D78" s="85">
        <v>20311.25</v>
      </c>
      <c r="E78" s="86">
        <f t="shared" si="10"/>
        <v>2.0311250000000003</v>
      </c>
      <c r="F78" s="84">
        <v>119.7</v>
      </c>
      <c r="G78" s="84">
        <v>145.93</v>
      </c>
      <c r="H78" s="86">
        <v>0.77600000000000002</v>
      </c>
      <c r="I78" s="113">
        <f t="shared" si="11"/>
        <v>1.3076167862862631</v>
      </c>
      <c r="J78" s="116">
        <f t="shared" si="12"/>
        <v>259.588750634083</v>
      </c>
      <c r="K78" s="117">
        <f t="shared" si="13"/>
        <v>298.67995571386246</v>
      </c>
      <c r="L78" s="90"/>
      <c r="M78" s="76"/>
      <c r="N78" s="73"/>
      <c r="O78" s="73"/>
      <c r="P78" s="73"/>
      <c r="Q78" s="73"/>
      <c r="R78" s="73"/>
    </row>
    <row r="79" spans="1:18" ht="27.6" x14ac:dyDescent="0.25">
      <c r="A79" s="107" t="s">
        <v>21</v>
      </c>
      <c r="B79" s="108" t="s">
        <v>22</v>
      </c>
      <c r="C79" s="84">
        <v>18.600000000000001</v>
      </c>
      <c r="D79" s="85">
        <v>20300.05</v>
      </c>
      <c r="E79" s="86">
        <f t="shared" si="10"/>
        <v>2.0300050000000001</v>
      </c>
      <c r="F79" s="84">
        <v>109.3</v>
      </c>
      <c r="G79" s="84">
        <v>134.72999999999999</v>
      </c>
      <c r="H79" s="86">
        <v>0.21</v>
      </c>
      <c r="I79" s="113">
        <f t="shared" si="11"/>
        <v>1.4364859990155427</v>
      </c>
      <c r="J79" s="116">
        <f t="shared" si="12"/>
        <v>265.65849055363208</v>
      </c>
      <c r="K79" s="117">
        <f t="shared" si="13"/>
        <v>306.631186139259</v>
      </c>
      <c r="L79" s="90"/>
      <c r="M79" s="76"/>
      <c r="N79" s="73"/>
      <c r="O79" s="73"/>
      <c r="P79" s="73"/>
      <c r="Q79" s="73"/>
      <c r="R79" s="73"/>
    </row>
    <row r="80" spans="1:18" ht="27.6" x14ac:dyDescent="0.25">
      <c r="A80" s="107" t="s">
        <v>21</v>
      </c>
      <c r="B80" s="108" t="s">
        <v>22</v>
      </c>
      <c r="C80" s="84">
        <v>25.3</v>
      </c>
      <c r="D80" s="85">
        <v>20322.349999999999</v>
      </c>
      <c r="E80" s="86">
        <f t="shared" si="10"/>
        <v>2.032235</v>
      </c>
      <c r="F80" s="84">
        <v>124.3</v>
      </c>
      <c r="G80" s="84">
        <v>157.03</v>
      </c>
      <c r="H80" s="86">
        <v>0.52300000000000002</v>
      </c>
      <c r="I80" s="113">
        <f t="shared" si="11"/>
        <v>1.3361675276699903</v>
      </c>
      <c r="J80" s="116">
        <f t="shared" si="12"/>
        <v>260.93349055325655</v>
      </c>
      <c r="K80" s="117">
        <f t="shared" si="13"/>
        <v>300.44153645723839</v>
      </c>
      <c r="L80" s="90"/>
      <c r="M80" s="76"/>
      <c r="N80" s="73"/>
      <c r="O80" s="73"/>
      <c r="P80" s="73"/>
      <c r="Q80" s="73"/>
      <c r="R80" s="73"/>
    </row>
    <row r="81" spans="1:18" ht="27.6" x14ac:dyDescent="0.25">
      <c r="A81" s="109" t="s">
        <v>21</v>
      </c>
      <c r="B81" s="110" t="s">
        <v>22</v>
      </c>
      <c r="C81" s="87">
        <v>22.3</v>
      </c>
      <c r="D81" s="88">
        <v>20362.45</v>
      </c>
      <c r="E81" s="91">
        <f t="shared" si="10"/>
        <v>2.0362450000000001</v>
      </c>
      <c r="F81" s="87">
        <v>142.30000000000001</v>
      </c>
      <c r="G81" s="87">
        <v>197.13</v>
      </c>
      <c r="H81" s="91">
        <v>0.42299999999999999</v>
      </c>
      <c r="I81" s="114">
        <f t="shared" si="11"/>
        <v>1.4638112591162766</v>
      </c>
      <c r="J81" s="116">
        <f t="shared" si="12"/>
        <v>266.94551030437663</v>
      </c>
      <c r="K81" s="117">
        <f t="shared" si="13"/>
        <v>308.31715468747427</v>
      </c>
      <c r="L81" s="90"/>
      <c r="M81" s="76"/>
      <c r="N81" s="73"/>
      <c r="O81" s="73"/>
      <c r="P81" s="73"/>
      <c r="Q81" s="73"/>
      <c r="R81" s="73"/>
    </row>
    <row r="82" spans="1:18" ht="27.6" x14ac:dyDescent="0.25">
      <c r="A82" s="107" t="s">
        <v>17</v>
      </c>
      <c r="B82" s="108" t="s">
        <v>23</v>
      </c>
      <c r="C82" s="84">
        <v>124.74</v>
      </c>
      <c r="D82" s="85">
        <v>21114.25</v>
      </c>
      <c r="E82" s="86">
        <f t="shared" si="10"/>
        <v>2.1114250000000001</v>
      </c>
      <c r="F82" s="84">
        <v>60.42</v>
      </c>
      <c r="G82" s="84">
        <v>111.02</v>
      </c>
      <c r="H82" s="86">
        <v>0.20499999999999999</v>
      </c>
      <c r="I82" s="113">
        <f t="shared" si="11"/>
        <v>0.87097805008604612</v>
      </c>
      <c r="J82" s="116">
        <f t="shared" si="12"/>
        <v>239.02306615905277</v>
      </c>
      <c r="K82" s="117">
        <f t="shared" si="13"/>
        <v>271.73934569030905</v>
      </c>
      <c r="L82" s="90"/>
      <c r="M82" s="76"/>
      <c r="N82" s="73"/>
      <c r="O82" s="73"/>
      <c r="P82" s="73"/>
      <c r="Q82" s="73"/>
      <c r="R82" s="73"/>
    </row>
    <row r="83" spans="1:18" ht="27.6" x14ac:dyDescent="0.25">
      <c r="A83" s="107" t="s">
        <v>17</v>
      </c>
      <c r="B83" s="108" t="s">
        <v>23</v>
      </c>
      <c r="C83" s="84">
        <v>88.73</v>
      </c>
      <c r="D83" s="85">
        <v>18972.64</v>
      </c>
      <c r="E83" s="86">
        <f t="shared" si="10"/>
        <v>1.8972640000000001</v>
      </c>
      <c r="F83" s="84">
        <v>95.3</v>
      </c>
      <c r="G83" s="84">
        <v>75.78</v>
      </c>
      <c r="H83" s="86">
        <v>0.20899999999999999</v>
      </c>
      <c r="I83" s="113">
        <f t="shared" si="11"/>
        <v>0.99279407647847429</v>
      </c>
      <c r="J83" s="116">
        <f t="shared" si="12"/>
        <v>244.76060100213613</v>
      </c>
      <c r="K83" s="117">
        <f t="shared" si="13"/>
        <v>279.25539451872186</v>
      </c>
      <c r="L83" s="90"/>
      <c r="M83" s="76"/>
      <c r="N83" s="73"/>
      <c r="O83" s="73"/>
      <c r="P83" s="73"/>
      <c r="Q83" s="73"/>
      <c r="R83" s="73"/>
    </row>
    <row r="84" spans="1:18" ht="27.6" x14ac:dyDescent="0.25">
      <c r="A84" s="107" t="s">
        <v>17</v>
      </c>
      <c r="B84" s="108" t="s">
        <v>23</v>
      </c>
      <c r="C84" s="84">
        <v>77.88</v>
      </c>
      <c r="D84" s="85">
        <v>18125.87</v>
      </c>
      <c r="E84" s="86">
        <f t="shared" si="10"/>
        <v>1.8125869999999999</v>
      </c>
      <c r="F84" s="84">
        <v>82.93</v>
      </c>
      <c r="G84" s="84">
        <v>61.21</v>
      </c>
      <c r="H84" s="86">
        <v>1.5800000000000002E-2</v>
      </c>
      <c r="I84" s="113">
        <f t="shared" si="11"/>
        <v>1.242266401475304</v>
      </c>
      <c r="J84" s="116">
        <f t="shared" si="12"/>
        <v>256.51074750948681</v>
      </c>
      <c r="K84" s="117">
        <f t="shared" si="13"/>
        <v>294.64783697102627</v>
      </c>
      <c r="L84" s="90"/>
      <c r="M84" s="76"/>
      <c r="N84" s="73"/>
      <c r="O84" s="73"/>
      <c r="P84" s="73"/>
      <c r="Q84" s="73"/>
      <c r="R84" s="73"/>
    </row>
    <row r="85" spans="1:18" ht="27.6" x14ac:dyDescent="0.25">
      <c r="A85" s="107" t="s">
        <v>17</v>
      </c>
      <c r="B85" s="108" t="s">
        <v>23</v>
      </c>
      <c r="C85" s="84">
        <v>173.05</v>
      </c>
      <c r="D85" s="85">
        <v>23585</v>
      </c>
      <c r="E85" s="86">
        <f t="shared" si="10"/>
        <v>2.3585000000000003</v>
      </c>
      <c r="F85" s="84">
        <v>47.55</v>
      </c>
      <c r="G85" s="84">
        <v>136.69</v>
      </c>
      <c r="H85" s="86">
        <v>2.4E-2</v>
      </c>
      <c r="I85" s="113">
        <f t="shared" si="11"/>
        <v>0.99357091352319549</v>
      </c>
      <c r="J85" s="116">
        <f t="shared" si="12"/>
        <v>244.7971900269425</v>
      </c>
      <c r="K85" s="117">
        <f t="shared" si="13"/>
        <v>279.30332536438118</v>
      </c>
      <c r="L85" s="90"/>
      <c r="M85" s="76"/>
      <c r="N85" s="73"/>
      <c r="O85" s="73"/>
      <c r="P85" s="73"/>
      <c r="Q85" s="73"/>
      <c r="R85" s="73"/>
    </row>
    <row r="86" spans="1:18" ht="27.6" x14ac:dyDescent="0.25">
      <c r="A86" s="107" t="s">
        <v>17</v>
      </c>
      <c r="B86" s="108" t="s">
        <v>23</v>
      </c>
      <c r="C86" s="84">
        <v>83.93</v>
      </c>
      <c r="D86" s="85">
        <v>18016.060000000001</v>
      </c>
      <c r="E86" s="86">
        <f t="shared" si="10"/>
        <v>1.8016060000000003</v>
      </c>
      <c r="F86" s="84">
        <v>4.51</v>
      </c>
      <c r="G86" s="84">
        <v>19.399999999999999</v>
      </c>
      <c r="H86" s="86">
        <v>1.7000000000000001E-2</v>
      </c>
      <c r="I86" s="113">
        <f t="shared" si="11"/>
        <v>0.32813739647899992</v>
      </c>
      <c r="J86" s="116">
        <f t="shared" si="12"/>
        <v>213.4552713741609</v>
      </c>
      <c r="K86" s="117">
        <f t="shared" si="13"/>
        <v>238.24607736275431</v>
      </c>
      <c r="L86" s="90"/>
      <c r="M86" s="76"/>
      <c r="N86" s="73"/>
      <c r="O86" s="73"/>
      <c r="P86" s="73"/>
      <c r="Q86" s="73"/>
      <c r="R86" s="73"/>
    </row>
    <row r="87" spans="1:18" ht="27.6" x14ac:dyDescent="0.25">
      <c r="A87" s="107" t="s">
        <v>17</v>
      </c>
      <c r="B87" s="108" t="s">
        <v>23</v>
      </c>
      <c r="C87" s="84">
        <v>90.65</v>
      </c>
      <c r="D87" s="85">
        <v>18449.939999999999</v>
      </c>
      <c r="E87" s="86">
        <f t="shared" si="10"/>
        <v>1.844994</v>
      </c>
      <c r="F87" s="84">
        <v>5.41</v>
      </c>
      <c r="G87" s="84">
        <v>22.11</v>
      </c>
      <c r="H87" s="86">
        <v>1.6799999999999999E-2</v>
      </c>
      <c r="I87" s="113">
        <f t="shared" si="11"/>
        <v>0.37402548562472077</v>
      </c>
      <c r="J87" s="116">
        <f t="shared" si="12"/>
        <v>215.61660037292435</v>
      </c>
      <c r="K87" s="117">
        <f t="shared" si="13"/>
        <v>241.07737246304526</v>
      </c>
      <c r="L87" s="90"/>
      <c r="M87" s="76"/>
      <c r="N87" s="73"/>
      <c r="O87" s="73"/>
      <c r="P87" s="73"/>
      <c r="Q87" s="73"/>
      <c r="R87" s="73"/>
    </row>
    <row r="88" spans="1:18" ht="27.6" x14ac:dyDescent="0.25">
      <c r="A88" s="109" t="s">
        <v>17</v>
      </c>
      <c r="B88" s="110" t="s">
        <v>23</v>
      </c>
      <c r="C88" s="87">
        <v>91.31</v>
      </c>
      <c r="D88" s="88">
        <v>18623.650000000001</v>
      </c>
      <c r="E88" s="91">
        <f t="shared" si="10"/>
        <v>1.8623650000000003</v>
      </c>
      <c r="F88" s="87">
        <v>3.91</v>
      </c>
      <c r="G88" s="87">
        <v>18.11</v>
      </c>
      <c r="H88" s="91">
        <v>1.7000000000000001E-2</v>
      </c>
      <c r="I88" s="114">
        <f t="shared" si="11"/>
        <v>0.25246445420603847</v>
      </c>
      <c r="J88" s="116">
        <f t="shared" si="12"/>
        <v>209.89107579310442</v>
      </c>
      <c r="K88" s="117">
        <f t="shared" si="13"/>
        <v>233.57705682451257</v>
      </c>
      <c r="L88" s="90"/>
      <c r="M88" s="76"/>
      <c r="N88" s="73"/>
      <c r="O88" s="73"/>
      <c r="P88" s="73"/>
      <c r="Q88" s="73"/>
      <c r="R88" s="73"/>
    </row>
    <row r="89" spans="1:18" ht="27.6" x14ac:dyDescent="0.25">
      <c r="A89" s="107" t="s">
        <v>20</v>
      </c>
      <c r="B89" s="108" t="s">
        <v>23</v>
      </c>
      <c r="C89" s="84">
        <v>18.88</v>
      </c>
      <c r="D89" s="85">
        <v>16771.59</v>
      </c>
      <c r="E89" s="86">
        <f t="shared" si="10"/>
        <v>1.6771590000000001</v>
      </c>
      <c r="F89" s="84">
        <v>15.58</v>
      </c>
      <c r="G89" s="84">
        <v>40.74</v>
      </c>
      <c r="H89" s="86">
        <v>3.2000000000000001E-2</v>
      </c>
      <c r="I89" s="113">
        <f t="shared" si="11"/>
        <v>1.0193776810205049</v>
      </c>
      <c r="J89" s="116">
        <f t="shared" si="12"/>
        <v>246.01268877606577</v>
      </c>
      <c r="K89" s="117">
        <f t="shared" si="13"/>
        <v>280.89560291896515</v>
      </c>
      <c r="L89" s="90"/>
      <c r="M89" s="76"/>
      <c r="N89" s="73"/>
      <c r="O89" s="73"/>
      <c r="P89" s="73"/>
      <c r="Q89" s="73"/>
      <c r="R89" s="73"/>
    </row>
    <row r="90" spans="1:18" ht="27.6" x14ac:dyDescent="0.25">
      <c r="A90" s="107" t="s">
        <v>20</v>
      </c>
      <c r="B90" s="108" t="s">
        <v>23</v>
      </c>
      <c r="C90" s="84">
        <v>19.190000000000001</v>
      </c>
      <c r="D90" s="85">
        <v>16600.349999999999</v>
      </c>
      <c r="E90" s="86">
        <f t="shared" si="10"/>
        <v>1.6600349999999999</v>
      </c>
      <c r="F90" s="84">
        <v>8.83</v>
      </c>
      <c r="G90" s="84">
        <v>20.010000000000002</v>
      </c>
      <c r="H90" s="86">
        <v>1.7000000000000001E-2</v>
      </c>
      <c r="I90" s="113">
        <f t="shared" si="11"/>
        <v>0.80815661274555572</v>
      </c>
      <c r="J90" s="116">
        <f t="shared" si="12"/>
        <v>236.06417646031568</v>
      </c>
      <c r="K90" s="117">
        <f t="shared" si="13"/>
        <v>267.86326300640076</v>
      </c>
      <c r="L90" s="90"/>
      <c r="M90" s="76"/>
      <c r="N90" s="73"/>
      <c r="O90" s="73"/>
      <c r="P90" s="73"/>
      <c r="Q90" s="73"/>
      <c r="R90" s="73"/>
    </row>
    <row r="91" spans="1:18" ht="27.6" x14ac:dyDescent="0.25">
      <c r="A91" s="107" t="s">
        <v>20</v>
      </c>
      <c r="B91" s="108" t="s">
        <v>23</v>
      </c>
      <c r="C91" s="84">
        <v>18.36</v>
      </c>
      <c r="D91" s="85">
        <v>20405.96</v>
      </c>
      <c r="E91" s="86">
        <f t="shared" si="10"/>
        <v>2.0405959999999999</v>
      </c>
      <c r="F91" s="84">
        <v>6.94</v>
      </c>
      <c r="G91" s="84">
        <v>73.680000000000007</v>
      </c>
      <c r="H91" s="86">
        <v>1.4999999999999999E-2</v>
      </c>
      <c r="I91" s="113">
        <f t="shared" si="11"/>
        <v>0.98818046699252671</v>
      </c>
      <c r="J91" s="116">
        <f t="shared" si="12"/>
        <v>244.54329999534801</v>
      </c>
      <c r="K91" s="117">
        <f t="shared" si="13"/>
        <v>278.97073481343887</v>
      </c>
      <c r="L91" s="90"/>
      <c r="M91" s="76"/>
      <c r="N91" s="73"/>
      <c r="O91" s="73"/>
      <c r="P91" s="73"/>
      <c r="Q91" s="73"/>
      <c r="R91" s="73"/>
    </row>
    <row r="92" spans="1:18" ht="27.6" x14ac:dyDescent="0.25">
      <c r="A92" s="107" t="s">
        <v>20</v>
      </c>
      <c r="B92" s="108" t="s">
        <v>23</v>
      </c>
      <c r="C92" s="84">
        <v>19.23</v>
      </c>
      <c r="D92" s="85">
        <v>19678.400000000001</v>
      </c>
      <c r="E92" s="86">
        <f t="shared" si="10"/>
        <v>1.9678400000000003</v>
      </c>
      <c r="F92" s="84">
        <v>8.3699999999999992</v>
      </c>
      <c r="G92" s="84">
        <v>36.03</v>
      </c>
      <c r="H92" s="86">
        <v>7.2999999999999995E-2</v>
      </c>
      <c r="I92" s="113">
        <f t="shared" si="11"/>
        <v>0.70212300530965277</v>
      </c>
      <c r="J92" s="116">
        <f t="shared" si="12"/>
        <v>231.06999355008463</v>
      </c>
      <c r="K92" s="117">
        <f t="shared" si="13"/>
        <v>261.32098942760558</v>
      </c>
      <c r="L92" s="90"/>
      <c r="M92" s="76"/>
      <c r="N92" s="73"/>
      <c r="O92" s="73"/>
      <c r="P92" s="73"/>
      <c r="Q92" s="73"/>
      <c r="R92" s="73"/>
    </row>
    <row r="93" spans="1:18" ht="27.6" x14ac:dyDescent="0.25">
      <c r="A93" s="109" t="s">
        <v>20</v>
      </c>
      <c r="B93" s="110" t="s">
        <v>23</v>
      </c>
      <c r="C93" s="87">
        <v>18.940000000000001</v>
      </c>
      <c r="D93" s="88">
        <v>20692.21</v>
      </c>
      <c r="E93" s="91">
        <f t="shared" si="10"/>
        <v>2.0692210000000002</v>
      </c>
      <c r="F93" s="87">
        <v>7.35</v>
      </c>
      <c r="G93" s="87">
        <v>95.45</v>
      </c>
      <c r="H93" s="91">
        <v>0.02</v>
      </c>
      <c r="I93" s="114">
        <f t="shared" si="11"/>
        <v>1.0147402260528975</v>
      </c>
      <c r="J93" s="116">
        <f t="shared" si="12"/>
        <v>245.79426464709147</v>
      </c>
      <c r="K93" s="117">
        <f t="shared" si="13"/>
        <v>280.60947194746376</v>
      </c>
      <c r="L93" s="90"/>
      <c r="M93" s="76"/>
      <c r="N93" s="73"/>
      <c r="O93" s="73"/>
      <c r="P93" s="73"/>
      <c r="Q93" s="73"/>
      <c r="R93" s="73"/>
    </row>
    <row r="94" spans="1:18" ht="27.6" x14ac:dyDescent="0.25">
      <c r="A94" s="107" t="s">
        <v>21</v>
      </c>
      <c r="B94" s="108" t="s">
        <v>23</v>
      </c>
      <c r="C94" s="84">
        <v>22.65</v>
      </c>
      <c r="D94" s="85">
        <v>26709.919999999998</v>
      </c>
      <c r="E94" s="86">
        <f t="shared" si="10"/>
        <v>2.670992</v>
      </c>
      <c r="F94" s="84">
        <v>13.61</v>
      </c>
      <c r="G94" s="84">
        <v>0.41</v>
      </c>
      <c r="H94" s="86">
        <v>4.4000000000000004</v>
      </c>
      <c r="I94" s="113">
        <f t="shared" si="11"/>
        <v>-0.77228947389042135</v>
      </c>
      <c r="J94" s="116">
        <f t="shared" si="12"/>
        <v>161.62516577976115</v>
      </c>
      <c r="K94" s="117">
        <f t="shared" si="13"/>
        <v>170.34973946096102</v>
      </c>
      <c r="L94" s="90"/>
      <c r="M94" s="76"/>
      <c r="N94" s="73"/>
      <c r="O94" s="73"/>
      <c r="P94" s="73"/>
      <c r="Q94" s="73"/>
      <c r="R94" s="73"/>
    </row>
    <row r="95" spans="1:18" ht="27.6" x14ac:dyDescent="0.25">
      <c r="A95" s="107" t="s">
        <v>21</v>
      </c>
      <c r="B95" s="108" t="s">
        <v>23</v>
      </c>
      <c r="C95" s="84">
        <v>26.02</v>
      </c>
      <c r="D95" s="85">
        <v>26057.52</v>
      </c>
      <c r="E95" s="86">
        <f t="shared" si="10"/>
        <v>2.6057520000000003</v>
      </c>
      <c r="F95" s="84">
        <v>5.71</v>
      </c>
      <c r="G95" s="84">
        <v>0.17</v>
      </c>
      <c r="H95" s="86">
        <v>6.21</v>
      </c>
      <c r="I95" s="113">
        <f t="shared" si="11"/>
        <v>-1.2135499975819606</v>
      </c>
      <c r="J95" s="116">
        <f t="shared" si="12"/>
        <v>140.84179511388965</v>
      </c>
      <c r="K95" s="117">
        <f t="shared" si="13"/>
        <v>143.12396514919305</v>
      </c>
      <c r="L95" s="111"/>
      <c r="N95" s="75"/>
      <c r="O95" s="75"/>
      <c r="P95" s="75"/>
      <c r="Q95" s="75"/>
    </row>
    <row r="96" spans="1:18" ht="27.6" x14ac:dyDescent="0.25">
      <c r="A96" s="107" t="s">
        <v>21</v>
      </c>
      <c r="B96" s="108" t="s">
        <v>23</v>
      </c>
      <c r="C96" s="84">
        <v>24.06</v>
      </c>
      <c r="D96" s="85">
        <v>24583.8</v>
      </c>
      <c r="E96" s="86">
        <f t="shared" si="10"/>
        <v>2.45838</v>
      </c>
      <c r="F96" s="84">
        <v>2.4300000000000002</v>
      </c>
      <c r="G96" s="84">
        <v>0.18</v>
      </c>
      <c r="H96" s="86">
        <v>6.09</v>
      </c>
      <c r="I96" s="113">
        <f t="shared" si="11"/>
        <v>-1.3495769693399133</v>
      </c>
      <c r="J96" s="116">
        <f t="shared" si="12"/>
        <v>134.4349247440901</v>
      </c>
      <c r="K96" s="117">
        <f t="shared" si="13"/>
        <v>134.73110099172737</v>
      </c>
      <c r="L96" s="111"/>
      <c r="N96" s="75"/>
      <c r="O96" s="75"/>
      <c r="P96" s="75"/>
      <c r="Q96" s="75"/>
    </row>
    <row r="97" spans="1:13" s="75" customFormat="1" ht="27.6" x14ac:dyDescent="0.25">
      <c r="A97" s="107" t="s">
        <v>21</v>
      </c>
      <c r="B97" s="108" t="s">
        <v>23</v>
      </c>
      <c r="C97" s="84">
        <v>22.8</v>
      </c>
      <c r="D97" s="85">
        <v>24539.75</v>
      </c>
      <c r="E97" s="86">
        <f t="shared" si="10"/>
        <v>2.4539750000000002</v>
      </c>
      <c r="F97" s="84">
        <v>2.31</v>
      </c>
      <c r="G97" s="84">
        <v>0.34</v>
      </c>
      <c r="H97" s="86">
        <v>5.34</v>
      </c>
      <c r="I97" s="113">
        <f t="shared" si="11"/>
        <v>-1.1949229878748935</v>
      </c>
      <c r="J97" s="116">
        <f t="shared" si="12"/>
        <v>141.71912727109253</v>
      </c>
      <c r="K97" s="117">
        <f t="shared" si="13"/>
        <v>144.27325164811907</v>
      </c>
      <c r="L97" s="111"/>
      <c r="M97" s="77"/>
    </row>
    <row r="98" spans="1:13" s="75" customFormat="1" ht="27.6" x14ac:dyDescent="0.25">
      <c r="A98" s="107" t="s">
        <v>21</v>
      </c>
      <c r="B98" s="108" t="s">
        <v>23</v>
      </c>
      <c r="C98" s="84">
        <v>23.13</v>
      </c>
      <c r="D98" s="85">
        <v>26700.19</v>
      </c>
      <c r="E98" s="86">
        <f t="shared" si="10"/>
        <v>2.6700189999999999</v>
      </c>
      <c r="F98" s="84">
        <v>1.38</v>
      </c>
      <c r="G98" s="84">
        <v>0.14000000000000001</v>
      </c>
      <c r="H98" s="86">
        <v>2.57</v>
      </c>
      <c r="I98" s="113">
        <f t="shared" si="11"/>
        <v>-1.4571138704552038</v>
      </c>
      <c r="J98" s="116">
        <f t="shared" si="12"/>
        <v>129.36993670155988</v>
      </c>
      <c r="K98" s="117">
        <f t="shared" si="13"/>
        <v>128.09607419291393</v>
      </c>
      <c r="L98" s="111"/>
      <c r="M98" s="77"/>
    </row>
    <row r="99" spans="1:13" s="75" customFormat="1" ht="27.6" x14ac:dyDescent="0.25">
      <c r="A99" s="107" t="s">
        <v>21</v>
      </c>
      <c r="B99" s="108" t="s">
        <v>23</v>
      </c>
      <c r="C99" s="84">
        <v>24.41</v>
      </c>
      <c r="D99" s="85">
        <v>24956.43</v>
      </c>
      <c r="E99" s="86">
        <f t="shared" si="10"/>
        <v>2.4956430000000003</v>
      </c>
      <c r="F99" s="84">
        <v>5.72</v>
      </c>
      <c r="G99" s="84">
        <v>0.96</v>
      </c>
      <c r="H99" s="86">
        <v>3.83</v>
      </c>
      <c r="I99" s="113">
        <f t="shared" si="11"/>
        <v>-0.75040357907006328</v>
      </c>
      <c r="J99" s="116">
        <f t="shared" si="12"/>
        <v>162.65599142580001</v>
      </c>
      <c r="K99" s="117">
        <f t="shared" si="13"/>
        <v>171.7000991713771</v>
      </c>
      <c r="L99" s="111"/>
      <c r="M99" s="77"/>
    </row>
    <row r="100" spans="1:13" s="75" customFormat="1" ht="27.6" x14ac:dyDescent="0.25">
      <c r="A100" s="107" t="s">
        <v>21</v>
      </c>
      <c r="B100" s="108" t="s">
        <v>23</v>
      </c>
      <c r="C100" s="84">
        <v>23.37</v>
      </c>
      <c r="D100" s="85">
        <v>25063.51</v>
      </c>
      <c r="E100" s="86">
        <f t="shared" si="10"/>
        <v>2.506351</v>
      </c>
      <c r="F100" s="84">
        <v>10.51</v>
      </c>
      <c r="G100" s="84">
        <v>0.2</v>
      </c>
      <c r="H100" s="86">
        <v>4.2699999999999996</v>
      </c>
      <c r="I100" s="113">
        <f t="shared" si="11"/>
        <v>-0.96649883765623423</v>
      </c>
      <c r="J100" s="116">
        <f t="shared" si="12"/>
        <v>152.47790474639137</v>
      </c>
      <c r="K100" s="117">
        <f t="shared" si="13"/>
        <v>158.36702171661034</v>
      </c>
      <c r="L100" s="111"/>
      <c r="M100" s="77"/>
    </row>
    <row r="101" spans="1:13" s="75" customFormat="1" ht="27.6" x14ac:dyDescent="0.25">
      <c r="A101" s="107" t="s">
        <v>21</v>
      </c>
      <c r="B101" s="108" t="s">
        <v>23</v>
      </c>
      <c r="C101" s="84">
        <v>27.36</v>
      </c>
      <c r="D101" s="85">
        <v>27953.24</v>
      </c>
      <c r="E101" s="86">
        <f t="shared" si="10"/>
        <v>2.7953240000000004</v>
      </c>
      <c r="F101" s="84">
        <v>6.09</v>
      </c>
      <c r="G101" s="84">
        <v>0.16</v>
      </c>
      <c r="H101" s="86">
        <v>4.7</v>
      </c>
      <c r="I101" s="113">
        <f t="shared" si="11"/>
        <v>-1.2180944063908501</v>
      </c>
      <c r="J101" s="116">
        <f t="shared" si="12"/>
        <v>140.62775345899095</v>
      </c>
      <c r="K101" s="117">
        <f t="shared" si="13"/>
        <v>142.84357512568454</v>
      </c>
      <c r="L101" s="111"/>
      <c r="M101" s="77"/>
    </row>
    <row r="102" spans="1:13" s="75" customFormat="1" ht="27.6" x14ac:dyDescent="0.25">
      <c r="A102" s="107" t="s">
        <v>21</v>
      </c>
      <c r="B102" s="108" t="s">
        <v>23</v>
      </c>
      <c r="C102" s="84">
        <v>29.7</v>
      </c>
      <c r="D102" s="85">
        <v>27976.11</v>
      </c>
      <c r="E102" s="86">
        <f t="shared" si="10"/>
        <v>2.7976110000000003</v>
      </c>
      <c r="F102" s="84">
        <v>5.65</v>
      </c>
      <c r="G102" s="84">
        <v>0.15</v>
      </c>
      <c r="H102" s="86">
        <v>3.68</v>
      </c>
      <c r="I102" s="113">
        <f t="shared" si="11"/>
        <v>-1.2385953489610364</v>
      </c>
      <c r="J102" s="116">
        <f t="shared" si="12"/>
        <v>139.66215906393518</v>
      </c>
      <c r="K102" s="117">
        <f t="shared" si="13"/>
        <v>141.57866696910406</v>
      </c>
      <c r="L102" s="111"/>
      <c r="M102" s="77"/>
    </row>
    <row r="103" spans="1:13" s="75" customFormat="1" ht="27.6" x14ac:dyDescent="0.25">
      <c r="A103" s="107" t="s">
        <v>21</v>
      </c>
      <c r="B103" s="108" t="s">
        <v>23</v>
      </c>
      <c r="C103" s="84">
        <v>27.51</v>
      </c>
      <c r="D103" s="85">
        <v>27680.29</v>
      </c>
      <c r="E103" s="86">
        <f t="shared" si="10"/>
        <v>2.7680290000000003</v>
      </c>
      <c r="F103" s="84">
        <v>6.51</v>
      </c>
      <c r="G103" s="84">
        <v>0.21</v>
      </c>
      <c r="H103" s="86">
        <v>4.63</v>
      </c>
      <c r="I103" s="113">
        <f t="shared" si="11"/>
        <v>-1.1394091351221012</v>
      </c>
      <c r="J103" s="116">
        <f t="shared" si="12"/>
        <v>144.33382973574902</v>
      </c>
      <c r="K103" s="117">
        <f t="shared" si="13"/>
        <v>147.69845636296637</v>
      </c>
      <c r="L103" s="111"/>
      <c r="M103" s="77"/>
    </row>
    <row r="104" spans="1:13" s="75" customFormat="1" ht="27.6" x14ac:dyDescent="0.25">
      <c r="A104" s="107" t="s">
        <v>21</v>
      </c>
      <c r="B104" s="108" t="s">
        <v>23</v>
      </c>
      <c r="C104" s="84">
        <v>24.38</v>
      </c>
      <c r="D104" s="85">
        <v>26246.2</v>
      </c>
      <c r="E104" s="86">
        <f t="shared" si="10"/>
        <v>2.6246200000000002</v>
      </c>
      <c r="F104" s="84">
        <v>8.99</v>
      </c>
      <c r="G104" s="84">
        <v>0.14000000000000001</v>
      </c>
      <c r="H104" s="86">
        <v>3.87</v>
      </c>
      <c r="I104" s="113">
        <f t="shared" si="11"/>
        <v>-1.0940369880749872</v>
      </c>
      <c r="J104" s="116">
        <f t="shared" si="12"/>
        <v>146.47085786166809</v>
      </c>
      <c r="K104" s="117">
        <f t="shared" si="13"/>
        <v>150.49791783577331</v>
      </c>
      <c r="L104" s="111"/>
      <c r="M104" s="77"/>
    </row>
    <row r="105" spans="1:13" s="75" customFormat="1" ht="27.6" x14ac:dyDescent="0.25">
      <c r="A105" s="107" t="s">
        <v>21</v>
      </c>
      <c r="B105" s="108" t="s">
        <v>23</v>
      </c>
      <c r="C105" s="84">
        <v>34.29</v>
      </c>
      <c r="D105" s="85">
        <v>29739.51</v>
      </c>
      <c r="E105" s="86">
        <f t="shared" si="10"/>
        <v>2.973951</v>
      </c>
      <c r="F105" s="84">
        <v>52.96</v>
      </c>
      <c r="G105" s="84">
        <v>2.95</v>
      </c>
      <c r="H105" s="86">
        <v>0.13300000000000001</v>
      </c>
      <c r="I105" s="113">
        <f t="shared" si="11"/>
        <v>0.22297937376733537</v>
      </c>
      <c r="J105" s="116">
        <f t="shared" si="12"/>
        <v>208.50232850444149</v>
      </c>
      <c r="K105" s="117">
        <f t="shared" si="13"/>
        <v>231.75782736144458</v>
      </c>
      <c r="L105" s="111"/>
      <c r="M105" s="77"/>
    </row>
    <row r="106" spans="1:13" s="75" customFormat="1" ht="27.6" x14ac:dyDescent="0.25">
      <c r="A106" s="107" t="s">
        <v>21</v>
      </c>
      <c r="B106" s="108" t="s">
        <v>23</v>
      </c>
      <c r="C106" s="84">
        <v>31.54</v>
      </c>
      <c r="D106" s="85">
        <v>30501.15</v>
      </c>
      <c r="E106" s="86">
        <f t="shared" si="10"/>
        <v>3.0501150000000004</v>
      </c>
      <c r="F106" s="84">
        <v>124.97</v>
      </c>
      <c r="G106" s="84">
        <v>0.45</v>
      </c>
      <c r="H106" s="86">
        <v>0.36599999999999999</v>
      </c>
      <c r="I106" s="113">
        <f t="shared" si="11"/>
        <v>-0.10579971867733122</v>
      </c>
      <c r="J106" s="116">
        <f t="shared" si="12"/>
        <v>193.01683325029771</v>
      </c>
      <c r="K106" s="117">
        <f t="shared" si="13"/>
        <v>211.47215735760867</v>
      </c>
      <c r="L106" s="111"/>
      <c r="M106" s="77"/>
    </row>
    <row r="107" spans="1:13" s="75" customFormat="1" ht="27.6" x14ac:dyDescent="0.25">
      <c r="A107" s="109" t="s">
        <v>21</v>
      </c>
      <c r="B107" s="110" t="s">
        <v>23</v>
      </c>
      <c r="C107" s="87">
        <v>32.299999999999997</v>
      </c>
      <c r="D107" s="88">
        <v>30200.11</v>
      </c>
      <c r="E107" s="91">
        <f t="shared" si="10"/>
        <v>3.0200110000000002</v>
      </c>
      <c r="F107" s="87">
        <v>129.68</v>
      </c>
      <c r="G107" s="87">
        <v>0.13</v>
      </c>
      <c r="H107" s="91">
        <v>0.35899999999999999</v>
      </c>
      <c r="I107" s="114">
        <f t="shared" si="11"/>
        <v>-0.36980541262598032</v>
      </c>
      <c r="J107" s="116">
        <f t="shared" si="12"/>
        <v>180.58216506531633</v>
      </c>
      <c r="K107" s="117">
        <f t="shared" si="13"/>
        <v>195.18300604097701</v>
      </c>
      <c r="L107" s="111"/>
      <c r="M107" s="77"/>
    </row>
    <row r="108" spans="1:13" s="75" customFormat="1" x14ac:dyDescent="0.25">
      <c r="A108" s="107" t="s">
        <v>24</v>
      </c>
      <c r="B108" s="107" t="s">
        <v>18</v>
      </c>
      <c r="C108" s="84">
        <v>256.58</v>
      </c>
      <c r="D108" s="85">
        <v>26504.44</v>
      </c>
      <c r="E108" s="86">
        <f t="shared" si="10"/>
        <v>2.6504439999999998</v>
      </c>
      <c r="F108" s="84">
        <v>1.17</v>
      </c>
      <c r="G108" s="86">
        <v>0.17399999999999999</v>
      </c>
      <c r="H108" s="86">
        <v>0.59699999999999998</v>
      </c>
      <c r="I108" s="113">
        <f t="shared" si="11"/>
        <v>-1.7635681280195261</v>
      </c>
      <c r="J108" s="116">
        <f t="shared" ref="J108:J139" si="14">((54.4+7.3)*I108)+(208+10)</f>
        <v>109.18784650119525</v>
      </c>
      <c r="K108" s="117">
        <v>114.93594117028032</v>
      </c>
      <c r="L108" s="112"/>
      <c r="M108" s="77"/>
    </row>
    <row r="109" spans="1:13" s="75" customFormat="1" x14ac:dyDescent="0.25">
      <c r="A109" s="107" t="s">
        <v>24</v>
      </c>
      <c r="B109" s="107" t="s">
        <v>18</v>
      </c>
      <c r="C109" s="84">
        <v>252.25</v>
      </c>
      <c r="D109" s="85">
        <v>25238.84</v>
      </c>
      <c r="E109" s="86">
        <f t="shared" si="10"/>
        <v>2.5238840000000002</v>
      </c>
      <c r="F109" s="84">
        <v>1.24</v>
      </c>
      <c r="G109" s="86">
        <v>0.19800000000000001</v>
      </c>
      <c r="H109" s="86">
        <v>0.52400000000000002</v>
      </c>
      <c r="I109" s="113">
        <f t="shared" si="11"/>
        <v>-1.6865036719276565</v>
      </c>
      <c r="J109" s="116">
        <f t="shared" si="14"/>
        <v>113.9427234420636</v>
      </c>
      <c r="K109" s="117">
        <v>118.56567705220738</v>
      </c>
      <c r="L109" s="112"/>
      <c r="M109" s="77"/>
    </row>
    <row r="110" spans="1:13" s="75" customFormat="1" x14ac:dyDescent="0.25">
      <c r="A110" s="107" t="s">
        <v>24</v>
      </c>
      <c r="B110" s="107" t="s">
        <v>18</v>
      </c>
      <c r="C110" s="84">
        <v>267.42</v>
      </c>
      <c r="D110" s="85">
        <v>26750.49</v>
      </c>
      <c r="E110" s="86">
        <f t="shared" si="10"/>
        <v>2.6750490000000005</v>
      </c>
      <c r="F110" s="84">
        <v>0.76</v>
      </c>
      <c r="G110" s="86">
        <v>0.153</v>
      </c>
      <c r="H110" s="86">
        <v>0.55300000000000005</v>
      </c>
      <c r="I110" s="113">
        <f t="shared" si="11"/>
        <v>-1.8900543636776157</v>
      </c>
      <c r="J110" s="116">
        <f t="shared" si="14"/>
        <v>101.38364576109112</v>
      </c>
      <c r="K110" s="117">
        <v>108.97843947078429</v>
      </c>
      <c r="L110" s="112"/>
      <c r="M110" s="77"/>
    </row>
    <row r="111" spans="1:13" s="75" customFormat="1" x14ac:dyDescent="0.25">
      <c r="A111" s="107" t="s">
        <v>24</v>
      </c>
      <c r="B111" s="107" t="s">
        <v>18</v>
      </c>
      <c r="C111" s="84">
        <v>262.52999999999997</v>
      </c>
      <c r="D111" s="85">
        <v>25630.05</v>
      </c>
      <c r="E111" s="86">
        <f t="shared" si="10"/>
        <v>2.563005</v>
      </c>
      <c r="F111" s="84">
        <v>0.87</v>
      </c>
      <c r="G111" s="86">
        <v>0.17299999999999999</v>
      </c>
      <c r="H111" s="86">
        <v>0.54700000000000004</v>
      </c>
      <c r="I111" s="113">
        <f t="shared" si="11"/>
        <v>-1.8125657725624729</v>
      </c>
      <c r="J111" s="116">
        <f t="shared" si="14"/>
        <v>106.16469183289543</v>
      </c>
      <c r="K111" s="117">
        <v>112.62815211230753</v>
      </c>
      <c r="L111" s="112"/>
      <c r="M111" s="77"/>
    </row>
    <row r="112" spans="1:13" s="75" customFormat="1" x14ac:dyDescent="0.25">
      <c r="A112" s="107" t="s">
        <v>24</v>
      </c>
      <c r="B112" s="107" t="s">
        <v>18</v>
      </c>
      <c r="C112" s="84">
        <v>259.95999999999998</v>
      </c>
      <c r="D112" s="85">
        <v>27068.69</v>
      </c>
      <c r="E112" s="86">
        <f t="shared" si="10"/>
        <v>2.7068690000000002</v>
      </c>
      <c r="F112" s="84">
        <v>1.31</v>
      </c>
      <c r="G112" s="86">
        <v>0.16300000000000001</v>
      </c>
      <c r="H112" s="86">
        <v>0.52100000000000002</v>
      </c>
      <c r="I112" s="113">
        <f t="shared" si="11"/>
        <v>-1.748503393592046</v>
      </c>
      <c r="J112" s="116">
        <f t="shared" si="14"/>
        <v>110.11734061537076</v>
      </c>
      <c r="K112" s="117">
        <v>115.64549016181464</v>
      </c>
      <c r="L112" s="112"/>
      <c r="M112" s="77"/>
    </row>
    <row r="113" spans="1:13" s="75" customFormat="1" x14ac:dyDescent="0.25">
      <c r="A113" s="107" t="s">
        <v>24</v>
      </c>
      <c r="B113" s="107" t="s">
        <v>18</v>
      </c>
      <c r="C113" s="84">
        <v>267.72000000000003</v>
      </c>
      <c r="D113" s="85">
        <v>26930.26</v>
      </c>
      <c r="E113" s="86">
        <f t="shared" si="10"/>
        <v>2.6930260000000001</v>
      </c>
      <c r="F113" s="84">
        <v>0.85</v>
      </c>
      <c r="G113" s="86">
        <v>0.16800000000000001</v>
      </c>
      <c r="H113" s="86">
        <v>0.58899999999999997</v>
      </c>
      <c r="I113" s="113">
        <f t="shared" si="11"/>
        <v>-1.8544966048809333</v>
      </c>
      <c r="J113" s="116">
        <f t="shared" si="14"/>
        <v>103.57755947884642</v>
      </c>
      <c r="K113" s="117">
        <v>110.65320991010805</v>
      </c>
      <c r="L113" s="112"/>
      <c r="M113" s="77"/>
    </row>
    <row r="114" spans="1:13" s="75" customFormat="1" x14ac:dyDescent="0.25">
      <c r="A114" s="109" t="s">
        <v>24</v>
      </c>
      <c r="B114" s="109" t="s">
        <v>18</v>
      </c>
      <c r="C114" s="87">
        <v>268.89999999999998</v>
      </c>
      <c r="D114" s="88">
        <v>26568.33</v>
      </c>
      <c r="E114" s="91">
        <f t="shared" si="10"/>
        <v>2.6568330000000002</v>
      </c>
      <c r="F114" s="87">
        <v>1.35</v>
      </c>
      <c r="G114" s="91">
        <v>0.16500000000000001</v>
      </c>
      <c r="H114" s="91">
        <v>0.61599999999999999</v>
      </c>
      <c r="I114" s="114">
        <f t="shared" si="11"/>
        <v>-1.757487025159981</v>
      </c>
      <c r="J114" s="116">
        <f t="shared" si="14"/>
        <v>109.56305054762917</v>
      </c>
      <c r="K114" s="117">
        <v>115.2223611149649</v>
      </c>
      <c r="L114" s="112"/>
      <c r="M114" s="77"/>
    </row>
    <row r="115" spans="1:13" s="75" customFormat="1" x14ac:dyDescent="0.25">
      <c r="A115" s="107" t="s">
        <v>24</v>
      </c>
      <c r="B115" s="107" t="s">
        <v>25</v>
      </c>
      <c r="C115" s="84">
        <v>472.73</v>
      </c>
      <c r="D115" s="85">
        <v>47425.62</v>
      </c>
      <c r="E115" s="86">
        <f t="shared" si="10"/>
        <v>4.7425620000000004</v>
      </c>
      <c r="F115" s="84">
        <v>9.77</v>
      </c>
      <c r="G115" s="86">
        <v>0.22</v>
      </c>
      <c r="H115" s="86">
        <v>0.76400000000000001</v>
      </c>
      <c r="I115" s="113">
        <f t="shared" si="11"/>
        <v>-1.609686408489468</v>
      </c>
      <c r="J115" s="116">
        <f t="shared" si="14"/>
        <v>118.68234859619983</v>
      </c>
      <c r="K115" s="117">
        <v>122.18377016014605</v>
      </c>
      <c r="L115" s="112"/>
      <c r="M115" s="77"/>
    </row>
    <row r="116" spans="1:13" s="75" customFormat="1" x14ac:dyDescent="0.25">
      <c r="A116" s="107" t="s">
        <v>24</v>
      </c>
      <c r="B116" s="107" t="s">
        <v>25</v>
      </c>
      <c r="C116" s="84">
        <v>468.9</v>
      </c>
      <c r="D116" s="85">
        <v>47190.51</v>
      </c>
      <c r="E116" s="86">
        <f t="shared" si="10"/>
        <v>4.7190510000000003</v>
      </c>
      <c r="F116" s="84">
        <v>11.25</v>
      </c>
      <c r="G116" s="86">
        <v>0.21299999999999999</v>
      </c>
      <c r="H116" s="86">
        <v>0.67700000000000005</v>
      </c>
      <c r="I116" s="113">
        <f t="shared" si="11"/>
        <v>-1.5690044175906348</v>
      </c>
      <c r="J116" s="116">
        <f t="shared" si="14"/>
        <v>121.19242743465784</v>
      </c>
      <c r="K116" s="117">
        <v>124.0998919314811</v>
      </c>
      <c r="L116" s="112"/>
      <c r="M116" s="77"/>
    </row>
    <row r="117" spans="1:13" s="75" customFormat="1" x14ac:dyDescent="0.25">
      <c r="A117" s="107" t="s">
        <v>24</v>
      </c>
      <c r="B117" s="107" t="s">
        <v>25</v>
      </c>
      <c r="C117" s="84">
        <v>504.65</v>
      </c>
      <c r="D117" s="85">
        <v>50536.05</v>
      </c>
      <c r="E117" s="86">
        <f t="shared" si="10"/>
        <v>5.0536050000000001</v>
      </c>
      <c r="F117" s="84">
        <v>14.97</v>
      </c>
      <c r="G117" s="86">
        <v>0.184</v>
      </c>
      <c r="H117" s="86">
        <v>0.73799999999999999</v>
      </c>
      <c r="I117" s="113">
        <f t="shared" si="11"/>
        <v>-1.5878811395005044</v>
      </c>
      <c r="J117" s="116">
        <f t="shared" si="14"/>
        <v>120.02773369281888</v>
      </c>
      <c r="K117" s="117">
        <v>123.21079832952624</v>
      </c>
      <c r="L117" s="112"/>
      <c r="M117" s="77"/>
    </row>
    <row r="118" spans="1:13" s="75" customFormat="1" x14ac:dyDescent="0.25">
      <c r="A118" s="109" t="s">
        <v>24</v>
      </c>
      <c r="B118" s="109" t="s">
        <v>25</v>
      </c>
      <c r="C118" s="87">
        <v>551.99</v>
      </c>
      <c r="D118" s="88">
        <v>52250.63</v>
      </c>
      <c r="E118" s="91">
        <f t="shared" si="10"/>
        <v>5.2250629999999996</v>
      </c>
      <c r="F118" s="87">
        <v>14.53</v>
      </c>
      <c r="G118" s="91">
        <v>0.19700000000000001</v>
      </c>
      <c r="H118" s="91">
        <v>0.78500000000000003</v>
      </c>
      <c r="I118" s="114">
        <f t="shared" si="11"/>
        <v>-1.6164947867098018</v>
      </c>
      <c r="J118" s="116">
        <f t="shared" si="14"/>
        <v>118.26227166000524</v>
      </c>
      <c r="K118" s="117">
        <v>121.86309554596833</v>
      </c>
      <c r="L118" s="112"/>
      <c r="M118" s="77"/>
    </row>
    <row r="119" spans="1:13" s="75" customFormat="1" x14ac:dyDescent="0.25">
      <c r="A119" s="107" t="s">
        <v>26</v>
      </c>
      <c r="B119" s="107" t="s">
        <v>18</v>
      </c>
      <c r="C119" s="84">
        <v>229.76</v>
      </c>
      <c r="D119" s="85">
        <v>54426.68</v>
      </c>
      <c r="E119" s="86">
        <f t="shared" si="10"/>
        <v>5.4426680000000003</v>
      </c>
      <c r="F119" s="84">
        <v>2.76</v>
      </c>
      <c r="G119" s="86">
        <v>0.31</v>
      </c>
      <c r="H119" s="86">
        <v>3.4000000000000002E-2</v>
      </c>
      <c r="I119" s="113">
        <f t="shared" si="11"/>
        <v>-1.3766428118543912</v>
      </c>
      <c r="J119" s="116">
        <f t="shared" si="14"/>
        <v>133.06113850858407</v>
      </c>
      <c r="K119" s="117">
        <v>133.16012356165817</v>
      </c>
      <c r="L119" s="112"/>
      <c r="M119" s="77"/>
    </row>
    <row r="120" spans="1:13" s="75" customFormat="1" x14ac:dyDescent="0.25">
      <c r="A120" s="107" t="s">
        <v>26</v>
      </c>
      <c r="B120" s="107" t="s">
        <v>18</v>
      </c>
      <c r="C120" s="84">
        <v>230.31</v>
      </c>
      <c r="D120" s="85">
        <v>53552.27</v>
      </c>
      <c r="E120" s="86">
        <f t="shared" si="10"/>
        <v>5.3552270000000002</v>
      </c>
      <c r="F120" s="84">
        <v>1.83</v>
      </c>
      <c r="G120" s="86">
        <v>0.15</v>
      </c>
      <c r="H120" s="86">
        <v>1.6E-2</v>
      </c>
      <c r="I120" s="113">
        <f t="shared" si="11"/>
        <v>-1.5383208527446515</v>
      </c>
      <c r="J120" s="116">
        <f t="shared" si="14"/>
        <v>123.08560338565501</v>
      </c>
      <c r="K120" s="117">
        <v>125.54508783572692</v>
      </c>
      <c r="L120" s="112"/>
      <c r="M120" s="77"/>
    </row>
    <row r="121" spans="1:13" s="75" customFormat="1" x14ac:dyDescent="0.25">
      <c r="A121" s="107" t="s">
        <v>26</v>
      </c>
      <c r="B121" s="107" t="s">
        <v>18</v>
      </c>
      <c r="C121" s="84">
        <v>236.15</v>
      </c>
      <c r="D121" s="85">
        <v>53617.25</v>
      </c>
      <c r="E121" s="86">
        <f t="shared" si="10"/>
        <v>5.3617249999999999</v>
      </c>
      <c r="F121" s="84">
        <v>2.02</v>
      </c>
      <c r="G121" s="86">
        <v>0.18</v>
      </c>
      <c r="H121" s="86">
        <v>2.3E-2</v>
      </c>
      <c r="I121" s="113">
        <f t="shared" si="11"/>
        <v>-1.5218546521180898</v>
      </c>
      <c r="J121" s="116">
        <f t="shared" si="14"/>
        <v>124.10156796431387</v>
      </c>
      <c r="K121" s="117">
        <v>126.32064588523797</v>
      </c>
      <c r="L121" s="112"/>
      <c r="M121" s="77"/>
    </row>
    <row r="122" spans="1:13" s="75" customFormat="1" x14ac:dyDescent="0.25">
      <c r="A122" s="107" t="s">
        <v>26</v>
      </c>
      <c r="B122" s="107" t="s">
        <v>18</v>
      </c>
      <c r="C122" s="84">
        <v>209.72</v>
      </c>
      <c r="D122" s="85">
        <v>50562.84</v>
      </c>
      <c r="E122" s="86">
        <f t="shared" si="10"/>
        <v>5.0562839999999998</v>
      </c>
      <c r="F122" s="84">
        <v>4.4000000000000004</v>
      </c>
      <c r="G122" s="86">
        <v>0.15</v>
      </c>
      <c r="H122" s="86">
        <v>1.7999999999999999E-2</v>
      </c>
      <c r="I122" s="113">
        <f t="shared" si="11"/>
        <v>-1.3182896475696255</v>
      </c>
      <c r="J122" s="116">
        <f t="shared" si="14"/>
        <v>136.66152874495413</v>
      </c>
      <c r="K122" s="117">
        <v>135.90855759947064</v>
      </c>
      <c r="L122" s="112"/>
      <c r="M122" s="77"/>
    </row>
    <row r="123" spans="1:13" s="75" customFormat="1" x14ac:dyDescent="0.25">
      <c r="A123" s="107" t="s">
        <v>26</v>
      </c>
      <c r="B123" s="107" t="s">
        <v>18</v>
      </c>
      <c r="C123" s="84">
        <v>216.24</v>
      </c>
      <c r="D123" s="85">
        <v>52049.94</v>
      </c>
      <c r="E123" s="86">
        <f t="shared" si="10"/>
        <v>5.2049940000000001</v>
      </c>
      <c r="F123" s="84">
        <v>5.36</v>
      </c>
      <c r="G123" s="86">
        <v>0.18</v>
      </c>
      <c r="H123" s="86">
        <v>1.9E-2</v>
      </c>
      <c r="I123" s="113">
        <f t="shared" si="11"/>
        <v>-1.2575554303274898</v>
      </c>
      <c r="J123" s="116">
        <f t="shared" si="14"/>
        <v>140.40882994879388</v>
      </c>
      <c r="K123" s="117">
        <v>138.76913923157522</v>
      </c>
      <c r="L123" s="112"/>
      <c r="M123" s="77"/>
    </row>
    <row r="124" spans="1:13" s="75" customFormat="1" x14ac:dyDescent="0.25">
      <c r="A124" s="107" t="s">
        <v>26</v>
      </c>
      <c r="B124" s="107" t="s">
        <v>18</v>
      </c>
      <c r="C124" s="84">
        <v>226.83</v>
      </c>
      <c r="D124" s="85">
        <v>48859.5</v>
      </c>
      <c r="E124" s="86">
        <f t="shared" si="10"/>
        <v>4.8859500000000002</v>
      </c>
      <c r="F124" s="84">
        <v>5.08</v>
      </c>
      <c r="G124" s="86">
        <v>0.17</v>
      </c>
      <c r="H124" s="86">
        <v>1.7999999999999999E-2</v>
      </c>
      <c r="I124" s="113">
        <f t="shared" si="11"/>
        <v>-1.2621445916048222</v>
      </c>
      <c r="J124" s="116">
        <f t="shared" si="14"/>
        <v>140.12567869798249</v>
      </c>
      <c r="K124" s="117">
        <v>138.55298973541287</v>
      </c>
      <c r="L124" s="112"/>
      <c r="M124" s="77"/>
    </row>
    <row r="125" spans="1:13" s="75" customFormat="1" x14ac:dyDescent="0.25">
      <c r="A125" s="107" t="s">
        <v>26</v>
      </c>
      <c r="B125" s="107" t="s">
        <v>18</v>
      </c>
      <c r="C125" s="84">
        <v>208.11</v>
      </c>
      <c r="D125" s="85">
        <v>47230.2</v>
      </c>
      <c r="E125" s="86">
        <f t="shared" si="10"/>
        <v>4.72302</v>
      </c>
      <c r="F125" s="84">
        <v>1.76</v>
      </c>
      <c r="G125" s="86">
        <v>0.18</v>
      </c>
      <c r="H125" s="86">
        <v>0.03</v>
      </c>
      <c r="I125" s="113">
        <f t="shared" si="11"/>
        <v>-1.5091845221326936</v>
      </c>
      <c r="J125" s="116">
        <f t="shared" si="14"/>
        <v>124.88331498441281</v>
      </c>
      <c r="K125" s="117">
        <v>126.91740900755013</v>
      </c>
      <c r="L125" s="112"/>
      <c r="M125" s="77"/>
    </row>
    <row r="126" spans="1:13" s="75" customFormat="1" x14ac:dyDescent="0.25">
      <c r="A126" s="107" t="s">
        <v>26</v>
      </c>
      <c r="B126" s="107" t="s">
        <v>18</v>
      </c>
      <c r="C126" s="84">
        <v>177.46</v>
      </c>
      <c r="D126" s="85">
        <v>42421.27</v>
      </c>
      <c r="E126" s="86">
        <f t="shared" si="10"/>
        <v>4.242127</v>
      </c>
      <c r="F126" s="84">
        <v>0.53</v>
      </c>
      <c r="G126" s="86">
        <v>0.18</v>
      </c>
      <c r="H126" s="86">
        <v>2.7E-2</v>
      </c>
      <c r="I126" s="113">
        <f t="shared" si="11"/>
        <v>-1.6900408688989388</v>
      </c>
      <c r="J126" s="116">
        <f t="shared" si="14"/>
        <v>113.72447838893548</v>
      </c>
      <c r="K126" s="117">
        <v>118.39907507485998</v>
      </c>
      <c r="L126" s="112"/>
      <c r="M126" s="77"/>
    </row>
    <row r="127" spans="1:13" s="75" customFormat="1" x14ac:dyDescent="0.25">
      <c r="A127" s="109" t="s">
        <v>26</v>
      </c>
      <c r="B127" s="109" t="s">
        <v>18</v>
      </c>
      <c r="C127" s="87">
        <v>206.92</v>
      </c>
      <c r="D127" s="88">
        <v>43397.11</v>
      </c>
      <c r="E127" s="91">
        <f t="shared" si="10"/>
        <v>4.3397110000000003</v>
      </c>
      <c r="F127" s="87">
        <v>3.37</v>
      </c>
      <c r="G127" s="91">
        <v>0.16</v>
      </c>
      <c r="H127" s="91">
        <v>2.4E-2</v>
      </c>
      <c r="I127" s="114">
        <f t="shared" si="11"/>
        <v>-1.335175277674133</v>
      </c>
      <c r="J127" s="116">
        <f t="shared" si="14"/>
        <v>135.61968536750601</v>
      </c>
      <c r="K127" s="117">
        <v>135.11324442154833</v>
      </c>
      <c r="L127" s="112"/>
      <c r="M127" s="77"/>
    </row>
    <row r="128" spans="1:13" s="75" customFormat="1" x14ac:dyDescent="0.25">
      <c r="A128" s="107" t="s">
        <v>27</v>
      </c>
      <c r="B128" s="107" t="s">
        <v>25</v>
      </c>
      <c r="C128" s="84">
        <v>284.56</v>
      </c>
      <c r="D128" s="85">
        <v>37708.550000000003</v>
      </c>
      <c r="E128" s="86">
        <f t="shared" si="10"/>
        <v>3.7708550000000005</v>
      </c>
      <c r="F128" s="84">
        <v>1.04</v>
      </c>
      <c r="G128" s="86">
        <v>0.13400000000000001</v>
      </c>
      <c r="H128" s="86">
        <v>1.07</v>
      </c>
      <c r="I128" s="113">
        <f t="shared" si="11"/>
        <v>-2.0622857788464861</v>
      </c>
      <c r="J128" s="116">
        <f t="shared" si="14"/>
        <v>90.75696744517181</v>
      </c>
      <c r="K128" s="117">
        <v>100.86633981633049</v>
      </c>
      <c r="L128" s="112"/>
      <c r="M128" s="77"/>
    </row>
    <row r="129" spans="1:13" s="75" customFormat="1" x14ac:dyDescent="0.25">
      <c r="A129" s="107" t="s">
        <v>27</v>
      </c>
      <c r="B129" s="107" t="s">
        <v>25</v>
      </c>
      <c r="C129" s="84">
        <v>289.41000000000003</v>
      </c>
      <c r="D129" s="85">
        <v>38062.39</v>
      </c>
      <c r="E129" s="86">
        <f t="shared" si="10"/>
        <v>3.8062390000000001</v>
      </c>
      <c r="F129" s="84">
        <v>1.31</v>
      </c>
      <c r="G129" s="86">
        <v>0.11799999999999999</v>
      </c>
      <c r="H129" s="86">
        <v>1.02</v>
      </c>
      <c r="I129" s="113">
        <f t="shared" si="11"/>
        <v>-2.0410541145001213</v>
      </c>
      <c r="J129" s="116">
        <f t="shared" si="14"/>
        <v>92.066961135342524</v>
      </c>
      <c r="K129" s="117">
        <v>101.86635120704429</v>
      </c>
      <c r="L129" s="112"/>
      <c r="M129" s="77"/>
    </row>
    <row r="130" spans="1:13" s="75" customFormat="1" x14ac:dyDescent="0.25">
      <c r="A130" s="107" t="s">
        <v>27</v>
      </c>
      <c r="B130" s="107" t="s">
        <v>25</v>
      </c>
      <c r="C130" s="84">
        <v>288.52</v>
      </c>
      <c r="D130" s="85">
        <v>36511.99</v>
      </c>
      <c r="E130" s="86">
        <f t="shared" si="10"/>
        <v>3.6511990000000001</v>
      </c>
      <c r="F130" s="84">
        <v>0.9</v>
      </c>
      <c r="G130" s="86">
        <v>0.14699999999999999</v>
      </c>
      <c r="H130" s="86">
        <v>1.07</v>
      </c>
      <c r="I130" s="113">
        <f t="shared" si="11"/>
        <v>-2.0645562131058024</v>
      </c>
      <c r="J130" s="116">
        <f t="shared" si="14"/>
        <v>90.616881651371997</v>
      </c>
      <c r="K130" s="117">
        <v>100.7594023627167</v>
      </c>
      <c r="L130" s="112"/>
      <c r="M130" s="77"/>
    </row>
    <row r="131" spans="1:13" s="75" customFormat="1" x14ac:dyDescent="0.25">
      <c r="A131" s="107" t="s">
        <v>27</v>
      </c>
      <c r="B131" s="107" t="s">
        <v>25</v>
      </c>
      <c r="C131" s="84">
        <v>299.87</v>
      </c>
      <c r="D131" s="85">
        <v>37485.550000000003</v>
      </c>
      <c r="E131" s="86">
        <f t="shared" ref="E131:E146" si="15">D131*0.0001</f>
        <v>3.7485550000000005</v>
      </c>
      <c r="F131" s="84">
        <v>1.02</v>
      </c>
      <c r="G131" s="86">
        <v>0.13700000000000001</v>
      </c>
      <c r="H131" s="86">
        <v>1.08</v>
      </c>
      <c r="I131" s="113">
        <f t="shared" ref="I131:I146" si="16">LN(((F131)^0.22)*((G131)^0.22)/(((E131)^0.37)*((C131)^0.2)*((H131)^0.11)))</f>
        <v>-2.0709963636790043</v>
      </c>
      <c r="J131" s="116">
        <f t="shared" si="14"/>
        <v>90.21952436100544</v>
      </c>
      <c r="K131" s="117">
        <v>100.45607127071889</v>
      </c>
      <c r="L131" s="112"/>
      <c r="M131" s="77"/>
    </row>
    <row r="132" spans="1:13" s="75" customFormat="1" x14ac:dyDescent="0.25">
      <c r="A132" s="107" t="s">
        <v>27</v>
      </c>
      <c r="B132" s="107" t="s">
        <v>25</v>
      </c>
      <c r="C132" s="84">
        <v>306.74</v>
      </c>
      <c r="D132" s="85">
        <v>41096.160000000003</v>
      </c>
      <c r="E132" s="86">
        <f t="shared" si="15"/>
        <v>4.1096160000000008</v>
      </c>
      <c r="F132" s="84">
        <v>1.41</v>
      </c>
      <c r="G132" s="86">
        <v>0.113</v>
      </c>
      <c r="H132" s="86">
        <v>1.1000000000000001</v>
      </c>
      <c r="I132" s="113">
        <f t="shared" si="16"/>
        <v>-2.0827072723064695</v>
      </c>
      <c r="J132" s="116">
        <f t="shared" si="14"/>
        <v>89.496961298690849</v>
      </c>
      <c r="K132" s="117">
        <v>99.904487474365283</v>
      </c>
      <c r="L132" s="112"/>
      <c r="M132" s="77"/>
    </row>
    <row r="133" spans="1:13" s="75" customFormat="1" x14ac:dyDescent="0.25">
      <c r="A133" s="107" t="s">
        <v>27</v>
      </c>
      <c r="B133" s="107" t="s">
        <v>25</v>
      </c>
      <c r="C133" s="84">
        <v>277.64</v>
      </c>
      <c r="D133" s="85">
        <v>36674.17</v>
      </c>
      <c r="E133" s="86">
        <f t="shared" si="15"/>
        <v>3.6674169999999999</v>
      </c>
      <c r="F133" s="84">
        <v>1.29</v>
      </c>
      <c r="G133" s="86">
        <v>0.16300000000000001</v>
      </c>
      <c r="H133" s="86">
        <v>1.1000000000000001</v>
      </c>
      <c r="I133" s="113">
        <f t="shared" si="16"/>
        <v>-1.9596194228658781</v>
      </c>
      <c r="J133" s="116">
        <f t="shared" si="14"/>
        <v>97.091481609175332</v>
      </c>
      <c r="K133" s="117">
        <v>105.70192518301714</v>
      </c>
      <c r="L133" s="112"/>
      <c r="M133" s="77"/>
    </row>
    <row r="134" spans="1:13" s="75" customFormat="1" x14ac:dyDescent="0.25">
      <c r="A134" s="107" t="s">
        <v>27</v>
      </c>
      <c r="B134" s="107" t="s">
        <v>25</v>
      </c>
      <c r="C134" s="84">
        <v>281.95999999999998</v>
      </c>
      <c r="D134" s="85">
        <v>37675.89</v>
      </c>
      <c r="E134" s="86">
        <f t="shared" si="15"/>
        <v>3.7675890000000001</v>
      </c>
      <c r="F134" s="84">
        <v>0.74</v>
      </c>
      <c r="G134" s="86">
        <v>0.155</v>
      </c>
      <c r="H134" s="86">
        <v>1.0900000000000001</v>
      </c>
      <c r="I134" s="113">
        <f t="shared" si="16"/>
        <v>-2.1050093975366893</v>
      </c>
      <c r="J134" s="116">
        <f t="shared" si="14"/>
        <v>88.120920171986285</v>
      </c>
      <c r="K134" s="117">
        <v>98.854057376021927</v>
      </c>
      <c r="L134" s="112"/>
      <c r="M134" s="77"/>
    </row>
    <row r="135" spans="1:13" s="75" customFormat="1" x14ac:dyDescent="0.25">
      <c r="A135" s="107" t="s">
        <v>27</v>
      </c>
      <c r="B135" s="107" t="s">
        <v>25</v>
      </c>
      <c r="C135" s="84">
        <v>304.74</v>
      </c>
      <c r="D135" s="85">
        <v>39491.040000000001</v>
      </c>
      <c r="E135" s="86">
        <f t="shared" si="15"/>
        <v>3.9491040000000002</v>
      </c>
      <c r="F135" s="84">
        <v>0.62</v>
      </c>
      <c r="G135" s="86">
        <v>0.124</v>
      </c>
      <c r="H135" s="86">
        <v>1.1000000000000001</v>
      </c>
      <c r="I135" s="113">
        <f t="shared" si="16"/>
        <v>-2.2269788293005481</v>
      </c>
      <c r="J135" s="116">
        <f t="shared" si="14"/>
        <v>80.595406232156193</v>
      </c>
      <c r="K135" s="117">
        <v>93.109297139944175</v>
      </c>
      <c r="L135" s="112"/>
      <c r="M135" s="77"/>
    </row>
    <row r="136" spans="1:13" s="75" customFormat="1" x14ac:dyDescent="0.25">
      <c r="A136" s="107" t="s">
        <v>27</v>
      </c>
      <c r="B136" s="107" t="s">
        <v>25</v>
      </c>
      <c r="C136" s="84">
        <v>263.14999999999998</v>
      </c>
      <c r="D136" s="85">
        <v>41446</v>
      </c>
      <c r="E136" s="86">
        <f t="shared" si="15"/>
        <v>4.1446000000000005</v>
      </c>
      <c r="F136" s="84">
        <v>0.55000000000000004</v>
      </c>
      <c r="G136" s="86">
        <v>0.13500000000000001</v>
      </c>
      <c r="H136" s="86">
        <v>1.07</v>
      </c>
      <c r="I136" s="113">
        <f t="shared" si="16"/>
        <v>-2.220125468362792</v>
      </c>
      <c r="J136" s="116">
        <f t="shared" si="14"/>
        <v>81.018258602015749</v>
      </c>
      <c r="K136" s="117">
        <v>93.432090440112489</v>
      </c>
      <c r="L136" s="112"/>
      <c r="M136" s="77"/>
    </row>
    <row r="137" spans="1:13" s="75" customFormat="1" x14ac:dyDescent="0.25">
      <c r="A137" s="107" t="s">
        <v>27</v>
      </c>
      <c r="B137" s="107" t="s">
        <v>25</v>
      </c>
      <c r="C137" s="84">
        <v>265.61</v>
      </c>
      <c r="D137" s="85">
        <v>35365.86</v>
      </c>
      <c r="E137" s="86">
        <f t="shared" si="15"/>
        <v>3.5365860000000002</v>
      </c>
      <c r="F137" s="84">
        <v>0.6</v>
      </c>
      <c r="G137" s="86">
        <v>0.18</v>
      </c>
      <c r="H137" s="86">
        <v>1.05</v>
      </c>
      <c r="I137" s="113">
        <f t="shared" si="16"/>
        <v>-2.0787799093264043</v>
      </c>
      <c r="J137" s="116">
        <f t="shared" si="14"/>
        <v>89.739279594560855</v>
      </c>
      <c r="K137" s="117">
        <v>100.08946627072635</v>
      </c>
      <c r="L137" s="112"/>
      <c r="M137" s="77"/>
    </row>
    <row r="138" spans="1:13" s="75" customFormat="1" x14ac:dyDescent="0.25">
      <c r="A138" s="107" t="s">
        <v>27</v>
      </c>
      <c r="B138" s="107" t="s">
        <v>25</v>
      </c>
      <c r="C138" s="84">
        <v>243.53</v>
      </c>
      <c r="D138" s="85">
        <v>34996.15</v>
      </c>
      <c r="E138" s="86">
        <f t="shared" si="15"/>
        <v>3.4996150000000004</v>
      </c>
      <c r="F138" s="84">
        <v>0.9</v>
      </c>
      <c r="G138" s="86">
        <v>0.16900000000000001</v>
      </c>
      <c r="H138" s="86">
        <v>1.03</v>
      </c>
      <c r="I138" s="113">
        <f t="shared" si="16"/>
        <v>-1.9800888495327407</v>
      </c>
      <c r="J138" s="116">
        <f t="shared" si="14"/>
        <v>95.828517983829911</v>
      </c>
      <c r="K138" s="117">
        <v>104.73781518700791</v>
      </c>
      <c r="L138" s="112"/>
      <c r="M138" s="77"/>
    </row>
    <row r="139" spans="1:13" s="75" customFormat="1" x14ac:dyDescent="0.25">
      <c r="A139" s="109" t="s">
        <v>27</v>
      </c>
      <c r="B139" s="109" t="s">
        <v>25</v>
      </c>
      <c r="C139" s="87">
        <v>272.95</v>
      </c>
      <c r="D139" s="88">
        <v>33719.78</v>
      </c>
      <c r="E139" s="91">
        <f t="shared" si="15"/>
        <v>3.3719779999999999</v>
      </c>
      <c r="F139" s="87">
        <v>0.89</v>
      </c>
      <c r="G139" s="91">
        <v>0.20100000000000001</v>
      </c>
      <c r="H139" s="91">
        <v>1.07</v>
      </c>
      <c r="I139" s="114">
        <f t="shared" si="16"/>
        <v>-1.9576515190032089</v>
      </c>
      <c r="J139" s="116">
        <f t="shared" si="14"/>
        <v>97.212901277502027</v>
      </c>
      <c r="K139" s="117">
        <v>105.79461345494886</v>
      </c>
      <c r="L139" s="112"/>
      <c r="M139" s="77"/>
    </row>
    <row r="140" spans="1:13" s="75" customFormat="1" x14ac:dyDescent="0.25">
      <c r="A140" s="107" t="s">
        <v>27</v>
      </c>
      <c r="B140" s="107" t="s">
        <v>28</v>
      </c>
      <c r="C140" s="84">
        <v>171.08</v>
      </c>
      <c r="D140" s="85">
        <v>39403.93</v>
      </c>
      <c r="E140" s="86">
        <f t="shared" si="15"/>
        <v>3.9403930000000003</v>
      </c>
      <c r="F140" s="84">
        <v>28.76</v>
      </c>
      <c r="G140" s="86">
        <v>1.0900000000000001</v>
      </c>
      <c r="H140" s="86">
        <v>0.98</v>
      </c>
      <c r="I140" s="113">
        <f t="shared" si="16"/>
        <v>-0.77564182034167051</v>
      </c>
      <c r="J140" s="116">
        <v>161.46727026190732</v>
      </c>
      <c r="K140" s="117">
        <v>170.14289968491892</v>
      </c>
      <c r="L140" s="112"/>
      <c r="M140" s="77"/>
    </row>
    <row r="141" spans="1:13" s="75" customFormat="1" x14ac:dyDescent="0.25">
      <c r="A141" s="107" t="s">
        <v>27</v>
      </c>
      <c r="B141" s="107" t="s">
        <v>28</v>
      </c>
      <c r="C141" s="84">
        <v>138.41</v>
      </c>
      <c r="D141" s="85">
        <v>34549.93</v>
      </c>
      <c r="E141" s="86">
        <f t="shared" si="15"/>
        <v>3.454993</v>
      </c>
      <c r="F141" s="84">
        <v>3.5</v>
      </c>
      <c r="G141" s="86">
        <v>0.69</v>
      </c>
      <c r="H141" s="86">
        <v>0.91</v>
      </c>
      <c r="I141" s="113">
        <f t="shared" si="16"/>
        <v>-1.2404296006091873</v>
      </c>
      <c r="J141" s="116">
        <v>139.57576581130729</v>
      </c>
      <c r="K141" s="117">
        <v>141.46549364241315</v>
      </c>
      <c r="L141" s="112"/>
      <c r="M141" s="77"/>
    </row>
    <row r="142" spans="1:13" s="75" customFormat="1" x14ac:dyDescent="0.25">
      <c r="A142" s="107" t="s">
        <v>27</v>
      </c>
      <c r="B142" s="107" t="s">
        <v>28</v>
      </c>
      <c r="C142" s="84">
        <v>163.07</v>
      </c>
      <c r="D142" s="85">
        <v>39555.65</v>
      </c>
      <c r="E142" s="86">
        <f t="shared" si="15"/>
        <v>3.9555650000000004</v>
      </c>
      <c r="F142" s="84">
        <v>10.48</v>
      </c>
      <c r="G142" s="86">
        <v>0.67100000000000004</v>
      </c>
      <c r="H142" s="86">
        <v>0.88</v>
      </c>
      <c r="I142" s="113">
        <f t="shared" si="16"/>
        <v>-1.0844637581333778</v>
      </c>
      <c r="J142" s="116">
        <v>146.9217569919179</v>
      </c>
      <c r="K142" s="117">
        <v>151.08858612317061</v>
      </c>
      <c r="L142" s="112"/>
      <c r="M142" s="77"/>
    </row>
    <row r="143" spans="1:13" s="75" customFormat="1" x14ac:dyDescent="0.25">
      <c r="A143" s="107" t="s">
        <v>27</v>
      </c>
      <c r="B143" s="107" t="s">
        <v>28</v>
      </c>
      <c r="C143" s="84">
        <v>162.13999999999999</v>
      </c>
      <c r="D143" s="85">
        <v>44963.63</v>
      </c>
      <c r="E143" s="86">
        <f t="shared" si="15"/>
        <v>4.4963629999999997</v>
      </c>
      <c r="F143" s="84">
        <v>6.42</v>
      </c>
      <c r="G143" s="86">
        <v>0.69799999999999995</v>
      </c>
      <c r="H143" s="86">
        <v>0.94</v>
      </c>
      <c r="I143" s="113">
        <f t="shared" si="16"/>
        <v>-1.2371211840504206</v>
      </c>
      <c r="J143" s="116">
        <v>139.73159223122519</v>
      </c>
      <c r="K143" s="117">
        <v>141.66962294408904</v>
      </c>
      <c r="L143" s="112"/>
      <c r="M143" s="77"/>
    </row>
    <row r="144" spans="1:13" s="75" customFormat="1" x14ac:dyDescent="0.25">
      <c r="A144" s="107" t="s">
        <v>27</v>
      </c>
      <c r="B144" s="107" t="s">
        <v>28</v>
      </c>
      <c r="C144" s="84">
        <v>138.41</v>
      </c>
      <c r="D144" s="85">
        <v>35202.21</v>
      </c>
      <c r="E144" s="86">
        <f t="shared" si="15"/>
        <v>3.5202210000000003</v>
      </c>
      <c r="F144" s="84">
        <v>19.399999999999999</v>
      </c>
      <c r="G144" s="86">
        <v>1.1000000000000001</v>
      </c>
      <c r="H144" s="86">
        <v>0.84</v>
      </c>
      <c r="I144" s="113">
        <f t="shared" si="16"/>
        <v>-0.75919066784373113</v>
      </c>
      <c r="J144" s="116">
        <v>162.24211954456027</v>
      </c>
      <c r="K144" s="117">
        <v>171.1579357940418</v>
      </c>
      <c r="L144" s="112"/>
      <c r="M144" s="77"/>
    </row>
    <row r="145" spans="1:17" x14ac:dyDescent="0.25">
      <c r="A145" s="107" t="s">
        <v>27</v>
      </c>
      <c r="B145" s="107" t="s">
        <v>28</v>
      </c>
      <c r="C145" s="84">
        <v>159.19</v>
      </c>
      <c r="D145" s="85">
        <v>33096.32</v>
      </c>
      <c r="E145" s="86">
        <f t="shared" si="15"/>
        <v>3.3096320000000001</v>
      </c>
      <c r="F145" s="84">
        <v>1.68</v>
      </c>
      <c r="G145" s="86">
        <v>0.69399999999999995</v>
      </c>
      <c r="H145" s="86">
        <v>0.96</v>
      </c>
      <c r="I145" s="113">
        <f t="shared" si="16"/>
        <v>-1.418586659424794</v>
      </c>
      <c r="J145" s="116">
        <v>131.18456834109219</v>
      </c>
      <c r="K145" s="117">
        <v>130.47320311349023</v>
      </c>
      <c r="L145" s="112"/>
      <c r="N145" s="75"/>
      <c r="O145" s="75"/>
      <c r="P145" s="75"/>
      <c r="Q145" s="75"/>
    </row>
    <row r="146" spans="1:17" ht="14.4" thickBot="1" x14ac:dyDescent="0.3">
      <c r="A146" s="119" t="s">
        <v>27</v>
      </c>
      <c r="B146" s="119" t="s">
        <v>28</v>
      </c>
      <c r="C146" s="120">
        <v>140.93</v>
      </c>
      <c r="D146" s="121">
        <v>41610.94</v>
      </c>
      <c r="E146" s="122">
        <f t="shared" si="15"/>
        <v>4.1610940000000003</v>
      </c>
      <c r="F146" s="120">
        <v>13.74</v>
      </c>
      <c r="G146" s="122">
        <v>1.21</v>
      </c>
      <c r="H146" s="122">
        <v>0.91</v>
      </c>
      <c r="I146" s="123">
        <f t="shared" si="16"/>
        <v>-0.88841139326375762</v>
      </c>
      <c r="J146" s="124">
        <v>156.15582337727702</v>
      </c>
      <c r="K146" s="125">
        <v>163.18501703562617</v>
      </c>
      <c r="L146" s="112"/>
      <c r="N146" s="75"/>
      <c r="O146" s="75"/>
      <c r="P146" s="75"/>
      <c r="Q146" s="75"/>
    </row>
    <row r="147" spans="1:17" x14ac:dyDescent="0.25">
      <c r="E147" s="28"/>
    </row>
    <row r="148" spans="1:17" x14ac:dyDescent="0.25">
      <c r="E148" s="28"/>
    </row>
    <row r="149" spans="1:17" x14ac:dyDescent="0.25">
      <c r="E149" s="28"/>
    </row>
    <row r="150" spans="1:17" x14ac:dyDescent="0.25">
      <c r="E150" s="28"/>
    </row>
    <row r="151" spans="1:17" x14ac:dyDescent="0.25">
      <c r="E151" s="28"/>
    </row>
    <row r="152" spans="1:17" x14ac:dyDescent="0.25">
      <c r="E152" s="28"/>
    </row>
    <row r="153" spans="1:17" x14ac:dyDescent="0.25">
      <c r="E153" s="28"/>
    </row>
    <row r="154" spans="1:17" x14ac:dyDescent="0.25">
      <c r="E154" s="28"/>
    </row>
    <row r="155" spans="1:17" x14ac:dyDescent="0.25">
      <c r="E155" s="28"/>
    </row>
    <row r="156" spans="1:17" x14ac:dyDescent="0.25">
      <c r="E156" s="28"/>
    </row>
    <row r="157" spans="1:17" x14ac:dyDescent="0.25">
      <c r="E157" s="28"/>
    </row>
    <row r="158" spans="1:17" x14ac:dyDescent="0.25">
      <c r="E158" s="28"/>
    </row>
    <row r="160" spans="1:17" x14ac:dyDescent="0.25">
      <c r="A160" s="145"/>
      <c r="O160" s="146"/>
      <c r="P160" s="146"/>
    </row>
    <row r="161" spans="1:1" x14ac:dyDescent="0.25">
      <c r="A161" s="145"/>
    </row>
    <row r="162" spans="1:1" x14ac:dyDescent="0.25">
      <c r="A162" s="145"/>
    </row>
  </sheetData>
  <mergeCells count="18">
    <mergeCell ref="O1:P1"/>
    <mergeCell ref="O2:O5"/>
    <mergeCell ref="O6:O9"/>
    <mergeCell ref="AM8:AM18"/>
    <mergeCell ref="AH9:AH10"/>
    <mergeCell ref="O10:O13"/>
    <mergeCell ref="AH13:AH14"/>
    <mergeCell ref="O14:O16"/>
    <mergeCell ref="AH17:AH18"/>
    <mergeCell ref="O18:O20"/>
    <mergeCell ref="A160:A162"/>
    <mergeCell ref="O160:P160"/>
    <mergeCell ref="AH23:AH25"/>
    <mergeCell ref="AM23:AM33"/>
    <mergeCell ref="AH27:AH29"/>
    <mergeCell ref="AH31:AH33"/>
    <mergeCell ref="AI35:AI37"/>
    <mergeCell ref="AI39:AI4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402FCB-6B8C-4AE2-BFF2-16D8C048A7E7}"/>
</file>

<file path=customXml/itemProps2.xml><?xml version="1.0" encoding="utf-8"?>
<ds:datastoreItem xmlns:ds="http://schemas.openxmlformats.org/officeDocument/2006/customXml" ds:itemID="{3B3FC934-C30C-421B-B8A0-8693433DAD0E}"/>
</file>

<file path=customXml/itemProps3.xml><?xml version="1.0" encoding="utf-8"?>
<ds:datastoreItem xmlns:ds="http://schemas.openxmlformats.org/officeDocument/2006/customXml" ds:itemID="{61946279-DF68-4B67-B478-30D2E59610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 S1</vt:lpstr>
      <vt:lpstr>Table S2</vt:lpstr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Alexandre Cugeone</cp:lastModifiedBy>
  <cp:lastPrinted>2020-03-30T10:43:11Z</cp:lastPrinted>
  <dcterms:created xsi:type="dcterms:W3CDTF">2019-07-30T08:52:00Z</dcterms:created>
  <dcterms:modified xsi:type="dcterms:W3CDTF">2020-06-06T14:18:05Z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