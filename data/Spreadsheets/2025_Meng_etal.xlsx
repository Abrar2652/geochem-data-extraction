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/>
  <mc:AlternateContent xmlns:mc="http://schemas.openxmlformats.org/markup-compatibility/2006">
    <mc:Choice Requires="x15">
      <x15ac:absPath xmlns:x15ac="http://schemas.microsoft.com/office/spreadsheetml/2010/11/ac" url="D:\南大西洋黄铁矿-白铁矿\投稿\GCA-\"/>
    </mc:Choice>
  </mc:AlternateContent>
  <xr:revisionPtr revIDLastSave="0" documentId="8_{2DD2A7E3-476B-4A98-935E-4C71FAF8DDD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Information" sheetId="4" r:id="rId1"/>
    <sheet name="Table S1 EPMA data" sheetId="2" r:id="rId2"/>
    <sheet name="Table S2 LA-ICP-MS data-DOL-Err" sheetId="1" r:id="rId3"/>
    <sheet name="Table S3 LA-ICP-MS Standard" sheetId="6" r:id="rId4"/>
    <sheet name="Table S4 sulfur isotope data" sheetId="3" r:id="rId5"/>
  </sheets>
  <definedNames>
    <definedName name="_Hlk114133766" localSheetId="0">Information!#REF!</definedName>
    <definedName name="_Hlk138799418" localSheetId="0">Information!#REF!</definedName>
    <definedName name="OLE_LINK1" localSheetId="0">Information!$A$1</definedName>
    <definedName name="OLE_LINK142" localSheetId="0">Information!#REF!</definedName>
    <definedName name="OLE_LINK144" localSheetId="0">Information!$A$5</definedName>
    <definedName name="OLE_LINK20" localSheetId="0">Information!$A$3</definedName>
    <definedName name="OLE_LINK23" localSheetId="0">Information!$A$7</definedName>
    <definedName name="OLE_LINK3" localSheetId="0">Information!#REF!</definedName>
    <definedName name="OLE_LINK85" localSheetId="0">Information!#REF!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8" i="2" l="1"/>
  <c r="H48" i="2"/>
  <c r="AD77" i="1"/>
  <c r="P211" i="1"/>
  <c r="P242" i="1"/>
  <c r="P243" i="1" s="1"/>
  <c r="S224" i="1" l="1"/>
  <c r="S225" i="1"/>
  <c r="S226" i="1"/>
  <c r="G52" i="3" l="1"/>
  <c r="F52" i="3"/>
  <c r="F212" i="1" l="1"/>
  <c r="E211" i="1"/>
  <c r="D211" i="1"/>
  <c r="D172" i="2"/>
  <c r="E172" i="2"/>
  <c r="F172" i="2"/>
  <c r="G172" i="2"/>
  <c r="I172" i="2"/>
  <c r="K172" i="2"/>
  <c r="D173" i="2"/>
  <c r="E173" i="2"/>
  <c r="F173" i="2"/>
  <c r="G173" i="2"/>
  <c r="I173" i="2"/>
  <c r="K173" i="2"/>
  <c r="D174" i="2"/>
  <c r="E174" i="2"/>
  <c r="F174" i="2"/>
  <c r="G174" i="2"/>
  <c r="I174" i="2"/>
  <c r="K174" i="2"/>
  <c r="D175" i="2"/>
  <c r="E175" i="2"/>
  <c r="F175" i="2"/>
  <c r="G175" i="2"/>
  <c r="I175" i="2"/>
  <c r="C175" i="2"/>
  <c r="C174" i="2"/>
  <c r="C173" i="2"/>
  <c r="C172" i="2"/>
  <c r="D160" i="2"/>
  <c r="E160" i="2"/>
  <c r="F160" i="2"/>
  <c r="G160" i="2"/>
  <c r="I160" i="2"/>
  <c r="K160" i="2"/>
  <c r="D161" i="2"/>
  <c r="E161" i="2"/>
  <c r="F161" i="2"/>
  <c r="G161" i="2"/>
  <c r="I161" i="2"/>
  <c r="K161" i="2"/>
  <c r="D162" i="2"/>
  <c r="E162" i="2"/>
  <c r="F162" i="2"/>
  <c r="G162" i="2"/>
  <c r="I162" i="2"/>
  <c r="K162" i="2"/>
  <c r="D163" i="2"/>
  <c r="E163" i="2"/>
  <c r="F163" i="2"/>
  <c r="G163" i="2"/>
  <c r="I163" i="2"/>
  <c r="K163" i="2"/>
  <c r="C163" i="2"/>
  <c r="C162" i="2"/>
  <c r="C161" i="2"/>
  <c r="C160" i="2"/>
  <c r="D149" i="2"/>
  <c r="E149" i="2"/>
  <c r="F149" i="2"/>
  <c r="G149" i="2"/>
  <c r="H149" i="2"/>
  <c r="I149" i="2"/>
  <c r="K149" i="2"/>
  <c r="D150" i="2"/>
  <c r="E150" i="2"/>
  <c r="F150" i="2"/>
  <c r="G150" i="2"/>
  <c r="H150" i="2"/>
  <c r="I150" i="2"/>
  <c r="K150" i="2"/>
  <c r="D151" i="2"/>
  <c r="E151" i="2"/>
  <c r="F151" i="2"/>
  <c r="G151" i="2"/>
  <c r="H151" i="2"/>
  <c r="I151" i="2"/>
  <c r="K151" i="2"/>
  <c r="D152" i="2"/>
  <c r="E152" i="2"/>
  <c r="F152" i="2"/>
  <c r="G152" i="2"/>
  <c r="H152" i="2"/>
  <c r="K152" i="2"/>
  <c r="C152" i="2"/>
  <c r="C151" i="2"/>
  <c r="C150" i="2"/>
  <c r="C149" i="2"/>
  <c r="L155" i="2"/>
  <c r="L164" i="2"/>
  <c r="L158" i="2"/>
  <c r="L148" i="2"/>
  <c r="L147" i="2"/>
  <c r="L146" i="2"/>
  <c r="L145" i="2"/>
  <c r="L144" i="2"/>
  <c r="L143" i="2"/>
  <c r="L142" i="2"/>
  <c r="L156" i="2"/>
  <c r="L154" i="2"/>
  <c r="L153" i="2"/>
  <c r="G67" i="3"/>
  <c r="F67" i="3"/>
  <c r="G63" i="3"/>
  <c r="G58" i="3"/>
  <c r="F63" i="3"/>
  <c r="F58" i="3"/>
  <c r="AE43" i="1"/>
  <c r="AE202" i="1"/>
  <c r="AE203" i="1"/>
  <c r="AE204" i="1"/>
  <c r="AE206" i="1"/>
  <c r="AE207" i="1"/>
  <c r="AE208" i="1"/>
  <c r="AE209" i="1"/>
  <c r="AE210" i="1"/>
  <c r="AE201" i="1"/>
  <c r="AE215" i="1"/>
  <c r="AE216" i="1"/>
  <c r="AE217" i="1"/>
  <c r="AE218" i="1"/>
  <c r="AE219" i="1"/>
  <c r="AE220" i="1"/>
  <c r="AE221" i="1"/>
  <c r="AE222" i="1"/>
  <c r="AE223" i="1"/>
  <c r="AE214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3" i="1"/>
  <c r="AE114" i="1"/>
  <c r="AE115" i="1"/>
  <c r="AE116" i="1"/>
  <c r="AE117" i="1"/>
  <c r="AE118" i="1"/>
  <c r="AE119" i="1"/>
  <c r="AE120" i="1"/>
  <c r="AE121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8" i="1"/>
  <c r="AE143" i="1"/>
  <c r="AE144" i="1"/>
  <c r="AE146" i="1"/>
  <c r="AE147" i="1"/>
  <c r="AE148" i="1"/>
  <c r="AE150" i="1"/>
  <c r="AE151" i="1"/>
  <c r="AE153" i="1"/>
  <c r="AE92" i="1"/>
  <c r="AE81" i="1"/>
  <c r="AE82" i="1"/>
  <c r="AE83" i="1"/>
  <c r="AE84" i="1"/>
  <c r="AE85" i="1"/>
  <c r="AE86" i="1"/>
  <c r="AE88" i="1"/>
  <c r="AE87" i="1"/>
  <c r="AE80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54" i="1"/>
  <c r="AE55" i="1"/>
  <c r="AE56" i="1"/>
  <c r="AE57" i="1"/>
  <c r="AE58" i="1"/>
  <c r="AE59" i="1"/>
  <c r="AE60" i="1"/>
  <c r="AE61" i="1"/>
  <c r="AE62" i="1"/>
  <c r="AE63" i="1"/>
  <c r="AE64" i="1"/>
  <c r="AE53" i="1"/>
  <c r="AE44" i="1"/>
  <c r="AE45" i="1"/>
  <c r="AE46" i="1"/>
  <c r="AE47" i="1"/>
  <c r="AE48" i="1"/>
  <c r="AE49" i="1"/>
  <c r="AE42" i="1"/>
  <c r="AE29" i="1"/>
  <c r="AE30" i="1"/>
  <c r="AE31" i="1"/>
  <c r="AE32" i="1"/>
  <c r="AE33" i="1"/>
  <c r="AE34" i="1"/>
  <c r="AE35" i="1"/>
  <c r="AE36" i="1"/>
  <c r="AE37" i="1"/>
  <c r="AE38" i="1"/>
  <c r="AE28" i="1"/>
  <c r="AE17" i="1"/>
  <c r="AE18" i="1"/>
  <c r="AE19" i="1"/>
  <c r="AE20" i="1"/>
  <c r="AE21" i="1"/>
  <c r="AE23" i="1"/>
  <c r="AE24" i="1"/>
  <c r="AE22" i="1"/>
  <c r="AE16" i="1"/>
  <c r="AE5" i="1"/>
  <c r="AE6" i="1"/>
  <c r="AE7" i="1"/>
  <c r="AE8" i="1"/>
  <c r="AE9" i="1"/>
  <c r="AE10" i="1"/>
  <c r="AE11" i="1"/>
  <c r="AE12" i="1"/>
  <c r="AE4" i="1"/>
  <c r="G51" i="3"/>
  <c r="F51" i="3"/>
  <c r="C140" i="2"/>
  <c r="C139" i="2"/>
  <c r="C138" i="2"/>
  <c r="C137" i="2"/>
  <c r="C111" i="2"/>
  <c r="C110" i="2"/>
  <c r="C108" i="2"/>
  <c r="C107" i="2"/>
  <c r="D98" i="2"/>
  <c r="E98" i="2"/>
  <c r="F98" i="2"/>
  <c r="G98" i="2"/>
  <c r="H98" i="2"/>
  <c r="I98" i="2"/>
  <c r="J98" i="2"/>
  <c r="K98" i="2"/>
  <c r="D99" i="2"/>
  <c r="E99" i="2"/>
  <c r="F99" i="2"/>
  <c r="G99" i="2"/>
  <c r="H99" i="2"/>
  <c r="I99" i="2"/>
  <c r="J99" i="2"/>
  <c r="K99" i="2"/>
  <c r="D100" i="2"/>
  <c r="E100" i="2"/>
  <c r="F100" i="2"/>
  <c r="G100" i="2"/>
  <c r="H100" i="2"/>
  <c r="I100" i="2"/>
  <c r="J100" i="2"/>
  <c r="K100" i="2"/>
  <c r="D101" i="2"/>
  <c r="E101" i="2"/>
  <c r="F101" i="2"/>
  <c r="G101" i="2"/>
  <c r="H101" i="2"/>
  <c r="I101" i="2"/>
  <c r="J101" i="2"/>
  <c r="K101" i="2"/>
  <c r="C101" i="2"/>
  <c r="C100" i="2"/>
  <c r="C99" i="2"/>
  <c r="C45" i="2"/>
  <c r="C33" i="2"/>
  <c r="C21" i="2"/>
  <c r="C10" i="2"/>
  <c r="D137" i="2"/>
  <c r="E137" i="2"/>
  <c r="F137" i="2"/>
  <c r="G137" i="2"/>
  <c r="I137" i="2"/>
  <c r="J137" i="2"/>
  <c r="K137" i="2"/>
  <c r="D138" i="2"/>
  <c r="E138" i="2"/>
  <c r="F138" i="2"/>
  <c r="G138" i="2"/>
  <c r="I138" i="2"/>
  <c r="J138" i="2"/>
  <c r="K138" i="2"/>
  <c r="D139" i="2"/>
  <c r="E139" i="2"/>
  <c r="F139" i="2"/>
  <c r="G139" i="2"/>
  <c r="I139" i="2"/>
  <c r="J139" i="2"/>
  <c r="K139" i="2"/>
  <c r="D140" i="2"/>
  <c r="E140" i="2"/>
  <c r="F140" i="2"/>
  <c r="G140" i="2"/>
  <c r="I140" i="2"/>
  <c r="J140" i="2"/>
  <c r="K140" i="2"/>
  <c r="C98" i="2"/>
  <c r="D62" i="2"/>
  <c r="E62" i="2"/>
  <c r="F62" i="2"/>
  <c r="G62" i="2"/>
  <c r="I62" i="2"/>
  <c r="J62" i="2"/>
  <c r="K62" i="2"/>
  <c r="D63" i="2"/>
  <c r="E63" i="2"/>
  <c r="F63" i="2"/>
  <c r="G63" i="2"/>
  <c r="I63" i="2"/>
  <c r="J63" i="2"/>
  <c r="K63" i="2"/>
  <c r="D64" i="2"/>
  <c r="E64" i="2"/>
  <c r="F64" i="2"/>
  <c r="G64" i="2"/>
  <c r="I64" i="2"/>
  <c r="J64" i="2"/>
  <c r="K64" i="2"/>
  <c r="D65" i="2"/>
  <c r="E65" i="2"/>
  <c r="F65" i="2"/>
  <c r="G65" i="2"/>
  <c r="I65" i="2"/>
  <c r="J65" i="2"/>
  <c r="K65" i="2"/>
  <c r="C65" i="2"/>
  <c r="C64" i="2"/>
  <c r="C63" i="2"/>
  <c r="C62" i="2"/>
  <c r="D237" i="1"/>
  <c r="D236" i="1"/>
  <c r="D235" i="1"/>
  <c r="E235" i="1"/>
  <c r="F235" i="1"/>
  <c r="G235" i="1"/>
  <c r="H235" i="1"/>
  <c r="I235" i="1"/>
  <c r="J235" i="1"/>
  <c r="K235" i="1"/>
  <c r="L235" i="1"/>
  <c r="AA235" i="1"/>
  <c r="M235" i="1"/>
  <c r="N235" i="1"/>
  <c r="Z235" i="1"/>
  <c r="O235" i="1"/>
  <c r="P235" i="1"/>
  <c r="Q235" i="1"/>
  <c r="R235" i="1"/>
  <c r="S235" i="1"/>
  <c r="T235" i="1"/>
  <c r="U235" i="1"/>
  <c r="V235" i="1"/>
  <c r="W235" i="1"/>
  <c r="X235" i="1"/>
  <c r="Y235" i="1"/>
  <c r="E236" i="1"/>
  <c r="F236" i="1"/>
  <c r="G236" i="1"/>
  <c r="H236" i="1"/>
  <c r="I236" i="1"/>
  <c r="J236" i="1"/>
  <c r="K236" i="1"/>
  <c r="L236" i="1"/>
  <c r="AA236" i="1"/>
  <c r="M236" i="1"/>
  <c r="N236" i="1"/>
  <c r="Z236" i="1"/>
  <c r="O236" i="1"/>
  <c r="P236" i="1"/>
  <c r="Q236" i="1"/>
  <c r="R236" i="1"/>
  <c r="S236" i="1"/>
  <c r="T236" i="1"/>
  <c r="U236" i="1"/>
  <c r="V236" i="1"/>
  <c r="W236" i="1"/>
  <c r="X236" i="1"/>
  <c r="Y236" i="1"/>
  <c r="E237" i="1"/>
  <c r="F237" i="1"/>
  <c r="G237" i="1"/>
  <c r="H237" i="1"/>
  <c r="I237" i="1"/>
  <c r="J237" i="1"/>
  <c r="K237" i="1"/>
  <c r="L237" i="1"/>
  <c r="AA237" i="1"/>
  <c r="M237" i="1"/>
  <c r="N237" i="1"/>
  <c r="Z237" i="1"/>
  <c r="O237" i="1"/>
  <c r="P237" i="1"/>
  <c r="Q237" i="1"/>
  <c r="R237" i="1"/>
  <c r="S237" i="1"/>
  <c r="T237" i="1"/>
  <c r="U237" i="1"/>
  <c r="V237" i="1"/>
  <c r="W237" i="1"/>
  <c r="X237" i="1"/>
  <c r="Y237" i="1"/>
  <c r="L150" i="2" l="1"/>
  <c r="L152" i="2"/>
  <c r="L151" i="2"/>
  <c r="L149" i="2"/>
  <c r="L165" i="2"/>
  <c r="L157" i="2"/>
  <c r="L166" i="2"/>
  <c r="L159" i="2"/>
  <c r="G29" i="3"/>
  <c r="F29" i="3"/>
  <c r="L162" i="2" l="1"/>
  <c r="L160" i="2"/>
  <c r="L163" i="2"/>
  <c r="L161" i="2"/>
  <c r="L167" i="2"/>
  <c r="L168" i="2"/>
  <c r="L169" i="2"/>
  <c r="L170" i="2"/>
  <c r="L171" i="2"/>
  <c r="G46" i="3"/>
  <c r="F46" i="3"/>
  <c r="G16" i="3"/>
  <c r="F16" i="3"/>
  <c r="F23" i="3"/>
  <c r="G7" i="3"/>
  <c r="F242" i="1"/>
  <c r="F243" i="1" s="1"/>
  <c r="G242" i="1"/>
  <c r="G243" i="1" s="1"/>
  <c r="H242" i="1"/>
  <c r="H243" i="1" s="1"/>
  <c r="I242" i="1"/>
  <c r="I243" i="1" s="1"/>
  <c r="J242" i="1"/>
  <c r="J243" i="1" s="1"/>
  <c r="K242" i="1"/>
  <c r="K243" i="1" s="1"/>
  <c r="L242" i="1"/>
  <c r="L243" i="1" s="1"/>
  <c r="AA242" i="1"/>
  <c r="AA243" i="1" s="1"/>
  <c r="M242" i="1"/>
  <c r="M243" i="1" s="1"/>
  <c r="N242" i="1"/>
  <c r="N243" i="1" s="1"/>
  <c r="Z242" i="1"/>
  <c r="Z243" i="1" s="1"/>
  <c r="O242" i="1"/>
  <c r="O243" i="1" s="1"/>
  <c r="Q242" i="1"/>
  <c r="Q243" i="1" s="1"/>
  <c r="R242" i="1"/>
  <c r="R243" i="1" s="1"/>
  <c r="S242" i="1"/>
  <c r="S243" i="1" s="1"/>
  <c r="T242" i="1"/>
  <c r="T243" i="1" s="1"/>
  <c r="U242" i="1"/>
  <c r="U243" i="1" s="1"/>
  <c r="V242" i="1"/>
  <c r="V243" i="1" s="1"/>
  <c r="W242" i="1"/>
  <c r="W243" i="1" s="1"/>
  <c r="X242" i="1"/>
  <c r="X243" i="1" s="1"/>
  <c r="Y242" i="1"/>
  <c r="Y243" i="1" s="1"/>
  <c r="F244" i="1"/>
  <c r="G244" i="1"/>
  <c r="H244" i="1"/>
  <c r="I244" i="1"/>
  <c r="J244" i="1"/>
  <c r="K244" i="1"/>
  <c r="L244" i="1"/>
  <c r="AA244" i="1"/>
  <c r="M244" i="1"/>
  <c r="N244" i="1"/>
  <c r="Z244" i="1"/>
  <c r="O244" i="1"/>
  <c r="P244" i="1"/>
  <c r="Q244" i="1"/>
  <c r="R244" i="1"/>
  <c r="S244" i="1"/>
  <c r="T244" i="1"/>
  <c r="U244" i="1"/>
  <c r="V244" i="1"/>
  <c r="W244" i="1"/>
  <c r="X244" i="1"/>
  <c r="Y244" i="1"/>
  <c r="D244" i="1"/>
  <c r="D242" i="1"/>
  <c r="D243" i="1" s="1"/>
  <c r="E244" i="1"/>
  <c r="E242" i="1"/>
  <c r="E243" i="1" s="1"/>
  <c r="L174" i="2" l="1"/>
  <c r="L172" i="2"/>
  <c r="L175" i="2"/>
  <c r="L173" i="2"/>
  <c r="D13" i="1"/>
  <c r="AA198" i="1"/>
  <c r="AB212" i="1"/>
  <c r="AB211" i="1"/>
  <c r="AB213" i="1"/>
  <c r="AB225" i="1"/>
  <c r="AB224" i="1"/>
  <c r="AB226" i="1"/>
  <c r="Y213" i="1"/>
  <c r="X213" i="1"/>
  <c r="W213" i="1"/>
  <c r="V213" i="1"/>
  <c r="U213" i="1"/>
  <c r="T213" i="1"/>
  <c r="S213" i="1"/>
  <c r="R213" i="1"/>
  <c r="Q213" i="1"/>
  <c r="P213" i="1"/>
  <c r="O213" i="1"/>
  <c r="M213" i="1"/>
  <c r="N213" i="1"/>
  <c r="AA213" i="1"/>
  <c r="L213" i="1"/>
  <c r="K213" i="1"/>
  <c r="J213" i="1"/>
  <c r="I213" i="1"/>
  <c r="H213" i="1"/>
  <c r="G213" i="1"/>
  <c r="F213" i="1"/>
  <c r="E213" i="1"/>
  <c r="D213" i="1"/>
  <c r="Y211" i="1"/>
  <c r="X211" i="1"/>
  <c r="W211" i="1"/>
  <c r="V211" i="1"/>
  <c r="U211" i="1"/>
  <c r="T211" i="1"/>
  <c r="S211" i="1"/>
  <c r="R211" i="1"/>
  <c r="Q211" i="1"/>
  <c r="O211" i="1"/>
  <c r="M211" i="1"/>
  <c r="N211" i="1"/>
  <c r="AA211" i="1"/>
  <c r="L211" i="1"/>
  <c r="K211" i="1"/>
  <c r="J211" i="1"/>
  <c r="I211" i="1"/>
  <c r="H211" i="1"/>
  <c r="G211" i="1"/>
  <c r="F211" i="1"/>
  <c r="Y212" i="1"/>
  <c r="X212" i="1"/>
  <c r="W212" i="1"/>
  <c r="V212" i="1"/>
  <c r="U212" i="1"/>
  <c r="T212" i="1"/>
  <c r="S212" i="1"/>
  <c r="R212" i="1"/>
  <c r="Q212" i="1"/>
  <c r="P212" i="1"/>
  <c r="O212" i="1"/>
  <c r="M212" i="1"/>
  <c r="N212" i="1"/>
  <c r="AA212" i="1"/>
  <c r="L212" i="1"/>
  <c r="K212" i="1"/>
  <c r="J212" i="1"/>
  <c r="I212" i="1"/>
  <c r="H212" i="1"/>
  <c r="G212" i="1"/>
  <c r="E212" i="1"/>
  <c r="D212" i="1"/>
  <c r="AC209" i="1"/>
  <c r="AC208" i="1"/>
  <c r="AD208" i="1"/>
  <c r="AC206" i="1"/>
  <c r="AD204" i="1"/>
  <c r="AD203" i="1"/>
  <c r="AD202" i="1"/>
  <c r="AC201" i="1"/>
  <c r="Y226" i="1"/>
  <c r="X226" i="1"/>
  <c r="W226" i="1"/>
  <c r="V226" i="1"/>
  <c r="U226" i="1"/>
  <c r="T226" i="1"/>
  <c r="R226" i="1"/>
  <c r="Q226" i="1"/>
  <c r="P226" i="1"/>
  <c r="O226" i="1"/>
  <c r="M226" i="1"/>
  <c r="N226" i="1"/>
  <c r="AA226" i="1"/>
  <c r="L226" i="1"/>
  <c r="K226" i="1"/>
  <c r="J226" i="1"/>
  <c r="I226" i="1"/>
  <c r="H226" i="1"/>
  <c r="G226" i="1"/>
  <c r="F226" i="1"/>
  <c r="E226" i="1"/>
  <c r="D226" i="1"/>
  <c r="Y224" i="1"/>
  <c r="X224" i="1"/>
  <c r="W224" i="1"/>
  <c r="V224" i="1"/>
  <c r="U224" i="1"/>
  <c r="T224" i="1"/>
  <c r="R224" i="1"/>
  <c r="Q224" i="1"/>
  <c r="P224" i="1"/>
  <c r="O224" i="1"/>
  <c r="M224" i="1"/>
  <c r="N224" i="1"/>
  <c r="AA224" i="1"/>
  <c r="L224" i="1"/>
  <c r="K224" i="1"/>
  <c r="J224" i="1"/>
  <c r="I224" i="1"/>
  <c r="H224" i="1"/>
  <c r="G224" i="1"/>
  <c r="F224" i="1"/>
  <c r="E224" i="1"/>
  <c r="D224" i="1"/>
  <c r="Y225" i="1"/>
  <c r="X225" i="1"/>
  <c r="W225" i="1"/>
  <c r="V225" i="1"/>
  <c r="U225" i="1"/>
  <c r="T225" i="1"/>
  <c r="R225" i="1"/>
  <c r="Q225" i="1"/>
  <c r="P225" i="1"/>
  <c r="O225" i="1"/>
  <c r="M225" i="1"/>
  <c r="N225" i="1"/>
  <c r="AA225" i="1"/>
  <c r="L225" i="1"/>
  <c r="K225" i="1"/>
  <c r="J225" i="1"/>
  <c r="I225" i="1"/>
  <c r="H225" i="1"/>
  <c r="G225" i="1"/>
  <c r="F225" i="1"/>
  <c r="E225" i="1"/>
  <c r="D225" i="1"/>
  <c r="AC222" i="1"/>
  <c r="AC221" i="1"/>
  <c r="AC217" i="1"/>
  <c r="AC216" i="1"/>
  <c r="E197" i="1"/>
  <c r="F197" i="1"/>
  <c r="G197" i="1"/>
  <c r="H197" i="1"/>
  <c r="I197" i="1"/>
  <c r="J197" i="1"/>
  <c r="K197" i="1"/>
  <c r="L197" i="1"/>
  <c r="AA197" i="1"/>
  <c r="M197" i="1"/>
  <c r="N197" i="1"/>
  <c r="Z197" i="1"/>
  <c r="O197" i="1"/>
  <c r="P197" i="1"/>
  <c r="Q197" i="1"/>
  <c r="R197" i="1"/>
  <c r="S197" i="1"/>
  <c r="T197" i="1"/>
  <c r="U197" i="1"/>
  <c r="V197" i="1"/>
  <c r="W197" i="1"/>
  <c r="X197" i="1"/>
  <c r="Y197" i="1"/>
  <c r="E198" i="1"/>
  <c r="F198" i="1"/>
  <c r="G198" i="1"/>
  <c r="H198" i="1"/>
  <c r="I198" i="1"/>
  <c r="J198" i="1"/>
  <c r="K198" i="1"/>
  <c r="L198" i="1"/>
  <c r="M198" i="1"/>
  <c r="N198" i="1"/>
  <c r="Z198" i="1"/>
  <c r="O198" i="1"/>
  <c r="P198" i="1"/>
  <c r="Q198" i="1"/>
  <c r="R198" i="1"/>
  <c r="S198" i="1"/>
  <c r="T198" i="1"/>
  <c r="U198" i="1"/>
  <c r="V198" i="1"/>
  <c r="W198" i="1"/>
  <c r="X198" i="1"/>
  <c r="Y198" i="1"/>
  <c r="E199" i="1"/>
  <c r="F199" i="1"/>
  <c r="G199" i="1"/>
  <c r="H199" i="1"/>
  <c r="I199" i="1"/>
  <c r="J199" i="1"/>
  <c r="K199" i="1"/>
  <c r="L199" i="1"/>
  <c r="AA199" i="1"/>
  <c r="M199" i="1"/>
  <c r="N199" i="1"/>
  <c r="Z199" i="1"/>
  <c r="O199" i="1"/>
  <c r="P199" i="1"/>
  <c r="Q199" i="1"/>
  <c r="R199" i="1"/>
  <c r="S199" i="1"/>
  <c r="T199" i="1"/>
  <c r="U199" i="1"/>
  <c r="V199" i="1"/>
  <c r="W199" i="1"/>
  <c r="X199" i="1"/>
  <c r="Y199" i="1"/>
  <c r="D199" i="1"/>
  <c r="D198" i="1"/>
  <c r="D197" i="1"/>
  <c r="D172" i="1"/>
  <c r="AC226" i="1" l="1"/>
  <c r="AD212" i="1"/>
  <c r="AC224" i="1"/>
  <c r="AC225" i="1"/>
  <c r="AC212" i="1"/>
  <c r="AC213" i="1"/>
  <c r="AC211" i="1"/>
  <c r="AD213" i="1"/>
  <c r="AD211" i="1"/>
  <c r="E154" i="1"/>
  <c r="F154" i="1"/>
  <c r="G154" i="1"/>
  <c r="H154" i="1"/>
  <c r="I154" i="1"/>
  <c r="J154" i="1"/>
  <c r="K154" i="1"/>
  <c r="L154" i="1"/>
  <c r="AA154" i="1"/>
  <c r="M154" i="1"/>
  <c r="N154" i="1"/>
  <c r="Z154" i="1"/>
  <c r="O154" i="1"/>
  <c r="P154" i="1"/>
  <c r="Q154" i="1"/>
  <c r="R154" i="1"/>
  <c r="S154" i="1"/>
  <c r="T154" i="1"/>
  <c r="U154" i="1"/>
  <c r="V154" i="1"/>
  <c r="W154" i="1"/>
  <c r="X154" i="1"/>
  <c r="Y154" i="1"/>
  <c r="E155" i="1"/>
  <c r="F155" i="1"/>
  <c r="G155" i="1"/>
  <c r="H155" i="1"/>
  <c r="I155" i="1"/>
  <c r="J155" i="1"/>
  <c r="K155" i="1"/>
  <c r="L155" i="1"/>
  <c r="AA155" i="1"/>
  <c r="M155" i="1"/>
  <c r="N155" i="1"/>
  <c r="Z155" i="1"/>
  <c r="O155" i="1"/>
  <c r="P155" i="1"/>
  <c r="Q155" i="1"/>
  <c r="R155" i="1"/>
  <c r="S155" i="1"/>
  <c r="T155" i="1"/>
  <c r="U155" i="1"/>
  <c r="V155" i="1"/>
  <c r="W155" i="1"/>
  <c r="X155" i="1"/>
  <c r="Y155" i="1"/>
  <c r="E156" i="1"/>
  <c r="F156" i="1"/>
  <c r="G156" i="1"/>
  <c r="H156" i="1"/>
  <c r="I156" i="1"/>
  <c r="J156" i="1"/>
  <c r="K156" i="1"/>
  <c r="L156" i="1"/>
  <c r="AA156" i="1"/>
  <c r="M156" i="1"/>
  <c r="N156" i="1"/>
  <c r="Z156" i="1"/>
  <c r="O156" i="1"/>
  <c r="P156" i="1"/>
  <c r="Q156" i="1"/>
  <c r="R156" i="1"/>
  <c r="S156" i="1"/>
  <c r="T156" i="1"/>
  <c r="U156" i="1"/>
  <c r="V156" i="1"/>
  <c r="W156" i="1"/>
  <c r="X156" i="1"/>
  <c r="Y156" i="1"/>
  <c r="E77" i="1"/>
  <c r="F77" i="1"/>
  <c r="G77" i="1"/>
  <c r="H77" i="1"/>
  <c r="I77" i="1"/>
  <c r="J77" i="1"/>
  <c r="K77" i="1"/>
  <c r="L77" i="1"/>
  <c r="AA77" i="1"/>
  <c r="M77" i="1"/>
  <c r="N77" i="1"/>
  <c r="Z77" i="1"/>
  <c r="O77" i="1"/>
  <c r="P77" i="1"/>
  <c r="Q77" i="1"/>
  <c r="R77" i="1"/>
  <c r="S77" i="1"/>
  <c r="T77" i="1"/>
  <c r="U77" i="1"/>
  <c r="V77" i="1"/>
  <c r="W77" i="1"/>
  <c r="X77" i="1"/>
  <c r="Y77" i="1"/>
  <c r="E78" i="1"/>
  <c r="F78" i="1"/>
  <c r="G78" i="1"/>
  <c r="H78" i="1"/>
  <c r="I78" i="1"/>
  <c r="J78" i="1"/>
  <c r="K78" i="1"/>
  <c r="L78" i="1"/>
  <c r="AA78" i="1"/>
  <c r="M78" i="1"/>
  <c r="N78" i="1"/>
  <c r="Z78" i="1"/>
  <c r="O78" i="1"/>
  <c r="P78" i="1"/>
  <c r="Q78" i="1"/>
  <c r="R78" i="1"/>
  <c r="S78" i="1"/>
  <c r="T78" i="1"/>
  <c r="U78" i="1"/>
  <c r="V78" i="1"/>
  <c r="W78" i="1"/>
  <c r="X78" i="1"/>
  <c r="Y78" i="1"/>
  <c r="E79" i="1"/>
  <c r="F79" i="1"/>
  <c r="G79" i="1"/>
  <c r="H79" i="1"/>
  <c r="I79" i="1"/>
  <c r="J79" i="1"/>
  <c r="K79" i="1"/>
  <c r="L79" i="1"/>
  <c r="AA79" i="1"/>
  <c r="M79" i="1"/>
  <c r="N79" i="1"/>
  <c r="Z79" i="1"/>
  <c r="O79" i="1"/>
  <c r="P79" i="1"/>
  <c r="Q79" i="1"/>
  <c r="R79" i="1"/>
  <c r="S79" i="1"/>
  <c r="T79" i="1"/>
  <c r="U79" i="1"/>
  <c r="V79" i="1"/>
  <c r="W79" i="1"/>
  <c r="X79" i="1"/>
  <c r="Y79" i="1"/>
  <c r="D78" i="1"/>
  <c r="D156" i="1"/>
  <c r="D155" i="1"/>
  <c r="D154" i="1"/>
  <c r="D79" i="1"/>
  <c r="D77" i="1"/>
  <c r="D50" i="1"/>
  <c r="D39" i="1"/>
  <c r="AB112" i="1"/>
  <c r="AB113" i="1"/>
  <c r="AD113" i="1"/>
  <c r="AC113" i="1"/>
  <c r="AB114" i="1"/>
  <c r="AC114" i="1"/>
  <c r="AB115" i="1"/>
  <c r="AC115" i="1"/>
  <c r="AB116" i="1"/>
  <c r="AD116" i="1"/>
  <c r="AC116" i="1"/>
  <c r="AB117" i="1"/>
  <c r="AB118" i="1"/>
  <c r="AB119" i="1"/>
  <c r="AB120" i="1"/>
  <c r="AB121" i="1"/>
  <c r="F7" i="3"/>
  <c r="G3" i="3"/>
  <c r="G43" i="3" l="1"/>
  <c r="G13" i="3"/>
  <c r="G10" i="3"/>
  <c r="G23" i="3"/>
  <c r="E74" i="2"/>
  <c r="D76" i="2"/>
  <c r="E76" i="2"/>
  <c r="F76" i="2"/>
  <c r="G76" i="2"/>
  <c r="I76" i="2"/>
  <c r="J76" i="2"/>
  <c r="K76" i="2"/>
  <c r="C76" i="2"/>
  <c r="D122" i="2"/>
  <c r="E122" i="2"/>
  <c r="F122" i="2"/>
  <c r="G122" i="2"/>
  <c r="I122" i="2"/>
  <c r="J122" i="2"/>
  <c r="K122" i="2"/>
  <c r="C122" i="2"/>
  <c r="D111" i="2"/>
  <c r="E111" i="2"/>
  <c r="F111" i="2"/>
  <c r="G111" i="2"/>
  <c r="J111" i="2"/>
  <c r="D48" i="2"/>
  <c r="E48" i="2"/>
  <c r="F48" i="2"/>
  <c r="G48" i="2"/>
  <c r="I48" i="2"/>
  <c r="K48" i="2"/>
  <c r="C48" i="2"/>
  <c r="D36" i="2"/>
  <c r="E36" i="2"/>
  <c r="F36" i="2"/>
  <c r="G36" i="2"/>
  <c r="H36" i="2"/>
  <c r="I36" i="2"/>
  <c r="C36" i="2"/>
  <c r="D24" i="2"/>
  <c r="E24" i="2"/>
  <c r="F24" i="2"/>
  <c r="G24" i="2"/>
  <c r="I24" i="2"/>
  <c r="J24" i="2"/>
  <c r="K24" i="2"/>
  <c r="C24" i="2"/>
  <c r="D13" i="2"/>
  <c r="E13" i="2"/>
  <c r="F13" i="2"/>
  <c r="G13" i="2"/>
  <c r="H13" i="2"/>
  <c r="I13" i="2"/>
  <c r="C13" i="2"/>
  <c r="F132" i="3"/>
  <c r="F126" i="3"/>
  <c r="F114" i="3"/>
  <c r="F68" i="3"/>
  <c r="F43" i="3"/>
  <c r="F13" i="3"/>
  <c r="F10" i="3"/>
  <c r="F3" i="3"/>
  <c r="AB91" i="1"/>
  <c r="Y91" i="1"/>
  <c r="X91" i="1"/>
  <c r="W91" i="1"/>
  <c r="V91" i="1"/>
  <c r="U91" i="1"/>
  <c r="T91" i="1"/>
  <c r="S91" i="1"/>
  <c r="R91" i="1"/>
  <c r="Q91" i="1"/>
  <c r="P91" i="1"/>
  <c r="O91" i="1"/>
  <c r="Z91" i="1"/>
  <c r="N91" i="1"/>
  <c r="M91" i="1"/>
  <c r="L91" i="1"/>
  <c r="K91" i="1"/>
  <c r="J91" i="1"/>
  <c r="I91" i="1"/>
  <c r="H91" i="1"/>
  <c r="G91" i="1"/>
  <c r="F91" i="1"/>
  <c r="E91" i="1"/>
  <c r="D91" i="1"/>
  <c r="AB90" i="1"/>
  <c r="O90" i="1"/>
  <c r="AB89" i="1"/>
  <c r="Y89" i="1"/>
  <c r="X89" i="1"/>
  <c r="W89" i="1"/>
  <c r="V89" i="1"/>
  <c r="U89" i="1"/>
  <c r="T89" i="1"/>
  <c r="S89" i="1"/>
  <c r="R89" i="1"/>
  <c r="Q89" i="1"/>
  <c r="P89" i="1"/>
  <c r="O89" i="1"/>
  <c r="Z89" i="1"/>
  <c r="N89" i="1"/>
  <c r="M89" i="1"/>
  <c r="L89" i="1"/>
  <c r="K89" i="1"/>
  <c r="J89" i="1"/>
  <c r="I89" i="1"/>
  <c r="H89" i="1"/>
  <c r="G89" i="1"/>
  <c r="F89" i="1"/>
  <c r="E89" i="1"/>
  <c r="D89" i="1"/>
  <c r="AC87" i="1"/>
  <c r="AD87" i="1"/>
  <c r="AC88" i="1"/>
  <c r="AD88" i="1"/>
  <c r="AC86" i="1"/>
  <c r="AD86" i="1"/>
  <c r="AC85" i="1"/>
  <c r="AD85" i="1"/>
  <c r="AC84" i="1"/>
  <c r="AD84" i="1"/>
  <c r="AC83" i="1"/>
  <c r="AD83" i="1"/>
  <c r="AC82" i="1"/>
  <c r="AD82" i="1"/>
  <c r="AC81" i="1"/>
  <c r="AD81" i="1"/>
  <c r="AC80" i="1"/>
  <c r="AD80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Y174" i="1"/>
  <c r="X174" i="1"/>
  <c r="W174" i="1"/>
  <c r="V174" i="1"/>
  <c r="U174" i="1"/>
  <c r="T174" i="1"/>
  <c r="S174" i="1"/>
  <c r="R174" i="1"/>
  <c r="Q174" i="1"/>
  <c r="P174" i="1"/>
  <c r="O174" i="1"/>
  <c r="Z174" i="1"/>
  <c r="N174" i="1"/>
  <c r="M174" i="1"/>
  <c r="AA174" i="1"/>
  <c r="L174" i="1"/>
  <c r="K174" i="1"/>
  <c r="J174" i="1"/>
  <c r="I174" i="1"/>
  <c r="H174" i="1"/>
  <c r="G174" i="1"/>
  <c r="F174" i="1"/>
  <c r="E174" i="1"/>
  <c r="D174" i="1"/>
  <c r="Y173" i="1"/>
  <c r="X173" i="1"/>
  <c r="W173" i="1"/>
  <c r="V173" i="1"/>
  <c r="U173" i="1"/>
  <c r="T173" i="1"/>
  <c r="S173" i="1"/>
  <c r="R173" i="1"/>
  <c r="Q173" i="1"/>
  <c r="P173" i="1"/>
  <c r="O173" i="1"/>
  <c r="Z173" i="1"/>
  <c r="N173" i="1"/>
  <c r="M173" i="1"/>
  <c r="AA173" i="1"/>
  <c r="L173" i="1"/>
  <c r="K173" i="1"/>
  <c r="J173" i="1"/>
  <c r="I173" i="1"/>
  <c r="H173" i="1"/>
  <c r="G173" i="1"/>
  <c r="F173" i="1"/>
  <c r="E173" i="1"/>
  <c r="D173" i="1"/>
  <c r="Y172" i="1"/>
  <c r="X172" i="1"/>
  <c r="W172" i="1"/>
  <c r="V172" i="1"/>
  <c r="U172" i="1"/>
  <c r="T172" i="1"/>
  <c r="S172" i="1"/>
  <c r="R172" i="1"/>
  <c r="Q172" i="1"/>
  <c r="P172" i="1"/>
  <c r="O172" i="1"/>
  <c r="Z172" i="1"/>
  <c r="N172" i="1"/>
  <c r="M172" i="1"/>
  <c r="AA172" i="1"/>
  <c r="L172" i="1"/>
  <c r="K172" i="1"/>
  <c r="J172" i="1"/>
  <c r="I172" i="1"/>
  <c r="H172" i="1"/>
  <c r="G172" i="1"/>
  <c r="F172" i="1"/>
  <c r="E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C76" i="1"/>
  <c r="AD76" i="1"/>
  <c r="AB76" i="1"/>
  <c r="AC75" i="1"/>
  <c r="AD75" i="1"/>
  <c r="AB75" i="1"/>
  <c r="AC74" i="1"/>
  <c r="AD74" i="1"/>
  <c r="AB74" i="1"/>
  <c r="AC73" i="1"/>
  <c r="AD73" i="1"/>
  <c r="AB73" i="1"/>
  <c r="AC72" i="1"/>
  <c r="AD72" i="1"/>
  <c r="AB72" i="1"/>
  <c r="AC71" i="1"/>
  <c r="AD71" i="1"/>
  <c r="AB71" i="1"/>
  <c r="AC70" i="1"/>
  <c r="AD70" i="1"/>
  <c r="AB70" i="1"/>
  <c r="AC69" i="1"/>
  <c r="AD69" i="1"/>
  <c r="AB69" i="1"/>
  <c r="AC68" i="1"/>
  <c r="AD68" i="1"/>
  <c r="AB68" i="1"/>
  <c r="AC67" i="1"/>
  <c r="AD67" i="1"/>
  <c r="AB67" i="1"/>
  <c r="AC66" i="1"/>
  <c r="AD66" i="1"/>
  <c r="AB66" i="1"/>
  <c r="AC65" i="1"/>
  <c r="AD65" i="1"/>
  <c r="AB65" i="1"/>
  <c r="AC64" i="1"/>
  <c r="AD64" i="1"/>
  <c r="AB64" i="1"/>
  <c r="AC63" i="1"/>
  <c r="AD63" i="1"/>
  <c r="AB63" i="1"/>
  <c r="AC62" i="1"/>
  <c r="AD62" i="1"/>
  <c r="AB62" i="1"/>
  <c r="AC61" i="1"/>
  <c r="AD61" i="1"/>
  <c r="AB61" i="1"/>
  <c r="AC60" i="1"/>
  <c r="AD60" i="1"/>
  <c r="AB60" i="1"/>
  <c r="AC59" i="1"/>
  <c r="AD59" i="1"/>
  <c r="AB59" i="1"/>
  <c r="AC58" i="1"/>
  <c r="AD58" i="1"/>
  <c r="AB58" i="1"/>
  <c r="AC57" i="1"/>
  <c r="AD57" i="1"/>
  <c r="AB57" i="1"/>
  <c r="AC56" i="1"/>
  <c r="AD56" i="1"/>
  <c r="AB56" i="1"/>
  <c r="AC55" i="1"/>
  <c r="AD55" i="1"/>
  <c r="AB55" i="1"/>
  <c r="AC54" i="1"/>
  <c r="AB54" i="1"/>
  <c r="AC53" i="1"/>
  <c r="AD53" i="1"/>
  <c r="AB53" i="1"/>
  <c r="AB153" i="1"/>
  <c r="AB152" i="1"/>
  <c r="AD151" i="1"/>
  <c r="AB151" i="1"/>
  <c r="AC150" i="1"/>
  <c r="AB150" i="1"/>
  <c r="AD149" i="1"/>
  <c r="AB149" i="1"/>
  <c r="AC148" i="1"/>
  <c r="AD148" i="1"/>
  <c r="AB148" i="1"/>
  <c r="AD147" i="1"/>
  <c r="AB147" i="1"/>
  <c r="AD146" i="1"/>
  <c r="AB146" i="1"/>
  <c r="AC145" i="1"/>
  <c r="AD145" i="1"/>
  <c r="AB145" i="1"/>
  <c r="AC144" i="1"/>
  <c r="AD144" i="1"/>
  <c r="AB144" i="1"/>
  <c r="AC143" i="1"/>
  <c r="AD143" i="1"/>
  <c r="AB143" i="1"/>
  <c r="AB142" i="1"/>
  <c r="AB141" i="1"/>
  <c r="AC140" i="1"/>
  <c r="AD140" i="1"/>
  <c r="AB140" i="1"/>
  <c r="AD139" i="1"/>
  <c r="AB139" i="1"/>
  <c r="AC138" i="1"/>
  <c r="AD138" i="1"/>
  <c r="AB138" i="1"/>
  <c r="AD137" i="1"/>
  <c r="AB137" i="1"/>
  <c r="AC136" i="1"/>
  <c r="AD136" i="1"/>
  <c r="AB136" i="1"/>
  <c r="AC135" i="1"/>
  <c r="AD135" i="1"/>
  <c r="AB135" i="1"/>
  <c r="AB134" i="1"/>
  <c r="AC133" i="1"/>
  <c r="AD133" i="1"/>
  <c r="AB133" i="1"/>
  <c r="AC132" i="1"/>
  <c r="AD132" i="1"/>
  <c r="AB132" i="1"/>
  <c r="AC131" i="1"/>
  <c r="AD131" i="1"/>
  <c r="AB131" i="1"/>
  <c r="AB130" i="1"/>
  <c r="AB129" i="1"/>
  <c r="AC128" i="1"/>
  <c r="AD128" i="1"/>
  <c r="AB128" i="1"/>
  <c r="AC127" i="1"/>
  <c r="AD127" i="1"/>
  <c r="AB127" i="1"/>
  <c r="AD126" i="1"/>
  <c r="AB126" i="1"/>
  <c r="AC125" i="1"/>
  <c r="AD125" i="1"/>
  <c r="AB125" i="1"/>
  <c r="AD124" i="1"/>
  <c r="AB124" i="1"/>
  <c r="AD123" i="1"/>
  <c r="AB123" i="1"/>
  <c r="AB122" i="1"/>
  <c r="AD111" i="1"/>
  <c r="AB111" i="1"/>
  <c r="AB110" i="1"/>
  <c r="AB109" i="1"/>
  <c r="AB108" i="1"/>
  <c r="AB107" i="1"/>
  <c r="AB106" i="1"/>
  <c r="AC105" i="1"/>
  <c r="AB105" i="1"/>
  <c r="AC104" i="1"/>
  <c r="AB104" i="1"/>
  <c r="AB103" i="1"/>
  <c r="AB102" i="1"/>
  <c r="AB101" i="1"/>
  <c r="AB100" i="1"/>
  <c r="AC99" i="1"/>
  <c r="AD99" i="1"/>
  <c r="AB99" i="1"/>
  <c r="AC98" i="1"/>
  <c r="AD98" i="1"/>
  <c r="AB98" i="1"/>
  <c r="AC97" i="1"/>
  <c r="AD97" i="1"/>
  <c r="AB97" i="1"/>
  <c r="AB96" i="1"/>
  <c r="AB95" i="1"/>
  <c r="AC94" i="1"/>
  <c r="AD94" i="1"/>
  <c r="AB94" i="1"/>
  <c r="AC93" i="1"/>
  <c r="AD93" i="1"/>
  <c r="AB93" i="1"/>
  <c r="AC92" i="1"/>
  <c r="AB9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AA52" i="1"/>
  <c r="L52" i="1"/>
  <c r="K52" i="1"/>
  <c r="J52" i="1"/>
  <c r="I52" i="1"/>
  <c r="H52" i="1"/>
  <c r="G52" i="1"/>
  <c r="F52" i="1"/>
  <c r="E52" i="1"/>
  <c r="D52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AA51" i="1"/>
  <c r="L51" i="1"/>
  <c r="K51" i="1"/>
  <c r="J51" i="1"/>
  <c r="I51" i="1"/>
  <c r="H51" i="1"/>
  <c r="G51" i="1"/>
  <c r="F51" i="1"/>
  <c r="E51" i="1"/>
  <c r="D51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AA50" i="1"/>
  <c r="L50" i="1"/>
  <c r="K50" i="1"/>
  <c r="J50" i="1"/>
  <c r="I50" i="1"/>
  <c r="H50" i="1"/>
  <c r="G50" i="1"/>
  <c r="F50" i="1"/>
  <c r="E50" i="1"/>
  <c r="AC49" i="1"/>
  <c r="AD49" i="1"/>
  <c r="AB49" i="1"/>
  <c r="AC48" i="1"/>
  <c r="AD48" i="1"/>
  <c r="AB48" i="1"/>
  <c r="AC47" i="1"/>
  <c r="AD47" i="1"/>
  <c r="AB47" i="1"/>
  <c r="AC46" i="1"/>
  <c r="AD46" i="1"/>
  <c r="AB46" i="1"/>
  <c r="AC45" i="1"/>
  <c r="AD45" i="1"/>
  <c r="AB45" i="1"/>
  <c r="AD44" i="1"/>
  <c r="AC43" i="1"/>
  <c r="AD43" i="1"/>
  <c r="AB43" i="1"/>
  <c r="AC42" i="1"/>
  <c r="AB42" i="1"/>
  <c r="Y41" i="1"/>
  <c r="X41" i="1"/>
  <c r="W41" i="1"/>
  <c r="V41" i="1"/>
  <c r="U41" i="1"/>
  <c r="T41" i="1"/>
  <c r="S41" i="1"/>
  <c r="R41" i="1"/>
  <c r="Q41" i="1"/>
  <c r="P41" i="1"/>
  <c r="O41" i="1"/>
  <c r="Z41" i="1"/>
  <c r="N41" i="1"/>
  <c r="M41" i="1"/>
  <c r="L41" i="1"/>
  <c r="K41" i="1"/>
  <c r="J41" i="1"/>
  <c r="I41" i="1"/>
  <c r="H41" i="1"/>
  <c r="G41" i="1"/>
  <c r="F41" i="1"/>
  <c r="E41" i="1"/>
  <c r="D41" i="1"/>
  <c r="Y40" i="1"/>
  <c r="X40" i="1"/>
  <c r="W40" i="1"/>
  <c r="V40" i="1"/>
  <c r="U40" i="1"/>
  <c r="T40" i="1"/>
  <c r="S40" i="1"/>
  <c r="R40" i="1"/>
  <c r="Q40" i="1"/>
  <c r="P40" i="1"/>
  <c r="O40" i="1"/>
  <c r="Z40" i="1"/>
  <c r="N40" i="1"/>
  <c r="M40" i="1"/>
  <c r="L40" i="1"/>
  <c r="K40" i="1"/>
  <c r="J40" i="1"/>
  <c r="I40" i="1"/>
  <c r="H40" i="1"/>
  <c r="G40" i="1"/>
  <c r="F40" i="1"/>
  <c r="E40" i="1"/>
  <c r="D40" i="1"/>
  <c r="Y39" i="1"/>
  <c r="X39" i="1"/>
  <c r="W39" i="1"/>
  <c r="V39" i="1"/>
  <c r="U39" i="1"/>
  <c r="T39" i="1"/>
  <c r="S39" i="1"/>
  <c r="R39" i="1"/>
  <c r="Q39" i="1"/>
  <c r="P39" i="1"/>
  <c r="O39" i="1"/>
  <c r="Z39" i="1"/>
  <c r="N39" i="1"/>
  <c r="M39" i="1"/>
  <c r="L39" i="1"/>
  <c r="K39" i="1"/>
  <c r="J39" i="1"/>
  <c r="I39" i="1"/>
  <c r="H39" i="1"/>
  <c r="G39" i="1"/>
  <c r="F39" i="1"/>
  <c r="E39" i="1"/>
  <c r="AC38" i="1"/>
  <c r="AD38" i="1"/>
  <c r="AB38" i="1"/>
  <c r="AD37" i="1"/>
  <c r="AC36" i="1"/>
  <c r="AD36" i="1"/>
  <c r="AB36" i="1"/>
  <c r="AC35" i="1"/>
  <c r="AD35" i="1"/>
  <c r="AB35" i="1"/>
  <c r="AC34" i="1"/>
  <c r="AD34" i="1"/>
  <c r="AB34" i="1"/>
  <c r="AD33" i="1"/>
  <c r="AD32" i="1"/>
  <c r="AC31" i="1"/>
  <c r="AD31" i="1"/>
  <c r="AB31" i="1"/>
  <c r="AC30" i="1"/>
  <c r="AD30" i="1"/>
  <c r="AB30" i="1"/>
  <c r="AC29" i="1"/>
  <c r="AD29" i="1"/>
  <c r="AB29" i="1"/>
  <c r="AC28" i="1"/>
  <c r="AD28" i="1"/>
  <c r="AB28" i="1"/>
  <c r="Y27" i="1"/>
  <c r="X27" i="1"/>
  <c r="W27" i="1"/>
  <c r="V27" i="1"/>
  <c r="U27" i="1"/>
  <c r="T27" i="1"/>
  <c r="S27" i="1"/>
  <c r="R27" i="1"/>
  <c r="Q27" i="1"/>
  <c r="P27" i="1"/>
  <c r="O27" i="1"/>
  <c r="Z27" i="1"/>
  <c r="N27" i="1"/>
  <c r="M27" i="1"/>
  <c r="AA27" i="1"/>
  <c r="L27" i="1"/>
  <c r="K27" i="1"/>
  <c r="J27" i="1"/>
  <c r="I27" i="1"/>
  <c r="H27" i="1"/>
  <c r="G27" i="1"/>
  <c r="F27" i="1"/>
  <c r="E27" i="1"/>
  <c r="D27" i="1"/>
  <c r="Y26" i="1"/>
  <c r="X26" i="1"/>
  <c r="W26" i="1"/>
  <c r="V26" i="1"/>
  <c r="U26" i="1"/>
  <c r="T26" i="1"/>
  <c r="S26" i="1"/>
  <c r="R26" i="1"/>
  <c r="Q26" i="1"/>
  <c r="P26" i="1"/>
  <c r="O26" i="1"/>
  <c r="Z26" i="1"/>
  <c r="N26" i="1"/>
  <c r="M26" i="1"/>
  <c r="AA26" i="1"/>
  <c r="L26" i="1"/>
  <c r="K26" i="1"/>
  <c r="J26" i="1"/>
  <c r="I26" i="1"/>
  <c r="H26" i="1"/>
  <c r="G26" i="1"/>
  <c r="F26" i="1"/>
  <c r="E26" i="1"/>
  <c r="D26" i="1"/>
  <c r="Y25" i="1"/>
  <c r="X25" i="1"/>
  <c r="W25" i="1"/>
  <c r="V25" i="1"/>
  <c r="U25" i="1"/>
  <c r="T25" i="1"/>
  <c r="S25" i="1"/>
  <c r="R25" i="1"/>
  <c r="Q25" i="1"/>
  <c r="P25" i="1"/>
  <c r="O25" i="1"/>
  <c r="Z25" i="1"/>
  <c r="N25" i="1"/>
  <c r="M25" i="1"/>
  <c r="AA25" i="1"/>
  <c r="L25" i="1"/>
  <c r="K25" i="1"/>
  <c r="J25" i="1"/>
  <c r="I25" i="1"/>
  <c r="H25" i="1"/>
  <c r="G25" i="1"/>
  <c r="F25" i="1"/>
  <c r="E25" i="1"/>
  <c r="D25" i="1"/>
  <c r="AC22" i="1"/>
  <c r="AD22" i="1"/>
  <c r="AB22" i="1"/>
  <c r="AC24" i="1"/>
  <c r="AD24" i="1"/>
  <c r="AB24" i="1"/>
  <c r="AC23" i="1"/>
  <c r="AD23" i="1"/>
  <c r="AB23" i="1"/>
  <c r="AC21" i="1"/>
  <c r="AD21" i="1"/>
  <c r="AB21" i="1"/>
  <c r="AC20" i="1"/>
  <c r="AD20" i="1"/>
  <c r="AB20" i="1"/>
  <c r="AC19" i="1"/>
  <c r="AD19" i="1"/>
  <c r="AB19" i="1"/>
  <c r="AC18" i="1"/>
  <c r="AD18" i="1"/>
  <c r="AB18" i="1"/>
  <c r="AC17" i="1"/>
  <c r="AD17" i="1"/>
  <c r="AB17" i="1"/>
  <c r="AC16" i="1"/>
  <c r="AD16" i="1"/>
  <c r="AB16" i="1"/>
  <c r="Y15" i="1"/>
  <c r="X15" i="1"/>
  <c r="W15" i="1"/>
  <c r="V15" i="1"/>
  <c r="U15" i="1"/>
  <c r="T15" i="1"/>
  <c r="S15" i="1"/>
  <c r="R15" i="1"/>
  <c r="Q15" i="1"/>
  <c r="P15" i="1"/>
  <c r="O15" i="1"/>
  <c r="Z15" i="1"/>
  <c r="N15" i="1"/>
  <c r="M15" i="1"/>
  <c r="AA15" i="1"/>
  <c r="L15" i="1"/>
  <c r="K15" i="1"/>
  <c r="J15" i="1"/>
  <c r="I15" i="1"/>
  <c r="H15" i="1"/>
  <c r="G15" i="1"/>
  <c r="F15" i="1"/>
  <c r="E15" i="1"/>
  <c r="D15" i="1"/>
  <c r="Y14" i="1"/>
  <c r="X14" i="1"/>
  <c r="W14" i="1"/>
  <c r="V14" i="1"/>
  <c r="U14" i="1"/>
  <c r="T14" i="1"/>
  <c r="S14" i="1"/>
  <c r="R14" i="1"/>
  <c r="Q14" i="1"/>
  <c r="P14" i="1"/>
  <c r="O14" i="1"/>
  <c r="Z14" i="1"/>
  <c r="N14" i="1"/>
  <c r="M14" i="1"/>
  <c r="AA14" i="1"/>
  <c r="L14" i="1"/>
  <c r="K14" i="1"/>
  <c r="J14" i="1"/>
  <c r="I14" i="1"/>
  <c r="H14" i="1"/>
  <c r="G14" i="1"/>
  <c r="F14" i="1"/>
  <c r="E14" i="1"/>
  <c r="D14" i="1"/>
  <c r="Y13" i="1"/>
  <c r="X13" i="1"/>
  <c r="W13" i="1"/>
  <c r="V13" i="1"/>
  <c r="U13" i="1"/>
  <c r="T13" i="1"/>
  <c r="S13" i="1"/>
  <c r="R13" i="1"/>
  <c r="Q13" i="1"/>
  <c r="P13" i="1"/>
  <c r="O13" i="1"/>
  <c r="Z13" i="1"/>
  <c r="N13" i="1"/>
  <c r="M13" i="1"/>
  <c r="AA13" i="1"/>
  <c r="L13" i="1"/>
  <c r="K13" i="1"/>
  <c r="J13" i="1"/>
  <c r="I13" i="1"/>
  <c r="H13" i="1"/>
  <c r="G13" i="1"/>
  <c r="F13" i="1"/>
  <c r="E13" i="1"/>
  <c r="AC12" i="1"/>
  <c r="AD12" i="1"/>
  <c r="AB12" i="1"/>
  <c r="AC11" i="1"/>
  <c r="AD11" i="1"/>
  <c r="AB11" i="1"/>
  <c r="AC10" i="1"/>
  <c r="AD10" i="1"/>
  <c r="AB10" i="1"/>
  <c r="AC9" i="1"/>
  <c r="AD9" i="1"/>
  <c r="AB9" i="1"/>
  <c r="AC8" i="1"/>
  <c r="AD8" i="1"/>
  <c r="AB8" i="1"/>
  <c r="AC7" i="1"/>
  <c r="AD7" i="1"/>
  <c r="AB7" i="1"/>
  <c r="AC6" i="1"/>
  <c r="AD6" i="1"/>
  <c r="AB6" i="1"/>
  <c r="AC5" i="1"/>
  <c r="AD5" i="1"/>
  <c r="AB5" i="1"/>
  <c r="AC4" i="1"/>
  <c r="AD4" i="1"/>
  <c r="AB4" i="1"/>
  <c r="K75" i="2"/>
  <c r="J75" i="2"/>
  <c r="I75" i="2"/>
  <c r="G75" i="2"/>
  <c r="F75" i="2"/>
  <c r="E75" i="2"/>
  <c r="D75" i="2"/>
  <c r="C75" i="2"/>
  <c r="I74" i="2"/>
  <c r="G74" i="2"/>
  <c r="D74" i="2"/>
  <c r="C74" i="2"/>
  <c r="K73" i="2"/>
  <c r="J73" i="2"/>
  <c r="I73" i="2"/>
  <c r="G73" i="2"/>
  <c r="F73" i="2"/>
  <c r="E73" i="2"/>
  <c r="D73" i="2"/>
  <c r="C73" i="2"/>
  <c r="L72" i="2"/>
  <c r="L71" i="2"/>
  <c r="L70" i="2"/>
  <c r="L69" i="2"/>
  <c r="L68" i="2"/>
  <c r="L67" i="2"/>
  <c r="L66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K121" i="2"/>
  <c r="J121" i="2"/>
  <c r="I121" i="2"/>
  <c r="G121" i="2"/>
  <c r="F121" i="2"/>
  <c r="E121" i="2"/>
  <c r="D121" i="2"/>
  <c r="C121" i="2"/>
  <c r="G120" i="2"/>
  <c r="E120" i="2"/>
  <c r="D120" i="2"/>
  <c r="C120" i="2"/>
  <c r="K119" i="2"/>
  <c r="J119" i="2"/>
  <c r="I119" i="2"/>
  <c r="G119" i="2"/>
  <c r="F119" i="2"/>
  <c r="E119" i="2"/>
  <c r="D119" i="2"/>
  <c r="C119" i="2"/>
  <c r="L118" i="2"/>
  <c r="L117" i="2"/>
  <c r="L116" i="2"/>
  <c r="L115" i="2"/>
  <c r="L114" i="2"/>
  <c r="L113" i="2"/>
  <c r="L112" i="2"/>
  <c r="J110" i="2"/>
  <c r="G110" i="2"/>
  <c r="F110" i="2"/>
  <c r="E110" i="2"/>
  <c r="D110" i="2"/>
  <c r="J109" i="2"/>
  <c r="G109" i="2"/>
  <c r="F109" i="2"/>
  <c r="E109" i="2"/>
  <c r="D109" i="2"/>
  <c r="C109" i="2"/>
  <c r="J108" i="2"/>
  <c r="G108" i="2"/>
  <c r="F108" i="2"/>
  <c r="E108" i="2"/>
  <c r="D108" i="2"/>
  <c r="J107" i="2"/>
  <c r="G107" i="2"/>
  <c r="F107" i="2"/>
  <c r="E107" i="2"/>
  <c r="D107" i="2"/>
  <c r="M106" i="2"/>
  <c r="N106" i="2" s="1"/>
  <c r="L106" i="2"/>
  <c r="M105" i="2"/>
  <c r="N105" i="2" s="1"/>
  <c r="L105" i="2"/>
  <c r="M104" i="2"/>
  <c r="N104" i="2" s="1"/>
  <c r="L104" i="2"/>
  <c r="M103" i="2"/>
  <c r="N103" i="2" s="1"/>
  <c r="L103" i="2"/>
  <c r="M102" i="2"/>
  <c r="N102" i="2" s="1"/>
  <c r="L10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K47" i="2"/>
  <c r="I47" i="2"/>
  <c r="H47" i="2"/>
  <c r="G47" i="2"/>
  <c r="F47" i="2"/>
  <c r="E47" i="2"/>
  <c r="D47" i="2"/>
  <c r="C47" i="2"/>
  <c r="G46" i="2"/>
  <c r="D46" i="2"/>
  <c r="C46" i="2"/>
  <c r="K45" i="2"/>
  <c r="I45" i="2"/>
  <c r="H45" i="2"/>
  <c r="G45" i="2"/>
  <c r="F45" i="2"/>
  <c r="E45" i="2"/>
  <c r="D45" i="2"/>
  <c r="L44" i="2"/>
  <c r="L43" i="2"/>
  <c r="L42" i="2"/>
  <c r="L41" i="2"/>
  <c r="L40" i="2"/>
  <c r="L39" i="2"/>
  <c r="L38" i="2"/>
  <c r="L37" i="2"/>
  <c r="I35" i="2"/>
  <c r="H35" i="2"/>
  <c r="G35" i="2"/>
  <c r="F35" i="2"/>
  <c r="E35" i="2"/>
  <c r="D35" i="2"/>
  <c r="C35" i="2"/>
  <c r="G34" i="2"/>
  <c r="D34" i="2"/>
  <c r="C34" i="2"/>
  <c r="I33" i="2"/>
  <c r="H33" i="2"/>
  <c r="G33" i="2"/>
  <c r="F33" i="2"/>
  <c r="E33" i="2"/>
  <c r="D33" i="2"/>
  <c r="L32" i="2"/>
  <c r="L31" i="2"/>
  <c r="L30" i="2"/>
  <c r="L29" i="2"/>
  <c r="L28" i="2"/>
  <c r="L27" i="2"/>
  <c r="L26" i="2"/>
  <c r="L25" i="2"/>
  <c r="K23" i="2"/>
  <c r="J23" i="2"/>
  <c r="I23" i="2"/>
  <c r="G23" i="2"/>
  <c r="F23" i="2"/>
  <c r="E23" i="2"/>
  <c r="D23" i="2"/>
  <c r="C23" i="2"/>
  <c r="G22" i="2"/>
  <c r="E22" i="2"/>
  <c r="D22" i="2"/>
  <c r="C22" i="2"/>
  <c r="K21" i="2"/>
  <c r="J21" i="2"/>
  <c r="I21" i="2"/>
  <c r="G21" i="2"/>
  <c r="F21" i="2"/>
  <c r="E21" i="2"/>
  <c r="D21" i="2"/>
  <c r="L20" i="2"/>
  <c r="L19" i="2"/>
  <c r="L18" i="2"/>
  <c r="L17" i="2"/>
  <c r="L16" i="2"/>
  <c r="L15" i="2"/>
  <c r="L14" i="2"/>
  <c r="I12" i="2"/>
  <c r="H12" i="2"/>
  <c r="G12" i="2"/>
  <c r="F12" i="2"/>
  <c r="E12" i="2"/>
  <c r="D12" i="2"/>
  <c r="C12" i="2"/>
  <c r="G11" i="2"/>
  <c r="E11" i="2"/>
  <c r="D11" i="2"/>
  <c r="C11" i="2"/>
  <c r="I10" i="2"/>
  <c r="H10" i="2"/>
  <c r="G10" i="2"/>
  <c r="F10" i="2"/>
  <c r="E10" i="2"/>
  <c r="D10" i="2"/>
  <c r="L9" i="2"/>
  <c r="L8" i="2"/>
  <c r="L7" i="2"/>
  <c r="L6" i="2"/>
  <c r="L5" i="2"/>
  <c r="L4" i="2"/>
  <c r="L99" i="2" l="1"/>
  <c r="L101" i="2"/>
  <c r="L100" i="2"/>
  <c r="L98" i="2"/>
  <c r="L137" i="2"/>
  <c r="L139" i="2"/>
  <c r="L140" i="2"/>
  <c r="L138" i="2"/>
  <c r="L65" i="2"/>
  <c r="L63" i="2"/>
  <c r="L64" i="2"/>
  <c r="L62" i="2"/>
  <c r="AD78" i="1"/>
  <c r="AD79" i="1"/>
  <c r="AC78" i="1"/>
  <c r="AC77" i="1"/>
  <c r="AC79" i="1"/>
  <c r="AB198" i="1"/>
  <c r="AB197" i="1"/>
  <c r="AB199" i="1"/>
  <c r="AD156" i="1"/>
  <c r="AD154" i="1"/>
  <c r="AD155" i="1"/>
  <c r="AC156" i="1"/>
  <c r="AC155" i="1"/>
  <c r="AC154" i="1"/>
  <c r="AB79" i="1"/>
  <c r="AB78" i="1"/>
  <c r="AB77" i="1"/>
  <c r="AB155" i="1"/>
  <c r="AB156" i="1"/>
  <c r="AB154" i="1"/>
  <c r="AD13" i="1"/>
  <c r="AB174" i="1"/>
  <c r="AB172" i="1"/>
  <c r="AC14" i="1"/>
  <c r="AC26" i="1"/>
  <c r="AD41" i="1"/>
  <c r="AC27" i="1"/>
  <c r="AD14" i="1"/>
  <c r="AC89" i="1"/>
  <c r="AD27" i="1"/>
  <c r="AD15" i="1"/>
  <c r="AB52" i="1"/>
  <c r="AB25" i="1"/>
  <c r="AB41" i="1"/>
  <c r="L13" i="2"/>
  <c r="L122" i="2"/>
  <c r="L36" i="2"/>
  <c r="L24" i="2"/>
  <c r="L76" i="2"/>
  <c r="L47" i="2"/>
  <c r="L48" i="2"/>
  <c r="L111" i="2"/>
  <c r="L109" i="2"/>
  <c r="L110" i="2"/>
  <c r="L46" i="2"/>
  <c r="L73" i="2"/>
  <c r="L120" i="2"/>
  <c r="L35" i="2"/>
  <c r="L21" i="2"/>
  <c r="L10" i="2"/>
  <c r="AB14" i="1"/>
  <c r="L121" i="2"/>
  <c r="AC39" i="1"/>
  <c r="AC41" i="1"/>
  <c r="AD50" i="1"/>
  <c r="AD52" i="1"/>
  <c r="AC90" i="1"/>
  <c r="AB27" i="1"/>
  <c r="L23" i="2"/>
  <c r="L34" i="2"/>
  <c r="AC50" i="1"/>
  <c r="AC52" i="1"/>
  <c r="L108" i="2"/>
  <c r="L22" i="2"/>
  <c r="L45" i="2"/>
  <c r="L75" i="2"/>
  <c r="AB13" i="1"/>
  <c r="AB15" i="1"/>
  <c r="AB26" i="1"/>
  <c r="AD26" i="1"/>
  <c r="AB40" i="1"/>
  <c r="L33" i="2"/>
  <c r="L107" i="2"/>
  <c r="L74" i="2"/>
  <c r="AC13" i="1"/>
  <c r="AC15" i="1"/>
  <c r="AD40" i="1"/>
  <c r="AB51" i="1"/>
  <c r="AD91" i="1"/>
  <c r="L12" i="2"/>
  <c r="L11" i="2"/>
  <c r="L119" i="2"/>
  <c r="AC40" i="1"/>
  <c r="AD51" i="1"/>
  <c r="AB173" i="1"/>
  <c r="AC91" i="1"/>
  <c r="AC51" i="1"/>
  <c r="AD89" i="1"/>
  <c r="AD25" i="1"/>
  <c r="AB39" i="1"/>
  <c r="AC25" i="1"/>
  <c r="AD39" i="1"/>
  <c r="AB50" i="1"/>
  <c r="AD90" i="1"/>
</calcChain>
</file>

<file path=xl/sharedStrings.xml><?xml version="1.0" encoding="utf-8"?>
<sst xmlns="http://schemas.openxmlformats.org/spreadsheetml/2006/main" count="3425" uniqueCount="906">
  <si>
    <r>
      <t xml:space="preserve">Microchemical and Sulfur Isotope Variation in </t>
    </r>
    <r>
      <rPr>
        <b/>
        <sz val="20"/>
        <color theme="1"/>
        <rFont val="Times New Roman"/>
        <family val="1"/>
      </rPr>
      <t>Pyrite-Marcasite: A Proxy for Low-Temperature Ore-forming Processes in Submarine Hydrothermal Systems</t>
    </r>
    <phoneticPr fontId="7" type="noConversion"/>
  </si>
  <si>
    <r>
      <t>Xingwei Meng</t>
    </r>
    <r>
      <rPr>
        <vertAlign val="superscript"/>
        <sz val="16"/>
        <color theme="1"/>
        <rFont val="Times New Roman"/>
        <family val="1"/>
      </rPr>
      <t>a</t>
    </r>
    <r>
      <rPr>
        <sz val="16"/>
        <color theme="1"/>
        <rFont val="Times New Roman"/>
        <family val="1"/>
      </rPr>
      <t>, Xiaohu Li</t>
    </r>
    <r>
      <rPr>
        <vertAlign val="superscript"/>
        <sz val="16"/>
        <color theme="1"/>
        <rFont val="Times New Roman"/>
        <family val="1"/>
      </rPr>
      <t>a, b, *</t>
    </r>
    <r>
      <rPr>
        <sz val="16"/>
        <color theme="1"/>
        <rFont val="Times New Roman"/>
        <family val="1"/>
      </rPr>
      <t>,</t>
    </r>
    <r>
      <rPr>
        <vertAlign val="superscript"/>
        <sz val="16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Basem Zoheir</t>
    </r>
    <r>
      <rPr>
        <vertAlign val="superscript"/>
        <sz val="16"/>
        <color theme="1"/>
        <rFont val="Times New Roman"/>
        <family val="1"/>
      </rPr>
      <t>c</t>
    </r>
    <r>
      <rPr>
        <sz val="16"/>
        <color theme="1"/>
        <rFont val="Times New Roman"/>
        <family val="1"/>
      </rPr>
      <t>, Jianggu Lu</t>
    </r>
    <r>
      <rPr>
        <vertAlign val="superscript"/>
        <sz val="16"/>
        <color theme="1"/>
        <rFont val="Times New Roman"/>
        <family val="1"/>
      </rPr>
      <t>a</t>
    </r>
    <r>
      <rPr>
        <sz val="16"/>
        <color theme="1"/>
        <rFont val="Times New Roman"/>
        <family val="1"/>
      </rPr>
      <t>, Xuegang Chen</t>
    </r>
    <r>
      <rPr>
        <vertAlign val="superscript"/>
        <sz val="16"/>
        <color theme="1"/>
        <rFont val="Times New Roman"/>
        <family val="1"/>
      </rPr>
      <t>d</t>
    </r>
    <r>
      <rPr>
        <sz val="16"/>
        <color theme="1"/>
        <rFont val="Times New Roman"/>
        <family val="1"/>
      </rPr>
      <t>, Yanhui Dong</t>
    </r>
    <r>
      <rPr>
        <vertAlign val="superscript"/>
        <sz val="16"/>
        <color theme="1"/>
        <rFont val="Times New Roman"/>
        <family val="1"/>
      </rPr>
      <t>a</t>
    </r>
    <r>
      <rPr>
        <sz val="16"/>
        <color theme="1"/>
        <rFont val="Times New Roman"/>
        <family val="1"/>
      </rPr>
      <t>, Jie Li</t>
    </r>
    <r>
      <rPr>
        <vertAlign val="superscript"/>
        <sz val="16"/>
        <color theme="1"/>
        <rFont val="Times New Roman"/>
        <family val="1"/>
      </rPr>
      <t>a</t>
    </r>
    <r>
      <rPr>
        <sz val="16"/>
        <color theme="1"/>
        <rFont val="Times New Roman"/>
        <family val="1"/>
      </rPr>
      <t>, Fengyou Chu</t>
    </r>
    <r>
      <rPr>
        <vertAlign val="superscript"/>
        <sz val="16"/>
        <color theme="1"/>
        <rFont val="Times New Roman"/>
        <family val="1"/>
      </rPr>
      <t>a</t>
    </r>
    <r>
      <rPr>
        <sz val="16"/>
        <color theme="1"/>
        <rFont val="Times New Roman"/>
        <family val="1"/>
      </rPr>
      <t>, Yongzhi Chu</t>
    </r>
    <r>
      <rPr>
        <vertAlign val="superscript"/>
        <sz val="16"/>
        <color theme="1"/>
        <rFont val="Times New Roman"/>
        <family val="1"/>
      </rPr>
      <t>a, b</t>
    </r>
    <r>
      <rPr>
        <sz val="16"/>
        <color theme="1"/>
        <rFont val="Times New Roman"/>
        <family val="1"/>
      </rPr>
      <t>, Xianglong Jin</t>
    </r>
    <r>
      <rPr>
        <vertAlign val="superscript"/>
        <sz val="16"/>
        <color theme="1"/>
        <rFont val="Times New Roman"/>
        <family val="1"/>
      </rPr>
      <t>a, b</t>
    </r>
  </si>
  <si>
    <r>
      <t>a</t>
    </r>
    <r>
      <rPr>
        <i/>
        <sz val="16"/>
        <color theme="1"/>
        <rFont val="Times New Roman"/>
        <family val="1"/>
      </rPr>
      <t>State Key Laboratory of Submarine Geosciences, Second Institute of Oceanography, Ministry of Natural Resources, Hangzhou 310012, China</t>
    </r>
  </si>
  <si>
    <r>
      <t>b</t>
    </r>
    <r>
      <rPr>
        <i/>
        <sz val="16"/>
        <color theme="1"/>
        <rFont val="Times New Roman"/>
        <family val="1"/>
      </rPr>
      <t>School of Oceanography, Shanghai Jiao Tong University, Shanghai 200030, China</t>
    </r>
    <phoneticPr fontId="7" type="noConversion"/>
  </si>
  <si>
    <r>
      <t>c</t>
    </r>
    <r>
      <rPr>
        <i/>
        <sz val="16"/>
        <color theme="1"/>
        <rFont val="Times New Roman"/>
        <family val="1"/>
      </rPr>
      <t>Department of Geosciences, King Fahd University of Petroleum and Minerals, 31261 Dhahran, Saudi Arabia</t>
    </r>
  </si>
  <si>
    <r>
      <t>d</t>
    </r>
    <r>
      <rPr>
        <i/>
        <sz val="16"/>
        <color theme="1"/>
        <rFont val="Times New Roman"/>
        <family val="1"/>
      </rPr>
      <t>Ocean College, Zhejiang University, Zhoushan 316021, China</t>
    </r>
  </si>
  <si>
    <r>
      <t>*</t>
    </r>
    <r>
      <rPr>
        <i/>
        <sz val="16"/>
        <color theme="1"/>
        <rFont val="Times New Roman"/>
        <family val="1"/>
      </rPr>
      <t xml:space="preserve">Corresponding author: email, </t>
    </r>
    <r>
      <rPr>
        <i/>
        <sz val="16"/>
        <color rgb="FF4472C4"/>
        <rFont val="Times New Roman"/>
        <family val="1"/>
      </rPr>
      <t>xhli@sio.org.cn</t>
    </r>
    <phoneticPr fontId="7" type="noConversion"/>
  </si>
  <si>
    <t>Table S1. Major and minor element  contents of sulfides at the Xunmei and Niaochao vent fields by EPMA (wt%).</t>
    <phoneticPr fontId="7" type="noConversion"/>
  </si>
  <si>
    <t>Item</t>
  </si>
  <si>
    <t xml:space="preserve">Comment  </t>
  </si>
  <si>
    <t xml:space="preserve">   Fe    </t>
  </si>
  <si>
    <t xml:space="preserve">   S     </t>
  </si>
  <si>
    <t xml:space="preserve">   Cu    </t>
  </si>
  <si>
    <t xml:space="preserve">   Zn    </t>
  </si>
  <si>
    <t xml:space="preserve">   Co    </t>
  </si>
  <si>
    <t xml:space="preserve">   Ni    </t>
  </si>
  <si>
    <t xml:space="preserve">   As    </t>
  </si>
  <si>
    <t xml:space="preserve">   Pb    </t>
  </si>
  <si>
    <t xml:space="preserve">   Ag    </t>
  </si>
  <si>
    <t xml:space="preserve">  Total  </t>
  </si>
  <si>
    <t>Fe/Zn</t>
  </si>
  <si>
    <r>
      <rPr>
        <sz val="12"/>
        <color theme="1"/>
        <rFont val="Times New Roman"/>
        <family val="1"/>
      </rPr>
      <t>T (</t>
    </r>
    <r>
      <rPr>
        <sz val="12"/>
        <color theme="1"/>
        <rFont val="宋体"/>
        <family val="3"/>
        <charset val="134"/>
      </rPr>
      <t>℃</t>
    </r>
    <r>
      <rPr>
        <sz val="12"/>
        <color theme="1"/>
        <rFont val="Times New Roman"/>
        <family val="1"/>
      </rPr>
      <t>)</t>
    </r>
  </si>
  <si>
    <t>Xunmei vent field</t>
    <phoneticPr fontId="7" type="noConversion"/>
  </si>
  <si>
    <t>I-Mrc1 (n=6)</t>
    <phoneticPr fontId="7" type="noConversion"/>
  </si>
  <si>
    <t>I-Mrc1-1</t>
    <phoneticPr fontId="7" type="noConversion"/>
  </si>
  <si>
    <t>bdl</t>
  </si>
  <si>
    <t>I-Mrc1-2</t>
  </si>
  <si>
    <t>I-Mrc1-3</t>
  </si>
  <si>
    <t>I-Mrc1-4</t>
  </si>
  <si>
    <t>I-Mrc1-5</t>
  </si>
  <si>
    <t>I-Mrc1-6</t>
  </si>
  <si>
    <t>Avg</t>
  </si>
  <si>
    <t>Min</t>
  </si>
  <si>
    <t>Max</t>
  </si>
  <si>
    <t>SD</t>
  </si>
  <si>
    <t>I-Py1 (n=7)</t>
    <phoneticPr fontId="7" type="noConversion"/>
  </si>
  <si>
    <t>I-Py1-1</t>
    <phoneticPr fontId="7" type="noConversion"/>
  </si>
  <si>
    <t>I-Py1-2</t>
  </si>
  <si>
    <t>I-Py1-3</t>
  </si>
  <si>
    <t>I-Py1-4</t>
  </si>
  <si>
    <t>I-Py1-5</t>
  </si>
  <si>
    <t>I-Py1-6</t>
  </si>
  <si>
    <t>I-Py1-7</t>
  </si>
  <si>
    <t>I-Py2 (n=8)</t>
    <phoneticPr fontId="7" type="noConversion"/>
  </si>
  <si>
    <t>I-Py2-1</t>
    <phoneticPr fontId="7" type="noConversion"/>
  </si>
  <si>
    <t>I-Py2-2</t>
  </si>
  <si>
    <t>I-Py2-3</t>
  </si>
  <si>
    <t>I-Py2-4</t>
  </si>
  <si>
    <t>I-Py2-5</t>
  </si>
  <si>
    <t>I-Py2-6</t>
  </si>
  <si>
    <t>I-Py2-7</t>
  </si>
  <si>
    <t>I-Py2-8</t>
  </si>
  <si>
    <t>I-Mrc2 (n=8)</t>
    <phoneticPr fontId="7" type="noConversion"/>
  </si>
  <si>
    <t>I-Mrc2-1</t>
    <phoneticPr fontId="7" type="noConversion"/>
  </si>
  <si>
    <t>I-Mrc2-2</t>
  </si>
  <si>
    <t>I-Mrc2-3</t>
  </si>
  <si>
    <t>I-Mrc2-4</t>
  </si>
  <si>
    <t>I-Mrc2-5</t>
  </si>
  <si>
    <t>I-Mrc2-6</t>
  </si>
  <si>
    <t>I-Mrc2-7</t>
  </si>
  <si>
    <t>I-Mrc2-8</t>
  </si>
  <si>
    <t>I-Py3 (n=13)</t>
    <phoneticPr fontId="7" type="noConversion"/>
  </si>
  <si>
    <t>I-Py3-1</t>
    <phoneticPr fontId="7" type="noConversion"/>
  </si>
  <si>
    <t>I-Py3-2</t>
  </si>
  <si>
    <t>I-Py3-3</t>
  </si>
  <si>
    <t>I-Py3-4</t>
  </si>
  <si>
    <t>I-Py3-5</t>
  </si>
  <si>
    <t>I-Py3-6</t>
  </si>
  <si>
    <t>I-Py3-7</t>
  </si>
  <si>
    <t>I-Py3-8</t>
  </si>
  <si>
    <t>I-Py3-9</t>
  </si>
  <si>
    <t>I-Py3-10</t>
  </si>
  <si>
    <t>I-Py3-11</t>
  </si>
  <si>
    <t>I-Py3-12</t>
  </si>
  <si>
    <t>I-Py3-13</t>
  </si>
  <si>
    <t>bdl</t>
    <phoneticPr fontId="7" type="noConversion"/>
  </si>
  <si>
    <t>I-Mrc3 (n=7)</t>
    <phoneticPr fontId="7" type="noConversion"/>
  </si>
  <si>
    <t>I-Mrc3-1</t>
    <phoneticPr fontId="7" type="noConversion"/>
  </si>
  <si>
    <t>I-Mrc3-2</t>
  </si>
  <si>
    <t>I-Mrc3-3</t>
  </si>
  <si>
    <t>I-Mrc3-4</t>
  </si>
  <si>
    <t>I-Mrc3-5</t>
  </si>
  <si>
    <t>I-Mrc3-6</t>
  </si>
  <si>
    <t>I-Mrc3-7</t>
  </si>
  <si>
    <t>I-Py4 (n=21)</t>
    <phoneticPr fontId="7" type="noConversion"/>
  </si>
  <si>
    <t>I-Py4-1</t>
    <phoneticPr fontId="7" type="noConversion"/>
  </si>
  <si>
    <t>I-Py4-2</t>
  </si>
  <si>
    <t>I-Py4-3</t>
  </si>
  <si>
    <t>I-Py4-4</t>
  </si>
  <si>
    <t>I-Py4-5</t>
  </si>
  <si>
    <t>I-Py4-6</t>
  </si>
  <si>
    <t>I-Py4-7</t>
  </si>
  <si>
    <t>I-Py4-8</t>
  </si>
  <si>
    <t>I-Py4-9</t>
  </si>
  <si>
    <t>I-Py4-10</t>
  </si>
  <si>
    <t>I-Py4-11</t>
  </si>
  <si>
    <t>I-Py4-12</t>
  </si>
  <si>
    <t>I-Py4-13</t>
  </si>
  <si>
    <t>I-Py4-14</t>
  </si>
  <si>
    <t>I-Py4-15</t>
  </si>
  <si>
    <t>I-Py4-16</t>
  </si>
  <si>
    <t>I-Py4-17</t>
  </si>
  <si>
    <t>I-Py4-18</t>
  </si>
  <si>
    <t>I-Py4-19</t>
  </si>
  <si>
    <t>I-Py4-20</t>
  </si>
  <si>
    <t>I-Py4-21</t>
  </si>
  <si>
    <t>I-Sp (n=5)</t>
    <phoneticPr fontId="7" type="noConversion"/>
  </si>
  <si>
    <t>I-Sp-1</t>
    <phoneticPr fontId="7" type="noConversion"/>
  </si>
  <si>
    <t>-</t>
  </si>
  <si>
    <t>I-Sp-2</t>
  </si>
  <si>
    <t>I-Sp-3</t>
  </si>
  <si>
    <t>I-Sp-4</t>
  </si>
  <si>
    <t>I-Sp-5</t>
  </si>
  <si>
    <t>Median</t>
  </si>
  <si>
    <t>I-Ccp1 (n=7)</t>
    <phoneticPr fontId="7" type="noConversion"/>
  </si>
  <si>
    <t>I-Ccp1-1</t>
    <phoneticPr fontId="7" type="noConversion"/>
  </si>
  <si>
    <t>I-Ccp1-2</t>
  </si>
  <si>
    <t>I-Ccp1-3</t>
  </si>
  <si>
    <t>I-Ccp1-4</t>
  </si>
  <si>
    <t>I-Ccp1-5</t>
  </si>
  <si>
    <t>I-Ccp1-6</t>
  </si>
  <si>
    <t>I-Ccp1-7</t>
  </si>
  <si>
    <t>I-Ccp2 (n=14)</t>
    <phoneticPr fontId="7" type="noConversion"/>
  </si>
  <si>
    <t>I-Ccp2-1</t>
    <phoneticPr fontId="7" type="noConversion"/>
  </si>
  <si>
    <t>I-Ccp2-2</t>
  </si>
  <si>
    <t>I-Ccp2-3</t>
  </si>
  <si>
    <t>I-Ccp2-4</t>
  </si>
  <si>
    <t>I-Ccp2-5</t>
  </si>
  <si>
    <t>I-Ccp2-6</t>
  </si>
  <si>
    <t>I-Ccp2-7</t>
  </si>
  <si>
    <t>I-Ccp2-8</t>
  </si>
  <si>
    <t>I-Ccp2-9</t>
  </si>
  <si>
    <t>I-Ccp2-10</t>
  </si>
  <si>
    <t>I-Ccp2-11</t>
  </si>
  <si>
    <t>I-Ccp2-12</t>
  </si>
  <si>
    <t>I-Ccp2-13</t>
  </si>
  <si>
    <t>I-Ccp2-14</t>
  </si>
  <si>
    <t>Niaochao vent field</t>
    <phoneticPr fontId="7" type="noConversion"/>
  </si>
  <si>
    <t>II-Mrc2 (n=7)</t>
    <phoneticPr fontId="7" type="noConversion"/>
  </si>
  <si>
    <t>II-Mrc2-1</t>
    <phoneticPr fontId="7" type="noConversion"/>
  </si>
  <si>
    <t>II-Mrc2-2</t>
  </si>
  <si>
    <t>II-Mrc2-3</t>
  </si>
  <si>
    <t>II-Mrc2-4</t>
  </si>
  <si>
    <t>II-Mrc2-5</t>
  </si>
  <si>
    <t>II-Mrc2-6</t>
  </si>
  <si>
    <t>II-Mrc2-7</t>
  </si>
  <si>
    <t>II-Py2 (n=7)</t>
    <phoneticPr fontId="7" type="noConversion"/>
  </si>
  <si>
    <t>II-Py2-1</t>
    <phoneticPr fontId="7" type="noConversion"/>
  </si>
  <si>
    <t>II-Py2-2</t>
  </si>
  <si>
    <t>II-Py2-3</t>
  </si>
  <si>
    <t>II-Py2-4</t>
  </si>
  <si>
    <t>II-Py2-5</t>
  </si>
  <si>
    <t>II-Py2-6</t>
  </si>
  <si>
    <t>II-Py2-7</t>
  </si>
  <si>
    <t>II-Ccp (n=8)</t>
    <phoneticPr fontId="7" type="noConversion"/>
  </si>
  <si>
    <t>II-Ccp-1</t>
    <phoneticPr fontId="7" type="noConversion"/>
  </si>
  <si>
    <t>II-Ccp-2</t>
  </si>
  <si>
    <t>II-Ccp-3</t>
  </si>
  <si>
    <t>II-Ccp-4</t>
  </si>
  <si>
    <t>II-Ccp-5</t>
  </si>
  <si>
    <t>II-Ccp-6</t>
  </si>
  <si>
    <t>II-Ccp-7</t>
  </si>
  <si>
    <t>II-Ccp-8</t>
  </si>
  <si>
    <r>
      <t>Abbreviations: Mrc = marcasite; Py = pyrite; Ccp = chalcopyrite; Sp = sphalerite; Avg = average; SD = standard deviation; Min = minimum; Max = maximum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3"/>
      </rPr>
      <t xml:space="preserve">bdl: below detection limit; </t>
    </r>
    <r>
      <rPr>
        <sz val="12"/>
        <rFont val="Times New Roman"/>
        <family val="1"/>
      </rPr>
      <t>-: no analysis.</t>
    </r>
    <phoneticPr fontId="7" type="noConversion"/>
  </si>
  <si>
    <t>Standard</t>
    <phoneticPr fontId="7" type="noConversion"/>
  </si>
  <si>
    <t>Ag</t>
    <phoneticPr fontId="25" type="noConversion"/>
  </si>
  <si>
    <t>FeS2</t>
    <phoneticPr fontId="25" type="noConversion"/>
  </si>
  <si>
    <t>ZnS</t>
    <phoneticPr fontId="25" type="noConversion"/>
  </si>
  <si>
    <t>CuFeS2</t>
    <phoneticPr fontId="25" type="noConversion"/>
  </si>
  <si>
    <t>FeAsS</t>
    <phoneticPr fontId="25" type="noConversion"/>
  </si>
  <si>
    <t>FeNiS</t>
    <phoneticPr fontId="25" type="noConversion"/>
  </si>
  <si>
    <t>Co</t>
    <phoneticPr fontId="25" type="noConversion"/>
  </si>
  <si>
    <t>PbS</t>
    <phoneticPr fontId="25" type="noConversion"/>
  </si>
  <si>
    <r>
      <t>Note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-: not analysis.</t>
    </r>
    <phoneticPr fontId="7" type="noConversion"/>
  </si>
  <si>
    <t>Table S2. Trace element contents of sulfides at the Xunmei and Niaochao vent fields by LA-ICP-MS (ppm).</t>
    <phoneticPr fontId="7" type="noConversion"/>
  </si>
  <si>
    <t>Serial. No</t>
  </si>
  <si>
    <t>Comments</t>
  </si>
  <si>
    <t>57Fe</t>
  </si>
  <si>
    <t>34S</t>
  </si>
  <si>
    <t>65Cu</t>
  </si>
  <si>
    <t>66Zn</t>
  </si>
  <si>
    <t>59Co</t>
  </si>
  <si>
    <t>60Ni</t>
  </si>
  <si>
    <t>75As</t>
  </si>
  <si>
    <t>121Sb</t>
  </si>
  <si>
    <t>77Se</t>
  </si>
  <si>
    <t>115In</t>
  </si>
  <si>
    <t>118Sn</t>
  </si>
  <si>
    <t>197Au</t>
  </si>
  <si>
    <t>107Ag</t>
  </si>
  <si>
    <t>55Mn</t>
  </si>
  <si>
    <t>95Mo</t>
  </si>
  <si>
    <t>111Cd</t>
  </si>
  <si>
    <t>206Pb</t>
  </si>
  <si>
    <t>205Tl</t>
  </si>
  <si>
    <t>137Ba</t>
  </si>
  <si>
    <t>25Mg</t>
  </si>
  <si>
    <t>51V</t>
  </si>
  <si>
    <t>238U</t>
  </si>
  <si>
    <t>209Bi</t>
  </si>
  <si>
    <t>125Te</t>
  </si>
  <si>
    <t>Se/S*1000000</t>
  </si>
  <si>
    <t>Se/Tl</t>
  </si>
  <si>
    <t>Co/Ni</t>
  </si>
  <si>
    <t>Au/As</t>
    <phoneticPr fontId="7" type="noConversion"/>
  </si>
  <si>
    <r>
      <t>δ</t>
    </r>
    <r>
      <rPr>
        <b/>
        <vertAlign val="superscript"/>
        <sz val="12"/>
        <rFont val="Times New Roman"/>
        <family val="1"/>
      </rPr>
      <t>34</t>
    </r>
    <r>
      <rPr>
        <b/>
        <sz val="12"/>
        <rFont val="Times New Roman"/>
        <family val="1"/>
      </rPr>
      <t>S</t>
    </r>
    <r>
      <rPr>
        <b/>
        <vertAlign val="subscript"/>
        <sz val="12"/>
        <rFont val="Times New Roman"/>
        <family val="1"/>
      </rPr>
      <t>v-CDT</t>
    </r>
    <r>
      <rPr>
        <b/>
        <sz val="12"/>
        <rFont val="微软雅黑"/>
        <family val="2"/>
        <charset val="134"/>
      </rPr>
      <t>（</t>
    </r>
    <r>
      <rPr>
        <b/>
        <sz val="12"/>
        <rFont val="Times New Roman"/>
        <family val="1"/>
      </rPr>
      <t>‰</t>
    </r>
    <r>
      <rPr>
        <b/>
        <sz val="12"/>
        <rFont val="微软雅黑"/>
        <family val="2"/>
        <charset val="134"/>
      </rPr>
      <t>）</t>
    </r>
  </si>
  <si>
    <t>Delta-2SE</t>
  </si>
  <si>
    <t>I-Mrc1 (n=9)</t>
    <phoneticPr fontId="7" type="noConversion"/>
  </si>
  <si>
    <t>Aug25A069</t>
  </si>
  <si>
    <t>Mrc-1-1</t>
    <phoneticPr fontId="7" type="noConversion"/>
  </si>
  <si>
    <t>Aug25A070</t>
  </si>
  <si>
    <t>Mrc-1-2</t>
  </si>
  <si>
    <t>Aug25A071</t>
  </si>
  <si>
    <t>Mrc-1-3</t>
  </si>
  <si>
    <t>Aug25B004</t>
  </si>
  <si>
    <t>Mrc-1-4</t>
  </si>
  <si>
    <t/>
  </si>
  <si>
    <t>Aug25B005</t>
  </si>
  <si>
    <t>Mrc-1-5</t>
  </si>
  <si>
    <t>Aug25A030</t>
  </si>
  <si>
    <t>Mrc-1-6</t>
  </si>
  <si>
    <t>Aug25A031</t>
  </si>
  <si>
    <t>Mrc-1-7</t>
  </si>
  <si>
    <t>Aug25A052</t>
  </si>
  <si>
    <t>Mrc-1-8</t>
  </si>
  <si>
    <t>Aug25A053</t>
  </si>
  <si>
    <t>Mrc-1-9</t>
  </si>
  <si>
    <t>I-Py1 (n=9)</t>
    <phoneticPr fontId="7" type="noConversion"/>
  </si>
  <si>
    <t>Aug25A054</t>
  </si>
  <si>
    <t>Py-1-1</t>
    <phoneticPr fontId="7" type="noConversion"/>
  </si>
  <si>
    <t>Aug25A055</t>
  </si>
  <si>
    <t>Py-1-2</t>
  </si>
  <si>
    <t>Aug25A056</t>
  </si>
  <si>
    <t>Py-1-3</t>
  </si>
  <si>
    <t>Aug25A057</t>
  </si>
  <si>
    <t>Py-1-4</t>
  </si>
  <si>
    <t>Aug25A064</t>
  </si>
  <si>
    <t>Py-1-5</t>
  </si>
  <si>
    <t>Aug25A065</t>
  </si>
  <si>
    <t>Py-1-6</t>
  </si>
  <si>
    <t>Aug25A066</t>
  </si>
  <si>
    <t>Py-1-7</t>
  </si>
  <si>
    <t>Aug25A067</t>
  </si>
  <si>
    <t>Py-1-8</t>
  </si>
  <si>
    <t>Aug25A068</t>
  </si>
  <si>
    <t>Py-1-9</t>
  </si>
  <si>
    <t>I-Py2 (n=11)</t>
    <phoneticPr fontId="7" type="noConversion"/>
  </si>
  <si>
    <t>Aug25B008</t>
  </si>
  <si>
    <t>Py-2-1</t>
    <phoneticPr fontId="7" type="noConversion"/>
  </si>
  <si>
    <t>Aug25B009</t>
  </si>
  <si>
    <t>Py-2-2</t>
  </si>
  <si>
    <t>Aug25B011</t>
  </si>
  <si>
    <t>Py-2-3</t>
  </si>
  <si>
    <t>Aug25B012</t>
  </si>
  <si>
    <t>Py-2-4</t>
  </si>
  <si>
    <t>Aug25B016</t>
  </si>
  <si>
    <t>Py-2-5</t>
  </si>
  <si>
    <t>Aug25B017</t>
  </si>
  <si>
    <t>Py-2-6</t>
  </si>
  <si>
    <t>Aug25B021</t>
  </si>
  <si>
    <t>Py-2-7</t>
  </si>
  <si>
    <t>Aug25B029</t>
  </si>
  <si>
    <t>Py-2-8</t>
  </si>
  <si>
    <t>Aug25B034</t>
  </si>
  <si>
    <t>Py-2-9</t>
  </si>
  <si>
    <t>Aug25B019</t>
  </si>
  <si>
    <t>Py-2-10</t>
  </si>
  <si>
    <t>Aug25B020</t>
  </si>
  <si>
    <t>Py-2-11</t>
  </si>
  <si>
    <t>Aug25B007</t>
  </si>
  <si>
    <t>Mrc-2-1</t>
    <phoneticPr fontId="7" type="noConversion"/>
  </si>
  <si>
    <t>Aug25B010</t>
  </si>
  <si>
    <t>Mrc-2-2</t>
  </si>
  <si>
    <t>Aug25B018</t>
  </si>
  <si>
    <t>Mrc-2-3</t>
  </si>
  <si>
    <t>Aug25B024</t>
  </si>
  <si>
    <t>Mrc-2-4</t>
  </si>
  <si>
    <t>Aug25B028</t>
  </si>
  <si>
    <t>Mrc-2-5</t>
  </si>
  <si>
    <t>Aug25B030</t>
  </si>
  <si>
    <t>Mrc-2-6</t>
  </si>
  <si>
    <t>Aug25B031</t>
  </si>
  <si>
    <t>Mrc-2-7</t>
  </si>
  <si>
    <t>Aug25B032</t>
  </si>
  <si>
    <t>Mrc-2-8</t>
  </si>
  <si>
    <t>I-Py3 (n=24)</t>
    <phoneticPr fontId="7" type="noConversion"/>
  </si>
  <si>
    <t>Aug25B040</t>
  </si>
  <si>
    <t>Py-4a-1</t>
    <phoneticPr fontId="7" type="noConversion"/>
  </si>
  <si>
    <t>Aug25B045</t>
  </si>
  <si>
    <t>Py-4a-2</t>
  </si>
  <si>
    <t>Aug25B048</t>
  </si>
  <si>
    <t>Py-4a-3</t>
  </si>
  <si>
    <t>Aug25B053</t>
  </si>
  <si>
    <t>Py-4a-4</t>
  </si>
  <si>
    <t>Aug25B055</t>
  </si>
  <si>
    <t>Py-4a-5</t>
  </si>
  <si>
    <t>Aug25B057</t>
  </si>
  <si>
    <t>Py-4a-6</t>
  </si>
  <si>
    <t>Aug25B058</t>
  </si>
  <si>
    <t>Py-4a-7</t>
  </si>
  <si>
    <t>Aug25B059</t>
  </si>
  <si>
    <t>Py-4a-8</t>
  </si>
  <si>
    <t>Aug25B064</t>
  </si>
  <si>
    <t>Py-4a-9</t>
  </si>
  <si>
    <t>Aug25B065</t>
  </si>
  <si>
    <t>Py-4a-10</t>
  </si>
  <si>
    <t>Aug25B067</t>
  </si>
  <si>
    <t>Py-4a-11</t>
  </si>
  <si>
    <t>Aug25B069</t>
  </si>
  <si>
    <t>Py-4a-12</t>
  </si>
  <si>
    <t>Aug25B071</t>
  </si>
  <si>
    <t>Py-4a-13</t>
  </si>
  <si>
    <t>Aug25B077</t>
  </si>
  <si>
    <t>Py-4a-14</t>
  </si>
  <si>
    <t>Aug25B096</t>
  </si>
  <si>
    <t>Py-4a-15</t>
  </si>
  <si>
    <t>Aug25B078</t>
  </si>
  <si>
    <t>Py-4a-16</t>
  </si>
  <si>
    <t>Aug25A009</t>
  </si>
  <si>
    <t>Py-4b-1</t>
    <phoneticPr fontId="7" type="noConversion"/>
  </si>
  <si>
    <t>Aug25A023</t>
  </si>
  <si>
    <t>Py-4b-2</t>
  </si>
  <si>
    <t>Aug25A027</t>
  </si>
  <si>
    <t>Py-4b-3</t>
  </si>
  <si>
    <t>Aug25A028</t>
  </si>
  <si>
    <t>Py-4b-4</t>
  </si>
  <si>
    <t>Aug25A029</t>
  </si>
  <si>
    <t>Py-4b-5</t>
  </si>
  <si>
    <t>Aug25A032</t>
  </si>
  <si>
    <t>Py-4b-6</t>
  </si>
  <si>
    <t>Aug25A047</t>
  </si>
  <si>
    <t>Py-4b-7</t>
  </si>
  <si>
    <t>Aug25A051</t>
  </si>
  <si>
    <t>Py-4b-8</t>
  </si>
  <si>
    <t>I-Mrc3 (n=9)</t>
    <phoneticPr fontId="7" type="noConversion"/>
  </si>
  <si>
    <t>Aug26C052</t>
  </si>
  <si>
    <t>Mrc-i-1</t>
    <phoneticPr fontId="7" type="noConversion"/>
  </si>
  <si>
    <t>Aug26C056</t>
  </si>
  <si>
    <t>Mrc-i-2</t>
  </si>
  <si>
    <t>Aug26C057</t>
  </si>
  <si>
    <t>Mrc-i-3</t>
  </si>
  <si>
    <t>Aug26C058</t>
  </si>
  <si>
    <t>Mrc-i-4</t>
  </si>
  <si>
    <t>Aug26C062</t>
  </si>
  <si>
    <t>Mrc-i-5</t>
  </si>
  <si>
    <t>Aug26C064</t>
  </si>
  <si>
    <t>Mrc-i-6</t>
  </si>
  <si>
    <t>Aug26C076</t>
  </si>
  <si>
    <t>Mrc-i-7</t>
  </si>
  <si>
    <t>Aug26C077</t>
  </si>
  <si>
    <t>Mrc-i-8</t>
  </si>
  <si>
    <t>Aug26C089</t>
  </si>
  <si>
    <t>Mrc-i-9</t>
  </si>
  <si>
    <t>I-Py4 (n=62)</t>
    <phoneticPr fontId="7" type="noConversion"/>
  </si>
  <si>
    <t>Aug25B035</t>
  </si>
  <si>
    <t>Py-3a-1</t>
    <phoneticPr fontId="7" type="noConversion"/>
  </si>
  <si>
    <t>Aug25B041</t>
  </si>
  <si>
    <t>Py-3a-2</t>
  </si>
  <si>
    <t>Aug25B042</t>
  </si>
  <si>
    <t>Py-3a-3</t>
  </si>
  <si>
    <t>Aug25B044</t>
  </si>
  <si>
    <t>Py-3a-4</t>
  </si>
  <si>
    <t>Aug25B046</t>
  </si>
  <si>
    <t>Py-3a-5</t>
  </si>
  <si>
    <t>Aug25B047</t>
  </si>
  <si>
    <t>Py-3a-6</t>
  </si>
  <si>
    <t>Aug25B052</t>
  </si>
  <si>
    <t>Py-3a-7</t>
  </si>
  <si>
    <t>Aug25B054</t>
  </si>
  <si>
    <t>Py-3a-8</t>
  </si>
  <si>
    <t>Aug25B056</t>
  </si>
  <si>
    <t>Py-3a-9</t>
  </si>
  <si>
    <t>Aug25B060</t>
  </si>
  <si>
    <t>Py-3a-10</t>
  </si>
  <si>
    <t>Aug25B066</t>
  </si>
  <si>
    <t>Py-3a-11</t>
  </si>
  <si>
    <t>Aug25B068</t>
  </si>
  <si>
    <t>Py-3a-12</t>
  </si>
  <si>
    <t>Aug25B070</t>
  </si>
  <si>
    <t>Py-3a-13</t>
  </si>
  <si>
    <t>Aug25B072</t>
  </si>
  <si>
    <t>Py-3a-14</t>
  </si>
  <si>
    <t>Aug25B076</t>
  </si>
  <si>
    <t>Py-3a-15</t>
  </si>
  <si>
    <t>Aug25B043</t>
  </si>
  <si>
    <t>Py-3a-16</t>
  </si>
  <si>
    <t>Aug25B079</t>
  </si>
  <si>
    <t>Py-3a-17</t>
  </si>
  <si>
    <t>Aug25B080</t>
  </si>
  <si>
    <t>Py-3a-18</t>
  </si>
  <si>
    <t>Aug25B081</t>
  </si>
  <si>
    <t>Py-3a-19</t>
  </si>
  <si>
    <t>Aug25B082</t>
  </si>
  <si>
    <t>Py-3a-20</t>
  </si>
  <si>
    <t>Aug25B083</t>
  </si>
  <si>
    <t>Py-3a-21</t>
  </si>
  <si>
    <t>Aug25B084</t>
  </si>
  <si>
    <t>Py-3a-22</t>
  </si>
  <si>
    <t>Aug25B088</t>
  </si>
  <si>
    <t>Py-3a-23</t>
  </si>
  <si>
    <t>Aug25B089</t>
  </si>
  <si>
    <t>Py-3a-24</t>
  </si>
  <si>
    <t>Aug25B090</t>
  </si>
  <si>
    <t>Py-3a-25</t>
  </si>
  <si>
    <t>Aug25B091</t>
  </si>
  <si>
    <t>Py-3a-26</t>
  </si>
  <si>
    <t>Aug25B092</t>
  </si>
  <si>
    <t>Py-3a-27</t>
  </si>
  <si>
    <t>Aug25B093</t>
  </si>
  <si>
    <t>Py-3a-28</t>
  </si>
  <si>
    <t>Aug25B094</t>
  </si>
  <si>
    <t>Py-3a-29</t>
  </si>
  <si>
    <t>Aug25B095</t>
  </si>
  <si>
    <t>Py-3a-30</t>
  </si>
  <si>
    <t>Aug25D046</t>
  </si>
  <si>
    <t>Py-3b-1</t>
    <phoneticPr fontId="7" type="noConversion"/>
  </si>
  <si>
    <t>Aug25D047</t>
  </si>
  <si>
    <t>Py-3b-2</t>
  </si>
  <si>
    <t>Aug25D051</t>
  </si>
  <si>
    <t>Py-3b-3</t>
  </si>
  <si>
    <t>Aug25D052</t>
  </si>
  <si>
    <t>Py-3b-4</t>
  </si>
  <si>
    <t>Aug25D053</t>
  </si>
  <si>
    <t>Py-3b-5</t>
  </si>
  <si>
    <t>Aug25D054</t>
  </si>
  <si>
    <t>Py-3b-6</t>
  </si>
  <si>
    <t>Aug25D055</t>
  </si>
  <si>
    <t>Py-3b-7</t>
  </si>
  <si>
    <t>Aug25D056</t>
  </si>
  <si>
    <t>Py-3b-8</t>
  </si>
  <si>
    <t>Aug25D057</t>
  </si>
  <si>
    <t>Py-3b-9</t>
  </si>
  <si>
    <t>Aug25D058</t>
  </si>
  <si>
    <t>Py-3b-10</t>
  </si>
  <si>
    <t>Aug25D059</t>
  </si>
  <si>
    <t>Py-3b-11</t>
  </si>
  <si>
    <t>Aug25D063</t>
  </si>
  <si>
    <t>Py-3b-12</t>
  </si>
  <si>
    <t>Aug25D064</t>
  </si>
  <si>
    <t>Py-3b-13</t>
  </si>
  <si>
    <t>Aug25D065</t>
  </si>
  <si>
    <t>Py-3b-14</t>
  </si>
  <si>
    <t>Aug25D066</t>
  </si>
  <si>
    <t>Py-3b-15</t>
  </si>
  <si>
    <t>Aug25D067</t>
  </si>
  <si>
    <t>Py-3b-16</t>
  </si>
  <si>
    <t>Aug25D068</t>
  </si>
  <si>
    <t>Py-3b-17</t>
  </si>
  <si>
    <t>Aug25A004</t>
  </si>
  <si>
    <t>Py-3c-1</t>
    <phoneticPr fontId="7" type="noConversion"/>
  </si>
  <si>
    <t>Aug25A005</t>
  </si>
  <si>
    <t>Py-3c-2</t>
  </si>
  <si>
    <t>Aug25A006</t>
  </si>
  <si>
    <t>Py-3c-3</t>
  </si>
  <si>
    <t>Aug25A007</t>
  </si>
  <si>
    <t>Py-3c-4</t>
  </si>
  <si>
    <t>Aug25A008</t>
  </si>
  <si>
    <t>Py-3c-5</t>
  </si>
  <si>
    <t>Aug25A010</t>
  </si>
  <si>
    <t>Py-3c-6</t>
  </si>
  <si>
    <t>Aug25A011</t>
  </si>
  <si>
    <t>Py-3c-7</t>
  </si>
  <si>
    <t>Aug25A015</t>
  </si>
  <si>
    <t>Py-3c-8</t>
  </si>
  <si>
    <t>Aug25A016</t>
  </si>
  <si>
    <t>Py-3c-9</t>
  </si>
  <si>
    <t>Aug25A017</t>
  </si>
  <si>
    <t>Py-3c-10</t>
  </si>
  <si>
    <t>Aug25A018</t>
  </si>
  <si>
    <t>Py-3c-11</t>
  </si>
  <si>
    <t>Aug25A019</t>
  </si>
  <si>
    <t>Py-3c-12</t>
  </si>
  <si>
    <t>Aug25A020</t>
  </si>
  <si>
    <t>Py-3c-13</t>
  </si>
  <si>
    <t>Aug25A021</t>
  </si>
  <si>
    <t>Py-3c-14</t>
  </si>
  <si>
    <t>Aug25A022</t>
  </si>
  <si>
    <t>Py-3c-15</t>
  </si>
  <si>
    <t>I-Ccp1 (n=15)</t>
    <phoneticPr fontId="7" type="noConversion"/>
  </si>
  <si>
    <t>Aug25D005</t>
  </si>
  <si>
    <t>Ccp-1-1</t>
    <phoneticPr fontId="7" type="noConversion"/>
  </si>
  <si>
    <t>Aug25D006</t>
  </si>
  <si>
    <t>Ccp-1-2</t>
  </si>
  <si>
    <t>Aug25D007</t>
  </si>
  <si>
    <t>Ccp-1-3</t>
  </si>
  <si>
    <t>Aug25D008</t>
  </si>
  <si>
    <t>Ccp-1-4</t>
  </si>
  <si>
    <t>Aug25D009</t>
  </si>
  <si>
    <t>Ccp-1-5</t>
  </si>
  <si>
    <t>Aug25D010</t>
  </si>
  <si>
    <t>Ccp-1-6</t>
  </si>
  <si>
    <t>Aug25D011</t>
  </si>
  <si>
    <t>Ccp-1-7</t>
  </si>
  <si>
    <t>Aug25D015</t>
  </si>
  <si>
    <t>Ccp-1-8</t>
  </si>
  <si>
    <t>Aug25D016</t>
  </si>
  <si>
    <t>Ccp-1-9</t>
  </si>
  <si>
    <t>Aug25D017</t>
  </si>
  <si>
    <t>Ccp-1-10</t>
  </si>
  <si>
    <t>Aug25D018</t>
  </si>
  <si>
    <t>Ccp-1-11</t>
  </si>
  <si>
    <t>Aug25D019</t>
  </si>
  <si>
    <t>Ccp-1-12</t>
  </si>
  <si>
    <t>Aug25D020</t>
  </si>
  <si>
    <t>Ccp-1-13</t>
  </si>
  <si>
    <t>Aug25D021</t>
  </si>
  <si>
    <t>Ccp-1-14</t>
  </si>
  <si>
    <t>Aug25D022</t>
  </si>
  <si>
    <t>Ccp-1-15</t>
  </si>
  <si>
    <t>I-Ccp2 (n=22)</t>
    <phoneticPr fontId="7" type="noConversion"/>
  </si>
  <si>
    <t>Aug25D028</t>
  </si>
  <si>
    <t>Ccp-2a</t>
    <phoneticPr fontId="7" type="noConversion"/>
  </si>
  <si>
    <t>Aug25D029</t>
  </si>
  <si>
    <t>Ccp-3a</t>
  </si>
  <si>
    <t>Aug25D030</t>
  </si>
  <si>
    <t>Ccp-4a</t>
  </si>
  <si>
    <t>Aug25D032</t>
  </si>
  <si>
    <t>Ccp-5a</t>
  </si>
  <si>
    <t>Aug25D033</t>
  </si>
  <si>
    <t>Ccp-6a</t>
  </si>
  <si>
    <t>Aug25D034</t>
  </si>
  <si>
    <t>Ccp-7a</t>
  </si>
  <si>
    <t>Aug25D039</t>
  </si>
  <si>
    <t>Ccp-8a</t>
  </si>
  <si>
    <t>Aug25D040</t>
  </si>
  <si>
    <t>Ccp-9a</t>
  </si>
  <si>
    <t>Aug25D041</t>
  </si>
  <si>
    <t>Ccp-10a</t>
  </si>
  <si>
    <t>Aug25D042</t>
  </si>
  <si>
    <t>Ccp-11a</t>
  </si>
  <si>
    <t>Aug25D043</t>
  </si>
  <si>
    <t>Ccp-12a</t>
  </si>
  <si>
    <t>Aug25D045</t>
  </si>
  <si>
    <t>Ccp-13a</t>
  </si>
  <si>
    <t>Aug25A034</t>
  </si>
  <si>
    <t>Ccp-2b-1</t>
    <phoneticPr fontId="7" type="noConversion"/>
  </si>
  <si>
    <t>Aug25A035</t>
  </si>
  <si>
    <t>Ccp-2b-2</t>
  </si>
  <si>
    <t>Aug25A039</t>
  </si>
  <si>
    <t>Ccp-2b-3</t>
  </si>
  <si>
    <t>Aug25A040</t>
  </si>
  <si>
    <t>Ccp-2b-4</t>
  </si>
  <si>
    <t>Aug25A041</t>
  </si>
  <si>
    <t>Ccp-2b-5</t>
  </si>
  <si>
    <t>Aug25A042</t>
  </si>
  <si>
    <t>Ccp-2b-6</t>
  </si>
  <si>
    <t>Aug25A043</t>
  </si>
  <si>
    <t>Ccp-2b-7</t>
  </si>
  <si>
    <t>Aug25A044</t>
  </si>
  <si>
    <t>Ccp-2b-8</t>
  </si>
  <si>
    <t>Aug25A045</t>
  </si>
  <si>
    <t>Ccp-2b-9</t>
  </si>
  <si>
    <t>Aug25A046</t>
  </si>
  <si>
    <t>Ccp-2b-10</t>
  </si>
  <si>
    <t>II-Mrc2 (n = 10)</t>
    <phoneticPr fontId="7" type="noConversion"/>
  </si>
  <si>
    <t>24July05B063</t>
  </si>
  <si>
    <t xml:space="preserve"> Mrc-2-1-2-6</t>
    <phoneticPr fontId="7" type="noConversion"/>
  </si>
  <si>
    <t>24July05B064</t>
  </si>
  <si>
    <t xml:space="preserve"> Mrc-2-1-2-7</t>
    <phoneticPr fontId="7" type="noConversion"/>
  </si>
  <si>
    <t>24July05B065</t>
  </si>
  <si>
    <t xml:space="preserve"> Mrc-2-1-2-8</t>
    <phoneticPr fontId="7" type="noConversion"/>
  </si>
  <si>
    <t>24July05C046</t>
  </si>
  <si>
    <t xml:space="preserve"> Mrc-2-2-2-3</t>
    <phoneticPr fontId="29" type="noConversion"/>
  </si>
  <si>
    <t>24July05C048</t>
  </si>
  <si>
    <t xml:space="preserve"> Mrc-2-2-2-5</t>
    <phoneticPr fontId="29" type="noConversion"/>
  </si>
  <si>
    <t>24July05C050</t>
  </si>
  <si>
    <t xml:space="preserve"> Mrc-2-2-2-7</t>
    <phoneticPr fontId="29" type="noConversion"/>
  </si>
  <si>
    <t>24July05C057</t>
  </si>
  <si>
    <t xml:space="preserve"> Mrc-2-2-2-11</t>
    <phoneticPr fontId="29" type="noConversion"/>
  </si>
  <si>
    <t>24July05C076</t>
  </si>
  <si>
    <t xml:space="preserve"> Mrc-2-2-6-2</t>
    <phoneticPr fontId="29" type="noConversion"/>
  </si>
  <si>
    <t>24July05C081</t>
  </si>
  <si>
    <t xml:space="preserve"> Mrc-2-2-6-4</t>
    <phoneticPr fontId="29" type="noConversion"/>
  </si>
  <si>
    <t>24July05C083</t>
  </si>
  <si>
    <t xml:space="preserve"> Mrc-2-2-6-6</t>
    <phoneticPr fontId="29" type="noConversion"/>
  </si>
  <si>
    <t>Median</t>
    <phoneticPr fontId="29" type="noConversion"/>
  </si>
  <si>
    <t>Avg</t>
    <phoneticPr fontId="29" type="noConversion"/>
  </si>
  <si>
    <t>SD</t>
    <phoneticPr fontId="29" type="noConversion"/>
  </si>
  <si>
    <t>II-Py2 (n = 10)</t>
    <phoneticPr fontId="7" type="noConversion"/>
  </si>
  <si>
    <t>24July05B058</t>
  </si>
  <si>
    <t>Py-2-1-2-1</t>
    <phoneticPr fontId="7" type="noConversion"/>
  </si>
  <si>
    <t>24July05B059</t>
  </si>
  <si>
    <t>Py-2-1-2-2</t>
    <phoneticPr fontId="7" type="noConversion"/>
  </si>
  <si>
    <t>24July05B060</t>
  </si>
  <si>
    <t>Py-2-1-2-3</t>
    <phoneticPr fontId="7" type="noConversion"/>
  </si>
  <si>
    <t>24July05C045</t>
  </si>
  <si>
    <t xml:space="preserve"> Py-2-2-2-2</t>
    <phoneticPr fontId="7" type="noConversion"/>
  </si>
  <si>
    <t>24July05C047</t>
  </si>
  <si>
    <t xml:space="preserve"> Py-2-2-2-4</t>
    <phoneticPr fontId="7" type="noConversion"/>
  </si>
  <si>
    <t>24July05C049</t>
  </si>
  <si>
    <t xml:space="preserve"> Py-2-2-2-6</t>
    <phoneticPr fontId="7" type="noConversion"/>
  </si>
  <si>
    <t>24July05C056</t>
  </si>
  <si>
    <t xml:space="preserve"> Py-2-2-2-10</t>
    <phoneticPr fontId="7" type="noConversion"/>
  </si>
  <si>
    <t>24July05C075</t>
  </si>
  <si>
    <t xml:space="preserve"> Py-2-2-6-1</t>
    <phoneticPr fontId="7" type="noConversion"/>
  </si>
  <si>
    <t>24July05C080</t>
  </si>
  <si>
    <t xml:space="preserve"> Py-2-2-6-3</t>
    <phoneticPr fontId="7" type="noConversion"/>
  </si>
  <si>
    <t>24July05C082</t>
  </si>
  <si>
    <t xml:space="preserve"> Py-2-2-6-5</t>
    <phoneticPr fontId="7" type="noConversion"/>
  </si>
  <si>
    <t>II-Ccp (n = 8)</t>
    <phoneticPr fontId="7" type="noConversion"/>
  </si>
  <si>
    <t>24July05B023</t>
  </si>
  <si>
    <t xml:space="preserve"> 1-2-5-Ccp-1</t>
  </si>
  <si>
    <t>24July05B024</t>
  </si>
  <si>
    <t xml:space="preserve"> 1-2-5-Ccp-2</t>
  </si>
  <si>
    <t>24July05B025</t>
  </si>
  <si>
    <t xml:space="preserve"> 1-2-5-Ccp-3</t>
  </si>
  <si>
    <t>24July05B026</t>
  </si>
  <si>
    <t xml:space="preserve"> 1-2-5-Ccp-4</t>
  </si>
  <si>
    <t>24July05B030</t>
  </si>
  <si>
    <t xml:space="preserve"> 1-2-5-Ccp-5</t>
  </si>
  <si>
    <t>24July05B031</t>
  </si>
  <si>
    <t xml:space="preserve"> 1-2-7-Ccp-1</t>
  </si>
  <si>
    <t>24July05B032</t>
  </si>
  <si>
    <t xml:space="preserve"> 1-2-7-Ccp-2</t>
  </si>
  <si>
    <t>24July05B033</t>
  </si>
  <si>
    <t xml:space="preserve"> 1-2-7-Ccp-3</t>
  </si>
  <si>
    <t>Abbreviations: Mrc = marcasite; Py = pyrite; Ccp = chalcopyrite; Avg = average concentration; SD = standard deviation; Min = minimum; Max = maximum. bdl = below detection limit; n = number of analyses.</t>
  </si>
  <si>
    <t>Detection of Limit (DOL)</t>
    <phoneticPr fontId="7" type="noConversion"/>
  </si>
  <si>
    <t>Fe</t>
  </si>
  <si>
    <t>S</t>
  </si>
  <si>
    <t>Cu</t>
  </si>
  <si>
    <t>Zn</t>
  </si>
  <si>
    <t>Co</t>
  </si>
  <si>
    <t>Ni</t>
  </si>
  <si>
    <t>As</t>
  </si>
  <si>
    <t>Sb</t>
  </si>
  <si>
    <t>Se</t>
  </si>
  <si>
    <t>In</t>
  </si>
  <si>
    <t>Sn</t>
  </si>
  <si>
    <t>Au</t>
  </si>
  <si>
    <t>Ag</t>
  </si>
  <si>
    <t>Mn</t>
  </si>
  <si>
    <t>Mo</t>
  </si>
  <si>
    <t>Cd</t>
  </si>
  <si>
    <t>Pb</t>
  </si>
  <si>
    <t>Tl</t>
  </si>
  <si>
    <t>Ba</t>
  </si>
  <si>
    <t>Mg</t>
  </si>
  <si>
    <t>V</t>
  </si>
  <si>
    <t>U</t>
  </si>
  <si>
    <t>Bi</t>
  </si>
  <si>
    <t>Te</t>
  </si>
  <si>
    <t>Median of Py DOL</t>
    <phoneticPr fontId="7" type="noConversion"/>
  </si>
  <si>
    <t>1/2Median of Py DOL</t>
    <phoneticPr fontId="7" type="noConversion"/>
  </si>
  <si>
    <t>Mean of of Py DOL</t>
    <phoneticPr fontId="7" type="noConversion"/>
  </si>
  <si>
    <t xml:space="preserve"> 2-1-2-Mrc-6</t>
  </si>
  <si>
    <t xml:space="preserve"> 2-1-2-Mrc-7</t>
  </si>
  <si>
    <t xml:space="preserve"> 2-1-2-Mrc-8</t>
  </si>
  <si>
    <t xml:space="preserve"> 2-2-2-Mrc-3</t>
    <phoneticPr fontId="29" type="noConversion"/>
  </si>
  <si>
    <t xml:space="preserve"> 2-2-2-Mrc-5</t>
    <phoneticPr fontId="29" type="noConversion"/>
  </si>
  <si>
    <t xml:space="preserve"> 2-2-2-Mrc-7</t>
    <phoneticPr fontId="29" type="noConversion"/>
  </si>
  <si>
    <t xml:space="preserve"> 2-2-2-Mrc-11</t>
    <phoneticPr fontId="29" type="noConversion"/>
  </si>
  <si>
    <t xml:space="preserve"> 2-2-6-Mrc-2</t>
    <phoneticPr fontId="29" type="noConversion"/>
  </si>
  <si>
    <t xml:space="preserve"> 2-2-6-Mrc-4</t>
    <phoneticPr fontId="29" type="noConversion"/>
  </si>
  <si>
    <t xml:space="preserve"> 2-2-6-Mrc-6</t>
    <phoneticPr fontId="29" type="noConversion"/>
  </si>
  <si>
    <t>Error (1 Sigma)</t>
    <phoneticPr fontId="7" type="noConversion"/>
  </si>
  <si>
    <t>Pb</t>
    <phoneticPr fontId="30" type="noConversion"/>
  </si>
  <si>
    <t xml:space="preserve"> 2-1-2-Py-1</t>
  </si>
  <si>
    <t xml:space="preserve"> 2-1-2-Py-2</t>
  </si>
  <si>
    <t xml:space="preserve"> 2-1-2-Py-3</t>
  </si>
  <si>
    <t xml:space="preserve"> 2-2-2-Py-2</t>
  </si>
  <si>
    <t xml:space="preserve"> 2-2-2-Py-4</t>
  </si>
  <si>
    <t xml:space="preserve"> 2-2-2-Py-6</t>
  </si>
  <si>
    <t xml:space="preserve"> 2-2-2-Py-10</t>
  </si>
  <si>
    <t xml:space="preserve"> 2-2-6-Py-1</t>
  </si>
  <si>
    <t xml:space="preserve"> 2-2-6-Py-3</t>
  </si>
  <si>
    <t xml:space="preserve"> 2-2-6-Py-5</t>
  </si>
  <si>
    <t>Table S3. Trace element data of standard of pyrite (NMC-12744), MASS-1 (Fe-Cu-Zn-S pressed pellet) and GSE-1G (synthetic basaltic glass)  for LA-ICP-MS analysis</t>
    <phoneticPr fontId="7" type="noConversion"/>
  </si>
  <si>
    <t xml:space="preserve">Standard </t>
    <phoneticPr fontId="7" type="noConversion"/>
  </si>
  <si>
    <t>Na</t>
  </si>
  <si>
    <t>Al</t>
  </si>
  <si>
    <t>Si</t>
  </si>
  <si>
    <t>K</t>
  </si>
  <si>
    <t>Ca</t>
  </si>
  <si>
    <t>Sc</t>
  </si>
  <si>
    <t>Ti</t>
  </si>
  <si>
    <t>Cr</t>
  </si>
  <si>
    <t>Ga</t>
  </si>
  <si>
    <t>Ge</t>
  </si>
  <si>
    <t>Rb</t>
  </si>
  <si>
    <t>Sr</t>
  </si>
  <si>
    <t>Y</t>
  </si>
  <si>
    <t>W</t>
  </si>
  <si>
    <t>Th</t>
  </si>
  <si>
    <t>MASS-1</t>
  </si>
  <si>
    <t>Aug25A003</t>
  </si>
  <si>
    <t>Aug25A014</t>
  </si>
  <si>
    <t>Aug25A026</t>
  </si>
  <si>
    <t>Aug25A038</t>
  </si>
  <si>
    <t>Aug25A050</t>
  </si>
  <si>
    <t>Aug25A062</t>
  </si>
  <si>
    <t>Aug25A074</t>
  </si>
  <si>
    <t>Aug25B003</t>
  </si>
  <si>
    <t>Aug25B015</t>
  </si>
  <si>
    <t>Aug25B027</t>
  </si>
  <si>
    <t>Aug25B039</t>
  </si>
  <si>
    <t>Aug25B051</t>
  </si>
  <si>
    <t>Aug25B063</t>
  </si>
  <si>
    <t>Aug25B075</t>
  </si>
  <si>
    <t>Aug25B087</t>
  </si>
  <si>
    <t>Aug25B099</t>
  </si>
  <si>
    <t>Aug26C003</t>
  </si>
  <si>
    <t>Aug26C016</t>
  </si>
  <si>
    <t>Aug26C029</t>
  </si>
  <si>
    <t>Aug26C042</t>
  </si>
  <si>
    <t>Aug26C055</t>
  </si>
  <si>
    <t>GSE-1G</t>
  </si>
  <si>
    <t>Aug25A001</t>
  </si>
  <si>
    <t>Aug25A012</t>
  </si>
  <si>
    <t>Aug25A024</t>
  </si>
  <si>
    <t>Aug25A036</t>
  </si>
  <si>
    <t>Aug25A048</t>
  </si>
  <si>
    <t>Aug25A060</t>
  </si>
  <si>
    <t>Aug25A072</t>
  </si>
  <si>
    <t>Aug25B001</t>
  </si>
  <si>
    <t>Aug25B013</t>
  </si>
  <si>
    <t>Aug25B025</t>
  </si>
  <si>
    <t>Aug25B037</t>
  </si>
  <si>
    <t>Aug25B049</t>
  </si>
  <si>
    <t>Aug25B061</t>
  </si>
  <si>
    <t>Aug25B073</t>
  </si>
  <si>
    <t>Aug25B085</t>
  </si>
  <si>
    <t>Aug25B097</t>
  </si>
  <si>
    <t>Aug26C001</t>
  </si>
  <si>
    <t>Aug26C014</t>
  </si>
  <si>
    <t>Aug26C027</t>
  </si>
  <si>
    <t>Aug26C040</t>
  </si>
  <si>
    <t>Aug26C053</t>
  </si>
  <si>
    <t>Py (NMC-12744)</t>
    <phoneticPr fontId="7" type="noConversion"/>
  </si>
  <si>
    <t>Aug25A002</t>
  </si>
  <si>
    <t>Aug25A013</t>
  </si>
  <si>
    <t>Aug25A025</t>
  </si>
  <si>
    <t>Aug25A037</t>
  </si>
  <si>
    <t>Aug25A049</t>
  </si>
  <si>
    <t>Aug25A061</t>
  </si>
  <si>
    <t>Aug25A073</t>
  </si>
  <si>
    <t>Aug25B002</t>
  </si>
  <si>
    <t>Aug25B014</t>
  </si>
  <si>
    <t>Aug25B026</t>
  </si>
  <si>
    <t>Aug25B038</t>
  </si>
  <si>
    <t>Aug25B050</t>
  </si>
  <si>
    <t>Aug25B062</t>
  </si>
  <si>
    <t>Aug25B074</t>
  </si>
  <si>
    <t>Aug25B086</t>
  </si>
  <si>
    <t>Aug25B098</t>
  </si>
  <si>
    <t>Recommended value</t>
    <phoneticPr fontId="7" type="noConversion"/>
  </si>
  <si>
    <t>Py</t>
  </si>
  <si>
    <t>Table S4. In-situ sulfur isotope compositions of sulfides at the Xunmei and Niaochao vent fields by LA-MC-ICP-MS.</t>
    <phoneticPr fontId="7" type="noConversion"/>
  </si>
  <si>
    <t>Sample Name</t>
  </si>
  <si>
    <t>File Name</t>
  </si>
  <si>
    <r>
      <rPr>
        <b/>
        <sz val="12"/>
        <rFont val="Times New Roman"/>
        <family val="1"/>
      </rPr>
      <t>δ</t>
    </r>
    <r>
      <rPr>
        <b/>
        <vertAlign val="superscript"/>
        <sz val="12"/>
        <rFont val="Times New Roman"/>
        <family val="1"/>
      </rPr>
      <t>34</t>
    </r>
    <r>
      <rPr>
        <b/>
        <sz val="12"/>
        <rFont val="Times New Roman"/>
        <family val="1"/>
      </rPr>
      <t>S</t>
    </r>
    <r>
      <rPr>
        <b/>
        <vertAlign val="subscript"/>
        <sz val="12"/>
        <rFont val="Times New Roman"/>
        <family val="1"/>
      </rPr>
      <t xml:space="preserve">v-CDT </t>
    </r>
    <r>
      <rPr>
        <b/>
        <sz val="12"/>
        <rFont val="Times New Roman"/>
        <family val="1"/>
      </rPr>
      <t>(‰)</t>
    </r>
  </si>
  <si>
    <t>Mean (‰)</t>
    <phoneticPr fontId="7" type="noConversion"/>
  </si>
  <si>
    <t>SD (‰)</t>
    <phoneticPr fontId="7" type="noConversion"/>
  </si>
  <si>
    <t>I-Mrc1</t>
    <phoneticPr fontId="7" type="noConversion"/>
  </si>
  <si>
    <t>S19B038</t>
  </si>
  <si>
    <t>S19B039</t>
  </si>
  <si>
    <t>S19B043</t>
  </si>
  <si>
    <t>J18C108</t>
  </si>
  <si>
    <t>I-Py1</t>
    <phoneticPr fontId="7" type="noConversion"/>
  </si>
  <si>
    <t>S19B034</t>
  </si>
  <si>
    <t>S19B035</t>
  </si>
  <si>
    <t>S19B040</t>
  </si>
  <si>
    <t>I-Py2</t>
    <phoneticPr fontId="7" type="noConversion"/>
  </si>
  <si>
    <t>S19B044</t>
  </si>
  <si>
    <t>S19B046</t>
  </si>
  <si>
    <t>J18C107</t>
  </si>
  <si>
    <t>I-Mrc2</t>
    <phoneticPr fontId="7" type="noConversion"/>
  </si>
  <si>
    <t>S19B045</t>
  </si>
  <si>
    <t>S19B047</t>
  </si>
  <si>
    <t>J18C110</t>
  </si>
  <si>
    <t>I-Py3</t>
    <phoneticPr fontId="7" type="noConversion"/>
  </si>
  <si>
    <t>S19B063</t>
  </si>
  <si>
    <t>S19B065</t>
  </si>
  <si>
    <t>S19B069</t>
  </si>
  <si>
    <t>J18C116</t>
  </si>
  <si>
    <t>J18C113</t>
  </si>
  <si>
    <t>S19B025</t>
  </si>
  <si>
    <t>S19B033</t>
  </si>
  <si>
    <t>I-Mrc3</t>
    <phoneticPr fontId="7" type="noConversion"/>
  </si>
  <si>
    <t>S19B015</t>
  </si>
  <si>
    <t>S19B016</t>
  </si>
  <si>
    <t>S19B017</t>
  </si>
  <si>
    <t>S19A086</t>
  </si>
  <si>
    <t>S19A087</t>
  </si>
  <si>
    <t>S19A088</t>
  </si>
  <si>
    <t>I-Py4</t>
    <phoneticPr fontId="7" type="noConversion"/>
  </si>
  <si>
    <t>S19B062</t>
  </si>
  <si>
    <t>S19B064</t>
  </si>
  <si>
    <t>S19B068</t>
  </si>
  <si>
    <t>S19B070</t>
  </si>
  <si>
    <t>J18C115</t>
  </si>
  <si>
    <t>J18C114</t>
  </si>
  <si>
    <t>S19B052</t>
  </si>
  <si>
    <t>S19B053</t>
  </si>
  <si>
    <t>S19B054</t>
  </si>
  <si>
    <t>S19B074</t>
  </si>
  <si>
    <t>S19B075</t>
  </si>
  <si>
    <t>S19B076</t>
  </si>
  <si>
    <t>S19B024</t>
  </si>
  <si>
    <t>S19B026</t>
  </si>
  <si>
    <t>I-Ccp1</t>
    <phoneticPr fontId="7" type="noConversion"/>
  </si>
  <si>
    <t>S20A035</t>
  </si>
  <si>
    <t>S20A036</t>
  </si>
  <si>
    <t>S20A039</t>
  </si>
  <si>
    <t>I-Ccp2</t>
    <phoneticPr fontId="7" type="noConversion"/>
  </si>
  <si>
    <t>S20A040</t>
  </si>
  <si>
    <t>S20A041</t>
  </si>
  <si>
    <t>S20A042</t>
  </si>
  <si>
    <t>S20A033</t>
  </si>
  <si>
    <t>S20A034</t>
  </si>
  <si>
    <t>Total (Xunmei)</t>
    <phoneticPr fontId="7" type="noConversion"/>
  </si>
  <si>
    <t>II-Mrc2</t>
    <phoneticPr fontId="7" type="noConversion"/>
  </si>
  <si>
    <t>A19A071</t>
  </si>
  <si>
    <t>A19A073</t>
  </si>
  <si>
    <t>A19A114</t>
  </si>
  <si>
    <t>A19A119</t>
  </si>
  <si>
    <t>A19A121</t>
  </si>
  <si>
    <t>A19A141</t>
  </si>
  <si>
    <t>II-Py2</t>
    <phoneticPr fontId="7" type="noConversion"/>
  </si>
  <si>
    <t>A19A068</t>
  </si>
  <si>
    <t>A19A072</t>
  </si>
  <si>
    <t>A19A116</t>
  </si>
  <si>
    <t>A19A120</t>
  </si>
  <si>
    <t>A19A140</t>
  </si>
  <si>
    <t>II-Ccp</t>
    <phoneticPr fontId="7" type="noConversion"/>
  </si>
  <si>
    <t>A19B009</t>
  </si>
  <si>
    <t>A19B010</t>
  </si>
  <si>
    <t>A19B013</t>
  </si>
  <si>
    <t>A19B014</t>
  </si>
  <si>
    <t>Total (Niaochao)</t>
    <phoneticPr fontId="7" type="noConversion"/>
  </si>
  <si>
    <t>Pyrite standard</t>
  </si>
  <si>
    <t>PPP-1</t>
  </si>
  <si>
    <t>S19A072</t>
  </si>
  <si>
    <t>S19A073</t>
  </si>
  <si>
    <t>S19A076</t>
  </si>
  <si>
    <t>S19A077</t>
  </si>
  <si>
    <t>S19A082</t>
  </si>
  <si>
    <t>S19A083</t>
  </si>
  <si>
    <t>S19A089</t>
  </si>
  <si>
    <t>S19A090</t>
  </si>
  <si>
    <t>S19A097</t>
  </si>
  <si>
    <t>S19A098</t>
  </si>
  <si>
    <t>S19A101</t>
  </si>
  <si>
    <t>S19A102</t>
  </si>
  <si>
    <t>S19B001</t>
  </si>
  <si>
    <t>S19B002</t>
  </si>
  <si>
    <t>S19B007</t>
  </si>
  <si>
    <t>S19B008</t>
  </si>
  <si>
    <t>S19B013</t>
  </si>
  <si>
    <t>S19B014</t>
  </si>
  <si>
    <t>S19B018</t>
  </si>
  <si>
    <t>S19B019</t>
  </si>
  <si>
    <t>S19B022</t>
  </si>
  <si>
    <t>S19B023</t>
  </si>
  <si>
    <t>S19B027</t>
  </si>
  <si>
    <t>S19B028</t>
  </si>
  <si>
    <t>S19B031</t>
  </si>
  <si>
    <t>S19B032</t>
  </si>
  <si>
    <t>S19B036</t>
  </si>
  <si>
    <t>S19B037</t>
  </si>
  <si>
    <t>S19B041</t>
  </si>
  <si>
    <t>S19B042</t>
  </si>
  <si>
    <t>S19B048</t>
  </si>
  <si>
    <t>S19B049</t>
  </si>
  <si>
    <t>S19B055</t>
  </si>
  <si>
    <t>S19B056</t>
  </si>
  <si>
    <t>S19B059</t>
  </si>
  <si>
    <t>S19B060</t>
  </si>
  <si>
    <t>S19B066</t>
  </si>
  <si>
    <t>S19B067</t>
  </si>
  <si>
    <t>S19B072</t>
  </si>
  <si>
    <t>S19B073</t>
  </si>
  <si>
    <t>S19B077</t>
  </si>
  <si>
    <t>S19B078</t>
  </si>
  <si>
    <t>S19B081</t>
  </si>
  <si>
    <t>S19B082</t>
  </si>
  <si>
    <t>S19A066</t>
  </si>
  <si>
    <t>S19A067</t>
  </si>
  <si>
    <t>Chalcopyrite standard</t>
  </si>
  <si>
    <t>GBW07268</t>
  </si>
  <si>
    <t>S20A031</t>
  </si>
  <si>
    <t>S20A032</t>
  </si>
  <si>
    <t>S20A037</t>
  </si>
  <si>
    <t>S20A038</t>
  </si>
  <si>
    <t>S20A043</t>
  </si>
  <si>
    <t>S20A044</t>
  </si>
  <si>
    <t>S20A052</t>
  </si>
  <si>
    <t>S20A053</t>
  </si>
  <si>
    <t>S20A057</t>
  </si>
  <si>
    <t>S20A058</t>
  </si>
  <si>
    <t>S20A061</t>
  </si>
  <si>
    <t>S20A062</t>
  </si>
  <si>
    <t>SP-CP-01</t>
  </si>
  <si>
    <t>S20A024</t>
  </si>
  <si>
    <t>S20A025</t>
  </si>
  <si>
    <t>S20A045</t>
  </si>
  <si>
    <t>S20A046</t>
  </si>
  <si>
    <t>S20A059</t>
  </si>
  <si>
    <t>S20A060</t>
  </si>
  <si>
    <t xml:space="preserve">Pyrrhotite standard </t>
  </si>
  <si>
    <t>SP-Po-01</t>
  </si>
  <si>
    <t>S19B003</t>
  </si>
  <si>
    <t>S19B004</t>
  </si>
  <si>
    <t>J18C003</t>
  </si>
  <si>
    <t>J18C004</t>
  </si>
  <si>
    <t>Abbreviations: Mrc = marcasite; Py = pyrite; Ccp = chalcopyrite.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</si>
</sst>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_ "/>
    <numFmt numFmtId="165" formatCode="0.00_);[Red]\(0.00\)"/>
    <numFmt numFmtId="166" formatCode="0.000_ "/>
    <numFmt numFmtId="167" formatCode="0.000_);[Red]\(0.000\)"/>
    <numFmt numFmtId="168" formatCode="0.0"/>
    <numFmt numFmtId="169" formatCode="0.000"/>
    <numFmt numFmtId="170" formatCode="0.00000"/>
    <numFmt numFmtId="171" formatCode="0.0000"/>
    <numFmt numFmtId="172" formatCode="0_ "/>
    <numFmt numFmtId="173" formatCode="0.0_ "/>
    <numFmt numFmtId="174" formatCode="0_);[Red]\(0\)"/>
    <numFmt numFmtId="175" formatCode="0.0_);[Red]\(0.0\)"/>
  </numFmts>
  <fonts count="41">
    <font>
      <sz val="9"/>
      <color theme="1"/>
      <name val="Times New Roman"/>
      <charset val="134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9"/>
      <color indexed="10"/>
      <name val="Times New Roman"/>
      <family val="1"/>
    </font>
    <font>
      <sz val="9"/>
      <color indexed="55"/>
      <name val="Times New Roman"/>
      <family val="1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theme="1"/>
      <name val="Times New Roman"/>
      <family val="1"/>
    </font>
    <font>
      <sz val="12"/>
      <name val="等线"/>
      <family val="3"/>
      <charset val="134"/>
      <scheme val="minor"/>
    </font>
    <font>
      <i/>
      <sz val="14"/>
      <color theme="1"/>
      <name val="Times New Roman"/>
      <family val="1"/>
    </font>
    <font>
      <i/>
      <sz val="14"/>
      <color indexed="8"/>
      <name val="Times New Roman"/>
      <family val="1"/>
    </font>
    <font>
      <sz val="9"/>
      <color indexed="8"/>
      <name val="Times New Roman"/>
      <family val="1"/>
    </font>
    <font>
      <b/>
      <vertAlign val="superscript"/>
      <sz val="12"/>
      <name val="Times New Roman"/>
      <family val="1"/>
    </font>
    <font>
      <b/>
      <vertAlign val="subscript"/>
      <sz val="12"/>
      <name val="Times New Roman"/>
      <family val="1"/>
    </font>
    <font>
      <b/>
      <sz val="12"/>
      <name val="微软雅黑"/>
      <family val="2"/>
      <charset val="134"/>
    </font>
    <font>
      <sz val="12"/>
      <color theme="1"/>
      <name val="宋体"/>
      <family val="3"/>
      <charset val="134"/>
    </font>
    <font>
      <sz val="9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9"/>
      <color indexed="10"/>
      <name val="Times New Roman"/>
      <family val="1"/>
    </font>
    <font>
      <b/>
      <sz val="12"/>
      <color indexed="10"/>
      <name val="Times New Roman"/>
      <family val="1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6"/>
      <color theme="1"/>
      <name val="Times New Roman"/>
      <family val="1"/>
    </font>
    <font>
      <i/>
      <sz val="16"/>
      <color theme="1"/>
      <name val="Times New Roman"/>
      <family val="1"/>
    </font>
    <font>
      <sz val="16"/>
      <color theme="1"/>
      <name val="Times New Roman"/>
      <family val="1"/>
    </font>
    <font>
      <vertAlign val="superscript"/>
      <sz val="16"/>
      <color theme="1"/>
      <name val="Times New Roman"/>
      <family val="1"/>
    </font>
    <font>
      <i/>
      <vertAlign val="superscript"/>
      <sz val="16"/>
      <color theme="1"/>
      <name val="Times New Roman"/>
      <family val="1"/>
    </font>
    <font>
      <i/>
      <sz val="16"/>
      <color rgb="FF4472C4"/>
      <name val="Times New Roman"/>
      <family val="1"/>
    </font>
    <font>
      <sz val="16"/>
      <color indexed="8"/>
      <name val="Times New Roman"/>
      <family val="1"/>
    </font>
    <font>
      <b/>
      <sz val="20"/>
      <color rgb="FF000000"/>
      <name val="Times New Roman"/>
      <family val="1"/>
    </font>
    <font>
      <b/>
      <sz val="20"/>
      <color theme="1"/>
      <name val="Times New Roman"/>
      <family val="1"/>
    </font>
    <font>
      <sz val="12"/>
      <name val="Times New Roman"/>
      <family val="3"/>
    </font>
  </fonts>
  <fills count="9">
    <fill>
      <patternFill patternType="none"/>
    </fill>
    <fill>
      <patternFill patternType="gray125"/>
    </fill>
    <fill>
      <patternFill patternType="solid">
        <fgColor theme="2" tint="-0.89996032593768116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314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68" fontId="4" fillId="3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9" fontId="4" fillId="3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6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 applyAlignment="1"/>
    <xf numFmtId="0" fontId="15" fillId="0" borderId="0" xfId="0" applyFont="1" applyAlignment="1"/>
    <xf numFmtId="2" fontId="15" fillId="0" borderId="0" xfId="0" applyNumberFormat="1" applyFont="1" applyAlignment="1"/>
    <xf numFmtId="0" fontId="0" fillId="0" borderId="0" xfId="0" applyAlignment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/>
    <xf numFmtId="0" fontId="6" fillId="0" borderId="0" xfId="0" applyFont="1" applyAlignment="1"/>
    <xf numFmtId="2" fontId="6" fillId="0" borderId="0" xfId="0" applyNumberFormat="1" applyFont="1" applyAlignment="1"/>
    <xf numFmtId="0" fontId="1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0" fontId="1" fillId="3" borderId="0" xfId="0" applyFont="1" applyFill="1" applyAlignment="1"/>
    <xf numFmtId="0" fontId="4" fillId="3" borderId="0" xfId="0" applyFont="1" applyFill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4" borderId="0" xfId="0" applyFont="1" applyFill="1">
      <alignment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right" vertical="center"/>
    </xf>
    <xf numFmtId="2" fontId="1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right" vertical="center"/>
    </xf>
    <xf numFmtId="2" fontId="16" fillId="4" borderId="0" xfId="0" applyNumberFormat="1" applyFont="1" applyFill="1" applyAlignment="1">
      <alignment horizontal="center"/>
    </xf>
    <xf numFmtId="2" fontId="6" fillId="3" borderId="0" xfId="0" applyNumberFormat="1" applyFont="1" applyFill="1" applyAlignment="1"/>
    <xf numFmtId="164" fontId="6" fillId="0" borderId="0" xfId="0" applyNumberFormat="1" applyFont="1" applyAlignment="1">
      <alignment horizontal="center" vertical="center"/>
    </xf>
    <xf numFmtId="167" fontId="14" fillId="0" borderId="0" xfId="0" applyNumberFormat="1" applyFont="1" applyAlignment="1">
      <alignment horizontal="right" vertical="center"/>
    </xf>
    <xf numFmtId="167" fontId="5" fillId="0" borderId="0" xfId="0" applyNumberFormat="1" applyFont="1" applyAlignment="1">
      <alignment horizontal="right" vertical="center"/>
    </xf>
    <xf numFmtId="166" fontId="6" fillId="0" borderId="0" xfId="0" applyNumberFormat="1" applyFont="1">
      <alignment vertic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/>
    <xf numFmtId="2" fontId="4" fillId="3" borderId="0" xfId="0" applyNumberFormat="1" applyFont="1" applyFill="1" applyAlignment="1">
      <alignment horizontal="center"/>
    </xf>
    <xf numFmtId="2" fontId="6" fillId="0" borderId="0" xfId="0" applyNumberFormat="1" applyFont="1">
      <alignment vertical="center"/>
    </xf>
    <xf numFmtId="2" fontId="5" fillId="0" borderId="0" xfId="0" applyNumberFormat="1" applyFont="1">
      <alignment vertical="center"/>
    </xf>
    <xf numFmtId="2" fontId="2" fillId="6" borderId="0" xfId="0" applyNumberFormat="1" applyFont="1" applyFill="1" applyAlignment="1">
      <alignment horizontal="center"/>
    </xf>
    <xf numFmtId="2" fontId="6" fillId="6" borderId="0" xfId="0" applyNumberFormat="1" applyFont="1" applyFill="1" applyAlignment="1">
      <alignment horizontal="center"/>
    </xf>
    <xf numFmtId="2" fontId="6" fillId="6" borderId="0" xfId="0" applyNumberFormat="1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2" fontId="6" fillId="3" borderId="2" xfId="0" applyNumberFormat="1" applyFont="1" applyFill="1" applyBorder="1" applyAlignment="1">
      <alignment horizontal="center"/>
    </xf>
    <xf numFmtId="2" fontId="2" fillId="6" borderId="2" xfId="0" applyNumberFormat="1" applyFont="1" applyFill="1" applyBorder="1" applyAlignment="1">
      <alignment horizontal="center"/>
    </xf>
    <xf numFmtId="2" fontId="6" fillId="3" borderId="2" xfId="0" applyNumberFormat="1" applyFont="1" applyFill="1" applyBorder="1" applyAlignment="1"/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0" fontId="4" fillId="3" borderId="0" xfId="0" applyNumberFormat="1" applyFont="1" applyFill="1" applyAlignment="1">
      <alignment horizontal="center" vertical="center"/>
    </xf>
    <xf numFmtId="0" fontId="4" fillId="7" borderId="0" xfId="0" applyFont="1" applyFill="1" applyAlignment="1"/>
    <xf numFmtId="0" fontId="15" fillId="7" borderId="0" xfId="0" applyFont="1" applyFill="1" applyAlignment="1"/>
    <xf numFmtId="0" fontId="0" fillId="7" borderId="0" xfId="0" applyFill="1" applyAlignment="1"/>
    <xf numFmtId="0" fontId="10" fillId="0" borderId="0" xfId="0" applyFont="1" applyAlignment="1"/>
    <xf numFmtId="0" fontId="4" fillId="7" borderId="0" xfId="0" applyFont="1" applyFill="1" applyAlignment="1">
      <alignment horizontal="center"/>
    </xf>
    <xf numFmtId="2" fontId="4" fillId="7" borderId="0" xfId="0" applyNumberFormat="1" applyFont="1" applyFill="1" applyAlignment="1">
      <alignment horizontal="center"/>
    </xf>
    <xf numFmtId="0" fontId="24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166" fontId="28" fillId="0" borderId="0" xfId="0" applyNumberFormat="1" applyFont="1" applyAlignment="1">
      <alignment horizontal="right" vertical="center"/>
    </xf>
    <xf numFmtId="166" fontId="4" fillId="7" borderId="0" xfId="0" applyNumberFormat="1" applyFont="1" applyFill="1" applyAlignment="1">
      <alignment horizontal="right" vertical="center"/>
    </xf>
    <xf numFmtId="171" fontId="4" fillId="3" borderId="0" xfId="0" applyNumberFormat="1" applyFont="1" applyFill="1" applyAlignment="1">
      <alignment horizontal="center" vertical="center"/>
    </xf>
    <xf numFmtId="172" fontId="4" fillId="0" borderId="0" xfId="0" applyNumberFormat="1" applyFont="1" applyAlignment="1">
      <alignment horizontal="right" vertical="center"/>
    </xf>
    <xf numFmtId="172" fontId="4" fillId="0" borderId="0" xfId="0" applyNumberFormat="1" applyFont="1">
      <alignment vertical="center"/>
    </xf>
    <xf numFmtId="0" fontId="3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vertical="center"/>
    </xf>
    <xf numFmtId="172" fontId="6" fillId="0" borderId="0" xfId="0" applyNumberFormat="1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72" fontId="6" fillId="6" borderId="0" xfId="0" applyNumberFormat="1" applyFont="1" applyFill="1" applyAlignment="1">
      <alignment horizontal="center" vertical="center"/>
    </xf>
    <xf numFmtId="166" fontId="6" fillId="6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73" fontId="6" fillId="6" borderId="0" xfId="0" applyNumberFormat="1" applyFont="1" applyFill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6" fillId="0" borderId="0" xfId="0" applyFont="1" applyFill="1">
      <alignment vertical="center"/>
    </xf>
    <xf numFmtId="0" fontId="6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6" fontId="6" fillId="8" borderId="0" xfId="0" applyNumberFormat="1" applyFont="1" applyFill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172" fontId="6" fillId="6" borderId="0" xfId="0" applyNumberFormat="1" applyFont="1" applyFill="1" applyBorder="1" applyAlignment="1">
      <alignment horizontal="center" vertical="center"/>
    </xf>
    <xf numFmtId="173" fontId="6" fillId="6" borderId="0" xfId="0" applyNumberFormat="1" applyFont="1" applyFill="1" applyBorder="1" applyAlignment="1">
      <alignment horizontal="center" vertical="center"/>
    </xf>
    <xf numFmtId="164" fontId="6" fillId="6" borderId="0" xfId="0" applyNumberFormat="1" applyFont="1" applyFill="1" applyBorder="1" applyAlignment="1">
      <alignment horizontal="center" vertical="center"/>
    </xf>
    <xf numFmtId="166" fontId="6" fillId="6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172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2" fontId="6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73" fontId="6" fillId="6" borderId="1" xfId="0" applyNumberFormat="1" applyFont="1" applyFill="1" applyBorder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8" fontId="4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169" fontId="4" fillId="0" borderId="5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169" fontId="4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/>
    <xf numFmtId="0" fontId="6" fillId="0" borderId="0" xfId="0" applyFont="1" applyFill="1" applyAlignment="1"/>
    <xf numFmtId="173" fontId="4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Border="1">
      <alignment vertical="center"/>
    </xf>
    <xf numFmtId="0" fontId="6" fillId="0" borderId="0" xfId="0" applyFont="1" applyBorder="1">
      <alignment vertical="center"/>
    </xf>
    <xf numFmtId="164" fontId="1" fillId="0" borderId="0" xfId="0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2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164" fontId="4" fillId="0" borderId="1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6" fontId="6" fillId="0" borderId="0" xfId="0" applyNumberFormat="1" applyFont="1" applyFill="1" applyAlignment="1">
      <alignment horizontal="center" vertical="center"/>
    </xf>
    <xf numFmtId="166" fontId="4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Fill="1" applyAlignment="1">
      <alignment horizontal="center"/>
    </xf>
    <xf numFmtId="168" fontId="6" fillId="0" borderId="0" xfId="0" applyNumberFormat="1" applyFont="1" applyFill="1" applyAlignment="1">
      <alignment horizontal="center"/>
    </xf>
    <xf numFmtId="168" fontId="6" fillId="3" borderId="0" xfId="0" applyNumberFormat="1" applyFont="1" applyFill="1" applyAlignment="1">
      <alignment horizontal="center"/>
    </xf>
    <xf numFmtId="168" fontId="4" fillId="0" borderId="0" xfId="0" applyNumberFormat="1" applyFont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2" fontId="6" fillId="6" borderId="0" xfId="0" applyNumberFormat="1" applyFont="1" applyFill="1" applyBorder="1" applyAlignment="1"/>
    <xf numFmtId="0" fontId="6" fillId="6" borderId="0" xfId="0" applyFont="1" applyFill="1" applyBorder="1" applyAlignment="1">
      <alignment horizontal="center"/>
    </xf>
    <xf numFmtId="168" fontId="6" fillId="6" borderId="0" xfId="0" applyNumberFormat="1" applyFont="1" applyFill="1" applyAlignment="1">
      <alignment horizontal="center"/>
    </xf>
    <xf numFmtId="169" fontId="6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2" fontId="6" fillId="6" borderId="0" xfId="0" applyNumberFormat="1" applyFont="1" applyFill="1" applyAlignment="1"/>
    <xf numFmtId="168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/>
    <xf numFmtId="0" fontId="6" fillId="0" borderId="0" xfId="0" applyFont="1" applyFill="1" applyBorder="1">
      <alignment vertical="center"/>
    </xf>
    <xf numFmtId="0" fontId="4" fillId="6" borderId="0" xfId="0" applyFont="1" applyFill="1" applyBorder="1" applyAlignment="1">
      <alignment horizontal="center"/>
    </xf>
    <xf numFmtId="2" fontId="6" fillId="6" borderId="0" xfId="0" applyNumberFormat="1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2" fontId="6" fillId="6" borderId="13" xfId="0" applyNumberFormat="1" applyFont="1" applyFill="1" applyBorder="1" applyAlignment="1">
      <alignment horizontal="center"/>
    </xf>
    <xf numFmtId="2" fontId="6" fillId="6" borderId="13" xfId="0" applyNumberFormat="1" applyFont="1" applyFill="1" applyBorder="1" applyAlignment="1"/>
    <xf numFmtId="175" fontId="6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74" fontId="4" fillId="0" borderId="0" xfId="0" applyNumberFormat="1" applyFont="1" applyBorder="1" applyAlignment="1">
      <alignment horizontal="center" vertical="center"/>
    </xf>
    <xf numFmtId="174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74" fontId="6" fillId="0" borderId="0" xfId="0" applyNumberFormat="1" applyFont="1" applyFill="1" applyAlignment="1">
      <alignment horizontal="center" vertical="center"/>
    </xf>
    <xf numFmtId="165" fontId="6" fillId="0" borderId="0" xfId="0" applyNumberFormat="1" applyFont="1" applyFill="1" applyAlignment="1">
      <alignment horizontal="center" vertical="center"/>
    </xf>
    <xf numFmtId="167" fontId="6" fillId="0" borderId="0" xfId="0" applyNumberFormat="1" applyFont="1" applyFill="1" applyAlignment="1">
      <alignment horizontal="center" vertical="center"/>
    </xf>
    <xf numFmtId="175" fontId="6" fillId="0" borderId="0" xfId="0" applyNumberFormat="1" applyFont="1" applyFill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4" fillId="4" borderId="0" xfId="0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2" fontId="4" fillId="0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4" fontId="6" fillId="0" borderId="13" xfId="0" applyNumberFormat="1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67" fontId="0" fillId="0" borderId="0" xfId="0" applyNumberForma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2" fontId="4" fillId="0" borderId="2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74" fontId="6" fillId="0" borderId="1" xfId="0" applyNumberFormat="1" applyFont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164" fontId="4" fillId="0" borderId="12" xfId="0" applyNumberFormat="1" applyFont="1" applyFill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7" fontId="6" fillId="6" borderId="0" xfId="0" applyNumberFormat="1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168" fontId="4" fillId="0" borderId="0" xfId="0" applyNumberFormat="1" applyFont="1" applyFill="1" applyAlignment="1">
      <alignment horizontal="center" vertical="center"/>
    </xf>
    <xf numFmtId="172" fontId="4" fillId="4" borderId="0" xfId="0" applyNumberFormat="1" applyFont="1" applyFill="1" applyAlignment="1">
      <alignment horizontal="center" vertical="center"/>
    </xf>
    <xf numFmtId="166" fontId="4" fillId="4" borderId="0" xfId="0" applyNumberFormat="1" applyFont="1" applyFill="1" applyAlignment="1">
      <alignment horizontal="center" vertical="center"/>
    </xf>
    <xf numFmtId="14" fontId="1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2" fontId="4" fillId="6" borderId="0" xfId="0" applyNumberFormat="1" applyFont="1" applyFill="1" applyAlignment="1">
      <alignment horizontal="center" vertical="center"/>
    </xf>
    <xf numFmtId="169" fontId="4" fillId="6" borderId="0" xfId="0" applyNumberFormat="1" applyFont="1" applyFill="1" applyAlignment="1">
      <alignment horizontal="center" vertical="center"/>
    </xf>
    <xf numFmtId="166" fontId="4" fillId="6" borderId="0" xfId="0" applyNumberFormat="1" applyFont="1" applyFill="1" applyAlignment="1">
      <alignment horizontal="center" vertical="center"/>
    </xf>
    <xf numFmtId="172" fontId="4" fillId="6" borderId="0" xfId="0" applyNumberFormat="1" applyFont="1" applyFill="1" applyAlignment="1">
      <alignment horizontal="center" vertical="center"/>
    </xf>
    <xf numFmtId="174" fontId="4" fillId="0" borderId="0" xfId="0" applyNumberFormat="1" applyFont="1" applyFill="1" applyAlignment="1">
      <alignment horizontal="center" vertical="center"/>
    </xf>
    <xf numFmtId="165" fontId="4" fillId="0" borderId="0" xfId="0" applyNumberFormat="1" applyFont="1" applyFill="1" applyAlignment="1">
      <alignment horizontal="center" vertical="center"/>
    </xf>
    <xf numFmtId="175" fontId="4" fillId="0" borderId="0" xfId="0" applyNumberFormat="1" applyFont="1" applyFill="1" applyAlignment="1">
      <alignment horizontal="center" vertical="center"/>
    </xf>
    <xf numFmtId="167" fontId="4" fillId="0" borderId="0" xfId="0" applyNumberFormat="1" applyFont="1" applyFill="1" applyAlignment="1">
      <alignment horizontal="center" vertical="center"/>
    </xf>
    <xf numFmtId="173" fontId="4" fillId="0" borderId="0" xfId="0" applyNumberFormat="1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6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4" fillId="7" borderId="0" xfId="0" applyFont="1" applyFill="1" applyAlignment="1">
      <alignment horizontal="center" vertical="center" wrapText="1"/>
    </xf>
  </cellXfs>
  <cellStyles count="2">
    <cellStyle name="Normal" xfId="0" builtinId="0"/>
    <cellStyle name="常规 2" xfId="1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C17" sqref="C17"/>
    </sheetView>
  </sheetViews>
  <sheetFormatPr defaultColWidth="9" defaultRowHeight="11.45"/>
  <cols>
    <col min="1" max="16384" width="9" style="278"/>
  </cols>
  <sheetData>
    <row r="1" spans="1:8" s="124" customFormat="1" ht="25.5">
      <c r="A1" s="287" t="s">
        <v>0</v>
      </c>
      <c r="B1" s="281"/>
      <c r="C1" s="281"/>
      <c r="D1" s="281"/>
      <c r="E1" s="281"/>
      <c r="F1" s="281"/>
      <c r="G1" s="281"/>
      <c r="H1" s="281"/>
    </row>
    <row r="2" spans="1:8" ht="20.100000000000001">
      <c r="A2" s="282"/>
      <c r="B2" s="283"/>
      <c r="C2" s="283"/>
      <c r="D2" s="283"/>
      <c r="E2" s="283"/>
      <c r="F2" s="283"/>
      <c r="G2" s="283"/>
      <c r="H2" s="283"/>
    </row>
    <row r="3" spans="1:8" ht="23.1">
      <c r="A3" s="283" t="s">
        <v>1</v>
      </c>
      <c r="B3" s="283"/>
      <c r="C3" s="283"/>
      <c r="D3" s="283"/>
      <c r="E3" s="283"/>
      <c r="F3" s="283"/>
      <c r="G3" s="283"/>
      <c r="H3" s="283"/>
    </row>
    <row r="4" spans="1:8" ht="23.1">
      <c r="A4" s="284"/>
      <c r="B4" s="283"/>
      <c r="C4" s="283"/>
      <c r="D4" s="283"/>
      <c r="E4" s="283"/>
      <c r="F4" s="283"/>
      <c r="G4" s="283"/>
      <c r="H4" s="283"/>
    </row>
    <row r="5" spans="1:8" ht="23.45">
      <c r="A5" s="285" t="s">
        <v>2</v>
      </c>
      <c r="B5" s="283"/>
      <c r="C5" s="283"/>
      <c r="D5" s="283"/>
      <c r="E5" s="283"/>
      <c r="F5" s="283"/>
      <c r="G5" s="283"/>
      <c r="H5" s="283"/>
    </row>
    <row r="6" spans="1:8" ht="23.45">
      <c r="A6" s="285" t="s">
        <v>3</v>
      </c>
      <c r="B6" s="283"/>
      <c r="C6" s="283"/>
      <c r="D6" s="283"/>
      <c r="E6" s="283"/>
      <c r="F6" s="283"/>
      <c r="G6" s="283"/>
      <c r="H6" s="283"/>
    </row>
    <row r="7" spans="1:8" ht="23.45">
      <c r="A7" s="285" t="s">
        <v>4</v>
      </c>
      <c r="B7" s="283"/>
      <c r="C7" s="283"/>
      <c r="D7" s="283"/>
      <c r="E7" s="283"/>
      <c r="F7" s="283"/>
      <c r="G7" s="283"/>
      <c r="H7" s="283"/>
    </row>
    <row r="8" spans="1:8" ht="23.45">
      <c r="A8" s="285" t="s">
        <v>5</v>
      </c>
      <c r="B8" s="283"/>
      <c r="C8" s="283"/>
      <c r="D8" s="283"/>
      <c r="E8" s="283"/>
      <c r="F8" s="283"/>
      <c r="G8" s="283"/>
      <c r="H8" s="283"/>
    </row>
    <row r="9" spans="1:8" ht="20.100000000000001">
      <c r="B9" s="283"/>
      <c r="C9" s="283"/>
      <c r="D9" s="283"/>
      <c r="E9" s="283"/>
      <c r="F9" s="283"/>
      <c r="G9" s="283"/>
      <c r="H9" s="283"/>
    </row>
    <row r="10" spans="1:8" ht="20.100000000000001">
      <c r="A10" s="283" t="s">
        <v>6</v>
      </c>
      <c r="B10" s="283"/>
      <c r="C10" s="283"/>
      <c r="D10" s="283"/>
      <c r="E10" s="283"/>
      <c r="F10" s="283"/>
      <c r="G10" s="283"/>
      <c r="H10" s="283"/>
    </row>
    <row r="11" spans="1:8" ht="23.45">
      <c r="A11" s="285"/>
      <c r="B11" s="283"/>
      <c r="C11" s="283"/>
      <c r="D11" s="283"/>
      <c r="E11" s="283"/>
      <c r="F11" s="283"/>
      <c r="G11" s="283"/>
      <c r="H11" s="283"/>
    </row>
    <row r="12" spans="1:8" ht="20.100000000000001">
      <c r="B12" s="283"/>
      <c r="C12" s="283"/>
      <c r="D12" s="283"/>
      <c r="E12" s="283"/>
      <c r="F12" s="283"/>
      <c r="G12" s="283"/>
      <c r="H12" s="283"/>
    </row>
    <row r="13" spans="1:8" ht="20.100000000000001">
      <c r="A13" s="286"/>
      <c r="B13" s="283"/>
      <c r="C13" s="283"/>
      <c r="D13" s="283"/>
      <c r="E13" s="283"/>
      <c r="F13" s="283"/>
      <c r="G13" s="283"/>
      <c r="H13" s="283"/>
    </row>
    <row r="14" spans="1:8" ht="17.649999999999999">
      <c r="A14" s="280"/>
    </row>
    <row r="15" spans="1:8">
      <c r="A15" s="279"/>
    </row>
    <row r="16" spans="1:8" ht="17.649999999999999">
      <c r="A16" s="280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86"/>
  <sheetViews>
    <sheetView zoomScale="115" zoomScaleNormal="115" workbookViewId="0">
      <pane ySplit="2" topLeftCell="A3" activePane="bottomLeft" state="frozen"/>
      <selection pane="bottomLeft" activeCell="A16" sqref="A16"/>
    </sheetView>
  </sheetViews>
  <sheetFormatPr defaultColWidth="9" defaultRowHeight="14.1"/>
  <cols>
    <col min="1" max="1" width="24.33203125" style="57" customWidth="1"/>
    <col min="2" max="2" width="18.33203125" style="58" customWidth="1"/>
    <col min="3" max="6" width="9.1640625" style="58" bestFit="1" customWidth="1"/>
    <col min="7" max="7" width="9.1640625" style="59" bestFit="1" customWidth="1"/>
    <col min="8" max="8" width="10" style="58" bestFit="1" customWidth="1"/>
    <col min="9" max="9" width="9.1640625" style="58" bestFit="1" customWidth="1"/>
    <col min="10" max="10" width="14.6640625" style="58" customWidth="1"/>
    <col min="11" max="11" width="9.1640625" style="58" customWidth="1"/>
    <col min="12" max="12" width="9.83203125" style="58" bestFit="1" customWidth="1"/>
    <col min="13" max="13" width="9.1640625" style="60" bestFit="1" customWidth="1"/>
    <col min="14" max="14" width="9" style="60" customWidth="1"/>
    <col min="15" max="15" width="9" style="60"/>
  </cols>
  <sheetData>
    <row r="1" spans="1:41" ht="14.1" customHeight="1">
      <c r="A1" s="312" t="s">
        <v>7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</row>
    <row r="2" spans="1:41" s="15" customFormat="1" ht="15.95">
      <c r="A2" s="15" t="s">
        <v>8</v>
      </c>
      <c r="B2" s="101" t="s">
        <v>9</v>
      </c>
      <c r="C2" s="101" t="s">
        <v>10</v>
      </c>
      <c r="D2" s="101" t="s">
        <v>11</v>
      </c>
      <c r="E2" s="101" t="s">
        <v>12</v>
      </c>
      <c r="F2" s="101" t="s">
        <v>13</v>
      </c>
      <c r="G2" s="101" t="s">
        <v>14</v>
      </c>
      <c r="H2" s="102" t="s">
        <v>15</v>
      </c>
      <c r="I2" s="101" t="s">
        <v>16</v>
      </c>
      <c r="J2" s="101" t="s">
        <v>17</v>
      </c>
      <c r="K2" s="101" t="s">
        <v>18</v>
      </c>
      <c r="L2" s="101" t="s">
        <v>19</v>
      </c>
      <c r="M2" s="103" t="s">
        <v>20</v>
      </c>
      <c r="N2" s="104" t="s">
        <v>21</v>
      </c>
      <c r="O2" s="105"/>
      <c r="AI2" s="106"/>
      <c r="AJ2" s="13"/>
      <c r="AK2" s="13"/>
    </row>
    <row r="3" spans="1:41" s="2" customFormat="1" ht="15.4">
      <c r="A3" s="66" t="s">
        <v>22</v>
      </c>
      <c r="B3" s="64"/>
      <c r="C3" s="64"/>
      <c r="D3" s="64"/>
      <c r="E3" s="64"/>
      <c r="F3" s="64"/>
      <c r="G3" s="64"/>
      <c r="H3" s="65"/>
      <c r="I3" s="64"/>
      <c r="J3" s="64"/>
      <c r="K3" s="64"/>
      <c r="L3" s="64"/>
      <c r="M3" s="64"/>
      <c r="N3" s="64"/>
      <c r="O3" s="64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E3" s="77"/>
      <c r="AF3" s="77"/>
      <c r="AI3" s="77"/>
      <c r="AJ3" s="77"/>
      <c r="AK3" s="77"/>
      <c r="AL3" s="77"/>
      <c r="AM3" s="77"/>
      <c r="AN3" s="77"/>
      <c r="AO3" s="77"/>
    </row>
    <row r="4" spans="1:41" s="2" customFormat="1" ht="15.4">
      <c r="A4" s="66" t="s">
        <v>23</v>
      </c>
      <c r="B4" s="61" t="s">
        <v>24</v>
      </c>
      <c r="C4" s="62">
        <v>44.9</v>
      </c>
      <c r="D4" s="62">
        <v>52.485999999999997</v>
      </c>
      <c r="E4" s="62">
        <v>0.36099999999999999</v>
      </c>
      <c r="F4" s="62" t="s">
        <v>25</v>
      </c>
      <c r="G4" s="62">
        <v>0.254</v>
      </c>
      <c r="H4" s="62" t="s">
        <v>25</v>
      </c>
      <c r="I4" s="62">
        <v>1.7000000000000001E-2</v>
      </c>
      <c r="J4" s="62" t="s">
        <v>25</v>
      </c>
      <c r="K4" s="62" t="s">
        <v>25</v>
      </c>
      <c r="L4" s="62">
        <f t="shared" ref="L4:L9" si="0">SUM(C4:K4)</f>
        <v>98.018000000000001</v>
      </c>
      <c r="M4" s="78"/>
      <c r="N4" s="78"/>
      <c r="O4" s="76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E4" s="79"/>
      <c r="AF4" s="79"/>
      <c r="AI4" s="79"/>
      <c r="AJ4" s="79"/>
      <c r="AK4" s="79"/>
      <c r="AL4" s="79"/>
      <c r="AM4" s="79"/>
      <c r="AN4" s="79"/>
      <c r="AO4" s="79"/>
    </row>
    <row r="5" spans="1:41" s="2" customFormat="1" ht="15.4">
      <c r="A5" s="66"/>
      <c r="B5" s="61" t="s">
        <v>26</v>
      </c>
      <c r="C5" s="62">
        <v>45.627000000000002</v>
      </c>
      <c r="D5" s="62">
        <v>52.634</v>
      </c>
      <c r="E5" s="62">
        <v>0.13100000000000001</v>
      </c>
      <c r="F5" s="62">
        <v>5.1999999999999998E-2</v>
      </c>
      <c r="G5" s="62">
        <v>0.14299999999999999</v>
      </c>
      <c r="H5" s="62">
        <v>1.7000000000000001E-2</v>
      </c>
      <c r="I5" s="221" t="s">
        <v>25</v>
      </c>
      <c r="J5" s="62" t="s">
        <v>25</v>
      </c>
      <c r="K5" s="62" t="s">
        <v>25</v>
      </c>
      <c r="L5" s="62">
        <f t="shared" si="0"/>
        <v>98.603999999999999</v>
      </c>
      <c r="M5" s="78"/>
      <c r="N5" s="78"/>
      <c r="O5" s="76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E5" s="79"/>
      <c r="AF5" s="79"/>
      <c r="AI5" s="79"/>
      <c r="AJ5" s="79"/>
      <c r="AK5" s="79"/>
      <c r="AL5" s="79"/>
      <c r="AM5" s="79"/>
      <c r="AN5" s="79"/>
      <c r="AO5" s="79"/>
    </row>
    <row r="6" spans="1:41" s="2" customFormat="1" ht="15.4">
      <c r="A6" s="66"/>
      <c r="B6" s="61" t="s">
        <v>27</v>
      </c>
      <c r="C6" s="62">
        <v>45.484000000000002</v>
      </c>
      <c r="D6" s="62">
        <v>52.848999999999997</v>
      </c>
      <c r="E6" s="62">
        <v>0.27</v>
      </c>
      <c r="F6" s="62">
        <v>3.3000000000000002E-2</v>
      </c>
      <c r="G6" s="62">
        <v>4.3999999999999997E-2</v>
      </c>
      <c r="H6" s="62">
        <v>5.0000000000000001E-3</v>
      </c>
      <c r="I6" s="62">
        <v>1.4999999999999999E-2</v>
      </c>
      <c r="J6" s="62" t="s">
        <v>25</v>
      </c>
      <c r="K6" s="62" t="s">
        <v>25</v>
      </c>
      <c r="L6" s="62">
        <f t="shared" si="0"/>
        <v>98.699999999999989</v>
      </c>
      <c r="M6" s="78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E6" s="79"/>
      <c r="AF6" s="79"/>
      <c r="AI6" s="79"/>
      <c r="AJ6" s="79"/>
      <c r="AK6" s="79"/>
      <c r="AL6" s="79"/>
      <c r="AM6" s="79"/>
      <c r="AN6" s="79"/>
      <c r="AO6" s="79"/>
    </row>
    <row r="7" spans="1:41" s="2" customFormat="1" ht="15.4">
      <c r="A7" s="66"/>
      <c r="B7" s="61" t="s">
        <v>28</v>
      </c>
      <c r="C7" s="62">
        <v>45.704000000000001</v>
      </c>
      <c r="D7" s="62">
        <v>52.444000000000003</v>
      </c>
      <c r="E7" s="62">
        <v>0.188</v>
      </c>
      <c r="F7" s="62">
        <v>5.0999999999999997E-2</v>
      </c>
      <c r="G7" s="62">
        <v>0.223</v>
      </c>
      <c r="H7" s="62" t="s">
        <v>25</v>
      </c>
      <c r="I7" s="62" t="s">
        <v>25</v>
      </c>
      <c r="J7" s="62" t="s">
        <v>25</v>
      </c>
      <c r="K7" s="62">
        <v>1.6E-2</v>
      </c>
      <c r="L7" s="62">
        <f t="shared" si="0"/>
        <v>98.626000000000005</v>
      </c>
      <c r="M7" s="78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E7" s="79"/>
      <c r="AF7" s="79"/>
      <c r="AI7" s="79"/>
      <c r="AJ7" s="79"/>
      <c r="AK7" s="79"/>
      <c r="AL7" s="79"/>
      <c r="AM7" s="79"/>
      <c r="AN7" s="79"/>
      <c r="AO7" s="79"/>
    </row>
    <row r="8" spans="1:41" s="2" customFormat="1" ht="15.4">
      <c r="A8" s="66"/>
      <c r="B8" s="61" t="s">
        <v>29</v>
      </c>
      <c r="C8" s="62">
        <v>45.323</v>
      </c>
      <c r="D8" s="62">
        <v>52.228999999999999</v>
      </c>
      <c r="E8" s="62">
        <v>0.21299999999999999</v>
      </c>
      <c r="F8" s="62">
        <v>0.06</v>
      </c>
      <c r="G8" s="62">
        <v>0.223</v>
      </c>
      <c r="H8" s="62" t="s">
        <v>25</v>
      </c>
      <c r="I8" s="62">
        <v>1.2E-2</v>
      </c>
      <c r="J8" s="62" t="s">
        <v>25</v>
      </c>
      <c r="K8" s="62" t="s">
        <v>25</v>
      </c>
      <c r="L8" s="62">
        <f t="shared" si="0"/>
        <v>98.059999999999988</v>
      </c>
      <c r="M8" s="78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E8" s="79"/>
      <c r="AF8" s="79"/>
      <c r="AI8" s="79"/>
      <c r="AJ8" s="79"/>
      <c r="AK8" s="79"/>
      <c r="AL8" s="79"/>
      <c r="AM8" s="79"/>
      <c r="AN8" s="79"/>
      <c r="AO8" s="79"/>
    </row>
    <row r="9" spans="1:41" s="2" customFormat="1" ht="15.4">
      <c r="A9" s="66"/>
      <c r="B9" s="61" t="s">
        <v>30</v>
      </c>
      <c r="C9" s="62">
        <v>45.088999999999999</v>
      </c>
      <c r="D9" s="62">
        <v>53.073</v>
      </c>
      <c r="E9" s="62">
        <v>0.36299999999999999</v>
      </c>
      <c r="F9" s="62">
        <v>4.8000000000000001E-2</v>
      </c>
      <c r="G9" s="62">
        <v>0.38400000000000001</v>
      </c>
      <c r="H9" s="62">
        <v>0.01</v>
      </c>
      <c r="I9" s="62">
        <v>8.0000000000000002E-3</v>
      </c>
      <c r="J9" s="62" t="s">
        <v>25</v>
      </c>
      <c r="K9" s="62" t="s">
        <v>25</v>
      </c>
      <c r="L9" s="62">
        <f t="shared" si="0"/>
        <v>98.975000000000009</v>
      </c>
      <c r="M9" s="78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E9" s="79"/>
      <c r="AF9" s="79"/>
      <c r="AI9" s="79"/>
      <c r="AJ9" s="79"/>
      <c r="AK9" s="79"/>
      <c r="AL9" s="79"/>
      <c r="AM9" s="79"/>
      <c r="AN9" s="79"/>
      <c r="AO9" s="79"/>
    </row>
    <row r="10" spans="1:41" s="2" customFormat="1" ht="15.4">
      <c r="A10" s="69"/>
      <c r="B10" s="70" t="s">
        <v>31</v>
      </c>
      <c r="C10" s="71">
        <f t="shared" ref="C10:I10" si="1">AVERAGE(C4:C9)</f>
        <v>45.354500000000002</v>
      </c>
      <c r="D10" s="71">
        <f t="shared" si="1"/>
        <v>52.619166666666665</v>
      </c>
      <c r="E10" s="71">
        <f t="shared" si="1"/>
        <v>0.25433333333333336</v>
      </c>
      <c r="F10" s="71">
        <f t="shared" si="1"/>
        <v>4.8799999999999996E-2</v>
      </c>
      <c r="G10" s="71">
        <f t="shared" si="1"/>
        <v>0.21183333333333332</v>
      </c>
      <c r="H10" s="71">
        <f t="shared" si="1"/>
        <v>1.0666666666666666E-2</v>
      </c>
      <c r="I10" s="71">
        <f t="shared" si="1"/>
        <v>1.2999999999999999E-2</v>
      </c>
      <c r="J10" s="94" t="s">
        <v>25</v>
      </c>
      <c r="K10" s="94" t="s">
        <v>25</v>
      </c>
      <c r="L10" s="71">
        <f>AVERAGE(L4:L9)</f>
        <v>98.497166666666658</v>
      </c>
      <c r="M10" s="81"/>
      <c r="N10" s="81"/>
      <c r="O10" s="64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E10" s="79"/>
      <c r="AF10" s="79"/>
      <c r="AI10" s="79"/>
      <c r="AJ10" s="79"/>
      <c r="AK10" s="79"/>
      <c r="AL10" s="79"/>
      <c r="AM10" s="79"/>
      <c r="AN10" s="79"/>
      <c r="AO10" s="79"/>
    </row>
    <row r="11" spans="1:41" s="2" customFormat="1" ht="15.4">
      <c r="A11" s="69"/>
      <c r="B11" s="70" t="s">
        <v>32</v>
      </c>
      <c r="C11" s="71">
        <f>MIN(C4:C9)</f>
        <v>44.9</v>
      </c>
      <c r="D11" s="71">
        <f>MIN(D4:D9)</f>
        <v>52.228999999999999</v>
      </c>
      <c r="E11" s="71">
        <f>MIN(E4:E9)</f>
        <v>0.13100000000000001</v>
      </c>
      <c r="F11" s="94" t="s">
        <v>25</v>
      </c>
      <c r="G11" s="71">
        <f>MIN(G4:G9)</f>
        <v>4.3999999999999997E-2</v>
      </c>
      <c r="H11" s="94" t="s">
        <v>25</v>
      </c>
      <c r="I11" s="94" t="s">
        <v>25</v>
      </c>
      <c r="J11" s="94" t="s">
        <v>25</v>
      </c>
      <c r="K11" s="94" t="s">
        <v>25</v>
      </c>
      <c r="L11" s="71">
        <f>MIN(L4:L9)</f>
        <v>98.018000000000001</v>
      </c>
      <c r="M11" s="81"/>
      <c r="N11" s="81"/>
      <c r="O11" s="64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E11" s="79"/>
      <c r="AF11" s="79"/>
      <c r="AI11" s="79"/>
      <c r="AJ11" s="79"/>
      <c r="AK11" s="79"/>
      <c r="AL11" s="79"/>
      <c r="AM11" s="79"/>
      <c r="AN11" s="79"/>
      <c r="AO11" s="79"/>
    </row>
    <row r="12" spans="1:41" s="2" customFormat="1" ht="15.4">
      <c r="A12" s="69"/>
      <c r="B12" s="70" t="s">
        <v>33</v>
      </c>
      <c r="C12" s="71">
        <f t="shared" ref="C12:I12" si="2">MAX(C4:C9)</f>
        <v>45.704000000000001</v>
      </c>
      <c r="D12" s="71">
        <f t="shared" si="2"/>
        <v>53.073</v>
      </c>
      <c r="E12" s="71">
        <f t="shared" si="2"/>
        <v>0.36299999999999999</v>
      </c>
      <c r="F12" s="71">
        <f t="shared" si="2"/>
        <v>0.06</v>
      </c>
      <c r="G12" s="71">
        <f t="shared" si="2"/>
        <v>0.38400000000000001</v>
      </c>
      <c r="H12" s="71">
        <f t="shared" si="2"/>
        <v>1.7000000000000001E-2</v>
      </c>
      <c r="I12" s="71">
        <f t="shared" si="2"/>
        <v>1.7000000000000001E-2</v>
      </c>
      <c r="J12" s="94" t="s">
        <v>25</v>
      </c>
      <c r="K12" s="94" t="s">
        <v>25</v>
      </c>
      <c r="L12" s="71">
        <f>MAX(L4:L9)</f>
        <v>98.975000000000009</v>
      </c>
      <c r="M12" s="81"/>
      <c r="N12" s="81"/>
      <c r="O12" s="64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E12" s="79"/>
      <c r="AF12" s="79"/>
      <c r="AI12" s="79"/>
      <c r="AJ12" s="79"/>
      <c r="AK12" s="79"/>
      <c r="AL12" s="79"/>
      <c r="AM12" s="79"/>
      <c r="AN12" s="79"/>
      <c r="AO12" s="79"/>
    </row>
    <row r="13" spans="1:41" s="54" customFormat="1" ht="15.4">
      <c r="A13" s="69"/>
      <c r="B13" s="72" t="s">
        <v>34</v>
      </c>
      <c r="C13" s="71">
        <f t="shared" ref="C13:I13" si="3">STDEV(C4:C9)</f>
        <v>0.31344202015683992</v>
      </c>
      <c r="D13" s="71">
        <f t="shared" si="3"/>
        <v>0.3032011983265675</v>
      </c>
      <c r="E13" s="71">
        <f t="shared" si="3"/>
        <v>9.4605849008751366E-2</v>
      </c>
      <c r="F13" s="71">
        <f t="shared" si="3"/>
        <v>9.8843310345212553E-3</v>
      </c>
      <c r="G13" s="71">
        <f t="shared" si="3"/>
        <v>0.11364403489258322</v>
      </c>
      <c r="H13" s="71">
        <f t="shared" si="3"/>
        <v>6.0277137733417106E-3</v>
      </c>
      <c r="I13" s="71">
        <f t="shared" si="3"/>
        <v>3.9157800414902494E-3</v>
      </c>
      <c r="J13" s="94" t="s">
        <v>25</v>
      </c>
      <c r="K13" s="94" t="s">
        <v>25</v>
      </c>
      <c r="L13" s="71">
        <f>STDEV(L4:L9)</f>
        <v>0.37899678978412149</v>
      </c>
      <c r="M13" s="81"/>
      <c r="N13" s="81"/>
      <c r="O13" s="64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E13" s="82"/>
      <c r="AF13" s="82"/>
      <c r="AI13" s="82"/>
      <c r="AJ13" s="82"/>
      <c r="AK13" s="82"/>
      <c r="AL13" s="82"/>
      <c r="AM13" s="82"/>
      <c r="AN13" s="82"/>
      <c r="AO13" s="82"/>
    </row>
    <row r="14" spans="1:41" s="5" customFormat="1" ht="15.4">
      <c r="A14" s="66" t="s">
        <v>35</v>
      </c>
      <c r="B14" s="61" t="s">
        <v>36</v>
      </c>
      <c r="C14" s="62">
        <v>45.319000000000003</v>
      </c>
      <c r="D14" s="62">
        <v>52.636000000000003</v>
      </c>
      <c r="E14" s="62">
        <v>0.19</v>
      </c>
      <c r="F14" s="62">
        <v>1.2999999999999999E-2</v>
      </c>
      <c r="G14" s="62">
        <v>0.08</v>
      </c>
      <c r="H14" s="62" t="s">
        <v>25</v>
      </c>
      <c r="I14" s="62" t="s">
        <v>25</v>
      </c>
      <c r="J14" s="62">
        <v>1.4E-2</v>
      </c>
      <c r="K14" s="62" t="s">
        <v>25</v>
      </c>
      <c r="L14" s="62">
        <f t="shared" ref="L14:L20" si="4">SUM(C14:K14)</f>
        <v>98.25200000000001</v>
      </c>
      <c r="M14" s="78"/>
      <c r="N14" s="78"/>
      <c r="O14" s="7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E14" s="11"/>
      <c r="AF14" s="11"/>
      <c r="AI14" s="11"/>
      <c r="AJ14" s="11"/>
      <c r="AK14" s="11"/>
      <c r="AL14" s="11"/>
      <c r="AM14" s="11"/>
      <c r="AN14" s="11"/>
      <c r="AO14" s="11"/>
    </row>
    <row r="15" spans="1:41" s="5" customFormat="1" ht="15.4">
      <c r="A15" s="66"/>
      <c r="B15" s="61" t="s">
        <v>37</v>
      </c>
      <c r="C15" s="62">
        <v>45.91</v>
      </c>
      <c r="D15" s="62">
        <v>52.869</v>
      </c>
      <c r="E15" s="62">
        <v>7.1999999999999995E-2</v>
      </c>
      <c r="F15" s="62" t="s">
        <v>25</v>
      </c>
      <c r="G15" s="62">
        <v>6.9000000000000006E-2</v>
      </c>
      <c r="H15" s="62" t="s">
        <v>25</v>
      </c>
      <c r="I15" s="62">
        <v>6.0000000000000001E-3</v>
      </c>
      <c r="J15" s="62" t="s">
        <v>25</v>
      </c>
      <c r="K15" s="62">
        <v>1.7000000000000001E-2</v>
      </c>
      <c r="L15" s="62">
        <f t="shared" si="4"/>
        <v>98.942999999999998</v>
      </c>
      <c r="M15" s="78"/>
      <c r="N15" s="78"/>
      <c r="O15" s="7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E15" s="11"/>
      <c r="AF15" s="11"/>
      <c r="AI15" s="11"/>
      <c r="AJ15" s="11"/>
      <c r="AK15" s="11"/>
      <c r="AL15" s="11"/>
      <c r="AM15" s="11"/>
      <c r="AN15" s="11"/>
      <c r="AO15" s="11"/>
    </row>
    <row r="16" spans="1:41" s="5" customFormat="1" ht="15.4">
      <c r="A16" s="66"/>
      <c r="B16" s="61" t="s">
        <v>38</v>
      </c>
      <c r="C16" s="62">
        <v>44.9</v>
      </c>
      <c r="D16" s="62">
        <v>52.731999999999999</v>
      </c>
      <c r="E16" s="62">
        <v>0.28799999999999998</v>
      </c>
      <c r="F16" s="62" t="s">
        <v>25</v>
      </c>
      <c r="G16" s="62">
        <v>0.375</v>
      </c>
      <c r="H16" s="62">
        <v>8.9999999999999993E-3</v>
      </c>
      <c r="I16" s="62">
        <v>1.4E-2</v>
      </c>
      <c r="J16" s="62" t="s">
        <v>25</v>
      </c>
      <c r="K16" s="62">
        <v>8.0000000000000002E-3</v>
      </c>
      <c r="L16" s="62">
        <f t="shared" si="4"/>
        <v>98.325999999999993</v>
      </c>
      <c r="M16" s="78"/>
      <c r="N16" s="78"/>
      <c r="O16" s="7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E16" s="11"/>
      <c r="AF16" s="11"/>
      <c r="AI16" s="11"/>
      <c r="AJ16" s="11"/>
      <c r="AK16" s="11"/>
      <c r="AL16" s="11"/>
      <c r="AM16" s="11"/>
      <c r="AN16" s="11"/>
      <c r="AO16" s="11"/>
    </row>
    <row r="17" spans="1:41" s="2" customFormat="1" ht="15.4">
      <c r="A17" s="66"/>
      <c r="B17" s="61" t="s">
        <v>39</v>
      </c>
      <c r="C17" s="62">
        <v>45.112000000000002</v>
      </c>
      <c r="D17" s="62">
        <v>52.078000000000003</v>
      </c>
      <c r="E17" s="62">
        <v>0.249</v>
      </c>
      <c r="F17" s="62">
        <v>9.0999999999999998E-2</v>
      </c>
      <c r="G17" s="62">
        <v>7.0999999999999994E-2</v>
      </c>
      <c r="H17" s="62" t="s">
        <v>25</v>
      </c>
      <c r="I17" s="62">
        <v>2.1000000000000001E-2</v>
      </c>
      <c r="J17" s="62" t="s">
        <v>25</v>
      </c>
      <c r="K17" s="62" t="s">
        <v>25</v>
      </c>
      <c r="L17" s="62">
        <f t="shared" si="4"/>
        <v>97.621999999999986</v>
      </c>
      <c r="M17" s="78"/>
      <c r="N17" s="78"/>
      <c r="O17" s="76"/>
    </row>
    <row r="18" spans="1:41" s="2" customFormat="1" ht="15.4">
      <c r="A18" s="66"/>
      <c r="B18" s="61" t="s">
        <v>40</v>
      </c>
      <c r="C18" s="62">
        <v>46.195</v>
      </c>
      <c r="D18" s="62">
        <v>53.253</v>
      </c>
      <c r="E18" s="62">
        <v>8.5000000000000006E-2</v>
      </c>
      <c r="F18" s="62">
        <v>2.5000000000000001E-2</v>
      </c>
      <c r="G18" s="62">
        <v>0.22700000000000001</v>
      </c>
      <c r="H18" s="62" t="s">
        <v>25</v>
      </c>
      <c r="I18" s="62" t="s">
        <v>25</v>
      </c>
      <c r="J18" s="62">
        <v>2.3E-2</v>
      </c>
      <c r="K18" s="62" t="s">
        <v>25</v>
      </c>
      <c r="L18" s="62">
        <f t="shared" si="4"/>
        <v>99.808000000000007</v>
      </c>
      <c r="M18" s="78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E18" s="79"/>
      <c r="AF18" s="79"/>
      <c r="AI18" s="79"/>
      <c r="AJ18" s="79"/>
      <c r="AK18" s="79"/>
      <c r="AL18" s="79"/>
      <c r="AM18" s="79"/>
      <c r="AN18" s="79"/>
      <c r="AO18" s="79"/>
    </row>
    <row r="19" spans="1:41" s="2" customFormat="1" ht="15.4">
      <c r="A19" s="66"/>
      <c r="B19" s="61" t="s">
        <v>41</v>
      </c>
      <c r="C19" s="62">
        <v>45.253</v>
      </c>
      <c r="D19" s="62">
        <v>52.643000000000001</v>
      </c>
      <c r="E19" s="62">
        <v>0.26700000000000002</v>
      </c>
      <c r="F19" s="62">
        <v>8.9999999999999993E-3</v>
      </c>
      <c r="G19" s="62">
        <v>0.10100000000000001</v>
      </c>
      <c r="H19" s="62" t="s">
        <v>25</v>
      </c>
      <c r="I19" s="62">
        <v>1.2999999999999999E-2</v>
      </c>
      <c r="J19" s="62" t="s">
        <v>25</v>
      </c>
      <c r="K19" s="62" t="s">
        <v>25</v>
      </c>
      <c r="L19" s="62">
        <f t="shared" si="4"/>
        <v>98.286000000000001</v>
      </c>
      <c r="M19" s="78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E19" s="79"/>
      <c r="AF19" s="79"/>
      <c r="AI19" s="79"/>
      <c r="AJ19" s="79"/>
      <c r="AK19" s="79"/>
      <c r="AL19" s="79"/>
      <c r="AM19" s="79"/>
      <c r="AN19" s="79"/>
      <c r="AO19" s="79"/>
    </row>
    <row r="20" spans="1:41" s="2" customFormat="1" ht="15.4">
      <c r="A20" s="66"/>
      <c r="B20" s="61" t="s">
        <v>42</v>
      </c>
      <c r="C20" s="62">
        <v>45.588000000000001</v>
      </c>
      <c r="D20" s="62">
        <v>52.631</v>
      </c>
      <c r="E20" s="62">
        <v>0.27300000000000002</v>
      </c>
      <c r="F20" s="62" t="s">
        <v>25</v>
      </c>
      <c r="G20" s="62">
        <v>6.8000000000000005E-2</v>
      </c>
      <c r="H20" s="62" t="s">
        <v>25</v>
      </c>
      <c r="I20" s="62">
        <v>8.0000000000000002E-3</v>
      </c>
      <c r="J20" s="62">
        <v>1.0999999999999999E-2</v>
      </c>
      <c r="K20" s="62" t="s">
        <v>25</v>
      </c>
      <c r="L20" s="62">
        <f t="shared" si="4"/>
        <v>98.578999999999979</v>
      </c>
      <c r="M20" s="78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E20" s="79"/>
      <c r="AF20" s="79"/>
      <c r="AI20" s="79"/>
      <c r="AJ20" s="79"/>
      <c r="AK20" s="79"/>
      <c r="AL20" s="79"/>
      <c r="AM20" s="79"/>
      <c r="AN20" s="79"/>
      <c r="AO20" s="79"/>
    </row>
    <row r="21" spans="1:41" s="2" customFormat="1" ht="15.4">
      <c r="A21" s="69"/>
      <c r="B21" s="70" t="s">
        <v>31</v>
      </c>
      <c r="C21" s="71">
        <f>AVERAGE(C14:C20)</f>
        <v>45.468142857142858</v>
      </c>
      <c r="D21" s="71">
        <f>AVERAGE(D14:D20)</f>
        <v>52.691714285714284</v>
      </c>
      <c r="E21" s="71">
        <f>AVERAGE(E14:E20)</f>
        <v>0.20342857142857143</v>
      </c>
      <c r="F21" s="71">
        <f>AVERAGE(F14:F20)</f>
        <v>3.4500000000000003E-2</v>
      </c>
      <c r="G21" s="71">
        <f>AVERAGE(G14:G20)</f>
        <v>0.14157142857142854</v>
      </c>
      <c r="H21" s="94" t="s">
        <v>25</v>
      </c>
      <c r="I21" s="71">
        <f>AVERAGE(I14:I20)</f>
        <v>1.24E-2</v>
      </c>
      <c r="J21" s="71">
        <f>AVERAGE(J14:J20)</f>
        <v>1.6E-2</v>
      </c>
      <c r="K21" s="71">
        <f>AVERAGE(K14:K20)</f>
        <v>1.2500000000000001E-2</v>
      </c>
      <c r="L21" s="71">
        <f>AVERAGE(L14:L20)</f>
        <v>98.545142857142835</v>
      </c>
      <c r="M21" s="81"/>
      <c r="N21" s="81"/>
      <c r="O21" s="64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E21" s="79"/>
      <c r="AF21" s="79"/>
      <c r="AI21" s="79"/>
      <c r="AJ21" s="79"/>
      <c r="AK21" s="79"/>
      <c r="AL21" s="79"/>
      <c r="AM21" s="79"/>
      <c r="AN21" s="79"/>
      <c r="AO21" s="79"/>
    </row>
    <row r="22" spans="1:41" s="2" customFormat="1" ht="15.4">
      <c r="A22" s="69"/>
      <c r="B22" s="70" t="s">
        <v>32</v>
      </c>
      <c r="C22" s="71">
        <f>MIN(C4:C9)</f>
        <v>44.9</v>
      </c>
      <c r="D22" s="71">
        <f>MIN(D4:D9)</f>
        <v>52.228999999999999</v>
      </c>
      <c r="E22" s="71">
        <f>MIN(E4:E9)</f>
        <v>0.13100000000000001</v>
      </c>
      <c r="F22" s="94" t="s">
        <v>25</v>
      </c>
      <c r="G22" s="71">
        <f>MIN(G4:G9)</f>
        <v>4.3999999999999997E-2</v>
      </c>
      <c r="H22" s="94" t="s">
        <v>25</v>
      </c>
      <c r="I22" s="94" t="s">
        <v>25</v>
      </c>
      <c r="J22" s="94" t="s">
        <v>25</v>
      </c>
      <c r="K22" s="94" t="s">
        <v>25</v>
      </c>
      <c r="L22" s="71">
        <f>MIN(L4:L9)</f>
        <v>98.018000000000001</v>
      </c>
      <c r="M22" s="81"/>
      <c r="N22" s="81"/>
      <c r="O22" s="64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E22" s="79"/>
      <c r="AF22" s="79"/>
      <c r="AI22" s="79"/>
      <c r="AJ22" s="79"/>
      <c r="AK22" s="79"/>
      <c r="AL22" s="79"/>
      <c r="AM22" s="79"/>
      <c r="AN22" s="79"/>
      <c r="AO22" s="79"/>
    </row>
    <row r="23" spans="1:41" s="2" customFormat="1" ht="15.4">
      <c r="A23" s="69"/>
      <c r="B23" s="70" t="s">
        <v>33</v>
      </c>
      <c r="C23" s="71">
        <f>MAX(C14:C20)</f>
        <v>46.195</v>
      </c>
      <c r="D23" s="71">
        <f>MAX(D14:D20)</f>
        <v>53.253</v>
      </c>
      <c r="E23" s="71">
        <f>MAX(E14:E20)</f>
        <v>0.28799999999999998</v>
      </c>
      <c r="F23" s="71">
        <f>MAX(F14:F20)</f>
        <v>9.0999999999999998E-2</v>
      </c>
      <c r="G23" s="71">
        <f>MAX(G14:G20)</f>
        <v>0.375</v>
      </c>
      <c r="H23" s="94" t="s">
        <v>25</v>
      </c>
      <c r="I23" s="71">
        <f>MAX(I14:I20)</f>
        <v>2.1000000000000001E-2</v>
      </c>
      <c r="J23" s="71">
        <f>MAX(J14:J20)</f>
        <v>2.3E-2</v>
      </c>
      <c r="K23" s="71">
        <f>MAX(K14:K20)</f>
        <v>1.7000000000000001E-2</v>
      </c>
      <c r="L23" s="71">
        <f>MAX(L14:L20)</f>
        <v>99.808000000000007</v>
      </c>
      <c r="M23" s="81"/>
      <c r="N23" s="81"/>
      <c r="O23" s="64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E23" s="79"/>
      <c r="AF23" s="79"/>
      <c r="AI23" s="79"/>
      <c r="AJ23" s="79"/>
      <c r="AK23" s="79"/>
      <c r="AL23" s="79"/>
      <c r="AM23" s="79"/>
      <c r="AN23" s="79"/>
      <c r="AO23" s="79"/>
    </row>
    <row r="24" spans="1:41" s="2" customFormat="1" ht="15.4">
      <c r="A24" s="69"/>
      <c r="B24" s="72" t="s">
        <v>34</v>
      </c>
      <c r="C24" s="71">
        <f>STDEV(C14:C20)</f>
        <v>0.45754396093760835</v>
      </c>
      <c r="D24" s="71">
        <f>STDEV(D14:D20)</f>
        <v>0.3497388141102406</v>
      </c>
      <c r="E24" s="71">
        <f>STDEV(E14:E20)</f>
        <v>9.091178350990807E-2</v>
      </c>
      <c r="F24" s="71">
        <f>STDEV(F14:F20)</f>
        <v>3.8275318418009276E-2</v>
      </c>
      <c r="G24" s="71">
        <f>STDEV(G14:G20)</f>
        <v>0.11753277151906351</v>
      </c>
      <c r="H24" s="94" t="s">
        <v>25</v>
      </c>
      <c r="I24" s="71">
        <f>STDEV(I14:I20)</f>
        <v>5.8566201857385329E-3</v>
      </c>
      <c r="J24" s="71">
        <f>STDEV(J14:J20)</f>
        <v>6.2449979983983956E-3</v>
      </c>
      <c r="K24" s="71">
        <f>STDEV(K14:K20)</f>
        <v>6.3639610306789243E-3</v>
      </c>
      <c r="L24" s="71">
        <f>STDEV(L14:L20)</f>
        <v>0.68405029751021651</v>
      </c>
      <c r="M24" s="81"/>
      <c r="N24" s="81"/>
      <c r="O24" s="64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E24" s="79"/>
      <c r="AF24" s="79"/>
      <c r="AI24" s="79"/>
      <c r="AJ24" s="79"/>
      <c r="AK24" s="79"/>
      <c r="AL24" s="79"/>
      <c r="AM24" s="79"/>
      <c r="AN24" s="79"/>
      <c r="AO24" s="79"/>
    </row>
    <row r="25" spans="1:41" s="2" customFormat="1" ht="15.4">
      <c r="A25" s="66" t="s">
        <v>43</v>
      </c>
      <c r="B25" s="61" t="s">
        <v>44</v>
      </c>
      <c r="C25" s="62">
        <v>46.006999999999998</v>
      </c>
      <c r="D25" s="62">
        <v>53.293999999999997</v>
      </c>
      <c r="E25" s="62" t="s">
        <v>25</v>
      </c>
      <c r="F25" s="62">
        <v>1.9E-2</v>
      </c>
      <c r="G25" s="62">
        <v>5.6000000000000001E-2</v>
      </c>
      <c r="H25" s="62">
        <v>8.0000000000000002E-3</v>
      </c>
      <c r="I25" s="62">
        <v>7.0000000000000001E-3</v>
      </c>
      <c r="J25" s="62" t="s">
        <v>25</v>
      </c>
      <c r="K25" s="62" t="s">
        <v>25</v>
      </c>
      <c r="L25" s="62">
        <f t="shared" ref="L25:L32" si="5">SUM(C25:K25)</f>
        <v>99.390999999999991</v>
      </c>
      <c r="M25" s="78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E25" s="79"/>
      <c r="AF25" s="79"/>
      <c r="AI25" s="79"/>
      <c r="AJ25" s="79"/>
      <c r="AK25" s="79"/>
      <c r="AL25" s="79"/>
      <c r="AM25" s="79"/>
      <c r="AN25" s="79"/>
      <c r="AO25" s="79"/>
    </row>
    <row r="26" spans="1:41" s="2" customFormat="1" ht="15.4">
      <c r="A26" s="66"/>
      <c r="B26" s="61" t="s">
        <v>45</v>
      </c>
      <c r="C26" s="62">
        <v>46.13</v>
      </c>
      <c r="D26" s="62">
        <v>52.786000000000001</v>
      </c>
      <c r="E26" s="62" t="s">
        <v>25</v>
      </c>
      <c r="F26" s="62" t="s">
        <v>25</v>
      </c>
      <c r="G26" s="62">
        <v>5.6000000000000001E-2</v>
      </c>
      <c r="H26" s="62" t="s">
        <v>25</v>
      </c>
      <c r="I26" s="62">
        <v>5.0000000000000001E-3</v>
      </c>
      <c r="J26" s="62" t="s">
        <v>25</v>
      </c>
      <c r="K26" s="62" t="s">
        <v>25</v>
      </c>
      <c r="L26" s="62">
        <f t="shared" si="5"/>
        <v>98.97699999999999</v>
      </c>
      <c r="M26" s="78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E26" s="79"/>
      <c r="AF26" s="79"/>
      <c r="AI26" s="79"/>
      <c r="AJ26" s="79"/>
      <c r="AK26" s="79"/>
      <c r="AL26" s="79"/>
      <c r="AM26" s="79"/>
      <c r="AN26" s="79"/>
      <c r="AO26" s="79"/>
    </row>
    <row r="27" spans="1:41" s="2" customFormat="1" ht="15.4">
      <c r="A27" s="66"/>
      <c r="B27" s="61" t="s">
        <v>46</v>
      </c>
      <c r="C27" s="62">
        <v>46.043999999999997</v>
      </c>
      <c r="D27" s="62">
        <v>53.427999999999997</v>
      </c>
      <c r="E27" s="62">
        <v>0.154</v>
      </c>
      <c r="F27" s="62">
        <v>7.9000000000000001E-2</v>
      </c>
      <c r="G27" s="62">
        <v>0.10299999999999999</v>
      </c>
      <c r="H27" s="62" t="s">
        <v>25</v>
      </c>
      <c r="I27" s="62" t="s">
        <v>25</v>
      </c>
      <c r="J27" s="62" t="s">
        <v>25</v>
      </c>
      <c r="K27" s="62" t="s">
        <v>25</v>
      </c>
      <c r="L27" s="62">
        <f t="shared" si="5"/>
        <v>99.807999999999979</v>
      </c>
      <c r="M27" s="78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E27" s="79"/>
      <c r="AF27" s="79"/>
      <c r="AI27" s="79"/>
      <c r="AJ27" s="79"/>
      <c r="AK27" s="79"/>
      <c r="AL27" s="79"/>
      <c r="AM27" s="79"/>
      <c r="AN27" s="79"/>
      <c r="AO27" s="79"/>
    </row>
    <row r="28" spans="1:41" s="54" customFormat="1" ht="15.4">
      <c r="A28" s="66"/>
      <c r="B28" s="61" t="s">
        <v>47</v>
      </c>
      <c r="C28" s="62">
        <v>45.927999999999997</v>
      </c>
      <c r="D28" s="62">
        <v>53.082000000000001</v>
      </c>
      <c r="E28" s="62" t="s">
        <v>25</v>
      </c>
      <c r="F28" s="62">
        <v>2.1999999999999999E-2</v>
      </c>
      <c r="G28" s="62">
        <v>7.4999999999999997E-2</v>
      </c>
      <c r="H28" s="62" t="s">
        <v>25</v>
      </c>
      <c r="I28" s="62" t="s">
        <v>25</v>
      </c>
      <c r="J28" s="62" t="s">
        <v>25</v>
      </c>
      <c r="K28" s="62" t="s">
        <v>25</v>
      </c>
      <c r="L28" s="62">
        <f t="shared" si="5"/>
        <v>99.106999999999999</v>
      </c>
      <c r="M28" s="78"/>
      <c r="N28" s="78"/>
      <c r="O28" s="76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E28" s="82"/>
      <c r="AF28" s="82"/>
      <c r="AI28" s="82"/>
      <c r="AJ28" s="82"/>
      <c r="AK28" s="82"/>
      <c r="AL28" s="82"/>
      <c r="AM28" s="82"/>
      <c r="AN28" s="82"/>
      <c r="AO28" s="82"/>
    </row>
    <row r="29" spans="1:41" s="5" customFormat="1" ht="15.4">
      <c r="A29" s="66"/>
      <c r="B29" s="61" t="s">
        <v>48</v>
      </c>
      <c r="C29" s="62">
        <v>46.115000000000002</v>
      </c>
      <c r="D29" s="62">
        <v>52.512</v>
      </c>
      <c r="E29" s="62">
        <v>2.5999999999999999E-2</v>
      </c>
      <c r="F29" s="62" t="s">
        <v>25</v>
      </c>
      <c r="G29" s="62">
        <v>9.2999999999999999E-2</v>
      </c>
      <c r="H29" s="62" t="s">
        <v>25</v>
      </c>
      <c r="I29" s="62">
        <v>1.9E-2</v>
      </c>
      <c r="J29" s="62" t="s">
        <v>25</v>
      </c>
      <c r="K29" s="62" t="s">
        <v>25</v>
      </c>
      <c r="L29" s="62">
        <f t="shared" si="5"/>
        <v>98.765000000000015</v>
      </c>
      <c r="M29" s="78"/>
      <c r="N29" s="78"/>
      <c r="O29" s="7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E29" s="11"/>
      <c r="AF29" s="11"/>
      <c r="AI29" s="11"/>
      <c r="AJ29" s="11"/>
      <c r="AK29" s="11"/>
      <c r="AL29" s="11"/>
      <c r="AM29" s="11"/>
      <c r="AN29" s="11"/>
      <c r="AO29" s="11"/>
    </row>
    <row r="30" spans="1:41" s="5" customFormat="1" ht="15.4">
      <c r="A30" s="66"/>
      <c r="B30" s="61" t="s">
        <v>49</v>
      </c>
      <c r="C30" s="73">
        <v>46.548000000000002</v>
      </c>
      <c r="D30" s="73">
        <v>53.031999999999996</v>
      </c>
      <c r="E30" s="73">
        <v>1.2999999999999999E-2</v>
      </c>
      <c r="F30" s="73">
        <v>5.1999999999999998E-2</v>
      </c>
      <c r="G30" s="73">
        <v>8.6999999999999994E-2</v>
      </c>
      <c r="H30" s="73" t="s">
        <v>25</v>
      </c>
      <c r="I30" s="73" t="s">
        <v>25</v>
      </c>
      <c r="J30" s="73" t="s">
        <v>25</v>
      </c>
      <c r="K30" s="73" t="s">
        <v>25</v>
      </c>
      <c r="L30" s="62">
        <f t="shared" si="5"/>
        <v>99.732000000000014</v>
      </c>
      <c r="M30" s="73"/>
      <c r="N30" s="73"/>
      <c r="O30" s="7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E30" s="11"/>
      <c r="AF30" s="11"/>
      <c r="AI30" s="11"/>
      <c r="AJ30" s="11"/>
      <c r="AK30" s="11"/>
      <c r="AL30" s="11"/>
      <c r="AM30" s="11"/>
      <c r="AN30" s="11"/>
      <c r="AO30" s="11"/>
    </row>
    <row r="31" spans="1:41" s="5" customFormat="1" ht="15.4">
      <c r="A31" s="66"/>
      <c r="B31" s="61" t="s">
        <v>50</v>
      </c>
      <c r="C31" s="73">
        <v>46.107999999999997</v>
      </c>
      <c r="D31" s="73">
        <v>52.503</v>
      </c>
      <c r="E31" s="73">
        <v>0.18</v>
      </c>
      <c r="F31" s="73" t="s">
        <v>25</v>
      </c>
      <c r="G31" s="73">
        <v>2.1000000000000001E-2</v>
      </c>
      <c r="H31" s="73">
        <v>5.0000000000000001E-3</v>
      </c>
      <c r="I31" s="73" t="s">
        <v>25</v>
      </c>
      <c r="J31" s="73" t="s">
        <v>25</v>
      </c>
      <c r="K31" s="73">
        <v>1.2E-2</v>
      </c>
      <c r="L31" s="62">
        <f t="shared" si="5"/>
        <v>98.828999999999994</v>
      </c>
      <c r="M31" s="73"/>
      <c r="N31" s="73"/>
      <c r="O31" s="76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E31" s="11"/>
      <c r="AF31" s="11"/>
      <c r="AI31" s="11"/>
      <c r="AJ31" s="11"/>
      <c r="AK31" s="11"/>
      <c r="AL31" s="11"/>
      <c r="AM31" s="11"/>
      <c r="AN31" s="11"/>
      <c r="AO31" s="11"/>
    </row>
    <row r="32" spans="1:41" s="5" customFormat="1" ht="15.4">
      <c r="A32" s="66"/>
      <c r="B32" s="61" t="s">
        <v>51</v>
      </c>
      <c r="C32" s="73">
        <v>46.182000000000002</v>
      </c>
      <c r="D32" s="73">
        <v>52.64</v>
      </c>
      <c r="E32" s="73">
        <v>6.7000000000000004E-2</v>
      </c>
      <c r="F32" s="73">
        <v>7.2999999999999995E-2</v>
      </c>
      <c r="G32" s="73">
        <v>7.0999999999999994E-2</v>
      </c>
      <c r="H32" s="73">
        <v>8.9999999999999993E-3</v>
      </c>
      <c r="I32" s="73">
        <v>1.4E-2</v>
      </c>
      <c r="J32" s="73" t="s">
        <v>25</v>
      </c>
      <c r="K32" s="73" t="s">
        <v>25</v>
      </c>
      <c r="L32" s="62">
        <f t="shared" si="5"/>
        <v>99.055999999999983</v>
      </c>
      <c r="M32" s="73"/>
      <c r="N32" s="73"/>
      <c r="O32" s="76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E32" s="11"/>
      <c r="AF32" s="11"/>
      <c r="AI32" s="11"/>
      <c r="AJ32" s="11"/>
      <c r="AK32" s="11"/>
      <c r="AL32" s="11"/>
      <c r="AM32" s="11"/>
      <c r="AN32" s="11"/>
      <c r="AO32" s="11"/>
    </row>
    <row r="33" spans="1:41" s="2" customFormat="1" ht="15.4">
      <c r="A33" s="69"/>
      <c r="B33" s="70" t="s">
        <v>31</v>
      </c>
      <c r="C33" s="71">
        <f t="shared" ref="C33:I33" si="6">AVERAGE(C25:C32)</f>
        <v>46.132750000000001</v>
      </c>
      <c r="D33" s="71">
        <f t="shared" si="6"/>
        <v>52.909624999999991</v>
      </c>
      <c r="E33" s="71">
        <f t="shared" si="6"/>
        <v>8.7999999999999995E-2</v>
      </c>
      <c r="F33" s="71">
        <f t="shared" si="6"/>
        <v>4.9000000000000002E-2</v>
      </c>
      <c r="G33" s="71">
        <f t="shared" si="6"/>
        <v>7.0249999999999993E-2</v>
      </c>
      <c r="H33" s="71">
        <f t="shared" si="6"/>
        <v>7.3333333333333332E-3</v>
      </c>
      <c r="I33" s="71">
        <f t="shared" si="6"/>
        <v>1.125E-2</v>
      </c>
      <c r="J33" s="94" t="s">
        <v>25</v>
      </c>
      <c r="K33" s="94" t="s">
        <v>25</v>
      </c>
      <c r="L33" s="71">
        <f>AVERAGE(L25:L32)</f>
        <v>99.208124999999995</v>
      </c>
      <c r="M33" s="81"/>
      <c r="N33" s="81"/>
      <c r="O33" s="64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E33" s="79"/>
      <c r="AF33" s="79"/>
      <c r="AI33" s="79"/>
      <c r="AJ33" s="79"/>
      <c r="AK33" s="79"/>
      <c r="AL33" s="79"/>
      <c r="AM33" s="79"/>
      <c r="AN33" s="79"/>
      <c r="AO33" s="79"/>
    </row>
    <row r="34" spans="1:41" s="2" customFormat="1" ht="15.4">
      <c r="A34" s="69"/>
      <c r="B34" s="70" t="s">
        <v>32</v>
      </c>
      <c r="C34" s="71">
        <f>MIN(C25:C32)</f>
        <v>45.927999999999997</v>
      </c>
      <c r="D34" s="71">
        <f>MIN(D25:D32)</f>
        <v>52.503</v>
      </c>
      <c r="E34" s="94" t="s">
        <v>25</v>
      </c>
      <c r="F34" s="94" t="s">
        <v>25</v>
      </c>
      <c r="G34" s="71">
        <f>MIN(G25:G32)</f>
        <v>2.1000000000000001E-2</v>
      </c>
      <c r="H34" s="94" t="s">
        <v>25</v>
      </c>
      <c r="I34" s="94" t="s">
        <v>25</v>
      </c>
      <c r="J34" s="94" t="s">
        <v>25</v>
      </c>
      <c r="K34" s="94" t="s">
        <v>25</v>
      </c>
      <c r="L34" s="71">
        <f>MIN(L25:L32)</f>
        <v>98.765000000000015</v>
      </c>
      <c r="M34" s="81"/>
      <c r="N34" s="81"/>
      <c r="O34" s="64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E34" s="79"/>
      <c r="AF34" s="79"/>
      <c r="AI34" s="79"/>
      <c r="AJ34" s="79"/>
      <c r="AK34" s="79"/>
      <c r="AL34" s="79"/>
      <c r="AM34" s="79"/>
      <c r="AN34" s="79"/>
      <c r="AO34" s="79"/>
    </row>
    <row r="35" spans="1:41" s="2" customFormat="1" ht="15.4">
      <c r="A35" s="69"/>
      <c r="B35" s="70" t="s">
        <v>33</v>
      </c>
      <c r="C35" s="71">
        <f t="shared" ref="C35:I35" si="7">MAX(C25:C32)</f>
        <v>46.548000000000002</v>
      </c>
      <c r="D35" s="71">
        <f t="shared" si="7"/>
        <v>53.427999999999997</v>
      </c>
      <c r="E35" s="71">
        <f t="shared" si="7"/>
        <v>0.18</v>
      </c>
      <c r="F35" s="71">
        <f t="shared" si="7"/>
        <v>7.9000000000000001E-2</v>
      </c>
      <c r="G35" s="71">
        <f t="shared" si="7"/>
        <v>0.10299999999999999</v>
      </c>
      <c r="H35" s="71">
        <f t="shared" si="7"/>
        <v>8.9999999999999993E-3</v>
      </c>
      <c r="I35" s="71">
        <f t="shared" si="7"/>
        <v>1.9E-2</v>
      </c>
      <c r="J35" s="94" t="s">
        <v>25</v>
      </c>
      <c r="K35" s="94" t="s">
        <v>25</v>
      </c>
      <c r="L35" s="71">
        <f>MAX(L25:L32)</f>
        <v>99.807999999999979</v>
      </c>
      <c r="M35" s="81"/>
      <c r="N35" s="81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E35" s="79"/>
      <c r="AF35" s="79"/>
      <c r="AI35" s="79"/>
      <c r="AJ35" s="79"/>
      <c r="AK35" s="79"/>
      <c r="AL35" s="79"/>
      <c r="AM35" s="79"/>
      <c r="AN35" s="79"/>
      <c r="AO35" s="79"/>
    </row>
    <row r="36" spans="1:41" s="2" customFormat="1" ht="15.4">
      <c r="A36" s="69"/>
      <c r="B36" s="72" t="s">
        <v>34</v>
      </c>
      <c r="C36" s="71">
        <f t="shared" ref="C36:I36" si="8">STDEV(C25:C32)</f>
        <v>0.18570541187590783</v>
      </c>
      <c r="D36" s="71">
        <f t="shared" si="8"/>
        <v>0.35306330371276262</v>
      </c>
      <c r="E36" s="71">
        <f t="shared" si="8"/>
        <v>7.5382358678937611E-2</v>
      </c>
      <c r="F36" s="71">
        <f t="shared" si="8"/>
        <v>2.790161285660742E-2</v>
      </c>
      <c r="G36" s="71">
        <f t="shared" si="8"/>
        <v>2.5982136720666908E-2</v>
      </c>
      <c r="H36" s="71">
        <f t="shared" si="8"/>
        <v>2.0816659994661326E-3</v>
      </c>
      <c r="I36" s="71">
        <f t="shared" si="8"/>
        <v>6.4485140407177033E-3</v>
      </c>
      <c r="J36" s="94" t="s">
        <v>25</v>
      </c>
      <c r="K36" s="94" t="s">
        <v>25</v>
      </c>
      <c r="L36" s="71">
        <f>STDEV(L25:L32)</f>
        <v>0.39544204469717664</v>
      </c>
      <c r="M36" s="81"/>
      <c r="N36" s="81"/>
      <c r="O36" s="64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E36" s="79"/>
      <c r="AF36" s="79"/>
      <c r="AI36" s="79"/>
      <c r="AJ36" s="79"/>
      <c r="AK36" s="79"/>
      <c r="AL36" s="79"/>
      <c r="AM36" s="79"/>
      <c r="AN36" s="79"/>
      <c r="AO36" s="79"/>
    </row>
    <row r="37" spans="1:41" s="2" customFormat="1" ht="15.4">
      <c r="A37" s="66" t="s">
        <v>52</v>
      </c>
      <c r="B37" s="61" t="s">
        <v>53</v>
      </c>
      <c r="C37" s="62">
        <v>45.906999999999996</v>
      </c>
      <c r="D37" s="62">
        <v>53.156999999999996</v>
      </c>
      <c r="E37" s="62" t="s">
        <v>25</v>
      </c>
      <c r="F37" s="62">
        <v>3.5999999999999997E-2</v>
      </c>
      <c r="G37" s="62">
        <v>0.1</v>
      </c>
      <c r="H37" s="62" t="s">
        <v>25</v>
      </c>
      <c r="I37" s="62">
        <v>7.0000000000000001E-3</v>
      </c>
      <c r="J37" s="62" t="s">
        <v>25</v>
      </c>
      <c r="K37" s="62">
        <v>8.0000000000000002E-3</v>
      </c>
      <c r="L37" s="62">
        <f t="shared" ref="L37:L44" si="9">SUM(C37:K37)</f>
        <v>99.214999999999989</v>
      </c>
      <c r="M37" s="78"/>
      <c r="N37" s="78"/>
      <c r="O37" s="76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E37" s="79"/>
      <c r="AF37" s="79"/>
      <c r="AI37" s="79"/>
      <c r="AJ37" s="79"/>
      <c r="AK37" s="79"/>
      <c r="AL37" s="79"/>
      <c r="AM37" s="79"/>
      <c r="AN37" s="79"/>
      <c r="AO37" s="79"/>
    </row>
    <row r="38" spans="1:41" s="2" customFormat="1" ht="15.4">
      <c r="A38" s="66"/>
      <c r="B38" s="61" t="s">
        <v>54</v>
      </c>
      <c r="C38" s="62">
        <v>46.082000000000001</v>
      </c>
      <c r="D38" s="62">
        <v>52.930999999999997</v>
      </c>
      <c r="E38" s="62">
        <v>5.0999999999999997E-2</v>
      </c>
      <c r="F38" s="62" t="s">
        <v>25</v>
      </c>
      <c r="G38" s="62">
        <v>0.10100000000000001</v>
      </c>
      <c r="H38" s="62" t="s">
        <v>25</v>
      </c>
      <c r="I38" s="62">
        <v>2.3E-2</v>
      </c>
      <c r="J38" s="62" t="s">
        <v>25</v>
      </c>
      <c r="K38" s="62" t="s">
        <v>25</v>
      </c>
      <c r="L38" s="62">
        <f t="shared" si="9"/>
        <v>99.188000000000002</v>
      </c>
      <c r="M38" s="78"/>
      <c r="N38" s="78"/>
      <c r="O38" s="76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E38" s="79"/>
      <c r="AF38" s="79"/>
      <c r="AI38" s="79"/>
      <c r="AJ38" s="79"/>
      <c r="AK38" s="79"/>
      <c r="AL38" s="79"/>
      <c r="AM38" s="79"/>
      <c r="AN38" s="79"/>
      <c r="AO38" s="79"/>
    </row>
    <row r="39" spans="1:41" s="2" customFormat="1" ht="15.4">
      <c r="A39" s="66"/>
      <c r="B39" s="61" t="s">
        <v>55</v>
      </c>
      <c r="C39" s="62">
        <v>45.662999999999997</v>
      </c>
      <c r="D39" s="62">
        <v>52.851999999999997</v>
      </c>
      <c r="E39" s="62" t="s">
        <v>25</v>
      </c>
      <c r="F39" s="62">
        <v>1.9E-2</v>
      </c>
      <c r="G39" s="62">
        <v>8.5000000000000006E-2</v>
      </c>
      <c r="H39" s="62">
        <v>0.01</v>
      </c>
      <c r="I39" s="62" t="s">
        <v>25</v>
      </c>
      <c r="J39" s="62" t="s">
        <v>25</v>
      </c>
      <c r="K39" s="62">
        <v>0.01</v>
      </c>
      <c r="L39" s="62">
        <f t="shared" si="9"/>
        <v>98.638999999999996</v>
      </c>
      <c r="M39" s="78"/>
      <c r="N39" s="78"/>
      <c r="O39" s="76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E39" s="79"/>
      <c r="AF39" s="79"/>
      <c r="AI39" s="79"/>
      <c r="AJ39" s="79"/>
      <c r="AK39" s="79"/>
      <c r="AL39" s="79"/>
      <c r="AM39" s="79"/>
      <c r="AN39" s="79"/>
      <c r="AO39" s="79"/>
    </row>
    <row r="40" spans="1:41" s="54" customFormat="1" ht="15.4">
      <c r="A40" s="66"/>
      <c r="B40" s="61" t="s">
        <v>56</v>
      </c>
      <c r="C40" s="62">
        <v>45.948</v>
      </c>
      <c r="D40" s="62">
        <v>53.012999999999998</v>
      </c>
      <c r="E40" s="62">
        <v>0.18</v>
      </c>
      <c r="F40" s="62" t="s">
        <v>25</v>
      </c>
      <c r="G40" s="62">
        <v>8.1000000000000003E-2</v>
      </c>
      <c r="H40" s="62" t="s">
        <v>25</v>
      </c>
      <c r="I40" s="62" t="s">
        <v>25</v>
      </c>
      <c r="J40" s="62" t="s">
        <v>25</v>
      </c>
      <c r="K40" s="62">
        <v>6.0000000000000001E-3</v>
      </c>
      <c r="L40" s="62">
        <f t="shared" si="9"/>
        <v>99.228000000000009</v>
      </c>
      <c r="M40" s="78"/>
      <c r="N40" s="78"/>
      <c r="O40" s="76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E40" s="82"/>
      <c r="AF40" s="82"/>
      <c r="AI40" s="82"/>
      <c r="AJ40" s="82"/>
      <c r="AK40" s="82"/>
      <c r="AL40" s="82"/>
      <c r="AM40" s="82"/>
      <c r="AN40" s="82"/>
      <c r="AO40" s="82"/>
    </row>
    <row r="41" spans="1:41" s="5" customFormat="1" ht="15.4">
      <c r="A41" s="66"/>
      <c r="B41" s="61" t="s">
        <v>57</v>
      </c>
      <c r="C41" s="62">
        <v>46.417000000000002</v>
      </c>
      <c r="D41" s="62">
        <v>52.658999999999999</v>
      </c>
      <c r="E41" s="62">
        <v>5.8999999999999997E-2</v>
      </c>
      <c r="F41" s="62">
        <v>0.152</v>
      </c>
      <c r="G41" s="62">
        <v>7.6999999999999999E-2</v>
      </c>
      <c r="H41" s="62">
        <v>5.0000000000000001E-3</v>
      </c>
      <c r="I41" s="62">
        <v>1.9E-2</v>
      </c>
      <c r="J41" s="62" t="s">
        <v>25</v>
      </c>
      <c r="K41" s="62" t="s">
        <v>25</v>
      </c>
      <c r="L41" s="62">
        <f t="shared" si="9"/>
        <v>99.387999999999991</v>
      </c>
      <c r="M41" s="78"/>
      <c r="N41" s="78"/>
      <c r="O41" s="76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E41" s="11"/>
      <c r="AF41" s="11"/>
      <c r="AI41" s="11"/>
      <c r="AJ41" s="11"/>
      <c r="AK41" s="11"/>
      <c r="AL41" s="11"/>
      <c r="AM41" s="11"/>
      <c r="AN41" s="11"/>
      <c r="AO41" s="11"/>
    </row>
    <row r="42" spans="1:41" s="5" customFormat="1" ht="12.95" customHeight="1">
      <c r="A42" s="66"/>
      <c r="B42" s="61" t="s">
        <v>58</v>
      </c>
      <c r="C42" s="73">
        <v>45.927999999999997</v>
      </c>
      <c r="D42" s="73">
        <v>53.179000000000002</v>
      </c>
      <c r="E42" s="73" t="s">
        <v>25</v>
      </c>
      <c r="F42" s="73" t="s">
        <v>25</v>
      </c>
      <c r="G42" s="73">
        <v>0.05</v>
      </c>
      <c r="H42" s="73" t="s">
        <v>25</v>
      </c>
      <c r="I42" s="221" t="s">
        <v>25</v>
      </c>
      <c r="J42" s="73" t="s">
        <v>25</v>
      </c>
      <c r="K42" s="73">
        <v>8.0000000000000002E-3</v>
      </c>
      <c r="L42" s="62">
        <f t="shared" si="9"/>
        <v>99.164999999999992</v>
      </c>
      <c r="M42" s="73"/>
      <c r="N42" s="73"/>
      <c r="O42" s="76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E42" s="11"/>
      <c r="AF42" s="11"/>
      <c r="AI42" s="11"/>
      <c r="AJ42" s="11"/>
      <c r="AK42" s="11"/>
      <c r="AL42" s="11"/>
      <c r="AM42" s="11"/>
      <c r="AN42" s="11"/>
      <c r="AO42" s="11"/>
    </row>
    <row r="43" spans="1:41" s="5" customFormat="1" ht="15.4">
      <c r="A43" s="66"/>
      <c r="B43" s="61" t="s">
        <v>59</v>
      </c>
      <c r="C43" s="73">
        <v>46.26</v>
      </c>
      <c r="D43" s="73">
        <v>52.545000000000002</v>
      </c>
      <c r="E43" s="73" t="s">
        <v>25</v>
      </c>
      <c r="F43" s="73">
        <v>8.9999999999999993E-3</v>
      </c>
      <c r="G43" s="73">
        <v>0.1</v>
      </c>
      <c r="H43" s="73">
        <v>6.0000000000000001E-3</v>
      </c>
      <c r="I43" s="73">
        <v>1.4999999999999999E-2</v>
      </c>
      <c r="J43" s="73" t="s">
        <v>25</v>
      </c>
      <c r="K43" s="73">
        <v>6.0000000000000001E-3</v>
      </c>
      <c r="L43" s="62">
        <f t="shared" si="9"/>
        <v>98.941000000000003</v>
      </c>
      <c r="M43" s="73"/>
      <c r="N43" s="73"/>
      <c r="O43" s="76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E43" s="11"/>
      <c r="AF43" s="11"/>
      <c r="AI43" s="11"/>
      <c r="AJ43" s="11"/>
      <c r="AK43" s="11"/>
      <c r="AL43" s="11"/>
      <c r="AM43" s="11"/>
      <c r="AN43" s="11"/>
      <c r="AO43" s="11"/>
    </row>
    <row r="44" spans="1:41" s="5" customFormat="1" ht="15.4">
      <c r="A44" s="66"/>
      <c r="B44" s="61" t="s">
        <v>60</v>
      </c>
      <c r="C44" s="73">
        <v>45.947000000000003</v>
      </c>
      <c r="D44" s="73">
        <v>52.402999999999999</v>
      </c>
      <c r="E44" s="73">
        <v>0.16700000000000001</v>
      </c>
      <c r="F44" s="73">
        <v>4.9000000000000002E-2</v>
      </c>
      <c r="G44" s="73">
        <v>7.9000000000000001E-2</v>
      </c>
      <c r="H44" s="73">
        <v>8.0000000000000002E-3</v>
      </c>
      <c r="I44" s="73">
        <v>4.2000000000000003E-2</v>
      </c>
      <c r="J44" s="73" t="s">
        <v>25</v>
      </c>
      <c r="K44" s="73">
        <v>0.01</v>
      </c>
      <c r="L44" s="62">
        <f t="shared" si="9"/>
        <v>98.704999999999998</v>
      </c>
      <c r="M44" s="73"/>
      <c r="N44" s="73"/>
      <c r="O44" s="64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2"/>
      <c r="AE44" s="11"/>
      <c r="AF44" s="11"/>
      <c r="AI44" s="11"/>
      <c r="AJ44" s="11"/>
      <c r="AK44" s="11"/>
      <c r="AL44" s="11"/>
      <c r="AM44" s="11"/>
      <c r="AN44" s="11"/>
      <c r="AO44" s="11"/>
    </row>
    <row r="45" spans="1:41" s="2" customFormat="1" ht="15.4">
      <c r="A45" s="69"/>
      <c r="B45" s="70" t="s">
        <v>31</v>
      </c>
      <c r="C45" s="71">
        <f t="shared" ref="C45:I45" si="10">AVERAGE(C37:C44)</f>
        <v>46.018999999999998</v>
      </c>
      <c r="D45" s="71">
        <f t="shared" si="10"/>
        <v>52.842375000000011</v>
      </c>
      <c r="E45" s="71">
        <f t="shared" si="10"/>
        <v>0.11424999999999999</v>
      </c>
      <c r="F45" s="71">
        <f t="shared" si="10"/>
        <v>5.3000000000000005E-2</v>
      </c>
      <c r="G45" s="71">
        <f t="shared" si="10"/>
        <v>8.4125000000000005E-2</v>
      </c>
      <c r="H45" s="71">
        <f t="shared" si="10"/>
        <v>7.2499999999999995E-3</v>
      </c>
      <c r="I45" s="71">
        <f t="shared" si="10"/>
        <v>2.1200000000000004E-2</v>
      </c>
      <c r="J45" s="94" t="s">
        <v>25</v>
      </c>
      <c r="K45" s="71">
        <f>AVERAGE(K37:K44)</f>
        <v>8.0000000000000002E-3</v>
      </c>
      <c r="L45" s="71">
        <f>AVERAGE(L37:L44)</f>
        <v>99.058625000000006</v>
      </c>
      <c r="M45" s="81"/>
      <c r="N45" s="81"/>
      <c r="O45" s="64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E45" s="79"/>
      <c r="AF45" s="79"/>
      <c r="AI45" s="79"/>
      <c r="AJ45" s="79"/>
      <c r="AK45" s="79"/>
      <c r="AL45" s="79"/>
      <c r="AM45" s="79"/>
      <c r="AN45" s="79"/>
      <c r="AO45" s="79"/>
    </row>
    <row r="46" spans="1:41" s="55" customFormat="1" ht="15.4">
      <c r="A46" s="69"/>
      <c r="B46" s="70" t="s">
        <v>32</v>
      </c>
      <c r="C46" s="71">
        <f>MIN(C37:C44)</f>
        <v>45.662999999999997</v>
      </c>
      <c r="D46" s="71">
        <f>MIN(D37:D44)</f>
        <v>52.402999999999999</v>
      </c>
      <c r="E46" s="94" t="s">
        <v>25</v>
      </c>
      <c r="F46" s="94" t="s">
        <v>25</v>
      </c>
      <c r="G46" s="71">
        <f>MIN(G37:G44)</f>
        <v>0.05</v>
      </c>
      <c r="H46" s="94" t="s">
        <v>25</v>
      </c>
      <c r="I46" s="94" t="s">
        <v>25</v>
      </c>
      <c r="J46" s="94" t="s">
        <v>25</v>
      </c>
      <c r="K46" s="94" t="s">
        <v>25</v>
      </c>
      <c r="L46" s="71">
        <f>MIN(L37:L44)</f>
        <v>98.638999999999996</v>
      </c>
      <c r="M46" s="81"/>
      <c r="N46" s="81"/>
      <c r="O46" s="76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2"/>
      <c r="AE46" s="83"/>
      <c r="AF46" s="83"/>
      <c r="AI46" s="83"/>
      <c r="AJ46" s="83"/>
      <c r="AK46" s="83"/>
      <c r="AL46" s="83"/>
      <c r="AM46" s="83"/>
      <c r="AN46" s="83"/>
      <c r="AO46" s="83"/>
    </row>
    <row r="47" spans="1:41" s="55" customFormat="1" ht="15.4">
      <c r="A47" s="69"/>
      <c r="B47" s="70" t="s">
        <v>33</v>
      </c>
      <c r="C47" s="71">
        <f t="shared" ref="C47:I47" si="11">MAX(C37:C44)</f>
        <v>46.417000000000002</v>
      </c>
      <c r="D47" s="71">
        <f t="shared" si="11"/>
        <v>53.179000000000002</v>
      </c>
      <c r="E47" s="71">
        <f t="shared" si="11"/>
        <v>0.18</v>
      </c>
      <c r="F47" s="71">
        <f t="shared" si="11"/>
        <v>0.152</v>
      </c>
      <c r="G47" s="71">
        <f t="shared" si="11"/>
        <v>0.10100000000000001</v>
      </c>
      <c r="H47" s="71">
        <f t="shared" si="11"/>
        <v>0.01</v>
      </c>
      <c r="I47" s="71">
        <f t="shared" si="11"/>
        <v>4.2000000000000003E-2</v>
      </c>
      <c r="J47" s="94" t="s">
        <v>25</v>
      </c>
      <c r="K47" s="71">
        <f>MAX(K37:K44)</f>
        <v>0.01</v>
      </c>
      <c r="L47" s="71">
        <f>MAX(L37:L44)</f>
        <v>99.387999999999991</v>
      </c>
      <c r="M47" s="81"/>
      <c r="N47" s="81"/>
      <c r="O47" s="76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2"/>
      <c r="AE47" s="83"/>
      <c r="AF47" s="83"/>
      <c r="AI47" s="83"/>
      <c r="AJ47" s="83"/>
      <c r="AK47" s="83"/>
      <c r="AL47" s="83"/>
      <c r="AM47" s="83"/>
      <c r="AN47" s="83"/>
      <c r="AO47" s="83"/>
    </row>
    <row r="48" spans="1:41" s="2" customFormat="1" ht="15.4">
      <c r="A48" s="69"/>
      <c r="B48" s="72" t="s">
        <v>34</v>
      </c>
      <c r="C48" s="71">
        <f t="shared" ref="C48:I48" si="12">STDEV(C37:C44)</f>
        <v>0.2324527601778181</v>
      </c>
      <c r="D48" s="71">
        <f t="shared" si="12"/>
        <v>0.28397028893882503</v>
      </c>
      <c r="E48" s="71">
        <f t="shared" si="12"/>
        <v>6.8699223673439988E-2</v>
      </c>
      <c r="F48" s="71">
        <f t="shared" si="12"/>
        <v>5.7441274359122635E-2</v>
      </c>
      <c r="G48" s="71">
        <f t="shared" si="12"/>
        <v>1.7074939866030921E-2</v>
      </c>
      <c r="H48" s="71">
        <f t="shared" si="12"/>
        <v>2.2173557826083452E-3</v>
      </c>
      <c r="I48" s="71">
        <f t="shared" si="12"/>
        <v>1.3046072205840344E-2</v>
      </c>
      <c r="J48" s="94" t="s">
        <v>25</v>
      </c>
      <c r="K48" s="71">
        <f>STDEV(K37:K44)</f>
        <v>1.7888543819998318E-3</v>
      </c>
      <c r="L48" s="71">
        <f>STDEV(L37:L44)</f>
        <v>0.26850216147041578</v>
      </c>
      <c r="M48" s="81"/>
      <c r="N48" s="81"/>
      <c r="O48" s="64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E48" s="79"/>
      <c r="AF48" s="79"/>
      <c r="AI48" s="79"/>
      <c r="AJ48" s="79"/>
      <c r="AK48" s="79"/>
      <c r="AL48" s="79"/>
      <c r="AM48" s="79"/>
      <c r="AN48" s="79"/>
      <c r="AO48" s="79"/>
    </row>
    <row r="49" spans="1:42" s="54" customFormat="1" ht="15.4">
      <c r="A49" s="66" t="s">
        <v>61</v>
      </c>
      <c r="B49" s="61" t="s">
        <v>62</v>
      </c>
      <c r="C49" s="73">
        <v>45.481999999999999</v>
      </c>
      <c r="D49" s="73">
        <v>51.97</v>
      </c>
      <c r="E49" s="73">
        <v>5.6000000000000001E-2</v>
      </c>
      <c r="F49" s="73">
        <v>0.94499999999999995</v>
      </c>
      <c r="G49" s="73">
        <v>8.7999999999999995E-2</v>
      </c>
      <c r="H49" s="73" t="s">
        <v>25</v>
      </c>
      <c r="I49" s="73">
        <v>8.9999999999999993E-3</v>
      </c>
      <c r="J49" s="73" t="s">
        <v>25</v>
      </c>
      <c r="K49" s="73" t="s">
        <v>25</v>
      </c>
      <c r="L49" s="62">
        <f t="shared" ref="L49:L55" si="13">SUM(C49:K49)</f>
        <v>98.549999999999983</v>
      </c>
      <c r="M49" s="73"/>
      <c r="N49" s="73"/>
      <c r="O49" s="76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E49" s="82"/>
      <c r="AF49" s="82"/>
      <c r="AI49" s="82"/>
      <c r="AJ49" s="82"/>
      <c r="AK49" s="82"/>
      <c r="AL49" s="82"/>
      <c r="AM49" s="82"/>
      <c r="AN49" s="82"/>
      <c r="AO49" s="82"/>
    </row>
    <row r="50" spans="1:42" s="5" customFormat="1" ht="15.4">
      <c r="A50" s="66"/>
      <c r="B50" s="61" t="s">
        <v>63</v>
      </c>
      <c r="C50" s="73">
        <v>45.703000000000003</v>
      </c>
      <c r="D50" s="73">
        <v>52.542999999999999</v>
      </c>
      <c r="E50" s="73">
        <v>6.4000000000000001E-2</v>
      </c>
      <c r="F50" s="73">
        <v>2.5000000000000001E-2</v>
      </c>
      <c r="G50" s="73">
        <v>6.3E-2</v>
      </c>
      <c r="H50" s="73" t="s">
        <v>25</v>
      </c>
      <c r="I50" s="73">
        <v>3.6999999999999998E-2</v>
      </c>
      <c r="J50" s="73">
        <v>1.2999999999999999E-2</v>
      </c>
      <c r="K50" s="73" t="s">
        <v>25</v>
      </c>
      <c r="L50" s="62">
        <f t="shared" si="13"/>
        <v>98.448000000000022</v>
      </c>
      <c r="M50" s="73"/>
      <c r="N50" s="73"/>
      <c r="O50" s="76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E50" s="11"/>
      <c r="AF50" s="11"/>
      <c r="AI50" s="11"/>
      <c r="AJ50" s="11"/>
      <c r="AK50" s="11"/>
      <c r="AL50" s="11"/>
      <c r="AM50" s="11"/>
      <c r="AN50" s="11"/>
      <c r="AO50" s="11"/>
    </row>
    <row r="51" spans="1:42" s="5" customFormat="1" ht="15.4">
      <c r="A51" s="66"/>
      <c r="B51" s="61" t="s">
        <v>64</v>
      </c>
      <c r="C51" s="73">
        <v>45.895000000000003</v>
      </c>
      <c r="D51" s="73">
        <v>53.146999999999998</v>
      </c>
      <c r="E51" s="73">
        <v>0.14899999999999999</v>
      </c>
      <c r="F51" s="73" t="s">
        <v>25</v>
      </c>
      <c r="G51" s="73">
        <v>2.5999999999999999E-2</v>
      </c>
      <c r="H51" s="73" t="s">
        <v>25</v>
      </c>
      <c r="I51" s="73">
        <v>0.317</v>
      </c>
      <c r="J51" s="73" t="s">
        <v>25</v>
      </c>
      <c r="K51" s="73">
        <v>5.0000000000000001E-3</v>
      </c>
      <c r="L51" s="62">
        <f t="shared" si="13"/>
        <v>99.538999999999987</v>
      </c>
      <c r="M51" s="73"/>
      <c r="N51" s="73"/>
      <c r="O51" s="76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E51" s="11"/>
      <c r="AF51" s="11"/>
      <c r="AI51" s="11"/>
      <c r="AJ51" s="11"/>
      <c r="AK51" s="11"/>
      <c r="AL51" s="11"/>
      <c r="AM51" s="11"/>
      <c r="AN51" s="11"/>
      <c r="AO51" s="11"/>
    </row>
    <row r="52" spans="1:42" s="5" customFormat="1" ht="15.95" customHeight="1">
      <c r="A52" s="66"/>
      <c r="B52" s="61" t="s">
        <v>65</v>
      </c>
      <c r="C52" s="73">
        <v>45.773000000000003</v>
      </c>
      <c r="D52" s="73">
        <v>52.722999999999999</v>
      </c>
      <c r="E52" s="73" t="s">
        <v>25</v>
      </c>
      <c r="F52" s="73">
        <v>5.0999999999999997E-2</v>
      </c>
      <c r="G52" s="73">
        <v>0.05</v>
      </c>
      <c r="H52" s="73" t="s">
        <v>25</v>
      </c>
      <c r="I52" s="73">
        <v>3.4000000000000002E-2</v>
      </c>
      <c r="J52" s="73" t="s">
        <v>25</v>
      </c>
      <c r="K52" s="62" t="s">
        <v>25</v>
      </c>
      <c r="L52" s="62">
        <f t="shared" si="13"/>
        <v>98.631000000000014</v>
      </c>
      <c r="M52" s="73"/>
      <c r="N52" s="73"/>
      <c r="O52" s="64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E52" s="11"/>
      <c r="AF52" s="11"/>
      <c r="AI52" s="11"/>
      <c r="AJ52" s="11"/>
      <c r="AK52" s="11"/>
      <c r="AL52" s="11"/>
      <c r="AM52" s="11"/>
      <c r="AN52" s="11"/>
      <c r="AO52" s="11"/>
    </row>
    <row r="53" spans="1:42" s="55" customFormat="1" ht="15.4">
      <c r="A53" s="66"/>
      <c r="B53" s="61" t="s">
        <v>66</v>
      </c>
      <c r="C53" s="73">
        <v>46.042999999999999</v>
      </c>
      <c r="D53" s="73">
        <v>53.186999999999998</v>
      </c>
      <c r="E53" s="73" t="s">
        <v>25</v>
      </c>
      <c r="F53" s="73">
        <v>0.03</v>
      </c>
      <c r="G53" s="73">
        <v>0.16600000000000001</v>
      </c>
      <c r="H53" s="73" t="s">
        <v>25</v>
      </c>
      <c r="I53" s="73">
        <v>4.2999999999999997E-2</v>
      </c>
      <c r="J53" s="73" t="s">
        <v>25</v>
      </c>
      <c r="K53" s="73">
        <v>8.0000000000000002E-3</v>
      </c>
      <c r="L53" s="62">
        <f t="shared" si="13"/>
        <v>99.47699999999999</v>
      </c>
      <c r="M53" s="73"/>
      <c r="N53" s="73"/>
      <c r="O53" s="64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2"/>
      <c r="AE53" s="83"/>
      <c r="AF53" s="83"/>
      <c r="AI53" s="83"/>
      <c r="AJ53" s="83"/>
      <c r="AK53" s="83"/>
      <c r="AL53" s="83"/>
      <c r="AM53" s="83"/>
      <c r="AN53" s="83"/>
      <c r="AO53" s="83"/>
    </row>
    <row r="54" spans="1:42" s="2" customFormat="1" ht="15.4">
      <c r="A54" s="66"/>
      <c r="B54" s="61" t="s">
        <v>67</v>
      </c>
      <c r="C54" s="73">
        <v>46.146000000000001</v>
      </c>
      <c r="D54" s="73">
        <v>52.863999999999997</v>
      </c>
      <c r="E54" s="73">
        <v>3.9E-2</v>
      </c>
      <c r="F54" s="73">
        <v>4.5999999999999999E-2</v>
      </c>
      <c r="G54" s="73">
        <v>0.13400000000000001</v>
      </c>
      <c r="H54" s="73">
        <v>1.6E-2</v>
      </c>
      <c r="I54" s="73">
        <v>0.105</v>
      </c>
      <c r="J54" s="73" t="s">
        <v>25</v>
      </c>
      <c r="K54" s="62" t="s">
        <v>25</v>
      </c>
      <c r="L54" s="62">
        <f t="shared" si="13"/>
        <v>99.350000000000009</v>
      </c>
      <c r="M54" s="73"/>
      <c r="N54" s="73"/>
      <c r="O54" s="64"/>
    </row>
    <row r="55" spans="1:42" s="56" customFormat="1" ht="15.4">
      <c r="A55" s="66"/>
      <c r="B55" s="61" t="s">
        <v>68</v>
      </c>
      <c r="C55" s="73">
        <v>45.795000000000002</v>
      </c>
      <c r="D55" s="73">
        <v>53.164000000000001</v>
      </c>
      <c r="E55" s="73">
        <v>5.3999999999999999E-2</v>
      </c>
      <c r="F55" s="73">
        <v>8.9999999999999993E-3</v>
      </c>
      <c r="G55" s="73">
        <v>0.20499999999999999</v>
      </c>
      <c r="H55" s="73" t="s">
        <v>25</v>
      </c>
      <c r="I55" s="73">
        <v>3.9E-2</v>
      </c>
      <c r="J55" s="73">
        <v>6.0000000000000001E-3</v>
      </c>
      <c r="K55" s="73">
        <v>6.0000000000000001E-3</v>
      </c>
      <c r="L55" s="62">
        <f t="shared" si="13"/>
        <v>99.278000000000006</v>
      </c>
      <c r="M55" s="73"/>
      <c r="N55" s="93"/>
      <c r="O55" s="6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2"/>
      <c r="AE55" s="84"/>
      <c r="AF55" s="84"/>
      <c r="AI55" s="84"/>
      <c r="AJ55" s="84"/>
      <c r="AK55" s="84"/>
      <c r="AL55" s="84"/>
      <c r="AM55" s="84"/>
      <c r="AN55" s="84"/>
      <c r="AO55" s="84"/>
    </row>
    <row r="56" spans="1:42" s="2" customFormat="1" ht="15.4">
      <c r="A56" s="66"/>
      <c r="B56" s="61" t="s">
        <v>69</v>
      </c>
      <c r="C56" s="62">
        <v>45.985999999999997</v>
      </c>
      <c r="D56" s="62">
        <v>53.152999999999999</v>
      </c>
      <c r="E56" s="62">
        <v>0.14199999999999999</v>
      </c>
      <c r="F56" s="62">
        <v>0.11700000000000001</v>
      </c>
      <c r="G56" s="62">
        <v>6.6000000000000003E-2</v>
      </c>
      <c r="H56" s="73" t="s">
        <v>25</v>
      </c>
      <c r="I56" s="62">
        <v>0.115</v>
      </c>
      <c r="J56" s="62" t="s">
        <v>25</v>
      </c>
      <c r="K56" s="62">
        <v>1.4999999999999999E-2</v>
      </c>
      <c r="L56" s="62">
        <f t="shared" ref="L56:L61" si="14">SUM(C56:K56)</f>
        <v>99.593999999999994</v>
      </c>
      <c r="M56" s="78"/>
      <c r="N56" s="78"/>
      <c r="O56" s="76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D56" s="77"/>
      <c r="AE56" s="77"/>
      <c r="AH56" s="77"/>
      <c r="AI56" s="77"/>
      <c r="AK56" s="77"/>
      <c r="AL56" s="77"/>
      <c r="AM56" s="77"/>
      <c r="AN56" s="77"/>
      <c r="AO56" s="77"/>
      <c r="AP56" s="77"/>
    </row>
    <row r="57" spans="1:42" s="2" customFormat="1" ht="15.4">
      <c r="A57" s="66"/>
      <c r="B57" s="61" t="s">
        <v>70</v>
      </c>
      <c r="C57" s="62">
        <v>45.969000000000001</v>
      </c>
      <c r="D57" s="62">
        <v>52.325000000000003</v>
      </c>
      <c r="E57" s="62">
        <v>0.09</v>
      </c>
      <c r="F57" s="62" t="s">
        <v>25</v>
      </c>
      <c r="G57" s="62">
        <v>0.11899999999999999</v>
      </c>
      <c r="H57" s="73" t="s">
        <v>25</v>
      </c>
      <c r="I57" s="62">
        <v>7.2999999999999995E-2</v>
      </c>
      <c r="J57" s="62" t="s">
        <v>25</v>
      </c>
      <c r="K57" s="62" t="s">
        <v>25</v>
      </c>
      <c r="L57" s="62">
        <f t="shared" si="14"/>
        <v>98.576000000000008</v>
      </c>
      <c r="M57" s="78"/>
      <c r="N57" s="78"/>
      <c r="O57" s="76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D57" s="77"/>
      <c r="AE57" s="77"/>
      <c r="AH57" s="77"/>
      <c r="AI57" s="77"/>
      <c r="AK57" s="77"/>
      <c r="AL57" s="77"/>
      <c r="AM57" s="77"/>
      <c r="AN57" s="77"/>
      <c r="AO57" s="77"/>
      <c r="AP57" s="77"/>
    </row>
    <row r="58" spans="1:42" s="2" customFormat="1" ht="15.4">
      <c r="A58" s="66"/>
      <c r="B58" s="61" t="s">
        <v>71</v>
      </c>
      <c r="C58" s="62">
        <v>45.963999999999999</v>
      </c>
      <c r="D58" s="62">
        <v>52.793999999999997</v>
      </c>
      <c r="E58" s="62">
        <v>3.1E-2</v>
      </c>
      <c r="F58" s="62">
        <v>9.4E-2</v>
      </c>
      <c r="G58" s="62">
        <v>8.2000000000000003E-2</v>
      </c>
      <c r="H58" s="73" t="s">
        <v>25</v>
      </c>
      <c r="I58" s="62">
        <v>6.2E-2</v>
      </c>
      <c r="J58" s="62" t="s">
        <v>25</v>
      </c>
      <c r="K58" s="62" t="s">
        <v>25</v>
      </c>
      <c r="L58" s="62">
        <f t="shared" si="14"/>
        <v>99.026999999999987</v>
      </c>
      <c r="M58" s="78"/>
      <c r="N58" s="78"/>
      <c r="O58" s="64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H58" s="85"/>
      <c r="AI58" s="85"/>
      <c r="AK58" s="85"/>
      <c r="AL58" s="85"/>
      <c r="AM58" s="85"/>
      <c r="AN58" s="85"/>
      <c r="AO58" s="85"/>
      <c r="AP58" s="85"/>
    </row>
    <row r="59" spans="1:42" s="2" customFormat="1" ht="15.4">
      <c r="A59" s="66"/>
      <c r="B59" s="61" t="s">
        <v>72</v>
      </c>
      <c r="C59" s="62">
        <v>46.021000000000001</v>
      </c>
      <c r="D59" s="62">
        <v>52.634</v>
      </c>
      <c r="E59" s="62">
        <v>0.17</v>
      </c>
      <c r="F59" s="62">
        <v>3.6999999999999998E-2</v>
      </c>
      <c r="G59" s="62">
        <v>6.0999999999999999E-2</v>
      </c>
      <c r="H59" s="73" t="s">
        <v>25</v>
      </c>
      <c r="I59" s="62">
        <v>0.123</v>
      </c>
      <c r="J59" s="62">
        <v>0.24199999999999999</v>
      </c>
      <c r="K59" s="62" t="s">
        <v>25</v>
      </c>
      <c r="L59" s="62">
        <f t="shared" si="14"/>
        <v>99.288000000000025</v>
      </c>
      <c r="M59" s="78"/>
      <c r="N59" s="78"/>
      <c r="O59" s="64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H59" s="11"/>
      <c r="AI59" s="11"/>
      <c r="AK59" s="11"/>
      <c r="AL59" s="11"/>
      <c r="AM59" s="11"/>
      <c r="AN59" s="11"/>
      <c r="AO59" s="11"/>
      <c r="AP59" s="11"/>
    </row>
    <row r="60" spans="1:42" s="2" customFormat="1" ht="15.4">
      <c r="A60" s="66"/>
      <c r="B60" s="61" t="s">
        <v>73</v>
      </c>
      <c r="C60" s="62">
        <v>46.465000000000003</v>
      </c>
      <c r="D60" s="62">
        <v>53.366999999999997</v>
      </c>
      <c r="E60" s="62">
        <v>0.113</v>
      </c>
      <c r="F60" s="62" t="s">
        <v>25</v>
      </c>
      <c r="G60" s="62">
        <v>8.5999999999999993E-2</v>
      </c>
      <c r="H60" s="73" t="s">
        <v>25</v>
      </c>
      <c r="I60" s="62" t="s">
        <v>25</v>
      </c>
      <c r="J60" s="62" t="s">
        <v>25</v>
      </c>
      <c r="K60" s="62" t="s">
        <v>25</v>
      </c>
      <c r="L60" s="62">
        <f t="shared" si="14"/>
        <v>100.03099999999999</v>
      </c>
      <c r="M60" s="78"/>
      <c r="N60" s="78"/>
      <c r="O60" s="64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H60" s="11"/>
      <c r="AI60" s="11"/>
      <c r="AK60" s="11"/>
      <c r="AL60" s="11"/>
      <c r="AM60" s="11"/>
      <c r="AN60" s="11"/>
      <c r="AO60" s="11"/>
      <c r="AP60" s="11"/>
    </row>
    <row r="61" spans="1:42" s="2" customFormat="1" ht="15.4">
      <c r="A61" s="66"/>
      <c r="B61" s="61" t="s">
        <v>74</v>
      </c>
      <c r="C61" s="62">
        <v>46.048999999999999</v>
      </c>
      <c r="D61" s="62">
        <v>52.548999999999999</v>
      </c>
      <c r="E61" s="62">
        <v>0.26500000000000001</v>
      </c>
      <c r="F61" s="62">
        <v>2.1000000000000001E-2</v>
      </c>
      <c r="G61" s="62">
        <v>0.128</v>
      </c>
      <c r="H61" s="62" t="s">
        <v>25</v>
      </c>
      <c r="I61" s="62">
        <v>4.9000000000000002E-2</v>
      </c>
      <c r="J61" s="62">
        <v>0.10100000000000001</v>
      </c>
      <c r="K61" s="62" t="s">
        <v>25</v>
      </c>
      <c r="L61" s="62">
        <f t="shared" si="14"/>
        <v>99.162000000000006</v>
      </c>
      <c r="M61" s="78"/>
      <c r="N61" s="78"/>
      <c r="O61" s="64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H61" s="11"/>
      <c r="AI61" s="11"/>
      <c r="AK61" s="11"/>
      <c r="AL61" s="11"/>
      <c r="AM61" s="11"/>
      <c r="AN61" s="11"/>
      <c r="AO61" s="11"/>
      <c r="AP61" s="11"/>
    </row>
    <row r="62" spans="1:42" s="2" customFormat="1" ht="15.4">
      <c r="A62" s="69"/>
      <c r="B62" s="70" t="s">
        <v>31</v>
      </c>
      <c r="C62" s="71">
        <f t="shared" ref="C62:L62" si="15">AVERAGE(C49:C61)</f>
        <v>45.945461538461544</v>
      </c>
      <c r="D62" s="71">
        <f t="shared" si="15"/>
        <v>52.801538461538456</v>
      </c>
      <c r="E62" s="71">
        <f t="shared" si="15"/>
        <v>0.10663636363636364</v>
      </c>
      <c r="F62" s="71">
        <f t="shared" si="15"/>
        <v>0.13749999999999998</v>
      </c>
      <c r="G62" s="71">
        <f t="shared" si="15"/>
        <v>9.8000000000000004E-2</v>
      </c>
      <c r="H62" s="71" t="s">
        <v>75</v>
      </c>
      <c r="I62" s="71">
        <f t="shared" si="15"/>
        <v>8.3833333333333329E-2</v>
      </c>
      <c r="J62" s="71">
        <f t="shared" si="15"/>
        <v>9.0499999999999997E-2</v>
      </c>
      <c r="K62" s="71">
        <f t="shared" si="15"/>
        <v>8.5000000000000006E-3</v>
      </c>
      <c r="L62" s="71">
        <f t="shared" si="15"/>
        <v>99.150076923076924</v>
      </c>
      <c r="M62" s="81"/>
      <c r="N62" s="81"/>
      <c r="O62" s="64"/>
    </row>
    <row r="63" spans="1:42" s="2" customFormat="1" ht="15.4">
      <c r="A63" s="69"/>
      <c r="B63" s="70" t="s">
        <v>32</v>
      </c>
      <c r="C63" s="71">
        <f t="shared" ref="C63:L63" si="16">MIN(C49:C61)</f>
        <v>45.481999999999999</v>
      </c>
      <c r="D63" s="71">
        <f t="shared" si="16"/>
        <v>51.97</v>
      </c>
      <c r="E63" s="71">
        <f t="shared" si="16"/>
        <v>3.1E-2</v>
      </c>
      <c r="F63" s="71">
        <f t="shared" si="16"/>
        <v>8.9999999999999993E-3</v>
      </c>
      <c r="G63" s="71">
        <f t="shared" si="16"/>
        <v>2.5999999999999999E-2</v>
      </c>
      <c r="H63" s="71" t="s">
        <v>75</v>
      </c>
      <c r="I63" s="71">
        <f t="shared" si="16"/>
        <v>8.9999999999999993E-3</v>
      </c>
      <c r="J63" s="71">
        <f t="shared" si="16"/>
        <v>6.0000000000000001E-3</v>
      </c>
      <c r="K63" s="71">
        <f t="shared" si="16"/>
        <v>5.0000000000000001E-3</v>
      </c>
      <c r="L63" s="71">
        <f t="shared" si="16"/>
        <v>98.448000000000022</v>
      </c>
      <c r="M63" s="81"/>
      <c r="N63" s="81"/>
      <c r="O63" s="64"/>
    </row>
    <row r="64" spans="1:42" s="2" customFormat="1" ht="15.4">
      <c r="A64" s="69"/>
      <c r="B64" s="70" t="s">
        <v>33</v>
      </c>
      <c r="C64" s="71">
        <f t="shared" ref="C64:L64" si="17">MAX(C49:C61)</f>
        <v>46.465000000000003</v>
      </c>
      <c r="D64" s="71">
        <f t="shared" si="17"/>
        <v>53.366999999999997</v>
      </c>
      <c r="E64" s="71">
        <f t="shared" si="17"/>
        <v>0.26500000000000001</v>
      </c>
      <c r="F64" s="71">
        <f t="shared" si="17"/>
        <v>0.94499999999999995</v>
      </c>
      <c r="G64" s="71">
        <f t="shared" si="17"/>
        <v>0.20499999999999999</v>
      </c>
      <c r="H64" s="71" t="s">
        <v>75</v>
      </c>
      <c r="I64" s="71">
        <f t="shared" si="17"/>
        <v>0.317</v>
      </c>
      <c r="J64" s="71">
        <f t="shared" si="17"/>
        <v>0.24199999999999999</v>
      </c>
      <c r="K64" s="71">
        <f t="shared" si="17"/>
        <v>1.4999999999999999E-2</v>
      </c>
      <c r="L64" s="223">
        <f t="shared" si="17"/>
        <v>100.03099999999999</v>
      </c>
      <c r="M64" s="81"/>
      <c r="N64" s="81"/>
      <c r="O64" s="64"/>
    </row>
    <row r="65" spans="1:41" s="2" customFormat="1" ht="15.4">
      <c r="A65" s="69"/>
      <c r="B65" s="72" t="s">
        <v>34</v>
      </c>
      <c r="C65" s="71">
        <f t="shared" ref="C65:L65" si="18">STDEV(C49:C61)</f>
        <v>0.23578401676980276</v>
      </c>
      <c r="D65" s="71">
        <f t="shared" si="18"/>
        <v>0.40103337670419492</v>
      </c>
      <c r="E65" s="71">
        <f t="shared" si="18"/>
        <v>7.0643149317216491E-2</v>
      </c>
      <c r="F65" s="71">
        <f t="shared" si="18"/>
        <v>0.28570001750087448</v>
      </c>
      <c r="G65" s="71">
        <f t="shared" si="18"/>
        <v>5.0262643517162267E-2</v>
      </c>
      <c r="H65" s="71" t="s">
        <v>75</v>
      </c>
      <c r="I65" s="71">
        <f t="shared" si="18"/>
        <v>8.1509434293141059E-2</v>
      </c>
      <c r="J65" s="71">
        <f t="shared" si="18"/>
        <v>0.10986203469200208</v>
      </c>
      <c r="K65" s="71">
        <f t="shared" si="18"/>
        <v>4.5092497528228925E-3</v>
      </c>
      <c r="L65" s="71">
        <f t="shared" si="18"/>
        <v>0.48078832167223617</v>
      </c>
      <c r="M65" s="81"/>
      <c r="N65" s="81"/>
      <c r="O65" s="64"/>
    </row>
    <row r="66" spans="1:41" s="2" customFormat="1" ht="15.4">
      <c r="A66" s="87" t="s">
        <v>76</v>
      </c>
      <c r="B66" s="61" t="s">
        <v>77</v>
      </c>
      <c r="C66" s="88">
        <v>45.88</v>
      </c>
      <c r="D66" s="88">
        <v>52.631</v>
      </c>
      <c r="E66" s="88">
        <v>0.108</v>
      </c>
      <c r="F66" s="88" t="s">
        <v>25</v>
      </c>
      <c r="G66" s="88">
        <v>9.4E-2</v>
      </c>
      <c r="H66" s="88" t="s">
        <v>25</v>
      </c>
      <c r="I66" s="88">
        <v>0.222</v>
      </c>
      <c r="J66" s="88">
        <v>1.2E-2</v>
      </c>
      <c r="K66" s="88" t="s">
        <v>25</v>
      </c>
      <c r="L66" s="62">
        <f t="shared" ref="L66:L72" si="19">SUM(C66:K66)</f>
        <v>98.946999999999989</v>
      </c>
      <c r="M66" s="88"/>
      <c r="N66" s="65"/>
      <c r="O66" s="64"/>
    </row>
    <row r="67" spans="1:41" s="2" customFormat="1" ht="15.4">
      <c r="A67" s="87"/>
      <c r="B67" s="61" t="s">
        <v>78</v>
      </c>
      <c r="C67" s="88">
        <v>45.265999999999998</v>
      </c>
      <c r="D67" s="88">
        <v>52.594000000000001</v>
      </c>
      <c r="E67" s="88">
        <v>0.20499999999999999</v>
      </c>
      <c r="F67" s="88">
        <v>7.2999999999999995E-2</v>
      </c>
      <c r="G67" s="88">
        <v>9.5000000000000001E-2</v>
      </c>
      <c r="H67" s="88" t="s">
        <v>25</v>
      </c>
      <c r="I67" s="88">
        <v>0.184</v>
      </c>
      <c r="J67" s="88" t="s">
        <v>25</v>
      </c>
      <c r="K67" s="88" t="s">
        <v>25</v>
      </c>
      <c r="L67" s="62">
        <f t="shared" si="19"/>
        <v>98.416999999999987</v>
      </c>
      <c r="M67" s="88"/>
      <c r="N67" s="65"/>
      <c r="O67" s="64"/>
    </row>
    <row r="68" spans="1:41" s="2" customFormat="1" ht="15.4">
      <c r="A68" s="87"/>
      <c r="B68" s="61" t="s">
        <v>79</v>
      </c>
      <c r="C68" s="88">
        <v>45.607999999999997</v>
      </c>
      <c r="D68" s="88">
        <v>52.787999999999997</v>
      </c>
      <c r="E68" s="88">
        <v>0.187</v>
      </c>
      <c r="F68" s="88">
        <v>6.8000000000000005E-2</v>
      </c>
      <c r="G68" s="88">
        <v>0.24199999999999999</v>
      </c>
      <c r="H68" s="88" t="s">
        <v>25</v>
      </c>
      <c r="I68" s="88">
        <v>1.7000000000000001E-2</v>
      </c>
      <c r="J68" s="88" t="s">
        <v>25</v>
      </c>
      <c r="K68" s="88">
        <v>6.0000000000000001E-3</v>
      </c>
      <c r="L68" s="62">
        <f t="shared" si="19"/>
        <v>98.915999999999983</v>
      </c>
      <c r="M68" s="88"/>
      <c r="N68" s="65"/>
      <c r="O68" s="64"/>
    </row>
    <row r="69" spans="1:41" s="2" customFormat="1" ht="15.4">
      <c r="A69" s="87"/>
      <c r="B69" s="61" t="s">
        <v>80</v>
      </c>
      <c r="C69" s="88">
        <v>45.087000000000003</v>
      </c>
      <c r="D69" s="88">
        <v>53.72</v>
      </c>
      <c r="E69" s="88">
        <v>0.32400000000000001</v>
      </c>
      <c r="F69" s="88" t="s">
        <v>25</v>
      </c>
      <c r="G69" s="88">
        <v>0.70199999999999996</v>
      </c>
      <c r="H69" s="88" t="s">
        <v>25</v>
      </c>
      <c r="I69" s="88">
        <v>3.5000000000000003E-2</v>
      </c>
      <c r="J69" s="88" t="s">
        <v>25</v>
      </c>
      <c r="K69" s="88">
        <v>7.0000000000000001E-3</v>
      </c>
      <c r="L69" s="62">
        <f t="shared" si="19"/>
        <v>99.875</v>
      </c>
      <c r="M69" s="88"/>
      <c r="N69" s="65"/>
      <c r="O69" s="64"/>
    </row>
    <row r="70" spans="1:41" s="2" customFormat="1" ht="15.4">
      <c r="A70" s="87"/>
      <c r="B70" s="61" t="s">
        <v>81</v>
      </c>
      <c r="C70" s="88">
        <v>45.808</v>
      </c>
      <c r="D70" s="88">
        <v>52.753</v>
      </c>
      <c r="E70" s="88">
        <v>0.13900000000000001</v>
      </c>
      <c r="F70" s="88">
        <v>1.4999999999999999E-2</v>
      </c>
      <c r="G70" s="88">
        <v>0.314</v>
      </c>
      <c r="H70" s="88" t="s">
        <v>25</v>
      </c>
      <c r="I70" s="88">
        <v>9.4E-2</v>
      </c>
      <c r="J70" s="88" t="s">
        <v>25</v>
      </c>
      <c r="K70" s="88">
        <v>1.2999999999999999E-2</v>
      </c>
      <c r="L70" s="62">
        <f t="shared" si="19"/>
        <v>99.135999999999996</v>
      </c>
      <c r="M70" s="88"/>
      <c r="N70" s="65"/>
      <c r="O70" s="64"/>
    </row>
    <row r="71" spans="1:41" s="2" customFormat="1" ht="15.4">
      <c r="A71" s="87"/>
      <c r="B71" s="61" t="s">
        <v>82</v>
      </c>
      <c r="C71" s="88">
        <v>44.927999999999997</v>
      </c>
      <c r="D71" s="88">
        <v>52.850999999999999</v>
      </c>
      <c r="E71" s="88">
        <v>0.216</v>
      </c>
      <c r="F71" s="88">
        <v>0.01</v>
      </c>
      <c r="G71" s="88">
        <v>0.76300000000000001</v>
      </c>
      <c r="H71" s="88" t="s">
        <v>25</v>
      </c>
      <c r="I71" s="88">
        <v>8.3000000000000004E-2</v>
      </c>
      <c r="J71" s="88">
        <v>9.8000000000000004E-2</v>
      </c>
      <c r="K71" s="88" t="s">
        <v>25</v>
      </c>
      <c r="L71" s="62">
        <f t="shared" si="19"/>
        <v>98.948999999999998</v>
      </c>
      <c r="M71" s="88"/>
      <c r="N71" s="65"/>
      <c r="O71" s="64"/>
    </row>
    <row r="72" spans="1:41" s="2" customFormat="1" ht="15.4">
      <c r="A72" s="87"/>
      <c r="B72" s="61" t="s">
        <v>83</v>
      </c>
      <c r="C72" s="62">
        <v>44.607999999999997</v>
      </c>
      <c r="D72" s="62">
        <v>53.426000000000002</v>
      </c>
      <c r="E72" s="62">
        <v>0.11600000000000001</v>
      </c>
      <c r="F72" s="62" t="s">
        <v>25</v>
      </c>
      <c r="G72" s="62">
        <v>1.3009999999999999</v>
      </c>
      <c r="H72" s="62" t="s">
        <v>25</v>
      </c>
      <c r="I72" s="62">
        <v>7.4999999999999997E-2</v>
      </c>
      <c r="J72" s="62" t="s">
        <v>25</v>
      </c>
      <c r="K72" s="62" t="s">
        <v>25</v>
      </c>
      <c r="L72" s="62">
        <f t="shared" si="19"/>
        <v>99.525999999999996</v>
      </c>
      <c r="M72" s="62"/>
      <c r="N72" s="65"/>
      <c r="O72" s="64"/>
    </row>
    <row r="73" spans="1:41" s="2" customFormat="1" ht="15.4">
      <c r="A73" s="89"/>
      <c r="B73" s="70" t="s">
        <v>31</v>
      </c>
      <c r="C73" s="71">
        <f>AVERAGE(C66:C72)</f>
        <v>45.312142857142859</v>
      </c>
      <c r="D73" s="71">
        <f>AVERAGE(D66:D72)</f>
        <v>52.966142857142856</v>
      </c>
      <c r="E73" s="71">
        <f>AVERAGE(E66:E72)</f>
        <v>0.18500000000000003</v>
      </c>
      <c r="F73" s="71">
        <f>AVERAGE(F66:F72)</f>
        <v>4.1500000000000009E-2</v>
      </c>
      <c r="G73" s="95">
        <f>AVERAGE(G66:G72)</f>
        <v>0.50157142857142856</v>
      </c>
      <c r="H73" s="94" t="s">
        <v>25</v>
      </c>
      <c r="I73" s="95">
        <f>AVERAGE(I66:I72)</f>
        <v>0.10142857142857142</v>
      </c>
      <c r="J73" s="71">
        <f>AVERAGE(J66:J72)</f>
        <v>5.5E-2</v>
      </c>
      <c r="K73" s="71">
        <f>AVERAGE(K66:K72)</f>
        <v>8.666666666666668E-3</v>
      </c>
      <c r="L73" s="71">
        <f>AVERAGE(L66:L72)</f>
        <v>99.109428571428552</v>
      </c>
      <c r="M73" s="91"/>
      <c r="N73" s="81"/>
      <c r="O73" s="64"/>
    </row>
    <row r="74" spans="1:41" s="2" customFormat="1" ht="15.4">
      <c r="A74" s="89"/>
      <c r="B74" s="70" t="s">
        <v>32</v>
      </c>
      <c r="C74" s="71">
        <f>MIN(C66:C72)</f>
        <v>44.607999999999997</v>
      </c>
      <c r="D74" s="71">
        <f>MIN(D66:D72)</f>
        <v>52.594000000000001</v>
      </c>
      <c r="E74" s="71">
        <f>MIN(E66:E72)</f>
        <v>0.108</v>
      </c>
      <c r="F74" s="94" t="s">
        <v>25</v>
      </c>
      <c r="G74" s="95">
        <f>MIN(G66:G72)</f>
        <v>9.4E-2</v>
      </c>
      <c r="H74" s="94" t="s">
        <v>25</v>
      </c>
      <c r="I74" s="95">
        <f>MIN(I66:I72)</f>
        <v>1.7000000000000001E-2</v>
      </c>
      <c r="J74" s="94" t="s">
        <v>25</v>
      </c>
      <c r="K74" s="94" t="s">
        <v>25</v>
      </c>
      <c r="L74" s="71">
        <f>MIN(L66:L72)</f>
        <v>98.416999999999987</v>
      </c>
      <c r="M74" s="91"/>
      <c r="N74" s="81"/>
      <c r="O74" s="64"/>
    </row>
    <row r="75" spans="1:41" s="2" customFormat="1" ht="15.4">
      <c r="A75" s="89"/>
      <c r="B75" s="70" t="s">
        <v>33</v>
      </c>
      <c r="C75" s="71">
        <f>MAX(C66:C72)</f>
        <v>45.88</v>
      </c>
      <c r="D75" s="71">
        <f>MAX(D66:D72)</f>
        <v>53.72</v>
      </c>
      <c r="E75" s="71">
        <f>MAX(E66:E72)</f>
        <v>0.32400000000000001</v>
      </c>
      <c r="F75" s="71">
        <f>MAX(F66:F72)</f>
        <v>7.2999999999999995E-2</v>
      </c>
      <c r="G75" s="71">
        <f>MAX(G66:G72)</f>
        <v>1.3009999999999999</v>
      </c>
      <c r="H75" s="94" t="s">
        <v>25</v>
      </c>
      <c r="I75" s="71">
        <f>MAX(I66:I72)</f>
        <v>0.222</v>
      </c>
      <c r="J75" s="71">
        <f>MAX(J66:J72)</f>
        <v>9.8000000000000004E-2</v>
      </c>
      <c r="K75" s="71">
        <f>MAX(K66:K72)</f>
        <v>1.2999999999999999E-2</v>
      </c>
      <c r="L75" s="71">
        <f>MAX(L66:L72)</f>
        <v>99.875</v>
      </c>
      <c r="M75" s="81"/>
      <c r="N75" s="81"/>
      <c r="O75" s="64"/>
    </row>
    <row r="76" spans="1:41" s="2" customFormat="1" ht="15.4">
      <c r="A76" s="89"/>
      <c r="B76" s="72" t="s">
        <v>34</v>
      </c>
      <c r="C76" s="71">
        <f>STDEV(C66:C72)</f>
        <v>0.47470497103338882</v>
      </c>
      <c r="D76" s="71">
        <f>STDEV(D66:D72)</f>
        <v>0.43224276688431651</v>
      </c>
      <c r="E76" s="71">
        <f>STDEV(E66:E72)</f>
        <v>7.4712783377411329E-2</v>
      </c>
      <c r="F76" s="71">
        <f>STDEV(F66:F72)</f>
        <v>3.3610514227941611E-2</v>
      </c>
      <c r="G76" s="71">
        <f>STDEV(G66:G72)</f>
        <v>0.44376752815817772</v>
      </c>
      <c r="H76" s="94" t="s">
        <v>25</v>
      </c>
      <c r="I76" s="71">
        <f>STDEV(I66:I72)</f>
        <v>7.5265877932515879E-2</v>
      </c>
      <c r="J76" s="71">
        <f>STDEV(J66:J72)</f>
        <v>6.0811183182043101E-2</v>
      </c>
      <c r="K76" s="71">
        <f>STDEV(K66:K72)</f>
        <v>3.7859388972001787E-3</v>
      </c>
      <c r="L76" s="71">
        <f>STDEV(L66:L72)</f>
        <v>0.47069624215725009</v>
      </c>
      <c r="M76" s="81"/>
      <c r="N76" s="81"/>
      <c r="O76" s="64"/>
    </row>
    <row r="77" spans="1:41" s="55" customFormat="1" ht="15.4">
      <c r="A77" s="66" t="s">
        <v>84</v>
      </c>
      <c r="B77" s="61" t="s">
        <v>85</v>
      </c>
      <c r="C77" s="73">
        <v>46.152999999999999</v>
      </c>
      <c r="D77" s="73">
        <v>52.314</v>
      </c>
      <c r="E77" s="73">
        <v>2.1000000000000001E-2</v>
      </c>
      <c r="F77" s="73" t="s">
        <v>25</v>
      </c>
      <c r="G77" s="73">
        <v>5.2999999999999999E-2</v>
      </c>
      <c r="H77" s="73" t="s">
        <v>25</v>
      </c>
      <c r="I77" s="73">
        <v>2.1000000000000001E-2</v>
      </c>
      <c r="J77" s="73">
        <v>7.4999999999999997E-2</v>
      </c>
      <c r="K77" s="73" t="s">
        <v>25</v>
      </c>
      <c r="L77" s="62">
        <f t="shared" ref="L77:L83" si="20">SUM(C77:K77)</f>
        <v>98.637</v>
      </c>
      <c r="M77" s="73"/>
      <c r="N77" s="73"/>
      <c r="O77" s="76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2"/>
      <c r="AE77" s="83"/>
      <c r="AF77" s="83"/>
      <c r="AI77" s="83"/>
      <c r="AJ77" s="83"/>
      <c r="AK77" s="83"/>
      <c r="AL77" s="83"/>
      <c r="AM77" s="83"/>
      <c r="AN77" s="83"/>
      <c r="AO77" s="83"/>
    </row>
    <row r="78" spans="1:41" s="55" customFormat="1" ht="15.4">
      <c r="A78" s="66"/>
      <c r="B78" s="61" t="s">
        <v>86</v>
      </c>
      <c r="C78" s="73">
        <v>46.295000000000002</v>
      </c>
      <c r="D78" s="73">
        <v>52.73</v>
      </c>
      <c r="E78" s="73">
        <v>7.6999999999999999E-2</v>
      </c>
      <c r="F78" s="73">
        <v>2.5000000000000001E-2</v>
      </c>
      <c r="G78" s="73">
        <v>9.5000000000000001E-2</v>
      </c>
      <c r="H78" s="73" t="s">
        <v>25</v>
      </c>
      <c r="I78" s="73">
        <v>0.14799999999999999</v>
      </c>
      <c r="J78" s="73" t="s">
        <v>25</v>
      </c>
      <c r="K78" s="73">
        <v>0.01</v>
      </c>
      <c r="L78" s="62">
        <f t="shared" si="20"/>
        <v>99.38000000000001</v>
      </c>
      <c r="M78" s="73"/>
      <c r="N78" s="73"/>
      <c r="O78" s="76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2"/>
      <c r="AE78" s="83"/>
      <c r="AF78" s="83"/>
      <c r="AI78" s="83"/>
      <c r="AJ78" s="83"/>
      <c r="AK78" s="83"/>
      <c r="AL78" s="83"/>
      <c r="AM78" s="83"/>
      <c r="AN78" s="83"/>
      <c r="AO78" s="83"/>
    </row>
    <row r="79" spans="1:41" s="2" customFormat="1" ht="15.4">
      <c r="A79" s="66"/>
      <c r="B79" s="61" t="s">
        <v>87</v>
      </c>
      <c r="C79" s="73">
        <v>45.981000000000002</v>
      </c>
      <c r="D79" s="73">
        <v>52.5</v>
      </c>
      <c r="E79" s="73">
        <v>9.8000000000000004E-2</v>
      </c>
      <c r="F79" s="73" t="s">
        <v>25</v>
      </c>
      <c r="G79" s="73">
        <v>0.06</v>
      </c>
      <c r="H79" s="73" t="s">
        <v>25</v>
      </c>
      <c r="I79" s="73">
        <v>0.124</v>
      </c>
      <c r="J79" s="73" t="s">
        <v>25</v>
      </c>
      <c r="K79" s="73" t="s">
        <v>25</v>
      </c>
      <c r="L79" s="62">
        <f t="shared" si="20"/>
        <v>98.762999999999991</v>
      </c>
      <c r="M79" s="73"/>
      <c r="N79" s="73"/>
      <c r="O79" s="76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E79" s="79"/>
      <c r="AF79" s="79"/>
      <c r="AI79" s="79"/>
      <c r="AJ79" s="79"/>
      <c r="AK79" s="79"/>
      <c r="AL79" s="79"/>
      <c r="AM79" s="79"/>
      <c r="AN79" s="79"/>
      <c r="AO79" s="79"/>
    </row>
    <row r="80" spans="1:41" s="2" customFormat="1" ht="15.4">
      <c r="A80" s="66"/>
      <c r="B80" s="61" t="s">
        <v>88</v>
      </c>
      <c r="C80" s="73">
        <v>46.131</v>
      </c>
      <c r="D80" s="73">
        <v>52.067</v>
      </c>
      <c r="E80" s="73" t="s">
        <v>25</v>
      </c>
      <c r="F80" s="73" t="s">
        <v>25</v>
      </c>
      <c r="G80" s="73">
        <v>4.2999999999999997E-2</v>
      </c>
      <c r="H80" s="73" t="s">
        <v>25</v>
      </c>
      <c r="I80" s="73">
        <v>0.39600000000000002</v>
      </c>
      <c r="J80" s="73" t="s">
        <v>25</v>
      </c>
      <c r="K80" s="73">
        <v>1.6E-2</v>
      </c>
      <c r="L80" s="62">
        <f t="shared" si="20"/>
        <v>98.65300000000002</v>
      </c>
      <c r="M80" s="73"/>
      <c r="N80" s="73"/>
      <c r="O80" s="76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E80" s="79"/>
      <c r="AF80" s="79"/>
      <c r="AI80" s="79"/>
      <c r="AJ80" s="79"/>
      <c r="AK80" s="79"/>
      <c r="AL80" s="79"/>
      <c r="AM80" s="79"/>
      <c r="AN80" s="79"/>
      <c r="AO80" s="79"/>
    </row>
    <row r="81" spans="1:42" s="2" customFormat="1" ht="15.4">
      <c r="A81" s="66"/>
      <c r="B81" s="61" t="s">
        <v>89</v>
      </c>
      <c r="C81" s="73">
        <v>45.981000000000002</v>
      </c>
      <c r="D81" s="73">
        <v>52.561</v>
      </c>
      <c r="E81" s="73">
        <v>2.8000000000000001E-2</v>
      </c>
      <c r="F81" s="73">
        <v>7.5999999999999998E-2</v>
      </c>
      <c r="G81" s="73">
        <v>0.113</v>
      </c>
      <c r="H81" s="73" t="s">
        <v>25</v>
      </c>
      <c r="I81" s="73">
        <v>0.17299999999999999</v>
      </c>
      <c r="J81" s="73" t="s">
        <v>25</v>
      </c>
      <c r="K81" s="73" t="s">
        <v>25</v>
      </c>
      <c r="L81" s="62">
        <f t="shared" si="20"/>
        <v>98.932000000000002</v>
      </c>
      <c r="M81" s="73"/>
      <c r="N81" s="73"/>
      <c r="O81" s="76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E81" s="79"/>
      <c r="AF81" s="79"/>
      <c r="AI81" s="79"/>
      <c r="AJ81" s="79"/>
      <c r="AK81" s="79"/>
      <c r="AL81" s="79"/>
      <c r="AM81" s="79"/>
      <c r="AN81" s="79"/>
      <c r="AO81" s="79"/>
    </row>
    <row r="82" spans="1:42" s="2" customFormat="1" ht="15.4">
      <c r="A82" s="66"/>
      <c r="B82" s="61" t="s">
        <v>90</v>
      </c>
      <c r="C82" s="73">
        <v>45.633000000000003</v>
      </c>
      <c r="D82" s="73">
        <v>53.165999999999997</v>
      </c>
      <c r="E82" s="73">
        <v>0.24399999999999999</v>
      </c>
      <c r="F82" s="73">
        <v>2.7E-2</v>
      </c>
      <c r="G82" s="73">
        <v>6.4000000000000001E-2</v>
      </c>
      <c r="H82" s="73" t="s">
        <v>25</v>
      </c>
      <c r="I82" s="73">
        <v>4.2000000000000003E-2</v>
      </c>
      <c r="J82" s="73" t="s">
        <v>25</v>
      </c>
      <c r="K82" s="73" t="s">
        <v>25</v>
      </c>
      <c r="L82" s="62">
        <f t="shared" si="20"/>
        <v>99.176000000000002</v>
      </c>
      <c r="M82" s="73"/>
      <c r="N82" s="73"/>
      <c r="O82" s="64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E82" s="79"/>
      <c r="AF82" s="79"/>
      <c r="AI82" s="79"/>
      <c r="AJ82" s="79"/>
      <c r="AK82" s="79"/>
      <c r="AL82" s="79"/>
      <c r="AM82" s="79"/>
      <c r="AN82" s="79"/>
      <c r="AO82" s="79"/>
    </row>
    <row r="83" spans="1:42" s="2" customFormat="1" ht="15.4">
      <c r="A83" s="66"/>
      <c r="B83" s="61" t="s">
        <v>91</v>
      </c>
      <c r="C83" s="73">
        <v>45.814999999999998</v>
      </c>
      <c r="D83" s="73">
        <v>53.31</v>
      </c>
      <c r="E83" s="73">
        <v>2.1000000000000001E-2</v>
      </c>
      <c r="F83" s="73">
        <v>8.7999999999999995E-2</v>
      </c>
      <c r="G83" s="73">
        <v>0.63900000000000001</v>
      </c>
      <c r="H83" s="73" t="s">
        <v>25</v>
      </c>
      <c r="I83" s="73">
        <v>9.2999999999999999E-2</v>
      </c>
      <c r="J83" s="73" t="s">
        <v>25</v>
      </c>
      <c r="K83" s="73" t="s">
        <v>25</v>
      </c>
      <c r="L83" s="62">
        <f t="shared" si="20"/>
        <v>99.965999999999994</v>
      </c>
      <c r="M83" s="73"/>
      <c r="N83" s="73"/>
      <c r="O83" s="64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E83" s="79"/>
      <c r="AF83" s="79"/>
      <c r="AI83" s="79"/>
      <c r="AJ83" s="79"/>
      <c r="AK83" s="79"/>
      <c r="AL83" s="79"/>
      <c r="AM83" s="79"/>
      <c r="AN83" s="79"/>
      <c r="AO83" s="79"/>
    </row>
    <row r="84" spans="1:42" s="5" customFormat="1" ht="15.4">
      <c r="A84" s="66"/>
      <c r="B84" s="61" t="s">
        <v>92</v>
      </c>
      <c r="C84" s="73">
        <v>45.881</v>
      </c>
      <c r="D84" s="73">
        <v>53.124000000000002</v>
      </c>
      <c r="E84" s="73">
        <v>0.154</v>
      </c>
      <c r="F84" s="221" t="s">
        <v>25</v>
      </c>
      <c r="G84" s="73">
        <v>6.0999999999999999E-2</v>
      </c>
      <c r="H84" s="73" t="s">
        <v>25</v>
      </c>
      <c r="I84" s="73">
        <v>5.5E-2</v>
      </c>
      <c r="J84" s="73" t="s">
        <v>25</v>
      </c>
      <c r="K84" s="73" t="s">
        <v>25</v>
      </c>
      <c r="L84" s="62">
        <f t="shared" ref="L84:L91" si="21">SUM(C84:K84)</f>
        <v>99.275000000000006</v>
      </c>
      <c r="M84" s="73"/>
      <c r="N84" s="73"/>
      <c r="O84" s="7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E84" s="11"/>
      <c r="AF84" s="11"/>
      <c r="AI84" s="11"/>
      <c r="AJ84" s="11"/>
      <c r="AK84" s="11"/>
      <c r="AL84" s="11"/>
      <c r="AM84" s="11"/>
      <c r="AN84" s="11"/>
      <c r="AO84" s="11"/>
    </row>
    <row r="85" spans="1:42" s="2" customFormat="1" ht="15.4">
      <c r="A85" s="66"/>
      <c r="B85" s="61" t="s">
        <v>93</v>
      </c>
      <c r="C85" s="73">
        <v>46.039000000000001</v>
      </c>
      <c r="D85" s="73">
        <v>53.51</v>
      </c>
      <c r="E85" s="73">
        <v>3.9E-2</v>
      </c>
      <c r="F85" s="73">
        <v>6.6000000000000003E-2</v>
      </c>
      <c r="G85" s="73">
        <v>0.151</v>
      </c>
      <c r="H85" s="73" t="s">
        <v>25</v>
      </c>
      <c r="I85" s="73">
        <v>0.14299999999999999</v>
      </c>
      <c r="J85" s="73">
        <v>1.2999999999999999E-2</v>
      </c>
      <c r="K85" s="73" t="s">
        <v>25</v>
      </c>
      <c r="L85" s="62">
        <f t="shared" si="21"/>
        <v>99.961000000000013</v>
      </c>
      <c r="M85" s="73"/>
      <c r="N85" s="73"/>
      <c r="O85" s="76"/>
    </row>
    <row r="86" spans="1:42" s="2" customFormat="1" ht="15.4">
      <c r="A86" s="66"/>
      <c r="B86" s="61" t="s">
        <v>94</v>
      </c>
      <c r="C86" s="73">
        <v>46.232999999999997</v>
      </c>
      <c r="D86" s="73">
        <v>52.854999999999997</v>
      </c>
      <c r="E86" s="73">
        <v>0.121</v>
      </c>
      <c r="F86" s="73">
        <v>0.13900000000000001</v>
      </c>
      <c r="G86" s="73">
        <v>9.1999999999999998E-2</v>
      </c>
      <c r="H86" s="73" t="s">
        <v>25</v>
      </c>
      <c r="I86" s="73" t="s">
        <v>25</v>
      </c>
      <c r="J86" s="73" t="s">
        <v>25</v>
      </c>
      <c r="K86" s="73" t="s">
        <v>25</v>
      </c>
      <c r="L86" s="62">
        <f t="shared" si="21"/>
        <v>99.439999999999984</v>
      </c>
      <c r="M86" s="73"/>
      <c r="N86" s="73"/>
      <c r="O86" s="76"/>
    </row>
    <row r="87" spans="1:42" s="2" customFormat="1" ht="15.4">
      <c r="A87" s="66"/>
      <c r="B87" s="61" t="s">
        <v>95</v>
      </c>
      <c r="C87" s="73">
        <v>45.843000000000004</v>
      </c>
      <c r="D87" s="73">
        <v>53.646000000000001</v>
      </c>
      <c r="E87" s="73">
        <v>0.20399999999999999</v>
      </c>
      <c r="F87" s="73">
        <v>2.8000000000000001E-2</v>
      </c>
      <c r="G87" s="73">
        <v>0.13500000000000001</v>
      </c>
      <c r="H87" s="73" t="s">
        <v>25</v>
      </c>
      <c r="I87" s="73" t="s">
        <v>25</v>
      </c>
      <c r="J87" s="73">
        <v>5.0000000000000001E-3</v>
      </c>
      <c r="K87" s="73" t="s">
        <v>25</v>
      </c>
      <c r="L87" s="62">
        <f t="shared" si="21"/>
        <v>99.861000000000004</v>
      </c>
      <c r="M87" s="73"/>
      <c r="N87" s="73"/>
      <c r="O87" s="76"/>
    </row>
    <row r="88" spans="1:42" s="2" customFormat="1" ht="15.4">
      <c r="A88" s="66"/>
      <c r="B88" s="61" t="s">
        <v>96</v>
      </c>
      <c r="C88" s="73">
        <v>45.9</v>
      </c>
      <c r="D88" s="73">
        <v>52.923999999999999</v>
      </c>
      <c r="E88" s="73">
        <v>0.15</v>
      </c>
      <c r="F88" s="73" t="s">
        <v>25</v>
      </c>
      <c r="G88" s="73">
        <v>0.315</v>
      </c>
      <c r="H88" s="73">
        <v>1.7000000000000001E-2</v>
      </c>
      <c r="I88" s="73">
        <v>5.0000000000000001E-3</v>
      </c>
      <c r="J88" s="73" t="s">
        <v>25</v>
      </c>
      <c r="K88" s="73">
        <v>1.0999999999999999E-2</v>
      </c>
      <c r="L88" s="62">
        <f t="shared" si="21"/>
        <v>99.321999999999989</v>
      </c>
      <c r="M88" s="73"/>
      <c r="N88" s="73"/>
      <c r="O88" s="76"/>
    </row>
    <row r="89" spans="1:42" s="2" customFormat="1" ht="15.4">
      <c r="A89" s="66"/>
      <c r="B89" s="61" t="s">
        <v>97</v>
      </c>
      <c r="C89" s="73">
        <v>45.258000000000003</v>
      </c>
      <c r="D89" s="73">
        <v>52.265000000000001</v>
      </c>
      <c r="E89" s="73">
        <v>1.093</v>
      </c>
      <c r="F89" s="73">
        <v>0.01</v>
      </c>
      <c r="G89" s="73">
        <v>0.22800000000000001</v>
      </c>
      <c r="H89" s="73" t="s">
        <v>25</v>
      </c>
      <c r="I89" s="73">
        <v>6.6000000000000003E-2</v>
      </c>
      <c r="J89" s="73" t="s">
        <v>25</v>
      </c>
      <c r="K89" s="73" t="s">
        <v>25</v>
      </c>
      <c r="L89" s="62">
        <f t="shared" si="21"/>
        <v>98.92</v>
      </c>
      <c r="M89" s="73"/>
      <c r="N89" s="73"/>
      <c r="O89" s="64"/>
    </row>
    <row r="90" spans="1:42" s="2" customFormat="1" ht="15.4">
      <c r="A90" s="66"/>
      <c r="B90" s="61" t="s">
        <v>98</v>
      </c>
      <c r="C90" s="73">
        <v>46.100999999999999</v>
      </c>
      <c r="D90" s="73">
        <v>53.491999999999997</v>
      </c>
      <c r="E90" s="73">
        <v>0.158</v>
      </c>
      <c r="F90" s="73">
        <v>3.9E-2</v>
      </c>
      <c r="G90" s="73">
        <v>0.11</v>
      </c>
      <c r="H90" s="73" t="s">
        <v>25</v>
      </c>
      <c r="I90" s="73" t="s">
        <v>25</v>
      </c>
      <c r="J90" s="73" t="s">
        <v>25</v>
      </c>
      <c r="K90" s="73" t="s">
        <v>25</v>
      </c>
      <c r="L90" s="62">
        <f t="shared" si="21"/>
        <v>99.899999999999991</v>
      </c>
      <c r="M90" s="73"/>
      <c r="N90" s="73"/>
      <c r="O90" s="64"/>
    </row>
    <row r="91" spans="1:42" s="2" customFormat="1" ht="15.4">
      <c r="A91" s="66"/>
      <c r="B91" s="61" t="s">
        <v>99</v>
      </c>
      <c r="C91" s="73">
        <v>45.62</v>
      </c>
      <c r="D91" s="73">
        <v>53.347000000000001</v>
      </c>
      <c r="E91" s="73">
        <v>9.6000000000000002E-2</v>
      </c>
      <c r="F91" s="73">
        <v>0.10299999999999999</v>
      </c>
      <c r="G91" s="73">
        <v>6.7000000000000004E-2</v>
      </c>
      <c r="H91" s="73" t="s">
        <v>25</v>
      </c>
      <c r="I91" s="73">
        <v>7.0000000000000001E-3</v>
      </c>
      <c r="J91" s="73" t="s">
        <v>25</v>
      </c>
      <c r="K91" s="73">
        <v>1.9E-2</v>
      </c>
      <c r="L91" s="62">
        <f t="shared" si="21"/>
        <v>99.259</v>
      </c>
      <c r="M91" s="73"/>
      <c r="N91" s="65"/>
      <c r="O91" s="64"/>
    </row>
    <row r="92" spans="1:42" s="2" customFormat="1" ht="15.4">
      <c r="A92" s="66"/>
      <c r="B92" s="61" t="s">
        <v>100</v>
      </c>
      <c r="C92" s="62">
        <v>46.084000000000003</v>
      </c>
      <c r="D92" s="62">
        <v>53.494</v>
      </c>
      <c r="E92" s="62">
        <v>2.3E-2</v>
      </c>
      <c r="F92" s="221" t="s">
        <v>25</v>
      </c>
      <c r="G92" s="62">
        <v>0.11799999999999999</v>
      </c>
      <c r="H92" s="62" t="s">
        <v>25</v>
      </c>
      <c r="I92" s="62">
        <v>4.1000000000000002E-2</v>
      </c>
      <c r="J92" s="62" t="s">
        <v>25</v>
      </c>
      <c r="K92" s="62" t="s">
        <v>25</v>
      </c>
      <c r="L92" s="62">
        <f t="shared" ref="L92:L97" si="22">SUM(C92:K92)</f>
        <v>99.759999999999991</v>
      </c>
      <c r="M92" s="78"/>
      <c r="N92" s="78"/>
      <c r="O92" s="76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D92" s="79"/>
      <c r="AE92" s="79"/>
      <c r="AH92" s="79"/>
      <c r="AI92" s="79"/>
      <c r="AK92" s="79"/>
      <c r="AL92" s="79"/>
      <c r="AM92" s="79"/>
      <c r="AN92" s="79"/>
      <c r="AO92" s="79"/>
      <c r="AP92" s="79"/>
    </row>
    <row r="93" spans="1:42" s="2" customFormat="1" ht="15.4">
      <c r="A93" s="66"/>
      <c r="B93" s="61" t="s">
        <v>101</v>
      </c>
      <c r="C93" s="62">
        <v>46.04</v>
      </c>
      <c r="D93" s="62">
        <v>52.613999999999997</v>
      </c>
      <c r="E93" s="62">
        <v>9.5000000000000001E-2</v>
      </c>
      <c r="F93" s="62" t="s">
        <v>25</v>
      </c>
      <c r="G93" s="62">
        <v>9.8000000000000004E-2</v>
      </c>
      <c r="H93" s="62" t="s">
        <v>25</v>
      </c>
      <c r="I93" s="62">
        <v>1.2E-2</v>
      </c>
      <c r="J93" s="62" t="s">
        <v>25</v>
      </c>
      <c r="K93" s="62" t="s">
        <v>25</v>
      </c>
      <c r="L93" s="62">
        <f t="shared" si="22"/>
        <v>98.858999999999995</v>
      </c>
      <c r="M93" s="78"/>
      <c r="N93" s="78"/>
      <c r="O93" s="76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D93" s="77"/>
      <c r="AE93" s="77"/>
      <c r="AH93" s="77"/>
      <c r="AI93" s="77"/>
      <c r="AK93" s="77"/>
      <c r="AL93" s="77"/>
      <c r="AM93" s="77"/>
      <c r="AN93" s="77"/>
      <c r="AO93" s="77"/>
      <c r="AP93" s="77"/>
    </row>
    <row r="94" spans="1:42" s="2" customFormat="1" ht="15.4">
      <c r="A94" s="66"/>
      <c r="B94" s="61" t="s">
        <v>102</v>
      </c>
      <c r="C94" s="62">
        <v>46.454999999999998</v>
      </c>
      <c r="D94" s="62">
        <v>53.417999999999999</v>
      </c>
      <c r="E94" s="62">
        <v>5.1999999999999998E-2</v>
      </c>
      <c r="F94" s="62">
        <v>2.8000000000000001E-2</v>
      </c>
      <c r="G94" s="62">
        <v>0.11899999999999999</v>
      </c>
      <c r="H94" s="62">
        <v>1.0999999999999999E-2</v>
      </c>
      <c r="I94" s="62">
        <v>4.2000000000000003E-2</v>
      </c>
      <c r="J94" s="62" t="s">
        <v>25</v>
      </c>
      <c r="K94" s="62" t="s">
        <v>25</v>
      </c>
      <c r="L94" s="224">
        <f t="shared" si="22"/>
        <v>100.125</v>
      </c>
      <c r="M94" s="78"/>
      <c r="N94" s="78"/>
      <c r="O94" s="64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D94" s="77"/>
      <c r="AE94" s="77"/>
      <c r="AH94" s="77"/>
      <c r="AI94" s="77"/>
      <c r="AK94" s="77"/>
      <c r="AL94" s="77"/>
      <c r="AM94" s="77"/>
      <c r="AN94" s="77"/>
      <c r="AO94" s="77"/>
      <c r="AP94" s="77"/>
    </row>
    <row r="95" spans="1:42" s="2" customFormat="1" ht="15.4">
      <c r="A95" s="66"/>
      <c r="B95" s="61" t="s">
        <v>103</v>
      </c>
      <c r="C95" s="62">
        <v>45.731999999999999</v>
      </c>
      <c r="D95" s="62">
        <v>53.093000000000004</v>
      </c>
      <c r="E95" s="62">
        <v>0.08</v>
      </c>
      <c r="F95" s="62">
        <v>2.8000000000000001E-2</v>
      </c>
      <c r="G95" s="62">
        <v>0.55900000000000005</v>
      </c>
      <c r="H95" s="62">
        <v>1.2E-2</v>
      </c>
      <c r="I95" s="62">
        <v>3.7999999999999999E-2</v>
      </c>
      <c r="J95" s="62" t="s">
        <v>25</v>
      </c>
      <c r="K95" s="62" t="s">
        <v>25</v>
      </c>
      <c r="L95" s="62">
        <f t="shared" si="22"/>
        <v>99.542000000000002</v>
      </c>
      <c r="M95" s="78"/>
      <c r="N95" s="78"/>
      <c r="O95" s="64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D95" s="77"/>
      <c r="AE95" s="77"/>
      <c r="AH95" s="77"/>
      <c r="AI95" s="77"/>
      <c r="AK95" s="77"/>
      <c r="AL95" s="77"/>
      <c r="AM95" s="77"/>
      <c r="AN95" s="77"/>
      <c r="AO95" s="77"/>
      <c r="AP95" s="77"/>
    </row>
    <row r="96" spans="1:42" s="2" customFormat="1" ht="15.4">
      <c r="A96" s="66"/>
      <c r="B96" s="61" t="s">
        <v>104</v>
      </c>
      <c r="C96" s="62">
        <v>46.286999999999999</v>
      </c>
      <c r="D96" s="62">
        <v>52.491999999999997</v>
      </c>
      <c r="E96" s="62">
        <v>2.5999999999999999E-2</v>
      </c>
      <c r="F96" s="62">
        <v>3.1E-2</v>
      </c>
      <c r="G96" s="62">
        <v>0.2</v>
      </c>
      <c r="H96" s="62" t="s">
        <v>25</v>
      </c>
      <c r="I96" s="62">
        <v>2.8000000000000001E-2</v>
      </c>
      <c r="J96" s="62" t="s">
        <v>25</v>
      </c>
      <c r="K96" s="62">
        <v>1.2999999999999999E-2</v>
      </c>
      <c r="L96" s="62">
        <f t="shared" si="22"/>
        <v>99.077000000000012</v>
      </c>
      <c r="M96" s="78"/>
      <c r="N96" s="78"/>
      <c r="O96" s="64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D96" s="77"/>
      <c r="AE96" s="77"/>
      <c r="AH96" s="77"/>
      <c r="AI96" s="77"/>
      <c r="AK96" s="77"/>
      <c r="AL96" s="77"/>
      <c r="AM96" s="77"/>
      <c r="AN96" s="77"/>
      <c r="AO96" s="77"/>
      <c r="AP96" s="77"/>
    </row>
    <row r="97" spans="1:42" s="2" customFormat="1" ht="15.4">
      <c r="A97" s="66"/>
      <c r="B97" s="61" t="s">
        <v>105</v>
      </c>
      <c r="C97" s="62">
        <v>45.936999999999998</v>
      </c>
      <c r="D97" s="62">
        <v>52.972000000000001</v>
      </c>
      <c r="E97" s="62">
        <v>8.6999999999999994E-2</v>
      </c>
      <c r="F97" s="62">
        <v>5.1999999999999998E-2</v>
      </c>
      <c r="G97" s="62">
        <v>0.124</v>
      </c>
      <c r="H97" s="62">
        <v>6.0000000000000001E-3</v>
      </c>
      <c r="I97" s="62">
        <v>9.2999999999999999E-2</v>
      </c>
      <c r="J97" s="62" t="s">
        <v>25</v>
      </c>
      <c r="K97" s="62" t="s">
        <v>25</v>
      </c>
      <c r="L97" s="62">
        <f t="shared" si="22"/>
        <v>99.271000000000001</v>
      </c>
      <c r="M97" s="78"/>
      <c r="N97" s="92"/>
      <c r="O97" s="64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D97" s="77"/>
      <c r="AE97" s="77"/>
      <c r="AH97" s="77"/>
      <c r="AI97" s="77"/>
      <c r="AK97" s="77"/>
      <c r="AL97" s="77"/>
      <c r="AM97" s="77"/>
      <c r="AN97" s="77"/>
      <c r="AO97" s="77"/>
      <c r="AP97" s="77"/>
    </row>
    <row r="98" spans="1:42" s="2" customFormat="1" ht="15.4">
      <c r="A98" s="69"/>
      <c r="B98" s="70" t="s">
        <v>31</v>
      </c>
      <c r="C98" s="71">
        <f>AVERAGE(C77:C97)</f>
        <v>45.971380952380954</v>
      </c>
      <c r="D98" s="71">
        <f t="shared" ref="D98:L98" si="23">AVERAGE(D77:D97)</f>
        <v>52.947333333333326</v>
      </c>
      <c r="E98" s="71">
        <f t="shared" si="23"/>
        <v>0.14335000000000003</v>
      </c>
      <c r="F98" s="71">
        <f t="shared" si="23"/>
        <v>5.2857142857142873E-2</v>
      </c>
      <c r="G98" s="71">
        <f t="shared" si="23"/>
        <v>0.16400000000000001</v>
      </c>
      <c r="H98" s="71">
        <f t="shared" si="23"/>
        <v>1.15E-2</v>
      </c>
      <c r="I98" s="71">
        <f t="shared" si="23"/>
        <v>8.483333333333333E-2</v>
      </c>
      <c r="J98" s="71">
        <f t="shared" si="23"/>
        <v>3.1E-2</v>
      </c>
      <c r="K98" s="71">
        <f t="shared" si="23"/>
        <v>1.3800000000000002E-2</v>
      </c>
      <c r="L98" s="71">
        <f t="shared" si="23"/>
        <v>99.337095238095245</v>
      </c>
      <c r="M98" s="81"/>
      <c r="N98" s="81"/>
      <c r="O98" s="76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E98" s="79"/>
      <c r="AF98" s="79"/>
      <c r="AI98" s="79"/>
      <c r="AJ98" s="79"/>
      <c r="AK98" s="79"/>
      <c r="AL98" s="79"/>
      <c r="AM98" s="79"/>
      <c r="AN98" s="79"/>
      <c r="AO98" s="79"/>
    </row>
    <row r="99" spans="1:42" s="2" customFormat="1" ht="15.4">
      <c r="A99" s="69"/>
      <c r="B99" s="70" t="s">
        <v>32</v>
      </c>
      <c r="C99" s="71">
        <f>MIN(C77:C97)</f>
        <v>45.258000000000003</v>
      </c>
      <c r="D99" s="71">
        <f t="shared" ref="D99:L99" si="24">MIN(D77:D97)</f>
        <v>52.067</v>
      </c>
      <c r="E99" s="71">
        <f t="shared" si="24"/>
        <v>2.1000000000000001E-2</v>
      </c>
      <c r="F99" s="71">
        <f t="shared" si="24"/>
        <v>0.01</v>
      </c>
      <c r="G99" s="71">
        <f t="shared" si="24"/>
        <v>4.2999999999999997E-2</v>
      </c>
      <c r="H99" s="71">
        <f t="shared" si="24"/>
        <v>6.0000000000000001E-3</v>
      </c>
      <c r="I99" s="71">
        <f t="shared" si="24"/>
        <v>5.0000000000000001E-3</v>
      </c>
      <c r="J99" s="71">
        <f t="shared" si="24"/>
        <v>5.0000000000000001E-3</v>
      </c>
      <c r="K99" s="71">
        <f t="shared" si="24"/>
        <v>0.01</v>
      </c>
      <c r="L99" s="71">
        <f t="shared" si="24"/>
        <v>98.637</v>
      </c>
      <c r="M99" s="81"/>
      <c r="N99" s="81"/>
      <c r="O99" s="76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E99" s="79"/>
      <c r="AF99" s="79"/>
      <c r="AI99" s="79"/>
      <c r="AJ99" s="79"/>
      <c r="AK99" s="79"/>
      <c r="AL99" s="79"/>
      <c r="AM99" s="79"/>
      <c r="AN99" s="79"/>
      <c r="AO99" s="79"/>
    </row>
    <row r="100" spans="1:42" s="2" customFormat="1" ht="15.4">
      <c r="A100" s="69"/>
      <c r="B100" s="70" t="s">
        <v>33</v>
      </c>
      <c r="C100" s="71">
        <f>MAX(C77:C97)</f>
        <v>46.454999999999998</v>
      </c>
      <c r="D100" s="71">
        <f t="shared" ref="D100:L100" si="25">MAX(D77:D97)</f>
        <v>53.646000000000001</v>
      </c>
      <c r="E100" s="71">
        <f t="shared" si="25"/>
        <v>1.093</v>
      </c>
      <c r="F100" s="71">
        <f t="shared" si="25"/>
        <v>0.13900000000000001</v>
      </c>
      <c r="G100" s="71">
        <f t="shared" si="25"/>
        <v>0.63900000000000001</v>
      </c>
      <c r="H100" s="71">
        <f t="shared" si="25"/>
        <v>1.7000000000000001E-2</v>
      </c>
      <c r="I100" s="71">
        <f t="shared" si="25"/>
        <v>0.39600000000000002</v>
      </c>
      <c r="J100" s="71">
        <f t="shared" si="25"/>
        <v>7.4999999999999997E-2</v>
      </c>
      <c r="K100" s="71">
        <f t="shared" si="25"/>
        <v>1.9E-2</v>
      </c>
      <c r="L100" s="223">
        <f t="shared" si="25"/>
        <v>100.125</v>
      </c>
      <c r="M100" s="81"/>
      <c r="N100" s="81"/>
      <c r="O100" s="76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E100" s="79"/>
      <c r="AF100" s="79"/>
      <c r="AI100" s="79"/>
      <c r="AJ100" s="79"/>
      <c r="AK100" s="79"/>
      <c r="AL100" s="79"/>
      <c r="AM100" s="79"/>
      <c r="AN100" s="79"/>
      <c r="AO100" s="79"/>
    </row>
    <row r="101" spans="1:42" s="2" customFormat="1" ht="15.4">
      <c r="A101" s="69"/>
      <c r="B101" s="72" t="s">
        <v>34</v>
      </c>
      <c r="C101" s="71">
        <f>STDEV(C77:C97)</f>
        <v>0.27052346962703128</v>
      </c>
      <c r="D101" s="71">
        <f t="shared" ref="D101:L101" si="26">STDEV(D77:D97)</f>
        <v>0.46795601645168905</v>
      </c>
      <c r="E101" s="71">
        <f t="shared" si="26"/>
        <v>0.23231971504803456</v>
      </c>
      <c r="F101" s="71">
        <f t="shared" si="26"/>
        <v>3.6882051383914545E-2</v>
      </c>
      <c r="G101" s="71">
        <f t="shared" si="26"/>
        <v>0.15877783220588448</v>
      </c>
      <c r="H101" s="71">
        <f t="shared" si="26"/>
        <v>4.5092497528228968E-3</v>
      </c>
      <c r="I101" s="71">
        <f t="shared" si="26"/>
        <v>9.3213385809751845E-2</v>
      </c>
      <c r="J101" s="71">
        <f t="shared" si="26"/>
        <v>3.8314488121336032E-2</v>
      </c>
      <c r="K101" s="71">
        <f t="shared" si="26"/>
        <v>3.7013511046643495E-3</v>
      </c>
      <c r="L101" s="71">
        <f t="shared" si="26"/>
        <v>0.4578579370025041</v>
      </c>
      <c r="M101" s="81"/>
      <c r="N101" s="81"/>
      <c r="O101" s="76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E101" s="79"/>
      <c r="AF101" s="79"/>
      <c r="AI101" s="79"/>
      <c r="AJ101" s="79"/>
      <c r="AK101" s="79"/>
      <c r="AL101" s="79"/>
      <c r="AM101" s="79"/>
      <c r="AN101" s="79"/>
      <c r="AO101" s="79"/>
    </row>
    <row r="102" spans="1:42" s="2" customFormat="1" ht="15.4">
      <c r="A102" s="4" t="s">
        <v>106</v>
      </c>
      <c r="B102" s="54" t="s">
        <v>107</v>
      </c>
      <c r="C102" s="75">
        <v>5.14</v>
      </c>
      <c r="D102" s="75">
        <v>33.372</v>
      </c>
      <c r="E102" s="75">
        <v>0.35</v>
      </c>
      <c r="F102" s="75">
        <v>61.375</v>
      </c>
      <c r="G102" s="75">
        <v>7.0000000000000001E-3</v>
      </c>
      <c r="H102" s="88" t="s">
        <v>25</v>
      </c>
      <c r="I102" s="88" t="s">
        <v>25</v>
      </c>
      <c r="J102" s="75">
        <v>3.5000000000000003E-2</v>
      </c>
      <c r="K102" s="75" t="s">
        <v>108</v>
      </c>
      <c r="L102" s="62">
        <f>SUM(C102:K102)</f>
        <v>100.279</v>
      </c>
      <c r="M102" s="73">
        <f>C102/F102</f>
        <v>8.3747454175152738E-2</v>
      </c>
      <c r="N102" s="309">
        <f>(M102+0.2953)/0.0013</f>
        <v>291.57496475011749</v>
      </c>
      <c r="O102" s="64"/>
    </row>
    <row r="103" spans="1:42" s="2" customFormat="1" ht="15.4">
      <c r="A103" s="63"/>
      <c r="B103" s="54" t="s">
        <v>109</v>
      </c>
      <c r="C103" s="75">
        <v>5.3520000000000003</v>
      </c>
      <c r="D103" s="75">
        <v>33.106000000000002</v>
      </c>
      <c r="E103" s="75">
        <v>0.41299999999999998</v>
      </c>
      <c r="F103" s="75">
        <v>61.005000000000003</v>
      </c>
      <c r="G103" s="75">
        <v>1.6E-2</v>
      </c>
      <c r="H103" s="88" t="s">
        <v>25</v>
      </c>
      <c r="I103" s="88" t="s">
        <v>25</v>
      </c>
      <c r="J103" s="75">
        <v>1.7999999999999999E-2</v>
      </c>
      <c r="K103" s="75" t="s">
        <v>108</v>
      </c>
      <c r="L103" s="62">
        <f>SUM(C103:K103)</f>
        <v>99.910000000000011</v>
      </c>
      <c r="M103" s="73">
        <f>C103/F103</f>
        <v>8.7730513892303907E-2</v>
      </c>
      <c r="N103" s="309">
        <f>(M103+0.2953)/0.0013</f>
        <v>294.63885684023381</v>
      </c>
      <c r="O103" s="64"/>
    </row>
    <row r="104" spans="1:42" s="2" customFormat="1" ht="15.4">
      <c r="A104" s="63"/>
      <c r="B104" s="54" t="s">
        <v>110</v>
      </c>
      <c r="C104" s="75">
        <v>2.6429999999999998</v>
      </c>
      <c r="D104" s="75">
        <v>33.036999999999999</v>
      </c>
      <c r="E104" s="75">
        <v>0.22600000000000001</v>
      </c>
      <c r="F104" s="75">
        <v>64.192999999999998</v>
      </c>
      <c r="G104" s="75">
        <v>1.0999999999999999E-2</v>
      </c>
      <c r="H104" s="88" t="s">
        <v>25</v>
      </c>
      <c r="I104" s="88" t="s">
        <v>25</v>
      </c>
      <c r="J104" s="75">
        <v>4.9000000000000002E-2</v>
      </c>
      <c r="K104" s="75" t="s">
        <v>108</v>
      </c>
      <c r="L104" s="62">
        <f>SUM(C104:K104)</f>
        <v>100.15899999999999</v>
      </c>
      <c r="M104" s="73">
        <f>C104/F104</f>
        <v>4.1172713535743768E-2</v>
      </c>
      <c r="N104" s="309">
        <f>(M104+0.2953)/0.0013</f>
        <v>258.82516425826446</v>
      </c>
      <c r="O104" s="64"/>
    </row>
    <row r="105" spans="1:42" s="2" customFormat="1" ht="15.4">
      <c r="A105" s="63"/>
      <c r="B105" s="54" t="s">
        <v>111</v>
      </c>
      <c r="C105" s="75">
        <v>3.1549999999999998</v>
      </c>
      <c r="D105" s="75">
        <v>33.337000000000003</v>
      </c>
      <c r="E105" s="75">
        <v>0.496</v>
      </c>
      <c r="F105" s="75">
        <v>61.764000000000003</v>
      </c>
      <c r="G105" s="221" t="s">
        <v>25</v>
      </c>
      <c r="H105" s="88" t="s">
        <v>25</v>
      </c>
      <c r="I105" s="221" t="s">
        <v>25</v>
      </c>
      <c r="J105" s="75">
        <v>6.6000000000000003E-2</v>
      </c>
      <c r="K105" s="75" t="s">
        <v>108</v>
      </c>
      <c r="L105" s="62">
        <f>SUM(C105:K105)</f>
        <v>98.818000000000012</v>
      </c>
      <c r="M105" s="73">
        <f>C105/F105</f>
        <v>5.1081536169937172E-2</v>
      </c>
      <c r="N105" s="309">
        <f>(M105+0.2953)/0.0013</f>
        <v>266.44733551533631</v>
      </c>
      <c r="O105" s="64"/>
    </row>
    <row r="106" spans="1:42" s="2" customFormat="1" ht="15.4">
      <c r="A106" s="63"/>
      <c r="B106" s="54" t="s">
        <v>112</v>
      </c>
      <c r="C106" s="75">
        <v>5.6189999999999998</v>
      </c>
      <c r="D106" s="75">
        <v>33.055999999999997</v>
      </c>
      <c r="E106" s="75">
        <v>0.56200000000000006</v>
      </c>
      <c r="F106" s="75">
        <v>60.067999999999998</v>
      </c>
      <c r="G106" s="75">
        <v>1.9E-2</v>
      </c>
      <c r="H106" s="88" t="s">
        <v>25</v>
      </c>
      <c r="I106" s="88" t="s">
        <v>25</v>
      </c>
      <c r="J106" s="75">
        <v>4.9000000000000002E-2</v>
      </c>
      <c r="K106" s="75" t="s">
        <v>108</v>
      </c>
      <c r="L106" s="62">
        <f>SUM(C106:K106)</f>
        <v>99.373000000000005</v>
      </c>
      <c r="M106" s="73">
        <f>C106/F106</f>
        <v>9.3543983485383231E-2</v>
      </c>
      <c r="N106" s="309">
        <f>(M106+0.2953)/0.0013</f>
        <v>299.11075652721792</v>
      </c>
      <c r="O106" s="64"/>
    </row>
    <row r="107" spans="1:42" s="2" customFormat="1" ht="15.4">
      <c r="A107" s="74"/>
      <c r="B107" s="67" t="s">
        <v>113</v>
      </c>
      <c r="C107" s="68">
        <f>MEDIAN(C102:C106)</f>
        <v>5.14</v>
      </c>
      <c r="D107" s="68">
        <f>MEDIAN(D102:D106)</f>
        <v>33.106000000000002</v>
      </c>
      <c r="E107" s="68">
        <f t="shared" ref="E107:L107" si="27">MEDIAN(E102:E106)</f>
        <v>0.41299999999999998</v>
      </c>
      <c r="F107" s="68">
        <f t="shared" si="27"/>
        <v>61.375</v>
      </c>
      <c r="G107" s="68">
        <f t="shared" si="27"/>
        <v>1.35E-2</v>
      </c>
      <c r="H107" s="94" t="s">
        <v>25</v>
      </c>
      <c r="I107" s="94" t="s">
        <v>25</v>
      </c>
      <c r="J107" s="68">
        <f t="shared" si="27"/>
        <v>4.9000000000000002E-2</v>
      </c>
      <c r="K107" s="96" t="s">
        <v>108</v>
      </c>
      <c r="L107" s="68">
        <f t="shared" si="27"/>
        <v>99.910000000000011</v>
      </c>
      <c r="M107" s="80"/>
      <c r="N107" s="81"/>
      <c r="O107" s="64"/>
    </row>
    <row r="108" spans="1:42" s="2" customFormat="1" ht="15.4">
      <c r="A108" s="69"/>
      <c r="B108" s="70" t="s">
        <v>31</v>
      </c>
      <c r="C108" s="71">
        <f>AVERAGE(C102:C106)</f>
        <v>4.3818000000000001</v>
      </c>
      <c r="D108" s="71">
        <f>AVERAGE(D102:D106)</f>
        <v>33.181600000000003</v>
      </c>
      <c r="E108" s="71">
        <f>AVERAGE(E102:E106)</f>
        <v>0.40939999999999993</v>
      </c>
      <c r="F108" s="71">
        <f t="shared" ref="F108:J108" si="28">AVERAGE(F102:F106)</f>
        <v>61.680999999999997</v>
      </c>
      <c r="G108" s="71">
        <f t="shared" si="28"/>
        <v>1.3250000000000001E-2</v>
      </c>
      <c r="H108" s="94" t="s">
        <v>25</v>
      </c>
      <c r="I108" s="94" t="s">
        <v>25</v>
      </c>
      <c r="J108" s="71">
        <f t="shared" si="28"/>
        <v>4.3400000000000008E-2</v>
      </c>
      <c r="K108" s="96" t="s">
        <v>108</v>
      </c>
      <c r="L108" s="71">
        <f t="shared" ref="L108:N108" si="29">AVERAGE(L102:L106)</f>
        <v>99.707800000000006</v>
      </c>
      <c r="M108" s="71"/>
      <c r="N108" s="310">
        <f t="shared" si="29"/>
        <v>282.119415578234</v>
      </c>
      <c r="O108" s="64"/>
    </row>
    <row r="109" spans="1:42" s="2" customFormat="1" ht="15.4">
      <c r="A109" s="69"/>
      <c r="B109" s="70" t="s">
        <v>32</v>
      </c>
      <c r="C109" s="71">
        <f>MIN(C102:C106)</f>
        <v>2.6429999999999998</v>
      </c>
      <c r="D109" s="71">
        <f>MIN(D102:D106)</f>
        <v>33.036999999999999</v>
      </c>
      <c r="E109" s="71">
        <f>MIN(E102:E106)</f>
        <v>0.22600000000000001</v>
      </c>
      <c r="F109" s="71">
        <f>MIN(F102:F106)</f>
        <v>60.067999999999998</v>
      </c>
      <c r="G109" s="71">
        <f>MIN(G102:G106)</f>
        <v>7.0000000000000001E-3</v>
      </c>
      <c r="H109" s="94" t="s">
        <v>25</v>
      </c>
      <c r="I109" s="94" t="s">
        <v>25</v>
      </c>
      <c r="J109" s="71">
        <f>MIN(J102:J106)</f>
        <v>1.7999999999999999E-2</v>
      </c>
      <c r="K109" s="96" t="s">
        <v>108</v>
      </c>
      <c r="L109" s="71">
        <f>MIN(L102:L106)</f>
        <v>98.818000000000012</v>
      </c>
      <c r="M109" s="71"/>
      <c r="N109" s="71"/>
      <c r="O109" s="64"/>
    </row>
    <row r="110" spans="1:42" s="2" customFormat="1" ht="15.4">
      <c r="A110" s="69"/>
      <c r="B110" s="70" t="s">
        <v>33</v>
      </c>
      <c r="C110" s="71">
        <f>MAX(C102:C106)</f>
        <v>5.6189999999999998</v>
      </c>
      <c r="D110" s="71">
        <f>MAX(D102:D106)</f>
        <v>33.372</v>
      </c>
      <c r="E110" s="71">
        <f>MAX(E102:E106)</f>
        <v>0.56200000000000006</v>
      </c>
      <c r="F110" s="71">
        <f>MAX(F102:F106)</f>
        <v>64.192999999999998</v>
      </c>
      <c r="G110" s="71">
        <f>MAX(G102:G106)</f>
        <v>1.9E-2</v>
      </c>
      <c r="H110" s="94" t="s">
        <v>25</v>
      </c>
      <c r="I110" s="94" t="s">
        <v>25</v>
      </c>
      <c r="J110" s="71">
        <f>MAX(J102:J106)</f>
        <v>6.6000000000000003E-2</v>
      </c>
      <c r="K110" s="96" t="s">
        <v>108</v>
      </c>
      <c r="L110" s="223">
        <f>MAX(L102:L106)</f>
        <v>100.279</v>
      </c>
      <c r="M110" s="81"/>
      <c r="N110" s="81"/>
      <c r="O110" s="64"/>
    </row>
    <row r="111" spans="1:42" s="2" customFormat="1" ht="15.4">
      <c r="A111" s="69"/>
      <c r="B111" s="72" t="s">
        <v>34</v>
      </c>
      <c r="C111" s="71">
        <f>STDEV(C102:C106)</f>
        <v>1.3761615820825677</v>
      </c>
      <c r="D111" s="71">
        <f>STDEV(D102:D106)</f>
        <v>0.16031313109037706</v>
      </c>
      <c r="E111" s="71">
        <f>STDEV(E102:E106)</f>
        <v>0.13034876294004502</v>
      </c>
      <c r="F111" s="71">
        <f>STDEV(F102:F106)</f>
        <v>1.5386206485030669</v>
      </c>
      <c r="G111" s="71">
        <f>STDEV(G102:G106)</f>
        <v>5.3150729063673168E-3</v>
      </c>
      <c r="H111" s="94" t="s">
        <v>25</v>
      </c>
      <c r="I111" s="94" t="s">
        <v>25</v>
      </c>
      <c r="J111" s="71">
        <f>STDEV(J102:J106)</f>
        <v>1.7952715672009061E-2</v>
      </c>
      <c r="K111" s="96" t="s">
        <v>108</v>
      </c>
      <c r="L111" s="71">
        <f>STDEV(L102:L106)</f>
        <v>0.60715953422473079</v>
      </c>
      <c r="M111" s="81"/>
      <c r="N111" s="81"/>
      <c r="O111" s="64"/>
    </row>
    <row r="112" spans="1:42" s="2" customFormat="1" ht="15.4">
      <c r="A112" s="66" t="s">
        <v>114</v>
      </c>
      <c r="B112" s="61" t="s">
        <v>115</v>
      </c>
      <c r="C112" s="73">
        <v>30.625</v>
      </c>
      <c r="D112" s="73">
        <v>34.206000000000003</v>
      </c>
      <c r="E112" s="73">
        <v>34.807000000000002</v>
      </c>
      <c r="F112" s="73">
        <v>1.4E-2</v>
      </c>
      <c r="G112" s="73">
        <v>7.0999999999999994E-2</v>
      </c>
      <c r="H112" s="73" t="s">
        <v>25</v>
      </c>
      <c r="I112" s="73">
        <v>1.4999999999999999E-2</v>
      </c>
      <c r="J112" s="73" t="s">
        <v>25</v>
      </c>
      <c r="K112" s="73">
        <v>1.9E-2</v>
      </c>
      <c r="L112" s="62">
        <f t="shared" ref="L112:L118" si="30">SUM(C112:K112)</f>
        <v>99.757000000000005</v>
      </c>
      <c r="M112" s="65"/>
      <c r="N112" s="65"/>
      <c r="O112" s="64"/>
    </row>
    <row r="113" spans="1:15" s="2" customFormat="1" ht="15.4">
      <c r="A113" s="66"/>
      <c r="B113" s="61" t="s">
        <v>116</v>
      </c>
      <c r="C113" s="73">
        <v>31.015000000000001</v>
      </c>
      <c r="D113" s="73">
        <v>34.055</v>
      </c>
      <c r="E113" s="73">
        <v>34.622999999999998</v>
      </c>
      <c r="F113" s="73">
        <v>0.09</v>
      </c>
      <c r="G113" s="73">
        <v>3.5999999999999997E-2</v>
      </c>
      <c r="H113" s="73" t="s">
        <v>25</v>
      </c>
      <c r="I113" s="73">
        <v>5.7000000000000002E-2</v>
      </c>
      <c r="J113" s="73">
        <v>3.9E-2</v>
      </c>
      <c r="K113" s="73" t="s">
        <v>25</v>
      </c>
      <c r="L113" s="62">
        <f t="shared" si="30"/>
        <v>99.914999999999992</v>
      </c>
      <c r="M113" s="65"/>
      <c r="N113" s="65"/>
      <c r="O113" s="64"/>
    </row>
    <row r="114" spans="1:15" s="2" customFormat="1" ht="15.4">
      <c r="A114" s="66"/>
      <c r="B114" s="61" t="s">
        <v>117</v>
      </c>
      <c r="C114" s="73">
        <v>30.831</v>
      </c>
      <c r="D114" s="73">
        <v>34.427999999999997</v>
      </c>
      <c r="E114" s="73">
        <v>34.514000000000003</v>
      </c>
      <c r="F114" s="73" t="s">
        <v>25</v>
      </c>
      <c r="G114" s="73">
        <v>6.5000000000000002E-2</v>
      </c>
      <c r="H114" s="73" t="s">
        <v>25</v>
      </c>
      <c r="I114" s="73" t="s">
        <v>25</v>
      </c>
      <c r="J114" s="73">
        <v>2.9000000000000001E-2</v>
      </c>
      <c r="K114" s="73" t="s">
        <v>25</v>
      </c>
      <c r="L114" s="62">
        <f t="shared" si="30"/>
        <v>99.86699999999999</v>
      </c>
      <c r="M114" s="65"/>
      <c r="N114" s="65"/>
      <c r="O114" s="64"/>
    </row>
    <row r="115" spans="1:15" s="2" customFormat="1" ht="15.4">
      <c r="A115" s="66"/>
      <c r="B115" s="61" t="s">
        <v>118</v>
      </c>
      <c r="C115" s="73">
        <v>30.187999999999999</v>
      </c>
      <c r="D115" s="73">
        <v>33.978999999999999</v>
      </c>
      <c r="E115" s="73">
        <v>34.615000000000002</v>
      </c>
      <c r="F115" s="73">
        <v>0.16200000000000001</v>
      </c>
      <c r="G115" s="73">
        <v>2.3E-2</v>
      </c>
      <c r="H115" s="73" t="s">
        <v>25</v>
      </c>
      <c r="I115" s="73">
        <v>1.2E-2</v>
      </c>
      <c r="J115" s="73" t="s">
        <v>25</v>
      </c>
      <c r="K115" s="73" t="s">
        <v>25</v>
      </c>
      <c r="L115" s="62">
        <f t="shared" si="30"/>
        <v>98.979000000000013</v>
      </c>
      <c r="M115" s="65"/>
      <c r="N115" s="65"/>
      <c r="O115" s="64"/>
    </row>
    <row r="116" spans="1:15" s="2" customFormat="1" ht="15.4">
      <c r="A116" s="66"/>
      <c r="B116" s="61" t="s">
        <v>119</v>
      </c>
      <c r="C116" s="73">
        <v>30.747</v>
      </c>
      <c r="D116" s="73">
        <v>34.685000000000002</v>
      </c>
      <c r="E116" s="73">
        <v>34.348999999999997</v>
      </c>
      <c r="F116" s="73">
        <v>3.4000000000000002E-2</v>
      </c>
      <c r="G116" s="73">
        <v>5.5E-2</v>
      </c>
      <c r="H116" s="73" t="s">
        <v>25</v>
      </c>
      <c r="I116" s="73">
        <v>5.0000000000000001E-3</v>
      </c>
      <c r="J116" s="73" t="s">
        <v>25</v>
      </c>
      <c r="K116" s="73" t="s">
        <v>25</v>
      </c>
      <c r="L116" s="62">
        <f t="shared" si="30"/>
        <v>99.875000000000014</v>
      </c>
      <c r="M116" s="65"/>
      <c r="N116" s="65"/>
      <c r="O116" s="64"/>
    </row>
    <row r="117" spans="1:15" s="2" customFormat="1" ht="15.4">
      <c r="A117" s="66"/>
      <c r="B117" s="61" t="s">
        <v>120</v>
      </c>
      <c r="C117" s="73">
        <v>30.170999999999999</v>
      </c>
      <c r="D117" s="73">
        <v>34.79</v>
      </c>
      <c r="E117" s="73">
        <v>34.171999999999997</v>
      </c>
      <c r="F117" s="73">
        <v>3.2000000000000001E-2</v>
      </c>
      <c r="G117" s="73">
        <v>9.0999999999999998E-2</v>
      </c>
      <c r="H117" s="73" t="s">
        <v>25</v>
      </c>
      <c r="I117" s="73" t="s">
        <v>25</v>
      </c>
      <c r="J117" s="73" t="s">
        <v>25</v>
      </c>
      <c r="K117" s="73">
        <v>5.0000000000000001E-3</v>
      </c>
      <c r="L117" s="62">
        <f t="shared" si="30"/>
        <v>99.260999999999981</v>
      </c>
      <c r="M117" s="65"/>
      <c r="N117" s="65"/>
      <c r="O117" s="64"/>
    </row>
    <row r="118" spans="1:15" s="2" customFormat="1" ht="15.4">
      <c r="A118" s="66"/>
      <c r="B118" s="61" t="s">
        <v>121</v>
      </c>
      <c r="C118" s="73">
        <v>30.376000000000001</v>
      </c>
      <c r="D118" s="73">
        <v>34.558999999999997</v>
      </c>
      <c r="E118" s="73">
        <v>34.750999999999998</v>
      </c>
      <c r="F118" s="73">
        <v>4.1000000000000002E-2</v>
      </c>
      <c r="G118" s="73">
        <v>6.0999999999999999E-2</v>
      </c>
      <c r="H118" s="73" t="s">
        <v>25</v>
      </c>
      <c r="I118" s="73">
        <v>3.2000000000000001E-2</v>
      </c>
      <c r="J118" s="73" t="s">
        <v>25</v>
      </c>
      <c r="K118" s="73">
        <v>8.0000000000000002E-3</v>
      </c>
      <c r="L118" s="62">
        <f t="shared" si="30"/>
        <v>99.828000000000003</v>
      </c>
      <c r="M118" s="65"/>
      <c r="N118" s="65"/>
      <c r="O118" s="64"/>
    </row>
    <row r="119" spans="1:15" s="2" customFormat="1" ht="15.4">
      <c r="A119" s="86"/>
      <c r="B119" s="70" t="s">
        <v>31</v>
      </c>
      <c r="C119" s="71">
        <f>AVERAGE(C112:C118)</f>
        <v>30.564714285714285</v>
      </c>
      <c r="D119" s="71">
        <f>AVERAGE(D112:D118)</f>
        <v>34.386000000000003</v>
      </c>
      <c r="E119" s="71">
        <f>AVERAGE(E112:E118)</f>
        <v>34.547285714285714</v>
      </c>
      <c r="F119" s="71">
        <f>AVERAGE(F112:F118)</f>
        <v>6.2166666666666676E-2</v>
      </c>
      <c r="G119" s="71">
        <f>AVERAGE(G112:G118)</f>
        <v>5.7428571428571426E-2</v>
      </c>
      <c r="H119" s="94" t="s">
        <v>25</v>
      </c>
      <c r="I119" s="71">
        <f>AVERAGE(I112:I118)</f>
        <v>2.4200000000000003E-2</v>
      </c>
      <c r="J119" s="71">
        <f>AVERAGE(J112:J118)</f>
        <v>3.4000000000000002E-2</v>
      </c>
      <c r="K119" s="71">
        <f>AVERAGE(K112:K118)</f>
        <v>1.0666666666666666E-2</v>
      </c>
      <c r="L119" s="71">
        <f>AVERAGE(L112:L118)</f>
        <v>99.64028571428571</v>
      </c>
      <c r="M119" s="81"/>
      <c r="N119" s="81"/>
      <c r="O119" s="64"/>
    </row>
    <row r="120" spans="1:15" s="2" customFormat="1" ht="15.4">
      <c r="A120" s="86"/>
      <c r="B120" s="70" t="s">
        <v>32</v>
      </c>
      <c r="C120" s="71">
        <f>MIN(C112:C118)</f>
        <v>30.170999999999999</v>
      </c>
      <c r="D120" s="71">
        <f>MIN(D112:D118)</f>
        <v>33.978999999999999</v>
      </c>
      <c r="E120" s="71">
        <f>MIN(E112:E118)</f>
        <v>34.171999999999997</v>
      </c>
      <c r="F120" s="94" t="s">
        <v>25</v>
      </c>
      <c r="G120" s="71">
        <f>MIN(G112:G118)</f>
        <v>2.3E-2</v>
      </c>
      <c r="H120" s="94" t="s">
        <v>25</v>
      </c>
      <c r="I120" s="94" t="s">
        <v>25</v>
      </c>
      <c r="J120" s="94" t="s">
        <v>25</v>
      </c>
      <c r="K120" s="94" t="s">
        <v>25</v>
      </c>
      <c r="L120" s="71">
        <f>MIN(L112:L118)</f>
        <v>98.979000000000013</v>
      </c>
      <c r="M120" s="81"/>
      <c r="N120" s="81"/>
      <c r="O120" s="64"/>
    </row>
    <row r="121" spans="1:15" s="2" customFormat="1" ht="15.4">
      <c r="A121" s="86"/>
      <c r="B121" s="70" t="s">
        <v>33</v>
      </c>
      <c r="C121" s="71">
        <f>MAX(C112:C118)</f>
        <v>31.015000000000001</v>
      </c>
      <c r="D121" s="71">
        <f>MAX(D112:D118)</f>
        <v>34.79</v>
      </c>
      <c r="E121" s="71">
        <f>MAX(E112:E118)</f>
        <v>34.807000000000002</v>
      </c>
      <c r="F121" s="71">
        <f>MAX(F112:F118)</f>
        <v>0.16200000000000001</v>
      </c>
      <c r="G121" s="71">
        <f>MAX(G112:G118)</f>
        <v>9.0999999999999998E-2</v>
      </c>
      <c r="H121" s="94" t="s">
        <v>25</v>
      </c>
      <c r="I121" s="71">
        <f>MAX(I112:I118)</f>
        <v>5.7000000000000002E-2</v>
      </c>
      <c r="J121" s="71">
        <f>MAX(J112:J118)</f>
        <v>3.9E-2</v>
      </c>
      <c r="K121" s="71">
        <f>MAX(K112:K118)</f>
        <v>1.9E-2</v>
      </c>
      <c r="L121" s="71">
        <f>MAX(L112:L118)</f>
        <v>99.914999999999992</v>
      </c>
      <c r="M121" s="81"/>
      <c r="N121" s="81"/>
      <c r="O121" s="64"/>
    </row>
    <row r="122" spans="1:15" s="2" customFormat="1" ht="15.4">
      <c r="A122" s="86"/>
      <c r="B122" s="72" t="s">
        <v>34</v>
      </c>
      <c r="C122" s="71">
        <f>STDEV(C112:C118)</f>
        <v>0.32737985800682917</v>
      </c>
      <c r="D122" s="71">
        <f>STDEV(D112:D118)</f>
        <v>0.31409128184865814</v>
      </c>
      <c r="E122" s="71">
        <f>STDEV(E112:E118)</f>
        <v>0.22380550654956041</v>
      </c>
      <c r="F122" s="71">
        <f>STDEV(F112:F118)</f>
        <v>5.5159465793884054E-2</v>
      </c>
      <c r="G122" s="71">
        <f>STDEV(G112:G118)</f>
        <v>2.2478561214760055E-2</v>
      </c>
      <c r="H122" s="94" t="s">
        <v>25</v>
      </c>
      <c r="I122" s="71">
        <f>STDEV(I112:I118)</f>
        <v>2.0849460424672863E-2</v>
      </c>
      <c r="J122" s="71">
        <f>STDEV(J112:J118)</f>
        <v>7.0710678118654537E-3</v>
      </c>
      <c r="K122" s="71">
        <f>STDEV(K112:K118)</f>
        <v>7.3711147958319947E-3</v>
      </c>
      <c r="L122" s="71">
        <f>STDEV(L112:L118)</f>
        <v>0.36787077182334582</v>
      </c>
      <c r="M122" s="81"/>
      <c r="N122" s="81"/>
      <c r="O122" s="64"/>
    </row>
    <row r="123" spans="1:15" s="2" customFormat="1" ht="15.4">
      <c r="A123" s="66" t="s">
        <v>122</v>
      </c>
      <c r="B123" s="61" t="s">
        <v>123</v>
      </c>
      <c r="C123" s="73">
        <v>30.672000000000001</v>
      </c>
      <c r="D123" s="73">
        <v>34.494</v>
      </c>
      <c r="E123" s="73">
        <v>34.305999999999997</v>
      </c>
      <c r="F123" s="73" t="s">
        <v>25</v>
      </c>
      <c r="G123" s="73">
        <v>3.3000000000000002E-2</v>
      </c>
      <c r="H123" s="73" t="s">
        <v>25</v>
      </c>
      <c r="I123" s="73" t="s">
        <v>25</v>
      </c>
      <c r="J123" s="73" t="s">
        <v>25</v>
      </c>
      <c r="K123" s="73">
        <v>0.02</v>
      </c>
      <c r="L123" s="62">
        <f t="shared" ref="L123:L129" si="31">SUM(C123:K123)</f>
        <v>99.524999999999991</v>
      </c>
      <c r="M123" s="65"/>
      <c r="N123" s="65"/>
      <c r="O123" s="64"/>
    </row>
    <row r="124" spans="1:15" s="2" customFormat="1" ht="15.4">
      <c r="A124" s="66"/>
      <c r="B124" s="61" t="s">
        <v>124</v>
      </c>
      <c r="C124" s="73">
        <v>30.75</v>
      </c>
      <c r="D124" s="73">
        <v>34.497</v>
      </c>
      <c r="E124" s="73">
        <v>34.543999999999997</v>
      </c>
      <c r="F124" s="73">
        <v>3.5000000000000003E-2</v>
      </c>
      <c r="G124" s="73">
        <v>5.7000000000000002E-2</v>
      </c>
      <c r="H124" s="73" t="s">
        <v>25</v>
      </c>
      <c r="I124" s="73">
        <v>2.4E-2</v>
      </c>
      <c r="J124" s="73" t="s">
        <v>25</v>
      </c>
      <c r="K124" s="73" t="s">
        <v>25</v>
      </c>
      <c r="L124" s="62">
        <f t="shared" si="31"/>
        <v>99.906999999999996</v>
      </c>
      <c r="M124" s="65"/>
      <c r="N124" s="65"/>
      <c r="O124" s="64"/>
    </row>
    <row r="125" spans="1:15" s="2" customFormat="1" ht="15.4">
      <c r="A125" s="66"/>
      <c r="B125" s="61" t="s">
        <v>125</v>
      </c>
      <c r="C125" s="73">
        <v>30.911999999999999</v>
      </c>
      <c r="D125" s="73">
        <v>34.569000000000003</v>
      </c>
      <c r="E125" s="73">
        <v>34.383000000000003</v>
      </c>
      <c r="F125" s="73">
        <v>0.108</v>
      </c>
      <c r="G125" s="73">
        <v>5.8000000000000003E-2</v>
      </c>
      <c r="H125" s="73" t="s">
        <v>25</v>
      </c>
      <c r="I125" s="73" t="s">
        <v>25</v>
      </c>
      <c r="J125" s="73" t="s">
        <v>25</v>
      </c>
      <c r="K125" s="73">
        <v>0.04</v>
      </c>
      <c r="L125" s="224">
        <f t="shared" si="31"/>
        <v>100.07000000000002</v>
      </c>
      <c r="M125" s="65"/>
      <c r="N125" s="65"/>
      <c r="O125" s="64"/>
    </row>
    <row r="126" spans="1:15" s="2" customFormat="1" ht="15.4">
      <c r="A126" s="66"/>
      <c r="B126" s="61" t="s">
        <v>126</v>
      </c>
      <c r="C126" s="73">
        <v>29.893999999999998</v>
      </c>
      <c r="D126" s="73">
        <v>34.405000000000001</v>
      </c>
      <c r="E126" s="73">
        <v>34.781999999999996</v>
      </c>
      <c r="F126" s="73">
        <v>1.0999999999999999E-2</v>
      </c>
      <c r="G126" s="73">
        <v>6.2E-2</v>
      </c>
      <c r="H126" s="73" t="s">
        <v>25</v>
      </c>
      <c r="I126" s="73">
        <v>8.9999999999999993E-3</v>
      </c>
      <c r="J126" s="73" t="s">
        <v>25</v>
      </c>
      <c r="K126" s="73" t="s">
        <v>25</v>
      </c>
      <c r="L126" s="62">
        <f t="shared" si="31"/>
        <v>99.162999999999997</v>
      </c>
      <c r="M126" s="65"/>
      <c r="N126" s="65"/>
      <c r="O126" s="64"/>
    </row>
    <row r="127" spans="1:15" s="2" customFormat="1" ht="15.4">
      <c r="A127" s="66"/>
      <c r="B127" s="61" t="s">
        <v>127</v>
      </c>
      <c r="C127" s="73">
        <v>30.234000000000002</v>
      </c>
      <c r="D127" s="73">
        <v>34.362000000000002</v>
      </c>
      <c r="E127" s="73">
        <v>34.718000000000004</v>
      </c>
      <c r="F127" s="73">
        <v>0.09</v>
      </c>
      <c r="G127" s="73">
        <v>5.3999999999999999E-2</v>
      </c>
      <c r="H127" s="73" t="s">
        <v>25</v>
      </c>
      <c r="I127" s="73">
        <v>1.4E-2</v>
      </c>
      <c r="J127" s="73">
        <v>8.9999999999999993E-3</v>
      </c>
      <c r="K127" s="73" t="s">
        <v>25</v>
      </c>
      <c r="L127" s="62">
        <f t="shared" si="31"/>
        <v>99.481000000000009</v>
      </c>
      <c r="M127" s="65"/>
      <c r="N127" s="65"/>
      <c r="O127" s="64"/>
    </row>
    <row r="128" spans="1:15" s="2" customFormat="1" ht="15.4">
      <c r="A128" s="66"/>
      <c r="B128" s="61" t="s">
        <v>128</v>
      </c>
      <c r="C128" s="73">
        <v>30.956</v>
      </c>
      <c r="D128" s="73">
        <v>34.832000000000001</v>
      </c>
      <c r="E128" s="73">
        <v>34.649000000000001</v>
      </c>
      <c r="F128" s="73" t="s">
        <v>25</v>
      </c>
      <c r="G128" s="73">
        <v>5.5E-2</v>
      </c>
      <c r="H128" s="73" t="s">
        <v>25</v>
      </c>
      <c r="I128" s="73" t="s">
        <v>25</v>
      </c>
      <c r="J128" s="73">
        <v>2.7E-2</v>
      </c>
      <c r="K128" s="73">
        <v>1.7000000000000001E-2</v>
      </c>
      <c r="L128" s="62">
        <f t="shared" si="31"/>
        <v>100.536</v>
      </c>
      <c r="M128" s="65"/>
      <c r="N128" s="65"/>
      <c r="O128" s="64"/>
    </row>
    <row r="129" spans="1:15" s="2" customFormat="1" ht="15.4">
      <c r="A129" s="66"/>
      <c r="B129" s="61" t="s">
        <v>129</v>
      </c>
      <c r="C129" s="73">
        <v>31.26</v>
      </c>
      <c r="D129" s="73">
        <v>34.508000000000003</v>
      </c>
      <c r="E129" s="73">
        <v>34.313000000000002</v>
      </c>
      <c r="F129" s="73" t="s">
        <v>25</v>
      </c>
      <c r="G129" s="73">
        <v>5.3999999999999999E-2</v>
      </c>
      <c r="H129" s="73" t="s">
        <v>25</v>
      </c>
      <c r="I129" s="73" t="s">
        <v>25</v>
      </c>
      <c r="J129" s="73" t="s">
        <v>25</v>
      </c>
      <c r="K129" s="73">
        <v>8.9999999999999993E-3</v>
      </c>
      <c r="L129" s="62">
        <f t="shared" si="31"/>
        <v>100.14400000000001</v>
      </c>
      <c r="M129" s="65"/>
      <c r="N129" s="65"/>
      <c r="O129" s="64"/>
    </row>
    <row r="130" spans="1:15" s="2" customFormat="1" ht="15.4">
      <c r="A130" s="66"/>
      <c r="B130" s="61" t="s">
        <v>130</v>
      </c>
      <c r="C130" s="73">
        <v>30.59</v>
      </c>
      <c r="D130" s="73">
        <v>34.503999999999998</v>
      </c>
      <c r="E130" s="73">
        <v>34.710999999999999</v>
      </c>
      <c r="F130" s="73">
        <v>6.6000000000000003E-2</v>
      </c>
      <c r="G130" s="73">
        <v>5.6000000000000001E-2</v>
      </c>
      <c r="H130" s="73" t="s">
        <v>25</v>
      </c>
      <c r="I130" s="73">
        <v>0.02</v>
      </c>
      <c r="J130" s="73" t="s">
        <v>25</v>
      </c>
      <c r="K130" s="73">
        <v>7.0000000000000001E-3</v>
      </c>
      <c r="L130" s="62">
        <f t="shared" ref="L130:L136" si="32">SUM(C130:K130)</f>
        <v>99.953999999999994</v>
      </c>
      <c r="M130" s="65"/>
      <c r="N130" s="65"/>
      <c r="O130" s="64"/>
    </row>
    <row r="131" spans="1:15" s="2" customFormat="1" ht="15.4">
      <c r="A131" s="66"/>
      <c r="B131" s="61" t="s">
        <v>131</v>
      </c>
      <c r="C131" s="73">
        <v>30.741</v>
      </c>
      <c r="D131" s="73">
        <v>33.978000000000002</v>
      </c>
      <c r="E131" s="73">
        <v>34.868000000000002</v>
      </c>
      <c r="F131" s="73">
        <v>3.5000000000000003E-2</v>
      </c>
      <c r="G131" s="73">
        <v>0.05</v>
      </c>
      <c r="H131" s="73" t="s">
        <v>25</v>
      </c>
      <c r="I131" s="73" t="s">
        <v>25</v>
      </c>
      <c r="J131" s="73" t="s">
        <v>25</v>
      </c>
      <c r="K131" s="73">
        <v>0.02</v>
      </c>
      <c r="L131" s="62">
        <f t="shared" si="32"/>
        <v>99.691999999999979</v>
      </c>
      <c r="M131" s="65"/>
      <c r="N131" s="65"/>
      <c r="O131" s="64"/>
    </row>
    <row r="132" spans="1:15" s="2" customFormat="1" ht="15.4">
      <c r="A132" s="66"/>
      <c r="B132" s="61" t="s">
        <v>132</v>
      </c>
      <c r="C132" s="73">
        <v>30.798999999999999</v>
      </c>
      <c r="D132" s="73">
        <v>34.353000000000002</v>
      </c>
      <c r="E132" s="73">
        <v>34.645000000000003</v>
      </c>
      <c r="F132" s="221" t="s">
        <v>25</v>
      </c>
      <c r="G132" s="73">
        <v>5.8999999999999997E-2</v>
      </c>
      <c r="H132" s="73" t="s">
        <v>25</v>
      </c>
      <c r="I132" s="73" t="s">
        <v>25</v>
      </c>
      <c r="J132" s="73" t="s">
        <v>25</v>
      </c>
      <c r="K132" s="73">
        <v>1.0999999999999999E-2</v>
      </c>
      <c r="L132" s="62">
        <f t="shared" si="32"/>
        <v>99.86699999999999</v>
      </c>
      <c r="M132" s="65"/>
      <c r="N132" s="65"/>
      <c r="O132" s="64"/>
    </row>
    <row r="133" spans="1:15" s="2" customFormat="1" ht="15.4">
      <c r="A133" s="66"/>
      <c r="B133" s="61" t="s">
        <v>133</v>
      </c>
      <c r="C133" s="73">
        <v>31.146999999999998</v>
      </c>
      <c r="D133" s="73">
        <v>34.837000000000003</v>
      </c>
      <c r="E133" s="73">
        <v>34.008000000000003</v>
      </c>
      <c r="F133" s="73">
        <v>1.6E-2</v>
      </c>
      <c r="G133" s="73">
        <v>4.7E-2</v>
      </c>
      <c r="H133" s="73" t="s">
        <v>25</v>
      </c>
      <c r="I133" s="73" t="s">
        <v>25</v>
      </c>
      <c r="J133" s="73" t="s">
        <v>25</v>
      </c>
      <c r="K133" s="73" t="s">
        <v>25</v>
      </c>
      <c r="L133" s="224">
        <f t="shared" si="32"/>
        <v>100.05500000000002</v>
      </c>
      <c r="M133" s="65"/>
      <c r="N133" s="65"/>
      <c r="O133" s="64"/>
    </row>
    <row r="134" spans="1:15" s="2" customFormat="1" ht="15.4">
      <c r="A134" s="66"/>
      <c r="B134" s="61" t="s">
        <v>134</v>
      </c>
      <c r="C134" s="73">
        <v>30.183</v>
      </c>
      <c r="D134" s="73">
        <v>34.649000000000001</v>
      </c>
      <c r="E134" s="73">
        <v>34.734999999999999</v>
      </c>
      <c r="F134" s="73" t="s">
        <v>25</v>
      </c>
      <c r="G134" s="73">
        <v>4.2999999999999997E-2</v>
      </c>
      <c r="H134" s="73" t="s">
        <v>25</v>
      </c>
      <c r="I134" s="73">
        <v>7.0000000000000001E-3</v>
      </c>
      <c r="J134" s="73" t="s">
        <v>25</v>
      </c>
      <c r="K134" s="73">
        <v>0.02</v>
      </c>
      <c r="L134" s="62">
        <f t="shared" si="32"/>
        <v>99.637</v>
      </c>
      <c r="M134" s="65"/>
      <c r="N134" s="65"/>
      <c r="O134" s="64"/>
    </row>
    <row r="135" spans="1:15" s="2" customFormat="1" ht="15.4">
      <c r="A135" s="66"/>
      <c r="B135" s="61" t="s">
        <v>135</v>
      </c>
      <c r="C135" s="73">
        <v>30.530999999999999</v>
      </c>
      <c r="D135" s="73">
        <v>34.22</v>
      </c>
      <c r="E135" s="73">
        <v>34.558</v>
      </c>
      <c r="F135" s="73" t="s">
        <v>25</v>
      </c>
      <c r="G135" s="73">
        <v>4.3999999999999997E-2</v>
      </c>
      <c r="H135" s="73" t="s">
        <v>25</v>
      </c>
      <c r="I135" s="73" t="s">
        <v>25</v>
      </c>
      <c r="J135" s="73">
        <v>0.01</v>
      </c>
      <c r="K135" s="73" t="s">
        <v>25</v>
      </c>
      <c r="L135" s="62">
        <f t="shared" si="32"/>
        <v>99.363</v>
      </c>
      <c r="M135" s="65"/>
      <c r="N135" s="65"/>
      <c r="O135" s="64"/>
    </row>
    <row r="136" spans="1:15" s="2" customFormat="1" ht="15.4">
      <c r="A136" s="66"/>
      <c r="B136" s="61" t="s">
        <v>136</v>
      </c>
      <c r="C136" s="73">
        <v>31.001999999999999</v>
      </c>
      <c r="D136" s="73">
        <v>34.39</v>
      </c>
      <c r="E136" s="73">
        <v>34.323</v>
      </c>
      <c r="F136" s="73">
        <v>0.01</v>
      </c>
      <c r="G136" s="73">
        <v>3.6999999999999998E-2</v>
      </c>
      <c r="H136" s="73" t="s">
        <v>25</v>
      </c>
      <c r="I136" s="73" t="s">
        <v>25</v>
      </c>
      <c r="J136" s="73" t="s">
        <v>25</v>
      </c>
      <c r="K136" s="73">
        <v>7.0000000000000001E-3</v>
      </c>
      <c r="L136" s="62">
        <f t="shared" si="32"/>
        <v>99.76900000000002</v>
      </c>
      <c r="M136" s="65"/>
      <c r="N136" s="65"/>
      <c r="O136" s="64"/>
    </row>
    <row r="137" spans="1:15" s="2" customFormat="1" ht="15.4">
      <c r="A137" s="86"/>
      <c r="B137" s="70" t="s">
        <v>31</v>
      </c>
      <c r="C137" s="71">
        <f>AVERAGE(C123:C136)</f>
        <v>30.690785714285713</v>
      </c>
      <c r="D137" s="71">
        <f>AVERAGE(D123:D136)</f>
        <v>34.471285714285713</v>
      </c>
      <c r="E137" s="71">
        <f>AVERAGE(E123:E136)</f>
        <v>34.538785714285709</v>
      </c>
      <c r="F137" s="71">
        <f>AVERAGE(F123:F136)</f>
        <v>4.6375000000000013E-2</v>
      </c>
      <c r="G137" s="71">
        <f>AVERAGE(G123:G136)</f>
        <v>5.0642857142857156E-2</v>
      </c>
      <c r="H137" s="94" t="s">
        <v>25</v>
      </c>
      <c r="I137" s="71">
        <f>AVERAGE(I123:I136)</f>
        <v>1.4800000000000002E-2</v>
      </c>
      <c r="J137" s="71">
        <f>AVERAGE(J123:J136)</f>
        <v>1.5333333333333332E-2</v>
      </c>
      <c r="K137" s="71">
        <f>AVERAGE(K123:K136)</f>
        <v>1.6777777777777777E-2</v>
      </c>
      <c r="L137" s="71">
        <f>AVERAGE(L123:L136)</f>
        <v>99.797357142857138</v>
      </c>
      <c r="M137" s="81"/>
      <c r="N137" s="81"/>
      <c r="O137" s="64"/>
    </row>
    <row r="138" spans="1:15" s="2" customFormat="1" ht="15.4">
      <c r="A138" s="86"/>
      <c r="B138" s="70" t="s">
        <v>32</v>
      </c>
      <c r="C138" s="71">
        <f>MIN(C130:C136)</f>
        <v>30.183</v>
      </c>
      <c r="D138" s="71">
        <f>MIN(D130:D136)</f>
        <v>33.978000000000002</v>
      </c>
      <c r="E138" s="71">
        <f>MIN(E130:E136)</f>
        <v>34.008000000000003</v>
      </c>
      <c r="F138" s="71">
        <f>MIN(F130:F136)</f>
        <v>0.01</v>
      </c>
      <c r="G138" s="71">
        <f>MIN(G130:G136)</f>
        <v>3.6999999999999998E-2</v>
      </c>
      <c r="H138" s="94" t="s">
        <v>25</v>
      </c>
      <c r="I138" s="71">
        <f>MIN(I130:I136)</f>
        <v>7.0000000000000001E-3</v>
      </c>
      <c r="J138" s="71">
        <f>MIN(J130:J136)</f>
        <v>0.01</v>
      </c>
      <c r="K138" s="71">
        <f>MIN(K130:K136)</f>
        <v>7.0000000000000001E-3</v>
      </c>
      <c r="L138" s="71">
        <f>MIN(L130:L136)</f>
        <v>99.363</v>
      </c>
      <c r="M138" s="81"/>
      <c r="N138" s="81"/>
      <c r="O138" s="64"/>
    </row>
    <row r="139" spans="1:15" s="2" customFormat="1" ht="15.4">
      <c r="A139" s="86"/>
      <c r="B139" s="70" t="s">
        <v>33</v>
      </c>
      <c r="C139" s="71">
        <f>MAX(C123:C136)</f>
        <v>31.26</v>
      </c>
      <c r="D139" s="71">
        <f>MAX(D123:D136)</f>
        <v>34.837000000000003</v>
      </c>
      <c r="E139" s="71">
        <f>MAX(E123:E136)</f>
        <v>34.868000000000002</v>
      </c>
      <c r="F139" s="71">
        <f>MAX(F123:F136)</f>
        <v>0.108</v>
      </c>
      <c r="G139" s="71">
        <f>MAX(G123:G136)</f>
        <v>6.2E-2</v>
      </c>
      <c r="H139" s="94" t="s">
        <v>25</v>
      </c>
      <c r="I139" s="71">
        <f>MAX(I123:I136)</f>
        <v>2.4E-2</v>
      </c>
      <c r="J139" s="71">
        <f>MAX(J123:J136)</f>
        <v>2.7E-2</v>
      </c>
      <c r="K139" s="71">
        <f>MAX(K123:K136)</f>
        <v>0.04</v>
      </c>
      <c r="L139" s="223">
        <f>MAX(L123:L136)</f>
        <v>100.536</v>
      </c>
      <c r="M139" s="81"/>
      <c r="N139" s="81"/>
      <c r="O139" s="64"/>
    </row>
    <row r="140" spans="1:15" s="2" customFormat="1" ht="15.4">
      <c r="A140" s="166"/>
      <c r="B140" s="97" t="s">
        <v>34</v>
      </c>
      <c r="C140" s="98">
        <f>STDEV(C123:C136)</f>
        <v>0.38264387511736708</v>
      </c>
      <c r="D140" s="98">
        <f>STDEV(D123:D136)</f>
        <v>0.22395034771519864</v>
      </c>
      <c r="E140" s="98">
        <f>STDEV(E123:E136)</f>
        <v>0.24009138598952987</v>
      </c>
      <c r="F140" s="98">
        <f>STDEV(F123:F136)</f>
        <v>3.7496428401344317E-2</v>
      </c>
      <c r="G140" s="98">
        <f>STDEV(G123:G136)</f>
        <v>8.6700824488771949E-3</v>
      </c>
      <c r="H140" s="99" t="s">
        <v>25</v>
      </c>
      <c r="I140" s="98">
        <f>STDEV(I123:I136)</f>
        <v>7.1902712048990125E-3</v>
      </c>
      <c r="J140" s="98">
        <f>STDEV(J123:J136)</f>
        <v>1.0115993936995679E-2</v>
      </c>
      <c r="K140" s="98">
        <f>STDEV(K123:K136)</f>
        <v>1.0341394704992386E-2</v>
      </c>
      <c r="L140" s="98">
        <f>STDEV(L123:L136)</f>
        <v>0.35635237684561455</v>
      </c>
      <c r="M140" s="100"/>
      <c r="N140" s="100"/>
      <c r="O140" s="64"/>
    </row>
    <row r="141" spans="1:15" s="137" customFormat="1" ht="15.4">
      <c r="A141" s="167" t="s">
        <v>137</v>
      </c>
      <c r="B141" s="168"/>
      <c r="C141" s="169"/>
      <c r="D141" s="169"/>
      <c r="E141" s="169"/>
      <c r="F141" s="169"/>
      <c r="G141" s="169"/>
      <c r="H141" s="170"/>
      <c r="I141" s="169"/>
      <c r="J141" s="169"/>
      <c r="K141" s="169"/>
      <c r="L141" s="169"/>
      <c r="M141" s="171"/>
      <c r="N141" s="171"/>
      <c r="O141" s="172"/>
    </row>
    <row r="142" spans="1:15" s="137" customFormat="1" ht="15.4">
      <c r="A142" s="167" t="s">
        <v>138</v>
      </c>
      <c r="B142" s="220" t="s">
        <v>139</v>
      </c>
      <c r="C142" s="221">
        <v>45.824599999999997</v>
      </c>
      <c r="D142" s="221">
        <v>53.336599999999997</v>
      </c>
      <c r="E142" s="73" t="s">
        <v>25</v>
      </c>
      <c r="F142" s="221">
        <v>1.8499999999999999E-2</v>
      </c>
      <c r="G142" s="221">
        <v>7.0900000000000005E-2</v>
      </c>
      <c r="H142" s="221" t="s">
        <v>25</v>
      </c>
      <c r="I142" s="73" t="s">
        <v>25</v>
      </c>
      <c r="J142" s="73" t="s">
        <v>25</v>
      </c>
      <c r="K142" s="221">
        <v>1.7999999999999999E-2</v>
      </c>
      <c r="L142" s="222">
        <f t="shared" ref="L142:L148" si="33">SUM(C142:K142)</f>
        <v>99.268599999999992</v>
      </c>
      <c r="M142" s="171"/>
      <c r="N142" s="171"/>
      <c r="O142" s="172"/>
    </row>
    <row r="143" spans="1:15" s="137" customFormat="1" ht="15.4">
      <c r="A143" s="167"/>
      <c r="B143" s="220" t="s">
        <v>140</v>
      </c>
      <c r="C143" s="221">
        <v>46.433100000000003</v>
      </c>
      <c r="D143" s="221">
        <v>53.128399999999999</v>
      </c>
      <c r="E143" s="221">
        <v>9.7000000000000003E-3</v>
      </c>
      <c r="F143" s="221">
        <v>2.7099999999999999E-2</v>
      </c>
      <c r="G143" s="221">
        <v>6.8599999999999994E-2</v>
      </c>
      <c r="H143" s="221" t="s">
        <v>25</v>
      </c>
      <c r="I143" s="73" t="s">
        <v>25</v>
      </c>
      <c r="J143" s="73" t="s">
        <v>25</v>
      </c>
      <c r="K143" s="221" t="s">
        <v>25</v>
      </c>
      <c r="L143" s="222">
        <f t="shared" si="33"/>
        <v>99.666899999999998</v>
      </c>
      <c r="M143" s="171"/>
      <c r="N143" s="171"/>
      <c r="O143" s="172"/>
    </row>
    <row r="144" spans="1:15" s="137" customFormat="1" ht="15.4">
      <c r="A144" s="167"/>
      <c r="B144" s="220" t="s">
        <v>141</v>
      </c>
      <c r="C144" s="221">
        <v>46.3352</v>
      </c>
      <c r="D144" s="221">
        <v>52.966099999999997</v>
      </c>
      <c r="E144" s="221">
        <v>1.0500000000000001E-2</v>
      </c>
      <c r="F144" s="221">
        <v>3.9199999999999999E-2</v>
      </c>
      <c r="G144" s="221">
        <v>8.3500000000000005E-2</v>
      </c>
      <c r="H144" s="221" t="s">
        <v>25</v>
      </c>
      <c r="I144" s="73" t="s">
        <v>25</v>
      </c>
      <c r="J144" s="73" t="s">
        <v>25</v>
      </c>
      <c r="K144" s="221" t="s">
        <v>25</v>
      </c>
      <c r="L144" s="222">
        <f t="shared" si="33"/>
        <v>99.434499999999986</v>
      </c>
      <c r="M144" s="171"/>
      <c r="N144" s="171"/>
      <c r="O144" s="172"/>
    </row>
    <row r="145" spans="1:15" s="137" customFormat="1" ht="15.4">
      <c r="A145" s="167"/>
      <c r="B145" s="220" t="s">
        <v>142</v>
      </c>
      <c r="C145" s="221">
        <v>46.148600000000002</v>
      </c>
      <c r="D145" s="221">
        <v>53.582599999999999</v>
      </c>
      <c r="E145" s="221" t="s">
        <v>25</v>
      </c>
      <c r="F145" s="221" t="s">
        <v>25</v>
      </c>
      <c r="G145" s="221">
        <v>8.5000000000000006E-2</v>
      </c>
      <c r="H145" s="221">
        <v>1.1599999999999999E-2</v>
      </c>
      <c r="I145" s="73" t="s">
        <v>25</v>
      </c>
      <c r="J145" s="73" t="s">
        <v>25</v>
      </c>
      <c r="K145" s="221">
        <v>1.66E-2</v>
      </c>
      <c r="L145" s="222">
        <f t="shared" si="33"/>
        <v>99.844399999999993</v>
      </c>
      <c r="M145" s="171"/>
      <c r="N145" s="171"/>
      <c r="O145" s="172"/>
    </row>
    <row r="146" spans="1:15" s="137" customFormat="1" ht="15.4">
      <c r="A146" s="167"/>
      <c r="B146" s="220" t="s">
        <v>143</v>
      </c>
      <c r="C146" s="221">
        <v>45.690899999999999</v>
      </c>
      <c r="D146" s="221">
        <v>53.595300000000002</v>
      </c>
      <c r="E146" s="221" t="s">
        <v>25</v>
      </c>
      <c r="F146" s="221">
        <v>1.7600000000000001E-2</v>
      </c>
      <c r="G146" s="221">
        <v>6.0699999999999997E-2</v>
      </c>
      <c r="H146" s="221">
        <v>7.4000000000000003E-3</v>
      </c>
      <c r="I146" s="221">
        <v>5.8799999999999998E-2</v>
      </c>
      <c r="J146" s="73" t="s">
        <v>25</v>
      </c>
      <c r="K146" s="221">
        <v>1.66E-2</v>
      </c>
      <c r="L146" s="222">
        <f t="shared" si="33"/>
        <v>99.447300000000013</v>
      </c>
      <c r="M146" s="171"/>
      <c r="N146" s="171"/>
      <c r="O146" s="172"/>
    </row>
    <row r="147" spans="1:15" s="137" customFormat="1" ht="15.4">
      <c r="A147" s="167"/>
      <c r="B147" s="220" t="s">
        <v>144</v>
      </c>
      <c r="C147" s="221">
        <v>46.2821</v>
      </c>
      <c r="D147" s="221">
        <v>53.325499999999998</v>
      </c>
      <c r="E147" s="221">
        <v>7.6E-3</v>
      </c>
      <c r="F147" s="221">
        <v>2.07E-2</v>
      </c>
      <c r="G147" s="221">
        <v>7.0999999999999994E-2</v>
      </c>
      <c r="H147" s="221">
        <v>6.0000000000000001E-3</v>
      </c>
      <c r="I147" s="73" t="s">
        <v>25</v>
      </c>
      <c r="J147" s="73" t="s">
        <v>25</v>
      </c>
      <c r="K147" s="73" t="s">
        <v>25</v>
      </c>
      <c r="L147" s="222">
        <f t="shared" si="33"/>
        <v>99.712899999999991</v>
      </c>
      <c r="M147" s="171"/>
      <c r="N147" s="171"/>
      <c r="O147" s="172"/>
    </row>
    <row r="148" spans="1:15" s="137" customFormat="1" ht="15.4">
      <c r="A148" s="167"/>
      <c r="B148" s="220" t="s">
        <v>145</v>
      </c>
      <c r="C148" s="221">
        <v>46.430799999999998</v>
      </c>
      <c r="D148" s="221">
        <v>53.302</v>
      </c>
      <c r="E148" s="221">
        <v>7.3000000000000001E-3</v>
      </c>
      <c r="F148" s="221" t="s">
        <v>25</v>
      </c>
      <c r="G148" s="221">
        <v>9.9599999999999994E-2</v>
      </c>
      <c r="H148" s="221" t="s">
        <v>25</v>
      </c>
      <c r="I148" s="73" t="s">
        <v>25</v>
      </c>
      <c r="J148" s="73" t="s">
        <v>25</v>
      </c>
      <c r="K148" s="221">
        <v>5.4999999999999997E-3</v>
      </c>
      <c r="L148" s="222">
        <f t="shared" si="33"/>
        <v>99.845199999999991</v>
      </c>
      <c r="M148" s="171"/>
      <c r="N148" s="171"/>
      <c r="O148" s="172"/>
    </row>
    <row r="149" spans="1:15" s="137" customFormat="1" ht="15.4">
      <c r="A149" s="225"/>
      <c r="B149" s="226" t="s">
        <v>31</v>
      </c>
      <c r="C149" s="95">
        <f>AVERAGE(C142:C148)</f>
        <v>46.163614285714281</v>
      </c>
      <c r="D149" s="95">
        <f t="shared" ref="D149:L149" si="34">AVERAGE(D142:D148)</f>
        <v>53.319500000000005</v>
      </c>
      <c r="E149" s="95">
        <f t="shared" si="34"/>
        <v>8.7749999999999998E-3</v>
      </c>
      <c r="F149" s="95">
        <f t="shared" si="34"/>
        <v>2.462E-2</v>
      </c>
      <c r="G149" s="95">
        <f t="shared" si="34"/>
        <v>7.7042857142857149E-2</v>
      </c>
      <c r="H149" s="95">
        <f t="shared" si="34"/>
        <v>8.3333333333333332E-3</v>
      </c>
      <c r="I149" s="95">
        <f t="shared" si="34"/>
        <v>5.8799999999999998E-2</v>
      </c>
      <c r="J149" s="94" t="s">
        <v>25</v>
      </c>
      <c r="K149" s="95">
        <f t="shared" si="34"/>
        <v>1.4174999999999998E-2</v>
      </c>
      <c r="L149" s="95">
        <f t="shared" si="34"/>
        <v>99.60282857142856</v>
      </c>
      <c r="M149" s="227"/>
      <c r="N149" s="227"/>
      <c r="O149" s="172"/>
    </row>
    <row r="150" spans="1:15" s="137" customFormat="1" ht="15.4">
      <c r="A150" s="231"/>
      <c r="B150" s="226" t="s">
        <v>32</v>
      </c>
      <c r="C150" s="95">
        <f>MIN(C142:C148)</f>
        <v>45.690899999999999</v>
      </c>
      <c r="D150" s="95">
        <f t="shared" ref="D150:L150" si="35">MIN(D142:D148)</f>
        <v>52.966099999999997</v>
      </c>
      <c r="E150" s="95">
        <f t="shared" si="35"/>
        <v>7.3000000000000001E-3</v>
      </c>
      <c r="F150" s="95">
        <f t="shared" si="35"/>
        <v>1.7600000000000001E-2</v>
      </c>
      <c r="G150" s="95">
        <f t="shared" si="35"/>
        <v>6.0699999999999997E-2</v>
      </c>
      <c r="H150" s="230">
        <f t="shared" si="35"/>
        <v>6.0000000000000001E-3</v>
      </c>
      <c r="I150" s="95">
        <f t="shared" si="35"/>
        <v>5.8799999999999998E-2</v>
      </c>
      <c r="J150" s="94" t="s">
        <v>25</v>
      </c>
      <c r="K150" s="95">
        <f t="shared" si="35"/>
        <v>5.4999999999999997E-3</v>
      </c>
      <c r="L150" s="95">
        <f t="shared" si="35"/>
        <v>99.268599999999992</v>
      </c>
      <c r="M150" s="227"/>
      <c r="N150" s="232"/>
      <c r="O150" s="172"/>
    </row>
    <row r="151" spans="1:15" s="137" customFormat="1" ht="15.4">
      <c r="A151" s="225"/>
      <c r="B151" s="226" t="s">
        <v>33</v>
      </c>
      <c r="C151" s="95">
        <f>MAX(C142:C148)</f>
        <v>46.433100000000003</v>
      </c>
      <c r="D151" s="95">
        <f t="shared" ref="D151:L151" si="36">MAX(D142:D148)</f>
        <v>53.595300000000002</v>
      </c>
      <c r="E151" s="95">
        <f t="shared" si="36"/>
        <v>1.0500000000000001E-2</v>
      </c>
      <c r="F151" s="95">
        <f t="shared" si="36"/>
        <v>3.9199999999999999E-2</v>
      </c>
      <c r="G151" s="95">
        <f t="shared" si="36"/>
        <v>9.9599999999999994E-2</v>
      </c>
      <c r="H151" s="95">
        <f t="shared" si="36"/>
        <v>1.1599999999999999E-2</v>
      </c>
      <c r="I151" s="95">
        <f t="shared" si="36"/>
        <v>5.8799999999999998E-2</v>
      </c>
      <c r="J151" s="94" t="s">
        <v>25</v>
      </c>
      <c r="K151" s="95">
        <f t="shared" si="36"/>
        <v>1.7999999999999999E-2</v>
      </c>
      <c r="L151" s="95">
        <f t="shared" si="36"/>
        <v>99.845199999999991</v>
      </c>
      <c r="M151" s="227"/>
      <c r="N151" s="227"/>
      <c r="O151" s="172"/>
    </row>
    <row r="152" spans="1:15" s="137" customFormat="1" ht="15.4">
      <c r="A152" s="225"/>
      <c r="B152" s="228" t="s">
        <v>34</v>
      </c>
      <c r="C152" s="95">
        <f>STDEV(C142:C148)</f>
        <v>0.2961154584987169</v>
      </c>
      <c r="D152" s="95">
        <f t="shared" ref="D152:L152" si="37">STDEV(D142:D148)</f>
        <v>0.22632302872958771</v>
      </c>
      <c r="E152" s="95">
        <f t="shared" si="37"/>
        <v>1.569235482647522E-3</v>
      </c>
      <c r="F152" s="95">
        <f t="shared" si="37"/>
        <v>8.9558360860390925E-3</v>
      </c>
      <c r="G152" s="95">
        <f t="shared" si="37"/>
        <v>1.307960972186057E-2</v>
      </c>
      <c r="H152" s="230">
        <f t="shared" si="37"/>
        <v>2.9143323992525815E-3</v>
      </c>
      <c r="I152" s="94" t="s">
        <v>25</v>
      </c>
      <c r="J152" s="94" t="s">
        <v>25</v>
      </c>
      <c r="K152" s="95">
        <f t="shared" si="37"/>
        <v>5.8208676329220919E-3</v>
      </c>
      <c r="L152" s="95">
        <f t="shared" si="37"/>
        <v>0.22269332959839283</v>
      </c>
      <c r="M152" s="227"/>
      <c r="N152" s="227"/>
      <c r="O152" s="172"/>
    </row>
    <row r="153" spans="1:15" s="137" customFormat="1" ht="15.4">
      <c r="A153" s="167" t="s">
        <v>146</v>
      </c>
      <c r="B153" s="220" t="s">
        <v>147</v>
      </c>
      <c r="C153" s="221">
        <v>46.4039</v>
      </c>
      <c r="D153" s="221">
        <v>53.132300000000001</v>
      </c>
      <c r="E153" s="221" t="s">
        <v>25</v>
      </c>
      <c r="F153" s="221" t="s">
        <v>25</v>
      </c>
      <c r="G153" s="221">
        <v>7.7299999999999994E-2</v>
      </c>
      <c r="H153" s="221" t="s">
        <v>25</v>
      </c>
      <c r="I153" s="221">
        <v>7.4300000000000005E-2</v>
      </c>
      <c r="J153" s="221" t="s">
        <v>25</v>
      </c>
      <c r="K153" s="221">
        <v>2.4799999999999999E-2</v>
      </c>
      <c r="L153" s="222">
        <f t="shared" ref="L153:L159" si="38">SUM(C153:K153)</f>
        <v>99.712599999999995</v>
      </c>
      <c r="M153" s="171"/>
      <c r="N153" s="171"/>
      <c r="O153" s="172"/>
    </row>
    <row r="154" spans="1:15" s="137" customFormat="1" ht="15.4">
      <c r="A154" s="167"/>
      <c r="B154" s="220" t="s">
        <v>148</v>
      </c>
      <c r="C154" s="221">
        <v>46.401899999999998</v>
      </c>
      <c r="D154" s="221">
        <v>53.485700000000001</v>
      </c>
      <c r="E154" s="221">
        <v>1.4800000000000001E-2</v>
      </c>
      <c r="F154" s="221" t="s">
        <v>25</v>
      </c>
      <c r="G154" s="221">
        <v>0.08</v>
      </c>
      <c r="H154" s="221" t="s">
        <v>25</v>
      </c>
      <c r="I154" s="221">
        <v>2.4299999999999999E-2</v>
      </c>
      <c r="J154" s="221" t="s">
        <v>25</v>
      </c>
      <c r="K154" s="221" t="s">
        <v>25</v>
      </c>
      <c r="L154" s="222">
        <f t="shared" si="38"/>
        <v>100.00669999999998</v>
      </c>
      <c r="M154" s="171"/>
      <c r="N154" s="171"/>
      <c r="O154" s="172"/>
    </row>
    <row r="155" spans="1:15" s="137" customFormat="1" ht="15.4">
      <c r="A155" s="167"/>
      <c r="B155" s="220" t="s">
        <v>149</v>
      </c>
      <c r="C155" s="221">
        <v>46.302</v>
      </c>
      <c r="D155" s="221">
        <v>52.989600000000003</v>
      </c>
      <c r="E155" s="221" t="s">
        <v>25</v>
      </c>
      <c r="F155" s="221">
        <v>2.35E-2</v>
      </c>
      <c r="G155" s="221">
        <v>7.3599999999999999E-2</v>
      </c>
      <c r="H155" s="221" t="s">
        <v>25</v>
      </c>
      <c r="I155" s="221" t="s">
        <v>25</v>
      </c>
      <c r="J155" s="221" t="s">
        <v>25</v>
      </c>
      <c r="K155" s="221" t="s">
        <v>25</v>
      </c>
      <c r="L155" s="222">
        <f t="shared" si="38"/>
        <v>99.3887</v>
      </c>
      <c r="M155" s="171"/>
      <c r="N155" s="171"/>
      <c r="O155" s="172"/>
    </row>
    <row r="156" spans="1:15" s="137" customFormat="1" ht="15.4">
      <c r="A156" s="167"/>
      <c r="B156" s="220" t="s">
        <v>150</v>
      </c>
      <c r="C156" s="221">
        <v>46.144799999999996</v>
      </c>
      <c r="D156" s="221">
        <v>53.8003</v>
      </c>
      <c r="E156" s="221">
        <v>1.5100000000000001E-2</v>
      </c>
      <c r="F156" s="221">
        <v>1.43E-2</v>
      </c>
      <c r="G156" s="221">
        <v>7.9299999999999995E-2</v>
      </c>
      <c r="H156" s="221" t="s">
        <v>25</v>
      </c>
      <c r="I156" s="221">
        <v>1.0200000000000001E-2</v>
      </c>
      <c r="J156" s="221" t="s">
        <v>25</v>
      </c>
      <c r="K156" s="221">
        <v>6.8999999999999999E-3</v>
      </c>
      <c r="L156" s="222">
        <f t="shared" si="38"/>
        <v>100.07090000000001</v>
      </c>
      <c r="M156" s="171"/>
      <c r="N156" s="171"/>
      <c r="O156" s="172"/>
    </row>
    <row r="157" spans="1:15" s="137" customFormat="1" ht="15.4">
      <c r="A157" s="167"/>
      <c r="B157" s="220" t="s">
        <v>151</v>
      </c>
      <c r="C157" s="221">
        <v>46.521599999999999</v>
      </c>
      <c r="D157" s="221">
        <v>53.186300000000003</v>
      </c>
      <c r="E157" s="221">
        <v>5.4000000000000003E-3</v>
      </c>
      <c r="F157" s="221" t="s">
        <v>25</v>
      </c>
      <c r="G157" s="221">
        <v>7.1499999999999994E-2</v>
      </c>
      <c r="H157" s="221" t="s">
        <v>25</v>
      </c>
      <c r="I157" s="221" t="s">
        <v>25</v>
      </c>
      <c r="J157" s="221" t="s">
        <v>25</v>
      </c>
      <c r="K157" s="221">
        <v>4.0099999999999997E-2</v>
      </c>
      <c r="L157" s="222">
        <f t="shared" si="38"/>
        <v>99.824899999999985</v>
      </c>
      <c r="M157" s="171"/>
      <c r="N157" s="171"/>
      <c r="O157" s="172"/>
    </row>
    <row r="158" spans="1:15" s="137" customFormat="1" ht="15.4">
      <c r="A158" s="167"/>
      <c r="B158" s="220" t="s">
        <v>152</v>
      </c>
      <c r="C158" s="221">
        <v>46.260100000000001</v>
      </c>
      <c r="D158" s="221">
        <v>53.577100000000002</v>
      </c>
      <c r="E158" s="221">
        <v>1.03E-2</v>
      </c>
      <c r="F158" s="221">
        <v>1.9900000000000001E-2</v>
      </c>
      <c r="G158" s="221">
        <v>6.8199999999999997E-2</v>
      </c>
      <c r="H158" s="221">
        <v>8.8000000000000005E-3</v>
      </c>
      <c r="I158" s="221">
        <v>5.1000000000000004E-3</v>
      </c>
      <c r="J158" s="221" t="s">
        <v>25</v>
      </c>
      <c r="K158" s="221" t="s">
        <v>25</v>
      </c>
      <c r="L158" s="222">
        <f t="shared" si="38"/>
        <v>99.9495</v>
      </c>
      <c r="M158" s="171"/>
      <c r="N158" s="171"/>
      <c r="O158" s="172"/>
    </row>
    <row r="159" spans="1:15" s="137" customFormat="1" ht="15.4">
      <c r="A159" s="167"/>
      <c r="B159" s="220" t="s">
        <v>153</v>
      </c>
      <c r="C159" s="221">
        <v>46.256500000000003</v>
      </c>
      <c r="D159" s="221">
        <v>53.221800000000002</v>
      </c>
      <c r="E159" s="221" t="s">
        <v>25</v>
      </c>
      <c r="F159" s="221">
        <v>7.1999999999999998E-3</v>
      </c>
      <c r="G159" s="221">
        <v>6.9500000000000006E-2</v>
      </c>
      <c r="H159" s="221" t="s">
        <v>25</v>
      </c>
      <c r="I159" s="221">
        <v>5.96E-2</v>
      </c>
      <c r="J159" s="221" t="s">
        <v>25</v>
      </c>
      <c r="K159" s="221" t="s">
        <v>25</v>
      </c>
      <c r="L159" s="222">
        <f t="shared" si="38"/>
        <v>99.61460000000001</v>
      </c>
      <c r="M159" s="171"/>
      <c r="N159" s="171"/>
      <c r="O159" s="172"/>
    </row>
    <row r="160" spans="1:15" s="137" customFormat="1" ht="15.4">
      <c r="A160" s="225"/>
      <c r="B160" s="226" t="s">
        <v>31</v>
      </c>
      <c r="C160" s="95">
        <f>AVERAGE(C153:C159)</f>
        <v>46.32725714285715</v>
      </c>
      <c r="D160" s="95">
        <f t="shared" ref="D160:L160" si="39">AVERAGE(D153:D159)</f>
        <v>53.34187142857143</v>
      </c>
      <c r="E160" s="95">
        <f t="shared" si="39"/>
        <v>1.14E-2</v>
      </c>
      <c r="F160" s="95">
        <f t="shared" si="39"/>
        <v>1.6225E-2</v>
      </c>
      <c r="G160" s="95">
        <f t="shared" si="39"/>
        <v>7.4200000000000002E-2</v>
      </c>
      <c r="H160" s="94" t="s">
        <v>25</v>
      </c>
      <c r="I160" s="95">
        <f t="shared" si="39"/>
        <v>3.4699999999999995E-2</v>
      </c>
      <c r="J160" s="94" t="s">
        <v>25</v>
      </c>
      <c r="K160" s="95">
        <f t="shared" si="39"/>
        <v>2.3933333333333334E-2</v>
      </c>
      <c r="L160" s="95">
        <f t="shared" si="39"/>
        <v>99.795414285714273</v>
      </c>
      <c r="M160" s="227"/>
      <c r="N160" s="227"/>
      <c r="O160" s="172"/>
    </row>
    <row r="161" spans="1:15" s="137" customFormat="1" ht="15.4">
      <c r="A161" s="231"/>
      <c r="B161" s="226" t="s">
        <v>32</v>
      </c>
      <c r="C161" s="95">
        <f>MIN(C153:C159)</f>
        <v>46.144799999999996</v>
      </c>
      <c r="D161" s="95">
        <f t="shared" ref="D161:L161" si="40">MIN(D153:D159)</f>
        <v>52.989600000000003</v>
      </c>
      <c r="E161" s="95">
        <f t="shared" si="40"/>
        <v>5.4000000000000003E-3</v>
      </c>
      <c r="F161" s="95">
        <f t="shared" si="40"/>
        <v>7.1999999999999998E-3</v>
      </c>
      <c r="G161" s="95">
        <f t="shared" si="40"/>
        <v>6.8199999999999997E-2</v>
      </c>
      <c r="H161" s="94" t="s">
        <v>25</v>
      </c>
      <c r="I161" s="95">
        <f t="shared" si="40"/>
        <v>5.1000000000000004E-3</v>
      </c>
      <c r="J161" s="94" t="s">
        <v>25</v>
      </c>
      <c r="K161" s="95">
        <f t="shared" si="40"/>
        <v>6.8999999999999999E-3</v>
      </c>
      <c r="L161" s="95">
        <f t="shared" si="40"/>
        <v>99.3887</v>
      </c>
      <c r="M161" s="227"/>
      <c r="N161" s="232"/>
      <c r="O161" s="172"/>
    </row>
    <row r="162" spans="1:15" s="137" customFormat="1" ht="15.4">
      <c r="A162" s="225"/>
      <c r="B162" s="226" t="s">
        <v>33</v>
      </c>
      <c r="C162" s="95">
        <f>MAX(C153:C159)</f>
        <v>46.521599999999999</v>
      </c>
      <c r="D162" s="95">
        <f t="shared" ref="D162:L162" si="41">MAX(D153:D159)</f>
        <v>53.8003</v>
      </c>
      <c r="E162" s="95">
        <f t="shared" si="41"/>
        <v>1.5100000000000001E-2</v>
      </c>
      <c r="F162" s="95">
        <f t="shared" si="41"/>
        <v>2.35E-2</v>
      </c>
      <c r="G162" s="95">
        <f t="shared" si="41"/>
        <v>0.08</v>
      </c>
      <c r="H162" s="94" t="s">
        <v>25</v>
      </c>
      <c r="I162" s="95">
        <f t="shared" si="41"/>
        <v>7.4300000000000005E-2</v>
      </c>
      <c r="J162" s="94" t="s">
        <v>25</v>
      </c>
      <c r="K162" s="95">
        <f t="shared" si="41"/>
        <v>4.0099999999999997E-2</v>
      </c>
      <c r="L162" s="229">
        <f t="shared" si="41"/>
        <v>100.07090000000001</v>
      </c>
      <c r="M162" s="227"/>
      <c r="N162" s="227"/>
      <c r="O162" s="172"/>
    </row>
    <row r="163" spans="1:15" s="137" customFormat="1" ht="15.4">
      <c r="A163" s="225"/>
      <c r="B163" s="228" t="s">
        <v>34</v>
      </c>
      <c r="C163" s="95">
        <f>STDEV(C153:C159)</f>
        <v>0.12427122028239773</v>
      </c>
      <c r="D163" s="95">
        <f t="shared" ref="D163:L163" si="42">STDEV(D153:D159)</f>
        <v>0.28659229295455935</v>
      </c>
      <c r="E163" s="95">
        <f t="shared" si="42"/>
        <v>4.5628938186199359E-3</v>
      </c>
      <c r="F163" s="95">
        <f t="shared" si="42"/>
        <v>7.1083870650567958E-3</v>
      </c>
      <c r="G163" s="95">
        <f t="shared" si="42"/>
        <v>4.743416490252568E-3</v>
      </c>
      <c r="H163" s="94" t="s">
        <v>25</v>
      </c>
      <c r="I163" s="95">
        <f t="shared" si="42"/>
        <v>3.071131713228855E-2</v>
      </c>
      <c r="J163" s="94" t="s">
        <v>25</v>
      </c>
      <c r="K163" s="95">
        <f t="shared" si="42"/>
        <v>1.6616959208391083E-2</v>
      </c>
      <c r="L163" s="95">
        <f t="shared" si="42"/>
        <v>0.24156240345282137</v>
      </c>
      <c r="M163" s="227"/>
      <c r="N163" s="227"/>
      <c r="O163" s="172"/>
    </row>
    <row r="164" spans="1:15" s="137" customFormat="1" ht="15.4">
      <c r="A164" s="167" t="s">
        <v>154</v>
      </c>
      <c r="B164" s="220" t="s">
        <v>155</v>
      </c>
      <c r="C164" s="221">
        <v>30.704999999999998</v>
      </c>
      <c r="D164" s="221">
        <v>34.405299999999997</v>
      </c>
      <c r="E164" s="221">
        <v>34.400500000000001</v>
      </c>
      <c r="F164" s="221" t="s">
        <v>25</v>
      </c>
      <c r="G164" s="221">
        <v>4.2700000000000002E-2</v>
      </c>
      <c r="H164" s="221" t="s">
        <v>25</v>
      </c>
      <c r="I164" s="221">
        <v>3.6299999999999999E-2</v>
      </c>
      <c r="J164" s="221" t="s">
        <v>25</v>
      </c>
      <c r="K164" s="221" t="s">
        <v>25</v>
      </c>
      <c r="L164" s="222">
        <f t="shared" ref="L164:L171" si="43">SUM(C164:K164)</f>
        <v>99.589799999999983</v>
      </c>
      <c r="M164" s="171"/>
      <c r="N164" s="171"/>
      <c r="O164" s="172"/>
    </row>
    <row r="165" spans="1:15" s="137" customFormat="1" ht="15.4">
      <c r="A165" s="167"/>
      <c r="B165" s="220" t="s">
        <v>156</v>
      </c>
      <c r="C165" s="221">
        <v>30.616399999999999</v>
      </c>
      <c r="D165" s="221">
        <v>34.160600000000002</v>
      </c>
      <c r="E165" s="221">
        <v>34.317500000000003</v>
      </c>
      <c r="F165" s="221">
        <v>3.4599999999999999E-2</v>
      </c>
      <c r="G165" s="221">
        <v>3.1099999999999999E-2</v>
      </c>
      <c r="H165" s="221" t="s">
        <v>25</v>
      </c>
      <c r="I165" s="221" t="s">
        <v>25</v>
      </c>
      <c r="J165" s="221" t="s">
        <v>25</v>
      </c>
      <c r="K165" s="221" t="s">
        <v>25</v>
      </c>
      <c r="L165" s="222">
        <f t="shared" si="43"/>
        <v>99.160200000000003</v>
      </c>
      <c r="M165" s="171"/>
      <c r="N165" s="171"/>
      <c r="O165" s="172"/>
    </row>
    <row r="166" spans="1:15" s="137" customFormat="1" ht="15.4">
      <c r="A166" s="167"/>
      <c r="B166" s="220" t="s">
        <v>157</v>
      </c>
      <c r="C166" s="221">
        <v>30.370100000000001</v>
      </c>
      <c r="D166" s="221">
        <v>34.315100000000001</v>
      </c>
      <c r="E166" s="221">
        <v>34.318100000000001</v>
      </c>
      <c r="F166" s="221">
        <v>2.46E-2</v>
      </c>
      <c r="G166" s="221">
        <v>3.95E-2</v>
      </c>
      <c r="H166" s="73" t="s">
        <v>25</v>
      </c>
      <c r="I166" s="221" t="s">
        <v>25</v>
      </c>
      <c r="J166" s="221" t="s">
        <v>25</v>
      </c>
      <c r="K166" s="221" t="s">
        <v>25</v>
      </c>
      <c r="L166" s="222">
        <f t="shared" si="43"/>
        <v>99.067400000000021</v>
      </c>
      <c r="M166" s="171"/>
      <c r="N166" s="171"/>
      <c r="O166" s="172"/>
    </row>
    <row r="167" spans="1:15" s="137" customFormat="1" ht="15.4">
      <c r="A167" s="167"/>
      <c r="B167" s="220" t="s">
        <v>158</v>
      </c>
      <c r="C167" s="221">
        <v>30.689399999999999</v>
      </c>
      <c r="D167" s="221">
        <v>34.407400000000003</v>
      </c>
      <c r="E167" s="221">
        <v>34.350099999999998</v>
      </c>
      <c r="F167" s="221" t="s">
        <v>25</v>
      </c>
      <c r="G167" s="221">
        <v>4.3999999999999997E-2</v>
      </c>
      <c r="H167" s="73" t="s">
        <v>25</v>
      </c>
      <c r="I167" s="221" t="s">
        <v>25</v>
      </c>
      <c r="J167" s="221" t="s">
        <v>25</v>
      </c>
      <c r="K167" s="221" t="s">
        <v>25</v>
      </c>
      <c r="L167" s="222">
        <f t="shared" si="43"/>
        <v>99.490899999999996</v>
      </c>
      <c r="M167" s="171"/>
      <c r="N167" s="171"/>
      <c r="O167" s="172"/>
    </row>
    <row r="168" spans="1:15" s="137" customFormat="1" ht="15.4">
      <c r="A168" s="167"/>
      <c r="B168" s="220" t="s">
        <v>159</v>
      </c>
      <c r="C168" s="221">
        <v>30.743200000000002</v>
      </c>
      <c r="D168" s="221">
        <v>34.084000000000003</v>
      </c>
      <c r="E168" s="221">
        <v>34.300400000000003</v>
      </c>
      <c r="F168" s="221">
        <v>2.1899999999999999E-2</v>
      </c>
      <c r="G168" s="221">
        <v>5.0200000000000002E-2</v>
      </c>
      <c r="H168" s="221" t="s">
        <v>25</v>
      </c>
      <c r="I168" s="221">
        <v>1.9199999999999998E-2</v>
      </c>
      <c r="J168" s="221" t="s">
        <v>25</v>
      </c>
      <c r="K168" s="221" t="s">
        <v>25</v>
      </c>
      <c r="L168" s="222">
        <f t="shared" si="43"/>
        <v>99.218900000000005</v>
      </c>
      <c r="M168" s="171"/>
      <c r="N168" s="171"/>
      <c r="O168" s="172"/>
    </row>
    <row r="169" spans="1:15" s="137" customFormat="1" ht="15.4">
      <c r="A169" s="167"/>
      <c r="B169" s="220" t="s">
        <v>160</v>
      </c>
      <c r="C169" s="221">
        <v>30.191700000000001</v>
      </c>
      <c r="D169" s="221">
        <v>34.244199999999999</v>
      </c>
      <c r="E169" s="221">
        <v>34.7483</v>
      </c>
      <c r="F169" s="221">
        <v>8.0000000000000002E-3</v>
      </c>
      <c r="G169" s="221">
        <v>0.05</v>
      </c>
      <c r="H169" s="73" t="s">
        <v>25</v>
      </c>
      <c r="I169" s="221" t="s">
        <v>25</v>
      </c>
      <c r="J169" s="221" t="s">
        <v>25</v>
      </c>
      <c r="K169" s="221" t="s">
        <v>25</v>
      </c>
      <c r="L169" s="222">
        <f t="shared" si="43"/>
        <v>99.242199999999997</v>
      </c>
      <c r="M169" s="171"/>
      <c r="N169" s="171"/>
      <c r="O169" s="172"/>
    </row>
    <row r="170" spans="1:15" s="137" customFormat="1" ht="15.4">
      <c r="A170" s="167"/>
      <c r="B170" s="220" t="s">
        <v>161</v>
      </c>
      <c r="C170" s="221">
        <v>30.4681</v>
      </c>
      <c r="D170" s="221">
        <v>34.194400000000002</v>
      </c>
      <c r="E170" s="221">
        <v>34.539000000000001</v>
      </c>
      <c r="F170" s="221">
        <v>4.7199999999999999E-2</v>
      </c>
      <c r="G170" s="221">
        <v>5.2400000000000002E-2</v>
      </c>
      <c r="H170" s="73" t="s">
        <v>25</v>
      </c>
      <c r="I170" s="221">
        <v>1.44E-2</v>
      </c>
      <c r="J170" s="221" t="s">
        <v>25</v>
      </c>
      <c r="K170" s="221">
        <v>3.3599999999999998E-2</v>
      </c>
      <c r="L170" s="222">
        <f t="shared" si="43"/>
        <v>99.349100000000007</v>
      </c>
      <c r="M170" s="171"/>
      <c r="N170" s="171"/>
      <c r="O170" s="172"/>
    </row>
    <row r="171" spans="1:15" s="235" customFormat="1" ht="15.4">
      <c r="A171" s="167"/>
      <c r="B171" s="220" t="s">
        <v>162</v>
      </c>
      <c r="C171" s="169">
        <v>30.389299999999999</v>
      </c>
      <c r="D171" s="169">
        <v>34.220500000000001</v>
      </c>
      <c r="E171" s="169">
        <v>34.327800000000003</v>
      </c>
      <c r="F171" s="169">
        <v>4.7699999999999999E-2</v>
      </c>
      <c r="G171" s="169">
        <v>3.0800000000000001E-2</v>
      </c>
      <c r="H171" s="169">
        <v>1.7500000000000002E-2</v>
      </c>
      <c r="I171" s="169" t="s">
        <v>25</v>
      </c>
      <c r="J171" s="169" t="s">
        <v>25</v>
      </c>
      <c r="K171" s="169" t="s">
        <v>25</v>
      </c>
      <c r="L171" s="233">
        <f t="shared" si="43"/>
        <v>99.033600000000007</v>
      </c>
      <c r="M171" s="171"/>
      <c r="N171" s="171"/>
      <c r="O171" s="234"/>
    </row>
    <row r="172" spans="1:15" s="235" customFormat="1" ht="15.4">
      <c r="A172" s="225"/>
      <c r="B172" s="236" t="s">
        <v>31</v>
      </c>
      <c r="C172" s="237">
        <f>AVERAGE(C164:C171)</f>
        <v>30.521649999999998</v>
      </c>
      <c r="D172" s="237">
        <f t="shared" ref="D172:L172" si="44">AVERAGE(D164:D171)</f>
        <v>34.253937499999999</v>
      </c>
      <c r="E172" s="237">
        <f t="shared" si="44"/>
        <v>34.412712500000005</v>
      </c>
      <c r="F172" s="237">
        <f t="shared" si="44"/>
        <v>3.0666666666666665E-2</v>
      </c>
      <c r="G172" s="237">
        <f t="shared" si="44"/>
        <v>4.25875E-2</v>
      </c>
      <c r="H172" s="94" t="s">
        <v>25</v>
      </c>
      <c r="I172" s="237">
        <f t="shared" si="44"/>
        <v>2.3299999999999998E-2</v>
      </c>
      <c r="J172" s="94" t="s">
        <v>25</v>
      </c>
      <c r="K172" s="237">
        <f t="shared" si="44"/>
        <v>3.3599999999999998E-2</v>
      </c>
      <c r="L172" s="237">
        <f t="shared" si="44"/>
        <v>99.269012500000002</v>
      </c>
      <c r="M172" s="227"/>
      <c r="N172" s="227"/>
      <c r="O172" s="234"/>
    </row>
    <row r="173" spans="1:15" s="137" customFormat="1" ht="15.4">
      <c r="A173" s="231"/>
      <c r="B173" s="226" t="s">
        <v>32</v>
      </c>
      <c r="C173" s="95">
        <f>MIN(C164:C171)</f>
        <v>30.191700000000001</v>
      </c>
      <c r="D173" s="95">
        <f t="shared" ref="D173:L173" si="45">MIN(D164:D171)</f>
        <v>34.084000000000003</v>
      </c>
      <c r="E173" s="95">
        <f t="shared" si="45"/>
        <v>34.300400000000003</v>
      </c>
      <c r="F173" s="95">
        <f t="shared" si="45"/>
        <v>8.0000000000000002E-3</v>
      </c>
      <c r="G173" s="95">
        <f t="shared" si="45"/>
        <v>3.0800000000000001E-2</v>
      </c>
      <c r="H173" s="94" t="s">
        <v>25</v>
      </c>
      <c r="I173" s="95">
        <f t="shared" si="45"/>
        <v>1.44E-2</v>
      </c>
      <c r="J173" s="94" t="s">
        <v>25</v>
      </c>
      <c r="K173" s="95">
        <f t="shared" si="45"/>
        <v>3.3599999999999998E-2</v>
      </c>
      <c r="L173" s="95">
        <f t="shared" si="45"/>
        <v>99.033600000000007</v>
      </c>
      <c r="M173" s="227"/>
      <c r="N173" s="232"/>
      <c r="O173" s="172"/>
    </row>
    <row r="174" spans="1:15" s="137" customFormat="1" ht="15.4">
      <c r="A174" s="225"/>
      <c r="B174" s="226" t="s">
        <v>33</v>
      </c>
      <c r="C174" s="95">
        <f>MAX(C164:C171)</f>
        <v>30.743200000000002</v>
      </c>
      <c r="D174" s="95">
        <f t="shared" ref="D174:L174" si="46">MAX(D164:D171)</f>
        <v>34.407400000000003</v>
      </c>
      <c r="E174" s="95">
        <f t="shared" si="46"/>
        <v>34.7483</v>
      </c>
      <c r="F174" s="95">
        <f t="shared" si="46"/>
        <v>4.7699999999999999E-2</v>
      </c>
      <c r="G174" s="95">
        <f t="shared" si="46"/>
        <v>5.2400000000000002E-2</v>
      </c>
      <c r="H174" s="94" t="s">
        <v>25</v>
      </c>
      <c r="I174" s="95">
        <f t="shared" si="46"/>
        <v>3.6299999999999999E-2</v>
      </c>
      <c r="J174" s="94" t="s">
        <v>25</v>
      </c>
      <c r="K174" s="95">
        <f t="shared" si="46"/>
        <v>3.3599999999999998E-2</v>
      </c>
      <c r="L174" s="95">
        <f t="shared" si="46"/>
        <v>99.589799999999983</v>
      </c>
      <c r="M174" s="227"/>
      <c r="N174" s="227"/>
      <c r="O174" s="172"/>
    </row>
    <row r="175" spans="1:15" s="137" customFormat="1" ht="15.6" thickBot="1">
      <c r="A175" s="238"/>
      <c r="B175" s="239" t="s">
        <v>34</v>
      </c>
      <c r="C175" s="240">
        <f>STDEV(C164:C171)</f>
        <v>0.19713584149007474</v>
      </c>
      <c r="D175" s="240">
        <f t="shared" ref="D175:L175" si="47">STDEV(D164:D171)</f>
        <v>0.1149847435532199</v>
      </c>
      <c r="E175" s="240">
        <f t="shared" si="47"/>
        <v>0.15605774972746417</v>
      </c>
      <c r="F175" s="240">
        <f t="shared" si="47"/>
        <v>1.5533147352248566E-2</v>
      </c>
      <c r="G175" s="240">
        <f t="shared" si="47"/>
        <v>8.3804939336192402E-3</v>
      </c>
      <c r="H175" s="240" t="s">
        <v>75</v>
      </c>
      <c r="I175" s="240">
        <f t="shared" si="47"/>
        <v>1.1511298797268711E-2</v>
      </c>
      <c r="J175" s="240" t="s">
        <v>75</v>
      </c>
      <c r="K175" s="240" t="s">
        <v>75</v>
      </c>
      <c r="L175" s="240">
        <f t="shared" si="47"/>
        <v>0.19628320237786731</v>
      </c>
      <c r="M175" s="241"/>
      <c r="N175" s="241"/>
      <c r="O175" s="172"/>
    </row>
    <row r="176" spans="1:15" ht="16.149999999999999" thickTop="1">
      <c r="A176" s="90" t="s">
        <v>163</v>
      </c>
    </row>
    <row r="177" spans="1:14" ht="15.4">
      <c r="A177" s="109" t="s">
        <v>164</v>
      </c>
      <c r="B177" s="110"/>
      <c r="C177" s="113" t="s">
        <v>10</v>
      </c>
      <c r="D177" s="113" t="s">
        <v>11</v>
      </c>
      <c r="E177" s="113" t="s">
        <v>12</v>
      </c>
      <c r="F177" s="113" t="s">
        <v>13</v>
      </c>
      <c r="G177" s="113" t="s">
        <v>14</v>
      </c>
      <c r="H177" s="114" t="s">
        <v>15</v>
      </c>
      <c r="I177" s="113" t="s">
        <v>16</v>
      </c>
      <c r="J177" s="113" t="s">
        <v>17</v>
      </c>
      <c r="K177" s="113" t="s">
        <v>18</v>
      </c>
      <c r="L177" s="113" t="s">
        <v>19</v>
      </c>
      <c r="M177" s="111"/>
      <c r="N177" s="111"/>
    </row>
    <row r="178" spans="1:14" ht="15.4">
      <c r="A178" s="64" t="s">
        <v>165</v>
      </c>
      <c r="C178" s="75" t="s">
        <v>108</v>
      </c>
      <c r="D178" s="75" t="s">
        <v>108</v>
      </c>
      <c r="E178" s="75" t="s">
        <v>108</v>
      </c>
      <c r="F178" s="75" t="s">
        <v>108</v>
      </c>
      <c r="G178" s="75" t="s">
        <v>108</v>
      </c>
      <c r="H178" s="75" t="s">
        <v>108</v>
      </c>
      <c r="I178" s="75" t="s">
        <v>108</v>
      </c>
      <c r="J178" s="75" t="s">
        <v>108</v>
      </c>
      <c r="K178" s="73">
        <v>99.029399999999995</v>
      </c>
      <c r="L178" s="73">
        <v>99.029499999999999</v>
      </c>
    </row>
    <row r="179" spans="1:14" ht="15.4">
      <c r="A179" s="64" t="s">
        <v>166</v>
      </c>
      <c r="C179" s="73">
        <v>46.430399999999999</v>
      </c>
      <c r="D179" s="73">
        <v>53.334299999999999</v>
      </c>
      <c r="E179" s="75" t="s">
        <v>108</v>
      </c>
      <c r="F179" s="75" t="s">
        <v>108</v>
      </c>
      <c r="G179" s="75" t="s">
        <v>108</v>
      </c>
      <c r="H179" s="75" t="s">
        <v>108</v>
      </c>
      <c r="I179" s="75" t="s">
        <v>108</v>
      </c>
      <c r="J179" s="75" t="s">
        <v>108</v>
      </c>
      <c r="K179" s="75" t="s">
        <v>108</v>
      </c>
      <c r="L179" s="73">
        <v>99.764700000000005</v>
      </c>
    </row>
    <row r="180" spans="1:14" ht="15.4">
      <c r="A180" s="64" t="s">
        <v>167</v>
      </c>
      <c r="C180" s="75" t="s">
        <v>108</v>
      </c>
      <c r="D180" s="73">
        <v>32.999600000000001</v>
      </c>
      <c r="E180" s="75" t="s">
        <v>108</v>
      </c>
      <c r="F180" s="73">
        <v>67.266800000000003</v>
      </c>
      <c r="G180" s="75" t="s">
        <v>108</v>
      </c>
      <c r="H180" s="75" t="s">
        <v>108</v>
      </c>
      <c r="I180" s="75" t="s">
        <v>108</v>
      </c>
      <c r="J180" s="75" t="s">
        <v>108</v>
      </c>
      <c r="K180" s="75" t="s">
        <v>108</v>
      </c>
      <c r="L180" s="73">
        <v>100.2664</v>
      </c>
    </row>
    <row r="181" spans="1:14" ht="15.4">
      <c r="A181" s="64" t="s">
        <v>168</v>
      </c>
      <c r="C181" s="73">
        <v>30.4832</v>
      </c>
      <c r="D181" s="73">
        <v>35.303699999999999</v>
      </c>
      <c r="E181" s="73">
        <v>34.124400000000001</v>
      </c>
      <c r="F181" s="75" t="s">
        <v>108</v>
      </c>
      <c r="G181" s="75" t="s">
        <v>108</v>
      </c>
      <c r="H181" s="75" t="s">
        <v>108</v>
      </c>
      <c r="I181" s="75" t="s">
        <v>108</v>
      </c>
      <c r="J181" s="75" t="s">
        <v>108</v>
      </c>
      <c r="K181" s="75" t="s">
        <v>108</v>
      </c>
      <c r="L181" s="73">
        <v>99.911300000000011</v>
      </c>
    </row>
    <row r="182" spans="1:14" ht="15.4">
      <c r="A182" s="64" t="s">
        <v>169</v>
      </c>
      <c r="C182" s="73">
        <v>34.260300000000001</v>
      </c>
      <c r="D182" s="73">
        <v>19.334299999999999</v>
      </c>
      <c r="E182" s="75" t="s">
        <v>108</v>
      </c>
      <c r="F182" s="75" t="s">
        <v>108</v>
      </c>
      <c r="G182" s="75" t="s">
        <v>108</v>
      </c>
      <c r="H182" s="75" t="s">
        <v>108</v>
      </c>
      <c r="I182" s="73">
        <v>46.149799999999999</v>
      </c>
      <c r="J182" s="75" t="s">
        <v>108</v>
      </c>
      <c r="K182" s="75" t="s">
        <v>108</v>
      </c>
      <c r="L182" s="73">
        <v>99.744399999999999</v>
      </c>
    </row>
    <row r="183" spans="1:14" ht="15.4">
      <c r="A183" s="64" t="s">
        <v>170</v>
      </c>
      <c r="C183" s="73">
        <v>30.689599999999999</v>
      </c>
      <c r="D183" s="73">
        <v>32.798699999999997</v>
      </c>
      <c r="E183" s="75" t="s">
        <v>108</v>
      </c>
      <c r="F183" s="75" t="s">
        <v>108</v>
      </c>
      <c r="G183" s="75" t="s">
        <v>108</v>
      </c>
      <c r="H183" s="73">
        <v>35.893700000000003</v>
      </c>
      <c r="I183" s="75" t="s">
        <v>108</v>
      </c>
      <c r="J183" s="75" t="s">
        <v>108</v>
      </c>
      <c r="K183" s="75" t="s">
        <v>108</v>
      </c>
      <c r="L183" s="73">
        <v>99.382000000000005</v>
      </c>
    </row>
    <row r="184" spans="1:14" ht="15.4">
      <c r="A184" s="64" t="s">
        <v>171</v>
      </c>
      <c r="C184" s="75" t="s">
        <v>108</v>
      </c>
      <c r="D184" s="75" t="s">
        <v>108</v>
      </c>
      <c r="E184" s="75" t="s">
        <v>108</v>
      </c>
      <c r="F184" s="75" t="s">
        <v>108</v>
      </c>
      <c r="G184" s="73">
        <v>99.8643</v>
      </c>
      <c r="H184" s="75" t="s">
        <v>108</v>
      </c>
      <c r="I184" s="75" t="s">
        <v>108</v>
      </c>
      <c r="J184" s="75" t="s">
        <v>108</v>
      </c>
      <c r="K184" s="75" t="s">
        <v>108</v>
      </c>
      <c r="L184" s="73">
        <v>99.8643</v>
      </c>
    </row>
    <row r="185" spans="1:14" ht="15.4">
      <c r="A185" s="64" t="s">
        <v>172</v>
      </c>
      <c r="C185" s="75" t="s">
        <v>108</v>
      </c>
      <c r="D185" s="76">
        <v>13.3963</v>
      </c>
      <c r="E185" s="75" t="s">
        <v>108</v>
      </c>
      <c r="F185" s="75" t="s">
        <v>108</v>
      </c>
      <c r="G185" s="75" t="s">
        <v>108</v>
      </c>
      <c r="H185" s="75" t="s">
        <v>108</v>
      </c>
      <c r="I185" s="75" t="s">
        <v>108</v>
      </c>
      <c r="J185" s="73">
        <v>86.378699999999995</v>
      </c>
      <c r="K185" s="75" t="s">
        <v>108</v>
      </c>
      <c r="L185" s="73">
        <v>99.774999999999991</v>
      </c>
    </row>
    <row r="186" spans="1:14" ht="14.65">
      <c r="A186" s="112" t="s">
        <v>173</v>
      </c>
    </row>
  </sheetData>
  <mergeCells count="1">
    <mergeCell ref="A1:N1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66"/>
  <sheetViews>
    <sheetView zoomScaleNormal="100" workbookViewId="0">
      <pane ySplit="2" topLeftCell="A3" activePane="bottomLeft" state="frozen"/>
      <selection pane="bottomLeft"/>
    </sheetView>
  </sheetViews>
  <sheetFormatPr defaultColWidth="9" defaultRowHeight="15.4"/>
  <cols>
    <col min="1" max="1" width="28.33203125" style="4" customWidth="1"/>
    <col min="2" max="2" width="20.33203125" style="5" customWidth="1"/>
    <col min="3" max="3" width="24.33203125" style="5" customWidth="1"/>
    <col min="4" max="4" width="16.5" style="5" customWidth="1"/>
    <col min="5" max="5" width="17" style="5" customWidth="1"/>
    <col min="6" max="6" width="16.5" style="5" customWidth="1"/>
    <col min="7" max="8" width="15.33203125" style="5" customWidth="1"/>
    <col min="9" max="9" width="11.5" style="5" customWidth="1"/>
    <col min="10" max="10" width="14.5" style="5" customWidth="1"/>
    <col min="11" max="11" width="11.5" style="5" customWidth="1"/>
    <col min="12" max="12" width="12" style="5" customWidth="1"/>
    <col min="13" max="13" width="10.6640625" style="5" customWidth="1"/>
    <col min="14" max="15" width="10" style="5" customWidth="1"/>
    <col min="16" max="16" width="12" style="5" customWidth="1"/>
    <col min="17" max="17" width="13" style="5" customWidth="1"/>
    <col min="18" max="18" width="13.6640625" style="5" customWidth="1"/>
    <col min="19" max="19" width="10.6640625" style="5" customWidth="1"/>
    <col min="20" max="20" width="13.6640625" style="5" customWidth="1"/>
    <col min="21" max="21" width="12" style="5" customWidth="1"/>
    <col min="22" max="22" width="10" style="5" customWidth="1"/>
    <col min="23" max="23" width="12" style="5" customWidth="1"/>
    <col min="24" max="25" width="11.5" style="5" customWidth="1"/>
    <col min="26" max="27" width="10" style="5" customWidth="1"/>
    <col min="28" max="30" width="17.33203125" style="5" customWidth="1"/>
    <col min="31" max="31" width="12.6640625" style="5" customWidth="1"/>
    <col min="32" max="32" width="19.83203125" style="5" customWidth="1"/>
    <col min="33" max="33" width="14.6640625" style="5" customWidth="1"/>
    <col min="34" max="16384" width="9" style="5"/>
  </cols>
  <sheetData>
    <row r="1" spans="1:33" ht="23.45" customHeight="1" thickBot="1">
      <c r="A1" s="288" t="s">
        <v>174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F1" s="9"/>
      <c r="AG1" s="9"/>
    </row>
    <row r="2" spans="1:33" s="4" customFormat="1" ht="17.649999999999999" customHeight="1" thickTop="1" thickBot="1">
      <c r="A2" s="8" t="s">
        <v>8</v>
      </c>
      <c r="B2" s="269" t="s">
        <v>175</v>
      </c>
      <c r="C2" s="8" t="s">
        <v>176</v>
      </c>
      <c r="D2" s="8" t="s">
        <v>177</v>
      </c>
      <c r="E2" s="8" t="s">
        <v>178</v>
      </c>
      <c r="F2" s="8" t="s">
        <v>179</v>
      </c>
      <c r="G2" s="8" t="s">
        <v>180</v>
      </c>
      <c r="H2" s="8" t="s">
        <v>181</v>
      </c>
      <c r="I2" s="8" t="s">
        <v>182</v>
      </c>
      <c r="J2" s="8" t="s">
        <v>183</v>
      </c>
      <c r="K2" s="8" t="s">
        <v>184</v>
      </c>
      <c r="L2" s="8" t="s">
        <v>185</v>
      </c>
      <c r="M2" s="8" t="s">
        <v>186</v>
      </c>
      <c r="N2" s="8" t="s">
        <v>187</v>
      </c>
      <c r="O2" s="8" t="s">
        <v>188</v>
      </c>
      <c r="P2" s="8" t="s">
        <v>189</v>
      </c>
      <c r="Q2" s="8" t="s">
        <v>190</v>
      </c>
      <c r="R2" s="8" t="s">
        <v>191</v>
      </c>
      <c r="S2" s="8" t="s">
        <v>192</v>
      </c>
      <c r="T2" s="8" t="s">
        <v>193</v>
      </c>
      <c r="U2" s="8" t="s">
        <v>194</v>
      </c>
      <c r="V2" s="8" t="s">
        <v>195</v>
      </c>
      <c r="W2" s="8" t="s">
        <v>196</v>
      </c>
      <c r="X2" s="8" t="s">
        <v>197</v>
      </c>
      <c r="Y2" s="8" t="s">
        <v>198</v>
      </c>
      <c r="Z2" s="8" t="s">
        <v>199</v>
      </c>
      <c r="AA2" s="8" t="s">
        <v>200</v>
      </c>
      <c r="AB2" s="8" t="s">
        <v>201</v>
      </c>
      <c r="AC2" s="8" t="s">
        <v>202</v>
      </c>
      <c r="AD2" s="8" t="s">
        <v>203</v>
      </c>
      <c r="AE2" s="210" t="s">
        <v>204</v>
      </c>
      <c r="AF2" s="10" t="s">
        <v>205</v>
      </c>
      <c r="AG2" s="10" t="s">
        <v>206</v>
      </c>
    </row>
    <row r="3" spans="1:33" ht="15.95" customHeight="1">
      <c r="A3" s="4" t="s">
        <v>22</v>
      </c>
      <c r="AC3" s="42"/>
      <c r="AD3" s="42"/>
      <c r="AE3" s="47"/>
      <c r="AG3" s="45"/>
    </row>
    <row r="4" spans="1:33">
      <c r="A4" s="4" t="s">
        <v>207</v>
      </c>
      <c r="B4" s="5" t="s">
        <v>208</v>
      </c>
      <c r="C4" s="5" t="s">
        <v>209</v>
      </c>
      <c r="D4" s="35">
        <v>437666.39521087997</v>
      </c>
      <c r="E4" s="35">
        <v>551469.43375718</v>
      </c>
      <c r="F4" s="35">
        <v>6761.1960403591302</v>
      </c>
      <c r="G4" s="35">
        <v>935.61844301215297</v>
      </c>
      <c r="H4" s="35">
        <v>354.180561226012</v>
      </c>
      <c r="I4" s="42">
        <v>2.8031308437073799</v>
      </c>
      <c r="J4" s="35">
        <v>195.404375059199</v>
      </c>
      <c r="K4" s="42">
        <v>1.4908089230841799</v>
      </c>
      <c r="L4" s="40">
        <v>10.7958864432811</v>
      </c>
      <c r="M4" s="42">
        <v>0.79668903646753397</v>
      </c>
      <c r="N4" s="42">
        <v>0.47676930715083798</v>
      </c>
      <c r="O4" s="42">
        <v>0.20853968026515199</v>
      </c>
      <c r="P4" s="40">
        <v>26.421765831374401</v>
      </c>
      <c r="Q4" s="35">
        <v>211.624574841472</v>
      </c>
      <c r="R4" s="35">
        <v>113.05536840218799</v>
      </c>
      <c r="S4" s="42">
        <v>2.3574435815541999</v>
      </c>
      <c r="T4" s="35">
        <v>217.850142898201</v>
      </c>
      <c r="U4" s="40">
        <v>22.8246485156888</v>
      </c>
      <c r="V4" s="42">
        <v>0.22463750828708501</v>
      </c>
      <c r="W4" s="40">
        <v>14.8172395158089</v>
      </c>
      <c r="X4" s="42">
        <v>6.7851766972083301</v>
      </c>
      <c r="Y4" s="42">
        <v>3.3135453482502002</v>
      </c>
      <c r="Z4" s="42">
        <v>9.7018666702341806E-3</v>
      </c>
      <c r="AA4" s="42" t="s">
        <v>25</v>
      </c>
      <c r="AB4" s="40">
        <f t="shared" ref="AB4:AB12" si="0">L4/E4*1000000</f>
        <v>19.576581733149485</v>
      </c>
      <c r="AC4" s="42">
        <f t="shared" ref="AC4:AC12" si="1">L4/U4</f>
        <v>0.47299245094006226</v>
      </c>
      <c r="AD4" s="35">
        <f t="shared" ref="AD4:AD12" si="2">H4/I4</f>
        <v>126.35177627226918</v>
      </c>
      <c r="AE4" s="47">
        <f t="shared" ref="AE4:AE12" si="3">O4/J4</f>
        <v>1.0672211418089976E-3</v>
      </c>
      <c r="AF4" s="5">
        <v>0.72</v>
      </c>
      <c r="AG4" s="5">
        <v>0.09</v>
      </c>
    </row>
    <row r="5" spans="1:33" ht="17.100000000000001" customHeight="1">
      <c r="B5" s="5" t="s">
        <v>210</v>
      </c>
      <c r="C5" s="5" t="s">
        <v>211</v>
      </c>
      <c r="D5" s="35">
        <v>478623.57210325397</v>
      </c>
      <c r="E5" s="35">
        <v>516570.224736378</v>
      </c>
      <c r="F5" s="35">
        <v>1677.7509714648199</v>
      </c>
      <c r="G5" s="35">
        <v>1384.03720596217</v>
      </c>
      <c r="H5" s="35">
        <v>408.10409007235199</v>
      </c>
      <c r="I5" s="42">
        <v>2.2098413138989899</v>
      </c>
      <c r="J5" s="35">
        <v>185.85075136001601</v>
      </c>
      <c r="K5" s="42">
        <v>1.3943195455377499</v>
      </c>
      <c r="L5" s="42">
        <v>5.5963452806132503</v>
      </c>
      <c r="M5" s="42">
        <v>0.207089988154566</v>
      </c>
      <c r="N5" s="42">
        <v>0.12561954966475</v>
      </c>
      <c r="O5" s="42">
        <v>0.37460192834489803</v>
      </c>
      <c r="P5" s="40">
        <v>32.908002325911703</v>
      </c>
      <c r="Q5" s="35">
        <v>197.72504133278099</v>
      </c>
      <c r="R5" s="35">
        <v>145.655759535909</v>
      </c>
      <c r="S5" s="42">
        <v>1.7790490983150899</v>
      </c>
      <c r="T5" s="35">
        <v>175.17302192478601</v>
      </c>
      <c r="U5" s="40">
        <v>20.165478180445898</v>
      </c>
      <c r="V5" s="42">
        <v>7.1680945518265801E-2</v>
      </c>
      <c r="W5" s="42">
        <v>7.11464599360131</v>
      </c>
      <c r="X5" s="42">
        <v>3.4417834283875099</v>
      </c>
      <c r="Y5" s="42">
        <v>0.223516551106306</v>
      </c>
      <c r="Z5" s="42" t="s">
        <v>25</v>
      </c>
      <c r="AA5" s="42" t="s">
        <v>25</v>
      </c>
      <c r="AB5" s="40">
        <f t="shared" si="0"/>
        <v>10.833658257150304</v>
      </c>
      <c r="AC5" s="42">
        <f t="shared" si="1"/>
        <v>0.27752107986409791</v>
      </c>
      <c r="AD5" s="35">
        <f t="shared" si="2"/>
        <v>184.67574459104628</v>
      </c>
      <c r="AE5" s="47">
        <f t="shared" si="3"/>
        <v>2.0156062087650509E-3</v>
      </c>
      <c r="AF5" s="5">
        <v>1.96</v>
      </c>
      <c r="AG5" s="5">
        <v>0.09</v>
      </c>
    </row>
    <row r="6" spans="1:33">
      <c r="B6" s="5" t="s">
        <v>212</v>
      </c>
      <c r="C6" s="5" t="s">
        <v>213</v>
      </c>
      <c r="D6" s="35">
        <v>467192.78295319597</v>
      </c>
      <c r="E6" s="35">
        <v>527461.514691966</v>
      </c>
      <c r="F6" s="35">
        <v>2336.2340273723598</v>
      </c>
      <c r="G6" s="35">
        <v>491.69142652996902</v>
      </c>
      <c r="H6" s="35">
        <v>992.97797320770303</v>
      </c>
      <c r="I6" s="42">
        <v>3.0284547978258698</v>
      </c>
      <c r="J6" s="35">
        <v>137.45875216456901</v>
      </c>
      <c r="K6" s="42">
        <v>1.5407714062558899</v>
      </c>
      <c r="L6" s="42">
        <v>6.8484219133105597</v>
      </c>
      <c r="M6" s="42">
        <v>0.142471323177215</v>
      </c>
      <c r="N6" s="42">
        <v>0.19022792228468799</v>
      </c>
      <c r="O6" s="42">
        <v>0.58621989344233205</v>
      </c>
      <c r="P6" s="40">
        <v>51.587743656216901</v>
      </c>
      <c r="Q6" s="35">
        <v>247.64313005034799</v>
      </c>
      <c r="R6" s="40">
        <v>50.840372429350701</v>
      </c>
      <c r="S6" s="42">
        <v>0.96696590981527197</v>
      </c>
      <c r="T6" s="35">
        <v>191.61654428240701</v>
      </c>
      <c r="U6" s="40">
        <v>23.390508667393298</v>
      </c>
      <c r="V6" s="42">
        <v>0.19461426515130101</v>
      </c>
      <c r="W6" s="42">
        <v>8.9134589088184306</v>
      </c>
      <c r="X6" s="42">
        <v>2.9720794980647498</v>
      </c>
      <c r="Y6" s="42">
        <v>0.89694391134099705</v>
      </c>
      <c r="Z6" s="42" t="s">
        <v>25</v>
      </c>
      <c r="AA6" s="42">
        <v>9.5114399224278307E-2</v>
      </c>
      <c r="AB6" s="40">
        <f t="shared" si="0"/>
        <v>12.983737623606515</v>
      </c>
      <c r="AC6" s="42">
        <f t="shared" si="1"/>
        <v>0.29278636094209259</v>
      </c>
      <c r="AD6" s="35">
        <f t="shared" si="2"/>
        <v>327.88271230614464</v>
      </c>
      <c r="AE6" s="47">
        <f t="shared" si="3"/>
        <v>4.2646967487417258E-3</v>
      </c>
      <c r="AF6" s="5">
        <v>2.54</v>
      </c>
      <c r="AG6" s="5">
        <v>0.08</v>
      </c>
    </row>
    <row r="7" spans="1:33">
      <c r="B7" s="5" t="s">
        <v>214</v>
      </c>
      <c r="C7" s="5" t="s">
        <v>215</v>
      </c>
      <c r="D7" s="35">
        <v>476794.07482766203</v>
      </c>
      <c r="E7" s="35">
        <v>517070.55507923802</v>
      </c>
      <c r="F7" s="35">
        <v>2640.5240368001901</v>
      </c>
      <c r="G7" s="35">
        <v>2036.9402987961801</v>
      </c>
      <c r="H7" s="35">
        <v>289.58484719057299</v>
      </c>
      <c r="I7" s="42">
        <v>2.7382115527563999</v>
      </c>
      <c r="J7" s="35">
        <v>353.73204307278201</v>
      </c>
      <c r="K7" s="42">
        <v>1.5614870819565601</v>
      </c>
      <c r="L7" s="42">
        <v>1.26259272488137</v>
      </c>
      <c r="M7" s="42">
        <v>0.10362311180414401</v>
      </c>
      <c r="N7" s="42">
        <v>0.10396941188136601</v>
      </c>
      <c r="O7" s="42">
        <v>0.42099658653056099</v>
      </c>
      <c r="P7" s="40">
        <v>41.838813987290699</v>
      </c>
      <c r="Q7" s="35">
        <v>221.70432394942401</v>
      </c>
      <c r="R7" s="35">
        <v>115.805958791495</v>
      </c>
      <c r="S7" s="42">
        <v>1.67448652641325</v>
      </c>
      <c r="T7" s="35">
        <v>111.343586379713</v>
      </c>
      <c r="U7" s="40">
        <v>54.8094830711509</v>
      </c>
      <c r="V7" s="42">
        <v>9.1930178137504301E-2</v>
      </c>
      <c r="W7" s="42">
        <v>5.1745023038407103</v>
      </c>
      <c r="X7" s="42">
        <v>3.19045903325887</v>
      </c>
      <c r="Y7" s="42">
        <v>0.11920200964493199</v>
      </c>
      <c r="Z7" s="42" t="s">
        <v>25</v>
      </c>
      <c r="AA7" s="42" t="s">
        <v>25</v>
      </c>
      <c r="AB7" s="42">
        <f t="shared" si="0"/>
        <v>2.4418190370323547</v>
      </c>
      <c r="AC7" s="42">
        <f t="shared" si="1"/>
        <v>2.3036026872253767E-2</v>
      </c>
      <c r="AD7" s="35">
        <f t="shared" si="2"/>
        <v>105.75692988332644</v>
      </c>
      <c r="AE7" s="47">
        <f t="shared" si="3"/>
        <v>1.1901567719833032E-3</v>
      </c>
      <c r="AF7" s="5" t="s">
        <v>216</v>
      </c>
      <c r="AG7" s="5" t="s">
        <v>216</v>
      </c>
    </row>
    <row r="8" spans="1:33">
      <c r="B8" s="5" t="s">
        <v>217</v>
      </c>
      <c r="C8" s="5" t="s">
        <v>218</v>
      </c>
      <c r="D8" s="35">
        <v>489451.18654219399</v>
      </c>
      <c r="E8" s="35">
        <v>506181.13333601301</v>
      </c>
      <c r="F8" s="35">
        <v>2488.4892354998301</v>
      </c>
      <c r="G8" s="35">
        <v>116.5686634166</v>
      </c>
      <c r="H8" s="35">
        <v>802.72639474879395</v>
      </c>
      <c r="I8" s="42">
        <v>7.2840882678223302</v>
      </c>
      <c r="J8" s="40">
        <v>74.513160410681095</v>
      </c>
      <c r="K8" s="42">
        <v>1.29342007031504</v>
      </c>
      <c r="L8" s="42">
        <v>2.1963719307308902</v>
      </c>
      <c r="M8" s="42">
        <v>6.4607825437660193E-2</v>
      </c>
      <c r="N8" s="42" t="s">
        <v>25</v>
      </c>
      <c r="O8" s="42">
        <v>0.63067497755891599</v>
      </c>
      <c r="P8" s="40">
        <v>62.237569401523203</v>
      </c>
      <c r="Q8" s="35">
        <v>221.08045628451799</v>
      </c>
      <c r="R8" s="40">
        <v>38.483957904633897</v>
      </c>
      <c r="S8" s="42">
        <v>0.82687887142710204</v>
      </c>
      <c r="T8" s="35">
        <v>185.00925108069401</v>
      </c>
      <c r="U8" s="40">
        <v>24.670661277720999</v>
      </c>
      <c r="V8" s="42">
        <v>0.11141035267965201</v>
      </c>
      <c r="W8" s="40">
        <v>14.546617008562899</v>
      </c>
      <c r="X8" s="42">
        <v>0.814213019926325</v>
      </c>
      <c r="Y8" s="42">
        <v>0.21370792687096801</v>
      </c>
      <c r="Z8" s="42" t="s">
        <v>25</v>
      </c>
      <c r="AA8" s="42">
        <v>8.6833139327365305E-2</v>
      </c>
      <c r="AB8" s="42">
        <f t="shared" si="0"/>
        <v>4.3391027165623246</v>
      </c>
      <c r="AC8" s="42">
        <f t="shared" si="1"/>
        <v>8.9027687827498092E-2</v>
      </c>
      <c r="AD8" s="35">
        <f t="shared" si="2"/>
        <v>110.20272753899221</v>
      </c>
      <c r="AE8" s="47">
        <f t="shared" si="3"/>
        <v>8.4639407868749034E-3</v>
      </c>
      <c r="AF8" s="5" t="s">
        <v>216</v>
      </c>
      <c r="AG8" s="5" t="s">
        <v>216</v>
      </c>
    </row>
    <row r="9" spans="1:33">
      <c r="B9" s="5" t="s">
        <v>219</v>
      </c>
      <c r="C9" s="5" t="s">
        <v>220</v>
      </c>
      <c r="D9" s="35">
        <v>470662.165045642</v>
      </c>
      <c r="E9" s="35">
        <v>524147.67588302301</v>
      </c>
      <c r="F9" s="35">
        <v>2832.6666780482801</v>
      </c>
      <c r="G9" s="35">
        <v>313.091108148405</v>
      </c>
      <c r="H9" s="35">
        <v>504.54900323045399</v>
      </c>
      <c r="I9" s="40">
        <v>10.968701972504199</v>
      </c>
      <c r="J9" s="35">
        <v>135.517833714825</v>
      </c>
      <c r="K9" s="42">
        <v>2.45320798246073</v>
      </c>
      <c r="L9" s="42">
        <v>6.0595225740047098</v>
      </c>
      <c r="M9" s="42">
        <v>7.6895862210453997E-2</v>
      </c>
      <c r="N9" s="42">
        <v>0.28972193390009299</v>
      </c>
      <c r="O9" s="42">
        <v>0.44403543497044601</v>
      </c>
      <c r="P9" s="40">
        <v>45.8739744208441</v>
      </c>
      <c r="Q9" s="35">
        <v>327.60378568878599</v>
      </c>
      <c r="R9" s="40">
        <v>96.017578573229898</v>
      </c>
      <c r="S9" s="42">
        <v>0.84277401008258201</v>
      </c>
      <c r="T9" s="35">
        <v>268.80186522215701</v>
      </c>
      <c r="U9" s="40">
        <v>20.105733510441699</v>
      </c>
      <c r="V9" s="42">
        <v>0.143742984148506</v>
      </c>
      <c r="W9" s="40">
        <v>34.310416885055403</v>
      </c>
      <c r="X9" s="42">
        <v>1.71016919328279</v>
      </c>
      <c r="Y9" s="42">
        <v>0.98000260359083102</v>
      </c>
      <c r="Z9" s="42" t="s">
        <v>25</v>
      </c>
      <c r="AA9" s="42" t="s">
        <v>25</v>
      </c>
      <c r="AB9" s="40">
        <f t="shared" si="0"/>
        <v>11.560716288203189</v>
      </c>
      <c r="AC9" s="42">
        <f t="shared" si="1"/>
        <v>0.30138281554650875</v>
      </c>
      <c r="AD9" s="40">
        <f t="shared" si="2"/>
        <v>45.998970935233039</v>
      </c>
      <c r="AE9" s="47">
        <f t="shared" si="3"/>
        <v>3.276583035594013E-3</v>
      </c>
      <c r="AF9" s="5" t="s">
        <v>216</v>
      </c>
      <c r="AG9" s="5" t="s">
        <v>216</v>
      </c>
    </row>
    <row r="10" spans="1:33">
      <c r="B10" s="5" t="s">
        <v>221</v>
      </c>
      <c r="C10" s="5" t="s">
        <v>222</v>
      </c>
      <c r="D10" s="35">
        <v>442966.84294404101</v>
      </c>
      <c r="E10" s="35">
        <v>547868.80870734097</v>
      </c>
      <c r="F10" s="35">
        <v>4732.4060486587296</v>
      </c>
      <c r="G10" s="35">
        <v>256.04017135838501</v>
      </c>
      <c r="H10" s="35">
        <v>760.86055132728097</v>
      </c>
      <c r="I10" s="42">
        <v>2.8945276583049</v>
      </c>
      <c r="J10" s="35">
        <v>216.31787912182301</v>
      </c>
      <c r="K10" s="42">
        <v>2.03560017845325</v>
      </c>
      <c r="L10" s="42">
        <v>9.9455287127638599</v>
      </c>
      <c r="M10" s="42">
        <v>0.33087123330664903</v>
      </c>
      <c r="N10" s="42">
        <v>0.26186701969357401</v>
      </c>
      <c r="O10" s="42">
        <v>0.48758607382819502</v>
      </c>
      <c r="P10" s="40">
        <v>38.926961416115397</v>
      </c>
      <c r="Q10" s="35">
        <v>351.71986450635399</v>
      </c>
      <c r="R10" s="35">
        <v>1162.83795831161</v>
      </c>
      <c r="S10" s="42">
        <v>1.04927074216784</v>
      </c>
      <c r="T10" s="35">
        <v>224.927257882893</v>
      </c>
      <c r="U10" s="40">
        <v>14.071742575948599</v>
      </c>
      <c r="V10" s="42">
        <v>0.18256492260429</v>
      </c>
      <c r="W10" s="40">
        <v>61.3067905948553</v>
      </c>
      <c r="X10" s="42">
        <v>8.3042305094470592</v>
      </c>
      <c r="Y10" s="42">
        <v>1.2452124029462599</v>
      </c>
      <c r="Z10" s="42" t="s">
        <v>25</v>
      </c>
      <c r="AA10" s="42" t="s">
        <v>25</v>
      </c>
      <c r="AB10" s="40">
        <f t="shared" si="0"/>
        <v>18.153120883500662</v>
      </c>
      <c r="AC10" s="42">
        <f t="shared" si="1"/>
        <v>0.7067730708606581</v>
      </c>
      <c r="AD10" s="35">
        <f t="shared" si="2"/>
        <v>262.86173122037394</v>
      </c>
      <c r="AE10" s="47">
        <f t="shared" si="3"/>
        <v>2.2540257689638442E-3</v>
      </c>
      <c r="AF10" s="5" t="s">
        <v>216</v>
      </c>
      <c r="AG10" s="5" t="s">
        <v>216</v>
      </c>
    </row>
    <row r="11" spans="1:33">
      <c r="B11" s="5" t="s">
        <v>223</v>
      </c>
      <c r="C11" s="5" t="s">
        <v>224</v>
      </c>
      <c r="D11" s="35">
        <v>492531.04264220898</v>
      </c>
      <c r="E11" s="35">
        <v>503535.69260190602</v>
      </c>
      <c r="F11" s="35">
        <v>2015.7517916947399</v>
      </c>
      <c r="G11" s="35">
        <v>398.83681039808903</v>
      </c>
      <c r="H11" s="35">
        <v>477.97129617454999</v>
      </c>
      <c r="I11" s="42">
        <v>3.4314555051582398</v>
      </c>
      <c r="J11" s="35">
        <v>128.19358707513999</v>
      </c>
      <c r="K11" s="42">
        <v>1.22611857974123</v>
      </c>
      <c r="L11" s="42">
        <v>2.7176361829431599</v>
      </c>
      <c r="M11" s="42">
        <v>8.5238583024762296E-2</v>
      </c>
      <c r="N11" s="42">
        <v>0.18891834677722699</v>
      </c>
      <c r="O11" s="42">
        <v>0.39416745545308601</v>
      </c>
      <c r="P11" s="40">
        <v>36.183758089381797</v>
      </c>
      <c r="Q11" s="35">
        <v>317.22527090344602</v>
      </c>
      <c r="R11" s="40">
        <v>95.762242634232607</v>
      </c>
      <c r="S11" s="42">
        <v>0.61722246912304501</v>
      </c>
      <c r="T11" s="35">
        <v>183.43492774461799</v>
      </c>
      <c r="U11" s="40">
        <v>18.230055795039299</v>
      </c>
      <c r="V11" s="42">
        <v>5.3852992535244802E-2</v>
      </c>
      <c r="W11" s="40">
        <v>10.1867411026579</v>
      </c>
      <c r="X11" s="42">
        <v>1.9840321036089199</v>
      </c>
      <c r="Y11" s="42">
        <v>0.26694728232616599</v>
      </c>
      <c r="Z11" s="42" t="s">
        <v>25</v>
      </c>
      <c r="AA11" s="42">
        <v>0.12802289428233801</v>
      </c>
      <c r="AB11" s="42">
        <f t="shared" si="0"/>
        <v>5.3971073408925472</v>
      </c>
      <c r="AC11" s="42">
        <f t="shared" si="1"/>
        <v>0.149074485207153</v>
      </c>
      <c r="AD11" s="35">
        <f t="shared" si="2"/>
        <v>139.2911245551787</v>
      </c>
      <c r="AE11" s="47">
        <f t="shared" si="3"/>
        <v>3.0747829469975506E-3</v>
      </c>
      <c r="AF11" s="5" t="s">
        <v>216</v>
      </c>
      <c r="AG11" s="5" t="s">
        <v>216</v>
      </c>
    </row>
    <row r="12" spans="1:33">
      <c r="B12" s="5" t="s">
        <v>225</v>
      </c>
      <c r="C12" s="5" t="s">
        <v>226</v>
      </c>
      <c r="D12" s="35">
        <v>473418.68039261998</v>
      </c>
      <c r="E12" s="35">
        <v>521350.57171119901</v>
      </c>
      <c r="F12" s="35">
        <v>3202.2248993707399</v>
      </c>
      <c r="G12" s="35">
        <v>140.77548249052199</v>
      </c>
      <c r="H12" s="35">
        <v>611.23004811569297</v>
      </c>
      <c r="I12" s="40">
        <v>38.359939944827701</v>
      </c>
      <c r="J12" s="40">
        <v>52.851226762817802</v>
      </c>
      <c r="K12" s="42">
        <v>6.8704738378549104</v>
      </c>
      <c r="L12" s="40">
        <v>34.883456374877099</v>
      </c>
      <c r="M12" s="42">
        <v>3.5871971799758803E-2</v>
      </c>
      <c r="N12" s="42">
        <v>0.53523678775149297</v>
      </c>
      <c r="O12" s="42">
        <v>0.36790439688476301</v>
      </c>
      <c r="P12" s="40">
        <v>46.916705091626397</v>
      </c>
      <c r="Q12" s="35">
        <v>225.85786862839899</v>
      </c>
      <c r="R12" s="40">
        <v>17.581826407800399</v>
      </c>
      <c r="S12" s="42">
        <v>1.09837926427149</v>
      </c>
      <c r="T12" s="35">
        <v>359.12673838472898</v>
      </c>
      <c r="U12" s="42">
        <v>8.7656509346418101</v>
      </c>
      <c r="V12" s="42">
        <v>0.67378933931592899</v>
      </c>
      <c r="W12" s="40">
        <v>95.264560370377595</v>
      </c>
      <c r="X12" s="42">
        <v>1.0160501923117899</v>
      </c>
      <c r="Y12" s="42">
        <v>0.510593601246916</v>
      </c>
      <c r="Z12" s="42">
        <v>5.5611847972303497E-3</v>
      </c>
      <c r="AA12" s="42" t="s">
        <v>25</v>
      </c>
      <c r="AB12" s="40">
        <f t="shared" si="0"/>
        <v>66.90978828388188</v>
      </c>
      <c r="AC12" s="42">
        <f t="shared" si="1"/>
        <v>3.9795625715618961</v>
      </c>
      <c r="AD12" s="40">
        <f t="shared" si="2"/>
        <v>15.934072081312232</v>
      </c>
      <c r="AE12" s="47">
        <f t="shared" si="3"/>
        <v>6.9611325870602729E-3</v>
      </c>
      <c r="AF12" s="5" t="s">
        <v>216</v>
      </c>
      <c r="AG12" s="5" t="s">
        <v>216</v>
      </c>
    </row>
    <row r="13" spans="1:33">
      <c r="A13" s="36"/>
      <c r="B13" s="37" t="s">
        <v>113</v>
      </c>
      <c r="C13" s="37"/>
      <c r="D13" s="38">
        <f t="shared" ref="D13:AD13" si="4">MEDIAN(D4:D12)</f>
        <v>473418.68039261998</v>
      </c>
      <c r="E13" s="38">
        <f t="shared" si="4"/>
        <v>521350.57171119901</v>
      </c>
      <c r="F13" s="38">
        <f t="shared" si="4"/>
        <v>2640.5240368001901</v>
      </c>
      <c r="G13" s="38">
        <f t="shared" si="4"/>
        <v>398.83681039808903</v>
      </c>
      <c r="H13" s="38">
        <f t="shared" si="4"/>
        <v>504.54900323045399</v>
      </c>
      <c r="I13" s="39">
        <f t="shared" si="4"/>
        <v>3.0284547978258698</v>
      </c>
      <c r="J13" s="38">
        <f t="shared" si="4"/>
        <v>137.45875216456901</v>
      </c>
      <c r="K13" s="39">
        <f t="shared" si="4"/>
        <v>1.5407714062558899</v>
      </c>
      <c r="L13" s="39">
        <f t="shared" si="4"/>
        <v>6.0595225740047098</v>
      </c>
      <c r="M13" s="39">
        <f t="shared" si="4"/>
        <v>0.10362311180414401</v>
      </c>
      <c r="N13" s="39">
        <f t="shared" si="4"/>
        <v>0.226047470989131</v>
      </c>
      <c r="O13" s="39">
        <f t="shared" si="4"/>
        <v>0.42099658653056099</v>
      </c>
      <c r="P13" s="41">
        <f t="shared" si="4"/>
        <v>41.838813987290699</v>
      </c>
      <c r="Q13" s="38">
        <f t="shared" si="4"/>
        <v>225.85786862839899</v>
      </c>
      <c r="R13" s="41">
        <f t="shared" si="4"/>
        <v>96.017578573229898</v>
      </c>
      <c r="S13" s="39">
        <f t="shared" si="4"/>
        <v>1.04927074216784</v>
      </c>
      <c r="T13" s="38">
        <f t="shared" si="4"/>
        <v>191.61654428240701</v>
      </c>
      <c r="U13" s="41">
        <f t="shared" si="4"/>
        <v>20.165478180445898</v>
      </c>
      <c r="V13" s="39">
        <f t="shared" si="4"/>
        <v>0.143742984148506</v>
      </c>
      <c r="W13" s="41">
        <f t="shared" si="4"/>
        <v>14.546617008562899</v>
      </c>
      <c r="X13" s="39">
        <f t="shared" si="4"/>
        <v>2.9720794980647498</v>
      </c>
      <c r="Y13" s="39">
        <f t="shared" si="4"/>
        <v>0.510593601246916</v>
      </c>
      <c r="Z13" s="39">
        <f>MEDIAN(Z4:Z12)</f>
        <v>7.6315257337322652E-3</v>
      </c>
      <c r="AA13" s="39">
        <f>MEDIAN(AA4:AA12)</f>
        <v>9.5114399224278307E-2</v>
      </c>
      <c r="AB13" s="41">
        <f t="shared" si="4"/>
        <v>11.560716288203189</v>
      </c>
      <c r="AC13" s="39">
        <f>MEDIAN(AC4:AC12)</f>
        <v>0.29278636094209259</v>
      </c>
      <c r="AD13" s="38">
        <f t="shared" si="4"/>
        <v>126.35177627226918</v>
      </c>
      <c r="AE13" s="108"/>
      <c r="AF13" s="39"/>
      <c r="AG13" s="39"/>
    </row>
    <row r="14" spans="1:33">
      <c r="A14" s="36"/>
      <c r="B14" s="37" t="s">
        <v>31</v>
      </c>
      <c r="C14" s="37"/>
      <c r="D14" s="38">
        <f t="shared" ref="D14:AD14" si="5">AVERAGE(D4:D12)</f>
        <v>469922.97140685533</v>
      </c>
      <c r="E14" s="38">
        <f t="shared" si="5"/>
        <v>523961.73450047162</v>
      </c>
      <c r="F14" s="38">
        <f t="shared" si="5"/>
        <v>3187.4715254743132</v>
      </c>
      <c r="G14" s="38">
        <f t="shared" si="5"/>
        <v>674.84440112360824</v>
      </c>
      <c r="H14" s="38">
        <f t="shared" si="5"/>
        <v>578.02052947704578</v>
      </c>
      <c r="I14" s="39">
        <f t="shared" si="5"/>
        <v>8.1909279840895568</v>
      </c>
      <c r="J14" s="38">
        <f t="shared" si="5"/>
        <v>164.42662319353923</v>
      </c>
      <c r="K14" s="39">
        <f t="shared" si="5"/>
        <v>2.207356400628838</v>
      </c>
      <c r="L14" s="39">
        <f t="shared" si="5"/>
        <v>8.9228624597117765</v>
      </c>
      <c r="M14" s="39">
        <f t="shared" si="5"/>
        <v>0.20481765948697148</v>
      </c>
      <c r="N14" s="39">
        <f t="shared" si="5"/>
        <v>0.27154128488800361</v>
      </c>
      <c r="O14" s="39">
        <f t="shared" si="5"/>
        <v>0.43496960303092769</v>
      </c>
      <c r="P14" s="41">
        <f t="shared" si="5"/>
        <v>42.543921580031622</v>
      </c>
      <c r="Q14" s="38">
        <f t="shared" si="5"/>
        <v>258.02047957616981</v>
      </c>
      <c r="R14" s="38">
        <f t="shared" si="5"/>
        <v>204.00455811004994</v>
      </c>
      <c r="S14" s="39">
        <f t="shared" si="5"/>
        <v>1.2458300525744299</v>
      </c>
      <c r="T14" s="38">
        <f t="shared" si="5"/>
        <v>213.03148175557757</v>
      </c>
      <c r="U14" s="41">
        <f t="shared" si="5"/>
        <v>23.003773614274589</v>
      </c>
      <c r="V14" s="39">
        <f t="shared" si="5"/>
        <v>0.19424705426419756</v>
      </c>
      <c r="W14" s="41">
        <f t="shared" si="5"/>
        <v>27.959441409286494</v>
      </c>
      <c r="X14" s="39">
        <f t="shared" si="5"/>
        <v>3.3575770750551492</v>
      </c>
      <c r="Y14" s="39">
        <f t="shared" si="5"/>
        <v>0.86329684859150846</v>
      </c>
      <c r="Z14" s="39">
        <f>AVERAGE(Z4:Z12)</f>
        <v>7.6315257337322652E-3</v>
      </c>
      <c r="AA14" s="39">
        <f>AVERAGE(AA4:AA12)</f>
        <v>0.10332347761132721</v>
      </c>
      <c r="AB14" s="41">
        <f t="shared" si="5"/>
        <v>16.910625795997696</v>
      </c>
      <c r="AC14" s="39">
        <f>AVERAGE(AC4:AC12)</f>
        <v>0.69912850551357997</v>
      </c>
      <c r="AD14" s="38">
        <f t="shared" si="5"/>
        <v>146.55064326487519</v>
      </c>
      <c r="AE14" s="108"/>
      <c r="AF14" s="39"/>
      <c r="AG14" s="39"/>
    </row>
    <row r="15" spans="1:33">
      <c r="A15" s="36"/>
      <c r="B15" s="37" t="s">
        <v>34</v>
      </c>
      <c r="C15" s="37"/>
      <c r="D15" s="38">
        <f t="shared" ref="D15:AD15" si="6">STDEV(D4:D12)</f>
        <v>18717.399903513156</v>
      </c>
      <c r="E15" s="38">
        <f t="shared" si="6"/>
        <v>16518.242408200946</v>
      </c>
      <c r="F15" s="38">
        <f t="shared" si="6"/>
        <v>1598.7866529020177</v>
      </c>
      <c r="G15" s="38">
        <f t="shared" si="6"/>
        <v>655.6630050056765</v>
      </c>
      <c r="H15" s="38">
        <f t="shared" si="6"/>
        <v>233.12945345598447</v>
      </c>
      <c r="I15" s="41">
        <f t="shared" si="6"/>
        <v>11.675814241623655</v>
      </c>
      <c r="J15" s="41">
        <f t="shared" si="6"/>
        <v>88.992398395459247</v>
      </c>
      <c r="K15" s="39">
        <f t="shared" si="6"/>
        <v>1.7912518896484175</v>
      </c>
      <c r="L15" s="41">
        <f t="shared" si="6"/>
        <v>10.274388530184389</v>
      </c>
      <c r="M15" s="39">
        <f t="shared" si="6"/>
        <v>0.23958254857913402</v>
      </c>
      <c r="N15" s="39">
        <f t="shared" si="6"/>
        <v>0.15806413030852356</v>
      </c>
      <c r="O15" s="39">
        <f t="shared" si="6"/>
        <v>0.12515015714123873</v>
      </c>
      <c r="P15" s="41">
        <f t="shared" si="6"/>
        <v>10.645697915430953</v>
      </c>
      <c r="Q15" s="41">
        <f t="shared" si="6"/>
        <v>57.814671361957416</v>
      </c>
      <c r="R15" s="38">
        <f t="shared" si="6"/>
        <v>361.90540511979373</v>
      </c>
      <c r="S15" s="39">
        <f t="shared" si="6"/>
        <v>0.56734224990932103</v>
      </c>
      <c r="T15" s="41">
        <f t="shared" si="6"/>
        <v>69.383337950708508</v>
      </c>
      <c r="U15" s="41">
        <f t="shared" si="6"/>
        <v>12.924354787961022</v>
      </c>
      <c r="V15" s="39">
        <f t="shared" si="6"/>
        <v>0.18895609835427504</v>
      </c>
      <c r="W15" s="41">
        <f t="shared" si="6"/>
        <v>30.958153663728652</v>
      </c>
      <c r="X15" s="39">
        <f t="shared" si="6"/>
        <v>2.5727775428150794</v>
      </c>
      <c r="Y15" s="39">
        <f t="shared" si="6"/>
        <v>1.0018310530168573</v>
      </c>
      <c r="Z15" s="39">
        <f>STDEV(Z4:Z12)</f>
        <v>2.9279042311372238E-3</v>
      </c>
      <c r="AA15" s="39">
        <f>STDEV(AA4:AA12)</f>
        <v>2.1787397831916713E-2</v>
      </c>
      <c r="AB15" s="41">
        <f t="shared" si="6"/>
        <v>19.651620640231283</v>
      </c>
      <c r="AC15" s="39">
        <f>STDEV(AC4:AC12)</f>
        <v>1.2472667859476123</v>
      </c>
      <c r="AD15" s="41">
        <f t="shared" si="6"/>
        <v>99.045716805487118</v>
      </c>
      <c r="AE15" s="108"/>
      <c r="AF15" s="39"/>
      <c r="AG15" s="39"/>
    </row>
    <row r="16" spans="1:33">
      <c r="A16" s="4" t="s">
        <v>227</v>
      </c>
      <c r="B16" s="5" t="s">
        <v>228</v>
      </c>
      <c r="C16" s="5" t="s">
        <v>229</v>
      </c>
      <c r="D16" s="35">
        <v>481545.37625482999</v>
      </c>
      <c r="E16" s="35">
        <v>510697.698938858</v>
      </c>
      <c r="F16" s="35">
        <v>4876.78224326501</v>
      </c>
      <c r="G16" s="35">
        <v>436.48545624878801</v>
      </c>
      <c r="H16" s="40">
        <v>83.924760432572</v>
      </c>
      <c r="I16" s="40">
        <v>11.7769597368001</v>
      </c>
      <c r="J16" s="40">
        <v>43.418609899384101</v>
      </c>
      <c r="K16" s="42">
        <v>4.4259454979332702</v>
      </c>
      <c r="L16" s="40">
        <v>11.5229233754684</v>
      </c>
      <c r="M16" s="42">
        <v>5.5875412576703101E-2</v>
      </c>
      <c r="N16" s="42">
        <v>0.40097140746398102</v>
      </c>
      <c r="O16" s="42">
        <v>0.409294684883866</v>
      </c>
      <c r="P16" s="40">
        <v>58.544003713101603</v>
      </c>
      <c r="Q16" s="35">
        <v>195.95727520219501</v>
      </c>
      <c r="R16" s="40">
        <v>17.802315649399301</v>
      </c>
      <c r="S16" s="42">
        <v>2.56335709203803</v>
      </c>
      <c r="T16" s="35">
        <v>353.16552255203197</v>
      </c>
      <c r="U16" s="42">
        <v>9.0186399791153793</v>
      </c>
      <c r="V16" s="42">
        <v>0.52664177010838298</v>
      </c>
      <c r="W16" s="35">
        <v>146.94229091205</v>
      </c>
      <c r="X16" s="42">
        <v>0.85383658313752397</v>
      </c>
      <c r="Y16" s="42">
        <v>3.6396029558362102</v>
      </c>
      <c r="Z16" s="42" t="s">
        <v>25</v>
      </c>
      <c r="AA16" s="42">
        <v>0.214929471750131</v>
      </c>
      <c r="AB16" s="40">
        <f t="shared" ref="AB16:AB24" si="7">L16/E16*1000000</f>
        <v>22.563100243864525</v>
      </c>
      <c r="AC16" s="42">
        <f t="shared" ref="AC16:AC24" si="8">L16/U16</f>
        <v>1.2776786080996949</v>
      </c>
      <c r="AD16" s="42">
        <f t="shared" ref="AD16:AD24" si="9">H16/I16</f>
        <v>7.1261821648525965</v>
      </c>
      <c r="AE16" s="47">
        <f t="shared" ref="AE16:AE24" si="10">O16/J16</f>
        <v>9.4267109387505266E-3</v>
      </c>
      <c r="AF16" s="5" t="s">
        <v>216</v>
      </c>
      <c r="AG16" s="5" t="s">
        <v>216</v>
      </c>
    </row>
    <row r="17" spans="1:33">
      <c r="B17" s="5" t="s">
        <v>230</v>
      </c>
      <c r="C17" s="5" t="s">
        <v>231</v>
      </c>
      <c r="D17" s="35">
        <v>486767.79418063298</v>
      </c>
      <c r="E17" s="35">
        <v>507988.46044746501</v>
      </c>
      <c r="F17" s="35">
        <v>3696.0916671094801</v>
      </c>
      <c r="G17" s="35">
        <v>129.14249338708399</v>
      </c>
      <c r="H17" s="40">
        <v>28.286562995491501</v>
      </c>
      <c r="I17" s="42">
        <v>7.3297739325823903</v>
      </c>
      <c r="J17" s="40">
        <v>46.210088791944898</v>
      </c>
      <c r="K17" s="42">
        <v>3.4292011246923302</v>
      </c>
      <c r="L17" s="42">
        <v>7.2503623413779303</v>
      </c>
      <c r="M17" s="42">
        <v>2.9771851397952E-2</v>
      </c>
      <c r="N17" s="42">
        <v>0.18495291031814201</v>
      </c>
      <c r="O17" s="42">
        <v>0.36762390653536497</v>
      </c>
      <c r="P17" s="40">
        <v>43.589537361780202</v>
      </c>
      <c r="Q17" s="35">
        <v>195.82565291617101</v>
      </c>
      <c r="R17" s="40">
        <v>37.043363080024598</v>
      </c>
      <c r="S17" s="42">
        <v>1.04497569574317</v>
      </c>
      <c r="T17" s="35">
        <v>315.120081652718</v>
      </c>
      <c r="U17" s="42">
        <v>9.6133992118400897</v>
      </c>
      <c r="V17" s="42">
        <v>0.39669123772883802</v>
      </c>
      <c r="W17" s="40">
        <v>28.958609582344401</v>
      </c>
      <c r="X17" s="42">
        <v>0.82486539633868605</v>
      </c>
      <c r="Y17" s="42">
        <v>4.71939120817086</v>
      </c>
      <c r="Z17" s="42">
        <v>6.3423079140476901E-3</v>
      </c>
      <c r="AA17" s="42" t="s">
        <v>25</v>
      </c>
      <c r="AB17" s="40">
        <f t="shared" si="7"/>
        <v>14.27269102725562</v>
      </c>
      <c r="AC17" s="42">
        <f t="shared" si="8"/>
        <v>0.754193410843504</v>
      </c>
      <c r="AD17" s="42">
        <f t="shared" si="9"/>
        <v>3.8591317079714784</v>
      </c>
      <c r="AE17" s="47">
        <f t="shared" si="10"/>
        <v>7.9554901569340256E-3</v>
      </c>
      <c r="AF17" s="5" t="s">
        <v>216</v>
      </c>
      <c r="AG17" s="5" t="s">
        <v>216</v>
      </c>
    </row>
    <row r="18" spans="1:33">
      <c r="B18" s="5" t="s">
        <v>232</v>
      </c>
      <c r="C18" s="5" t="s">
        <v>233</v>
      </c>
      <c r="D18" s="35">
        <v>479407.27278930502</v>
      </c>
      <c r="E18" s="35">
        <v>514718.08653327101</v>
      </c>
      <c r="F18" s="35">
        <v>4256.1913328662604</v>
      </c>
      <c r="G18" s="35">
        <v>169.26834607409799</v>
      </c>
      <c r="H18" s="40">
        <v>43.603333204963199</v>
      </c>
      <c r="I18" s="42">
        <v>7.2118977972883904</v>
      </c>
      <c r="J18" s="40">
        <v>44.934091150893302</v>
      </c>
      <c r="K18" s="42">
        <v>3.0087014372155698</v>
      </c>
      <c r="L18" s="42">
        <v>3.1497454574371999</v>
      </c>
      <c r="M18" s="42">
        <v>3.6320793946471502E-2</v>
      </c>
      <c r="N18" s="42">
        <v>0.179826173290205</v>
      </c>
      <c r="O18" s="42">
        <v>0.37547441339221699</v>
      </c>
      <c r="P18" s="40">
        <v>54.069193306907003</v>
      </c>
      <c r="Q18" s="35">
        <v>217.67716934254199</v>
      </c>
      <c r="R18" s="40">
        <v>33.273066229904202</v>
      </c>
      <c r="S18" s="42">
        <v>1.3963571441395699</v>
      </c>
      <c r="T18" s="35">
        <v>292.23346836760402</v>
      </c>
      <c r="U18" s="42">
        <v>9.0748371720004997</v>
      </c>
      <c r="V18" s="42">
        <v>0.70476684039203896</v>
      </c>
      <c r="W18" s="40">
        <v>67.564344402144201</v>
      </c>
      <c r="X18" s="42">
        <v>0.71602010817301198</v>
      </c>
      <c r="Y18" s="42">
        <v>7.5672337632973097</v>
      </c>
      <c r="Z18" s="42">
        <v>0.77984122560182301</v>
      </c>
      <c r="AA18" s="42">
        <v>5.9349799604435302E-2</v>
      </c>
      <c r="AB18" s="42">
        <f t="shared" si="7"/>
        <v>6.119360364139065</v>
      </c>
      <c r="AC18" s="42">
        <f t="shared" si="8"/>
        <v>0.34708561682576783</v>
      </c>
      <c r="AD18" s="42">
        <f t="shared" si="9"/>
        <v>6.0460276102855568</v>
      </c>
      <c r="AE18" s="47">
        <f t="shared" si="10"/>
        <v>8.3561145619110277E-3</v>
      </c>
      <c r="AF18" s="5" t="s">
        <v>216</v>
      </c>
      <c r="AG18" s="5" t="s">
        <v>216</v>
      </c>
    </row>
    <row r="19" spans="1:33">
      <c r="B19" s="5" t="s">
        <v>234</v>
      </c>
      <c r="C19" s="5" t="s">
        <v>235</v>
      </c>
      <c r="D19" s="35">
        <v>487890.36771676899</v>
      </c>
      <c r="E19" s="35">
        <v>507946.16788606101</v>
      </c>
      <c r="F19" s="35">
        <v>2798.8674431024401</v>
      </c>
      <c r="G19" s="35">
        <v>222.43300988454899</v>
      </c>
      <c r="H19" s="40">
        <v>71.926771758223396</v>
      </c>
      <c r="I19" s="42">
        <v>3.7034370763461699</v>
      </c>
      <c r="J19" s="35">
        <v>172.32283443015399</v>
      </c>
      <c r="K19" s="42">
        <v>1.5559332221185</v>
      </c>
      <c r="L19" s="42">
        <v>6.0517539011533703</v>
      </c>
      <c r="M19" s="42">
        <v>5.6018190014153403E-2</v>
      </c>
      <c r="N19" s="42">
        <v>0.162098692637902</v>
      </c>
      <c r="O19" s="42">
        <v>0.23732075137528</v>
      </c>
      <c r="P19" s="40">
        <v>27.8111070986856</v>
      </c>
      <c r="Q19" s="35">
        <v>110.98266091024701</v>
      </c>
      <c r="R19" s="40">
        <v>83.573342675153796</v>
      </c>
      <c r="S19" s="42">
        <v>0.75498394607990604</v>
      </c>
      <c r="T19" s="35">
        <v>144.50122691541401</v>
      </c>
      <c r="U19" s="40">
        <v>21.019076231843201</v>
      </c>
      <c r="V19" s="42">
        <v>0.27160947588776302</v>
      </c>
      <c r="W19" s="40">
        <v>24.503322070179198</v>
      </c>
      <c r="X19" s="42">
        <v>0.75747365004121003</v>
      </c>
      <c r="Y19" s="42">
        <v>1.3504167581548601</v>
      </c>
      <c r="Z19" s="42" t="s">
        <v>25</v>
      </c>
      <c r="AA19" s="42">
        <v>7.7824187627543298E-2</v>
      </c>
      <c r="AB19" s="40">
        <f t="shared" si="7"/>
        <v>11.914163909020489</v>
      </c>
      <c r="AC19" s="42">
        <f t="shared" si="8"/>
        <v>0.28791721550470256</v>
      </c>
      <c r="AD19" s="40">
        <f t="shared" si="9"/>
        <v>19.421626525699399</v>
      </c>
      <c r="AE19" s="47">
        <f t="shared" si="10"/>
        <v>1.3771869071215342E-3</v>
      </c>
      <c r="AF19" s="5">
        <v>2.58</v>
      </c>
      <c r="AG19" s="5">
        <v>0.08</v>
      </c>
    </row>
    <row r="20" spans="1:33">
      <c r="B20" s="5" t="s">
        <v>236</v>
      </c>
      <c r="C20" s="5" t="s">
        <v>237</v>
      </c>
      <c r="D20" s="35">
        <v>501254.69149265799</v>
      </c>
      <c r="E20" s="35">
        <v>495459.522599408</v>
      </c>
      <c r="F20" s="35">
        <v>2188.6868315607999</v>
      </c>
      <c r="G20" s="35">
        <v>202.73663981000001</v>
      </c>
      <c r="H20" s="35">
        <v>275.05695146929901</v>
      </c>
      <c r="I20" s="42">
        <v>2.4522290519630801</v>
      </c>
      <c r="J20" s="35">
        <v>101.82016500220099</v>
      </c>
      <c r="K20" s="42">
        <v>0.57861772864323002</v>
      </c>
      <c r="L20" s="42">
        <v>7.0295432276195404</v>
      </c>
      <c r="M20" s="42">
        <v>2.9090073714059798E-2</v>
      </c>
      <c r="N20" s="42">
        <v>9.6916986576721598E-2</v>
      </c>
      <c r="O20" s="42">
        <v>0.161060578810233</v>
      </c>
      <c r="P20" s="40">
        <v>16.1116909787489</v>
      </c>
      <c r="Q20" s="40">
        <v>35.0194334222656</v>
      </c>
      <c r="R20" s="40">
        <v>49.381287477940099</v>
      </c>
      <c r="S20" s="42">
        <v>0.422974154293348</v>
      </c>
      <c r="T20" s="40">
        <v>55.145115825187901</v>
      </c>
      <c r="U20" s="40">
        <v>14.870971414066901</v>
      </c>
      <c r="V20" s="42">
        <v>7.1264117669526297E-2</v>
      </c>
      <c r="W20" s="42">
        <v>8.2536890387946098</v>
      </c>
      <c r="X20" s="42">
        <v>0.63575469353275804</v>
      </c>
      <c r="Y20" s="42">
        <v>0.54926623545602804</v>
      </c>
      <c r="Z20" s="42" t="s">
        <v>25</v>
      </c>
      <c r="AA20" s="42" t="s">
        <v>25</v>
      </c>
      <c r="AB20" s="40">
        <f t="shared" si="7"/>
        <v>14.187926373358072</v>
      </c>
      <c r="AC20" s="42">
        <f t="shared" si="8"/>
        <v>0.47270235628118301</v>
      </c>
      <c r="AD20" s="35">
        <f t="shared" si="9"/>
        <v>112.16609282444801</v>
      </c>
      <c r="AE20" s="47">
        <f t="shared" si="10"/>
        <v>1.5818141603556764E-3</v>
      </c>
      <c r="AF20" s="5">
        <v>3.29</v>
      </c>
      <c r="AG20" s="5">
        <v>0.1</v>
      </c>
    </row>
    <row r="21" spans="1:33">
      <c r="B21" s="5" t="s">
        <v>238</v>
      </c>
      <c r="C21" s="5" t="s">
        <v>239</v>
      </c>
      <c r="D21" s="35">
        <v>473423.69233606302</v>
      </c>
      <c r="E21" s="35">
        <v>523245.96794507501</v>
      </c>
      <c r="F21" s="35">
        <v>2385.83653637111</v>
      </c>
      <c r="G21" s="40">
        <v>56.413217631961302</v>
      </c>
      <c r="H21" s="35">
        <v>119.43115269922301</v>
      </c>
      <c r="I21" s="42">
        <v>2.0836774728184402</v>
      </c>
      <c r="J21" s="40">
        <v>79.552981745070497</v>
      </c>
      <c r="K21" s="42">
        <v>1.8290406435720901</v>
      </c>
      <c r="L21" s="40">
        <v>12.4564654678988</v>
      </c>
      <c r="M21" s="42">
        <v>2.2066428356133299E-2</v>
      </c>
      <c r="N21" s="42">
        <v>0.20678557282950599</v>
      </c>
      <c r="O21" s="42">
        <v>0.26247582270561898</v>
      </c>
      <c r="P21" s="40">
        <v>19.797820299916498</v>
      </c>
      <c r="Q21" s="40">
        <v>46.648449176535998</v>
      </c>
      <c r="R21" s="40">
        <v>53.457069217489703</v>
      </c>
      <c r="S21" s="42">
        <v>0.36852184702815499</v>
      </c>
      <c r="T21" s="35">
        <v>154.556784474338</v>
      </c>
      <c r="U21" s="40">
        <v>11.6688933189224</v>
      </c>
      <c r="V21" s="42">
        <v>0.17540690778302101</v>
      </c>
      <c r="W21" s="42">
        <v>7.4430787163972996</v>
      </c>
      <c r="X21" s="42">
        <v>0.443399476070795</v>
      </c>
      <c r="Y21" s="42">
        <v>1.8937160061071201</v>
      </c>
      <c r="Z21" s="42" t="s">
        <v>25</v>
      </c>
      <c r="AA21" s="42" t="s">
        <v>25</v>
      </c>
      <c r="AB21" s="40">
        <f t="shared" si="7"/>
        <v>23.80613751658446</v>
      </c>
      <c r="AC21" s="42">
        <f t="shared" si="8"/>
        <v>1.0674933027024307</v>
      </c>
      <c r="AD21" s="40">
        <f t="shared" si="9"/>
        <v>57.317485194902595</v>
      </c>
      <c r="AE21" s="47">
        <f t="shared" si="10"/>
        <v>3.2993838439234029E-3</v>
      </c>
      <c r="AF21" s="5" t="s">
        <v>216</v>
      </c>
      <c r="AG21" s="5" t="s">
        <v>216</v>
      </c>
    </row>
    <row r="22" spans="1:33">
      <c r="B22" s="5" t="s">
        <v>240</v>
      </c>
      <c r="C22" s="5" t="s">
        <v>241</v>
      </c>
      <c r="D22" s="35">
        <v>499922.31855149602</v>
      </c>
      <c r="E22" s="35">
        <v>495538.26211871102</v>
      </c>
      <c r="F22" s="35">
        <v>3001.3951093733599</v>
      </c>
      <c r="G22" s="35">
        <v>1050.7350129788299</v>
      </c>
      <c r="H22" s="40">
        <v>15.449321608425</v>
      </c>
      <c r="I22" s="42">
        <v>1.4204811792096801</v>
      </c>
      <c r="J22" s="35">
        <v>106.57583168799199</v>
      </c>
      <c r="K22" s="42">
        <v>0.50346472261547603</v>
      </c>
      <c r="L22" s="42">
        <v>0.91530558206087098</v>
      </c>
      <c r="M22" s="42">
        <v>4.95574966083418E-2</v>
      </c>
      <c r="N22" s="42">
        <v>2.57929245341387E-2</v>
      </c>
      <c r="O22" s="42">
        <v>0.107995570381201</v>
      </c>
      <c r="P22" s="40">
        <v>11.1230697094057</v>
      </c>
      <c r="Q22" s="40">
        <v>47.096507042995697</v>
      </c>
      <c r="R22" s="40">
        <v>38.088211850753098</v>
      </c>
      <c r="S22" s="42">
        <v>2.0082537963484501</v>
      </c>
      <c r="T22" s="40">
        <v>55.5238644495237</v>
      </c>
      <c r="U22" s="40">
        <v>23.039763469051401</v>
      </c>
      <c r="V22" s="42">
        <v>5.57225008808181E-2</v>
      </c>
      <c r="W22" s="42">
        <v>2.6101462469523899</v>
      </c>
      <c r="X22" s="42">
        <v>0.73514776040069896</v>
      </c>
      <c r="Y22" s="42">
        <v>0.13445606005011901</v>
      </c>
      <c r="Z22" s="42" t="s">
        <v>25</v>
      </c>
      <c r="AA22" s="42" t="s">
        <v>25</v>
      </c>
      <c r="AB22" s="42">
        <f t="shared" si="7"/>
        <v>1.8470936596246135</v>
      </c>
      <c r="AC22" s="42">
        <f t="shared" si="8"/>
        <v>3.972721262049294E-2</v>
      </c>
      <c r="AD22" s="40">
        <f t="shared" si="9"/>
        <v>10.876118483330144</v>
      </c>
      <c r="AE22" s="47">
        <f t="shared" si="10"/>
        <v>1.013321394454283E-3</v>
      </c>
      <c r="AF22" s="5" t="s">
        <v>216</v>
      </c>
      <c r="AG22" s="5" t="s">
        <v>216</v>
      </c>
    </row>
    <row r="23" spans="1:33">
      <c r="B23" s="5" t="s">
        <v>242</v>
      </c>
      <c r="C23" s="5" t="s">
        <v>243</v>
      </c>
      <c r="D23" s="35">
        <v>469938.09391088702</v>
      </c>
      <c r="E23" s="35">
        <v>526102.21207313798</v>
      </c>
      <c r="F23" s="35">
        <v>2980.8805819279401</v>
      </c>
      <c r="G23" s="40">
        <v>58.454717595129701</v>
      </c>
      <c r="H23" s="40">
        <v>28.9790271016413</v>
      </c>
      <c r="I23" s="42">
        <v>4.8504765461083501</v>
      </c>
      <c r="J23" s="40">
        <v>49.212367740713297</v>
      </c>
      <c r="K23" s="42">
        <v>2.3595473080087701</v>
      </c>
      <c r="L23" s="42">
        <v>2.6700454764288</v>
      </c>
      <c r="M23" s="42">
        <v>3.8403055085153799E-2</v>
      </c>
      <c r="N23" s="42">
        <v>9.0973286021373695E-2</v>
      </c>
      <c r="O23" s="42">
        <v>0.26912850186561499</v>
      </c>
      <c r="P23" s="40">
        <v>43.111693474240901</v>
      </c>
      <c r="Q23" s="35">
        <v>117.05505311822699</v>
      </c>
      <c r="R23" s="40">
        <v>58.300036652203602</v>
      </c>
      <c r="S23" s="42">
        <v>0.87683119861961301</v>
      </c>
      <c r="T23" s="35">
        <v>206.86398381961101</v>
      </c>
      <c r="U23" s="40">
        <v>10.861052163862499</v>
      </c>
      <c r="V23" s="42">
        <v>0.13253129006559899</v>
      </c>
      <c r="W23" s="40">
        <v>25.243309989668798</v>
      </c>
      <c r="X23" s="42">
        <v>0.73604915407982696</v>
      </c>
      <c r="Y23" s="42">
        <v>0.402111688301793</v>
      </c>
      <c r="Z23" s="42" t="s">
        <v>25</v>
      </c>
      <c r="AA23" s="42" t="s">
        <v>25</v>
      </c>
      <c r="AB23" s="42">
        <f t="shared" si="7"/>
        <v>5.0751458844989878</v>
      </c>
      <c r="AC23" s="42">
        <f t="shared" si="8"/>
        <v>0.24583672338051415</v>
      </c>
      <c r="AD23" s="42">
        <f t="shared" si="9"/>
        <v>5.9744701012711516</v>
      </c>
      <c r="AE23" s="47">
        <f t="shared" si="10"/>
        <v>5.4687167925668708E-3</v>
      </c>
      <c r="AF23" s="5">
        <v>3.25</v>
      </c>
      <c r="AG23" s="5">
        <v>0.1</v>
      </c>
    </row>
    <row r="24" spans="1:33">
      <c r="B24" s="5" t="s">
        <v>244</v>
      </c>
      <c r="C24" s="5" t="s">
        <v>245</v>
      </c>
      <c r="D24" s="35">
        <v>470254.03361811099</v>
      </c>
      <c r="E24" s="35">
        <v>525699.65572138305</v>
      </c>
      <c r="F24" s="35">
        <v>1965.19695660914</v>
      </c>
      <c r="G24" s="40">
        <v>61.6928926384821</v>
      </c>
      <c r="H24" s="35">
        <v>521.85399859945903</v>
      </c>
      <c r="I24" s="42">
        <v>4.39282037837636</v>
      </c>
      <c r="J24" s="35">
        <v>125.69021604494699</v>
      </c>
      <c r="K24" s="42">
        <v>0.94936432039559104</v>
      </c>
      <c r="L24" s="42">
        <v>4.4867992732041797</v>
      </c>
      <c r="M24" s="42">
        <v>8.39186950846222E-2</v>
      </c>
      <c r="N24" s="42">
        <v>8.35644861888718E-2</v>
      </c>
      <c r="O24" s="42">
        <v>0.54780058810398802</v>
      </c>
      <c r="P24" s="40">
        <v>45.628011362236798</v>
      </c>
      <c r="Q24" s="35">
        <v>649.69414133109603</v>
      </c>
      <c r="R24" s="40">
        <v>45.939182708691398</v>
      </c>
      <c r="S24" s="42">
        <v>0.47493820152278998</v>
      </c>
      <c r="T24" s="35">
        <v>124.71369966538001</v>
      </c>
      <c r="U24" s="40">
        <v>41.092449920383302</v>
      </c>
      <c r="V24" s="42">
        <v>0.15870267452145301</v>
      </c>
      <c r="W24" s="42">
        <v>9.8865877223882599</v>
      </c>
      <c r="X24" s="42">
        <v>1.9110378896911699</v>
      </c>
      <c r="Y24" s="42">
        <v>0.34981890065998</v>
      </c>
      <c r="Z24" s="42" t="s">
        <v>25</v>
      </c>
      <c r="AA24" s="42">
        <v>6.8290475732512207E-2</v>
      </c>
      <c r="AB24" s="42">
        <f t="shared" si="7"/>
        <v>8.5349100467780215</v>
      </c>
      <c r="AC24" s="42">
        <f t="shared" si="8"/>
        <v>0.10918792337515436</v>
      </c>
      <c r="AD24" s="35">
        <f t="shared" si="9"/>
        <v>118.79702643164815</v>
      </c>
      <c r="AE24" s="47">
        <f t="shared" si="10"/>
        <v>4.358339140001906E-3</v>
      </c>
      <c r="AF24" s="5" t="s">
        <v>216</v>
      </c>
      <c r="AG24" s="5" t="s">
        <v>216</v>
      </c>
    </row>
    <row r="25" spans="1:33">
      <c r="A25" s="36"/>
      <c r="B25" s="37" t="s">
        <v>113</v>
      </c>
      <c r="C25" s="37"/>
      <c r="D25" s="38">
        <f t="shared" ref="D25:AD25" si="11">MEDIAN(D16:D24)</f>
        <v>481545.37625482999</v>
      </c>
      <c r="E25" s="38">
        <f t="shared" si="11"/>
        <v>510697.698938858</v>
      </c>
      <c r="F25" s="38">
        <f t="shared" si="11"/>
        <v>2980.8805819279401</v>
      </c>
      <c r="G25" s="38">
        <f t="shared" si="11"/>
        <v>169.26834607409799</v>
      </c>
      <c r="H25" s="41">
        <f t="shared" si="11"/>
        <v>71.926771758223396</v>
      </c>
      <c r="I25" s="39">
        <f t="shared" si="11"/>
        <v>4.39282037837636</v>
      </c>
      <c r="J25" s="41">
        <f t="shared" si="11"/>
        <v>79.552981745070497</v>
      </c>
      <c r="K25" s="39">
        <f t="shared" si="11"/>
        <v>1.8290406435720901</v>
      </c>
      <c r="L25" s="39">
        <f t="shared" si="11"/>
        <v>6.0517539011533703</v>
      </c>
      <c r="M25" s="39">
        <f t="shared" si="11"/>
        <v>3.8403055085153799E-2</v>
      </c>
      <c r="N25" s="39">
        <f t="shared" si="11"/>
        <v>0.162098692637902</v>
      </c>
      <c r="O25" s="39">
        <f t="shared" si="11"/>
        <v>0.26912850186561499</v>
      </c>
      <c r="P25" s="41">
        <f t="shared" si="11"/>
        <v>43.111693474240901</v>
      </c>
      <c r="Q25" s="38">
        <f t="shared" si="11"/>
        <v>117.05505311822699</v>
      </c>
      <c r="R25" s="41">
        <f t="shared" si="11"/>
        <v>45.939182708691398</v>
      </c>
      <c r="S25" s="39">
        <f t="shared" si="11"/>
        <v>0.87683119861961301</v>
      </c>
      <c r="T25" s="38">
        <f t="shared" si="11"/>
        <v>154.556784474338</v>
      </c>
      <c r="U25" s="41">
        <f t="shared" si="11"/>
        <v>11.6688933189224</v>
      </c>
      <c r="V25" s="39">
        <f t="shared" si="11"/>
        <v>0.17540690778302101</v>
      </c>
      <c r="W25" s="41">
        <f t="shared" si="11"/>
        <v>24.503322070179198</v>
      </c>
      <c r="X25" s="39">
        <f t="shared" si="11"/>
        <v>0.73604915407982696</v>
      </c>
      <c r="Y25" s="39">
        <f t="shared" si="11"/>
        <v>1.3504167581548601</v>
      </c>
      <c r="Z25" s="39">
        <f>MEDIAN(Z16:Z24)</f>
        <v>0.39309176675793533</v>
      </c>
      <c r="AA25" s="39">
        <f>MEDIAN(AA16:AA24)</f>
        <v>7.3057331680027759E-2</v>
      </c>
      <c r="AB25" s="41">
        <f t="shared" si="11"/>
        <v>11.914163909020489</v>
      </c>
      <c r="AC25" s="39">
        <f>MEDIAN(AC16:AC24)</f>
        <v>0.34708561682576783</v>
      </c>
      <c r="AD25" s="41">
        <f t="shared" si="11"/>
        <v>10.876118483330144</v>
      </c>
      <c r="AE25" s="108"/>
      <c r="AF25" s="37"/>
      <c r="AG25" s="37"/>
    </row>
    <row r="26" spans="1:33" ht="18.399999999999999" customHeight="1">
      <c r="A26" s="36"/>
      <c r="B26" s="37" t="s">
        <v>31</v>
      </c>
      <c r="C26" s="37"/>
      <c r="D26" s="38">
        <f t="shared" ref="D26:AD26" si="12">AVERAGE(D16:D24)</f>
        <v>483378.18231675017</v>
      </c>
      <c r="E26" s="38">
        <f t="shared" si="12"/>
        <v>511932.89269593009</v>
      </c>
      <c r="F26" s="38">
        <f t="shared" si="12"/>
        <v>3127.7698557983936</v>
      </c>
      <c r="G26" s="38">
        <f t="shared" si="12"/>
        <v>265.26242069432465</v>
      </c>
      <c r="H26" s="38">
        <f t="shared" si="12"/>
        <v>132.05687554103304</v>
      </c>
      <c r="I26" s="39">
        <f t="shared" si="12"/>
        <v>5.0246392412769945</v>
      </c>
      <c r="J26" s="41">
        <f t="shared" si="12"/>
        <v>85.526354054811108</v>
      </c>
      <c r="K26" s="39">
        <f t="shared" si="12"/>
        <v>2.0710906672438703</v>
      </c>
      <c r="L26" s="39">
        <f t="shared" si="12"/>
        <v>6.1703271225165652</v>
      </c>
      <c r="M26" s="39">
        <f t="shared" si="12"/>
        <v>4.4557999642621207E-2</v>
      </c>
      <c r="N26" s="39">
        <f t="shared" si="12"/>
        <v>0.15909804887342688</v>
      </c>
      <c r="O26" s="39">
        <f t="shared" si="12"/>
        <v>0.30424164645037599</v>
      </c>
      <c r="P26" s="41">
        <f t="shared" si="12"/>
        <v>35.531791922780357</v>
      </c>
      <c r="Q26" s="38">
        <f t="shared" si="12"/>
        <v>179.55070471803057</v>
      </c>
      <c r="R26" s="41">
        <f t="shared" si="12"/>
        <v>46.317541726839977</v>
      </c>
      <c r="S26" s="39">
        <f t="shared" si="12"/>
        <v>1.1012436750903367</v>
      </c>
      <c r="T26" s="38">
        <f t="shared" si="12"/>
        <v>189.09152752464541</v>
      </c>
      <c r="U26" s="41">
        <f t="shared" si="12"/>
        <v>16.695453653453963</v>
      </c>
      <c r="V26" s="39">
        <f t="shared" si="12"/>
        <v>0.27703742389304886</v>
      </c>
      <c r="W26" s="41">
        <f t="shared" si="12"/>
        <v>35.711708742324348</v>
      </c>
      <c r="X26" s="39">
        <f t="shared" si="12"/>
        <v>0.84595385682952007</v>
      </c>
      <c r="Y26" s="39">
        <f t="shared" si="12"/>
        <v>2.2895570640038088</v>
      </c>
      <c r="Z26" s="39">
        <f>AVERAGE(Z16:Z24)</f>
        <v>0.39309176675793533</v>
      </c>
      <c r="AA26" s="39">
        <f>AVERAGE(AA16:AA24)</f>
        <v>0.10509848367865546</v>
      </c>
      <c r="AB26" s="41">
        <f t="shared" si="12"/>
        <v>12.035614336124873</v>
      </c>
      <c r="AC26" s="39">
        <f>AVERAGE(AC16:AC24)</f>
        <v>0.51131359662593834</v>
      </c>
      <c r="AD26" s="41">
        <f t="shared" si="12"/>
        <v>37.953795671601007</v>
      </c>
      <c r="AE26" s="108"/>
      <c r="AF26" s="37"/>
      <c r="AG26" s="37"/>
    </row>
    <row r="27" spans="1:33">
      <c r="A27" s="36"/>
      <c r="B27" s="37" t="s">
        <v>34</v>
      </c>
      <c r="C27" s="37"/>
      <c r="D27" s="38">
        <f t="shared" ref="D27:AD27" si="13">STDEV(D16:D24)</f>
        <v>11705.90522169709</v>
      </c>
      <c r="E27" s="38">
        <f t="shared" si="13"/>
        <v>11721.616837637081</v>
      </c>
      <c r="F27" s="38">
        <f t="shared" si="13"/>
        <v>973.71778495092838</v>
      </c>
      <c r="G27" s="38">
        <f t="shared" si="13"/>
        <v>317.72626155353493</v>
      </c>
      <c r="H27" s="38">
        <f t="shared" si="13"/>
        <v>166.31943249879805</v>
      </c>
      <c r="I27" s="39">
        <f t="shared" si="13"/>
        <v>3.2810666431184248</v>
      </c>
      <c r="J27" s="41">
        <f t="shared" si="13"/>
        <v>44.967047681941558</v>
      </c>
      <c r="K27" s="39">
        <f t="shared" si="13"/>
        <v>1.3518181486885001</v>
      </c>
      <c r="L27" s="39">
        <f t="shared" si="13"/>
        <v>3.9036843582359619</v>
      </c>
      <c r="M27" s="39">
        <f t="shared" si="13"/>
        <v>1.9049841554546587E-2</v>
      </c>
      <c r="N27" s="39">
        <f t="shared" si="13"/>
        <v>0.10832070294444546</v>
      </c>
      <c r="O27" s="39">
        <f t="shared" si="13"/>
        <v>0.1350544244830986</v>
      </c>
      <c r="P27" s="41">
        <f t="shared" si="13"/>
        <v>17.239510707841262</v>
      </c>
      <c r="Q27" s="38">
        <f t="shared" si="13"/>
        <v>189.64645504254943</v>
      </c>
      <c r="R27" s="41">
        <f t="shared" si="13"/>
        <v>18.469861106410285</v>
      </c>
      <c r="S27" s="39">
        <f t="shared" si="13"/>
        <v>0.7591234398229425</v>
      </c>
      <c r="T27" s="38">
        <f t="shared" si="13"/>
        <v>110.03692698125681</v>
      </c>
      <c r="U27" s="41">
        <f t="shared" si="13"/>
        <v>10.511633138619411</v>
      </c>
      <c r="V27" s="39">
        <f t="shared" si="13"/>
        <v>0.22252475348334963</v>
      </c>
      <c r="W27" s="41">
        <f t="shared" si="13"/>
        <v>46.075157441003789</v>
      </c>
      <c r="X27" s="39">
        <f t="shared" si="13"/>
        <v>0.41686525641401562</v>
      </c>
      <c r="Y27" s="39">
        <f t="shared" si="13"/>
        <v>2.5401124623583864</v>
      </c>
      <c r="Z27" s="39">
        <f>STDEV(Z16:Z24)</f>
        <v>0.54694632993748105</v>
      </c>
      <c r="AA27" s="39">
        <f>STDEV(AA16:AA24)</f>
        <v>7.3608207670355294E-2</v>
      </c>
      <c r="AB27" s="39">
        <f t="shared" si="13"/>
        <v>7.5707987618323545</v>
      </c>
      <c r="AC27" s="39">
        <f>STDEV(AC16:AC24)</f>
        <v>0.43136210798469948</v>
      </c>
      <c r="AD27" s="41">
        <f t="shared" si="13"/>
        <v>46.968417803144796</v>
      </c>
      <c r="AE27" s="108"/>
      <c r="AF27" s="37"/>
      <c r="AG27" s="37"/>
    </row>
    <row r="28" spans="1:33" s="255" customFormat="1" ht="14.45" customHeight="1">
      <c r="A28" s="156" t="s">
        <v>246</v>
      </c>
      <c r="B28" s="255" t="s">
        <v>247</v>
      </c>
      <c r="C28" s="255" t="s">
        <v>248</v>
      </c>
      <c r="D28" s="305">
        <v>482973.99142617499</v>
      </c>
      <c r="E28" s="305">
        <v>512803.02408570301</v>
      </c>
      <c r="F28" s="305">
        <v>492.58231222781501</v>
      </c>
      <c r="G28" s="305">
        <v>1806.59978975078</v>
      </c>
      <c r="H28" s="305">
        <v>296.55402159534901</v>
      </c>
      <c r="I28" s="290">
        <v>0.431635843822127</v>
      </c>
      <c r="J28" s="305">
        <v>275.95937547519799</v>
      </c>
      <c r="K28" s="290">
        <v>2.2426532937459398</v>
      </c>
      <c r="L28" s="291">
        <v>11.300182696116901</v>
      </c>
      <c r="M28" s="290">
        <v>0.101845177647671</v>
      </c>
      <c r="N28" s="290" t="s">
        <v>25</v>
      </c>
      <c r="O28" s="290">
        <v>0.51787142520234497</v>
      </c>
      <c r="P28" s="291">
        <v>28.3696431892559</v>
      </c>
      <c r="Q28" s="291">
        <v>22.801163735756901</v>
      </c>
      <c r="R28" s="291">
        <v>18.170047604362299</v>
      </c>
      <c r="S28" s="290">
        <v>2.5236451307499701</v>
      </c>
      <c r="T28" s="305">
        <v>916.35851325136696</v>
      </c>
      <c r="U28" s="291">
        <v>18.711232122286798</v>
      </c>
      <c r="V28" s="290">
        <v>9.9655425971882008E-3</v>
      </c>
      <c r="W28" s="291">
        <v>12.300478133792099</v>
      </c>
      <c r="X28" s="290">
        <v>0.85625335991467699</v>
      </c>
      <c r="Y28" s="290">
        <v>8.5651846561412295E-2</v>
      </c>
      <c r="Z28" s="290">
        <v>7.0692147704511602E-3</v>
      </c>
      <c r="AA28" s="290" t="s">
        <v>25</v>
      </c>
      <c r="AB28" s="291">
        <f>L28/E28*1000000</f>
        <v>22.036107755535273</v>
      </c>
      <c r="AC28" s="290">
        <f>L28/U28</f>
        <v>0.60392509815841278</v>
      </c>
      <c r="AD28" s="305">
        <f t="shared" ref="AD28:AD38" si="14">H28/I28</f>
        <v>687.04679150222773</v>
      </c>
      <c r="AE28" s="219">
        <f t="shared" ref="AE28:AE38" si="15">O28/J28</f>
        <v>1.8766219640502448E-3</v>
      </c>
      <c r="AF28" s="255">
        <v>2.33</v>
      </c>
      <c r="AG28" s="255">
        <v>0.08</v>
      </c>
    </row>
    <row r="29" spans="1:33" s="255" customFormat="1">
      <c r="A29" s="156"/>
      <c r="B29" s="255" t="s">
        <v>249</v>
      </c>
      <c r="C29" s="255" t="s">
        <v>250</v>
      </c>
      <c r="D29" s="305">
        <v>499950.40124486003</v>
      </c>
      <c r="E29" s="305">
        <v>494523.280627509</v>
      </c>
      <c r="F29" s="291">
        <v>54.992208838354003</v>
      </c>
      <c r="G29" s="305">
        <v>3559.4145261630101</v>
      </c>
      <c r="H29" s="290">
        <v>1.10405049779735</v>
      </c>
      <c r="I29" s="290">
        <v>0.79214942348476602</v>
      </c>
      <c r="J29" s="305">
        <v>691.05574836958999</v>
      </c>
      <c r="K29" s="290">
        <v>1.8186715662122399</v>
      </c>
      <c r="L29" s="290">
        <v>1.30510239033258</v>
      </c>
      <c r="M29" s="290">
        <v>2.8398756655503499E-2</v>
      </c>
      <c r="N29" s="290">
        <v>0.113332306361586</v>
      </c>
      <c r="O29" s="290">
        <v>2.0708331647367402</v>
      </c>
      <c r="P29" s="291">
        <v>29.500087225471599</v>
      </c>
      <c r="Q29" s="305">
        <v>371.07924737791399</v>
      </c>
      <c r="R29" s="291">
        <v>32.234368457731897</v>
      </c>
      <c r="S29" s="290">
        <v>1.7229505796073401</v>
      </c>
      <c r="T29" s="305">
        <v>598.20067160756503</v>
      </c>
      <c r="U29" s="290">
        <v>4.3834005959479398</v>
      </c>
      <c r="V29" s="290">
        <v>1.87925356624822E-2</v>
      </c>
      <c r="W29" s="290">
        <v>0.43283888109782198</v>
      </c>
      <c r="X29" s="290">
        <v>3.6566753352753101</v>
      </c>
      <c r="Y29" s="290">
        <v>6.8246508808990003E-3</v>
      </c>
      <c r="Z29" s="290" t="s">
        <v>25</v>
      </c>
      <c r="AA29" s="290" t="s">
        <v>25</v>
      </c>
      <c r="AB29" s="290">
        <f>L29/E29*1000000</f>
        <v>2.6391121337634771</v>
      </c>
      <c r="AC29" s="290">
        <f>L29/U29</f>
        <v>0.2977374213844452</v>
      </c>
      <c r="AD29" s="290">
        <f t="shared" si="14"/>
        <v>1.3937402023730465</v>
      </c>
      <c r="AE29" s="219">
        <f t="shared" si="15"/>
        <v>2.9966224427225492E-3</v>
      </c>
      <c r="AF29" s="255" t="s">
        <v>216</v>
      </c>
      <c r="AG29" s="255" t="s">
        <v>216</v>
      </c>
    </row>
    <row r="30" spans="1:33" s="255" customFormat="1">
      <c r="A30" s="156"/>
      <c r="B30" s="255" t="s">
        <v>251</v>
      </c>
      <c r="C30" s="255" t="s">
        <v>252</v>
      </c>
      <c r="D30" s="305">
        <v>500238.65811179602</v>
      </c>
      <c r="E30" s="305">
        <v>497267.95020340802</v>
      </c>
      <c r="F30" s="305">
        <v>107.377259905526</v>
      </c>
      <c r="G30" s="305">
        <v>411.23743202138201</v>
      </c>
      <c r="H30" s="290">
        <v>7.3567757266809002</v>
      </c>
      <c r="I30" s="290">
        <v>0.47363973294164802</v>
      </c>
      <c r="J30" s="305">
        <v>372.78342263853898</v>
      </c>
      <c r="K30" s="290">
        <v>1.35106493441507</v>
      </c>
      <c r="L30" s="290">
        <v>1.1166592622517399</v>
      </c>
      <c r="M30" s="290">
        <v>1.3100717301249501E-2</v>
      </c>
      <c r="N30" s="290">
        <v>0.10444623465333799</v>
      </c>
      <c r="O30" s="290">
        <v>0.69699080934353896</v>
      </c>
      <c r="P30" s="290">
        <v>8.3248240626699204</v>
      </c>
      <c r="Q30" s="291">
        <v>58.786644657464201</v>
      </c>
      <c r="R30" s="291">
        <v>15.327539250340299</v>
      </c>
      <c r="S30" s="290">
        <v>0.51011450530318903</v>
      </c>
      <c r="T30" s="305">
        <v>1276.3628905570899</v>
      </c>
      <c r="U30" s="291">
        <v>21.157851038359102</v>
      </c>
      <c r="V30" s="290" t="s">
        <v>25</v>
      </c>
      <c r="W30" s="290" t="s">
        <v>25</v>
      </c>
      <c r="X30" s="290">
        <v>1.22143193095576</v>
      </c>
      <c r="Y30" s="290">
        <v>2.2036302468811799E-2</v>
      </c>
      <c r="Z30" s="290" t="s">
        <v>25</v>
      </c>
      <c r="AA30" s="290" t="s">
        <v>25</v>
      </c>
      <c r="AB30" s="290">
        <f>L30/E30*1000000</f>
        <v>2.2455886445023641</v>
      </c>
      <c r="AC30" s="290">
        <f>L30/U30</f>
        <v>5.2777536822016614E-2</v>
      </c>
      <c r="AD30" s="291">
        <f t="shared" si="14"/>
        <v>15.532429428988062</v>
      </c>
      <c r="AE30" s="219">
        <f t="shared" si="15"/>
        <v>1.8696936800737525E-3</v>
      </c>
      <c r="AF30" s="255" t="s">
        <v>216</v>
      </c>
      <c r="AG30" s="255" t="s">
        <v>216</v>
      </c>
    </row>
    <row r="31" spans="1:33" s="255" customFormat="1">
      <c r="A31" s="156"/>
      <c r="B31" s="255" t="s">
        <v>253</v>
      </c>
      <c r="C31" s="255" t="s">
        <v>254</v>
      </c>
      <c r="D31" s="305">
        <v>504357.82412203099</v>
      </c>
      <c r="E31" s="305">
        <v>492227.46348985302</v>
      </c>
      <c r="F31" s="305">
        <v>197.766918566828</v>
      </c>
      <c r="G31" s="305">
        <v>1312.18021833284</v>
      </c>
      <c r="H31" s="291">
        <v>17.104762251677901</v>
      </c>
      <c r="I31" s="290">
        <v>0.26814319081296201</v>
      </c>
      <c r="J31" s="305">
        <v>428.033668212078</v>
      </c>
      <c r="K31" s="290">
        <v>4.9916651331772997</v>
      </c>
      <c r="L31" s="290">
        <v>1.0930103463663401</v>
      </c>
      <c r="M31" s="290">
        <v>7.6429088354784203E-3</v>
      </c>
      <c r="N31" s="290">
        <v>0.164444471747141</v>
      </c>
      <c r="O31" s="290">
        <v>0.78469401815381901</v>
      </c>
      <c r="P31" s="291">
        <v>10.6162045421303</v>
      </c>
      <c r="Q31" s="291">
        <v>28.3461460094322</v>
      </c>
      <c r="R31" s="290">
        <v>5.2226724672240197</v>
      </c>
      <c r="S31" s="290">
        <v>0.196723965357957</v>
      </c>
      <c r="T31" s="305">
        <v>1034.00347030584</v>
      </c>
      <c r="U31" s="305">
        <v>131.26183288306399</v>
      </c>
      <c r="V31" s="290">
        <v>1.4196338528216701E-2</v>
      </c>
      <c r="W31" s="290" t="s">
        <v>25</v>
      </c>
      <c r="X31" s="290">
        <v>0.37317697142557199</v>
      </c>
      <c r="Y31" s="290">
        <v>5.6718791629077399E-2</v>
      </c>
      <c r="Z31" s="290" t="s">
        <v>25</v>
      </c>
      <c r="AA31" s="290" t="s">
        <v>25</v>
      </c>
      <c r="AB31" s="290">
        <f>L31/E31*1000000</f>
        <v>2.2205391357422135</v>
      </c>
      <c r="AC31" s="290">
        <f>L31/U31</f>
        <v>8.3269471586615747E-3</v>
      </c>
      <c r="AD31" s="291">
        <f t="shared" si="14"/>
        <v>63.789657308915181</v>
      </c>
      <c r="AE31" s="219">
        <f t="shared" si="15"/>
        <v>1.8332530275749859E-3</v>
      </c>
      <c r="AF31" s="255" t="s">
        <v>216</v>
      </c>
      <c r="AG31" s="255" t="s">
        <v>216</v>
      </c>
    </row>
    <row r="32" spans="1:33" s="255" customFormat="1">
      <c r="A32" s="156"/>
      <c r="B32" s="255" t="s">
        <v>255</v>
      </c>
      <c r="C32" s="255" t="s">
        <v>256</v>
      </c>
      <c r="D32" s="305">
        <v>488575.41201479902</v>
      </c>
      <c r="E32" s="305">
        <v>507976.21684772201</v>
      </c>
      <c r="F32" s="291">
        <v>74.708362672655596</v>
      </c>
      <c r="G32" s="305">
        <v>420.67138555963498</v>
      </c>
      <c r="H32" s="291">
        <v>16.639752453630901</v>
      </c>
      <c r="I32" s="290">
        <v>1.7560390469115601</v>
      </c>
      <c r="J32" s="305">
        <v>644.34745038364997</v>
      </c>
      <c r="K32" s="290">
        <v>1.72317771736006</v>
      </c>
      <c r="L32" s="249" t="s">
        <v>25</v>
      </c>
      <c r="M32" s="290">
        <v>5.2652157948440803E-2</v>
      </c>
      <c r="N32" s="290">
        <v>9.9091613392666603E-2</v>
      </c>
      <c r="O32" s="290">
        <v>0.67536191044024096</v>
      </c>
      <c r="P32" s="290">
        <v>2.93735977923382</v>
      </c>
      <c r="Q32" s="305">
        <v>151.21233443887101</v>
      </c>
      <c r="R32" s="291">
        <v>58.966165738469002</v>
      </c>
      <c r="S32" s="290">
        <v>0.45149356710857602</v>
      </c>
      <c r="T32" s="305">
        <v>1858.9802098697501</v>
      </c>
      <c r="U32" s="291">
        <v>29.264134600181901</v>
      </c>
      <c r="V32" s="290">
        <v>6.6303501887032103E-3</v>
      </c>
      <c r="W32" s="290">
        <v>1.2204748949802899</v>
      </c>
      <c r="X32" s="290">
        <v>1.3330635664227399</v>
      </c>
      <c r="Y32" s="290" t="s">
        <v>75</v>
      </c>
      <c r="Z32" s="290" t="s">
        <v>25</v>
      </c>
      <c r="AA32" s="290" t="s">
        <v>25</v>
      </c>
      <c r="AB32" s="290"/>
      <c r="AC32" s="290"/>
      <c r="AD32" s="290">
        <f t="shared" si="14"/>
        <v>9.4757303278057083</v>
      </c>
      <c r="AE32" s="219">
        <f t="shared" si="15"/>
        <v>1.0481331307171692E-3</v>
      </c>
      <c r="AF32" s="255" t="s">
        <v>216</v>
      </c>
      <c r="AG32" s="255" t="s">
        <v>216</v>
      </c>
    </row>
    <row r="33" spans="1:33" s="255" customFormat="1">
      <c r="A33" s="156"/>
      <c r="B33" s="255" t="s">
        <v>257</v>
      </c>
      <c r="C33" s="255" t="s">
        <v>258</v>
      </c>
      <c r="D33" s="305">
        <v>490755.17271664902</v>
      </c>
      <c r="E33" s="305">
        <v>506233.19244047499</v>
      </c>
      <c r="F33" s="291">
        <v>39.257097142112599</v>
      </c>
      <c r="G33" s="305">
        <v>1209.90562304734</v>
      </c>
      <c r="H33" s="290">
        <v>5.6464541807411299</v>
      </c>
      <c r="I33" s="290">
        <v>1.3866784840003901</v>
      </c>
      <c r="J33" s="305">
        <v>607.656418252256</v>
      </c>
      <c r="K33" s="290">
        <v>1.1354277281211</v>
      </c>
      <c r="L33" s="249" t="s">
        <v>25</v>
      </c>
      <c r="M33" s="290">
        <v>1.36628699800248E-2</v>
      </c>
      <c r="N33" s="290" t="s">
        <v>25</v>
      </c>
      <c r="O33" s="290">
        <v>0.32430868732763402</v>
      </c>
      <c r="P33" s="290">
        <v>1.3021809250310901</v>
      </c>
      <c r="Q33" s="305">
        <v>151.14063480267899</v>
      </c>
      <c r="R33" s="291">
        <v>52.351310810099797</v>
      </c>
      <c r="S33" s="290">
        <v>0.81029029761521298</v>
      </c>
      <c r="T33" s="305">
        <v>693.36918736698897</v>
      </c>
      <c r="U33" s="291">
        <v>32.360397457003998</v>
      </c>
      <c r="V33" s="290" t="s">
        <v>25</v>
      </c>
      <c r="W33" s="290">
        <v>0.48451548076735201</v>
      </c>
      <c r="X33" s="290">
        <v>1.6716223475907299</v>
      </c>
      <c r="Y33" s="290">
        <v>0.265705267990472</v>
      </c>
      <c r="Z33" s="290">
        <v>6.19036685768516E-3</v>
      </c>
      <c r="AA33" s="290" t="s">
        <v>25</v>
      </c>
      <c r="AB33" s="290"/>
      <c r="AC33" s="290"/>
      <c r="AD33" s="290">
        <f t="shared" si="14"/>
        <v>4.0719274481362344</v>
      </c>
      <c r="AE33" s="219">
        <f t="shared" si="15"/>
        <v>5.3370404324932835E-4</v>
      </c>
      <c r="AF33" s="255">
        <v>1.93</v>
      </c>
      <c r="AG33" s="255">
        <v>0.09</v>
      </c>
    </row>
    <row r="34" spans="1:33" s="255" customFormat="1">
      <c r="A34" s="156"/>
      <c r="B34" s="255" t="s">
        <v>259</v>
      </c>
      <c r="C34" s="255" t="s">
        <v>260</v>
      </c>
      <c r="D34" s="305">
        <v>486771.457066364</v>
      </c>
      <c r="E34" s="305">
        <v>508702.94924515003</v>
      </c>
      <c r="F34" s="291">
        <v>99.429675616198594</v>
      </c>
      <c r="G34" s="305">
        <v>1619.9750799479</v>
      </c>
      <c r="H34" s="290">
        <v>2.80096402334914</v>
      </c>
      <c r="I34" s="290">
        <v>1.6770448956153401</v>
      </c>
      <c r="J34" s="305">
        <v>583.96338036134796</v>
      </c>
      <c r="K34" s="290">
        <v>2.0133591125843902</v>
      </c>
      <c r="L34" s="290">
        <v>0.79605142790774197</v>
      </c>
      <c r="M34" s="290">
        <v>1.5280143657789E-2</v>
      </c>
      <c r="N34" s="290" t="s">
        <v>25</v>
      </c>
      <c r="O34" s="290">
        <v>0.29466630205140998</v>
      </c>
      <c r="P34" s="290">
        <v>5.0751411079017998</v>
      </c>
      <c r="Q34" s="291">
        <v>94.695971628820004</v>
      </c>
      <c r="R34" s="291">
        <v>48.474785370872603</v>
      </c>
      <c r="S34" s="290">
        <v>2.2545651124186601</v>
      </c>
      <c r="T34" s="305">
        <v>1889.78954194927</v>
      </c>
      <c r="U34" s="291">
        <v>34.598742589389097</v>
      </c>
      <c r="V34" s="290">
        <v>4.7476801957401601E-2</v>
      </c>
      <c r="W34" s="290" t="s">
        <v>25</v>
      </c>
      <c r="X34" s="290">
        <v>2.26017606613265</v>
      </c>
      <c r="Y34" s="290">
        <v>1.37574331740947E-2</v>
      </c>
      <c r="Z34" s="290" t="s">
        <v>25</v>
      </c>
      <c r="AA34" s="290" t="s">
        <v>25</v>
      </c>
      <c r="AB34" s="290">
        <f>L34/E34*1000000</f>
        <v>1.5648649749111545</v>
      </c>
      <c r="AC34" s="290">
        <f>L34/U34</f>
        <v>2.3008102847988432E-2</v>
      </c>
      <c r="AD34" s="290">
        <f t="shared" si="14"/>
        <v>1.6701783182264851</v>
      </c>
      <c r="AE34" s="219">
        <f t="shared" si="15"/>
        <v>5.0459722640326318E-4</v>
      </c>
      <c r="AF34" s="255" t="s">
        <v>216</v>
      </c>
      <c r="AG34" s="255" t="s">
        <v>216</v>
      </c>
    </row>
    <row r="35" spans="1:33" s="255" customFormat="1">
      <c r="A35" s="156"/>
      <c r="B35" s="255" t="s">
        <v>261</v>
      </c>
      <c r="C35" s="255" t="s">
        <v>262</v>
      </c>
      <c r="D35" s="305">
        <v>477728.20976843103</v>
      </c>
      <c r="E35" s="305">
        <v>510460.27079638198</v>
      </c>
      <c r="F35" s="291">
        <v>59.525679783331398</v>
      </c>
      <c r="G35" s="305">
        <v>10304.404339523</v>
      </c>
      <c r="H35" s="291">
        <v>10.8865424478149</v>
      </c>
      <c r="I35" s="290">
        <v>2.3812504089445099</v>
      </c>
      <c r="J35" s="305">
        <v>192.61930088403599</v>
      </c>
      <c r="K35" s="290">
        <v>4.3333443799448901</v>
      </c>
      <c r="L35" s="290">
        <v>1.5182612767666901</v>
      </c>
      <c r="M35" s="290">
        <v>3.00905977396606E-2</v>
      </c>
      <c r="N35" s="290">
        <v>3.0082285321611401E-2</v>
      </c>
      <c r="O35" s="290">
        <v>0.36179784568073498</v>
      </c>
      <c r="P35" s="291">
        <v>11.335541967141999</v>
      </c>
      <c r="Q35" s="305">
        <v>109.64344180920401</v>
      </c>
      <c r="R35" s="291">
        <v>68.9131353545487</v>
      </c>
      <c r="S35" s="290">
        <v>9.1467158461803706</v>
      </c>
      <c r="T35" s="305">
        <v>890.12403979634905</v>
      </c>
      <c r="U35" s="291">
        <v>20.0737093425921</v>
      </c>
      <c r="V35" s="290">
        <v>5.09496784686162E-2</v>
      </c>
      <c r="W35" s="290">
        <v>0.76509841953422597</v>
      </c>
      <c r="X35" s="290">
        <v>3.5839114144952799</v>
      </c>
      <c r="Y35" s="290">
        <v>7.2687935509215804E-2</v>
      </c>
      <c r="Z35" s="290" t="s">
        <v>25</v>
      </c>
      <c r="AA35" s="290" t="s">
        <v>25</v>
      </c>
      <c r="AB35" s="290">
        <f>L35/E35*1000000</f>
        <v>2.9742986156356737</v>
      </c>
      <c r="AC35" s="290">
        <f>L35/U35</f>
        <v>7.5634316052652306E-2</v>
      </c>
      <c r="AD35" s="290">
        <f t="shared" si="14"/>
        <v>4.5717755709028367</v>
      </c>
      <c r="AE35" s="219">
        <f t="shared" si="15"/>
        <v>1.8783052581971044E-3</v>
      </c>
      <c r="AF35" s="255" t="s">
        <v>216</v>
      </c>
      <c r="AG35" s="255" t="s">
        <v>216</v>
      </c>
    </row>
    <row r="36" spans="1:33" s="255" customFormat="1">
      <c r="A36" s="156"/>
      <c r="B36" s="255" t="s">
        <v>263</v>
      </c>
      <c r="C36" s="255" t="s">
        <v>264</v>
      </c>
      <c r="D36" s="305">
        <v>481377.68249242601</v>
      </c>
      <c r="E36" s="305">
        <v>503604.24876279302</v>
      </c>
      <c r="F36" s="305">
        <v>1362.4854387407399</v>
      </c>
      <c r="G36" s="305">
        <v>6989.1937380974396</v>
      </c>
      <c r="H36" s="290">
        <v>6.1425760307737196</v>
      </c>
      <c r="I36" s="290">
        <v>1.0044315695477699</v>
      </c>
      <c r="J36" s="305">
        <v>1585.3679743085299</v>
      </c>
      <c r="K36" s="291">
        <v>14.732559994646101</v>
      </c>
      <c r="L36" s="290">
        <v>0.87366820840381498</v>
      </c>
      <c r="M36" s="290">
        <v>2.1266998091263499E-2</v>
      </c>
      <c r="N36" s="290" t="s">
        <v>25</v>
      </c>
      <c r="O36" s="290">
        <v>0.99684973352390105</v>
      </c>
      <c r="P36" s="291">
        <v>10.256979045274999</v>
      </c>
      <c r="Q36" s="305">
        <v>203.606838908594</v>
      </c>
      <c r="R36" s="291">
        <v>24.260823156972901</v>
      </c>
      <c r="S36" s="290">
        <v>0.68324373354474599</v>
      </c>
      <c r="T36" s="305">
        <v>4603.28295068442</v>
      </c>
      <c r="U36" s="291">
        <v>11.340945890847401</v>
      </c>
      <c r="V36" s="249" t="s">
        <v>25</v>
      </c>
      <c r="W36" s="290">
        <v>0.53177489937348299</v>
      </c>
      <c r="X36" s="290">
        <v>2.8306814421096198</v>
      </c>
      <c r="Y36" s="290">
        <v>2.6108245922377701E-2</v>
      </c>
      <c r="Z36" s="290" t="s">
        <v>25</v>
      </c>
      <c r="AA36" s="290">
        <v>6.5144544987080694E-2</v>
      </c>
      <c r="AB36" s="290">
        <f>L36/E36*1000000</f>
        <v>1.7348308926109339</v>
      </c>
      <c r="AC36" s="290">
        <f>L36/U36</f>
        <v>7.7036626116777474E-2</v>
      </c>
      <c r="AD36" s="290">
        <f t="shared" si="14"/>
        <v>6.1154748785318658</v>
      </c>
      <c r="AE36" s="219">
        <f t="shared" si="15"/>
        <v>6.2878129852388651E-4</v>
      </c>
      <c r="AF36" s="255">
        <v>2.96</v>
      </c>
      <c r="AG36" s="255">
        <v>0.13</v>
      </c>
    </row>
    <row r="37" spans="1:33" s="255" customFormat="1">
      <c r="A37" s="156"/>
      <c r="B37" s="255" t="s">
        <v>265</v>
      </c>
      <c r="C37" s="255" t="s">
        <v>266</v>
      </c>
      <c r="D37" s="305">
        <v>496727.77425521601</v>
      </c>
      <c r="E37" s="305">
        <v>501858.96907708398</v>
      </c>
      <c r="F37" s="305">
        <v>379.63125964275201</v>
      </c>
      <c r="G37" s="291">
        <v>67.265556225986302</v>
      </c>
      <c r="H37" s="291">
        <v>19.969394459331699</v>
      </c>
      <c r="I37" s="290">
        <v>0.43930803535656399</v>
      </c>
      <c r="J37" s="305">
        <v>180.37818999332501</v>
      </c>
      <c r="K37" s="290">
        <v>0.32781716135628203</v>
      </c>
      <c r="L37" s="249" t="s">
        <v>25</v>
      </c>
      <c r="M37" s="290">
        <v>5.1466010362673502E-2</v>
      </c>
      <c r="N37" s="290" t="s">
        <v>25</v>
      </c>
      <c r="O37" s="290">
        <v>0.173937386508694</v>
      </c>
      <c r="P37" s="290">
        <v>1.0718423157467101</v>
      </c>
      <c r="Q37" s="291">
        <v>60.501223539326801</v>
      </c>
      <c r="R37" s="291">
        <v>24.701400385027402</v>
      </c>
      <c r="S37" s="290">
        <v>0.19248758121246601</v>
      </c>
      <c r="T37" s="305">
        <v>409.58787402299299</v>
      </c>
      <c r="U37" s="291">
        <v>10.6676501701979</v>
      </c>
      <c r="V37" s="290" t="s">
        <v>25</v>
      </c>
      <c r="W37" s="290">
        <v>5.3079002508590198</v>
      </c>
      <c r="X37" s="290">
        <v>0.50841917907664702</v>
      </c>
      <c r="Y37" s="290">
        <v>0.16509002541113901</v>
      </c>
      <c r="Z37" s="290">
        <v>5.2787085809368802E-3</v>
      </c>
      <c r="AA37" s="290" t="s">
        <v>25</v>
      </c>
      <c r="AB37" s="290"/>
      <c r="AC37" s="290"/>
      <c r="AD37" s="291">
        <f t="shared" si="14"/>
        <v>45.456474391877578</v>
      </c>
      <c r="AE37" s="219">
        <f t="shared" si="15"/>
        <v>9.6429278126768342E-4</v>
      </c>
      <c r="AF37" s="255" t="s">
        <v>216</v>
      </c>
      <c r="AG37" s="255" t="s">
        <v>216</v>
      </c>
    </row>
    <row r="38" spans="1:33" s="255" customFormat="1">
      <c r="A38" s="156"/>
      <c r="B38" s="255" t="s">
        <v>267</v>
      </c>
      <c r="C38" s="255" t="s">
        <v>268</v>
      </c>
      <c r="D38" s="305">
        <v>507000.430338017</v>
      </c>
      <c r="E38" s="305">
        <v>488399.06772142899</v>
      </c>
      <c r="F38" s="291">
        <v>86.137692737611104</v>
      </c>
      <c r="G38" s="305">
        <v>1880.5207820077301</v>
      </c>
      <c r="H38" s="290">
        <v>3.88436131777812</v>
      </c>
      <c r="I38" s="290">
        <v>1.4937769207473299</v>
      </c>
      <c r="J38" s="305">
        <v>372.11167854987099</v>
      </c>
      <c r="K38" s="290">
        <v>2.6615893392294101</v>
      </c>
      <c r="L38" s="290">
        <v>1.3864370524068299</v>
      </c>
      <c r="M38" s="290">
        <v>2.2294043388403E-2</v>
      </c>
      <c r="N38" s="290" t="s">
        <v>25</v>
      </c>
      <c r="O38" s="290">
        <v>0.45639805721870602</v>
      </c>
      <c r="P38" s="290">
        <v>6.6218093259714204</v>
      </c>
      <c r="Q38" s="291">
        <v>79.320147122223304</v>
      </c>
      <c r="R38" s="291">
        <v>52.848987249733099</v>
      </c>
      <c r="S38" s="290">
        <v>1.6124889120941399</v>
      </c>
      <c r="T38" s="305">
        <v>1920.64593574066</v>
      </c>
      <c r="U38" s="291">
        <v>33.619370576314097</v>
      </c>
      <c r="V38" s="290">
        <v>7.1444374037424102E-3</v>
      </c>
      <c r="W38" s="290" t="s">
        <v>25</v>
      </c>
      <c r="X38" s="290">
        <v>2.3862028953477701</v>
      </c>
      <c r="Y38" s="290" t="s">
        <v>75</v>
      </c>
      <c r="Z38" s="290" t="s">
        <v>25</v>
      </c>
      <c r="AA38" s="290" t="s">
        <v>25</v>
      </c>
      <c r="AB38" s="290">
        <f>L38/E38*1000000</f>
        <v>2.8387381222390458</v>
      </c>
      <c r="AC38" s="290">
        <f>L38/U38</f>
        <v>4.1239232877953357E-2</v>
      </c>
      <c r="AD38" s="290">
        <f t="shared" si="14"/>
        <v>2.6003623859945511</v>
      </c>
      <c r="AE38" s="219">
        <f t="shared" si="15"/>
        <v>1.2265082864297656E-3</v>
      </c>
      <c r="AF38" s="255" t="s">
        <v>216</v>
      </c>
      <c r="AG38" s="255" t="s">
        <v>216</v>
      </c>
    </row>
    <row r="39" spans="1:33">
      <c r="A39" s="36"/>
      <c r="B39" s="37" t="s">
        <v>113</v>
      </c>
      <c r="C39" s="37"/>
      <c r="D39" s="38">
        <f t="shared" ref="D39:AD39" si="16">MEDIAN(D28:D38)</f>
        <v>490755.17271664902</v>
      </c>
      <c r="E39" s="38">
        <f t="shared" si="16"/>
        <v>503604.24876279302</v>
      </c>
      <c r="F39" s="41">
        <f t="shared" si="16"/>
        <v>99.429675616198594</v>
      </c>
      <c r="G39" s="38">
        <f t="shared" si="16"/>
        <v>1619.9750799479</v>
      </c>
      <c r="H39" s="39">
        <f t="shared" si="16"/>
        <v>7.3567757266809002</v>
      </c>
      <c r="I39" s="39">
        <f t="shared" si="16"/>
        <v>1.0044315695477699</v>
      </c>
      <c r="J39" s="38">
        <f t="shared" si="16"/>
        <v>428.033668212078</v>
      </c>
      <c r="K39" s="39">
        <f t="shared" si="16"/>
        <v>2.0133591125843902</v>
      </c>
      <c r="L39" s="39">
        <f t="shared" si="16"/>
        <v>1.21088082629216</v>
      </c>
      <c r="M39" s="39">
        <f t="shared" si="16"/>
        <v>2.2294043388403E-2</v>
      </c>
      <c r="N39" s="39">
        <f t="shared" si="16"/>
        <v>0.10444623465333799</v>
      </c>
      <c r="O39" s="39">
        <f t="shared" si="16"/>
        <v>0.51787142520234497</v>
      </c>
      <c r="P39" s="41">
        <f t="shared" si="16"/>
        <v>8.3248240626699204</v>
      </c>
      <c r="Q39" s="38">
        <f t="shared" si="16"/>
        <v>94.695971628820004</v>
      </c>
      <c r="R39" s="41">
        <f t="shared" si="16"/>
        <v>32.234368457731897</v>
      </c>
      <c r="S39" s="39">
        <f t="shared" si="16"/>
        <v>0.81029029761521298</v>
      </c>
      <c r="T39" s="38">
        <f t="shared" si="16"/>
        <v>1034.00347030584</v>
      </c>
      <c r="U39" s="41">
        <f t="shared" si="16"/>
        <v>21.157851038359102</v>
      </c>
      <c r="V39" s="39">
        <f t="shared" si="16"/>
        <v>1.4196338528216701E-2</v>
      </c>
      <c r="W39" s="39">
        <f t="shared" si="16"/>
        <v>0.76509841953422597</v>
      </c>
      <c r="X39" s="39">
        <f t="shared" si="16"/>
        <v>1.6716223475907299</v>
      </c>
      <c r="Y39" s="39">
        <f t="shared" si="16"/>
        <v>5.6718791629077399E-2</v>
      </c>
      <c r="Z39" s="39">
        <f>MEDIAN(Z28:Z38)</f>
        <v>6.19036685768516E-3</v>
      </c>
      <c r="AA39" s="39" t="s">
        <v>75</v>
      </c>
      <c r="AB39" s="39">
        <f t="shared" si="16"/>
        <v>2.4423503891329208</v>
      </c>
      <c r="AC39" s="39">
        <f>MEDIAN(AC28:AC38)</f>
        <v>6.4205926437334457E-2</v>
      </c>
      <c r="AD39" s="39">
        <f t="shared" si="16"/>
        <v>6.1154748785318658</v>
      </c>
      <c r="AE39" s="108"/>
      <c r="AF39" s="37"/>
      <c r="AG39" s="37"/>
    </row>
    <row r="40" spans="1:33">
      <c r="A40" s="36"/>
      <c r="B40" s="37" t="s">
        <v>31</v>
      </c>
      <c r="C40" s="37"/>
      <c r="D40" s="38">
        <f t="shared" ref="D40:AD40" si="17">AVERAGE(D28:D38)</f>
        <v>492405.18305061484</v>
      </c>
      <c r="E40" s="38">
        <f t="shared" si="17"/>
        <v>502186.9666634099</v>
      </c>
      <c r="F40" s="38">
        <f t="shared" si="17"/>
        <v>268.53580962490219</v>
      </c>
      <c r="G40" s="38">
        <f t="shared" si="17"/>
        <v>2689.215315516095</v>
      </c>
      <c r="H40" s="39">
        <f t="shared" si="17"/>
        <v>35.280877725902251</v>
      </c>
      <c r="I40" s="39">
        <f t="shared" si="17"/>
        <v>1.1003725047440878</v>
      </c>
      <c r="J40" s="38">
        <f t="shared" si="17"/>
        <v>539.47969158440185</v>
      </c>
      <c r="K40" s="39">
        <f t="shared" si="17"/>
        <v>3.3937573055266159</v>
      </c>
      <c r="L40" s="39">
        <f t="shared" si="17"/>
        <v>2.4236715825690793</v>
      </c>
      <c r="M40" s="39">
        <f t="shared" si="17"/>
        <v>3.2518216509832512E-2</v>
      </c>
      <c r="N40" s="39">
        <f t="shared" si="17"/>
        <v>0.1022793822952686</v>
      </c>
      <c r="O40" s="39">
        <f t="shared" si="17"/>
        <v>0.6685190309261605</v>
      </c>
      <c r="P40" s="41">
        <f t="shared" si="17"/>
        <v>10.491964862348143</v>
      </c>
      <c r="Q40" s="38">
        <f t="shared" si="17"/>
        <v>121.01216309366228</v>
      </c>
      <c r="R40" s="41">
        <f t="shared" si="17"/>
        <v>36.497385076852908</v>
      </c>
      <c r="S40" s="39">
        <f t="shared" si="17"/>
        <v>1.8277017482902387</v>
      </c>
      <c r="T40" s="38">
        <f t="shared" si="17"/>
        <v>1462.7913895592994</v>
      </c>
      <c r="U40" s="41">
        <f t="shared" si="17"/>
        <v>31.585387933289486</v>
      </c>
      <c r="V40" s="39">
        <f t="shared" si="17"/>
        <v>2.2165097829478647E-2</v>
      </c>
      <c r="W40" s="39">
        <f t="shared" si="17"/>
        <v>3.0061544229148991</v>
      </c>
      <c r="X40" s="39">
        <f t="shared" si="17"/>
        <v>1.8801467735224322</v>
      </c>
      <c r="Y40" s="39">
        <f t="shared" si="17"/>
        <v>7.9397833283055538E-2</v>
      </c>
      <c r="Z40" s="39">
        <f>AVERAGE(Z28:Z38)</f>
        <v>6.1794300696910677E-3</v>
      </c>
      <c r="AA40" s="39" t="s">
        <v>75</v>
      </c>
      <c r="AB40" s="39">
        <f t="shared" si="17"/>
        <v>4.7817600343675171</v>
      </c>
      <c r="AC40" s="39">
        <f>AVERAGE(AC28:AC38)</f>
        <v>0.14746066017736345</v>
      </c>
      <c r="AD40" s="41">
        <f t="shared" si="17"/>
        <v>76.520412887634464</v>
      </c>
      <c r="AE40" s="108"/>
      <c r="AF40" s="37"/>
      <c r="AG40" s="37"/>
    </row>
    <row r="41" spans="1:33">
      <c r="A41" s="36"/>
      <c r="B41" s="37" t="s">
        <v>34</v>
      </c>
      <c r="C41" s="37"/>
      <c r="D41" s="38">
        <f t="shared" ref="D41:AD41" si="18">STDEV(D28:D38)</f>
        <v>9838.4986319855907</v>
      </c>
      <c r="E41" s="38">
        <f t="shared" si="18"/>
        <v>8048.829507860316</v>
      </c>
      <c r="F41" s="38">
        <f t="shared" si="18"/>
        <v>391.34831136490845</v>
      </c>
      <c r="G41" s="38">
        <f t="shared" si="18"/>
        <v>3179.765947890166</v>
      </c>
      <c r="H41" s="39">
        <f t="shared" si="18"/>
        <v>86.883128545834268</v>
      </c>
      <c r="I41" s="39">
        <f t="shared" si="18"/>
        <v>0.68656075463873434</v>
      </c>
      <c r="J41" s="38">
        <f t="shared" si="18"/>
        <v>390.05263778998761</v>
      </c>
      <c r="K41" s="39">
        <f t="shared" si="18"/>
        <v>3.9964428443824809</v>
      </c>
      <c r="L41" s="39">
        <f t="shared" si="18"/>
        <v>3.5950336425596539</v>
      </c>
      <c r="M41" s="39">
        <f t="shared" si="18"/>
        <v>2.7336979351192139E-2</v>
      </c>
      <c r="N41" s="39">
        <f t="shared" si="18"/>
        <v>4.7994643993149899E-2</v>
      </c>
      <c r="O41" s="39">
        <f t="shared" si="18"/>
        <v>0.52471569402621765</v>
      </c>
      <c r="P41" s="41">
        <f t="shared" si="18"/>
        <v>9.8029681860819018</v>
      </c>
      <c r="Q41" s="38">
        <f t="shared" si="18"/>
        <v>99.750286361673076</v>
      </c>
      <c r="R41" s="41">
        <f t="shared" si="18"/>
        <v>20.705120806679385</v>
      </c>
      <c r="S41" s="39">
        <f t="shared" si="18"/>
        <v>2.5612636621302189</v>
      </c>
      <c r="T41" s="38">
        <f t="shared" si="18"/>
        <v>1170.7061015090794</v>
      </c>
      <c r="U41" s="41">
        <f t="shared" si="18"/>
        <v>34.567229257856468</v>
      </c>
      <c r="V41" s="39">
        <f t="shared" si="18"/>
        <v>1.8973171938976491E-2</v>
      </c>
      <c r="W41" s="39">
        <f t="shared" si="18"/>
        <v>4.4534002055477968</v>
      </c>
      <c r="X41" s="39">
        <f t="shared" si="18"/>
        <v>1.1550125071254189</v>
      </c>
      <c r="Y41" s="39">
        <f t="shared" si="18"/>
        <v>8.5409118825512872E-2</v>
      </c>
      <c r="Z41" s="39">
        <f>STDEV(Z28:Z38)</f>
        <v>8.9530319650437827E-4</v>
      </c>
      <c r="AA41" s="39" t="s">
        <v>75</v>
      </c>
      <c r="AB41" s="39">
        <f t="shared" si="18"/>
        <v>6.989481025787569</v>
      </c>
      <c r="AC41" s="39">
        <f>STDEV(AC28:AC38)</f>
        <v>0.20568907567837608</v>
      </c>
      <c r="AD41" s="38">
        <f t="shared" si="18"/>
        <v>203.51339419382685</v>
      </c>
      <c r="AE41" s="108"/>
      <c r="AF41" s="37"/>
      <c r="AG41" s="37"/>
    </row>
    <row r="42" spans="1:33" s="255" customFormat="1" ht="14.45" customHeight="1">
      <c r="A42" s="156" t="s">
        <v>52</v>
      </c>
      <c r="B42" s="255" t="s">
        <v>269</v>
      </c>
      <c r="C42" s="255" t="s">
        <v>270</v>
      </c>
      <c r="D42" s="305">
        <v>488264.98067734798</v>
      </c>
      <c r="E42" s="305">
        <v>508171.91417920199</v>
      </c>
      <c r="F42" s="305">
        <v>2863.7414771628301</v>
      </c>
      <c r="G42" s="291">
        <v>68.493653143406306</v>
      </c>
      <c r="H42" s="291">
        <v>91.630663058547498</v>
      </c>
      <c r="I42" s="290" t="s">
        <v>75</v>
      </c>
      <c r="J42" s="291">
        <v>14.207168460727299</v>
      </c>
      <c r="K42" s="290">
        <v>0.121492327535897</v>
      </c>
      <c r="L42" s="290">
        <v>2.1476497213491101</v>
      </c>
      <c r="M42" s="290">
        <v>0.11217090041590599</v>
      </c>
      <c r="N42" s="290" t="s">
        <v>25</v>
      </c>
      <c r="O42" s="290">
        <v>1.9972871406406498E-2</v>
      </c>
      <c r="P42" s="290">
        <v>2.6063376886716498</v>
      </c>
      <c r="Q42" s="305">
        <v>183.71892357131</v>
      </c>
      <c r="R42" s="290">
        <v>2.96622009397701</v>
      </c>
      <c r="S42" s="290">
        <v>0.17514884054513799</v>
      </c>
      <c r="T42" s="291">
        <v>35.4902687730035</v>
      </c>
      <c r="U42" s="291">
        <v>24.700531356714102</v>
      </c>
      <c r="V42" s="290">
        <v>2.8858931726756399E-2</v>
      </c>
      <c r="W42" s="290">
        <v>5.0289498844129596</v>
      </c>
      <c r="X42" s="290">
        <v>0.46246380040601598</v>
      </c>
      <c r="Y42" s="290">
        <v>0.135636576987336</v>
      </c>
      <c r="Z42" s="290" t="s">
        <v>25</v>
      </c>
      <c r="AA42" s="290" t="s">
        <v>25</v>
      </c>
      <c r="AB42" s="290">
        <f>L42/E42*1000000</f>
        <v>4.2262267186056288</v>
      </c>
      <c r="AC42" s="290">
        <f>L42/U42</f>
        <v>8.694751097997476E-2</v>
      </c>
      <c r="AD42" s="305"/>
      <c r="AE42" s="219">
        <f t="shared" ref="AE42:AE49" si="19">O42/J42</f>
        <v>1.4058305468550795E-3</v>
      </c>
      <c r="AF42" s="255">
        <v>4.8600000000000003</v>
      </c>
      <c r="AG42" s="255">
        <v>0.08</v>
      </c>
    </row>
    <row r="43" spans="1:33" s="255" customFormat="1">
      <c r="A43" s="156"/>
      <c r="B43" s="255" t="s">
        <v>271</v>
      </c>
      <c r="C43" s="255" t="s">
        <v>272</v>
      </c>
      <c r="D43" s="305">
        <v>491178.85806650697</v>
      </c>
      <c r="E43" s="305">
        <v>508095.63240766799</v>
      </c>
      <c r="F43" s="305">
        <v>131.698935346513</v>
      </c>
      <c r="G43" s="291">
        <v>21.720430587438599</v>
      </c>
      <c r="H43" s="291">
        <v>23.469334035079001</v>
      </c>
      <c r="I43" s="290">
        <v>0.51586341091152599</v>
      </c>
      <c r="J43" s="290">
        <v>4.9188252118535898</v>
      </c>
      <c r="K43" s="290" t="s">
        <v>25</v>
      </c>
      <c r="L43" s="290">
        <v>1.87131748751695</v>
      </c>
      <c r="M43" s="290">
        <v>1.2098700609078901E-2</v>
      </c>
      <c r="N43" s="290" t="s">
        <v>25</v>
      </c>
      <c r="O43" s="290">
        <v>0.193137743374514</v>
      </c>
      <c r="P43" s="290">
        <v>2.3667746875305702</v>
      </c>
      <c r="Q43" s="291">
        <v>53.663400673226</v>
      </c>
      <c r="R43" s="290">
        <v>0.63742241063223903</v>
      </c>
      <c r="S43" s="290">
        <v>0.17555531951204001</v>
      </c>
      <c r="T43" s="305">
        <v>199.40522920485401</v>
      </c>
      <c r="U43" s="291">
        <v>61.988906476924598</v>
      </c>
      <c r="V43" s="290" t="s">
        <v>25</v>
      </c>
      <c r="W43" s="290">
        <v>0.821337985761872</v>
      </c>
      <c r="X43" s="290">
        <v>0.46999645503139298</v>
      </c>
      <c r="Y43" s="290">
        <v>0.50085065934565198</v>
      </c>
      <c r="Z43" s="290" t="s">
        <v>25</v>
      </c>
      <c r="AA43" s="290">
        <v>5.5267578529936898E-2</v>
      </c>
      <c r="AB43" s="290">
        <f>L43/E43*1000000</f>
        <v>3.6830025061414182</v>
      </c>
      <c r="AC43" s="290">
        <f>L43/U43</f>
        <v>3.018794158295967E-2</v>
      </c>
      <c r="AD43" s="291">
        <f t="shared" ref="AD43:AD49" si="20">H43/I43</f>
        <v>45.495248429441624</v>
      </c>
      <c r="AE43" s="219">
        <f t="shared" si="19"/>
        <v>3.9265014521980293E-2</v>
      </c>
      <c r="AF43" s="255" t="s">
        <v>216</v>
      </c>
      <c r="AG43" s="255" t="s">
        <v>216</v>
      </c>
    </row>
    <row r="44" spans="1:33" s="255" customFormat="1" ht="13.9" customHeight="1">
      <c r="A44" s="156"/>
      <c r="B44" s="255" t="s">
        <v>273</v>
      </c>
      <c r="C44" s="255" t="s">
        <v>274</v>
      </c>
      <c r="D44" s="305">
        <v>499193.03933884698</v>
      </c>
      <c r="E44" s="305">
        <v>498746.77144543699</v>
      </c>
      <c r="F44" s="305">
        <v>588.76142660641005</v>
      </c>
      <c r="G44" s="305">
        <v>110.232170201863</v>
      </c>
      <c r="H44" s="291">
        <v>24.125036979465801</v>
      </c>
      <c r="I44" s="290">
        <v>0.178288005411255</v>
      </c>
      <c r="J44" s="305">
        <v>133.866948076851</v>
      </c>
      <c r="K44" s="290" t="s">
        <v>25</v>
      </c>
      <c r="L44" s="249" t="s">
        <v>25</v>
      </c>
      <c r="M44" s="290">
        <v>5.4309652358228398E-2</v>
      </c>
      <c r="N44" s="290" t="s">
        <v>25</v>
      </c>
      <c r="O44" s="290">
        <v>1.7141006022059702E-2</v>
      </c>
      <c r="P44" s="290">
        <v>1.11729326841073</v>
      </c>
      <c r="Q44" s="305">
        <v>554.12081204817696</v>
      </c>
      <c r="R44" s="290">
        <v>0.42196145353287801</v>
      </c>
      <c r="S44" s="290">
        <v>8.6222545574232395E-2</v>
      </c>
      <c r="T44" s="291">
        <v>13.875141785615799</v>
      </c>
      <c r="U44" s="291">
        <v>77.945733816331199</v>
      </c>
      <c r="V44" s="290">
        <v>9.9872737897405306E-2</v>
      </c>
      <c r="W44" s="290">
        <v>4.6339316352012796</v>
      </c>
      <c r="X44" s="290">
        <v>0.45760769388935302</v>
      </c>
      <c r="Y44" s="290">
        <v>1.78146222354524</v>
      </c>
      <c r="Z44" s="290" t="s">
        <v>25</v>
      </c>
      <c r="AA44" s="290">
        <v>0.159536081810734</v>
      </c>
      <c r="AB44" s="290"/>
      <c r="AC44" s="290"/>
      <c r="AD44" s="305">
        <f t="shared" si="20"/>
        <v>135.31497491273652</v>
      </c>
      <c r="AE44" s="219">
        <f t="shared" si="19"/>
        <v>1.2804509453834197E-4</v>
      </c>
      <c r="AF44" s="255" t="s">
        <v>216</v>
      </c>
      <c r="AG44" s="255" t="s">
        <v>216</v>
      </c>
    </row>
    <row r="45" spans="1:33" s="255" customFormat="1">
      <c r="A45" s="156"/>
      <c r="B45" s="255" t="s">
        <v>275</v>
      </c>
      <c r="C45" s="255" t="s">
        <v>276</v>
      </c>
      <c r="D45" s="305">
        <v>497725.70894784498</v>
      </c>
      <c r="E45" s="305">
        <v>499830.45817933598</v>
      </c>
      <c r="F45" s="291">
        <v>50.728741277285998</v>
      </c>
      <c r="G45" s="305">
        <v>1476.92485283275</v>
      </c>
      <c r="H45" s="290">
        <v>4.3337376888860799</v>
      </c>
      <c r="I45" s="290">
        <v>3.9989354716077701</v>
      </c>
      <c r="J45" s="305">
        <v>147.925945350999</v>
      </c>
      <c r="K45" s="290">
        <v>1.9894917553998801</v>
      </c>
      <c r="L45" s="290">
        <v>1.25103862316159</v>
      </c>
      <c r="M45" s="290">
        <v>1.72482812696453E-2</v>
      </c>
      <c r="N45" s="290" t="s">
        <v>25</v>
      </c>
      <c r="O45" s="290">
        <v>0.115513001038389</v>
      </c>
      <c r="P45" s="290">
        <v>1.9966808691022999</v>
      </c>
      <c r="Q45" s="305">
        <v>167.72141767989001</v>
      </c>
      <c r="R45" s="291">
        <v>87.827632294288094</v>
      </c>
      <c r="S45" s="290">
        <v>1.65401876111352</v>
      </c>
      <c r="T45" s="305">
        <v>342.277379137911</v>
      </c>
      <c r="U45" s="291">
        <v>38.367497685397304</v>
      </c>
      <c r="V45" s="290">
        <v>5.6582023854351397E-3</v>
      </c>
      <c r="W45" s="290">
        <v>1.89179422217244</v>
      </c>
      <c r="X45" s="290">
        <v>3.8392423805326001</v>
      </c>
      <c r="Y45" s="290">
        <v>5.9421479684206802E-2</v>
      </c>
      <c r="Z45" s="290" t="s">
        <v>25</v>
      </c>
      <c r="AA45" s="290" t="s">
        <v>25</v>
      </c>
      <c r="AB45" s="290">
        <f>L45/E45*1000000</f>
        <v>2.5029259475674559</v>
      </c>
      <c r="AC45" s="290">
        <f>L45/U45</f>
        <v>3.2606729618380514E-2</v>
      </c>
      <c r="AD45" s="290">
        <f t="shared" si="20"/>
        <v>1.0837228356534852</v>
      </c>
      <c r="AE45" s="219">
        <f t="shared" si="19"/>
        <v>7.8088398059109586E-4</v>
      </c>
      <c r="AF45" s="255" t="s">
        <v>216</v>
      </c>
      <c r="AG45" s="255" t="s">
        <v>216</v>
      </c>
    </row>
    <row r="46" spans="1:33" s="255" customFormat="1">
      <c r="A46" s="156"/>
      <c r="B46" s="255" t="s">
        <v>277</v>
      </c>
      <c r="C46" s="255" t="s">
        <v>278</v>
      </c>
      <c r="D46" s="305">
        <v>496512.39506053401</v>
      </c>
      <c r="E46" s="305">
        <v>500130.57823166501</v>
      </c>
      <c r="F46" s="305">
        <v>135.04868106429799</v>
      </c>
      <c r="G46" s="305">
        <v>2213.1778795063801</v>
      </c>
      <c r="H46" s="290">
        <v>3.2745839083444901</v>
      </c>
      <c r="I46" s="290">
        <v>2.2297800405559101</v>
      </c>
      <c r="J46" s="305">
        <v>202.83614135977999</v>
      </c>
      <c r="K46" s="290">
        <v>0.99130763970473501</v>
      </c>
      <c r="L46" s="290">
        <v>1.3180620012492901</v>
      </c>
      <c r="M46" s="290" t="s">
        <v>25</v>
      </c>
      <c r="N46" s="290" t="s">
        <v>25</v>
      </c>
      <c r="O46" s="290">
        <v>0.120535800468657</v>
      </c>
      <c r="P46" s="290">
        <v>2.9113684525715402</v>
      </c>
      <c r="Q46" s="305">
        <v>298.99726856796002</v>
      </c>
      <c r="R46" s="291">
        <v>51.9672509858258</v>
      </c>
      <c r="S46" s="290">
        <v>1.76824973630198</v>
      </c>
      <c r="T46" s="305">
        <v>287.95653860484202</v>
      </c>
      <c r="U46" s="291">
        <v>54.047583310253401</v>
      </c>
      <c r="V46" s="290" t="s">
        <v>25</v>
      </c>
      <c r="W46" s="291">
        <v>12.7808572975565</v>
      </c>
      <c r="X46" s="290">
        <v>2.7809008820624701</v>
      </c>
      <c r="Y46" s="290">
        <v>2.50330852634667E-2</v>
      </c>
      <c r="Z46" s="290" t="s">
        <v>25</v>
      </c>
      <c r="AA46" s="290" t="s">
        <v>25</v>
      </c>
      <c r="AB46" s="290">
        <f>L46/E46*1000000</f>
        <v>2.6354357414210172</v>
      </c>
      <c r="AC46" s="290">
        <f>L46/U46</f>
        <v>2.4387066368594498E-2</v>
      </c>
      <c r="AD46" s="290">
        <f t="shared" si="20"/>
        <v>1.4685681317373791</v>
      </c>
      <c r="AE46" s="219">
        <f t="shared" si="19"/>
        <v>5.9425208772265583E-4</v>
      </c>
      <c r="AF46" s="255" t="s">
        <v>216</v>
      </c>
      <c r="AG46" s="255" t="s">
        <v>216</v>
      </c>
    </row>
    <row r="47" spans="1:33" s="255" customFormat="1">
      <c r="A47" s="156"/>
      <c r="B47" s="255" t="s">
        <v>279</v>
      </c>
      <c r="C47" s="255" t="s">
        <v>280</v>
      </c>
      <c r="D47" s="305">
        <v>492875.33854319801</v>
      </c>
      <c r="E47" s="305">
        <v>502254.39755487698</v>
      </c>
      <c r="F47" s="305">
        <v>167.19019623089801</v>
      </c>
      <c r="G47" s="305">
        <v>3330.3020214970102</v>
      </c>
      <c r="H47" s="291">
        <v>14.901797473697201</v>
      </c>
      <c r="I47" s="290">
        <v>2.57552987608421</v>
      </c>
      <c r="J47" s="305">
        <v>204.94420971228001</v>
      </c>
      <c r="K47" s="290">
        <v>1.32934525234089</v>
      </c>
      <c r="L47" s="290">
        <v>1.2632759823264701</v>
      </c>
      <c r="M47" s="290">
        <v>2.1230993030253099E-2</v>
      </c>
      <c r="N47" s="290">
        <v>4.8090431525184003E-2</v>
      </c>
      <c r="O47" s="290">
        <v>0.167411505697806</v>
      </c>
      <c r="P47" s="290">
        <v>5.8109449196118499</v>
      </c>
      <c r="Q47" s="305">
        <v>133.649033452391</v>
      </c>
      <c r="R47" s="291">
        <v>77.101303782913902</v>
      </c>
      <c r="S47" s="290">
        <v>2.50818910461334</v>
      </c>
      <c r="T47" s="305">
        <v>714.71671858395496</v>
      </c>
      <c r="U47" s="305">
        <v>104.31501703443401</v>
      </c>
      <c r="V47" s="290">
        <v>1.43456536145131E-2</v>
      </c>
      <c r="W47" s="290">
        <v>1.58628722870363</v>
      </c>
      <c r="X47" s="290">
        <v>2.4091900042257199</v>
      </c>
      <c r="Y47" s="290">
        <v>0.13930744797362801</v>
      </c>
      <c r="Z47" s="290" t="s">
        <v>25</v>
      </c>
      <c r="AA47" s="290" t="s">
        <v>25</v>
      </c>
      <c r="AB47" s="290">
        <f>L47/E47*1000000</f>
        <v>2.5152113918294621</v>
      </c>
      <c r="AC47" s="290">
        <f>L47/U47</f>
        <v>1.211020252155514E-2</v>
      </c>
      <c r="AD47" s="290">
        <f t="shared" si="20"/>
        <v>5.7859152060599</v>
      </c>
      <c r="AE47" s="219">
        <f t="shared" si="19"/>
        <v>8.1686379884961886E-4</v>
      </c>
      <c r="AF47" s="255" t="s">
        <v>216</v>
      </c>
      <c r="AG47" s="255" t="s">
        <v>216</v>
      </c>
    </row>
    <row r="48" spans="1:33" s="255" customFormat="1">
      <c r="A48" s="156"/>
      <c r="B48" s="255" t="s">
        <v>281</v>
      </c>
      <c r="C48" s="255" t="s">
        <v>282</v>
      </c>
      <c r="D48" s="305">
        <v>494519.794524998</v>
      </c>
      <c r="E48" s="305">
        <v>502479.90044426301</v>
      </c>
      <c r="F48" s="305">
        <v>117.979432217915</v>
      </c>
      <c r="G48" s="305">
        <v>1783.6416732529999</v>
      </c>
      <c r="H48" s="291">
        <v>23.495142095721</v>
      </c>
      <c r="I48" s="290">
        <v>2.5540140405914298</v>
      </c>
      <c r="J48" s="305">
        <v>130.517229649135</v>
      </c>
      <c r="K48" s="290">
        <v>1.1880597704242599</v>
      </c>
      <c r="L48" s="290">
        <v>0.83236103869378797</v>
      </c>
      <c r="M48" s="290">
        <v>2.52486394259358E-2</v>
      </c>
      <c r="N48" s="290">
        <v>0.13470083099473401</v>
      </c>
      <c r="O48" s="290">
        <v>0.13566959048458199</v>
      </c>
      <c r="P48" s="290">
        <v>2.6478274018174202</v>
      </c>
      <c r="Q48" s="305">
        <v>166.112942740374</v>
      </c>
      <c r="R48" s="291">
        <v>61.703243136888197</v>
      </c>
      <c r="S48" s="290">
        <v>1.77342468449373</v>
      </c>
      <c r="T48" s="305">
        <v>505.89666343176202</v>
      </c>
      <c r="U48" s="291">
        <v>58.182338282255103</v>
      </c>
      <c r="V48" s="290">
        <v>2.6739696390816699E-2</v>
      </c>
      <c r="W48" s="290">
        <v>1.1755255095241299</v>
      </c>
      <c r="X48" s="290">
        <v>2.19284157972064</v>
      </c>
      <c r="Y48" s="290">
        <v>0.123945625018127</v>
      </c>
      <c r="Z48" s="290" t="s">
        <v>25</v>
      </c>
      <c r="AA48" s="290" t="s">
        <v>25</v>
      </c>
      <c r="AB48" s="290">
        <f>L48/E48*1000000</f>
        <v>1.656506136778533</v>
      </c>
      <c r="AC48" s="290">
        <f>L48/U48</f>
        <v>1.4306077467286113E-2</v>
      </c>
      <c r="AD48" s="290">
        <f t="shared" si="20"/>
        <v>9.1993002866500539</v>
      </c>
      <c r="AE48" s="219">
        <f t="shared" si="19"/>
        <v>1.0394764802263879E-3</v>
      </c>
      <c r="AF48" s="255" t="s">
        <v>216</v>
      </c>
      <c r="AG48" s="255" t="s">
        <v>216</v>
      </c>
    </row>
    <row r="49" spans="1:33" s="255" customFormat="1">
      <c r="A49" s="156"/>
      <c r="B49" s="255" t="s">
        <v>283</v>
      </c>
      <c r="C49" s="255" t="s">
        <v>284</v>
      </c>
      <c r="D49" s="305">
        <v>472721.70605473203</v>
      </c>
      <c r="E49" s="305">
        <v>509789.79452175199</v>
      </c>
      <c r="F49" s="305">
        <v>15886.633670425799</v>
      </c>
      <c r="G49" s="305">
        <v>515.85699509196695</v>
      </c>
      <c r="H49" s="291">
        <v>92.544670530388004</v>
      </c>
      <c r="I49" s="290">
        <v>0.71327300323678</v>
      </c>
      <c r="J49" s="291">
        <v>67.4766399015719</v>
      </c>
      <c r="K49" s="290">
        <v>0.65304891287966205</v>
      </c>
      <c r="L49" s="290">
        <v>2.88776132687827</v>
      </c>
      <c r="M49" s="290">
        <v>0.34610520739950401</v>
      </c>
      <c r="N49" s="290">
        <v>5.4834319495921199E-2</v>
      </c>
      <c r="O49" s="290">
        <v>9.1239527349502206E-2</v>
      </c>
      <c r="P49" s="290">
        <v>6.9450722690451698</v>
      </c>
      <c r="Q49" s="305">
        <v>324.69750739291101</v>
      </c>
      <c r="R49" s="291">
        <v>13.727110592691799</v>
      </c>
      <c r="S49" s="290">
        <v>1.4343168729175999</v>
      </c>
      <c r="T49" s="305">
        <v>106.79451814203399</v>
      </c>
      <c r="U49" s="291">
        <v>23.762993274276798</v>
      </c>
      <c r="V49" s="290">
        <v>0.116479323290812</v>
      </c>
      <c r="W49" s="291">
        <v>18.144532790009599</v>
      </c>
      <c r="X49" s="290">
        <v>0.609788731770876</v>
      </c>
      <c r="Y49" s="290">
        <v>1.0215105657746699</v>
      </c>
      <c r="Z49" s="290" t="s">
        <v>25</v>
      </c>
      <c r="AA49" s="290">
        <v>0.108902110725227</v>
      </c>
      <c r="AB49" s="290">
        <f>L49/E49*1000000</f>
        <v>5.6646118810349257</v>
      </c>
      <c r="AC49" s="290">
        <f>L49/U49</f>
        <v>0.12152346691122631</v>
      </c>
      <c r="AD49" s="305">
        <f t="shared" si="20"/>
        <v>129.74649273199344</v>
      </c>
      <c r="AE49" s="219">
        <f t="shared" si="19"/>
        <v>1.3521646525759613E-3</v>
      </c>
      <c r="AF49" s="255">
        <v>5.87</v>
      </c>
      <c r="AG49" s="255">
        <v>0.09</v>
      </c>
    </row>
    <row r="50" spans="1:33">
      <c r="A50" s="36"/>
      <c r="B50" s="37" t="s">
        <v>113</v>
      </c>
      <c r="C50" s="37"/>
      <c r="D50" s="38">
        <f t="shared" ref="D50:AD50" si="21">MEDIAN(D42:D49)</f>
        <v>493697.566534098</v>
      </c>
      <c r="E50" s="38">
        <f t="shared" si="21"/>
        <v>502367.14899957</v>
      </c>
      <c r="F50" s="38">
        <f t="shared" si="21"/>
        <v>151.119438647598</v>
      </c>
      <c r="G50" s="38">
        <f t="shared" si="21"/>
        <v>996.39092396235856</v>
      </c>
      <c r="H50" s="41">
        <f t="shared" si="21"/>
        <v>23.482238065400001</v>
      </c>
      <c r="I50" s="39">
        <f t="shared" si="21"/>
        <v>2.2297800405559101</v>
      </c>
      <c r="J50" s="38">
        <f t="shared" si="21"/>
        <v>132.19208886299299</v>
      </c>
      <c r="K50" s="39">
        <f t="shared" si="21"/>
        <v>1.0896837050644974</v>
      </c>
      <c r="L50" s="39">
        <f t="shared" si="21"/>
        <v>1.3180620012492901</v>
      </c>
      <c r="M50" s="39">
        <f t="shared" si="21"/>
        <v>2.52486394259358E-2</v>
      </c>
      <c r="N50" s="39">
        <f t="shared" si="21"/>
        <v>5.4834319495921199E-2</v>
      </c>
      <c r="O50" s="39">
        <f t="shared" si="21"/>
        <v>0.118024400753523</v>
      </c>
      <c r="P50" s="39">
        <f t="shared" si="21"/>
        <v>2.627082545244535</v>
      </c>
      <c r="Q50" s="38">
        <f t="shared" si="21"/>
        <v>175.72017062560002</v>
      </c>
      <c r="R50" s="41">
        <f t="shared" si="21"/>
        <v>32.8471807892588</v>
      </c>
      <c r="S50" s="39">
        <f t="shared" si="21"/>
        <v>1.5441678170155599</v>
      </c>
      <c r="T50" s="38">
        <f t="shared" si="21"/>
        <v>243.68088390484803</v>
      </c>
      <c r="U50" s="41">
        <f t="shared" si="21"/>
        <v>56.114960796254252</v>
      </c>
      <c r="V50" s="39">
        <f t="shared" si="21"/>
        <v>2.7799314058786551E-2</v>
      </c>
      <c r="W50" s="39">
        <f t="shared" si="21"/>
        <v>3.26286292868686</v>
      </c>
      <c r="X50" s="39">
        <f t="shared" si="21"/>
        <v>1.4013151557457579</v>
      </c>
      <c r="Y50" s="39">
        <f t="shared" si="21"/>
        <v>0.13747201248048202</v>
      </c>
      <c r="Z50" s="39" t="s">
        <v>75</v>
      </c>
      <c r="AA50" s="39">
        <f>MEDIAN(AA42:AA49)</f>
        <v>0.108902110725227</v>
      </c>
      <c r="AB50" s="39">
        <f t="shared" si="21"/>
        <v>2.6354357414210172</v>
      </c>
      <c r="AC50" s="39">
        <f>MEDIAN(AC42:AC49)</f>
        <v>3.018794158295967E-2</v>
      </c>
      <c r="AD50" s="39">
        <f t="shared" si="21"/>
        <v>9.1993002866500539</v>
      </c>
      <c r="AE50" s="108"/>
      <c r="AF50" s="37"/>
      <c r="AG50" s="37"/>
    </row>
    <row r="51" spans="1:33">
      <c r="A51" s="36"/>
      <c r="B51" s="37" t="s">
        <v>31</v>
      </c>
      <c r="C51" s="37"/>
      <c r="D51" s="38">
        <f>AVERAGE(D42:D48)</f>
        <v>494324.30216561101</v>
      </c>
      <c r="E51" s="38">
        <f>AVERAGE(E42:E48)</f>
        <v>502815.6646346355</v>
      </c>
      <c r="F51" s="38">
        <f>AVERAGE(F42:F49)</f>
        <v>2492.7228200414938</v>
      </c>
      <c r="G51" s="38">
        <f t="shared" ref="G51:AD51" si="22">AVERAGE(G42:G48)</f>
        <v>1286.3560972888354</v>
      </c>
      <c r="H51" s="41">
        <f t="shared" si="22"/>
        <v>26.461470748534442</v>
      </c>
      <c r="I51" s="39">
        <f t="shared" si="22"/>
        <v>2.0087351408603502</v>
      </c>
      <c r="J51" s="38">
        <f t="shared" si="22"/>
        <v>119.88806683166084</v>
      </c>
      <c r="K51" s="39">
        <f t="shared" si="22"/>
        <v>1.1239393490811325</v>
      </c>
      <c r="L51" s="39">
        <f t="shared" si="22"/>
        <v>1.4472841423828664</v>
      </c>
      <c r="M51" s="39">
        <f t="shared" si="22"/>
        <v>4.0384527851507916E-2</v>
      </c>
      <c r="N51" s="39">
        <f t="shared" si="22"/>
        <v>9.1395631259959004E-2</v>
      </c>
      <c r="O51" s="39">
        <f t="shared" si="22"/>
        <v>0.10991164549891631</v>
      </c>
      <c r="P51" s="39">
        <f t="shared" si="22"/>
        <v>2.7796038982451514</v>
      </c>
      <c r="Q51" s="38">
        <f t="shared" si="22"/>
        <v>222.56911410476113</v>
      </c>
      <c r="R51" s="41">
        <f t="shared" si="22"/>
        <v>40.375004879722589</v>
      </c>
      <c r="S51" s="39">
        <f t="shared" si="22"/>
        <v>1.1629727131648544</v>
      </c>
      <c r="T51" s="38">
        <f t="shared" si="22"/>
        <v>299.94541993170617</v>
      </c>
      <c r="U51" s="41">
        <f t="shared" si="22"/>
        <v>59.935372566044244</v>
      </c>
      <c r="V51" s="39">
        <f t="shared" si="22"/>
        <v>3.5095044402985325E-2</v>
      </c>
      <c r="W51" s="39">
        <f t="shared" si="22"/>
        <v>3.9883833947618297</v>
      </c>
      <c r="X51" s="39">
        <f t="shared" si="22"/>
        <v>1.801748970838313</v>
      </c>
      <c r="Y51" s="39">
        <f t="shared" si="22"/>
        <v>0.3950938711168081</v>
      </c>
      <c r="Z51" s="39" t="s">
        <v>75</v>
      </c>
      <c r="AA51" s="39">
        <f>AVERAGE(AA42:AA48)</f>
        <v>0.10740183017033544</v>
      </c>
      <c r="AB51" s="39">
        <f t="shared" si="22"/>
        <v>2.8698847403905856</v>
      </c>
      <c r="AC51" s="39">
        <f>AVERAGE(AC42:AC48)</f>
        <v>3.3424254756458445E-2</v>
      </c>
      <c r="AD51" s="41">
        <f t="shared" si="22"/>
        <v>33.057954967046491</v>
      </c>
      <c r="AE51" s="108"/>
      <c r="AF51" s="37"/>
      <c r="AG51" s="37"/>
    </row>
    <row r="52" spans="1:33">
      <c r="A52" s="36"/>
      <c r="B52" s="37" t="s">
        <v>34</v>
      </c>
      <c r="C52" s="37"/>
      <c r="D52" s="38">
        <f t="shared" ref="D52:AD52" si="23">STDEV(D42:D49)</f>
        <v>8427.3955262075524</v>
      </c>
      <c r="E52" s="38">
        <f t="shared" si="23"/>
        <v>4346.2782481706363</v>
      </c>
      <c r="F52" s="38">
        <f t="shared" si="23"/>
        <v>5494.1979273269526</v>
      </c>
      <c r="G52" s="38">
        <f t="shared" si="23"/>
        <v>1213.3509093254772</v>
      </c>
      <c r="H52" s="41">
        <f t="shared" si="23"/>
        <v>36.355869061537</v>
      </c>
      <c r="I52" s="39">
        <f t="shared" si="23"/>
        <v>1.3931991004457758</v>
      </c>
      <c r="J52" s="41">
        <f t="shared" si="23"/>
        <v>77.459121133524945</v>
      </c>
      <c r="K52" s="39">
        <f t="shared" si="23"/>
        <v>0.6328912521705522</v>
      </c>
      <c r="L52" s="39">
        <f t="shared" si="23"/>
        <v>0.6971448799372737</v>
      </c>
      <c r="M52" s="39">
        <f t="shared" si="23"/>
        <v>0.12068657149744839</v>
      </c>
      <c r="N52" s="39">
        <f t="shared" si="23"/>
        <v>4.817589469888247E-2</v>
      </c>
      <c r="O52" s="39">
        <f t="shared" si="23"/>
        <v>6.3291816785366231E-2</v>
      </c>
      <c r="P52" s="39">
        <f t="shared" si="23"/>
        <v>1.9993815283535079</v>
      </c>
      <c r="Q52" s="38">
        <f t="shared" si="23"/>
        <v>155.39583143689381</v>
      </c>
      <c r="R52" s="41">
        <f t="shared" si="23"/>
        <v>36.617582820769066</v>
      </c>
      <c r="S52" s="39">
        <f t="shared" si="23"/>
        <v>0.92306550436804513</v>
      </c>
      <c r="T52" s="38">
        <f t="shared" si="23"/>
        <v>242.28430640154266</v>
      </c>
      <c r="U52" s="41">
        <f t="shared" si="23"/>
        <v>27.222457394423436</v>
      </c>
      <c r="V52" s="39">
        <f t="shared" si="23"/>
        <v>4.7162307218033057E-2</v>
      </c>
      <c r="W52" s="39">
        <f t="shared" si="23"/>
        <v>6.3500528875668083</v>
      </c>
      <c r="X52" s="39">
        <f t="shared" si="23"/>
        <v>1.3228321490078245</v>
      </c>
      <c r="Y52" s="39">
        <f t="shared" si="23"/>
        <v>0.62477846822461336</v>
      </c>
      <c r="Z52" s="39" t="s">
        <v>75</v>
      </c>
      <c r="AA52" s="39">
        <f>STDEV(AA42:AA49)</f>
        <v>5.2141446802764592E-2</v>
      </c>
      <c r="AB52" s="39">
        <f t="shared" si="23"/>
        <v>1.3529747520281625</v>
      </c>
      <c r="AC52" s="39">
        <f>STDEV(AC42:AC49)</f>
        <v>4.169339458352958E-2</v>
      </c>
      <c r="AD52" s="41">
        <f t="shared" si="23"/>
        <v>60.494591227525305</v>
      </c>
      <c r="AE52" s="108"/>
      <c r="AF52" s="37"/>
      <c r="AG52" s="37"/>
    </row>
    <row r="53" spans="1:33" s="255" customFormat="1">
      <c r="A53" s="156" t="s">
        <v>285</v>
      </c>
      <c r="B53" s="255" t="s">
        <v>286</v>
      </c>
      <c r="C53" s="255" t="s">
        <v>287</v>
      </c>
      <c r="D53" s="305">
        <v>477327.73726466799</v>
      </c>
      <c r="E53" s="305">
        <v>512053.084688659</v>
      </c>
      <c r="F53" s="305">
        <v>349.56154426744098</v>
      </c>
      <c r="G53" s="305">
        <v>7597.41855981157</v>
      </c>
      <c r="H53" s="305">
        <v>388.73493052569501</v>
      </c>
      <c r="I53" s="290">
        <v>1.0772534153094799</v>
      </c>
      <c r="J53" s="305">
        <v>714.34346153255603</v>
      </c>
      <c r="K53" s="290">
        <v>4.1390662740897097</v>
      </c>
      <c r="L53" s="291">
        <v>10.817242932270201</v>
      </c>
      <c r="M53" s="290">
        <v>0.433921775989909</v>
      </c>
      <c r="N53" s="290">
        <v>2.4658809623755999E-2</v>
      </c>
      <c r="O53" s="290">
        <v>0.35391769146942997</v>
      </c>
      <c r="P53" s="290">
        <v>8.0329563549632397</v>
      </c>
      <c r="Q53" s="291">
        <v>44.1001483227815</v>
      </c>
      <c r="R53" s="291">
        <v>59.556681882529297</v>
      </c>
      <c r="S53" s="291">
        <v>15.277857769833201</v>
      </c>
      <c r="T53" s="305">
        <v>430.83454619494398</v>
      </c>
      <c r="U53" s="291">
        <v>12.891748736158201</v>
      </c>
      <c r="V53" s="290">
        <v>0.330015086932406</v>
      </c>
      <c r="W53" s="291">
        <v>21.5407980596034</v>
      </c>
      <c r="X53" s="290">
        <v>9.8112411201386998</v>
      </c>
      <c r="Y53" s="290">
        <v>2.30957870707524E-2</v>
      </c>
      <c r="Z53" s="290" t="s">
        <v>25</v>
      </c>
      <c r="AA53" s="290" t="s">
        <v>25</v>
      </c>
      <c r="AB53" s="291">
        <f t="shared" ref="AB53:AB76" si="24">L53/E53*1000000</f>
        <v>21.125237315672752</v>
      </c>
      <c r="AC53" s="290">
        <f t="shared" ref="AC53:AC76" si="25">L53/U53</f>
        <v>0.83908266858556446</v>
      </c>
      <c r="AD53" s="305">
        <f>H53/I53</f>
        <v>360.85745935093354</v>
      </c>
      <c r="AE53" s="219">
        <f t="shared" ref="AE53:AE76" si="26">O53/J53</f>
        <v>4.9544471326178757E-4</v>
      </c>
      <c r="AF53" s="255" t="s">
        <v>216</v>
      </c>
      <c r="AG53" s="255" t="s">
        <v>216</v>
      </c>
    </row>
    <row r="54" spans="1:33" s="255" customFormat="1">
      <c r="A54" s="156"/>
      <c r="B54" s="255" t="s">
        <v>288</v>
      </c>
      <c r="C54" s="255" t="s">
        <v>289</v>
      </c>
      <c r="D54" s="305">
        <v>486245.65106374398</v>
      </c>
      <c r="E54" s="305">
        <v>510980.92021892202</v>
      </c>
      <c r="F54" s="305">
        <v>562.95391047839803</v>
      </c>
      <c r="G54" s="291">
        <v>16.247748019190201</v>
      </c>
      <c r="H54" s="305">
        <v>1153.28795495694</v>
      </c>
      <c r="I54" s="290">
        <v>0.90480521289939997</v>
      </c>
      <c r="J54" s="305">
        <v>488.36382195052698</v>
      </c>
      <c r="K54" s="290">
        <v>1.6967310582383599</v>
      </c>
      <c r="L54" s="291">
        <v>40.061716576504303</v>
      </c>
      <c r="M54" s="290">
        <v>0.18951803683854701</v>
      </c>
      <c r="N54" s="290">
        <v>0.13171368883573001</v>
      </c>
      <c r="O54" s="290">
        <v>6.2351579434261097E-2</v>
      </c>
      <c r="P54" s="290">
        <v>4.5223572042840301</v>
      </c>
      <c r="Q54" s="291">
        <v>15.1313989704379</v>
      </c>
      <c r="R54" s="291">
        <v>47.289092324551802</v>
      </c>
      <c r="S54" s="290">
        <v>8.8719272814865399E-2</v>
      </c>
      <c r="T54" s="305">
        <v>104.884630100729</v>
      </c>
      <c r="U54" s="290">
        <v>1.59479226178845</v>
      </c>
      <c r="V54" s="290">
        <v>4.9866363710388197E-2</v>
      </c>
      <c r="W54" s="291">
        <v>15.588974380243799</v>
      </c>
      <c r="X54" s="290">
        <v>3.8447991523874898</v>
      </c>
      <c r="Y54" s="290">
        <v>9.6636746263787293E-2</v>
      </c>
      <c r="Z54" s="290">
        <v>6.4811439530209304E-3</v>
      </c>
      <c r="AA54" s="290" t="s">
        <v>25</v>
      </c>
      <c r="AB54" s="291">
        <f t="shared" si="24"/>
        <v>78.401589944572635</v>
      </c>
      <c r="AC54" s="291">
        <f t="shared" si="25"/>
        <v>25.120335442045498</v>
      </c>
      <c r="AD54" s="305"/>
      <c r="AE54" s="219">
        <f t="shared" si="26"/>
        <v>1.2767444399388277E-4</v>
      </c>
      <c r="AF54" s="255">
        <v>4.33</v>
      </c>
      <c r="AG54" s="255">
        <v>0.08</v>
      </c>
    </row>
    <row r="55" spans="1:33" s="255" customFormat="1">
      <c r="A55" s="156"/>
      <c r="B55" s="255" t="s">
        <v>290</v>
      </c>
      <c r="C55" s="255" t="s">
        <v>291</v>
      </c>
      <c r="D55" s="305">
        <v>474205.18783870601</v>
      </c>
      <c r="E55" s="305">
        <v>523463.81802458997</v>
      </c>
      <c r="F55" s="305">
        <v>426.34908390492598</v>
      </c>
      <c r="G55" s="305">
        <v>300.01174266329099</v>
      </c>
      <c r="H55" s="305">
        <v>112.41513206917099</v>
      </c>
      <c r="I55" s="290">
        <v>1.41324244102469</v>
      </c>
      <c r="J55" s="305">
        <v>490.33716107071803</v>
      </c>
      <c r="K55" s="290">
        <v>5.87835878880135</v>
      </c>
      <c r="L55" s="290">
        <v>6.6350936131518301</v>
      </c>
      <c r="M55" s="290">
        <v>5.2166414013849E-2</v>
      </c>
      <c r="N55" s="290" t="s">
        <v>25</v>
      </c>
      <c r="O55" s="290">
        <v>0.17603085463886001</v>
      </c>
      <c r="P55" s="290">
        <v>5.2969572865238996</v>
      </c>
      <c r="Q55" s="291">
        <v>66.267482634397396</v>
      </c>
      <c r="R55" s="291">
        <v>49.333607449529097</v>
      </c>
      <c r="S55" s="290">
        <v>0.91961185035562498</v>
      </c>
      <c r="T55" s="305">
        <v>191.74574599782599</v>
      </c>
      <c r="U55" s="290">
        <v>7.3888704366363704</v>
      </c>
      <c r="V55" s="290">
        <v>0.59752319182587099</v>
      </c>
      <c r="W55" s="290">
        <v>4.14340493040274</v>
      </c>
      <c r="X55" s="290">
        <v>5.6252709298732899</v>
      </c>
      <c r="Y55" s="290">
        <v>3.8672569364420002</v>
      </c>
      <c r="Z55" s="290" t="s">
        <v>25</v>
      </c>
      <c r="AA55" s="290">
        <v>0.10435283228489101</v>
      </c>
      <c r="AB55" s="291">
        <f t="shared" si="24"/>
        <v>12.675362431334543</v>
      </c>
      <c r="AC55" s="290">
        <f t="shared" si="25"/>
        <v>0.89798483679628827</v>
      </c>
      <c r="AD55" s="291">
        <f t="shared" ref="AD55:AD76" si="27">H55/I55</f>
        <v>79.544124069514169</v>
      </c>
      <c r="AE55" s="219">
        <f t="shared" si="26"/>
        <v>3.5899962029080693E-4</v>
      </c>
      <c r="AF55" s="255" t="s">
        <v>216</v>
      </c>
      <c r="AG55" s="255" t="s">
        <v>216</v>
      </c>
    </row>
    <row r="56" spans="1:33" s="255" customFormat="1">
      <c r="A56" s="156"/>
      <c r="B56" s="255" t="s">
        <v>292</v>
      </c>
      <c r="C56" s="255" t="s">
        <v>293</v>
      </c>
      <c r="D56" s="305">
        <v>481284.39662437601</v>
      </c>
      <c r="E56" s="305">
        <v>512118.981024515</v>
      </c>
      <c r="F56" s="305">
        <v>430.20046129729002</v>
      </c>
      <c r="G56" s="305">
        <v>4167.2349150152504</v>
      </c>
      <c r="H56" s="305">
        <v>326.87622133490299</v>
      </c>
      <c r="I56" s="290">
        <v>2.4990703583233498</v>
      </c>
      <c r="J56" s="305">
        <v>348.353785269838</v>
      </c>
      <c r="K56" s="290">
        <v>2.63255049572457</v>
      </c>
      <c r="L56" s="291">
        <v>12.76159710418</v>
      </c>
      <c r="M56" s="290">
        <v>0.55489246514022195</v>
      </c>
      <c r="N56" s="290">
        <v>0.119234679286738</v>
      </c>
      <c r="O56" s="290">
        <v>0.24765442844793301</v>
      </c>
      <c r="P56" s="291">
        <v>11.2161300881926</v>
      </c>
      <c r="Q56" s="305">
        <v>178.617092886542</v>
      </c>
      <c r="R56" s="291">
        <v>92.632764581456499</v>
      </c>
      <c r="S56" s="291">
        <v>13.7941101790431</v>
      </c>
      <c r="T56" s="305">
        <v>273.23057565934101</v>
      </c>
      <c r="U56" s="291">
        <v>23.228000212354701</v>
      </c>
      <c r="V56" s="290">
        <v>5.7883041528610603E-2</v>
      </c>
      <c r="W56" s="291">
        <v>12.860149406867601</v>
      </c>
      <c r="X56" s="290">
        <v>7.4944433871698601</v>
      </c>
      <c r="Y56" s="290">
        <v>0.75834295943567398</v>
      </c>
      <c r="Z56" s="290" t="s">
        <v>25</v>
      </c>
      <c r="AA56" s="290" t="s">
        <v>25</v>
      </c>
      <c r="AB56" s="291">
        <f t="shared" si="24"/>
        <v>24.919203499643583</v>
      </c>
      <c r="AC56" s="290">
        <f t="shared" si="25"/>
        <v>0.54940575975164041</v>
      </c>
      <c r="AD56" s="305">
        <f t="shared" si="27"/>
        <v>130.79912706187568</v>
      </c>
      <c r="AE56" s="219">
        <f t="shared" si="26"/>
        <v>7.1092790984343018E-4</v>
      </c>
      <c r="AF56" s="255" t="s">
        <v>216</v>
      </c>
      <c r="AG56" s="255" t="s">
        <v>216</v>
      </c>
    </row>
    <row r="57" spans="1:33" s="255" customFormat="1">
      <c r="A57" s="156"/>
      <c r="B57" s="255" t="s">
        <v>294</v>
      </c>
      <c r="C57" s="255" t="s">
        <v>295</v>
      </c>
      <c r="D57" s="305">
        <v>486468.92680311197</v>
      </c>
      <c r="E57" s="305">
        <v>504686.85962248698</v>
      </c>
      <c r="F57" s="305">
        <v>358.595691193753</v>
      </c>
      <c r="G57" s="305">
        <v>5833.2252463772202</v>
      </c>
      <c r="H57" s="305">
        <v>684.36003160456005</v>
      </c>
      <c r="I57" s="290">
        <v>2.30433157450996</v>
      </c>
      <c r="J57" s="305">
        <v>452.64590173374501</v>
      </c>
      <c r="K57" s="290">
        <v>4.1742307779116299</v>
      </c>
      <c r="L57" s="291">
        <v>18.230660606779502</v>
      </c>
      <c r="M57" s="290">
        <v>1.2898593149391899</v>
      </c>
      <c r="N57" s="290">
        <v>9.2256996426993906E-2</v>
      </c>
      <c r="O57" s="290">
        <v>0.23165256366360501</v>
      </c>
      <c r="P57" s="291">
        <v>11.0217641580743</v>
      </c>
      <c r="Q57" s="291">
        <v>84.902674750686899</v>
      </c>
      <c r="R57" s="305">
        <v>273.49389235957699</v>
      </c>
      <c r="S57" s="291">
        <v>14.857599760419101</v>
      </c>
      <c r="T57" s="305">
        <v>310.999494365906</v>
      </c>
      <c r="U57" s="290">
        <v>8.5834330297444392</v>
      </c>
      <c r="V57" s="290">
        <v>6.3734027242114896E-2</v>
      </c>
      <c r="W57" s="291">
        <v>14.702411079902699</v>
      </c>
      <c r="X57" s="291">
        <v>10.888218037306601</v>
      </c>
      <c r="Y57" s="290">
        <v>0.54794668076800501</v>
      </c>
      <c r="Z57" s="290" t="s">
        <v>25</v>
      </c>
      <c r="AA57" s="290" t="s">
        <v>25</v>
      </c>
      <c r="AB57" s="291">
        <f t="shared" si="24"/>
        <v>36.122717005979304</v>
      </c>
      <c r="AC57" s="290">
        <f t="shared" si="25"/>
        <v>2.1239357892820068</v>
      </c>
      <c r="AD57" s="305">
        <f t="shared" si="27"/>
        <v>296.98852334221749</v>
      </c>
      <c r="AE57" s="219">
        <f t="shared" si="26"/>
        <v>5.1177435336610536E-4</v>
      </c>
      <c r="AF57" s="255" t="s">
        <v>216</v>
      </c>
      <c r="AG57" s="255" t="s">
        <v>216</v>
      </c>
    </row>
    <row r="58" spans="1:33" s="255" customFormat="1">
      <c r="A58" s="156"/>
      <c r="B58" s="255" t="s">
        <v>296</v>
      </c>
      <c r="C58" s="255" t="s">
        <v>297</v>
      </c>
      <c r="D58" s="305">
        <v>479927.02659253601</v>
      </c>
      <c r="E58" s="305">
        <v>512833.005907171</v>
      </c>
      <c r="F58" s="305">
        <v>2647.7678280653399</v>
      </c>
      <c r="G58" s="305">
        <v>457.047258495996</v>
      </c>
      <c r="H58" s="305">
        <v>1142.4816735829199</v>
      </c>
      <c r="I58" s="290">
        <v>5.1246919679095502</v>
      </c>
      <c r="J58" s="305">
        <v>328.69452172794701</v>
      </c>
      <c r="K58" s="290">
        <v>3.7776154399520698</v>
      </c>
      <c r="L58" s="291">
        <v>24.8844466188403</v>
      </c>
      <c r="M58" s="290">
        <v>0.46156855201423103</v>
      </c>
      <c r="N58" s="290">
        <v>0.47190168141656702</v>
      </c>
      <c r="O58" s="290">
        <v>0.51261378430539595</v>
      </c>
      <c r="P58" s="291">
        <v>49.011538906636801</v>
      </c>
      <c r="Q58" s="305">
        <v>140.35029727878</v>
      </c>
      <c r="R58" s="305">
        <v>177.180726808895</v>
      </c>
      <c r="S58" s="290">
        <v>1.50071956390498</v>
      </c>
      <c r="T58" s="305">
        <v>243.074231249381</v>
      </c>
      <c r="U58" s="291">
        <v>10.636928342352601</v>
      </c>
      <c r="V58" s="290">
        <v>0.86070263512008005</v>
      </c>
      <c r="W58" s="291">
        <v>35.176061614251701</v>
      </c>
      <c r="X58" s="291">
        <v>11.790837664432599</v>
      </c>
      <c r="Y58" s="290">
        <v>1.69390417608171</v>
      </c>
      <c r="Z58" s="290" t="s">
        <v>25</v>
      </c>
      <c r="AA58" s="290">
        <v>9.1626689884021506E-2</v>
      </c>
      <c r="AB58" s="291">
        <f t="shared" si="24"/>
        <v>48.523488800845016</v>
      </c>
      <c r="AC58" s="290">
        <f t="shared" si="25"/>
        <v>2.3394391517858559</v>
      </c>
      <c r="AD58" s="305">
        <f t="shared" si="27"/>
        <v>222.93665272704339</v>
      </c>
      <c r="AE58" s="219">
        <f t="shared" si="26"/>
        <v>1.5595446544426279E-3</v>
      </c>
      <c r="AF58" s="255">
        <v>3.76</v>
      </c>
      <c r="AG58" s="255">
        <v>0.08</v>
      </c>
    </row>
    <row r="59" spans="1:33" s="255" customFormat="1">
      <c r="A59" s="156"/>
      <c r="B59" s="255" t="s">
        <v>298</v>
      </c>
      <c r="C59" s="255" t="s">
        <v>299</v>
      </c>
      <c r="D59" s="305">
        <v>475304.179735996</v>
      </c>
      <c r="E59" s="305">
        <v>518920.96881694498</v>
      </c>
      <c r="F59" s="305">
        <v>580.57786324020697</v>
      </c>
      <c r="G59" s="305">
        <v>874.72875213236296</v>
      </c>
      <c r="H59" s="305">
        <v>1130.67789558458</v>
      </c>
      <c r="I59" s="290">
        <v>1.37652019728181</v>
      </c>
      <c r="J59" s="305">
        <v>799.59422942621995</v>
      </c>
      <c r="K59" s="290">
        <v>3.4465530538863201</v>
      </c>
      <c r="L59" s="291">
        <v>42.470694973317201</v>
      </c>
      <c r="M59" s="290">
        <v>0.26056877068106099</v>
      </c>
      <c r="N59" s="290">
        <v>0.10482297736917499</v>
      </c>
      <c r="O59" s="290">
        <v>0.28215558104410599</v>
      </c>
      <c r="P59" s="291">
        <v>11.266928398141101</v>
      </c>
      <c r="Q59" s="291">
        <v>45.405836153807698</v>
      </c>
      <c r="R59" s="305">
        <v>162.97481996245401</v>
      </c>
      <c r="S59" s="290">
        <v>1.1921772980055101</v>
      </c>
      <c r="T59" s="305">
        <v>433.31263759511597</v>
      </c>
      <c r="U59" s="291">
        <v>17.3495644518277</v>
      </c>
      <c r="V59" s="290">
        <v>0.34003363987796398</v>
      </c>
      <c r="W59" s="290">
        <v>5.3728954613453297</v>
      </c>
      <c r="X59" s="291">
        <v>14.844494428035301</v>
      </c>
      <c r="Y59" s="290">
        <v>1.12349682583308</v>
      </c>
      <c r="Z59" s="290" t="s">
        <v>25</v>
      </c>
      <c r="AA59" s="290" t="s">
        <v>25</v>
      </c>
      <c r="AB59" s="291">
        <f t="shared" si="24"/>
        <v>81.844245126851291</v>
      </c>
      <c r="AC59" s="290">
        <f t="shared" si="25"/>
        <v>2.4479401250238939</v>
      </c>
      <c r="AD59" s="305">
        <f t="shared" si="27"/>
        <v>821.40305519476544</v>
      </c>
      <c r="AE59" s="219">
        <f t="shared" si="26"/>
        <v>3.5287345838723439E-4</v>
      </c>
      <c r="AF59" s="255" t="s">
        <v>216</v>
      </c>
      <c r="AG59" s="255" t="s">
        <v>216</v>
      </c>
    </row>
    <row r="60" spans="1:33" s="255" customFormat="1">
      <c r="A60" s="156"/>
      <c r="B60" s="255" t="s">
        <v>300</v>
      </c>
      <c r="C60" s="255" t="s">
        <v>301</v>
      </c>
      <c r="D60" s="305">
        <v>491556.375590468</v>
      </c>
      <c r="E60" s="305">
        <v>503082.14398606098</v>
      </c>
      <c r="F60" s="305">
        <v>1162.1147483812099</v>
      </c>
      <c r="G60" s="305">
        <v>572.68473402672998</v>
      </c>
      <c r="H60" s="305">
        <v>1424.30149492229</v>
      </c>
      <c r="I60" s="290">
        <v>0.12779089255814299</v>
      </c>
      <c r="J60" s="305">
        <v>320.14469678862298</v>
      </c>
      <c r="K60" s="290">
        <v>2.3929327156559599</v>
      </c>
      <c r="L60" s="291">
        <v>55.655433116855498</v>
      </c>
      <c r="M60" s="290">
        <v>1.50875902569314</v>
      </c>
      <c r="N60" s="290">
        <v>0.234868918673626</v>
      </c>
      <c r="O60" s="290">
        <v>0.111737117043009</v>
      </c>
      <c r="P60" s="290">
        <v>9.2362188591927108</v>
      </c>
      <c r="Q60" s="291">
        <v>13.392092169537699</v>
      </c>
      <c r="R60" s="291">
        <v>84.807996697388305</v>
      </c>
      <c r="S60" s="290">
        <v>1.9841347790727299</v>
      </c>
      <c r="T60" s="305">
        <v>126.114645030822</v>
      </c>
      <c r="U60" s="290">
        <v>3.7729259209111201</v>
      </c>
      <c r="V60" s="290">
        <v>0.83911582129917905</v>
      </c>
      <c r="W60" s="290">
        <v>5.6809347076415904</v>
      </c>
      <c r="X60" s="291">
        <v>10.9326694918387</v>
      </c>
      <c r="Y60" s="290">
        <v>0.469950231891334</v>
      </c>
      <c r="Z60" s="290" t="s">
        <v>25</v>
      </c>
      <c r="AA60" s="290">
        <v>0.115667968171611</v>
      </c>
      <c r="AB60" s="305">
        <f t="shared" si="24"/>
        <v>110.62891772679882</v>
      </c>
      <c r="AC60" s="291">
        <f t="shared" si="25"/>
        <v>14.751265803653872</v>
      </c>
      <c r="AD60" s="305">
        <f t="shared" si="27"/>
        <v>11145.563399788083</v>
      </c>
      <c r="AE60" s="219">
        <f t="shared" si="26"/>
        <v>3.4902067147713503E-4</v>
      </c>
      <c r="AF60" s="255" t="s">
        <v>216</v>
      </c>
      <c r="AG60" s="255" t="s">
        <v>216</v>
      </c>
    </row>
    <row r="61" spans="1:33" s="255" customFormat="1">
      <c r="A61" s="156"/>
      <c r="B61" s="255" t="s">
        <v>302</v>
      </c>
      <c r="C61" s="255" t="s">
        <v>303</v>
      </c>
      <c r="D61" s="305">
        <v>489450.11429382698</v>
      </c>
      <c r="E61" s="305">
        <v>506347.15372895898</v>
      </c>
      <c r="F61" s="305">
        <v>875.251768605601</v>
      </c>
      <c r="G61" s="305">
        <v>449.95410499217002</v>
      </c>
      <c r="H61" s="305">
        <v>1060.44429827934</v>
      </c>
      <c r="I61" s="290">
        <v>0.115362473535061</v>
      </c>
      <c r="J61" s="305">
        <v>263.85252517905502</v>
      </c>
      <c r="K61" s="290">
        <v>2.0108347187445599</v>
      </c>
      <c r="L61" s="291">
        <v>48.416434495004303</v>
      </c>
      <c r="M61" s="290">
        <v>0.90991602580634701</v>
      </c>
      <c r="N61" s="290">
        <v>5.5152836014533196E-3</v>
      </c>
      <c r="O61" s="290">
        <v>0.122324007546858</v>
      </c>
      <c r="P61" s="290">
        <v>9.5080916052083992</v>
      </c>
      <c r="Q61" s="291">
        <v>12.7424476463391</v>
      </c>
      <c r="R61" s="291">
        <v>99.281052160305705</v>
      </c>
      <c r="S61" s="290">
        <v>1.7382883613881901</v>
      </c>
      <c r="T61" s="305">
        <v>116.233752539294</v>
      </c>
      <c r="U61" s="290">
        <v>3.44050216907215</v>
      </c>
      <c r="V61" s="290">
        <v>0.48360103546465399</v>
      </c>
      <c r="W61" s="290">
        <v>9.9592069324906092</v>
      </c>
      <c r="X61" s="290">
        <v>8.5558854554482107</v>
      </c>
      <c r="Y61" s="290">
        <v>0.27228469051051302</v>
      </c>
      <c r="Z61" s="290" t="s">
        <v>25</v>
      </c>
      <c r="AA61" s="290" t="s">
        <v>25</v>
      </c>
      <c r="AB61" s="291">
        <f t="shared" si="24"/>
        <v>95.619051353295433</v>
      </c>
      <c r="AC61" s="291">
        <f t="shared" si="25"/>
        <v>14.072490617862758</v>
      </c>
      <c r="AD61" s="305">
        <f t="shared" si="27"/>
        <v>9192.2812140210353</v>
      </c>
      <c r="AE61" s="219">
        <f t="shared" si="26"/>
        <v>4.6360749234386424E-4</v>
      </c>
      <c r="AF61" s="255" t="s">
        <v>216</v>
      </c>
      <c r="AG61" s="255" t="s">
        <v>216</v>
      </c>
    </row>
    <row r="62" spans="1:33" s="255" customFormat="1">
      <c r="A62" s="156"/>
      <c r="B62" s="255" t="s">
        <v>304</v>
      </c>
      <c r="C62" s="255" t="s">
        <v>305</v>
      </c>
      <c r="D62" s="305">
        <v>490796.15260955499</v>
      </c>
      <c r="E62" s="305">
        <v>504437.18511475303</v>
      </c>
      <c r="F62" s="305">
        <v>1136.39603941722</v>
      </c>
      <c r="G62" s="305">
        <v>1071.79682761706</v>
      </c>
      <c r="H62" s="305">
        <v>1308.16229416903</v>
      </c>
      <c r="I62" s="290">
        <v>0.146563034162525</v>
      </c>
      <c r="J62" s="305">
        <v>241.145537695673</v>
      </c>
      <c r="K62" s="290">
        <v>1.8875118096708701</v>
      </c>
      <c r="L62" s="291">
        <v>42.778444518240399</v>
      </c>
      <c r="M62" s="290">
        <v>0.74598589046681996</v>
      </c>
      <c r="N62" s="290">
        <v>0.152179563244104</v>
      </c>
      <c r="O62" s="290">
        <v>0.15837925002741701</v>
      </c>
      <c r="P62" s="291">
        <v>10.4717554788574</v>
      </c>
      <c r="Q62" s="291">
        <v>45.754958248046201</v>
      </c>
      <c r="R62" s="305">
        <v>348.19717812422198</v>
      </c>
      <c r="S62" s="290">
        <v>4.4376006304333</v>
      </c>
      <c r="T62" s="305">
        <v>245.350197372027</v>
      </c>
      <c r="U62" s="290">
        <v>4.9921237139741397</v>
      </c>
      <c r="V62" s="290">
        <v>5.8102852762901003E-2</v>
      </c>
      <c r="W62" s="290">
        <v>4.7268102330555903</v>
      </c>
      <c r="X62" s="290">
        <v>4.3531013503562104</v>
      </c>
      <c r="Y62" s="290">
        <v>0.12976709329200301</v>
      </c>
      <c r="Z62" s="290" t="s">
        <v>25</v>
      </c>
      <c r="AA62" s="290">
        <v>7.1283763138703896E-2</v>
      </c>
      <c r="AB62" s="291">
        <f t="shared" si="24"/>
        <v>84.804304243567699</v>
      </c>
      <c r="AC62" s="290">
        <f t="shared" si="25"/>
        <v>8.5691875781229889</v>
      </c>
      <c r="AD62" s="305">
        <f t="shared" si="27"/>
        <v>8925.5950632026197</v>
      </c>
      <c r="AE62" s="219">
        <f t="shared" si="26"/>
        <v>6.5677868867427484E-4</v>
      </c>
      <c r="AF62" s="255" t="s">
        <v>216</v>
      </c>
      <c r="AG62" s="255" t="s">
        <v>216</v>
      </c>
    </row>
    <row r="63" spans="1:33" s="255" customFormat="1">
      <c r="A63" s="156"/>
      <c r="B63" s="255" t="s">
        <v>306</v>
      </c>
      <c r="C63" s="255" t="s">
        <v>307</v>
      </c>
      <c r="D63" s="305">
        <v>491712.193589998</v>
      </c>
      <c r="E63" s="305">
        <v>503235.51300352102</v>
      </c>
      <c r="F63" s="305">
        <v>834.38717074400301</v>
      </c>
      <c r="G63" s="305">
        <v>726.74848391509704</v>
      </c>
      <c r="H63" s="305">
        <v>468.29587845403398</v>
      </c>
      <c r="I63" s="290">
        <v>2.5299759142243099</v>
      </c>
      <c r="J63" s="305">
        <v>633.53503712460304</v>
      </c>
      <c r="K63" s="290">
        <v>3.0697215606726198</v>
      </c>
      <c r="L63" s="291">
        <v>11.4247758648191</v>
      </c>
      <c r="M63" s="290">
        <v>0.63392991436505897</v>
      </c>
      <c r="N63" s="290">
        <v>1.97714820318045E-2</v>
      </c>
      <c r="O63" s="290">
        <v>0.33325284942392902</v>
      </c>
      <c r="P63" s="291">
        <v>10.8180769200125</v>
      </c>
      <c r="Q63" s="305">
        <v>207.46203102544999</v>
      </c>
      <c r="R63" s="291">
        <v>65.587220679578294</v>
      </c>
      <c r="S63" s="290">
        <v>1.4256356941720401</v>
      </c>
      <c r="T63" s="305">
        <v>319.01757709064702</v>
      </c>
      <c r="U63" s="291">
        <v>35.198813201716298</v>
      </c>
      <c r="V63" s="290">
        <v>0.24225786643765501</v>
      </c>
      <c r="W63" s="291">
        <v>41.590383263068603</v>
      </c>
      <c r="X63" s="291">
        <v>23.320575486136601</v>
      </c>
      <c r="Y63" s="290">
        <v>0.74449086243879603</v>
      </c>
      <c r="Z63" s="290" t="s">
        <v>25</v>
      </c>
      <c r="AA63" s="290">
        <v>0.14888413349105301</v>
      </c>
      <c r="AB63" s="291">
        <f t="shared" si="24"/>
        <v>22.702642340623452</v>
      </c>
      <c r="AC63" s="290">
        <f t="shared" si="25"/>
        <v>0.32457843960097005</v>
      </c>
      <c r="AD63" s="305">
        <f t="shared" si="27"/>
        <v>185.09894731452943</v>
      </c>
      <c r="AE63" s="219">
        <f t="shared" si="26"/>
        <v>5.2602118256387005E-4</v>
      </c>
      <c r="AF63" s="255" t="s">
        <v>216</v>
      </c>
      <c r="AG63" s="255" t="s">
        <v>216</v>
      </c>
    </row>
    <row r="64" spans="1:33" s="255" customFormat="1">
      <c r="A64" s="156"/>
      <c r="B64" s="255" t="s">
        <v>308</v>
      </c>
      <c r="C64" s="255" t="s">
        <v>309</v>
      </c>
      <c r="D64" s="305">
        <v>482772.699643587</v>
      </c>
      <c r="E64" s="305">
        <v>511924.351279783</v>
      </c>
      <c r="F64" s="305">
        <v>1995.3725211554099</v>
      </c>
      <c r="G64" s="305">
        <v>190.05251459853099</v>
      </c>
      <c r="H64" s="305">
        <v>905.93940407846901</v>
      </c>
      <c r="I64" s="290">
        <v>0.59250910605059603</v>
      </c>
      <c r="J64" s="305">
        <v>183.18840953354399</v>
      </c>
      <c r="K64" s="290">
        <v>1.4863449249780001</v>
      </c>
      <c r="L64" s="291">
        <v>32.444211323645497</v>
      </c>
      <c r="M64" s="290">
        <v>0.20102512086737301</v>
      </c>
      <c r="N64" s="290">
        <v>0.116847020194583</v>
      </c>
      <c r="O64" s="290">
        <v>0.10681822550011601</v>
      </c>
      <c r="P64" s="290">
        <v>7.3498291416518402</v>
      </c>
      <c r="Q64" s="290">
        <v>9.3187128319647101</v>
      </c>
      <c r="R64" s="305">
        <v>205.51551904892199</v>
      </c>
      <c r="S64" s="290">
        <v>0.63016545848474004</v>
      </c>
      <c r="T64" s="305">
        <v>197.760034301703</v>
      </c>
      <c r="U64" s="291">
        <v>10.254903191000199</v>
      </c>
      <c r="V64" s="290">
        <v>0.61523679920401397</v>
      </c>
      <c r="W64" s="290">
        <v>8.0025362277844199</v>
      </c>
      <c r="X64" s="291">
        <v>10.809454792757</v>
      </c>
      <c r="Y64" s="290">
        <v>1.12348591285313</v>
      </c>
      <c r="Z64" s="290" t="s">
        <v>25</v>
      </c>
      <c r="AA64" s="290">
        <v>7.0896402858619201E-2</v>
      </c>
      <c r="AB64" s="291">
        <f t="shared" si="24"/>
        <v>63.376964277117771</v>
      </c>
      <c r="AC64" s="290">
        <f t="shared" si="25"/>
        <v>3.1637754856739013</v>
      </c>
      <c r="AD64" s="305">
        <f t="shared" si="27"/>
        <v>1528.9881536455377</v>
      </c>
      <c r="AE64" s="219">
        <f t="shared" si="26"/>
        <v>5.831058076878838E-4</v>
      </c>
      <c r="AF64" s="255" t="s">
        <v>216</v>
      </c>
      <c r="AG64" s="255" t="s">
        <v>216</v>
      </c>
    </row>
    <row r="65" spans="1:33" s="255" customFormat="1">
      <c r="A65" s="156"/>
      <c r="B65" s="255" t="s">
        <v>310</v>
      </c>
      <c r="C65" s="255" t="s">
        <v>311</v>
      </c>
      <c r="D65" s="305">
        <v>484676.94552609703</v>
      </c>
      <c r="E65" s="305">
        <v>511198.93786137202</v>
      </c>
      <c r="F65" s="305">
        <v>656.28343229505697</v>
      </c>
      <c r="G65" s="305">
        <v>160.369502815819</v>
      </c>
      <c r="H65" s="305">
        <v>1431.1598345647701</v>
      </c>
      <c r="I65" s="290">
        <v>0.17052380451597299</v>
      </c>
      <c r="J65" s="305">
        <v>434.02700782394402</v>
      </c>
      <c r="K65" s="290">
        <v>1.9317293577246899</v>
      </c>
      <c r="L65" s="291">
        <v>38.929958672622298</v>
      </c>
      <c r="M65" s="290">
        <v>0.48289665701486401</v>
      </c>
      <c r="N65" s="290">
        <v>0.108627932123834</v>
      </c>
      <c r="O65" s="290">
        <v>0.108620707641725</v>
      </c>
      <c r="P65" s="290">
        <v>5.4935117815709296</v>
      </c>
      <c r="Q65" s="291">
        <v>10.888973090343701</v>
      </c>
      <c r="R65" s="305">
        <v>303.03504799583601</v>
      </c>
      <c r="S65" s="290">
        <v>0.72064476008440603</v>
      </c>
      <c r="T65" s="305">
        <v>109.413283430856</v>
      </c>
      <c r="U65" s="290">
        <v>3.6921516546380002</v>
      </c>
      <c r="V65" s="290">
        <v>0.35813474996259398</v>
      </c>
      <c r="W65" s="291">
        <v>10.1384662801308</v>
      </c>
      <c r="X65" s="290">
        <v>7.7571001552055101</v>
      </c>
      <c r="Y65" s="290">
        <v>2.0110525162255199</v>
      </c>
      <c r="Z65" s="290" t="s">
        <v>25</v>
      </c>
      <c r="AA65" s="290">
        <v>0.131085607470594</v>
      </c>
      <c r="AB65" s="291">
        <f t="shared" si="24"/>
        <v>76.154224489369739</v>
      </c>
      <c r="AC65" s="291">
        <f t="shared" si="25"/>
        <v>10.543976064395766</v>
      </c>
      <c r="AD65" s="305">
        <f t="shared" si="27"/>
        <v>8392.7275645009031</v>
      </c>
      <c r="AE65" s="219">
        <f t="shared" si="26"/>
        <v>2.5026255436570716E-4</v>
      </c>
      <c r="AF65" s="255">
        <v>4.22</v>
      </c>
      <c r="AG65" s="255">
        <v>7.0000000000000007E-2</v>
      </c>
    </row>
    <row r="66" spans="1:33" s="255" customFormat="1">
      <c r="A66" s="156"/>
      <c r="B66" s="255" t="s">
        <v>312</v>
      </c>
      <c r="C66" s="255" t="s">
        <v>313</v>
      </c>
      <c r="D66" s="305">
        <v>481493.69173847698</v>
      </c>
      <c r="E66" s="305">
        <v>512487.047215614</v>
      </c>
      <c r="F66" s="305">
        <v>2212.2677515580999</v>
      </c>
      <c r="G66" s="291">
        <v>96.205091536155606</v>
      </c>
      <c r="H66" s="305">
        <v>1243.8436228247199</v>
      </c>
      <c r="I66" s="290">
        <v>1.0001823489647099</v>
      </c>
      <c r="J66" s="305">
        <v>357.52309988249101</v>
      </c>
      <c r="K66" s="290">
        <v>2.1594037160021</v>
      </c>
      <c r="L66" s="291">
        <v>65.273015390991404</v>
      </c>
      <c r="M66" s="290">
        <v>1.3776935671428401</v>
      </c>
      <c r="N66" s="290">
        <v>0.23802835458218999</v>
      </c>
      <c r="O66" s="290">
        <v>0.12755182608768001</v>
      </c>
      <c r="P66" s="290">
        <v>6.8371260657509101</v>
      </c>
      <c r="Q66" s="291">
        <v>39.581884800564801</v>
      </c>
      <c r="R66" s="305">
        <v>124.93742650577001</v>
      </c>
      <c r="S66" s="290">
        <v>0.51961298454379601</v>
      </c>
      <c r="T66" s="291">
        <v>98.803149071348599</v>
      </c>
      <c r="U66" s="290">
        <v>0.32612360942879498</v>
      </c>
      <c r="V66" s="290">
        <v>0.55168346404156599</v>
      </c>
      <c r="W66" s="305">
        <v>149.871088848857</v>
      </c>
      <c r="X66" s="291">
        <v>11.458851012960499</v>
      </c>
      <c r="Y66" s="290">
        <v>3.9133004746508702</v>
      </c>
      <c r="Z66" s="290">
        <v>3.3896368932725102E-2</v>
      </c>
      <c r="AA66" s="290">
        <v>5.1228503094484297E-2</v>
      </c>
      <c r="AB66" s="305">
        <f t="shared" si="24"/>
        <v>127.36520024384087</v>
      </c>
      <c r="AC66" s="305">
        <f t="shared" si="25"/>
        <v>200.14808343780138</v>
      </c>
      <c r="AD66" s="305">
        <f t="shared" si="27"/>
        <v>1243.6168505795208</v>
      </c>
      <c r="AE66" s="219">
        <f t="shared" si="26"/>
        <v>3.5676527231276282E-4</v>
      </c>
      <c r="AF66" s="255" t="s">
        <v>216</v>
      </c>
      <c r="AG66" s="255" t="s">
        <v>216</v>
      </c>
    </row>
    <row r="67" spans="1:33" s="255" customFormat="1" ht="16.149999999999999" customHeight="1">
      <c r="A67" s="156"/>
      <c r="B67" s="255" t="s">
        <v>314</v>
      </c>
      <c r="C67" s="255" t="s">
        <v>315</v>
      </c>
      <c r="D67" s="305">
        <v>482489.40747245803</v>
      </c>
      <c r="E67" s="305">
        <v>510745.47425046802</v>
      </c>
      <c r="F67" s="305">
        <v>1005.55765746606</v>
      </c>
      <c r="G67" s="305">
        <v>2488.9245009420301</v>
      </c>
      <c r="H67" s="305">
        <v>1316.8845549468799</v>
      </c>
      <c r="I67" s="290">
        <v>1.8462808393935399</v>
      </c>
      <c r="J67" s="305">
        <v>308.45191777060899</v>
      </c>
      <c r="K67" s="290">
        <v>3.57072240028667</v>
      </c>
      <c r="L67" s="291">
        <v>36.186554868903102</v>
      </c>
      <c r="M67" s="290">
        <v>1.21561790072706</v>
      </c>
      <c r="N67" s="290">
        <v>0.199301537732299</v>
      </c>
      <c r="O67" s="290">
        <v>0.23055452494919099</v>
      </c>
      <c r="P67" s="291">
        <v>15.2643193451977</v>
      </c>
      <c r="Q67" s="305">
        <v>211.09315722949299</v>
      </c>
      <c r="R67" s="305">
        <v>151.269002236868</v>
      </c>
      <c r="S67" s="290">
        <v>3.1601179850271501</v>
      </c>
      <c r="T67" s="305">
        <v>223.77952908918601</v>
      </c>
      <c r="U67" s="291">
        <v>16.8827280367912</v>
      </c>
      <c r="V67" s="290">
        <v>0.26301651220073802</v>
      </c>
      <c r="W67" s="291">
        <v>58.849126424220202</v>
      </c>
      <c r="X67" s="291">
        <v>11.602043298577801</v>
      </c>
      <c r="Y67" s="290">
        <v>0.184727669914695</v>
      </c>
      <c r="Z67" s="290">
        <v>5.4165035226203199E-3</v>
      </c>
      <c r="AA67" s="290">
        <v>0.12847104277910701</v>
      </c>
      <c r="AB67" s="291">
        <f t="shared" si="24"/>
        <v>70.850466021275651</v>
      </c>
      <c r="AC67" s="290">
        <f t="shared" si="25"/>
        <v>2.1434068469292753</v>
      </c>
      <c r="AD67" s="305">
        <f t="shared" si="27"/>
        <v>713.26340329645927</v>
      </c>
      <c r="AE67" s="219">
        <f t="shared" si="26"/>
        <v>7.474569346676939E-4</v>
      </c>
      <c r="AF67" s="255" t="s">
        <v>216</v>
      </c>
      <c r="AG67" s="255" t="s">
        <v>216</v>
      </c>
    </row>
    <row r="68" spans="1:33" s="255" customFormat="1">
      <c r="A68" s="156"/>
      <c r="B68" s="255" t="s">
        <v>316</v>
      </c>
      <c r="C68" s="255" t="s">
        <v>317</v>
      </c>
      <c r="D68" s="305">
        <v>457121.820944354</v>
      </c>
      <c r="E68" s="305">
        <v>529139.49294099398</v>
      </c>
      <c r="F68" s="305">
        <v>4438.7968120377</v>
      </c>
      <c r="G68" s="305">
        <v>1084.60865383943</v>
      </c>
      <c r="H68" s="305">
        <v>1156.8776983057801</v>
      </c>
      <c r="I68" s="290">
        <v>0.44012163190630699</v>
      </c>
      <c r="J68" s="305">
        <v>802.263948841922</v>
      </c>
      <c r="K68" s="290">
        <v>6.96645719796875</v>
      </c>
      <c r="L68" s="291">
        <v>54.931770808101902</v>
      </c>
      <c r="M68" s="290">
        <v>3.1762788006532401</v>
      </c>
      <c r="N68" s="290">
        <v>0.37666892951931902</v>
      </c>
      <c r="O68" s="290">
        <v>0.17126641347296101</v>
      </c>
      <c r="P68" s="290">
        <v>9.3395756294132894</v>
      </c>
      <c r="Q68" s="290">
        <v>4.5954425925573599</v>
      </c>
      <c r="R68" s="305">
        <v>351.93510734089102</v>
      </c>
      <c r="S68" s="290">
        <v>9.9695759770657393</v>
      </c>
      <c r="T68" s="305">
        <v>150.18159934298399</v>
      </c>
      <c r="U68" s="290">
        <v>0.60250695392849696</v>
      </c>
      <c r="V68" s="290">
        <v>1.9062690293734801</v>
      </c>
      <c r="W68" s="291">
        <v>43.712509287175202</v>
      </c>
      <c r="X68" s="291">
        <v>40.072856383267101</v>
      </c>
      <c r="Y68" s="290">
        <v>0.45653296146661299</v>
      </c>
      <c r="Z68" s="290">
        <v>5.6278077410984503E-3</v>
      </c>
      <c r="AA68" s="290" t="s">
        <v>25</v>
      </c>
      <c r="AB68" s="305">
        <f t="shared" si="24"/>
        <v>103.81340183622906</v>
      </c>
      <c r="AC68" s="291">
        <f t="shared" si="25"/>
        <v>91.172011293700322</v>
      </c>
      <c r="AD68" s="305">
        <f t="shared" si="27"/>
        <v>2628.5408724287745</v>
      </c>
      <c r="AE68" s="219">
        <f t="shared" si="26"/>
        <v>2.1347888524741291E-4</v>
      </c>
      <c r="AF68" s="255" t="s">
        <v>216</v>
      </c>
      <c r="AG68" s="255" t="s">
        <v>216</v>
      </c>
    </row>
    <row r="69" spans="1:33" s="255" customFormat="1">
      <c r="A69" s="156"/>
      <c r="B69" s="255" t="s">
        <v>318</v>
      </c>
      <c r="C69" s="255" t="s">
        <v>319</v>
      </c>
      <c r="D69" s="305">
        <v>421208.03419135098</v>
      </c>
      <c r="E69" s="305">
        <v>569154.83518049901</v>
      </c>
      <c r="F69" s="305">
        <v>3959.73718276096</v>
      </c>
      <c r="G69" s="305">
        <v>831.30794097262401</v>
      </c>
      <c r="H69" s="305">
        <v>1730.0998959211499</v>
      </c>
      <c r="I69" s="290">
        <v>3.4626981220108402</v>
      </c>
      <c r="J69" s="305">
        <v>206.25577473125199</v>
      </c>
      <c r="K69" s="290">
        <v>2.5505752163123199</v>
      </c>
      <c r="L69" s="291">
        <v>27.245981046992799</v>
      </c>
      <c r="M69" s="290">
        <v>0.67501319846831398</v>
      </c>
      <c r="N69" s="290">
        <v>0.42780339203940898</v>
      </c>
      <c r="O69" s="290">
        <v>0.734614092854464</v>
      </c>
      <c r="P69" s="305">
        <v>109.11638210414201</v>
      </c>
      <c r="Q69" s="305">
        <v>615.91637102715003</v>
      </c>
      <c r="R69" s="305">
        <v>896.08462125060203</v>
      </c>
      <c r="S69" s="290">
        <v>2.9176848260623101</v>
      </c>
      <c r="T69" s="305">
        <v>361.64992693619598</v>
      </c>
      <c r="U69" s="291">
        <v>11.7405142773433</v>
      </c>
      <c r="V69" s="290">
        <v>0.55463119455216203</v>
      </c>
      <c r="W69" s="291">
        <v>42.8473247775947</v>
      </c>
      <c r="X69" s="290">
        <v>5.1389406466201804</v>
      </c>
      <c r="Y69" s="290">
        <v>7.7593240060468602</v>
      </c>
      <c r="Z69" s="290" t="s">
        <v>25</v>
      </c>
      <c r="AA69" s="290" t="s">
        <v>25</v>
      </c>
      <c r="AB69" s="291">
        <f t="shared" si="24"/>
        <v>47.870947170908494</v>
      </c>
      <c r="AC69" s="290">
        <f t="shared" si="25"/>
        <v>2.320680372543114</v>
      </c>
      <c r="AD69" s="305">
        <f t="shared" si="27"/>
        <v>499.6392509423996</v>
      </c>
      <c r="AE69" s="219">
        <f t="shared" si="26"/>
        <v>3.5616655766930868E-3</v>
      </c>
      <c r="AF69" s="255" t="s">
        <v>216</v>
      </c>
      <c r="AG69" s="255" t="s">
        <v>216</v>
      </c>
    </row>
    <row r="70" spans="1:33" s="255" customFormat="1" ht="16.899999999999999" customHeight="1">
      <c r="A70" s="156"/>
      <c r="B70" s="255" t="s">
        <v>320</v>
      </c>
      <c r="C70" s="255" t="s">
        <v>321</v>
      </c>
      <c r="D70" s="305">
        <v>491409.48660277302</v>
      </c>
      <c r="E70" s="305">
        <v>503024.12831556302</v>
      </c>
      <c r="F70" s="305">
        <v>1651.3359919433101</v>
      </c>
      <c r="G70" s="305">
        <v>1843.6477703661001</v>
      </c>
      <c r="H70" s="305">
        <v>864.23139041275999</v>
      </c>
      <c r="I70" s="290">
        <v>3.4719498523821599</v>
      </c>
      <c r="J70" s="305">
        <v>165.34258516101701</v>
      </c>
      <c r="K70" s="290">
        <v>1.5752836872354301</v>
      </c>
      <c r="L70" s="290">
        <v>3.7817798316916802</v>
      </c>
      <c r="M70" s="290">
        <v>0.14647240962941399</v>
      </c>
      <c r="N70" s="290">
        <v>0.25303468418118402</v>
      </c>
      <c r="O70" s="290">
        <v>0.52451250922576498</v>
      </c>
      <c r="P70" s="291">
        <v>37.310398144611597</v>
      </c>
      <c r="Q70" s="305">
        <v>291.138583756353</v>
      </c>
      <c r="R70" s="291">
        <v>71.406647939856796</v>
      </c>
      <c r="S70" s="290">
        <v>1.5595053134835899</v>
      </c>
      <c r="T70" s="305">
        <v>180.32827049176899</v>
      </c>
      <c r="U70" s="291">
        <v>20.514431143103302</v>
      </c>
      <c r="V70" s="290">
        <v>0.29956326397834399</v>
      </c>
      <c r="W70" s="290">
        <v>7.4640168428020797</v>
      </c>
      <c r="X70" s="290">
        <v>3.5896420846406598</v>
      </c>
      <c r="Y70" s="290">
        <v>0.632747600701005</v>
      </c>
      <c r="Z70" s="290" t="s">
        <v>25</v>
      </c>
      <c r="AA70" s="290" t="s">
        <v>25</v>
      </c>
      <c r="AB70" s="290">
        <f t="shared" si="24"/>
        <v>7.5180883357532489</v>
      </c>
      <c r="AC70" s="290">
        <f t="shared" si="25"/>
        <v>0.1843472921725674</v>
      </c>
      <c r="AD70" s="305">
        <f t="shared" si="27"/>
        <v>248.91816620559686</v>
      </c>
      <c r="AE70" s="219">
        <f t="shared" si="26"/>
        <v>3.1722771765965458E-3</v>
      </c>
      <c r="AF70" s="255" t="s">
        <v>216</v>
      </c>
      <c r="AG70" s="255" t="s">
        <v>216</v>
      </c>
    </row>
    <row r="71" spans="1:33" s="255" customFormat="1">
      <c r="A71" s="156"/>
      <c r="B71" s="255" t="s">
        <v>322</v>
      </c>
      <c r="C71" s="255" t="s">
        <v>323</v>
      </c>
      <c r="D71" s="305">
        <v>461883.80136271298</v>
      </c>
      <c r="E71" s="305">
        <v>532155.75443324703</v>
      </c>
      <c r="F71" s="305">
        <v>848.73286788061205</v>
      </c>
      <c r="G71" s="305">
        <v>2540.3752231353301</v>
      </c>
      <c r="H71" s="305">
        <v>452.05717908885299</v>
      </c>
      <c r="I71" s="290">
        <v>2.2587923987356402</v>
      </c>
      <c r="J71" s="305">
        <v>506.10589402025403</v>
      </c>
      <c r="K71" s="290">
        <v>1.1882683045881901</v>
      </c>
      <c r="L71" s="290">
        <v>3.0006924765998302</v>
      </c>
      <c r="M71" s="290">
        <v>0.12820550836517899</v>
      </c>
      <c r="N71" s="290" t="s">
        <v>25</v>
      </c>
      <c r="O71" s="290">
        <v>0.350812984945572</v>
      </c>
      <c r="P71" s="291">
        <v>27.0834405154182</v>
      </c>
      <c r="Q71" s="305">
        <v>99.933071002462896</v>
      </c>
      <c r="R71" s="305">
        <v>442.691733618341</v>
      </c>
      <c r="S71" s="290">
        <v>2.0203009630733502</v>
      </c>
      <c r="T71" s="305">
        <v>522.46808386072803</v>
      </c>
      <c r="U71" s="291">
        <v>85.342873940671794</v>
      </c>
      <c r="V71" s="290">
        <v>6.5573896316042504E-2</v>
      </c>
      <c r="W71" s="291">
        <v>15.755096760754199</v>
      </c>
      <c r="X71" s="290">
        <v>2.4638075274090601</v>
      </c>
      <c r="Y71" s="290">
        <v>0.1598658710843</v>
      </c>
      <c r="Z71" s="290" t="s">
        <v>25</v>
      </c>
      <c r="AA71" s="290">
        <v>5.3524125451265198E-2</v>
      </c>
      <c r="AB71" s="290">
        <f t="shared" si="24"/>
        <v>5.638748527290864</v>
      </c>
      <c r="AC71" s="290">
        <f t="shared" si="25"/>
        <v>3.5160433883276949E-2</v>
      </c>
      <c r="AD71" s="305">
        <f t="shared" si="27"/>
        <v>200.1322385102288</v>
      </c>
      <c r="AE71" s="219">
        <f t="shared" si="26"/>
        <v>6.9316123184989559E-4</v>
      </c>
      <c r="AF71" s="255" t="s">
        <v>216</v>
      </c>
      <c r="AG71" s="255" t="s">
        <v>216</v>
      </c>
    </row>
    <row r="72" spans="1:33" s="255" customFormat="1">
      <c r="A72" s="156"/>
      <c r="B72" s="255" t="s">
        <v>324</v>
      </c>
      <c r="C72" s="255" t="s">
        <v>325</v>
      </c>
      <c r="D72" s="305">
        <v>476568.22675266501</v>
      </c>
      <c r="E72" s="305">
        <v>516050.81005644798</v>
      </c>
      <c r="F72" s="305">
        <v>947.58938216943397</v>
      </c>
      <c r="G72" s="305">
        <v>3418.4618156752099</v>
      </c>
      <c r="H72" s="305">
        <v>475.12813374682003</v>
      </c>
      <c r="I72" s="290">
        <v>3.0454518031050801</v>
      </c>
      <c r="J72" s="305">
        <v>421.70023529375601</v>
      </c>
      <c r="K72" s="290">
        <v>1.6888841508186601</v>
      </c>
      <c r="L72" s="290">
        <v>4.4747277927708602</v>
      </c>
      <c r="M72" s="290">
        <v>0.38282673380646398</v>
      </c>
      <c r="N72" s="290">
        <v>0.28844406343482398</v>
      </c>
      <c r="O72" s="290">
        <v>0.39501127571373801</v>
      </c>
      <c r="P72" s="291">
        <v>27.751369890121801</v>
      </c>
      <c r="Q72" s="305">
        <v>106.59842289195601</v>
      </c>
      <c r="R72" s="305">
        <v>232.33652360989501</v>
      </c>
      <c r="S72" s="290">
        <v>2.8245685849320399</v>
      </c>
      <c r="T72" s="305">
        <v>640.53603157481405</v>
      </c>
      <c r="U72" s="305">
        <v>103.242915312365</v>
      </c>
      <c r="V72" s="290">
        <v>0.117184056703335</v>
      </c>
      <c r="W72" s="291">
        <v>38.051207282814197</v>
      </c>
      <c r="X72" s="290">
        <v>2.0284796432344598</v>
      </c>
      <c r="Y72" s="290">
        <v>0.75442526068249105</v>
      </c>
      <c r="Z72" s="290" t="s">
        <v>25</v>
      </c>
      <c r="AA72" s="290" t="s">
        <v>25</v>
      </c>
      <c r="AB72" s="290">
        <f t="shared" si="24"/>
        <v>8.671099251411686</v>
      </c>
      <c r="AC72" s="290">
        <f t="shared" si="25"/>
        <v>4.3341741941637514E-2</v>
      </c>
      <c r="AD72" s="305">
        <f t="shared" si="27"/>
        <v>156.01236350625845</v>
      </c>
      <c r="AE72" s="219">
        <f t="shared" si="26"/>
        <v>9.367110631052257E-4</v>
      </c>
      <c r="AF72" s="255" t="s">
        <v>216</v>
      </c>
      <c r="AG72" s="255" t="s">
        <v>216</v>
      </c>
    </row>
    <row r="73" spans="1:33" s="255" customFormat="1">
      <c r="A73" s="156"/>
      <c r="B73" s="255" t="s">
        <v>326</v>
      </c>
      <c r="C73" s="255" t="s">
        <v>327</v>
      </c>
      <c r="D73" s="305">
        <v>435265.02957941202</v>
      </c>
      <c r="E73" s="305">
        <v>560441.64385001501</v>
      </c>
      <c r="F73" s="305">
        <v>669.66689331163104</v>
      </c>
      <c r="G73" s="305">
        <v>938.89128242517404</v>
      </c>
      <c r="H73" s="305">
        <v>129.17320821639899</v>
      </c>
      <c r="I73" s="290">
        <v>1.0801630615112201</v>
      </c>
      <c r="J73" s="305">
        <v>337.47609058829403</v>
      </c>
      <c r="K73" s="290">
        <v>3.2276143721487101</v>
      </c>
      <c r="L73" s="290">
        <v>7.6088740099386296</v>
      </c>
      <c r="M73" s="290">
        <v>0.17459381198738499</v>
      </c>
      <c r="N73" s="290">
        <v>0.109347309523599</v>
      </c>
      <c r="O73" s="290">
        <v>0.28244740299912502</v>
      </c>
      <c r="P73" s="291">
        <v>50.768306597968902</v>
      </c>
      <c r="Q73" s="305">
        <v>219.38821147271099</v>
      </c>
      <c r="R73" s="305">
        <v>267.053065716535</v>
      </c>
      <c r="S73" s="290">
        <v>2.5713200142110302</v>
      </c>
      <c r="T73" s="305">
        <v>1355.0654851373099</v>
      </c>
      <c r="U73" s="290">
        <v>5.74381775838516</v>
      </c>
      <c r="V73" s="290">
        <v>6.08155852293044E-2</v>
      </c>
      <c r="W73" s="290">
        <v>4.9772614958651404</v>
      </c>
      <c r="X73" s="290">
        <v>2.1852308420253399</v>
      </c>
      <c r="Y73" s="290">
        <v>0.141312689619468</v>
      </c>
      <c r="Z73" s="290" t="s">
        <v>25</v>
      </c>
      <c r="AA73" s="290">
        <v>0.12831144822556001</v>
      </c>
      <c r="AB73" s="291">
        <f t="shared" si="24"/>
        <v>13.576567861140083</v>
      </c>
      <c r="AC73" s="290">
        <f t="shared" si="25"/>
        <v>1.3247067246920834</v>
      </c>
      <c r="AD73" s="305">
        <f t="shared" si="27"/>
        <v>119.58676686802923</v>
      </c>
      <c r="AE73" s="219">
        <f t="shared" si="26"/>
        <v>8.3694048519632289E-4</v>
      </c>
      <c r="AF73" s="255">
        <v>4.2300000000000004</v>
      </c>
      <c r="AG73" s="255">
        <v>0.08</v>
      </c>
    </row>
    <row r="74" spans="1:33" s="255" customFormat="1">
      <c r="A74" s="156"/>
      <c r="B74" s="255" t="s">
        <v>328</v>
      </c>
      <c r="C74" s="255" t="s">
        <v>329</v>
      </c>
      <c r="D74" s="305">
        <v>495468.71476532897</v>
      </c>
      <c r="E74" s="305">
        <v>499341.22377873701</v>
      </c>
      <c r="F74" s="305">
        <v>1469.5271204511801</v>
      </c>
      <c r="G74" s="305">
        <v>798.51540611154701</v>
      </c>
      <c r="H74" s="305">
        <v>1352.4534215865899</v>
      </c>
      <c r="I74" s="290">
        <v>3.9053256058871302</v>
      </c>
      <c r="J74" s="305">
        <v>154.77755679840601</v>
      </c>
      <c r="K74" s="290">
        <v>1.06343910353492</v>
      </c>
      <c r="L74" s="290">
        <v>4.77596958046973</v>
      </c>
      <c r="M74" s="290">
        <v>0.13238554479616799</v>
      </c>
      <c r="N74" s="290">
        <v>2.5313046991506799E-2</v>
      </c>
      <c r="O74" s="290">
        <v>0.616002454894648</v>
      </c>
      <c r="P74" s="291">
        <v>45.464668789040502</v>
      </c>
      <c r="Q74" s="305">
        <v>616.09355628524202</v>
      </c>
      <c r="R74" s="291">
        <v>65.377512455216603</v>
      </c>
      <c r="S74" s="290">
        <v>1.12965639621937</v>
      </c>
      <c r="T74" s="305">
        <v>227.884358879568</v>
      </c>
      <c r="U74" s="291">
        <v>11.8984312799415</v>
      </c>
      <c r="V74" s="290">
        <v>8.7800756256117801E-2</v>
      </c>
      <c r="W74" s="291">
        <v>24.162285855029499</v>
      </c>
      <c r="X74" s="290">
        <v>3.0323278864618399</v>
      </c>
      <c r="Y74" s="290">
        <v>0.428580540008975</v>
      </c>
      <c r="Z74" s="290" t="s">
        <v>25</v>
      </c>
      <c r="AA74" s="290">
        <v>0.10867825525549001</v>
      </c>
      <c r="AB74" s="290">
        <f t="shared" si="24"/>
        <v>9.5645409452234791</v>
      </c>
      <c r="AC74" s="290">
        <f t="shared" si="25"/>
        <v>0.40139489552048002</v>
      </c>
      <c r="AD74" s="305">
        <f t="shared" si="27"/>
        <v>346.31002842575219</v>
      </c>
      <c r="AE74" s="219">
        <f t="shared" si="26"/>
        <v>3.9799210404708489E-3</v>
      </c>
      <c r="AF74" s="255" t="s">
        <v>216</v>
      </c>
      <c r="AG74" s="255" t="s">
        <v>216</v>
      </c>
    </row>
    <row r="75" spans="1:33" s="255" customFormat="1" ht="19.149999999999999" customHeight="1">
      <c r="A75" s="156"/>
      <c r="B75" s="255" t="s">
        <v>330</v>
      </c>
      <c r="C75" s="255" t="s">
        <v>331</v>
      </c>
      <c r="D75" s="305">
        <v>472572.63883833803</v>
      </c>
      <c r="E75" s="305">
        <v>514128.162926219</v>
      </c>
      <c r="F75" s="305">
        <v>3354.7244021001602</v>
      </c>
      <c r="G75" s="305">
        <v>6452.6375117132602</v>
      </c>
      <c r="H75" s="305">
        <v>681.07931139145796</v>
      </c>
      <c r="I75" s="290">
        <v>3.3815160410140801</v>
      </c>
      <c r="J75" s="305">
        <v>298.03429488280801</v>
      </c>
      <c r="K75" s="290">
        <v>2.2718168403768702</v>
      </c>
      <c r="L75" s="291">
        <v>14.837028201822701</v>
      </c>
      <c r="M75" s="290">
        <v>0.69176835536168502</v>
      </c>
      <c r="N75" s="290">
        <v>0.30996967808849901</v>
      </c>
      <c r="O75" s="290">
        <v>0.50179802887809499</v>
      </c>
      <c r="P75" s="291">
        <v>38.901878357147098</v>
      </c>
      <c r="Q75" s="305">
        <v>369.191883585185</v>
      </c>
      <c r="R75" s="305">
        <v>296.50538194128302</v>
      </c>
      <c r="S75" s="290">
        <v>5.3829525157893103</v>
      </c>
      <c r="T75" s="305">
        <v>585.77841217872106</v>
      </c>
      <c r="U75" s="291">
        <v>35.668386552267599</v>
      </c>
      <c r="V75" s="290">
        <v>0.43255015322030899</v>
      </c>
      <c r="W75" s="291">
        <v>29.3048677739814</v>
      </c>
      <c r="X75" s="290">
        <v>6.3881968333131898</v>
      </c>
      <c r="Y75" s="291">
        <v>13.857782139549901</v>
      </c>
      <c r="Z75" s="290">
        <v>9.5485214051714996E-3</v>
      </c>
      <c r="AA75" s="290">
        <v>7.9465294121638094E-2</v>
      </c>
      <c r="AB75" s="291">
        <f t="shared" si="24"/>
        <v>28.858617892815023</v>
      </c>
      <c r="AC75" s="290">
        <f t="shared" si="25"/>
        <v>0.41597138631658809</v>
      </c>
      <c r="AD75" s="305">
        <f t="shared" si="27"/>
        <v>201.41241476625072</v>
      </c>
      <c r="AE75" s="219">
        <f t="shared" si="26"/>
        <v>1.6836922377520688E-3</v>
      </c>
      <c r="AF75" s="255" t="s">
        <v>216</v>
      </c>
      <c r="AG75" s="255" t="s">
        <v>216</v>
      </c>
    </row>
    <row r="76" spans="1:33" s="255" customFormat="1" ht="14.45" customHeight="1">
      <c r="A76" s="156"/>
      <c r="B76" s="255" t="s">
        <v>332</v>
      </c>
      <c r="C76" s="255" t="s">
        <v>333</v>
      </c>
      <c r="D76" s="305">
        <v>485057.783482378</v>
      </c>
      <c r="E76" s="305">
        <v>506930.57180057297</v>
      </c>
      <c r="F76" s="305">
        <v>2216.20726506138</v>
      </c>
      <c r="G76" s="305">
        <v>2675.0203281100498</v>
      </c>
      <c r="H76" s="305">
        <v>1057.5094959435901</v>
      </c>
      <c r="I76" s="290">
        <v>4.0819505576425996</v>
      </c>
      <c r="J76" s="305">
        <v>250.04472453333901</v>
      </c>
      <c r="K76" s="290">
        <v>2.0157824878127402</v>
      </c>
      <c r="L76" s="291">
        <v>12.338484914627299</v>
      </c>
      <c r="M76" s="290">
        <v>0.56236993763895904</v>
      </c>
      <c r="N76" s="290">
        <v>0.25589007970696798</v>
      </c>
      <c r="O76" s="290">
        <v>0.58418515108884495</v>
      </c>
      <c r="P76" s="291">
        <v>53.018680875087497</v>
      </c>
      <c r="Q76" s="305">
        <v>298.76645032314002</v>
      </c>
      <c r="R76" s="305">
        <v>487.527490305752</v>
      </c>
      <c r="S76" s="290">
        <v>4.3951447851807304</v>
      </c>
      <c r="T76" s="305">
        <v>418.79231116005798</v>
      </c>
      <c r="U76" s="291">
        <v>24.2831089586324</v>
      </c>
      <c r="V76" s="290">
        <v>3.3952746567902502E-2</v>
      </c>
      <c r="W76" s="291">
        <v>39.213787522616201</v>
      </c>
      <c r="X76" s="290">
        <v>5.9673323770964704</v>
      </c>
      <c r="Y76" s="290">
        <v>0.67967186776166</v>
      </c>
      <c r="Z76" s="290">
        <v>6.0177364830817899E-3</v>
      </c>
      <c r="AA76" s="290">
        <v>0.121869248524579</v>
      </c>
      <c r="AB76" s="291">
        <f t="shared" si="24"/>
        <v>24.339595204925363</v>
      </c>
      <c r="AC76" s="290">
        <f t="shared" si="25"/>
        <v>0.50810977027886262</v>
      </c>
      <c r="AD76" s="305">
        <f t="shared" si="27"/>
        <v>259.06964844628618</v>
      </c>
      <c r="AE76" s="219">
        <f t="shared" si="26"/>
        <v>2.3363226405960598E-3</v>
      </c>
      <c r="AF76" s="255" t="s">
        <v>216</v>
      </c>
      <c r="AG76" s="255" t="s">
        <v>216</v>
      </c>
    </row>
    <row r="77" spans="1:33" ht="14.45" customHeight="1">
      <c r="A77" s="36"/>
      <c r="B77" s="37" t="s">
        <v>113</v>
      </c>
      <c r="C77" s="37"/>
      <c r="D77" s="38">
        <f t="shared" ref="D77:AB77" si="28">MEDIAN(D53:D76)</f>
        <v>481991.54960546747</v>
      </c>
      <c r="E77" s="38">
        <f t="shared" si="28"/>
        <v>511988.717984221</v>
      </c>
      <c r="F77" s="38">
        <f t="shared" si="28"/>
        <v>976.57351981774696</v>
      </c>
      <c r="G77" s="38">
        <f t="shared" si="28"/>
        <v>906.81001727876856</v>
      </c>
      <c r="H77" s="38">
        <f t="shared" si="28"/>
        <v>1058.976897111465</v>
      </c>
      <c r="I77" s="39">
        <f t="shared" si="28"/>
        <v>1.6297616402091148</v>
      </c>
      <c r="J77" s="38">
        <f t="shared" si="28"/>
        <v>342.91493792906601</v>
      </c>
      <c r="K77" s="39">
        <f t="shared" si="28"/>
        <v>2.332374778016415</v>
      </c>
      <c r="L77" s="41">
        <f t="shared" si="28"/>
        <v>21.557553612809901</v>
      </c>
      <c r="M77" s="39">
        <f t="shared" si="28"/>
        <v>0.51889456107754295</v>
      </c>
      <c r="N77" s="39">
        <f t="shared" si="28"/>
        <v>0.14194662603991701</v>
      </c>
      <c r="O77" s="39">
        <f t="shared" si="28"/>
        <v>0.26490500474601952</v>
      </c>
      <c r="P77" s="41">
        <f t="shared" si="28"/>
        <v>11.118947123133449</v>
      </c>
      <c r="Q77" s="41">
        <f t="shared" si="28"/>
        <v>92.417872876574904</v>
      </c>
      <c r="R77" s="38">
        <f t="shared" si="28"/>
        <v>170.0777733856745</v>
      </c>
      <c r="S77" s="39">
        <f t="shared" si="28"/>
        <v>2.0022178710730403</v>
      </c>
      <c r="T77" s="38">
        <f t="shared" si="28"/>
        <v>244.21221431070398</v>
      </c>
      <c r="U77" s="41">
        <f t="shared" si="28"/>
        <v>11.188721309847949</v>
      </c>
      <c r="V77" s="39">
        <f t="shared" si="28"/>
        <v>0.31478917545537499</v>
      </c>
      <c r="W77" s="41">
        <f t="shared" si="28"/>
        <v>15.672035570498998</v>
      </c>
      <c r="X77" s="39">
        <f t="shared" si="28"/>
        <v>7.6257717711876847</v>
      </c>
      <c r="Y77" s="39">
        <f t="shared" si="28"/>
        <v>0.65620973423133244</v>
      </c>
      <c r="Z77" s="39">
        <f>MEDIAN(Z53:Z76)</f>
        <v>6.2494402180513602E-3</v>
      </c>
      <c r="AA77" s="39">
        <f>MEDIAN(AA53:AA76)</f>
        <v>0.10651554377019051</v>
      </c>
      <c r="AB77" s="41">
        <f t="shared" si="28"/>
        <v>41.996832088443895</v>
      </c>
      <c r="AC77" s="39">
        <f>MEDIAN(AC53:AC76)</f>
        <v>2.133671318105641</v>
      </c>
      <c r="AD77" s="38">
        <f>MEDIAN(AD53:AD76)</f>
        <v>346.31002842575219</v>
      </c>
      <c r="AE77" s="120"/>
      <c r="AF77" s="38"/>
      <c r="AG77" s="38"/>
    </row>
    <row r="78" spans="1:33" ht="20.65" customHeight="1">
      <c r="A78" s="36"/>
      <c r="B78" s="37" t="s">
        <v>31</v>
      </c>
      <c r="C78" s="37"/>
      <c r="D78" s="38">
        <f t="shared" ref="D78:AD78" si="29">AVERAGE(D53:D76)</f>
        <v>477177.7592877883</v>
      </c>
      <c r="E78" s="38">
        <f t="shared" si="29"/>
        <v>516203.41950108815</v>
      </c>
      <c r="F78" s="38">
        <f t="shared" si="29"/>
        <v>1449.5814745744326</v>
      </c>
      <c r="G78" s="38">
        <f t="shared" si="29"/>
        <v>1899.4214964711334</v>
      </c>
      <c r="H78" s="38">
        <f t="shared" si="29"/>
        <v>916.51978985465428</v>
      </c>
      <c r="I78" s="39">
        <f t="shared" si="29"/>
        <v>1.931544693952423</v>
      </c>
      <c r="J78" s="38">
        <f t="shared" si="29"/>
        <v>396.09175914004754</v>
      </c>
      <c r="K78" s="39">
        <f t="shared" si="29"/>
        <v>2.7834345188806693</v>
      </c>
      <c r="L78" s="41">
        <f t="shared" si="29"/>
        <v>25.83189955579752</v>
      </c>
      <c r="M78" s="39">
        <f t="shared" si="29"/>
        <v>0.68284307218363838</v>
      </c>
      <c r="N78" s="39">
        <f t="shared" si="29"/>
        <v>0.18482727766491644</v>
      </c>
      <c r="O78" s="39">
        <f t="shared" si="29"/>
        <v>0.30526105438736367</v>
      </c>
      <c r="P78" s="41">
        <f t="shared" si="29"/>
        <v>23.920927604050387</v>
      </c>
      <c r="Q78" s="38">
        <f t="shared" si="29"/>
        <v>156.10963254066374</v>
      </c>
      <c r="R78" s="38">
        <f t="shared" si="29"/>
        <v>223.16708804151065</v>
      </c>
      <c r="S78" s="39">
        <f t="shared" si="29"/>
        <v>3.9590710718166755</v>
      </c>
      <c r="T78" s="38">
        <f t="shared" si="29"/>
        <v>327.80160452713648</v>
      </c>
      <c r="U78" s="41">
        <f t="shared" si="29"/>
        <v>19.136274797709707</v>
      </c>
      <c r="V78" s="39">
        <f t="shared" si="29"/>
        <v>0.38621865707532216</v>
      </c>
      <c r="W78" s="41">
        <f t="shared" si="29"/>
        <v>26.820483560354109</v>
      </c>
      <c r="X78" s="39">
        <f t="shared" si="29"/>
        <v>9.3314916661121945</v>
      </c>
      <c r="Y78" s="39">
        <f t="shared" si="29"/>
        <v>1.7429159375247147</v>
      </c>
      <c r="Z78" s="39">
        <f>AVERAGE(Z53:Z76)</f>
        <v>1.1164680339619681E-2</v>
      </c>
      <c r="AA78" s="39">
        <f>AVERAGE(AA53:AA76)</f>
        <v>0.10038180819654408</v>
      </c>
      <c r="AB78" s="41">
        <f t="shared" si="29"/>
        <v>50.206884243603582</v>
      </c>
      <c r="AC78" s="41">
        <f>AVERAGE(AC53:AC76)</f>
        <v>16.018358831598356</v>
      </c>
      <c r="AD78" s="38">
        <f t="shared" si="29"/>
        <v>2082.5776212258529</v>
      </c>
      <c r="AE78" s="120"/>
      <c r="AF78" s="38"/>
      <c r="AG78" s="38"/>
    </row>
    <row r="79" spans="1:33" ht="14.45" customHeight="1">
      <c r="A79" s="36"/>
      <c r="B79" s="37" t="s">
        <v>34</v>
      </c>
      <c r="C79" s="37"/>
      <c r="D79" s="38">
        <f t="shared" ref="D79:AD79" si="30">STDEV(D53:D76)</f>
        <v>17742.113415469248</v>
      </c>
      <c r="E79" s="38">
        <f t="shared" si="30"/>
        <v>17015.577555477477</v>
      </c>
      <c r="F79" s="38">
        <f t="shared" si="30"/>
        <v>1156.7273843022424</v>
      </c>
      <c r="G79" s="38">
        <f t="shared" si="30"/>
        <v>2144.5649849287101</v>
      </c>
      <c r="H79" s="38">
        <f t="shared" si="30"/>
        <v>450.27423892787607</v>
      </c>
      <c r="I79" s="39">
        <f t="shared" si="30"/>
        <v>1.452434379483363</v>
      </c>
      <c r="J79" s="38">
        <f t="shared" si="30"/>
        <v>187.74675181930988</v>
      </c>
      <c r="K79" s="39">
        <f t="shared" si="30"/>
        <v>1.4415328268459344</v>
      </c>
      <c r="L79" s="41">
        <f t="shared" si="30"/>
        <v>19.185540386148599</v>
      </c>
      <c r="M79" s="39">
        <f t="shared" si="30"/>
        <v>0.67799570524039898</v>
      </c>
      <c r="N79" s="39">
        <f t="shared" si="30"/>
        <v>0.13267838969428461</v>
      </c>
      <c r="O79" s="39">
        <f t="shared" si="30"/>
        <v>0.18799035220567911</v>
      </c>
      <c r="P79" s="41">
        <f t="shared" si="30"/>
        <v>24.477853705468991</v>
      </c>
      <c r="Q79" s="38">
        <f t="shared" si="30"/>
        <v>176.08207841076631</v>
      </c>
      <c r="R79" s="38">
        <f t="shared" si="30"/>
        <v>192.52184593743794</v>
      </c>
      <c r="S79" s="39">
        <f t="shared" si="30"/>
        <v>4.6213976229515401</v>
      </c>
      <c r="T79" s="38">
        <f t="shared" si="30"/>
        <v>267.90624624412396</v>
      </c>
      <c r="U79" s="41">
        <f t="shared" si="30"/>
        <v>25.27575725169379</v>
      </c>
      <c r="V79" s="39">
        <f t="shared" si="30"/>
        <v>0.41080966223498488</v>
      </c>
      <c r="W79" s="41">
        <f t="shared" si="30"/>
        <v>30.635573464317723</v>
      </c>
      <c r="X79" s="39">
        <f t="shared" si="30"/>
        <v>8.1590281429808975</v>
      </c>
      <c r="Y79" s="39">
        <f t="shared" si="30"/>
        <v>3.1116983546792421</v>
      </c>
      <c r="Z79" s="39">
        <f>STDEV(Z53:Z76)</f>
        <v>1.123803074416517E-2</v>
      </c>
      <c r="AA79" s="39">
        <f>STDEV(AA53:AA76)</f>
        <v>3.0991529154967688E-2</v>
      </c>
      <c r="AB79" s="41">
        <f t="shared" si="30"/>
        <v>37.483416796467601</v>
      </c>
      <c r="AC79" s="41">
        <f>STDEV(AC53:AC76)</f>
        <v>43.481641999258471</v>
      </c>
      <c r="AD79" s="38">
        <f t="shared" si="30"/>
        <v>3516.1481368766235</v>
      </c>
      <c r="AE79" s="120"/>
      <c r="AF79" s="38"/>
      <c r="AG79" s="38"/>
    </row>
    <row r="80" spans="1:33" ht="14.45" customHeight="1">
      <c r="A80" s="4" t="s">
        <v>334</v>
      </c>
      <c r="B80" s="5" t="s">
        <v>335</v>
      </c>
      <c r="C80" s="5" t="s">
        <v>336</v>
      </c>
      <c r="D80" s="35">
        <v>448995.56269985001</v>
      </c>
      <c r="E80" s="35">
        <v>527975.18064895703</v>
      </c>
      <c r="F80" s="35">
        <v>2711.30556408032</v>
      </c>
      <c r="G80" s="35">
        <v>578.63555568536594</v>
      </c>
      <c r="H80" s="35">
        <v>8163.5159476716799</v>
      </c>
      <c r="I80" s="42">
        <v>0.89117317788253902</v>
      </c>
      <c r="J80" s="35">
        <v>2420.61751283786</v>
      </c>
      <c r="K80" s="40">
        <v>38.093396276743</v>
      </c>
      <c r="L80" s="40">
        <v>48.659350189747897</v>
      </c>
      <c r="M80" s="42">
        <v>0.31819927874269099</v>
      </c>
      <c r="N80" s="42">
        <v>8.1501409752442203E-2</v>
      </c>
      <c r="O80" s="42">
        <v>1.54751392509289</v>
      </c>
      <c r="P80" s="40">
        <v>30.097585005735699</v>
      </c>
      <c r="Q80" s="40">
        <v>13.9353212906388</v>
      </c>
      <c r="R80" s="35">
        <v>474.94237035009297</v>
      </c>
      <c r="S80" s="42">
        <v>1.6636117946323501</v>
      </c>
      <c r="T80" s="35">
        <v>645.996870973868</v>
      </c>
      <c r="U80" s="42">
        <v>1.59173530280923</v>
      </c>
      <c r="V80" s="42">
        <v>0.120666018537277</v>
      </c>
      <c r="W80" s="42">
        <v>4.8906048682031802</v>
      </c>
      <c r="X80" s="42">
        <v>8.5143548268160902</v>
      </c>
      <c r="Y80" s="42">
        <v>0.31374572903873899</v>
      </c>
      <c r="Z80" s="42" t="s">
        <v>25</v>
      </c>
      <c r="AA80" s="42" t="s">
        <v>25</v>
      </c>
      <c r="AB80" s="40">
        <v>92.162192415822602</v>
      </c>
      <c r="AC80" s="40">
        <f t="shared" ref="AC80:AC88" si="31">L80/U80</f>
        <v>30.570001245728314</v>
      </c>
      <c r="AD80" s="35">
        <f t="shared" ref="AD80:AD88" si="32">H80/I80</f>
        <v>9160.4147771463468</v>
      </c>
      <c r="AE80" s="47">
        <f t="shared" ref="AE80:AE88" si="33">O80/J80</f>
        <v>6.3930543214100381E-4</v>
      </c>
      <c r="AG80" s="11"/>
    </row>
    <row r="81" spans="1:33">
      <c r="B81" s="5" t="s">
        <v>337</v>
      </c>
      <c r="C81" s="5" t="s">
        <v>338</v>
      </c>
      <c r="D81" s="35">
        <v>457948.875338563</v>
      </c>
      <c r="E81" s="35">
        <v>528536.19660619297</v>
      </c>
      <c r="F81" s="35">
        <v>3200.72409098658</v>
      </c>
      <c r="G81" s="35">
        <v>235.282573694467</v>
      </c>
      <c r="H81" s="35">
        <v>8611.3740860499693</v>
      </c>
      <c r="I81" s="42">
        <v>1.3169521808548801</v>
      </c>
      <c r="J81" s="35">
        <v>354.39127928695899</v>
      </c>
      <c r="K81" s="40">
        <v>18.045881211702</v>
      </c>
      <c r="L81" s="40">
        <v>47.0258715204832</v>
      </c>
      <c r="M81" s="42">
        <v>9.7324242059448604E-2</v>
      </c>
      <c r="N81" s="42">
        <v>7.9593408933045402E-3</v>
      </c>
      <c r="O81" s="42">
        <v>1.10648843884949</v>
      </c>
      <c r="P81" s="40">
        <v>78.108861002451803</v>
      </c>
      <c r="Q81" s="40">
        <v>28.4350420418941</v>
      </c>
      <c r="R81" s="40">
        <v>34.304873350895797</v>
      </c>
      <c r="S81" s="42">
        <v>1.87512002258642</v>
      </c>
      <c r="T81" s="35">
        <v>220.58765785076201</v>
      </c>
      <c r="U81" s="42">
        <v>0.84509803493721702</v>
      </c>
      <c r="V81" s="42">
        <v>0.45681457429748401</v>
      </c>
      <c r="W81" s="40">
        <v>19.494151032260401</v>
      </c>
      <c r="X81" s="42">
        <v>1.51373667324022</v>
      </c>
      <c r="Y81" s="40">
        <v>17.206382653745901</v>
      </c>
      <c r="Z81" s="42" t="s">
        <v>25</v>
      </c>
      <c r="AA81" s="42" t="s">
        <v>25</v>
      </c>
      <c r="AB81" s="40">
        <v>88.973795593268903</v>
      </c>
      <c r="AC81" s="40">
        <f t="shared" si="31"/>
        <v>55.645463101777047</v>
      </c>
      <c r="AD81" s="35">
        <f t="shared" si="32"/>
        <v>6538.8661875786729</v>
      </c>
      <c r="AE81" s="47">
        <f t="shared" si="33"/>
        <v>3.1222225362761823E-3</v>
      </c>
    </row>
    <row r="82" spans="1:33">
      <c r="B82" s="5" t="s">
        <v>339</v>
      </c>
      <c r="C82" s="5" t="s">
        <v>340</v>
      </c>
      <c r="D82" s="35">
        <v>473167.24410037801</v>
      </c>
      <c r="E82" s="35">
        <v>513176.71397518</v>
      </c>
      <c r="F82" s="35">
        <v>3592.9361971449498</v>
      </c>
      <c r="G82" s="35">
        <v>258.62665210481498</v>
      </c>
      <c r="H82" s="35">
        <v>8485.5407007390295</v>
      </c>
      <c r="I82" s="42">
        <v>1.33032054464248</v>
      </c>
      <c r="J82" s="35">
        <v>344.69116526513199</v>
      </c>
      <c r="K82" s="40">
        <v>14.876518674693401</v>
      </c>
      <c r="L82" s="40">
        <v>35.166443077198601</v>
      </c>
      <c r="M82" s="42">
        <v>0.11852210836230399</v>
      </c>
      <c r="N82" s="42" t="s">
        <v>25</v>
      </c>
      <c r="O82" s="42">
        <v>0.84361164929407295</v>
      </c>
      <c r="P82" s="40">
        <v>72.4810122577816</v>
      </c>
      <c r="Q82" s="40">
        <v>44.017116374715997</v>
      </c>
      <c r="R82" s="40">
        <v>29.754019848572</v>
      </c>
      <c r="S82" s="42">
        <v>1.3263575570933901</v>
      </c>
      <c r="T82" s="35">
        <v>182.90627976102499</v>
      </c>
      <c r="U82" s="42">
        <v>0.38489138234783699</v>
      </c>
      <c r="V82" s="42">
        <v>0.31701020646591699</v>
      </c>
      <c r="W82" s="40">
        <v>19.283065790216</v>
      </c>
      <c r="X82" s="42">
        <v>0.75370494168387803</v>
      </c>
      <c r="Y82" s="40">
        <v>27.018428059321899</v>
      </c>
      <c r="Z82" s="42" t="s">
        <v>25</v>
      </c>
      <c r="AA82" s="42" t="s">
        <v>25</v>
      </c>
      <c r="AB82" s="40">
        <v>68.526965701135595</v>
      </c>
      <c r="AC82" s="40">
        <f t="shared" si="31"/>
        <v>91.367187445671917</v>
      </c>
      <c r="AD82" s="35">
        <f t="shared" si="32"/>
        <v>6378.5684848004021</v>
      </c>
      <c r="AE82" s="47">
        <f t="shared" si="33"/>
        <v>2.4474420417627406E-3</v>
      </c>
    </row>
    <row r="83" spans="1:33">
      <c r="B83" s="5" t="s">
        <v>341</v>
      </c>
      <c r="C83" s="5" t="s">
        <v>342</v>
      </c>
      <c r="D83" s="35">
        <v>467594.25585342798</v>
      </c>
      <c r="E83" s="35">
        <v>520224.20548206801</v>
      </c>
      <c r="F83" s="35">
        <v>1599.5872759635699</v>
      </c>
      <c r="G83" s="35">
        <v>226.17924562447001</v>
      </c>
      <c r="H83" s="35">
        <v>6412.0572087955097</v>
      </c>
      <c r="I83" s="42">
        <v>0.426700115504203</v>
      </c>
      <c r="J83" s="35">
        <v>2906.4990033305598</v>
      </c>
      <c r="K83" s="40">
        <v>64.716427487526403</v>
      </c>
      <c r="L83" s="40">
        <v>35.863972260114899</v>
      </c>
      <c r="M83" s="42">
        <v>0.24107488200428501</v>
      </c>
      <c r="N83" s="42">
        <v>8.0374063212559896E-2</v>
      </c>
      <c r="O83" s="42">
        <v>1.71485050622569</v>
      </c>
      <c r="P83" s="40">
        <v>30.074717692833499</v>
      </c>
      <c r="Q83" s="40">
        <v>20.385754818097102</v>
      </c>
      <c r="R83" s="40">
        <v>29.137728330622899</v>
      </c>
      <c r="S83" s="42">
        <v>1.64069731465323</v>
      </c>
      <c r="T83" s="35">
        <v>576.68928572146694</v>
      </c>
      <c r="U83" s="42">
        <v>0.29047723071449</v>
      </c>
      <c r="V83" s="42">
        <v>6.2936286387707194E-2</v>
      </c>
      <c r="W83" s="42">
        <v>7.6807969111402397</v>
      </c>
      <c r="X83" s="42">
        <v>0.54309015606318201</v>
      </c>
      <c r="Y83" s="42">
        <v>0.15681471432871499</v>
      </c>
      <c r="Z83" s="42" t="s">
        <v>25</v>
      </c>
      <c r="AA83" s="42" t="s">
        <v>25</v>
      </c>
      <c r="AB83" s="40">
        <v>68.939453186114903</v>
      </c>
      <c r="AC83" s="35">
        <f t="shared" si="31"/>
        <v>123.46569186128599</v>
      </c>
      <c r="AD83" s="35">
        <f t="shared" si="32"/>
        <v>15027.081024383624</v>
      </c>
      <c r="AE83" s="47">
        <f t="shared" si="33"/>
        <v>5.9000553733568853E-4</v>
      </c>
      <c r="AF83" s="48"/>
      <c r="AG83" s="136"/>
    </row>
    <row r="84" spans="1:33">
      <c r="B84" s="5" t="s">
        <v>343</v>
      </c>
      <c r="C84" s="5" t="s">
        <v>344</v>
      </c>
      <c r="D84" s="35">
        <v>438125.683429892</v>
      </c>
      <c r="E84" s="35">
        <v>528983.24629499798</v>
      </c>
      <c r="F84" s="35">
        <v>14798.8148741597</v>
      </c>
      <c r="G84" s="35">
        <v>3708.8113781113998</v>
      </c>
      <c r="H84" s="35">
        <v>4987.9494079611904</v>
      </c>
      <c r="I84" s="40">
        <v>18.988465865217101</v>
      </c>
      <c r="J84" s="35">
        <v>322.87030944528198</v>
      </c>
      <c r="K84" s="40">
        <v>14.294512401916601</v>
      </c>
      <c r="L84" s="40">
        <v>39.833526094023199</v>
      </c>
      <c r="M84" s="42">
        <v>4.4140054334657401</v>
      </c>
      <c r="N84" s="42">
        <v>0.31430906983946699</v>
      </c>
      <c r="O84" s="42">
        <v>0.23657889351731701</v>
      </c>
      <c r="P84" s="40">
        <v>78.080791388141904</v>
      </c>
      <c r="Q84" s="35">
        <v>331.95415122980802</v>
      </c>
      <c r="R84" s="40">
        <v>49.5778044900404</v>
      </c>
      <c r="S84" s="42">
        <v>6.6324620692141201</v>
      </c>
      <c r="T84" s="35">
        <v>143.640470091769</v>
      </c>
      <c r="U84" s="42">
        <v>2.49512791498372</v>
      </c>
      <c r="V84" s="42">
        <v>1.1152936916190901</v>
      </c>
      <c r="W84" s="40">
        <v>42.405114539034301</v>
      </c>
      <c r="X84" s="40">
        <v>19.849511384439101</v>
      </c>
      <c r="Y84" s="40">
        <v>24.1743351914991</v>
      </c>
      <c r="Z84" s="42">
        <v>1.31329990806011E-2</v>
      </c>
      <c r="AA84" s="42" t="s">
        <v>25</v>
      </c>
      <c r="AB84" s="40">
        <v>75.302056110505305</v>
      </c>
      <c r="AC84" s="40">
        <f t="shared" si="31"/>
        <v>15.964522642232193</v>
      </c>
      <c r="AD84" s="35">
        <f t="shared" si="32"/>
        <v>262.68311739170412</v>
      </c>
      <c r="AE84" s="47">
        <f t="shared" si="33"/>
        <v>7.3273660227160314E-4</v>
      </c>
    </row>
    <row r="85" spans="1:33">
      <c r="B85" s="5" t="s">
        <v>345</v>
      </c>
      <c r="C85" s="5" t="s">
        <v>346</v>
      </c>
      <c r="D85" s="35">
        <v>443113.56743561098</v>
      </c>
      <c r="E85" s="35">
        <v>542883.26690347597</v>
      </c>
      <c r="F85" s="35">
        <v>1587.0882906909801</v>
      </c>
      <c r="G85" s="35">
        <v>6717.4903626027999</v>
      </c>
      <c r="H85" s="35">
        <v>4292.51722633999</v>
      </c>
      <c r="I85" s="42">
        <v>1.1313501342247201</v>
      </c>
      <c r="J85" s="35">
        <v>331.752840777183</v>
      </c>
      <c r="K85" s="42">
        <v>6.5020280981936098</v>
      </c>
      <c r="L85" s="42">
        <v>8.9026719824789602</v>
      </c>
      <c r="M85" s="42">
        <v>0.33115485819210499</v>
      </c>
      <c r="N85" s="42">
        <v>0.28210861058328401</v>
      </c>
      <c r="O85" s="42">
        <v>0.47045073826113498</v>
      </c>
      <c r="P85" s="40">
        <v>25.1321016722443</v>
      </c>
      <c r="Q85" s="40">
        <v>21.680905149268099</v>
      </c>
      <c r="R85" s="40">
        <v>62.213429181964003</v>
      </c>
      <c r="S85" s="42">
        <v>9.3731890574007899</v>
      </c>
      <c r="T85" s="35">
        <v>339.49485004631902</v>
      </c>
      <c r="U85" s="40">
        <v>15.607631643963501</v>
      </c>
      <c r="V85" s="42">
        <v>0.109072029519742</v>
      </c>
      <c r="W85" s="42">
        <v>6.2508551337061098</v>
      </c>
      <c r="X85" s="42">
        <v>2.0883786777309199</v>
      </c>
      <c r="Y85" s="42">
        <v>0.99794838749160197</v>
      </c>
      <c r="Z85" s="42" t="s">
        <v>25</v>
      </c>
      <c r="AA85" s="42" t="s">
        <v>25</v>
      </c>
      <c r="AB85" s="40">
        <v>16.398869748294999</v>
      </c>
      <c r="AC85" s="42">
        <f t="shared" si="31"/>
        <v>0.57040505475551828</v>
      </c>
      <c r="AD85" s="35">
        <f t="shared" si="32"/>
        <v>3794.1545207678096</v>
      </c>
      <c r="AE85" s="47">
        <f t="shared" si="33"/>
        <v>1.4180759904241678E-3</v>
      </c>
      <c r="AF85" s="11">
        <v>3.03</v>
      </c>
      <c r="AG85" s="136">
        <v>0.09</v>
      </c>
    </row>
    <row r="86" spans="1:33">
      <c r="B86" s="5" t="s">
        <v>347</v>
      </c>
      <c r="C86" s="5" t="s">
        <v>348</v>
      </c>
      <c r="D86" s="35">
        <v>461006.61775461002</v>
      </c>
      <c r="E86" s="35">
        <v>520207.70264087198</v>
      </c>
      <c r="F86" s="35">
        <v>593.81250166260099</v>
      </c>
      <c r="G86" s="35">
        <v>16382.873653782701</v>
      </c>
      <c r="H86" s="35">
        <v>735.52905130333204</v>
      </c>
      <c r="I86" s="42">
        <v>1.1814145302079</v>
      </c>
      <c r="J86" s="35">
        <v>337.58308935589099</v>
      </c>
      <c r="K86" s="42">
        <v>3.2406579495564798</v>
      </c>
      <c r="L86" s="42">
        <v>2.7018400380724001</v>
      </c>
      <c r="M86" s="42">
        <v>0.30684660669441099</v>
      </c>
      <c r="N86" s="42">
        <v>7.4897987987674206E-2</v>
      </c>
      <c r="O86" s="42">
        <v>0.31812370652127703</v>
      </c>
      <c r="P86" s="40">
        <v>13.4800097513921</v>
      </c>
      <c r="Q86" s="40">
        <v>24.485458434309699</v>
      </c>
      <c r="R86" s="35">
        <v>135.76294016085399</v>
      </c>
      <c r="S86" s="40">
        <v>21.436956823685399</v>
      </c>
      <c r="T86" s="35">
        <v>284.39207911659702</v>
      </c>
      <c r="U86" s="40">
        <v>32.235412080736097</v>
      </c>
      <c r="V86" s="42">
        <v>3.7094303523756603E-2</v>
      </c>
      <c r="W86" s="42">
        <v>3.5451027052841999</v>
      </c>
      <c r="X86" s="42">
        <v>1.99388926918706</v>
      </c>
      <c r="Y86" s="42">
        <v>0.153395756817229</v>
      </c>
      <c r="Z86" s="42" t="s">
        <v>25</v>
      </c>
      <c r="AA86" s="42" t="s">
        <v>25</v>
      </c>
      <c r="AB86" s="42">
        <v>5.1937716884166001</v>
      </c>
      <c r="AC86" s="42">
        <f t="shared" si="31"/>
        <v>8.3815898841480038E-2</v>
      </c>
      <c r="AD86" s="35">
        <f t="shared" si="32"/>
        <v>622.58337991991425</v>
      </c>
      <c r="AE86" s="47">
        <f t="shared" si="33"/>
        <v>9.4235676060746263E-4</v>
      </c>
    </row>
    <row r="87" spans="1:33">
      <c r="B87" s="5" t="s">
        <v>349</v>
      </c>
      <c r="C87" s="5" t="s">
        <v>350</v>
      </c>
      <c r="D87" s="35">
        <v>411655.482903998</v>
      </c>
      <c r="E87" s="35">
        <v>531906.08837400295</v>
      </c>
      <c r="F87" s="35">
        <v>28215.586034409</v>
      </c>
      <c r="G87" s="35">
        <v>8738.7081050129691</v>
      </c>
      <c r="H87" s="35">
        <v>6085.4644429011696</v>
      </c>
      <c r="I87" s="40">
        <v>19.645538342470399</v>
      </c>
      <c r="J87" s="35">
        <v>396.22259968013702</v>
      </c>
      <c r="K87" s="40">
        <v>15.9743855088762</v>
      </c>
      <c r="L87" s="40">
        <v>40.559566883046699</v>
      </c>
      <c r="M87" s="42">
        <v>2.7080661089991702</v>
      </c>
      <c r="N87" s="42">
        <v>0.56633938631340497</v>
      </c>
      <c r="O87" s="42">
        <v>1.22312791923106</v>
      </c>
      <c r="P87" s="40">
        <v>64.097314407185394</v>
      </c>
      <c r="Q87" s="35">
        <v>588.70647690229498</v>
      </c>
      <c r="R87" s="35">
        <v>126.81601207141</v>
      </c>
      <c r="S87" s="40">
        <v>14.1973914918793</v>
      </c>
      <c r="T87" s="40">
        <v>89.193725218322299</v>
      </c>
      <c r="U87" s="42">
        <v>2.3896928032518301</v>
      </c>
      <c r="V87" s="42">
        <v>2.3831223374157502</v>
      </c>
      <c r="W87" s="40">
        <v>51.894819644396399</v>
      </c>
      <c r="X87" s="40">
        <v>20.418969878343798</v>
      </c>
      <c r="Y87" s="40">
        <v>41.952240349697597</v>
      </c>
      <c r="Z87" s="42">
        <v>4.3726320957720402E-2</v>
      </c>
      <c r="AA87" s="42" t="s">
        <v>25</v>
      </c>
      <c r="AB87" s="40">
        <v>76.253248025481696</v>
      </c>
      <c r="AC87" s="40">
        <f t="shared" si="31"/>
        <v>16.972711650574638</v>
      </c>
      <c r="AD87" s="35">
        <f t="shared" si="32"/>
        <v>309.76318066812166</v>
      </c>
      <c r="AE87" s="47">
        <f t="shared" si="33"/>
        <v>3.0869716170114172E-3</v>
      </c>
      <c r="AF87" s="48"/>
      <c r="AG87" s="48"/>
    </row>
    <row r="88" spans="1:33">
      <c r="B88" s="5" t="s">
        <v>351</v>
      </c>
      <c r="C88" s="5" t="s">
        <v>352</v>
      </c>
      <c r="D88" s="35">
        <v>461067.24364606099</v>
      </c>
      <c r="E88" s="35">
        <v>531667.51675205503</v>
      </c>
      <c r="F88" s="35">
        <v>285.99228533278699</v>
      </c>
      <c r="G88" s="35">
        <v>5753.7438999532897</v>
      </c>
      <c r="H88" s="35">
        <v>132.80308342172501</v>
      </c>
      <c r="I88" s="42">
        <v>1.82969939242999</v>
      </c>
      <c r="J88" s="35">
        <v>228.28411100144299</v>
      </c>
      <c r="K88" s="42">
        <v>1.88262444401832</v>
      </c>
      <c r="L88" s="42">
        <v>1.21106326013607</v>
      </c>
      <c r="M88" s="42">
        <v>8.84685588380517E-2</v>
      </c>
      <c r="N88" s="42">
        <v>6.1744698914435299E-2</v>
      </c>
      <c r="O88" s="42">
        <v>0.13677585895566699</v>
      </c>
      <c r="P88" s="42">
        <v>7.3935324826255497</v>
      </c>
      <c r="Q88" s="40">
        <v>18.181625249108301</v>
      </c>
      <c r="R88" s="40">
        <v>69.535123626327902</v>
      </c>
      <c r="S88" s="42">
        <v>8.4566418068499498</v>
      </c>
      <c r="T88" s="35">
        <v>438.81706347399501</v>
      </c>
      <c r="U88" s="40">
        <v>62.022355946939001</v>
      </c>
      <c r="V88" s="42">
        <v>2.8680329609018299E-2</v>
      </c>
      <c r="W88" s="42">
        <v>3.40282742890995</v>
      </c>
      <c r="X88" s="42">
        <v>1.6332529244787</v>
      </c>
      <c r="Y88" s="42">
        <v>1.01538442777135</v>
      </c>
      <c r="Z88" s="42" t="s">
        <v>25</v>
      </c>
      <c r="AA88" s="42">
        <v>0.143215474510862</v>
      </c>
      <c r="AB88" s="42">
        <v>2.2778582892075598</v>
      </c>
      <c r="AC88" s="42">
        <f t="shared" si="31"/>
        <v>1.9526237622642901E-2</v>
      </c>
      <c r="AD88" s="40">
        <f t="shared" si="32"/>
        <v>72.581913712804862</v>
      </c>
      <c r="AE88" s="47">
        <f t="shared" si="33"/>
        <v>5.991475199726118E-4</v>
      </c>
      <c r="AF88" s="11">
        <v>3.29</v>
      </c>
      <c r="AG88" s="136">
        <v>0.08</v>
      </c>
    </row>
    <row r="89" spans="1:33">
      <c r="A89" s="36"/>
      <c r="B89" s="37" t="s">
        <v>113</v>
      </c>
      <c r="C89" s="37"/>
      <c r="D89" s="38">
        <f t="shared" ref="D89:AD89" si="34">MEDIAN(D80:D88)</f>
        <v>457948.875338563</v>
      </c>
      <c r="E89" s="38">
        <f t="shared" si="34"/>
        <v>528536.19660619297</v>
      </c>
      <c r="F89" s="38">
        <f t="shared" si="34"/>
        <v>2711.30556408032</v>
      </c>
      <c r="G89" s="38">
        <f t="shared" si="34"/>
        <v>3708.8113781113998</v>
      </c>
      <c r="H89" s="38">
        <f t="shared" si="34"/>
        <v>6085.4644429011696</v>
      </c>
      <c r="I89" s="39">
        <f t="shared" si="34"/>
        <v>1.3169521808548801</v>
      </c>
      <c r="J89" s="38">
        <f t="shared" si="34"/>
        <v>344.69116526513199</v>
      </c>
      <c r="K89" s="41">
        <f t="shared" si="34"/>
        <v>14.876518674693401</v>
      </c>
      <c r="L89" s="41">
        <f t="shared" si="34"/>
        <v>35.863972260114899</v>
      </c>
      <c r="M89" s="39">
        <f t="shared" si="34"/>
        <v>0.30684660669441099</v>
      </c>
      <c r="N89" s="39">
        <f t="shared" si="34"/>
        <v>8.0937736482501049E-2</v>
      </c>
      <c r="O89" s="39">
        <f t="shared" si="34"/>
        <v>0.84361164929407295</v>
      </c>
      <c r="P89" s="41">
        <f t="shared" si="34"/>
        <v>30.097585005735699</v>
      </c>
      <c r="Q89" s="41">
        <f t="shared" si="34"/>
        <v>24.485458434309699</v>
      </c>
      <c r="R89" s="41">
        <f t="shared" si="34"/>
        <v>62.213429181964003</v>
      </c>
      <c r="S89" s="39">
        <f t="shared" si="34"/>
        <v>6.6324620692141201</v>
      </c>
      <c r="T89" s="38">
        <f t="shared" si="34"/>
        <v>284.39207911659702</v>
      </c>
      <c r="U89" s="39">
        <f t="shared" si="34"/>
        <v>2.3896928032518301</v>
      </c>
      <c r="V89" s="39">
        <f t="shared" si="34"/>
        <v>0.120666018537277</v>
      </c>
      <c r="W89" s="39">
        <f t="shared" si="34"/>
        <v>7.6807969111402397</v>
      </c>
      <c r="X89" s="39">
        <f t="shared" si="34"/>
        <v>1.99388926918706</v>
      </c>
      <c r="Y89" s="39">
        <f t="shared" si="34"/>
        <v>1.01538442777135</v>
      </c>
      <c r="Z89" s="39">
        <f>MEDIAN(Z80:Z88)</f>
        <v>2.8429660019160752E-2</v>
      </c>
      <c r="AA89" s="39" t="s">
        <v>75</v>
      </c>
      <c r="AB89" s="41">
        <f t="shared" si="34"/>
        <v>68.939453186114903</v>
      </c>
      <c r="AC89" s="41">
        <f>MEDIAN(AC80:AC88)</f>
        <v>16.972711650574638</v>
      </c>
      <c r="AD89" s="38">
        <f t="shared" si="34"/>
        <v>3794.1545207678096</v>
      </c>
      <c r="AE89" s="108"/>
      <c r="AF89" s="49"/>
      <c r="AG89" s="49"/>
    </row>
    <row r="90" spans="1:33">
      <c r="A90" s="36"/>
      <c r="B90" s="37" t="s">
        <v>31</v>
      </c>
      <c r="C90" s="37"/>
      <c r="D90" s="38">
        <v>451408.281462488</v>
      </c>
      <c r="E90" s="38">
        <v>527284.45751975605</v>
      </c>
      <c r="F90" s="38">
        <v>6287.3163460478299</v>
      </c>
      <c r="G90" s="38">
        <v>4733.3723807302504</v>
      </c>
      <c r="H90" s="38">
        <v>5322.9723505759603</v>
      </c>
      <c r="I90" s="39">
        <v>5.19351269815935</v>
      </c>
      <c r="J90" s="38">
        <v>849.21243455338299</v>
      </c>
      <c r="K90" s="41">
        <v>19.736270228136199</v>
      </c>
      <c r="L90" s="41">
        <v>28.880478367255801</v>
      </c>
      <c r="M90" s="39">
        <v>0.958184675262023</v>
      </c>
      <c r="N90" s="39">
        <v>0.16324828527739699</v>
      </c>
      <c r="O90" s="39">
        <f>AVERAGE(O80:O88)</f>
        <v>0.84416907066095548</v>
      </c>
      <c r="P90" s="41">
        <v>44.327325073376898</v>
      </c>
      <c r="Q90" s="38">
        <v>121.30909461001499</v>
      </c>
      <c r="R90" s="38">
        <v>112.44936682341999</v>
      </c>
      <c r="S90" s="39">
        <v>7.4002697708883298</v>
      </c>
      <c r="T90" s="38">
        <v>324.63536469490299</v>
      </c>
      <c r="U90" s="41">
        <v>13.0958247045203</v>
      </c>
      <c r="V90" s="39">
        <v>0.51452108637508298</v>
      </c>
      <c r="W90" s="41">
        <v>17.649704228127899</v>
      </c>
      <c r="X90" s="39">
        <v>6.3676543035536604</v>
      </c>
      <c r="Y90" s="41">
        <v>12.554297252190199</v>
      </c>
      <c r="Z90" s="39">
        <v>6.9438189333499998E-3</v>
      </c>
      <c r="AA90" s="39" t="s">
        <v>75</v>
      </c>
      <c r="AB90" s="41">
        <f>AVERAGE(AB80:AB88)</f>
        <v>54.892023417583133</v>
      </c>
      <c r="AC90" s="41">
        <f>AVERAGE(AC80:AC88)</f>
        <v>37.184369459832183</v>
      </c>
      <c r="AD90" s="38">
        <f>AVERAGE(AD80:AD88)</f>
        <v>4685.1885095965999</v>
      </c>
      <c r="AE90" s="108"/>
      <c r="AF90" s="49"/>
      <c r="AG90" s="49"/>
    </row>
    <row r="91" spans="1:33">
      <c r="A91" s="36"/>
      <c r="B91" s="37" t="s">
        <v>34</v>
      </c>
      <c r="C91" s="37"/>
      <c r="D91" s="38">
        <f t="shared" ref="D91:AD91" si="35">STDEV(D80:D88)</f>
        <v>18691.499059385365</v>
      </c>
      <c r="E91" s="38">
        <f t="shared" si="35"/>
        <v>8571.6058372397983</v>
      </c>
      <c r="F91" s="38">
        <f t="shared" si="35"/>
        <v>9323.1434618556032</v>
      </c>
      <c r="G91" s="38">
        <f t="shared" si="35"/>
        <v>5426.9465507424666</v>
      </c>
      <c r="H91" s="38">
        <f t="shared" si="35"/>
        <v>3158.4842818684574</v>
      </c>
      <c r="I91" s="39">
        <f t="shared" si="35"/>
        <v>8.0176346034169228</v>
      </c>
      <c r="J91" s="38">
        <f t="shared" si="35"/>
        <v>1036.7285359004127</v>
      </c>
      <c r="K91" s="41">
        <f t="shared" si="35"/>
        <v>19.988874361429581</v>
      </c>
      <c r="L91" s="41">
        <f t="shared" si="35"/>
        <v>19.089075248340531</v>
      </c>
      <c r="M91" s="39">
        <f t="shared" si="35"/>
        <v>1.5390150102520084</v>
      </c>
      <c r="N91" s="39">
        <f t="shared" si="35"/>
        <v>0.18968862479359433</v>
      </c>
      <c r="O91" s="39">
        <f t="shared" si="35"/>
        <v>0.58642580663292876</v>
      </c>
      <c r="P91" s="41">
        <f t="shared" si="35"/>
        <v>28.621914805337759</v>
      </c>
      <c r="Q91" s="38">
        <f t="shared" si="35"/>
        <v>202.81820914857346</v>
      </c>
      <c r="R91" s="38">
        <f t="shared" si="35"/>
        <v>141.57821479357619</v>
      </c>
      <c r="S91" s="39">
        <f t="shared" si="35"/>
        <v>6.9131117912046696</v>
      </c>
      <c r="T91" s="38">
        <f t="shared" si="35"/>
        <v>193.90305560557005</v>
      </c>
      <c r="U91" s="41">
        <f t="shared" si="35"/>
        <v>21.217338422562193</v>
      </c>
      <c r="V91" s="39">
        <f t="shared" si="35"/>
        <v>0.78121348758565268</v>
      </c>
      <c r="W91" s="41">
        <f t="shared" si="35"/>
        <v>17.977934031888527</v>
      </c>
      <c r="X91" s="39">
        <f t="shared" si="35"/>
        <v>8.1598661987488228</v>
      </c>
      <c r="Y91" s="41">
        <f t="shared" si="35"/>
        <v>15.628995727821305</v>
      </c>
      <c r="Z91" s="39">
        <f>STDEV(Z80:Z88)</f>
        <v>2.1632745358333809E-2</v>
      </c>
      <c r="AA91" s="39" t="s">
        <v>75</v>
      </c>
      <c r="AB91" s="41">
        <f t="shared" si="35"/>
        <v>36.274363284805851</v>
      </c>
      <c r="AC91" s="41">
        <f>STDEV(AC80:AC88)</f>
        <v>44.330940453084196</v>
      </c>
      <c r="AD91" s="38">
        <f t="shared" si="35"/>
        <v>5130.3483066195131</v>
      </c>
      <c r="AE91" s="108"/>
      <c r="AF91" s="49"/>
      <c r="AG91" s="49"/>
    </row>
    <row r="92" spans="1:33" s="255" customFormat="1">
      <c r="A92" s="156" t="s">
        <v>353</v>
      </c>
      <c r="B92" s="255" t="s">
        <v>354</v>
      </c>
      <c r="C92" s="255" t="s">
        <v>355</v>
      </c>
      <c r="D92" s="305">
        <v>471129.51403994201</v>
      </c>
      <c r="E92" s="305">
        <v>525311.47769970703</v>
      </c>
      <c r="F92" s="305">
        <v>708.74439675311396</v>
      </c>
      <c r="G92" s="291">
        <v>24.703376016840799</v>
      </c>
      <c r="H92" s="305">
        <v>1654.6515858744899</v>
      </c>
      <c r="I92" s="290" t="s">
        <v>25</v>
      </c>
      <c r="J92" s="305">
        <v>862.69838971758895</v>
      </c>
      <c r="K92" s="290">
        <v>2.0377397589406101</v>
      </c>
      <c r="L92" s="291">
        <v>81.951497696304301</v>
      </c>
      <c r="M92" s="290">
        <v>0.854783933759932</v>
      </c>
      <c r="N92" s="290">
        <v>4.8490921061494302E-2</v>
      </c>
      <c r="O92" s="290">
        <v>3.6365971918718001E-2</v>
      </c>
      <c r="P92" s="290">
        <v>1.3471674330047101</v>
      </c>
      <c r="Q92" s="290">
        <v>1.18941772143066</v>
      </c>
      <c r="R92" s="291">
        <v>40.8692724599657</v>
      </c>
      <c r="S92" s="290">
        <v>0.214186425334039</v>
      </c>
      <c r="T92" s="291">
        <v>26.1955436507005</v>
      </c>
      <c r="U92" s="290">
        <v>0.12473688713553201</v>
      </c>
      <c r="V92" s="290" t="s">
        <v>25</v>
      </c>
      <c r="W92" s="290" t="s">
        <v>25</v>
      </c>
      <c r="X92" s="290">
        <v>1.0384637467559501</v>
      </c>
      <c r="Y92" s="290">
        <v>9.7430941328361803E-2</v>
      </c>
      <c r="Z92" s="290" t="s">
        <v>25</v>
      </c>
      <c r="AA92" s="290" t="s">
        <v>25</v>
      </c>
      <c r="AB92" s="305">
        <f t="shared" ref="AB92:AB123" si="36">L92/E92*1000000</f>
        <v>156.00553419309003</v>
      </c>
      <c r="AC92" s="305">
        <f>L92/U92</f>
        <v>656.9948920343063</v>
      </c>
      <c r="AD92" s="305"/>
      <c r="AE92" s="219">
        <f t="shared" ref="AE92:AE110" si="37">O92/J92</f>
        <v>4.215374962114243E-5</v>
      </c>
      <c r="AF92" s="255" t="s">
        <v>216</v>
      </c>
      <c r="AG92" s="255" t="s">
        <v>216</v>
      </c>
    </row>
    <row r="93" spans="1:33" s="255" customFormat="1">
      <c r="A93" s="156"/>
      <c r="B93" s="255" t="s">
        <v>356</v>
      </c>
      <c r="C93" s="255" t="s">
        <v>357</v>
      </c>
      <c r="D93" s="305">
        <v>485630.89354048099</v>
      </c>
      <c r="E93" s="305">
        <v>511667.14412431797</v>
      </c>
      <c r="F93" s="305">
        <v>370.22219959105797</v>
      </c>
      <c r="G93" s="291">
        <v>48.974674301776702</v>
      </c>
      <c r="H93" s="305">
        <v>757.698794084415</v>
      </c>
      <c r="I93" s="290">
        <v>0.52810572314332804</v>
      </c>
      <c r="J93" s="305">
        <v>1241.79574873762</v>
      </c>
      <c r="K93" s="290">
        <v>2.73492538102087</v>
      </c>
      <c r="L93" s="291">
        <v>23.4205611867404</v>
      </c>
      <c r="M93" s="290">
        <v>0.12967216665096801</v>
      </c>
      <c r="N93" s="290" t="s">
        <v>25</v>
      </c>
      <c r="O93" s="290">
        <v>0.280216217226405</v>
      </c>
      <c r="P93" s="290">
        <v>4.7374481355990898</v>
      </c>
      <c r="Q93" s="291">
        <v>27.4993003299073</v>
      </c>
      <c r="R93" s="291">
        <v>23.419559545360499</v>
      </c>
      <c r="S93" s="290">
        <v>0.193589677557157</v>
      </c>
      <c r="T93" s="291">
        <v>93.5816909640738</v>
      </c>
      <c r="U93" s="290">
        <v>1.2552982123507499</v>
      </c>
      <c r="V93" s="290">
        <v>7.0653645897021502E-3</v>
      </c>
      <c r="W93" s="290">
        <v>0.49946102781840601</v>
      </c>
      <c r="X93" s="290">
        <v>0.834525988540613</v>
      </c>
      <c r="Y93" s="290">
        <v>0.19379919922577599</v>
      </c>
      <c r="Z93" s="290" t="s">
        <v>25</v>
      </c>
      <c r="AA93" s="290" t="s">
        <v>25</v>
      </c>
      <c r="AB93" s="291">
        <f t="shared" si="36"/>
        <v>45.773041039840514</v>
      </c>
      <c r="AC93" s="291">
        <f>L93/U93</f>
        <v>18.657368389684546</v>
      </c>
      <c r="AD93" s="305">
        <f>H93/I93</f>
        <v>1434.7483105741221</v>
      </c>
      <c r="AE93" s="219">
        <f t="shared" si="37"/>
        <v>2.2565403168054501E-4</v>
      </c>
      <c r="AF93" s="255" t="s">
        <v>216</v>
      </c>
      <c r="AG93" s="255" t="s">
        <v>216</v>
      </c>
    </row>
    <row r="94" spans="1:33" s="255" customFormat="1">
      <c r="A94" s="156"/>
      <c r="B94" s="255" t="s">
        <v>358</v>
      </c>
      <c r="C94" s="255" t="s">
        <v>359</v>
      </c>
      <c r="D94" s="305">
        <v>460724.46889159101</v>
      </c>
      <c r="E94" s="305">
        <v>534476.15324009897</v>
      </c>
      <c r="F94" s="305">
        <v>1515.90347269471</v>
      </c>
      <c r="G94" s="305">
        <v>605.02819733764602</v>
      </c>
      <c r="H94" s="305">
        <v>1498.6987798832999</v>
      </c>
      <c r="I94" s="290">
        <v>0.52410662619576298</v>
      </c>
      <c r="J94" s="305">
        <v>491.24098830546399</v>
      </c>
      <c r="K94" s="290">
        <v>3.1882412028421601</v>
      </c>
      <c r="L94" s="291">
        <v>69.793595495989507</v>
      </c>
      <c r="M94" s="290">
        <v>2.97523811881315</v>
      </c>
      <c r="N94" s="290">
        <v>0.30643111166036902</v>
      </c>
      <c r="O94" s="290">
        <v>0.121647179113927</v>
      </c>
      <c r="P94" s="290">
        <v>5.3556434436110898</v>
      </c>
      <c r="Q94" s="291">
        <v>55.356622462192</v>
      </c>
      <c r="R94" s="291">
        <v>77.655831544220703</v>
      </c>
      <c r="S94" s="290">
        <v>1.0400095808681</v>
      </c>
      <c r="T94" s="305">
        <v>152.37526613229201</v>
      </c>
      <c r="U94" s="290">
        <v>4.9440713176775501</v>
      </c>
      <c r="V94" s="290">
        <v>1.8804106461259899E-2</v>
      </c>
      <c r="W94" s="291">
        <v>33.809095824288299</v>
      </c>
      <c r="X94" s="290">
        <v>3.73368951727779</v>
      </c>
      <c r="Y94" s="290">
        <v>9.0955702898583707E-2</v>
      </c>
      <c r="Z94" s="290">
        <v>1.6863616839451E-2</v>
      </c>
      <c r="AA94" s="290" t="s">
        <v>25</v>
      </c>
      <c r="AB94" s="305">
        <f t="shared" si="36"/>
        <v>130.58317957290907</v>
      </c>
      <c r="AC94" s="291">
        <f>L94/U94</f>
        <v>14.116623934295239</v>
      </c>
      <c r="AD94" s="305">
        <f>H94/I94</f>
        <v>2859.5303035216916</v>
      </c>
      <c r="AE94" s="219">
        <f t="shared" si="37"/>
        <v>2.476323881961662E-4</v>
      </c>
      <c r="AF94" s="255" t="s">
        <v>216</v>
      </c>
      <c r="AG94" s="255" t="s">
        <v>216</v>
      </c>
    </row>
    <row r="95" spans="1:33" s="255" customFormat="1">
      <c r="A95" s="156"/>
      <c r="B95" s="255" t="s">
        <v>360</v>
      </c>
      <c r="C95" s="255" t="s">
        <v>361</v>
      </c>
      <c r="D95" s="305">
        <v>467497.22017995099</v>
      </c>
      <c r="E95" s="305">
        <v>521283.08903173899</v>
      </c>
      <c r="F95" s="305">
        <v>117.017301192654</v>
      </c>
      <c r="G95" s="290">
        <v>1.12374242402562</v>
      </c>
      <c r="H95" s="305">
        <v>10022.990481316399</v>
      </c>
      <c r="I95" s="290" t="s">
        <v>25</v>
      </c>
      <c r="J95" s="305">
        <v>804.42612416809504</v>
      </c>
      <c r="K95" s="290">
        <v>4.2392769119429898</v>
      </c>
      <c r="L95" s="305">
        <v>185.097206499929</v>
      </c>
      <c r="M95" s="290">
        <v>1.41572447457215E-2</v>
      </c>
      <c r="N95" s="290">
        <v>0.13872195243575999</v>
      </c>
      <c r="O95" s="290">
        <v>2.4864423496072999E-2</v>
      </c>
      <c r="P95" s="290">
        <v>0.62492640322551996</v>
      </c>
      <c r="Q95" s="290">
        <v>0.40189628700241198</v>
      </c>
      <c r="R95" s="291">
        <v>15.0948788760273</v>
      </c>
      <c r="S95" s="290" t="s">
        <v>25</v>
      </c>
      <c r="T95" s="290">
        <v>4.3664840341546203</v>
      </c>
      <c r="U95" s="290" t="s">
        <v>25</v>
      </c>
      <c r="V95" s="290">
        <v>5.9049451109572097E-2</v>
      </c>
      <c r="W95" s="290" t="s">
        <v>25</v>
      </c>
      <c r="X95" s="290">
        <v>0.30417130380131202</v>
      </c>
      <c r="Y95" s="290">
        <v>0.155395475637047</v>
      </c>
      <c r="Z95" s="290" t="s">
        <v>25</v>
      </c>
      <c r="AA95" s="290">
        <v>0.15681840327757399</v>
      </c>
      <c r="AB95" s="305">
        <f t="shared" si="36"/>
        <v>355.08001390135087</v>
      </c>
      <c r="AC95" s="305"/>
      <c r="AD95" s="305"/>
      <c r="AE95" s="219">
        <f t="shared" si="37"/>
        <v>3.0909517666133455E-5</v>
      </c>
      <c r="AF95" s="255">
        <v>3.41</v>
      </c>
      <c r="AG95" s="255">
        <v>0.08</v>
      </c>
    </row>
    <row r="96" spans="1:33" s="255" customFormat="1">
      <c r="B96" s="255" t="s">
        <v>362</v>
      </c>
      <c r="C96" s="255" t="s">
        <v>363</v>
      </c>
      <c r="D96" s="305">
        <v>472716.66050431598</v>
      </c>
      <c r="E96" s="305">
        <v>521402.068920661</v>
      </c>
      <c r="F96" s="305">
        <v>134.240806068078</v>
      </c>
      <c r="G96" s="290">
        <v>0.55941469559934398</v>
      </c>
      <c r="H96" s="305">
        <v>4273.9034446387204</v>
      </c>
      <c r="I96" s="290" t="s">
        <v>25</v>
      </c>
      <c r="J96" s="305">
        <v>1177.07671371686</v>
      </c>
      <c r="K96" s="290">
        <v>3.8008198102281598</v>
      </c>
      <c r="L96" s="291">
        <v>86.677850210276304</v>
      </c>
      <c r="M96" s="290">
        <v>1.0447017391013501E-2</v>
      </c>
      <c r="N96" s="290" t="s">
        <v>25</v>
      </c>
      <c r="O96" s="290">
        <v>4.1652990464685499E-2</v>
      </c>
      <c r="P96" s="290">
        <v>0.164209283714883</v>
      </c>
      <c r="Q96" s="290">
        <v>0.49217155832444098</v>
      </c>
      <c r="R96" s="291">
        <v>16.988089037435898</v>
      </c>
      <c r="S96" s="290">
        <v>7.2309333008883897E-2</v>
      </c>
      <c r="T96" s="290">
        <v>2.5644102785675602</v>
      </c>
      <c r="U96" s="290" t="s">
        <v>25</v>
      </c>
      <c r="V96" s="290">
        <v>7.2551033712113799E-3</v>
      </c>
      <c r="W96" s="290" t="s">
        <v>25</v>
      </c>
      <c r="X96" s="290">
        <v>0.220761936561683</v>
      </c>
      <c r="Y96" s="290" t="s">
        <v>25</v>
      </c>
      <c r="Z96" s="290" t="s">
        <v>25</v>
      </c>
      <c r="AA96" s="290" t="s">
        <v>25</v>
      </c>
      <c r="AB96" s="305">
        <f t="shared" si="36"/>
        <v>166.23994298623623</v>
      </c>
      <c r="AC96" s="305"/>
      <c r="AD96" s="305"/>
      <c r="AE96" s="219">
        <f t="shared" si="37"/>
        <v>3.5386810374625182E-5</v>
      </c>
      <c r="AF96" s="255" t="s">
        <v>216</v>
      </c>
      <c r="AG96" s="255" t="s">
        <v>216</v>
      </c>
    </row>
    <row r="97" spans="1:33" s="255" customFormat="1">
      <c r="A97" s="156"/>
      <c r="B97" s="255" t="s">
        <v>364</v>
      </c>
      <c r="C97" s="255" t="s">
        <v>365</v>
      </c>
      <c r="D97" s="305">
        <v>491331.69189943699</v>
      </c>
      <c r="E97" s="305">
        <v>506927.36917274998</v>
      </c>
      <c r="F97" s="305">
        <v>246.27505659752501</v>
      </c>
      <c r="G97" s="305">
        <v>306.38705800929301</v>
      </c>
      <c r="H97" s="305">
        <v>122.359134986917</v>
      </c>
      <c r="I97" s="290">
        <v>1.1440047766422801</v>
      </c>
      <c r="J97" s="305">
        <v>375.17248388417602</v>
      </c>
      <c r="K97" s="290">
        <v>2.44492275861057</v>
      </c>
      <c r="L97" s="290">
        <v>9.1604326291618303</v>
      </c>
      <c r="M97" s="290">
        <v>1.9201182600834601E-2</v>
      </c>
      <c r="N97" s="290" t="s">
        <v>25</v>
      </c>
      <c r="O97" s="290">
        <v>0.27590990288410799</v>
      </c>
      <c r="P97" s="290">
        <v>4.4359430829021003</v>
      </c>
      <c r="Q97" s="305">
        <v>142.978048056386</v>
      </c>
      <c r="R97" s="291">
        <v>40.205643774819002</v>
      </c>
      <c r="S97" s="290">
        <v>1.1755837548271599</v>
      </c>
      <c r="T97" s="305">
        <v>258.56445632725098</v>
      </c>
      <c r="U97" s="290">
        <v>2.62173640538315</v>
      </c>
      <c r="V97" s="290">
        <v>3.4630873558273399E-2</v>
      </c>
      <c r="W97" s="290">
        <v>0.35237200490055298</v>
      </c>
      <c r="X97" s="290">
        <v>1.48229538053427</v>
      </c>
      <c r="Y97" s="290">
        <v>0.18523607892317001</v>
      </c>
      <c r="Z97" s="290" t="s">
        <v>25</v>
      </c>
      <c r="AA97" s="290">
        <v>0.11675822668128601</v>
      </c>
      <c r="AB97" s="291">
        <f t="shared" si="36"/>
        <v>18.070503165198311</v>
      </c>
      <c r="AC97" s="290">
        <f>L97/U97</f>
        <v>3.4940326610840544</v>
      </c>
      <c r="AD97" s="305">
        <f>H97/I97</f>
        <v>106.95683924157039</v>
      </c>
      <c r="AE97" s="219">
        <f t="shared" si="37"/>
        <v>7.3542147874919165E-4</v>
      </c>
      <c r="AF97" s="255" t="s">
        <v>216</v>
      </c>
      <c r="AG97" s="255" t="s">
        <v>216</v>
      </c>
    </row>
    <row r="98" spans="1:33" s="255" customFormat="1">
      <c r="A98" s="156"/>
      <c r="B98" s="255" t="s">
        <v>366</v>
      </c>
      <c r="C98" s="255" t="s">
        <v>367</v>
      </c>
      <c r="D98" s="305">
        <v>479097.39078410697</v>
      </c>
      <c r="E98" s="305">
        <v>517015.78149992402</v>
      </c>
      <c r="F98" s="305">
        <v>638.37354013726201</v>
      </c>
      <c r="G98" s="305">
        <v>224.93710059198301</v>
      </c>
      <c r="H98" s="305">
        <v>1072.9885344618999</v>
      </c>
      <c r="I98" s="290">
        <v>0.48242861771471901</v>
      </c>
      <c r="J98" s="305">
        <v>920.66675413733799</v>
      </c>
      <c r="K98" s="290">
        <v>1.7761695418986401</v>
      </c>
      <c r="L98" s="291">
        <v>20.275778674937399</v>
      </c>
      <c r="M98" s="290">
        <v>0.16317231501899301</v>
      </c>
      <c r="N98" s="290">
        <v>0.124618581801396</v>
      </c>
      <c r="O98" s="290">
        <v>0.10120150088754699</v>
      </c>
      <c r="P98" s="290">
        <v>2.35294444710143</v>
      </c>
      <c r="Q98" s="291">
        <v>16.685723557718202</v>
      </c>
      <c r="R98" s="305">
        <v>303.95600177030701</v>
      </c>
      <c r="S98" s="290">
        <v>0.73213213790584697</v>
      </c>
      <c r="T98" s="291">
        <v>42.877753646456</v>
      </c>
      <c r="U98" s="290">
        <v>0.85527305778743101</v>
      </c>
      <c r="V98" s="290">
        <v>0.25252851260021297</v>
      </c>
      <c r="W98" s="291">
        <v>10.293017146330101</v>
      </c>
      <c r="X98" s="290">
        <v>5.2953545218635698</v>
      </c>
      <c r="Y98" s="290">
        <v>5.3649585075777599E-2</v>
      </c>
      <c r="Z98" s="290" t="s">
        <v>25</v>
      </c>
      <c r="AA98" s="290" t="s">
        <v>25</v>
      </c>
      <c r="AB98" s="291">
        <f t="shared" si="36"/>
        <v>39.216943467595826</v>
      </c>
      <c r="AC98" s="291">
        <f>L98/U98</f>
        <v>23.70678988461335</v>
      </c>
      <c r="AD98" s="305">
        <f>H98/I98</f>
        <v>2224.139479006622</v>
      </c>
      <c r="AE98" s="219">
        <f t="shared" si="37"/>
        <v>1.0992196734894865E-4</v>
      </c>
      <c r="AF98" s="255" t="s">
        <v>216</v>
      </c>
      <c r="AG98" s="255" t="s">
        <v>216</v>
      </c>
    </row>
    <row r="99" spans="1:33" s="255" customFormat="1">
      <c r="A99" s="156"/>
      <c r="B99" s="255" t="s">
        <v>368</v>
      </c>
      <c r="C99" s="255" t="s">
        <v>369</v>
      </c>
      <c r="D99" s="305">
        <v>475326.30194719502</v>
      </c>
      <c r="E99" s="305">
        <v>516639.16060418898</v>
      </c>
      <c r="F99" s="305">
        <v>285.02823779851701</v>
      </c>
      <c r="G99" s="305">
        <v>5338.4103320219601</v>
      </c>
      <c r="H99" s="305">
        <v>1275.7402070415701</v>
      </c>
      <c r="I99" s="290">
        <v>1.3707955203586499</v>
      </c>
      <c r="J99" s="305">
        <v>601.41009795774403</v>
      </c>
      <c r="K99" s="290">
        <v>2.0003341004366599</v>
      </c>
      <c r="L99" s="291">
        <v>28.522961776588598</v>
      </c>
      <c r="M99" s="290">
        <v>0.98268305344215401</v>
      </c>
      <c r="N99" s="290">
        <v>0.30338959711338198</v>
      </c>
      <c r="O99" s="290">
        <v>0.14867811872730599</v>
      </c>
      <c r="P99" s="290">
        <v>4.2058127958150902</v>
      </c>
      <c r="Q99" s="291">
        <v>61.915411689096203</v>
      </c>
      <c r="R99" s="291">
        <v>35.995046723838797</v>
      </c>
      <c r="S99" s="291">
        <v>27.567048424237399</v>
      </c>
      <c r="T99" s="305">
        <v>130.70913327130901</v>
      </c>
      <c r="U99" s="290">
        <v>9.4570821163170091</v>
      </c>
      <c r="V99" s="290">
        <v>4.35384008311459E-2</v>
      </c>
      <c r="W99" s="290">
        <v>7.0615540355347504</v>
      </c>
      <c r="X99" s="290">
        <v>2.6097093104511702</v>
      </c>
      <c r="Y99" s="290">
        <v>5.35934764648704E-2</v>
      </c>
      <c r="Z99" s="290" t="s">
        <v>25</v>
      </c>
      <c r="AA99" s="290">
        <v>6.1635503454779902E-2</v>
      </c>
      <c r="AB99" s="291">
        <f t="shared" si="36"/>
        <v>55.208671644697098</v>
      </c>
      <c r="AC99" s="290">
        <f>L99/U99</f>
        <v>3.016042519856712</v>
      </c>
      <c r="AD99" s="305">
        <f>H99/I99</f>
        <v>930.65682524829822</v>
      </c>
      <c r="AE99" s="219">
        <f t="shared" si="37"/>
        <v>2.4721586689712072E-4</v>
      </c>
      <c r="AF99" s="255" t="s">
        <v>216</v>
      </c>
      <c r="AG99" s="255" t="s">
        <v>216</v>
      </c>
    </row>
    <row r="100" spans="1:33" s="255" customFormat="1">
      <c r="A100" s="156"/>
      <c r="B100" s="255" t="s">
        <v>370</v>
      </c>
      <c r="C100" s="255" t="s">
        <v>371</v>
      </c>
      <c r="D100" s="305">
        <v>458745.75315859198</v>
      </c>
      <c r="E100" s="305">
        <v>537447.09997257905</v>
      </c>
      <c r="F100" s="305">
        <v>127.475290978662</v>
      </c>
      <c r="G100" s="290">
        <v>4.1074059259460602</v>
      </c>
      <c r="H100" s="305">
        <v>2113.39397688285</v>
      </c>
      <c r="I100" s="290" t="s">
        <v>25</v>
      </c>
      <c r="J100" s="305">
        <v>1333.1699291283801</v>
      </c>
      <c r="K100" s="290">
        <v>1.0765892111219</v>
      </c>
      <c r="L100" s="291">
        <v>73.394188323507905</v>
      </c>
      <c r="M100" s="290">
        <v>7.7127115732705904E-3</v>
      </c>
      <c r="N100" s="290" t="s">
        <v>25</v>
      </c>
      <c r="O100" s="290">
        <v>4.1920718840377597E-2</v>
      </c>
      <c r="P100" s="290">
        <v>0.32053308346280901</v>
      </c>
      <c r="Q100" s="290">
        <v>0.395542879542082</v>
      </c>
      <c r="R100" s="291">
        <v>11.8016910092272</v>
      </c>
      <c r="S100" s="249" t="s">
        <v>25</v>
      </c>
      <c r="T100" s="290">
        <v>8.4006471706781003</v>
      </c>
      <c r="U100" s="290" t="s">
        <v>25</v>
      </c>
      <c r="V100" s="290">
        <v>1.5261849224348799E-2</v>
      </c>
      <c r="W100" s="290">
        <v>0.82242271942844403</v>
      </c>
      <c r="X100" s="290">
        <v>0.50146337836521204</v>
      </c>
      <c r="Y100" s="290">
        <v>9.1543030932387005E-3</v>
      </c>
      <c r="Z100" s="290" t="s">
        <v>25</v>
      </c>
      <c r="AA100" s="290" t="s">
        <v>25</v>
      </c>
      <c r="AB100" s="305">
        <f t="shared" si="36"/>
        <v>136.56076724063175</v>
      </c>
      <c r="AC100" s="305"/>
      <c r="AD100" s="305"/>
      <c r="AE100" s="219">
        <f t="shared" si="37"/>
        <v>3.1444392739780109E-5</v>
      </c>
      <c r="AF100" s="255">
        <v>3.73</v>
      </c>
      <c r="AG100" s="255">
        <v>0.08</v>
      </c>
    </row>
    <row r="101" spans="1:33" s="255" customFormat="1">
      <c r="A101" s="156"/>
      <c r="B101" s="255" t="s">
        <v>372</v>
      </c>
      <c r="C101" s="255" t="s">
        <v>373</v>
      </c>
      <c r="D101" s="305">
        <v>472323.44367493299</v>
      </c>
      <c r="E101" s="305">
        <v>522186.62146184198</v>
      </c>
      <c r="F101" s="305">
        <v>2267.1646831033599</v>
      </c>
      <c r="G101" s="291">
        <v>34.211387340465002</v>
      </c>
      <c r="H101" s="305">
        <v>1806.3450072333101</v>
      </c>
      <c r="I101" s="290" t="s">
        <v>25</v>
      </c>
      <c r="J101" s="305">
        <v>900.02055211732102</v>
      </c>
      <c r="K101" s="290">
        <v>1.7759813337663599</v>
      </c>
      <c r="L101" s="291">
        <v>73.2443155154115</v>
      </c>
      <c r="M101" s="290">
        <v>2.76897763603534</v>
      </c>
      <c r="N101" s="290">
        <v>0.42403431968502597</v>
      </c>
      <c r="O101" s="290">
        <v>9.2218086949157493E-2</v>
      </c>
      <c r="P101" s="290">
        <v>3.8139138072572099</v>
      </c>
      <c r="Q101" s="290">
        <v>0.55638733208197799</v>
      </c>
      <c r="R101" s="291">
        <v>17.587642016198799</v>
      </c>
      <c r="S101" s="290">
        <v>0.33043288847845198</v>
      </c>
      <c r="T101" s="291">
        <v>41.478847825679701</v>
      </c>
      <c r="U101" s="290" t="s">
        <v>25</v>
      </c>
      <c r="V101" s="290">
        <v>0.24125314323625399</v>
      </c>
      <c r="W101" s="290">
        <v>0.59950758999017495</v>
      </c>
      <c r="X101" s="290">
        <v>1.8069530221236001</v>
      </c>
      <c r="Y101" s="290">
        <v>0.18195418257302701</v>
      </c>
      <c r="Z101" s="290" t="s">
        <v>25</v>
      </c>
      <c r="AA101" s="290" t="s">
        <v>25</v>
      </c>
      <c r="AB101" s="305">
        <f t="shared" si="36"/>
        <v>140.26463433775223</v>
      </c>
      <c r="AC101" s="305"/>
      <c r="AD101" s="305"/>
      <c r="AE101" s="219">
        <f t="shared" si="37"/>
        <v>1.0246220125997359E-4</v>
      </c>
      <c r="AF101" s="255" t="s">
        <v>216</v>
      </c>
      <c r="AG101" s="255" t="s">
        <v>216</v>
      </c>
    </row>
    <row r="102" spans="1:33" s="255" customFormat="1">
      <c r="A102" s="156"/>
      <c r="B102" s="255" t="s">
        <v>374</v>
      </c>
      <c r="C102" s="255" t="s">
        <v>375</v>
      </c>
      <c r="D102" s="305">
        <v>458611.74946909997</v>
      </c>
      <c r="E102" s="305">
        <v>539166.61632168398</v>
      </c>
      <c r="F102" s="305">
        <v>379.20591775727002</v>
      </c>
      <c r="G102" s="290">
        <v>2.51959514396549</v>
      </c>
      <c r="H102" s="305">
        <v>897.22005229468596</v>
      </c>
      <c r="I102" s="290" t="s">
        <v>25</v>
      </c>
      <c r="J102" s="305">
        <v>660.28930459632898</v>
      </c>
      <c r="K102" s="290">
        <v>0.280362605004153</v>
      </c>
      <c r="L102" s="305">
        <v>145.37299264436101</v>
      </c>
      <c r="M102" s="290">
        <v>0.140143548271526</v>
      </c>
      <c r="N102" s="290" t="s">
        <v>25</v>
      </c>
      <c r="O102" s="290">
        <v>1.5641167868887501E-2</v>
      </c>
      <c r="P102" s="290">
        <v>0.22839768893481999</v>
      </c>
      <c r="Q102" s="290">
        <v>0.37295392458439902</v>
      </c>
      <c r="R102" s="291">
        <v>36.864640202455902</v>
      </c>
      <c r="S102" s="249" t="s">
        <v>25</v>
      </c>
      <c r="T102" s="290">
        <v>1.3508810411952901</v>
      </c>
      <c r="U102" s="290" t="s">
        <v>25</v>
      </c>
      <c r="V102" s="290">
        <v>9.3414701983171398E-3</v>
      </c>
      <c r="W102" s="290" t="s">
        <v>25</v>
      </c>
      <c r="X102" s="290">
        <v>0.42332183898340597</v>
      </c>
      <c r="Y102" s="290" t="s">
        <v>25</v>
      </c>
      <c r="Z102" s="290" t="s">
        <v>25</v>
      </c>
      <c r="AA102" s="290" t="s">
        <v>25</v>
      </c>
      <c r="AB102" s="305">
        <f t="shared" si="36"/>
        <v>269.62535929269558</v>
      </c>
      <c r="AC102" s="305"/>
      <c r="AD102" s="305"/>
      <c r="AE102" s="219">
        <f t="shared" si="37"/>
        <v>2.3688355634428767E-5</v>
      </c>
      <c r="AF102" s="255" t="s">
        <v>216</v>
      </c>
      <c r="AG102" s="255" t="s">
        <v>216</v>
      </c>
    </row>
    <row r="103" spans="1:33" s="255" customFormat="1">
      <c r="A103" s="156"/>
      <c r="B103" s="255" t="s">
        <v>376</v>
      </c>
      <c r="C103" s="255" t="s">
        <v>377</v>
      </c>
      <c r="D103" s="305">
        <v>458124.64865357301</v>
      </c>
      <c r="E103" s="305">
        <v>534466.63014630496</v>
      </c>
      <c r="F103" s="291">
        <v>93.885446819332401</v>
      </c>
      <c r="G103" s="290">
        <v>1.20165653147481</v>
      </c>
      <c r="H103" s="305">
        <v>5967.2564099383299</v>
      </c>
      <c r="I103" s="290" t="s">
        <v>25</v>
      </c>
      <c r="J103" s="305">
        <v>1081.4943631169001</v>
      </c>
      <c r="K103" s="290">
        <v>2.5900504283984001</v>
      </c>
      <c r="L103" s="305">
        <v>150.18119164017301</v>
      </c>
      <c r="M103" s="290" t="s">
        <v>25</v>
      </c>
      <c r="N103" s="290">
        <v>1.03351534038209E-2</v>
      </c>
      <c r="O103" s="290">
        <v>3.39994920579774E-2</v>
      </c>
      <c r="P103" s="290">
        <v>0.15321279751506001</v>
      </c>
      <c r="Q103" s="290">
        <v>0.47079981287015499</v>
      </c>
      <c r="R103" s="290">
        <v>8.9573591869053804</v>
      </c>
      <c r="S103" s="290" t="s">
        <v>25</v>
      </c>
      <c r="T103" s="290">
        <v>2.0986315610422501</v>
      </c>
      <c r="U103" s="290" t="s">
        <v>25</v>
      </c>
      <c r="V103" s="290">
        <v>1.7234981695944399E-2</v>
      </c>
      <c r="W103" s="290" t="s">
        <v>25</v>
      </c>
      <c r="X103" s="290">
        <v>0.218590617814474</v>
      </c>
      <c r="Y103" s="290">
        <v>1.2056746500292001E-2</v>
      </c>
      <c r="Z103" s="290" t="s">
        <v>25</v>
      </c>
      <c r="AA103" s="290" t="s">
        <v>25</v>
      </c>
      <c r="AB103" s="305">
        <f t="shared" si="36"/>
        <v>280.99264419756645</v>
      </c>
      <c r="AC103" s="305"/>
      <c r="AD103" s="305"/>
      <c r="AE103" s="219">
        <f t="shared" si="37"/>
        <v>3.1437512036576703E-5</v>
      </c>
      <c r="AF103" s="255" t="s">
        <v>216</v>
      </c>
      <c r="AG103" s="255" t="s">
        <v>216</v>
      </c>
    </row>
    <row r="104" spans="1:33" s="255" customFormat="1">
      <c r="A104" s="156"/>
      <c r="B104" s="255" t="s">
        <v>378</v>
      </c>
      <c r="C104" s="255" t="s">
        <v>379</v>
      </c>
      <c r="D104" s="305">
        <v>458831.59412017203</v>
      </c>
      <c r="E104" s="305">
        <v>535835.33639149705</v>
      </c>
      <c r="F104" s="305">
        <v>290.33077073652697</v>
      </c>
      <c r="G104" s="290">
        <v>4.0003802599841096</v>
      </c>
      <c r="H104" s="305">
        <v>3848.2819945548899</v>
      </c>
      <c r="I104" s="290" t="s">
        <v>25</v>
      </c>
      <c r="J104" s="305">
        <v>1003.7574083692</v>
      </c>
      <c r="K104" s="290">
        <v>2.7879604588482598</v>
      </c>
      <c r="L104" s="305">
        <v>101.873661163652</v>
      </c>
      <c r="M104" s="290">
        <v>0.12020952734852799</v>
      </c>
      <c r="N104" s="290">
        <v>3.6208173410525998E-2</v>
      </c>
      <c r="O104" s="290">
        <v>2.7592920613562999E-2</v>
      </c>
      <c r="P104" s="290">
        <v>0.42389684388917898</v>
      </c>
      <c r="Q104" s="290">
        <v>0.67828380988907699</v>
      </c>
      <c r="R104" s="291">
        <v>27.159262848877901</v>
      </c>
      <c r="S104" s="290">
        <v>0.15601910101156799</v>
      </c>
      <c r="T104" s="290">
        <v>7.6516017267856604</v>
      </c>
      <c r="U104" s="290">
        <v>1.5511386579605E-2</v>
      </c>
      <c r="V104" s="290">
        <v>3.2365589690055298E-2</v>
      </c>
      <c r="W104" s="290" t="s">
        <v>25</v>
      </c>
      <c r="X104" s="290">
        <v>0.34430302385974199</v>
      </c>
      <c r="Y104" s="290">
        <v>0.10251219979147901</v>
      </c>
      <c r="Z104" s="290">
        <v>5.6394879365575497E-3</v>
      </c>
      <c r="AA104" s="290" t="s">
        <v>25</v>
      </c>
      <c r="AB104" s="305">
        <f t="shared" si="36"/>
        <v>190.12120747710469</v>
      </c>
      <c r="AC104" s="305">
        <f>L104/U104</f>
        <v>6567.669540104147</v>
      </c>
      <c r="AD104" s="305"/>
      <c r="AE104" s="219">
        <f t="shared" si="37"/>
        <v>2.7489630844561424E-5</v>
      </c>
      <c r="AF104" s="255" t="s">
        <v>216</v>
      </c>
      <c r="AG104" s="255" t="s">
        <v>216</v>
      </c>
    </row>
    <row r="105" spans="1:33" s="255" customFormat="1">
      <c r="A105" s="156"/>
      <c r="B105" s="255" t="s">
        <v>380</v>
      </c>
      <c r="C105" s="255" t="s">
        <v>381</v>
      </c>
      <c r="D105" s="305">
        <v>472583.12771181797</v>
      </c>
      <c r="E105" s="305">
        <v>521319.92871659203</v>
      </c>
      <c r="F105" s="305">
        <v>198.787535344557</v>
      </c>
      <c r="G105" s="290">
        <v>2.5281962038458201</v>
      </c>
      <c r="H105" s="305">
        <v>4417.1755737579997</v>
      </c>
      <c r="I105" s="290" t="s">
        <v>25</v>
      </c>
      <c r="J105" s="305">
        <v>1064.8289941304499</v>
      </c>
      <c r="K105" s="290">
        <v>4.4172352947859297</v>
      </c>
      <c r="L105" s="305">
        <v>101.814124548392</v>
      </c>
      <c r="M105" s="290">
        <v>3.24023856721848E-2</v>
      </c>
      <c r="N105" s="290">
        <v>2.3935576367712898E-2</v>
      </c>
      <c r="O105" s="290">
        <v>3.0378135819693401E-2</v>
      </c>
      <c r="P105" s="290">
        <v>0.76511795351030498</v>
      </c>
      <c r="Q105" s="290">
        <v>1.86945313484285</v>
      </c>
      <c r="R105" s="291">
        <v>50.257336480120898</v>
      </c>
      <c r="S105" s="290" t="s">
        <v>25</v>
      </c>
      <c r="T105" s="291">
        <v>13.5948139224604</v>
      </c>
      <c r="U105" s="290">
        <v>2.9431054967381898E-2</v>
      </c>
      <c r="V105" s="290">
        <v>6.0742740933918501E-2</v>
      </c>
      <c r="W105" s="290">
        <v>1.16763685711168</v>
      </c>
      <c r="X105" s="290">
        <v>1.5612826285633401</v>
      </c>
      <c r="Y105" s="290">
        <v>0.31608311151416602</v>
      </c>
      <c r="Z105" s="290" t="s">
        <v>25</v>
      </c>
      <c r="AA105" s="290">
        <v>7.2707529164838497E-2</v>
      </c>
      <c r="AB105" s="305">
        <f t="shared" si="36"/>
        <v>195.30065692873552</v>
      </c>
      <c r="AC105" s="305">
        <f>L105/U105</f>
        <v>3459.4113143831041</v>
      </c>
      <c r="AD105" s="305"/>
      <c r="AE105" s="219">
        <f t="shared" si="37"/>
        <v>2.8528652006231752E-5</v>
      </c>
      <c r="AF105" s="255">
        <v>3.48</v>
      </c>
      <c r="AG105" s="255">
        <v>0.09</v>
      </c>
    </row>
    <row r="106" spans="1:33" s="255" customFormat="1" ht="14.45" customHeight="1">
      <c r="A106" s="156"/>
      <c r="B106" s="255" t="s">
        <v>382</v>
      </c>
      <c r="C106" s="255" t="s">
        <v>383</v>
      </c>
      <c r="D106" s="305">
        <v>464021.27328492299</v>
      </c>
      <c r="E106" s="305">
        <v>530412.56405745505</v>
      </c>
      <c r="F106" s="305">
        <v>170.58206960172899</v>
      </c>
      <c r="G106" s="290">
        <v>5.3880153981073304</v>
      </c>
      <c r="H106" s="305">
        <v>4238.4805356217203</v>
      </c>
      <c r="I106" s="290" t="s">
        <v>25</v>
      </c>
      <c r="J106" s="305">
        <v>954.00576493038704</v>
      </c>
      <c r="K106" s="290">
        <v>2.53061392685873</v>
      </c>
      <c r="L106" s="291">
        <v>82.042447718846105</v>
      </c>
      <c r="M106" s="290">
        <v>4.8625186018904899E-2</v>
      </c>
      <c r="N106" s="290">
        <v>5.2651089543049E-2</v>
      </c>
      <c r="O106" s="290">
        <v>3.3671104907800599E-2</v>
      </c>
      <c r="P106" s="290">
        <v>0.32433710976059199</v>
      </c>
      <c r="Q106" s="290">
        <v>0.35547378624949</v>
      </c>
      <c r="R106" s="291">
        <v>42.1395222917292</v>
      </c>
      <c r="S106" s="290" t="s">
        <v>25</v>
      </c>
      <c r="T106" s="290">
        <v>2.3219540928832698</v>
      </c>
      <c r="U106" s="290" t="s">
        <v>25</v>
      </c>
      <c r="V106" s="290">
        <v>2.6305997845137302E-2</v>
      </c>
      <c r="W106" s="290" t="s">
        <v>25</v>
      </c>
      <c r="X106" s="290">
        <v>0.180100494147062</v>
      </c>
      <c r="Y106" s="290">
        <v>6.7121942331949805E-2</v>
      </c>
      <c r="Z106" s="290" t="s">
        <v>25</v>
      </c>
      <c r="AA106" s="290">
        <v>6.45027720621133E-2</v>
      </c>
      <c r="AB106" s="305">
        <f t="shared" si="36"/>
        <v>154.67666733090272</v>
      </c>
      <c r="AC106" s="305"/>
      <c r="AD106" s="305"/>
      <c r="AE106" s="219">
        <f t="shared" si="37"/>
        <v>3.5294445951547836E-5</v>
      </c>
      <c r="AF106" s="255" t="s">
        <v>216</v>
      </c>
      <c r="AG106" s="255" t="s">
        <v>216</v>
      </c>
    </row>
    <row r="107" spans="1:33" s="255" customFormat="1">
      <c r="A107" s="156"/>
      <c r="B107" s="255" t="s">
        <v>384</v>
      </c>
      <c r="C107" s="255" t="s">
        <v>385</v>
      </c>
      <c r="D107" s="305">
        <v>456271.18449693499</v>
      </c>
      <c r="E107" s="305">
        <v>537271.45731112105</v>
      </c>
      <c r="F107" s="291">
        <v>79.813497597344906</v>
      </c>
      <c r="G107" s="290">
        <v>0.80754165265098399</v>
      </c>
      <c r="H107" s="305">
        <v>5213.1409447732303</v>
      </c>
      <c r="I107" s="290" t="s">
        <v>25</v>
      </c>
      <c r="J107" s="305">
        <v>841.14816991679504</v>
      </c>
      <c r="K107" s="290">
        <v>3.17257376116304</v>
      </c>
      <c r="L107" s="305">
        <v>133.13208094590601</v>
      </c>
      <c r="M107" s="290" t="s">
        <v>25</v>
      </c>
      <c r="N107" s="290" t="s">
        <v>25</v>
      </c>
      <c r="O107" s="290">
        <v>2.0748133049604899E-2</v>
      </c>
      <c r="P107" s="290">
        <v>3.9272640562378697E-2</v>
      </c>
      <c r="Q107" s="290">
        <v>0.48996816595258003</v>
      </c>
      <c r="R107" s="291">
        <v>28.5398550103546</v>
      </c>
      <c r="S107" s="249" t="s">
        <v>25</v>
      </c>
      <c r="T107" s="290">
        <v>1.1852895958691401</v>
      </c>
      <c r="U107" s="290" t="s">
        <v>25</v>
      </c>
      <c r="V107" s="290">
        <v>2.87416930931686E-2</v>
      </c>
      <c r="W107" s="290" t="s">
        <v>25</v>
      </c>
      <c r="X107" s="290">
        <v>0.47487118406751899</v>
      </c>
      <c r="Y107" s="290">
        <v>8.9848895902984796E-3</v>
      </c>
      <c r="Z107" s="290" t="s">
        <v>25</v>
      </c>
      <c r="AA107" s="290">
        <v>0.169257290318437</v>
      </c>
      <c r="AB107" s="305">
        <f t="shared" si="36"/>
        <v>247.79295295564603</v>
      </c>
      <c r="AC107" s="305"/>
      <c r="AD107" s="305"/>
      <c r="AE107" s="219">
        <f t="shared" si="37"/>
        <v>2.4666442597928103E-5</v>
      </c>
      <c r="AF107" s="255" t="s">
        <v>216</v>
      </c>
      <c r="AG107" s="255" t="s">
        <v>216</v>
      </c>
    </row>
    <row r="108" spans="1:33" s="255" customFormat="1">
      <c r="A108" s="156"/>
      <c r="B108" s="255" t="s">
        <v>386</v>
      </c>
      <c r="C108" s="255" t="s">
        <v>387</v>
      </c>
      <c r="D108" s="305">
        <v>446779.31039553997</v>
      </c>
      <c r="E108" s="305">
        <v>543831.23416332004</v>
      </c>
      <c r="F108" s="305">
        <v>277.32755763233899</v>
      </c>
      <c r="G108" s="290">
        <v>0.88285994068388995</v>
      </c>
      <c r="H108" s="305">
        <v>7572.8650389959303</v>
      </c>
      <c r="I108" s="290" t="s">
        <v>25</v>
      </c>
      <c r="J108" s="305">
        <v>1220.2450609674199</v>
      </c>
      <c r="K108" s="291">
        <v>11.952901446104899</v>
      </c>
      <c r="L108" s="305">
        <v>121.245327863367</v>
      </c>
      <c r="M108" s="290">
        <v>2.7890067338526899E-2</v>
      </c>
      <c r="N108" s="290">
        <v>3.6986528258503203E-2</v>
      </c>
      <c r="O108" s="290">
        <v>8.5381718641090606E-2</v>
      </c>
      <c r="P108" s="290">
        <v>1.85537801992923</v>
      </c>
      <c r="Q108" s="290">
        <v>0.49057483389842799</v>
      </c>
      <c r="R108" s="291">
        <v>30.9252090156976</v>
      </c>
      <c r="S108" s="290" t="s">
        <v>25</v>
      </c>
      <c r="T108" s="291">
        <v>10.1320057421418</v>
      </c>
      <c r="U108" s="290" t="s">
        <v>25</v>
      </c>
      <c r="V108" s="290">
        <v>1.7539387965871501E-2</v>
      </c>
      <c r="W108" s="290">
        <v>0.62092327802387604</v>
      </c>
      <c r="X108" s="290">
        <v>0.23295097488986899</v>
      </c>
      <c r="Y108" s="290">
        <v>1.3935574157838099E-2</v>
      </c>
      <c r="Z108" s="290" t="s">
        <v>25</v>
      </c>
      <c r="AA108" s="290">
        <v>5.9453595337026599E-2</v>
      </c>
      <c r="AB108" s="305">
        <f t="shared" si="36"/>
        <v>222.94660594458492</v>
      </c>
      <c r="AC108" s="305"/>
      <c r="AD108" s="305"/>
      <c r="AE108" s="219">
        <f t="shared" si="37"/>
        <v>6.9970960237609407E-5</v>
      </c>
      <c r="AF108" s="255" t="s">
        <v>216</v>
      </c>
      <c r="AG108" s="255" t="s">
        <v>216</v>
      </c>
    </row>
    <row r="109" spans="1:33" s="255" customFormat="1">
      <c r="A109" s="156"/>
      <c r="B109" s="255" t="s">
        <v>388</v>
      </c>
      <c r="C109" s="255" t="s">
        <v>389</v>
      </c>
      <c r="D109" s="305">
        <v>444028.47719100799</v>
      </c>
      <c r="E109" s="305">
        <v>546193.55819444603</v>
      </c>
      <c r="F109" s="305">
        <v>133.14717439692399</v>
      </c>
      <c r="G109" s="290">
        <v>0.770138645796421</v>
      </c>
      <c r="H109" s="305">
        <v>8360.1119382838297</v>
      </c>
      <c r="I109" s="290" t="s">
        <v>25</v>
      </c>
      <c r="J109" s="305">
        <v>975.99267578300999</v>
      </c>
      <c r="K109" s="290">
        <v>5.3558817438966599</v>
      </c>
      <c r="L109" s="305">
        <v>174.29609150655801</v>
      </c>
      <c r="M109" s="290">
        <v>7.7233778023982303E-3</v>
      </c>
      <c r="N109" s="290">
        <v>0.13369378938527299</v>
      </c>
      <c r="O109" s="290">
        <v>2.3294535596599601E-2</v>
      </c>
      <c r="P109" s="290">
        <v>0.18147108314303401</v>
      </c>
      <c r="Q109" s="290">
        <v>0.423071771567122</v>
      </c>
      <c r="R109" s="291">
        <v>33.311553725099202</v>
      </c>
      <c r="S109" s="249" t="s">
        <v>25</v>
      </c>
      <c r="T109" s="290">
        <v>1.0473501668982199</v>
      </c>
      <c r="U109" s="290" t="s">
        <v>25</v>
      </c>
      <c r="V109" s="290">
        <v>2.8946719753838401E-2</v>
      </c>
      <c r="W109" s="290" t="s">
        <v>25</v>
      </c>
      <c r="X109" s="290">
        <v>0.31539038683825499</v>
      </c>
      <c r="Y109" s="290" t="s">
        <v>25</v>
      </c>
      <c r="Z109" s="290" t="s">
        <v>25</v>
      </c>
      <c r="AA109" s="290">
        <v>0.216117583852933</v>
      </c>
      <c r="AB109" s="305">
        <f t="shared" si="36"/>
        <v>319.11048545268318</v>
      </c>
      <c r="AC109" s="305"/>
      <c r="AD109" s="305"/>
      <c r="AE109" s="219">
        <f t="shared" si="37"/>
        <v>2.3867531155304097E-5</v>
      </c>
      <c r="AF109" s="255" t="s">
        <v>216</v>
      </c>
      <c r="AG109" s="255" t="s">
        <v>216</v>
      </c>
    </row>
    <row r="110" spans="1:33" s="255" customFormat="1">
      <c r="A110" s="156"/>
      <c r="B110" s="255" t="s">
        <v>390</v>
      </c>
      <c r="C110" s="255" t="s">
        <v>391</v>
      </c>
      <c r="D110" s="305">
        <v>447151.094993543</v>
      </c>
      <c r="E110" s="305">
        <v>547951.18024749996</v>
      </c>
      <c r="F110" s="305">
        <v>1342.18444790387</v>
      </c>
      <c r="G110" s="290">
        <v>7.5299074835095796</v>
      </c>
      <c r="H110" s="305">
        <v>2044.2911930846101</v>
      </c>
      <c r="I110" s="290" t="s">
        <v>25</v>
      </c>
      <c r="J110" s="305">
        <v>1134.54746057631</v>
      </c>
      <c r="K110" s="290">
        <v>2.17761076656834</v>
      </c>
      <c r="L110" s="291">
        <v>79.515835320570801</v>
      </c>
      <c r="M110" s="290">
        <v>1.7434911459721101</v>
      </c>
      <c r="N110" s="290">
        <v>0.50606963442183495</v>
      </c>
      <c r="O110" s="290">
        <v>4.8215859840510703E-2</v>
      </c>
      <c r="P110" s="290">
        <v>1.8267971996839001</v>
      </c>
      <c r="Q110" s="290">
        <v>0.34161435561167602</v>
      </c>
      <c r="R110" s="291">
        <v>88.6740688259612</v>
      </c>
      <c r="S110" s="249" t="s">
        <v>25</v>
      </c>
      <c r="T110" s="291">
        <v>21.711806037496</v>
      </c>
      <c r="U110" s="290" t="s">
        <v>25</v>
      </c>
      <c r="V110" s="290" t="s">
        <v>25</v>
      </c>
      <c r="W110" s="290" t="s">
        <v>25</v>
      </c>
      <c r="X110" s="290">
        <v>0.82743004068691905</v>
      </c>
      <c r="Y110" s="290" t="s">
        <v>25</v>
      </c>
      <c r="Z110" s="290" t="s">
        <v>25</v>
      </c>
      <c r="AA110" s="290" t="s">
        <v>25</v>
      </c>
      <c r="AB110" s="305">
        <f t="shared" si="36"/>
        <v>145.11481713508655</v>
      </c>
      <c r="AC110" s="305"/>
      <c r="AD110" s="305"/>
      <c r="AE110" s="219">
        <f t="shared" si="37"/>
        <v>4.2497878243029824E-5</v>
      </c>
      <c r="AF110" s="255" t="s">
        <v>216</v>
      </c>
      <c r="AG110" s="255" t="s">
        <v>216</v>
      </c>
    </row>
    <row r="111" spans="1:33" s="255" customFormat="1">
      <c r="A111" s="156"/>
      <c r="B111" s="255" t="s">
        <v>392</v>
      </c>
      <c r="C111" s="255" t="s">
        <v>393</v>
      </c>
      <c r="D111" s="305">
        <v>462760.69635782402</v>
      </c>
      <c r="E111" s="305">
        <v>528799.64062650502</v>
      </c>
      <c r="F111" s="305">
        <v>243.90974435552101</v>
      </c>
      <c r="G111" s="290">
        <v>4.0865266587702802</v>
      </c>
      <c r="H111" s="305">
        <v>7361.4816385431604</v>
      </c>
      <c r="I111" s="290">
        <v>0.13171803291770401</v>
      </c>
      <c r="J111" s="305">
        <v>459.14507145402303</v>
      </c>
      <c r="K111" s="290">
        <v>0.96705040615336801</v>
      </c>
      <c r="L111" s="305">
        <v>169.894378964277</v>
      </c>
      <c r="M111" s="290">
        <v>3.8616247468356499E-2</v>
      </c>
      <c r="N111" s="290">
        <v>5.9019936539948602E-2</v>
      </c>
      <c r="O111" s="290" t="s">
        <v>25</v>
      </c>
      <c r="P111" s="290">
        <v>0.21599949224399601</v>
      </c>
      <c r="Q111" s="290">
        <v>0.45977293210709502</v>
      </c>
      <c r="R111" s="291">
        <v>32.759270102227198</v>
      </c>
      <c r="S111" s="290">
        <v>0.100450082558591</v>
      </c>
      <c r="T111" s="290">
        <v>1.98293548871456</v>
      </c>
      <c r="U111" s="290" t="s">
        <v>25</v>
      </c>
      <c r="V111" s="290">
        <v>3.9194142941850599E-2</v>
      </c>
      <c r="W111" s="290">
        <v>0.74962724805702596</v>
      </c>
      <c r="X111" s="290">
        <v>0.60408153738498804</v>
      </c>
      <c r="Y111" s="290">
        <v>0.58873146038287105</v>
      </c>
      <c r="Z111" s="290" t="s">
        <v>25</v>
      </c>
      <c r="AA111" s="290">
        <v>0.37845855044973198</v>
      </c>
      <c r="AB111" s="305">
        <f t="shared" si="36"/>
        <v>321.28308325435233</v>
      </c>
      <c r="AC111" s="305"/>
      <c r="AD111" s="305">
        <f>H111/I111</f>
        <v>55888.183838446283</v>
      </c>
      <c r="AE111" s="219"/>
      <c r="AF111" s="255" t="s">
        <v>216</v>
      </c>
      <c r="AG111" s="255" t="s">
        <v>216</v>
      </c>
    </row>
    <row r="112" spans="1:33" s="255" customFormat="1">
      <c r="A112" s="156"/>
      <c r="B112" s="255" t="s">
        <v>394</v>
      </c>
      <c r="C112" s="255" t="s">
        <v>395</v>
      </c>
      <c r="D112" s="305">
        <v>458103.06250508298</v>
      </c>
      <c r="E112" s="305">
        <v>538772.64849026105</v>
      </c>
      <c r="F112" s="291">
        <v>49.8568847503767</v>
      </c>
      <c r="G112" s="290">
        <v>1.8499134452757</v>
      </c>
      <c r="H112" s="305">
        <v>2237.58703971962</v>
      </c>
      <c r="I112" s="290" t="s">
        <v>25</v>
      </c>
      <c r="J112" s="305">
        <v>517.81828607010505</v>
      </c>
      <c r="K112" s="290">
        <v>0.34567200038985801</v>
      </c>
      <c r="L112" s="305">
        <v>120.78929084875701</v>
      </c>
      <c r="M112" s="290">
        <v>2.1188079217527401E-2</v>
      </c>
      <c r="N112" s="290" t="s">
        <v>25</v>
      </c>
      <c r="O112" s="290" t="s">
        <v>25</v>
      </c>
      <c r="P112" s="290">
        <v>4.7556851664247397E-2</v>
      </c>
      <c r="Q112" s="290">
        <v>0.47168053391196302</v>
      </c>
      <c r="R112" s="291">
        <v>37.214835094606798</v>
      </c>
      <c r="S112" s="290">
        <v>0.12838645937627499</v>
      </c>
      <c r="T112" s="290">
        <v>0.73485640635932303</v>
      </c>
      <c r="U112" s="290" t="s">
        <v>25</v>
      </c>
      <c r="V112" s="290" t="s">
        <v>25</v>
      </c>
      <c r="W112" s="290" t="s">
        <v>25</v>
      </c>
      <c r="X112" s="290">
        <v>0.47849906116454399</v>
      </c>
      <c r="Y112" s="290">
        <v>0.25096309409286899</v>
      </c>
      <c r="Z112" s="290" t="s">
        <v>25</v>
      </c>
      <c r="AA112" s="290" t="s">
        <v>25</v>
      </c>
      <c r="AB112" s="305">
        <f t="shared" si="36"/>
        <v>224.19343518500904</v>
      </c>
      <c r="AC112" s="305"/>
      <c r="AD112" s="305"/>
      <c r="AE112" s="219"/>
      <c r="AF112" s="255" t="s">
        <v>216</v>
      </c>
      <c r="AG112" s="255" t="s">
        <v>216</v>
      </c>
    </row>
    <row r="113" spans="1:33" s="255" customFormat="1">
      <c r="A113" s="156"/>
      <c r="B113" s="255" t="s">
        <v>396</v>
      </c>
      <c r="C113" s="255" t="s">
        <v>397</v>
      </c>
      <c r="D113" s="305">
        <v>464386.014700556</v>
      </c>
      <c r="E113" s="305">
        <v>532926.511450866</v>
      </c>
      <c r="F113" s="305">
        <v>191.27017590752999</v>
      </c>
      <c r="G113" s="290">
        <v>6.1272673911639703</v>
      </c>
      <c r="H113" s="305">
        <v>1351.96220118731</v>
      </c>
      <c r="I113" s="290">
        <v>0.124890804665911</v>
      </c>
      <c r="J113" s="305">
        <v>863.57388240336002</v>
      </c>
      <c r="K113" s="290">
        <v>2.2183949995596199</v>
      </c>
      <c r="L113" s="291">
        <v>39.352554951852198</v>
      </c>
      <c r="M113" s="290">
        <v>1.85160346525809E-2</v>
      </c>
      <c r="N113" s="290">
        <v>4.3008579041555001E-2</v>
      </c>
      <c r="O113" s="290">
        <v>3.6981873578632599E-2</v>
      </c>
      <c r="P113" s="290">
        <v>0.44330086719797401</v>
      </c>
      <c r="Q113" s="290">
        <v>3.0348223971813799</v>
      </c>
      <c r="R113" s="291">
        <v>40.290959089123596</v>
      </c>
      <c r="S113" s="290" t="s">
        <v>25</v>
      </c>
      <c r="T113" s="291">
        <v>13.1814427384693</v>
      </c>
      <c r="U113" s="290">
        <v>0.112755496723075</v>
      </c>
      <c r="V113" s="290">
        <v>2.01333036629722E-2</v>
      </c>
      <c r="W113" s="290">
        <v>2.1631227807973401</v>
      </c>
      <c r="X113" s="290">
        <v>1.0952898934198601</v>
      </c>
      <c r="Y113" s="290">
        <v>8.0963322303857901E-2</v>
      </c>
      <c r="Z113" s="290" t="s">
        <v>25</v>
      </c>
      <c r="AA113" s="290">
        <v>0.15777389913770101</v>
      </c>
      <c r="AB113" s="291">
        <f t="shared" si="36"/>
        <v>73.842366829746979</v>
      </c>
      <c r="AC113" s="305">
        <f>L113/U113</f>
        <v>349.00786299138213</v>
      </c>
      <c r="AD113" s="305">
        <f>H113/I113</f>
        <v>10825.154060011662</v>
      </c>
      <c r="AE113" s="219">
        <f t="shared" ref="AE113:AE136" si="38">O113/J113</f>
        <v>4.282421496549964E-5</v>
      </c>
      <c r="AF113" s="255" t="s">
        <v>216</v>
      </c>
      <c r="AG113" s="255" t="s">
        <v>216</v>
      </c>
    </row>
    <row r="114" spans="1:33" s="255" customFormat="1">
      <c r="A114" s="156"/>
      <c r="B114" s="255" t="s">
        <v>398</v>
      </c>
      <c r="C114" s="255" t="s">
        <v>399</v>
      </c>
      <c r="D114" s="305">
        <v>453320.57442235801</v>
      </c>
      <c r="E114" s="305">
        <v>541302.42251111998</v>
      </c>
      <c r="F114" s="305">
        <v>1768.12612695281</v>
      </c>
      <c r="G114" s="291">
        <v>96.241477114039796</v>
      </c>
      <c r="H114" s="305">
        <v>2005.9485200956699</v>
      </c>
      <c r="I114" s="290" t="s">
        <v>25</v>
      </c>
      <c r="J114" s="305">
        <v>465.815590172177</v>
      </c>
      <c r="K114" s="290">
        <v>0.67137522161941698</v>
      </c>
      <c r="L114" s="291">
        <v>92.956974891582703</v>
      </c>
      <c r="M114" s="290">
        <v>1.1943464194125999</v>
      </c>
      <c r="N114" s="290">
        <v>0.188872413640569</v>
      </c>
      <c r="O114" s="290">
        <v>4.5640864850075603E-2</v>
      </c>
      <c r="P114" s="290">
        <v>2.0258946279932299</v>
      </c>
      <c r="Q114" s="290">
        <v>0.51262092554985705</v>
      </c>
      <c r="R114" s="291">
        <v>66.102136022095806</v>
      </c>
      <c r="S114" s="290">
        <v>0.317379778923425</v>
      </c>
      <c r="T114" s="291">
        <v>27.399739016373001</v>
      </c>
      <c r="U114" s="290">
        <v>3.0440850728333298E-2</v>
      </c>
      <c r="V114" s="290">
        <v>0.369942020687206</v>
      </c>
      <c r="W114" s="290">
        <v>3.40899738375651</v>
      </c>
      <c r="X114" s="290">
        <v>5.38955066987495</v>
      </c>
      <c r="Y114" s="290">
        <v>0.11816051769752101</v>
      </c>
      <c r="Z114" s="290" t="s">
        <v>25</v>
      </c>
      <c r="AA114" s="290" t="s">
        <v>25</v>
      </c>
      <c r="AB114" s="305">
        <f t="shared" si="36"/>
        <v>171.7283555842078</v>
      </c>
      <c r="AC114" s="305">
        <f>L114/U114</f>
        <v>3053.6917552393352</v>
      </c>
      <c r="AD114" s="305"/>
      <c r="AE114" s="219">
        <f t="shared" si="38"/>
        <v>9.798054383110193E-5</v>
      </c>
      <c r="AF114" s="255" t="s">
        <v>216</v>
      </c>
      <c r="AG114" s="255" t="s">
        <v>216</v>
      </c>
    </row>
    <row r="115" spans="1:33" s="255" customFormat="1">
      <c r="A115" s="156"/>
      <c r="B115" s="255" t="s">
        <v>400</v>
      </c>
      <c r="C115" s="255" t="s">
        <v>401</v>
      </c>
      <c r="D115" s="305">
        <v>456637.25491131103</v>
      </c>
      <c r="E115" s="305">
        <v>540619.73059104499</v>
      </c>
      <c r="F115" s="305">
        <v>158.29052338764799</v>
      </c>
      <c r="G115" s="290">
        <v>0.61407638647163798</v>
      </c>
      <c r="H115" s="305">
        <v>802.43888590372296</v>
      </c>
      <c r="I115" s="290" t="s">
        <v>25</v>
      </c>
      <c r="J115" s="305">
        <v>1480.9425834522301</v>
      </c>
      <c r="K115" s="290">
        <v>1.29779464878919</v>
      </c>
      <c r="L115" s="291">
        <v>51.018392176884397</v>
      </c>
      <c r="M115" s="290">
        <v>5.2508957037919503E-3</v>
      </c>
      <c r="N115" s="290">
        <v>1.12702876915014E-2</v>
      </c>
      <c r="O115" s="290">
        <v>2.3644989351413299E-2</v>
      </c>
      <c r="P115" s="290">
        <v>0.16873389112074699</v>
      </c>
      <c r="Q115" s="290">
        <v>0.54755742324753298</v>
      </c>
      <c r="R115" s="291">
        <v>89.8780544289787</v>
      </c>
      <c r="S115" s="290" t="s">
        <v>25</v>
      </c>
      <c r="T115" s="290">
        <v>2.24551921973866</v>
      </c>
      <c r="U115" s="290">
        <v>1.9234963657397099E-2</v>
      </c>
      <c r="V115" s="290">
        <v>1.2228268985041301E-2</v>
      </c>
      <c r="W115" s="290" t="s">
        <v>25</v>
      </c>
      <c r="X115" s="290">
        <v>0.43432759999645498</v>
      </c>
      <c r="Y115" s="290">
        <v>7.51054873409783E-3</v>
      </c>
      <c r="Z115" s="290" t="s">
        <v>25</v>
      </c>
      <c r="AA115" s="290" t="s">
        <v>25</v>
      </c>
      <c r="AB115" s="291">
        <f t="shared" si="36"/>
        <v>94.370200142542643</v>
      </c>
      <c r="AC115" s="305">
        <f>L115/U115</f>
        <v>2652.3778825682625</v>
      </c>
      <c r="AD115" s="305"/>
      <c r="AE115" s="219">
        <f t="shared" si="38"/>
        <v>1.5966175607088281E-5</v>
      </c>
      <c r="AF115" s="255">
        <v>2.96</v>
      </c>
      <c r="AG115" s="255">
        <v>0.09</v>
      </c>
    </row>
    <row r="116" spans="1:33" s="255" customFormat="1">
      <c r="A116" s="156"/>
      <c r="B116" s="255" t="s">
        <v>402</v>
      </c>
      <c r="C116" s="255" t="s">
        <v>403</v>
      </c>
      <c r="D116" s="305">
        <v>455695.01743410499</v>
      </c>
      <c r="E116" s="305">
        <v>540242.58874351101</v>
      </c>
      <c r="F116" s="305">
        <v>395.00482343924301</v>
      </c>
      <c r="G116" s="290">
        <v>5.6421640179611403</v>
      </c>
      <c r="H116" s="305">
        <v>2101.5355765156801</v>
      </c>
      <c r="I116" s="290">
        <v>0.1428522892171</v>
      </c>
      <c r="J116" s="305">
        <v>1253.3639207762701</v>
      </c>
      <c r="K116" s="290">
        <v>7.06522653966777</v>
      </c>
      <c r="L116" s="291">
        <v>69.394765120665099</v>
      </c>
      <c r="M116" s="290">
        <v>3.9017469913483697E-2</v>
      </c>
      <c r="N116" s="290" t="s">
        <v>25</v>
      </c>
      <c r="O116" s="290">
        <v>6.6929647330505507E-2</v>
      </c>
      <c r="P116" s="290">
        <v>1.3368475876246899</v>
      </c>
      <c r="Q116" s="291">
        <v>21.804165503967798</v>
      </c>
      <c r="R116" s="305">
        <v>102.45983767094999</v>
      </c>
      <c r="S116" s="290">
        <v>0.109270992605305</v>
      </c>
      <c r="T116" s="290">
        <v>8.8514331521596805</v>
      </c>
      <c r="U116" s="290">
        <v>0.13836458436707999</v>
      </c>
      <c r="V116" s="290">
        <v>9.7644707856593002E-2</v>
      </c>
      <c r="W116" s="290">
        <v>0.99556177159233905</v>
      </c>
      <c r="X116" s="290">
        <v>0.72500093400703502</v>
      </c>
      <c r="Y116" s="290">
        <v>0.128233189700106</v>
      </c>
      <c r="Z116" s="290" t="s">
        <v>25</v>
      </c>
      <c r="AA116" s="290">
        <v>6.6031637513615696E-2</v>
      </c>
      <c r="AB116" s="305">
        <f t="shared" si="36"/>
        <v>128.45111912050939</v>
      </c>
      <c r="AC116" s="305">
        <f>L116/U116</f>
        <v>501.53560203354795</v>
      </c>
      <c r="AD116" s="305">
        <f>H116/I116</f>
        <v>14711.248857355502</v>
      </c>
      <c r="AE116" s="219">
        <f t="shared" si="38"/>
        <v>5.3400011138865936E-5</v>
      </c>
      <c r="AF116" s="255" t="s">
        <v>216</v>
      </c>
      <c r="AG116" s="255" t="s">
        <v>216</v>
      </c>
    </row>
    <row r="117" spans="1:33" s="255" customFormat="1">
      <c r="A117" s="156"/>
      <c r="B117" s="255" t="s">
        <v>404</v>
      </c>
      <c r="C117" s="255" t="s">
        <v>405</v>
      </c>
      <c r="D117" s="305">
        <v>451326.63233551302</v>
      </c>
      <c r="E117" s="305">
        <v>544605.46276578901</v>
      </c>
      <c r="F117" s="305">
        <v>287.00819112643001</v>
      </c>
      <c r="G117" s="290">
        <v>0.68215109666037799</v>
      </c>
      <c r="H117" s="305">
        <v>1341.9913974150099</v>
      </c>
      <c r="I117" s="290" t="s">
        <v>25</v>
      </c>
      <c r="J117" s="305">
        <v>2231.7927443940098</v>
      </c>
      <c r="K117" s="290">
        <v>2.4804095064465401</v>
      </c>
      <c r="L117" s="291">
        <v>39.950783567945201</v>
      </c>
      <c r="M117" s="290">
        <v>7.9427407670177898E-3</v>
      </c>
      <c r="N117" s="290" t="s">
        <v>25</v>
      </c>
      <c r="O117" s="290">
        <v>8.1598170588239205E-2</v>
      </c>
      <c r="P117" s="290">
        <v>0.10548001305905499</v>
      </c>
      <c r="Q117" s="290">
        <v>0.617014312208369</v>
      </c>
      <c r="R117" s="291">
        <v>48.157090698255701</v>
      </c>
      <c r="S117" s="290" t="s">
        <v>25</v>
      </c>
      <c r="T117" s="290">
        <v>4.3363539536258502</v>
      </c>
      <c r="U117" s="290" t="s">
        <v>25</v>
      </c>
      <c r="V117" s="290" t="s">
        <v>25</v>
      </c>
      <c r="W117" s="290" t="s">
        <v>25</v>
      </c>
      <c r="X117" s="290">
        <v>0.55619493033140599</v>
      </c>
      <c r="Y117" s="290" t="s">
        <v>25</v>
      </c>
      <c r="Z117" s="290" t="s">
        <v>25</v>
      </c>
      <c r="AA117" s="290">
        <v>4.5170838712803897E-2</v>
      </c>
      <c r="AB117" s="291">
        <f t="shared" si="36"/>
        <v>73.357294958178343</v>
      </c>
      <c r="AC117" s="305"/>
      <c r="AD117" s="305"/>
      <c r="AE117" s="219">
        <f t="shared" si="38"/>
        <v>3.6561715147252728E-5</v>
      </c>
      <c r="AF117" s="255" t="s">
        <v>216</v>
      </c>
      <c r="AG117" s="255" t="s">
        <v>216</v>
      </c>
    </row>
    <row r="118" spans="1:33" s="255" customFormat="1">
      <c r="A118" s="156"/>
      <c r="B118" s="255" t="s">
        <v>406</v>
      </c>
      <c r="C118" s="255" t="s">
        <v>407</v>
      </c>
      <c r="D118" s="305">
        <v>462982.92240618001</v>
      </c>
      <c r="E118" s="305">
        <v>534276.10245666001</v>
      </c>
      <c r="F118" s="305">
        <v>212.430892144116</v>
      </c>
      <c r="G118" s="290">
        <v>1.52445967501677</v>
      </c>
      <c r="H118" s="305">
        <v>1079.6648817923201</v>
      </c>
      <c r="I118" s="290" t="s">
        <v>25</v>
      </c>
      <c r="J118" s="305">
        <v>1237.97140578786</v>
      </c>
      <c r="K118" s="290">
        <v>1.4333100507122101</v>
      </c>
      <c r="L118" s="291">
        <v>51.588217411196801</v>
      </c>
      <c r="M118" s="290">
        <v>1.81861043697167E-2</v>
      </c>
      <c r="N118" s="290">
        <v>4.4286552653437797E-2</v>
      </c>
      <c r="O118" s="290">
        <v>3.3389719959579997E-2</v>
      </c>
      <c r="P118" s="290">
        <v>0.278930147289154</v>
      </c>
      <c r="Q118" s="290">
        <v>0.51991910628863403</v>
      </c>
      <c r="R118" s="291">
        <v>87.5413536855865</v>
      </c>
      <c r="S118" s="249" t="s">
        <v>25</v>
      </c>
      <c r="T118" s="290">
        <v>2.2313199004198601</v>
      </c>
      <c r="U118" s="290" t="s">
        <v>25</v>
      </c>
      <c r="V118" s="290" t="s">
        <v>25</v>
      </c>
      <c r="W118" s="290" t="s">
        <v>25</v>
      </c>
      <c r="X118" s="290">
        <v>0.44187541896730698</v>
      </c>
      <c r="Y118" s="290">
        <v>0.20341949007198801</v>
      </c>
      <c r="Z118" s="290" t="s">
        <v>25</v>
      </c>
      <c r="AA118" s="290" t="s">
        <v>25</v>
      </c>
      <c r="AB118" s="291">
        <f t="shared" si="36"/>
        <v>96.557224202970204</v>
      </c>
      <c r="AC118" s="305"/>
      <c r="AD118" s="305"/>
      <c r="AE118" s="219">
        <f t="shared" si="38"/>
        <v>2.6971317595441855E-5</v>
      </c>
      <c r="AF118" s="255">
        <v>3.53</v>
      </c>
      <c r="AG118" s="255">
        <v>0.09</v>
      </c>
    </row>
    <row r="119" spans="1:33" s="255" customFormat="1">
      <c r="A119" s="156"/>
      <c r="B119" s="255" t="s">
        <v>408</v>
      </c>
      <c r="C119" s="255" t="s">
        <v>409</v>
      </c>
      <c r="D119" s="305">
        <v>458660.54634700599</v>
      </c>
      <c r="E119" s="305">
        <v>538652.79684284201</v>
      </c>
      <c r="F119" s="305">
        <v>151.96613355316299</v>
      </c>
      <c r="G119" s="290">
        <v>0.83015594630311196</v>
      </c>
      <c r="H119" s="305">
        <v>1162.1468637645901</v>
      </c>
      <c r="I119" s="290" t="s">
        <v>25</v>
      </c>
      <c r="J119" s="305">
        <v>1211.8280881267699</v>
      </c>
      <c r="K119" s="290">
        <v>1.56453600233232</v>
      </c>
      <c r="L119" s="291">
        <v>51.020682077642803</v>
      </c>
      <c r="M119" s="290" t="s">
        <v>25</v>
      </c>
      <c r="N119" s="290">
        <v>3.4759212361502603E-2</v>
      </c>
      <c r="O119" s="290">
        <v>3.9492983428712602E-2</v>
      </c>
      <c r="P119" s="290">
        <v>0.168579120687679</v>
      </c>
      <c r="Q119" s="290">
        <v>0.39715912675377202</v>
      </c>
      <c r="R119" s="291">
        <v>43.5428478382536</v>
      </c>
      <c r="S119" s="249" t="s">
        <v>25</v>
      </c>
      <c r="T119" s="290">
        <v>2.3237587727329201</v>
      </c>
      <c r="U119" s="290" t="s">
        <v>25</v>
      </c>
      <c r="V119" s="290" t="s">
        <v>25</v>
      </c>
      <c r="W119" s="290" t="s">
        <v>25</v>
      </c>
      <c r="X119" s="290">
        <v>0.48221587933703403</v>
      </c>
      <c r="Y119" s="290" t="s">
        <v>25</v>
      </c>
      <c r="Z119" s="290" t="s">
        <v>25</v>
      </c>
      <c r="AA119" s="290">
        <v>0.25730217821597001</v>
      </c>
      <c r="AB119" s="291">
        <f t="shared" si="36"/>
        <v>94.719051635275662</v>
      </c>
      <c r="AC119" s="305"/>
      <c r="AD119" s="305"/>
      <c r="AE119" s="219">
        <f t="shared" si="38"/>
        <v>3.2589592381672228E-5</v>
      </c>
      <c r="AF119" s="255" t="s">
        <v>216</v>
      </c>
      <c r="AG119" s="255" t="s">
        <v>216</v>
      </c>
    </row>
    <row r="120" spans="1:33" s="255" customFormat="1">
      <c r="A120" s="156"/>
      <c r="B120" s="255" t="s">
        <v>410</v>
      </c>
      <c r="C120" s="255" t="s">
        <v>411</v>
      </c>
      <c r="D120" s="305">
        <v>440238.957636167</v>
      </c>
      <c r="E120" s="305">
        <v>555278.88006320898</v>
      </c>
      <c r="F120" s="305">
        <v>231.52059246734001</v>
      </c>
      <c r="G120" s="290">
        <v>0.79631972437815202</v>
      </c>
      <c r="H120" s="305">
        <v>2506.9817857787398</v>
      </c>
      <c r="I120" s="290" t="s">
        <v>25</v>
      </c>
      <c r="J120" s="305">
        <v>1529.31523243741</v>
      </c>
      <c r="K120" s="290">
        <v>3.1075669320628898</v>
      </c>
      <c r="L120" s="291">
        <v>63.068190173723004</v>
      </c>
      <c r="M120" s="290">
        <v>8.4308708953860292E-3</v>
      </c>
      <c r="N120" s="290" t="s">
        <v>25</v>
      </c>
      <c r="O120" s="290">
        <v>5.17392715596596E-2</v>
      </c>
      <c r="P120" s="290">
        <v>0.27948565877579601</v>
      </c>
      <c r="Q120" s="290">
        <v>0.380890976659707</v>
      </c>
      <c r="R120" s="291">
        <v>28.737816237832401</v>
      </c>
      <c r="S120" s="290" t="s">
        <v>25</v>
      </c>
      <c r="T120" s="290">
        <v>4.1759573550399196</v>
      </c>
      <c r="U120" s="290" t="s">
        <v>25</v>
      </c>
      <c r="V120" s="290" t="s">
        <v>25</v>
      </c>
      <c r="W120" s="290" t="s">
        <v>25</v>
      </c>
      <c r="X120" s="290">
        <v>0.14690896299347</v>
      </c>
      <c r="Y120" s="290">
        <v>0.1657558312638</v>
      </c>
      <c r="Z120" s="290" t="s">
        <v>25</v>
      </c>
      <c r="AA120" s="290">
        <v>9.9423260063619304E-2</v>
      </c>
      <c r="AB120" s="305">
        <f t="shared" si="36"/>
        <v>113.57930661174034</v>
      </c>
      <c r="AC120" s="305"/>
      <c r="AD120" s="305"/>
      <c r="AE120" s="219">
        <f t="shared" si="38"/>
        <v>3.3831659073452093E-5</v>
      </c>
      <c r="AF120" s="255">
        <v>3.35</v>
      </c>
      <c r="AG120" s="255">
        <v>0.09</v>
      </c>
    </row>
    <row r="121" spans="1:33" s="255" customFormat="1">
      <c r="A121" s="156"/>
      <c r="B121" s="255" t="s">
        <v>412</v>
      </c>
      <c r="C121" s="255" t="s">
        <v>413</v>
      </c>
      <c r="D121" s="305">
        <v>448811.76279456198</v>
      </c>
      <c r="E121" s="305">
        <v>541556.40071588894</v>
      </c>
      <c r="F121" s="305">
        <v>251.208314763744</v>
      </c>
      <c r="G121" s="290">
        <v>0.86795653247790305</v>
      </c>
      <c r="H121" s="305">
        <v>7597.3270548867504</v>
      </c>
      <c r="I121" s="290" t="s">
        <v>25</v>
      </c>
      <c r="J121" s="305">
        <v>1547.6246628251099</v>
      </c>
      <c r="K121" s="291">
        <v>12.170715536989499</v>
      </c>
      <c r="L121" s="305">
        <v>105.938311159104</v>
      </c>
      <c r="M121" s="290">
        <v>6.7469588011541803E-3</v>
      </c>
      <c r="N121" s="290" t="s">
        <v>25</v>
      </c>
      <c r="O121" s="290">
        <v>6.9280939942254302E-2</v>
      </c>
      <c r="P121" s="290">
        <v>5.1090123318346302E-2</v>
      </c>
      <c r="Q121" s="290">
        <v>0.39906218379907998</v>
      </c>
      <c r="R121" s="291">
        <v>12.2836110030131</v>
      </c>
      <c r="S121" s="290" t="s">
        <v>25</v>
      </c>
      <c r="T121" s="290">
        <v>0.447621089238397</v>
      </c>
      <c r="U121" s="290" t="s">
        <v>25</v>
      </c>
      <c r="V121" s="290" t="s">
        <v>25</v>
      </c>
      <c r="W121" s="290" t="s">
        <v>25</v>
      </c>
      <c r="X121" s="290">
        <v>0.117650313128322</v>
      </c>
      <c r="Y121" s="290" t="s">
        <v>25</v>
      </c>
      <c r="Z121" s="290" t="s">
        <v>25</v>
      </c>
      <c r="AA121" s="290" t="s">
        <v>25</v>
      </c>
      <c r="AB121" s="305">
        <f t="shared" si="36"/>
        <v>195.61824219797433</v>
      </c>
      <c r="AC121" s="305"/>
      <c r="AD121" s="305"/>
      <c r="AE121" s="219">
        <f t="shared" si="38"/>
        <v>4.4765983385005949E-5</v>
      </c>
      <c r="AF121" s="255" t="s">
        <v>216</v>
      </c>
      <c r="AG121" s="255" t="s">
        <v>216</v>
      </c>
    </row>
    <row r="122" spans="1:33" s="255" customFormat="1">
      <c r="A122" s="156"/>
      <c r="B122" s="255" t="s">
        <v>414</v>
      </c>
      <c r="C122" s="255" t="s">
        <v>415</v>
      </c>
      <c r="D122" s="305">
        <v>464111.21127469902</v>
      </c>
      <c r="E122" s="305">
        <v>534569.55169044004</v>
      </c>
      <c r="F122" s="305">
        <v>166.975199824231</v>
      </c>
      <c r="G122" s="290">
        <v>3.0101111206918598</v>
      </c>
      <c r="H122" s="305">
        <v>401.90250659678901</v>
      </c>
      <c r="I122" s="290" t="s">
        <v>25</v>
      </c>
      <c r="J122" s="305">
        <v>468.18475771245397</v>
      </c>
      <c r="K122" s="290">
        <v>0.20403778992164001</v>
      </c>
      <c r="L122" s="305">
        <v>230.55829140650999</v>
      </c>
      <c r="M122" s="249">
        <v>0.119643308963989</v>
      </c>
      <c r="N122" s="249">
        <v>3.9233880851771402E-2</v>
      </c>
      <c r="O122" s="290" t="s">
        <v>25</v>
      </c>
      <c r="P122" s="290">
        <v>0.23750002735192299</v>
      </c>
      <c r="Q122" s="290">
        <v>0.71019694005818701</v>
      </c>
      <c r="R122" s="291">
        <v>24.7848225392815</v>
      </c>
      <c r="S122" s="249" t="s">
        <v>25</v>
      </c>
      <c r="T122" s="290">
        <v>5.5648893656432499</v>
      </c>
      <c r="U122" s="290" t="s">
        <v>25</v>
      </c>
      <c r="V122" s="290" t="s">
        <v>25</v>
      </c>
      <c r="W122" s="290" t="s">
        <v>25</v>
      </c>
      <c r="X122" s="290">
        <v>0.37691540060772999</v>
      </c>
      <c r="Y122" s="290" t="s">
        <v>25</v>
      </c>
      <c r="Z122" s="290" t="s">
        <v>25</v>
      </c>
      <c r="AA122" s="290" t="s">
        <v>25</v>
      </c>
      <c r="AB122" s="305">
        <f t="shared" si="36"/>
        <v>431.29708880243578</v>
      </c>
      <c r="AC122" s="305"/>
      <c r="AD122" s="305"/>
      <c r="AE122" s="219"/>
      <c r="AF122" s="255" t="s">
        <v>216</v>
      </c>
      <c r="AG122" s="217"/>
    </row>
    <row r="123" spans="1:33" s="255" customFormat="1">
      <c r="A123" s="156"/>
      <c r="B123" s="255" t="s">
        <v>416</v>
      </c>
      <c r="C123" s="255" t="s">
        <v>417</v>
      </c>
      <c r="D123" s="305">
        <v>451719.974946348</v>
      </c>
      <c r="E123" s="305">
        <v>542656.89008902595</v>
      </c>
      <c r="F123" s="305">
        <v>3344.8705584258901</v>
      </c>
      <c r="G123" s="291">
        <v>31.178664320256701</v>
      </c>
      <c r="H123" s="305">
        <v>1257.27493970314</v>
      </c>
      <c r="I123" s="290">
        <v>0.62964436952774205</v>
      </c>
      <c r="J123" s="305">
        <v>240.67228012570399</v>
      </c>
      <c r="K123" s="290">
        <v>0.20876461420120199</v>
      </c>
      <c r="L123" s="305">
        <v>203.48757686936099</v>
      </c>
      <c r="M123" s="290">
        <v>0.59053631488355796</v>
      </c>
      <c r="N123" s="290">
        <v>0.15663242842588099</v>
      </c>
      <c r="O123" s="290">
        <v>1.13509403550499E-2</v>
      </c>
      <c r="P123" s="290">
        <v>1.7939309108061099</v>
      </c>
      <c r="Q123" s="290">
        <v>1.36475106668618</v>
      </c>
      <c r="R123" s="290">
        <v>6.6273075329020301</v>
      </c>
      <c r="S123" s="290">
        <v>0.120336783020021</v>
      </c>
      <c r="T123" s="290">
        <v>8.3842031331881</v>
      </c>
      <c r="U123" s="290" t="s">
        <v>25</v>
      </c>
      <c r="V123" s="290">
        <v>9.4712290746124597E-2</v>
      </c>
      <c r="W123" s="290">
        <v>1.4292510912643599</v>
      </c>
      <c r="X123" s="290">
        <v>2.3307710446694698</v>
      </c>
      <c r="Y123" s="290">
        <v>0.50790491089235301</v>
      </c>
      <c r="Z123" s="290">
        <v>0.17850967555953401</v>
      </c>
      <c r="AA123" s="290">
        <v>7.1092330659449698E-2</v>
      </c>
      <c r="AB123" s="305">
        <f t="shared" si="36"/>
        <v>374.98386288982289</v>
      </c>
      <c r="AC123" s="305"/>
      <c r="AD123" s="305">
        <f t="shared" ref="AD123:AD128" si="39">H123/I123</f>
        <v>1996.8016876671913</v>
      </c>
      <c r="AE123" s="219">
        <f t="shared" si="38"/>
        <v>4.7163472042236282E-5</v>
      </c>
      <c r="AF123" s="255" t="s">
        <v>216</v>
      </c>
      <c r="AG123" s="255" t="s">
        <v>216</v>
      </c>
    </row>
    <row r="124" spans="1:33" s="255" customFormat="1">
      <c r="A124" s="156"/>
      <c r="B124" s="255" t="s">
        <v>418</v>
      </c>
      <c r="C124" s="255" t="s">
        <v>419</v>
      </c>
      <c r="D124" s="305">
        <v>431762.07706833701</v>
      </c>
      <c r="E124" s="305">
        <v>559829.56047925097</v>
      </c>
      <c r="F124" s="305">
        <v>6512.9879981231798</v>
      </c>
      <c r="G124" s="291">
        <v>42.506396756544099</v>
      </c>
      <c r="H124" s="305">
        <v>297.69512441792898</v>
      </c>
      <c r="I124" s="290">
        <v>0.56148655232522704</v>
      </c>
      <c r="J124" s="305">
        <v>734.41824572704695</v>
      </c>
      <c r="K124" s="290">
        <v>0.54897868952698503</v>
      </c>
      <c r="L124" s="305">
        <v>320.76344478436698</v>
      </c>
      <c r="M124" s="290">
        <v>0.839830410861791</v>
      </c>
      <c r="N124" s="290">
        <v>0.104976822749463</v>
      </c>
      <c r="O124" s="290">
        <v>1.7995942979216299E-2</v>
      </c>
      <c r="P124" s="290">
        <v>3.1930378352557098</v>
      </c>
      <c r="Q124" s="290">
        <v>1.0620501643542899</v>
      </c>
      <c r="R124" s="290">
        <v>1.6328783110138301</v>
      </c>
      <c r="S124" s="290">
        <v>0.22610442960615801</v>
      </c>
      <c r="T124" s="290">
        <v>8.3336631300238704</v>
      </c>
      <c r="U124" s="290" t="s">
        <v>25</v>
      </c>
      <c r="V124" s="290">
        <v>0.15430787855873701</v>
      </c>
      <c r="W124" s="290">
        <v>6.4486813942472496</v>
      </c>
      <c r="X124" s="290">
        <v>0.638682817958107</v>
      </c>
      <c r="Y124" s="290">
        <v>9.9341499918828209</v>
      </c>
      <c r="Z124" s="290">
        <v>1.3970083495263101E-2</v>
      </c>
      <c r="AA124" s="290">
        <v>7.0015763934847597E-2</v>
      </c>
      <c r="AB124" s="305">
        <f t="shared" ref="AB124:AB153" si="40">L124/E124*1000000</f>
        <v>572.96625156730261</v>
      </c>
      <c r="AC124" s="305"/>
      <c r="AD124" s="305">
        <f t="shared" si="39"/>
        <v>530.19101380988468</v>
      </c>
      <c r="AE124" s="219">
        <f t="shared" si="38"/>
        <v>2.4503670876805327E-5</v>
      </c>
      <c r="AF124" s="255" t="s">
        <v>216</v>
      </c>
      <c r="AG124" s="255" t="s">
        <v>216</v>
      </c>
    </row>
    <row r="125" spans="1:33" s="255" customFormat="1">
      <c r="A125" s="156"/>
      <c r="B125" s="255" t="s">
        <v>420</v>
      </c>
      <c r="C125" s="255" t="s">
        <v>421</v>
      </c>
      <c r="D125" s="305">
        <v>417249.25759087998</v>
      </c>
      <c r="E125" s="305">
        <v>575555.19681849703</v>
      </c>
      <c r="F125" s="305">
        <v>5844.1574412072596</v>
      </c>
      <c r="G125" s="291">
        <v>87.502451497115501</v>
      </c>
      <c r="H125" s="305">
        <v>493.95958284579501</v>
      </c>
      <c r="I125" s="290">
        <v>0.376252908948845</v>
      </c>
      <c r="J125" s="305">
        <v>178.99964973888501</v>
      </c>
      <c r="K125" s="290">
        <v>0.20520779891284699</v>
      </c>
      <c r="L125" s="305">
        <v>253.03045696041801</v>
      </c>
      <c r="M125" s="290">
        <v>0.69621137478476103</v>
      </c>
      <c r="N125" s="290">
        <v>0.19894422982423701</v>
      </c>
      <c r="O125" s="290">
        <v>1.7542934181660998E-2</v>
      </c>
      <c r="P125" s="290">
        <v>3.1516447271551802</v>
      </c>
      <c r="Q125" s="290">
        <v>2.9791370036646501</v>
      </c>
      <c r="R125" s="290">
        <v>6.8197259990728201</v>
      </c>
      <c r="S125" s="290">
        <v>0.42261946877106599</v>
      </c>
      <c r="T125" s="290">
        <v>7.3553709438764701</v>
      </c>
      <c r="U125" s="290">
        <v>5.2523696949852802E-2</v>
      </c>
      <c r="V125" s="290">
        <v>5.2627307824492403E-2</v>
      </c>
      <c r="W125" s="290">
        <v>3.9083666160158201</v>
      </c>
      <c r="X125" s="290">
        <v>1.25303808588793</v>
      </c>
      <c r="Y125" s="290">
        <v>0.84914687212023099</v>
      </c>
      <c r="Z125" s="290">
        <v>5.76538508930853E-2</v>
      </c>
      <c r="AA125" s="290">
        <v>0.10519053608046899</v>
      </c>
      <c r="AB125" s="305">
        <f t="shared" si="40"/>
        <v>439.62848108938522</v>
      </c>
      <c r="AC125" s="305">
        <f>L125/U125</f>
        <v>4817.453295452523</v>
      </c>
      <c r="AD125" s="305">
        <f t="shared" si="39"/>
        <v>1312.8392395045996</v>
      </c>
      <c r="AE125" s="219">
        <f t="shared" si="38"/>
        <v>9.8005410665616836E-5</v>
      </c>
      <c r="AF125" s="255" t="s">
        <v>216</v>
      </c>
      <c r="AG125" s="255" t="s">
        <v>216</v>
      </c>
    </row>
    <row r="126" spans="1:33" s="255" customFormat="1">
      <c r="A126" s="156"/>
      <c r="B126" s="255" t="s">
        <v>422</v>
      </c>
      <c r="C126" s="255" t="s">
        <v>423</v>
      </c>
      <c r="D126" s="305">
        <v>455843.95932292199</v>
      </c>
      <c r="E126" s="305">
        <v>540717.28910410102</v>
      </c>
      <c r="F126" s="305">
        <v>1502.2888440732299</v>
      </c>
      <c r="G126" s="291">
        <v>11.6801535462938</v>
      </c>
      <c r="H126" s="305">
        <v>850.38639342176998</v>
      </c>
      <c r="I126" s="290">
        <v>0.118065731888612</v>
      </c>
      <c r="J126" s="305">
        <v>700.40036712306198</v>
      </c>
      <c r="K126" s="290">
        <v>0.44410695967789798</v>
      </c>
      <c r="L126" s="305">
        <v>215.59652850147</v>
      </c>
      <c r="M126" s="290">
        <v>0.451462301973029</v>
      </c>
      <c r="N126" s="290">
        <v>1.8555070755088599E-2</v>
      </c>
      <c r="O126" s="290">
        <v>1.38148228057812E-2</v>
      </c>
      <c r="P126" s="290">
        <v>1.0009110919114801</v>
      </c>
      <c r="Q126" s="290">
        <v>0.83862797118472499</v>
      </c>
      <c r="R126" s="290">
        <v>1.67285608033875</v>
      </c>
      <c r="S126" s="290">
        <v>8.7909749479342797E-2</v>
      </c>
      <c r="T126" s="290">
        <v>6.0415192904198998</v>
      </c>
      <c r="U126" s="290" t="s">
        <v>25</v>
      </c>
      <c r="V126" s="290">
        <v>3.33264981953958E-2</v>
      </c>
      <c r="W126" s="290">
        <v>0.59389160662505203</v>
      </c>
      <c r="X126" s="290">
        <v>0.17609353392806301</v>
      </c>
      <c r="Y126" s="290">
        <v>0.26494783681101097</v>
      </c>
      <c r="Z126" s="290">
        <v>1.19995112225585E-2</v>
      </c>
      <c r="AA126" s="290">
        <v>3.8701464294431602E-2</v>
      </c>
      <c r="AB126" s="305">
        <f t="shared" si="40"/>
        <v>398.72320128451179</v>
      </c>
      <c r="AC126" s="305"/>
      <c r="AD126" s="305">
        <f t="shared" si="39"/>
        <v>7202.6521143667578</v>
      </c>
      <c r="AE126" s="219">
        <f t="shared" si="38"/>
        <v>1.9724179846630352E-5</v>
      </c>
      <c r="AF126" s="255" t="s">
        <v>216</v>
      </c>
      <c r="AG126" s="255" t="s">
        <v>216</v>
      </c>
    </row>
    <row r="127" spans="1:33" s="255" customFormat="1">
      <c r="A127" s="156"/>
      <c r="B127" s="255" t="s">
        <v>424</v>
      </c>
      <c r="C127" s="255" t="s">
        <v>425</v>
      </c>
      <c r="D127" s="305">
        <v>439958.95377403998</v>
      </c>
      <c r="E127" s="305">
        <v>557177.15617750597</v>
      </c>
      <c r="F127" s="305">
        <v>783.25408365188798</v>
      </c>
      <c r="G127" s="291">
        <v>24.033527818294701</v>
      </c>
      <c r="H127" s="305">
        <v>933.60089962964798</v>
      </c>
      <c r="I127" s="290">
        <v>0.18257580724726999</v>
      </c>
      <c r="J127" s="305">
        <v>810.04248112762605</v>
      </c>
      <c r="K127" s="290">
        <v>0.287174954530592</v>
      </c>
      <c r="L127" s="305">
        <v>184.38541978162999</v>
      </c>
      <c r="M127" s="290">
        <v>0.157011942653977</v>
      </c>
      <c r="N127" s="290">
        <v>9.5960350670433195E-2</v>
      </c>
      <c r="O127" s="290">
        <v>1.0711199858053201E-2</v>
      </c>
      <c r="P127" s="290">
        <v>0.88970799625930197</v>
      </c>
      <c r="Q127" s="290">
        <v>1.60777647505312</v>
      </c>
      <c r="R127" s="290">
        <v>4.2138337968586299</v>
      </c>
      <c r="S127" s="290">
        <v>0.38942910149055299</v>
      </c>
      <c r="T127" s="290">
        <v>7.1749024662718899</v>
      </c>
      <c r="U127" s="290">
        <v>2.6124369600023799E-2</v>
      </c>
      <c r="V127" s="290" t="s">
        <v>25</v>
      </c>
      <c r="W127" s="290">
        <v>2.0385538120217301</v>
      </c>
      <c r="X127" s="290">
        <v>0.26564659164960602</v>
      </c>
      <c r="Y127" s="290">
        <v>0.13200390773037299</v>
      </c>
      <c r="Z127" s="290">
        <v>6.21704521375109E-2</v>
      </c>
      <c r="AA127" s="290">
        <v>0.104333632208031</v>
      </c>
      <c r="AB127" s="305">
        <f t="shared" si="40"/>
        <v>330.92781665099051</v>
      </c>
      <c r="AC127" s="305">
        <f>L127/U127</f>
        <v>7057.9854214534625</v>
      </c>
      <c r="AD127" s="305">
        <f t="shared" si="39"/>
        <v>5113.497312188978</v>
      </c>
      <c r="AE127" s="219">
        <f t="shared" si="38"/>
        <v>1.3223010036637325E-5</v>
      </c>
      <c r="AF127" s="255" t="s">
        <v>216</v>
      </c>
      <c r="AG127" s="255" t="s">
        <v>216</v>
      </c>
    </row>
    <row r="128" spans="1:33" s="255" customFormat="1">
      <c r="A128" s="156"/>
      <c r="B128" s="255" t="s">
        <v>426</v>
      </c>
      <c r="C128" s="255" t="s">
        <v>427</v>
      </c>
      <c r="D128" s="305">
        <v>450711.17646226898</v>
      </c>
      <c r="E128" s="305">
        <v>547294.55034972203</v>
      </c>
      <c r="F128" s="305">
        <v>712.28727965932399</v>
      </c>
      <c r="G128" s="305">
        <v>258.28272740425501</v>
      </c>
      <c r="H128" s="305">
        <v>526.89119185950506</v>
      </c>
      <c r="I128" s="290">
        <v>0.80583784273464099</v>
      </c>
      <c r="J128" s="305">
        <v>127.50992031557701</v>
      </c>
      <c r="K128" s="290">
        <v>0.29276989748594101</v>
      </c>
      <c r="L128" s="305">
        <v>236.03388611493</v>
      </c>
      <c r="M128" s="290">
        <v>0.18009995563019299</v>
      </c>
      <c r="N128" s="290">
        <v>8.6613969719875495E-3</v>
      </c>
      <c r="O128" s="290">
        <v>3.5495151632072501E-2</v>
      </c>
      <c r="P128" s="290">
        <v>1.96564512195964</v>
      </c>
      <c r="Q128" s="291">
        <v>12.834535354238101</v>
      </c>
      <c r="R128" s="291">
        <v>10.1550272632232</v>
      </c>
      <c r="S128" s="290">
        <v>0.90397551411349197</v>
      </c>
      <c r="T128" s="291">
        <v>20.863094928985198</v>
      </c>
      <c r="U128" s="290">
        <v>0.828643814397092</v>
      </c>
      <c r="V128" s="290" t="s">
        <v>25</v>
      </c>
      <c r="W128" s="290">
        <v>2.02053753149589</v>
      </c>
      <c r="X128" s="290">
        <v>0.72587689703346603</v>
      </c>
      <c r="Y128" s="290">
        <v>5.8410062234050403E-2</v>
      </c>
      <c r="Z128" s="290">
        <v>0.45555377151446502</v>
      </c>
      <c r="AA128" s="290">
        <v>0.135247192246852</v>
      </c>
      <c r="AB128" s="305">
        <f t="shared" si="40"/>
        <v>431.27395652689034</v>
      </c>
      <c r="AC128" s="305">
        <f>L128/U128</f>
        <v>284.84359867775578</v>
      </c>
      <c r="AD128" s="305">
        <f t="shared" si="39"/>
        <v>653.84270124555087</v>
      </c>
      <c r="AE128" s="219">
        <f t="shared" si="38"/>
        <v>2.7837168703599528E-4</v>
      </c>
      <c r="AF128" s="255" t="s">
        <v>216</v>
      </c>
      <c r="AG128" s="255" t="s">
        <v>216</v>
      </c>
    </row>
    <row r="129" spans="1:33" s="255" customFormat="1">
      <c r="A129" s="156"/>
      <c r="B129" s="255" t="s">
        <v>428</v>
      </c>
      <c r="C129" s="255" t="s">
        <v>429</v>
      </c>
      <c r="D129" s="305">
        <v>460431.88351322099</v>
      </c>
      <c r="E129" s="305">
        <v>536535.64796495496</v>
      </c>
      <c r="F129" s="305">
        <v>939.41168395218904</v>
      </c>
      <c r="G129" s="290">
        <v>5.7170593763109503</v>
      </c>
      <c r="H129" s="305">
        <v>633.97235939034204</v>
      </c>
      <c r="I129" s="290" t="s">
        <v>25</v>
      </c>
      <c r="J129" s="305">
        <v>1084.8716379657001</v>
      </c>
      <c r="K129" s="290">
        <v>0.53668041382869103</v>
      </c>
      <c r="L129" s="305">
        <v>301.14068274441303</v>
      </c>
      <c r="M129" s="290">
        <v>0.18228415254302499</v>
      </c>
      <c r="N129" s="290" t="s">
        <v>25</v>
      </c>
      <c r="O129" s="290">
        <v>2.1377304948050801E-2</v>
      </c>
      <c r="P129" s="290">
        <v>0.49137055986355599</v>
      </c>
      <c r="Q129" s="290">
        <v>0.64522303505562695</v>
      </c>
      <c r="R129" s="290">
        <v>0.20885977375855999</v>
      </c>
      <c r="S129" s="301" t="s">
        <v>25</v>
      </c>
      <c r="T129" s="290">
        <v>6.0866161929542502</v>
      </c>
      <c r="U129" s="290" t="s">
        <v>25</v>
      </c>
      <c r="V129" s="290">
        <v>6.8192586084693902E-3</v>
      </c>
      <c r="W129" s="290" t="s">
        <v>25</v>
      </c>
      <c r="X129" s="290">
        <v>0.133917670979874</v>
      </c>
      <c r="Y129" s="290">
        <v>2.5311488532251701E-2</v>
      </c>
      <c r="Z129" s="290" t="s">
        <v>25</v>
      </c>
      <c r="AA129" s="290" t="s">
        <v>25</v>
      </c>
      <c r="AB129" s="305">
        <f t="shared" si="40"/>
        <v>561.2687318850484</v>
      </c>
      <c r="AC129" s="305"/>
      <c r="AD129" s="305"/>
      <c r="AE129" s="219">
        <f t="shared" si="38"/>
        <v>1.9704916415859586E-5</v>
      </c>
      <c r="AF129" s="255" t="s">
        <v>216</v>
      </c>
      <c r="AG129" s="255" t="s">
        <v>216</v>
      </c>
    </row>
    <row r="130" spans="1:33" s="255" customFormat="1">
      <c r="A130" s="156"/>
      <c r="B130" s="255" t="s">
        <v>430</v>
      </c>
      <c r="C130" s="255" t="s">
        <v>431</v>
      </c>
      <c r="D130" s="305">
        <v>444069.08402390103</v>
      </c>
      <c r="E130" s="305">
        <v>554507.10992335796</v>
      </c>
      <c r="F130" s="305">
        <v>353.50893244918097</v>
      </c>
      <c r="G130" s="291">
        <v>27.214420820393102</v>
      </c>
      <c r="H130" s="305">
        <v>359.30801060528802</v>
      </c>
      <c r="I130" s="290" t="s">
        <v>25</v>
      </c>
      <c r="J130" s="305">
        <v>304.26913652565003</v>
      </c>
      <c r="K130" s="290">
        <v>0.202117577751806</v>
      </c>
      <c r="L130" s="305">
        <v>254.23337183473899</v>
      </c>
      <c r="M130" s="290">
        <v>0.83275074263835402</v>
      </c>
      <c r="N130" s="290">
        <v>8.9052642749253105E-2</v>
      </c>
      <c r="O130" s="290">
        <v>8.6769483326751707E-3</v>
      </c>
      <c r="P130" s="290">
        <v>0.45388886482840901</v>
      </c>
      <c r="Q130" s="290">
        <v>0.89889970472616798</v>
      </c>
      <c r="R130" s="290">
        <v>0.698216930998942</v>
      </c>
      <c r="S130" s="290">
        <v>0.156035592723161</v>
      </c>
      <c r="T130" s="290">
        <v>5.0397369740935103</v>
      </c>
      <c r="U130" s="290" t="s">
        <v>25</v>
      </c>
      <c r="V130" s="290" t="s">
        <v>25</v>
      </c>
      <c r="W130" s="290" t="s">
        <v>25</v>
      </c>
      <c r="X130" s="290">
        <v>0.16677623119322499</v>
      </c>
      <c r="Y130" s="290">
        <v>0.116484091840584</v>
      </c>
      <c r="Z130" s="290">
        <v>7.4650194354457296E-3</v>
      </c>
      <c r="AA130" s="290" t="s">
        <v>25</v>
      </c>
      <c r="AB130" s="305">
        <f t="shared" si="40"/>
        <v>458.48532378580006</v>
      </c>
      <c r="AC130" s="305"/>
      <c r="AD130" s="305"/>
      <c r="AE130" s="219">
        <f t="shared" si="38"/>
        <v>2.8517346293332319E-5</v>
      </c>
      <c r="AF130" s="255" t="s">
        <v>216</v>
      </c>
      <c r="AG130" s="255" t="s">
        <v>216</v>
      </c>
    </row>
    <row r="131" spans="1:33" s="255" customFormat="1">
      <c r="A131" s="156"/>
      <c r="B131" s="255" t="s">
        <v>432</v>
      </c>
      <c r="C131" s="255" t="s">
        <v>433</v>
      </c>
      <c r="D131" s="305">
        <v>466834.315771283</v>
      </c>
      <c r="E131" s="305">
        <v>529031.28267321596</v>
      </c>
      <c r="F131" s="305">
        <v>580.77338332000704</v>
      </c>
      <c r="G131" s="305">
        <v>997.21095190174697</v>
      </c>
      <c r="H131" s="305">
        <v>1300.8360249207601</v>
      </c>
      <c r="I131" s="290">
        <v>0.162509005414021</v>
      </c>
      <c r="J131" s="305">
        <v>734.81821037777399</v>
      </c>
      <c r="K131" s="290">
        <v>7.7581389644380501</v>
      </c>
      <c r="L131" s="291">
        <v>76.147415950494604</v>
      </c>
      <c r="M131" s="290">
        <v>3.5423148950182899E-2</v>
      </c>
      <c r="N131" s="290">
        <v>9.8852903069652304E-2</v>
      </c>
      <c r="O131" s="290">
        <v>0.57366865073290796</v>
      </c>
      <c r="P131" s="291">
        <v>12.741192965326899</v>
      </c>
      <c r="Q131" s="291">
        <v>43.528779800965701</v>
      </c>
      <c r="R131" s="291">
        <v>77.939878339614694</v>
      </c>
      <c r="S131" s="290">
        <v>2.9705139843439499</v>
      </c>
      <c r="T131" s="305">
        <v>130.14182672157099</v>
      </c>
      <c r="U131" s="290">
        <v>0.173748215087906</v>
      </c>
      <c r="V131" s="290">
        <v>1.8079329035493499E-2</v>
      </c>
      <c r="W131" s="291">
        <v>40.554182142801103</v>
      </c>
      <c r="X131" s="290">
        <v>2.1307978210845602</v>
      </c>
      <c r="Y131" s="290">
        <v>0.28739457843176103</v>
      </c>
      <c r="Z131" s="290" t="s">
        <v>25</v>
      </c>
      <c r="AA131" s="290" t="s">
        <v>25</v>
      </c>
      <c r="AB131" s="305">
        <f t="shared" si="40"/>
        <v>143.9374540683468</v>
      </c>
      <c r="AC131" s="305">
        <f>L131/U131</f>
        <v>438.2630112888852</v>
      </c>
      <c r="AD131" s="305">
        <f>H131/I131</f>
        <v>8004.7011647548134</v>
      </c>
      <c r="AE131" s="219">
        <f t="shared" si="38"/>
        <v>7.8069465703358364E-4</v>
      </c>
      <c r="AF131" s="255" t="s">
        <v>216</v>
      </c>
      <c r="AG131" s="255" t="s">
        <v>216</v>
      </c>
    </row>
    <row r="132" spans="1:33" s="255" customFormat="1">
      <c r="A132" s="156"/>
      <c r="B132" s="255" t="s">
        <v>434</v>
      </c>
      <c r="C132" s="255" t="s">
        <v>435</v>
      </c>
      <c r="D132" s="305">
        <v>446032.52915876202</v>
      </c>
      <c r="E132" s="305">
        <v>548216.00797157304</v>
      </c>
      <c r="F132" s="305">
        <v>2990.2343436629299</v>
      </c>
      <c r="G132" s="291">
        <v>53.027899922965403</v>
      </c>
      <c r="H132" s="305">
        <v>1703.7642657809499</v>
      </c>
      <c r="I132" s="290">
        <v>0.73548311582873105</v>
      </c>
      <c r="J132" s="305">
        <v>169.791792188801</v>
      </c>
      <c r="K132" s="290">
        <v>0.178026999051139</v>
      </c>
      <c r="L132" s="305">
        <v>273.59583037226503</v>
      </c>
      <c r="M132" s="290">
        <v>0.25650005658257602</v>
      </c>
      <c r="N132" s="290">
        <v>6.7629868946310401E-2</v>
      </c>
      <c r="O132" s="290">
        <v>1.6021530294610498E-2</v>
      </c>
      <c r="P132" s="290">
        <v>2.2333268847406602</v>
      </c>
      <c r="Q132" s="290">
        <v>9.1519772625221094</v>
      </c>
      <c r="R132" s="290">
        <v>5.5946553471854603</v>
      </c>
      <c r="S132" s="290">
        <v>0.133370824280623</v>
      </c>
      <c r="T132" s="291">
        <v>11.204598407542701</v>
      </c>
      <c r="U132" s="290">
        <v>0.24047400119555801</v>
      </c>
      <c r="V132" s="290">
        <v>0.70697127578073005</v>
      </c>
      <c r="W132" s="291">
        <v>15.2692470927947</v>
      </c>
      <c r="X132" s="290">
        <v>0.60691440393337703</v>
      </c>
      <c r="Y132" s="291">
        <v>20.8275012120362</v>
      </c>
      <c r="Z132" s="290">
        <v>0.26771895049664002</v>
      </c>
      <c r="AA132" s="290">
        <v>0.28722647476365898</v>
      </c>
      <c r="AB132" s="305">
        <f t="shared" si="40"/>
        <v>499.06574487779631</v>
      </c>
      <c r="AC132" s="305">
        <f>L132/U132</f>
        <v>1137.7355930871367</v>
      </c>
      <c r="AD132" s="305">
        <f>H132/I132</f>
        <v>2316.5239678699822</v>
      </c>
      <c r="AE132" s="219">
        <f t="shared" si="38"/>
        <v>9.4359863265918421E-5</v>
      </c>
      <c r="AF132" s="255" t="s">
        <v>216</v>
      </c>
      <c r="AG132" s="255" t="s">
        <v>216</v>
      </c>
    </row>
    <row r="133" spans="1:33" s="255" customFormat="1">
      <c r="A133" s="156"/>
      <c r="B133" s="255" t="s">
        <v>436</v>
      </c>
      <c r="C133" s="255" t="s">
        <v>437</v>
      </c>
      <c r="D133" s="305">
        <v>429944.61383028398</v>
      </c>
      <c r="E133" s="305">
        <v>563445.37848881702</v>
      </c>
      <c r="F133" s="305">
        <v>4508.5192100797103</v>
      </c>
      <c r="G133" s="291">
        <v>17.854899999312099</v>
      </c>
      <c r="H133" s="305">
        <v>869.68880007640098</v>
      </c>
      <c r="I133" s="290">
        <v>0.239725300659729</v>
      </c>
      <c r="J133" s="305">
        <v>392.001414367167</v>
      </c>
      <c r="K133" s="290">
        <v>0.138101245619036</v>
      </c>
      <c r="L133" s="305">
        <v>252.950535280564</v>
      </c>
      <c r="M133" s="290">
        <v>0.21337347512969501</v>
      </c>
      <c r="N133" s="290">
        <v>8.3399796588368699E-2</v>
      </c>
      <c r="O133" s="290">
        <v>2.2099678421843402E-2</v>
      </c>
      <c r="P133" s="290">
        <v>3.3629370057932699</v>
      </c>
      <c r="Q133" s="290">
        <v>0.90768528616527999</v>
      </c>
      <c r="R133" s="290">
        <v>5.3036640160518003</v>
      </c>
      <c r="S133" s="290">
        <v>0.13800239572736001</v>
      </c>
      <c r="T133" s="290">
        <v>4.4104142124056098</v>
      </c>
      <c r="U133" s="290">
        <v>1.4460633286000999E-2</v>
      </c>
      <c r="V133" s="290">
        <v>5.6954449226065199E-2</v>
      </c>
      <c r="W133" s="290">
        <v>3.1172080588218898</v>
      </c>
      <c r="X133" s="290">
        <v>0.96356106328838798</v>
      </c>
      <c r="Y133" s="290">
        <v>2.4127772755488501</v>
      </c>
      <c r="Z133" s="290">
        <v>4.6374860220732998E-2</v>
      </c>
      <c r="AA133" s="290">
        <v>0.16513799621893699</v>
      </c>
      <c r="AB133" s="305">
        <f t="shared" si="40"/>
        <v>448.93532707462685</v>
      </c>
      <c r="AC133" s="305">
        <f>L133/U133</f>
        <v>17492.355298535887</v>
      </c>
      <c r="AD133" s="305">
        <f>H133/I133</f>
        <v>3627.8557068569708</v>
      </c>
      <c r="AE133" s="219">
        <f t="shared" si="38"/>
        <v>5.6376527256975151E-5</v>
      </c>
      <c r="AF133" s="255" t="s">
        <v>216</v>
      </c>
      <c r="AG133" s="255" t="s">
        <v>216</v>
      </c>
    </row>
    <row r="134" spans="1:33" s="255" customFormat="1">
      <c r="A134" s="156"/>
      <c r="B134" s="255" t="s">
        <v>438</v>
      </c>
      <c r="C134" s="255" t="s">
        <v>439</v>
      </c>
      <c r="D134" s="305">
        <v>450942.93442767998</v>
      </c>
      <c r="E134" s="305">
        <v>547845.08501505502</v>
      </c>
      <c r="F134" s="305">
        <v>160.50378186895</v>
      </c>
      <c r="G134" s="291">
        <v>16.295075627166</v>
      </c>
      <c r="H134" s="305">
        <v>322.90551327304701</v>
      </c>
      <c r="I134" s="290" t="s">
        <v>25</v>
      </c>
      <c r="J134" s="305">
        <v>395.48713811963398</v>
      </c>
      <c r="K134" s="290">
        <v>0.127639347978759</v>
      </c>
      <c r="L134" s="305">
        <v>218.82965831762999</v>
      </c>
      <c r="M134" s="290">
        <v>0.403909688187986</v>
      </c>
      <c r="N134" s="290">
        <v>3.5258428120533397E-2</v>
      </c>
      <c r="O134" s="290">
        <v>7.0404248101752697E-3</v>
      </c>
      <c r="P134" s="290">
        <v>0.27406499602142798</v>
      </c>
      <c r="Q134" s="290">
        <v>0.45936624783784302</v>
      </c>
      <c r="R134" s="290">
        <v>4.3960024025351903</v>
      </c>
      <c r="S134" s="301" t="s">
        <v>25</v>
      </c>
      <c r="T134" s="290">
        <v>4.1766940215049901</v>
      </c>
      <c r="U134" s="290" t="s">
        <v>25</v>
      </c>
      <c r="V134" s="290" t="s">
        <v>25</v>
      </c>
      <c r="W134" s="290" t="s">
        <v>25</v>
      </c>
      <c r="X134" s="290">
        <v>0.24371430556887899</v>
      </c>
      <c r="Y134" s="290">
        <v>3.6956754705422402E-2</v>
      </c>
      <c r="Z134" s="290">
        <v>1.42174577204465E-2</v>
      </c>
      <c r="AA134" s="290" t="s">
        <v>25</v>
      </c>
      <c r="AB134" s="305">
        <f t="shared" si="40"/>
        <v>399.43711151778689</v>
      </c>
      <c r="AC134" s="305"/>
      <c r="AD134" s="305"/>
      <c r="AE134" s="219">
        <f t="shared" si="38"/>
        <v>1.7801905881565122E-5</v>
      </c>
      <c r="AF134" s="255" t="s">
        <v>216</v>
      </c>
      <c r="AG134" s="255" t="s">
        <v>216</v>
      </c>
    </row>
    <row r="135" spans="1:33" s="255" customFormat="1">
      <c r="A135" s="156"/>
      <c r="B135" s="255" t="s">
        <v>440</v>
      </c>
      <c r="C135" s="255" t="s">
        <v>441</v>
      </c>
      <c r="D135" s="305">
        <v>463435.92463787697</v>
      </c>
      <c r="E135" s="305">
        <v>534426.23532371398</v>
      </c>
      <c r="F135" s="305">
        <v>488.96193961569298</v>
      </c>
      <c r="G135" s="291">
        <v>54.0734903533032</v>
      </c>
      <c r="H135" s="305">
        <v>283.03876374924602</v>
      </c>
      <c r="I135" s="290">
        <v>0.82350169929392303</v>
      </c>
      <c r="J135" s="305">
        <v>353.23661278002101</v>
      </c>
      <c r="K135" s="290">
        <v>2.0851019554893999</v>
      </c>
      <c r="L135" s="291">
        <v>12.931311732287901</v>
      </c>
      <c r="M135" s="290">
        <v>6.2923082258504098E-2</v>
      </c>
      <c r="N135" s="290">
        <v>4.1314426614441402E-2</v>
      </c>
      <c r="O135" s="290">
        <v>4.4300856783927797E-2</v>
      </c>
      <c r="P135" s="290">
        <v>0.63223369545577102</v>
      </c>
      <c r="Q135" s="305">
        <v>108.126394804106</v>
      </c>
      <c r="R135" s="291">
        <v>70.937783997547299</v>
      </c>
      <c r="S135" s="290">
        <v>0.14466599023523</v>
      </c>
      <c r="T135" s="305">
        <v>362.05831561817899</v>
      </c>
      <c r="U135" s="290">
        <v>2.0734578686839602</v>
      </c>
      <c r="V135" s="290">
        <v>1.23314544633151E-2</v>
      </c>
      <c r="W135" s="290">
        <v>1.38550199713415</v>
      </c>
      <c r="X135" s="290">
        <v>4.7225410316496399</v>
      </c>
      <c r="Y135" s="290">
        <v>0.12980646482794</v>
      </c>
      <c r="Z135" s="290">
        <v>7.3190740844353598E-3</v>
      </c>
      <c r="AA135" s="290">
        <v>9.2268780550649604E-2</v>
      </c>
      <c r="AB135" s="291">
        <f t="shared" si="40"/>
        <v>24.196625984229826</v>
      </c>
      <c r="AC135" s="290">
        <f>L135/U135</f>
        <v>6.2365924707674454</v>
      </c>
      <c r="AD135" s="305">
        <f t="shared" ref="AD135:AD140" si="41">H135/I135</f>
        <v>343.70149325972943</v>
      </c>
      <c r="AE135" s="219">
        <f t="shared" si="38"/>
        <v>1.2541411388608312E-4</v>
      </c>
      <c r="AF135" s="255" t="s">
        <v>216</v>
      </c>
      <c r="AG135" s="255" t="s">
        <v>216</v>
      </c>
    </row>
    <row r="136" spans="1:33" s="255" customFormat="1">
      <c r="A136" s="156"/>
      <c r="B136" s="255" t="s">
        <v>442</v>
      </c>
      <c r="C136" s="255" t="s">
        <v>443</v>
      </c>
      <c r="D136" s="305">
        <v>438432.69291611097</v>
      </c>
      <c r="E136" s="305">
        <v>552497.72369966703</v>
      </c>
      <c r="F136" s="305">
        <v>335.31814213240801</v>
      </c>
      <c r="G136" s="305">
        <v>6791.5039731059296</v>
      </c>
      <c r="H136" s="305">
        <v>224.60299848915901</v>
      </c>
      <c r="I136" s="290">
        <v>1.1340215715077899</v>
      </c>
      <c r="J136" s="305">
        <v>709.93978948734696</v>
      </c>
      <c r="K136" s="290">
        <v>7.3555244944911502</v>
      </c>
      <c r="L136" s="290">
        <v>9.4675499761753805</v>
      </c>
      <c r="M136" s="290">
        <v>2.8824759833045902E-2</v>
      </c>
      <c r="N136" s="290">
        <v>7.3471677744437899E-2</v>
      </c>
      <c r="O136" s="290">
        <v>0.97891876746779205</v>
      </c>
      <c r="P136" s="291">
        <v>12.8118847790878</v>
      </c>
      <c r="Q136" s="291">
        <v>97.581232283989394</v>
      </c>
      <c r="R136" s="291">
        <v>64.194754611000405</v>
      </c>
      <c r="S136" s="290">
        <v>3.6644472769887102</v>
      </c>
      <c r="T136" s="305">
        <v>530.30859467672997</v>
      </c>
      <c r="U136" s="290">
        <v>3.7612235955865798</v>
      </c>
      <c r="V136" s="290">
        <v>3.6488294476236298E-2</v>
      </c>
      <c r="W136" s="290">
        <v>1.82121008422621</v>
      </c>
      <c r="X136" s="290">
        <v>1.6695955643206499</v>
      </c>
      <c r="Y136" s="290">
        <v>0.30298884605458698</v>
      </c>
      <c r="Z136" s="290" t="s">
        <v>25</v>
      </c>
      <c r="AA136" s="290" t="s">
        <v>25</v>
      </c>
      <c r="AB136" s="291">
        <f t="shared" si="40"/>
        <v>17.135907660900806</v>
      </c>
      <c r="AC136" s="290">
        <f>L136/U136</f>
        <v>2.5171462784835779</v>
      </c>
      <c r="AD136" s="305">
        <f t="shared" si="41"/>
        <v>198.0588413239158</v>
      </c>
      <c r="AE136" s="219">
        <f t="shared" si="38"/>
        <v>1.3788757609637247E-3</v>
      </c>
      <c r="AF136" s="217">
        <v>3.54</v>
      </c>
      <c r="AG136" s="217">
        <v>0.08</v>
      </c>
    </row>
    <row r="137" spans="1:33" s="255" customFormat="1">
      <c r="A137" s="156"/>
      <c r="B137" s="255" t="s">
        <v>444</v>
      </c>
      <c r="C137" s="255" t="s">
        <v>445</v>
      </c>
      <c r="D137" s="305">
        <v>449095.45824700198</v>
      </c>
      <c r="E137" s="305">
        <v>549077.41124796402</v>
      </c>
      <c r="F137" s="305">
        <v>919.43580759571398</v>
      </c>
      <c r="G137" s="290">
        <v>3.63048946987904</v>
      </c>
      <c r="H137" s="305">
        <v>212.511592027489</v>
      </c>
      <c r="I137" s="290">
        <v>0.128133129819095</v>
      </c>
      <c r="J137" s="305">
        <v>355.75390959415699</v>
      </c>
      <c r="K137" s="290">
        <v>7.2961874102079105E-2</v>
      </c>
      <c r="L137" s="305">
        <v>264.500875830751</v>
      </c>
      <c r="M137" s="290">
        <v>9.0421796619717304E-2</v>
      </c>
      <c r="N137" s="290">
        <v>1.0466776191829201E-2</v>
      </c>
      <c r="O137" s="290" t="s">
        <v>25</v>
      </c>
      <c r="P137" s="290">
        <v>0.25508647366007697</v>
      </c>
      <c r="Q137" s="290">
        <v>0.419404575572975</v>
      </c>
      <c r="R137" s="290">
        <v>1.4809094116838499</v>
      </c>
      <c r="S137" s="301" t="s">
        <v>25</v>
      </c>
      <c r="T137" s="290">
        <v>3.7027520094855202</v>
      </c>
      <c r="U137" s="290" t="s">
        <v>25</v>
      </c>
      <c r="V137" s="290">
        <v>6.2224650694812297E-3</v>
      </c>
      <c r="W137" s="290" t="s">
        <v>25</v>
      </c>
      <c r="X137" s="290">
        <v>0.29047212842709802</v>
      </c>
      <c r="Y137" s="290" t="s">
        <v>25</v>
      </c>
      <c r="Z137" s="290">
        <v>2.30924776678447E-2</v>
      </c>
      <c r="AA137" s="290">
        <v>6.0991253501551997E-2</v>
      </c>
      <c r="AB137" s="305">
        <f t="shared" si="40"/>
        <v>481.71873475833462</v>
      </c>
      <c r="AC137" s="290"/>
      <c r="AD137" s="305">
        <f t="shared" si="41"/>
        <v>1658.5218227910602</v>
      </c>
      <c r="AE137" s="219"/>
      <c r="AF137" s="217"/>
      <c r="AG137" s="217"/>
    </row>
    <row r="138" spans="1:33" s="255" customFormat="1">
      <c r="A138" s="156"/>
      <c r="B138" s="255" t="s">
        <v>446</v>
      </c>
      <c r="C138" s="255" t="s">
        <v>447</v>
      </c>
      <c r="D138" s="305">
        <v>453887.937839992</v>
      </c>
      <c r="E138" s="305">
        <v>537412.80923908204</v>
      </c>
      <c r="F138" s="305">
        <v>1695.02005925198</v>
      </c>
      <c r="G138" s="305">
        <v>4756.8860089530899</v>
      </c>
      <c r="H138" s="305">
        <v>283.64429485788497</v>
      </c>
      <c r="I138" s="290">
        <v>0.66639613776425599</v>
      </c>
      <c r="J138" s="305">
        <v>232.37299291695999</v>
      </c>
      <c r="K138" s="290">
        <v>4.3719371632262396</v>
      </c>
      <c r="L138" s="291">
        <v>15.6331241086194</v>
      </c>
      <c r="M138" s="290">
        <v>0.14166083369162799</v>
      </c>
      <c r="N138" s="290">
        <v>8.3822950748104405E-2</v>
      </c>
      <c r="O138" s="290">
        <v>0.26380688104428901</v>
      </c>
      <c r="P138" s="291">
        <v>12.6222797445834</v>
      </c>
      <c r="Q138" s="305">
        <v>143.12820896356101</v>
      </c>
      <c r="R138" s="291">
        <v>42.877440539930298</v>
      </c>
      <c r="S138" s="290">
        <v>4.2495124886946698</v>
      </c>
      <c r="T138" s="305">
        <v>357.30030761629098</v>
      </c>
      <c r="U138" s="290">
        <v>4.9471566969174301</v>
      </c>
      <c r="V138" s="290">
        <v>6.7313802520544794E-2</v>
      </c>
      <c r="W138" s="291">
        <v>11.0195920348529</v>
      </c>
      <c r="X138" s="290">
        <v>9.2190652080472901</v>
      </c>
      <c r="Y138" s="290">
        <v>0.187418968172398</v>
      </c>
      <c r="Z138" s="290">
        <v>7.4791875154178594E-2</v>
      </c>
      <c r="AA138" s="290">
        <v>0.106771471240281</v>
      </c>
      <c r="AB138" s="291">
        <f t="shared" si="40"/>
        <v>29.089600842886867</v>
      </c>
      <c r="AC138" s="290">
        <f>L138/U138</f>
        <v>3.1600220220152697</v>
      </c>
      <c r="AD138" s="305">
        <f t="shared" si="41"/>
        <v>425.63916383054857</v>
      </c>
      <c r="AE138" s="219">
        <f>O138/J138</f>
        <v>1.1352734142326174E-3</v>
      </c>
      <c r="AF138" s="255" t="s">
        <v>216</v>
      </c>
      <c r="AG138" s="255" t="s">
        <v>216</v>
      </c>
    </row>
    <row r="139" spans="1:33" s="255" customFormat="1">
      <c r="A139" s="156"/>
      <c r="B139" s="255" t="s">
        <v>448</v>
      </c>
      <c r="C139" s="255" t="s">
        <v>449</v>
      </c>
      <c r="D139" s="305">
        <v>476794.51805493602</v>
      </c>
      <c r="E139" s="305">
        <v>522066.99586045399</v>
      </c>
      <c r="F139" s="305">
        <v>281.51112415769899</v>
      </c>
      <c r="G139" s="290">
        <v>1.0330113928536599</v>
      </c>
      <c r="H139" s="305">
        <v>344.301649989243</v>
      </c>
      <c r="I139" s="290">
        <v>0.112743926110526</v>
      </c>
      <c r="J139" s="305">
        <v>181.25436247929099</v>
      </c>
      <c r="K139" s="290" t="s">
        <v>25</v>
      </c>
      <c r="L139" s="305">
        <v>204.06131422911901</v>
      </c>
      <c r="M139" s="290">
        <v>3.3269057502280999E-2</v>
      </c>
      <c r="N139" s="290" t="s">
        <v>25</v>
      </c>
      <c r="O139" s="290" t="s">
        <v>25</v>
      </c>
      <c r="P139" s="290">
        <v>0.15552205763681101</v>
      </c>
      <c r="Q139" s="290">
        <v>0.76419365469080802</v>
      </c>
      <c r="R139" s="291">
        <v>11.0638014300514</v>
      </c>
      <c r="S139" s="290">
        <v>7.1730534197103707E-2</v>
      </c>
      <c r="T139" s="290">
        <v>2.9621472607538601</v>
      </c>
      <c r="U139" s="290" t="s">
        <v>25</v>
      </c>
      <c r="V139" s="290">
        <v>1.12039032226276E-2</v>
      </c>
      <c r="W139" s="290" t="s">
        <v>25</v>
      </c>
      <c r="X139" s="290">
        <v>0.57879971801713304</v>
      </c>
      <c r="Y139" s="290" t="s">
        <v>25</v>
      </c>
      <c r="Z139" s="290" t="s">
        <v>25</v>
      </c>
      <c r="AA139" s="290" t="s">
        <v>25</v>
      </c>
      <c r="AB139" s="305">
        <f t="shared" si="40"/>
        <v>390.87189162914183</v>
      </c>
      <c r="AC139" s="305"/>
      <c r="AD139" s="305">
        <f t="shared" si="41"/>
        <v>3053.8376821445313</v>
      </c>
      <c r="AE139" s="219"/>
      <c r="AF139" s="255" t="s">
        <v>216</v>
      </c>
      <c r="AG139" s="255" t="s">
        <v>216</v>
      </c>
    </row>
    <row r="140" spans="1:33" s="255" customFormat="1">
      <c r="A140" s="156"/>
      <c r="B140" s="255" t="s">
        <v>450</v>
      </c>
      <c r="C140" s="255" t="s">
        <v>451</v>
      </c>
      <c r="D140" s="305">
        <v>489555.226109254</v>
      </c>
      <c r="E140" s="305">
        <v>508194.66198797303</v>
      </c>
      <c r="F140" s="305">
        <v>778.64762698891695</v>
      </c>
      <c r="G140" s="290">
        <v>2.4982117811907201</v>
      </c>
      <c r="H140" s="305">
        <v>1033.3978850134999</v>
      </c>
      <c r="I140" s="290">
        <v>0.14223950955009901</v>
      </c>
      <c r="J140" s="305">
        <v>208.976131330931</v>
      </c>
      <c r="K140" s="290">
        <v>9.4569617577311901E-2</v>
      </c>
      <c r="L140" s="305">
        <v>143.229815442708</v>
      </c>
      <c r="M140" s="290">
        <v>7.5985755241174693E-2</v>
      </c>
      <c r="N140" s="290">
        <v>9.4546392096435894E-2</v>
      </c>
      <c r="O140" s="290" t="s">
        <v>25</v>
      </c>
      <c r="P140" s="290">
        <v>0.36117727889307999</v>
      </c>
      <c r="Q140" s="290">
        <v>0.49684368288709102</v>
      </c>
      <c r="R140" s="290">
        <v>6.8308593118621896</v>
      </c>
      <c r="S140" s="290">
        <v>0.119283203622992</v>
      </c>
      <c r="T140" s="290">
        <v>3.31921288164768</v>
      </c>
      <c r="U140" s="290">
        <v>1.5585861187420001E-2</v>
      </c>
      <c r="V140" s="290" t="s">
        <v>25</v>
      </c>
      <c r="W140" s="290" t="s">
        <v>25</v>
      </c>
      <c r="X140" s="290">
        <v>0.45504484821322799</v>
      </c>
      <c r="Y140" s="290">
        <v>0.143919240989205</v>
      </c>
      <c r="Z140" s="290" t="s">
        <v>25</v>
      </c>
      <c r="AA140" s="290" t="s">
        <v>25</v>
      </c>
      <c r="AB140" s="305">
        <f t="shared" si="40"/>
        <v>281.84045633698071</v>
      </c>
      <c r="AC140" s="305">
        <f>L140/U140</f>
        <v>9189.7273894826394</v>
      </c>
      <c r="AD140" s="305">
        <f t="shared" si="41"/>
        <v>7265.1957833805718</v>
      </c>
      <c r="AE140" s="219"/>
      <c r="AF140" s="255" t="s">
        <v>216</v>
      </c>
      <c r="AG140" s="255" t="s">
        <v>216</v>
      </c>
    </row>
    <row r="141" spans="1:33" s="255" customFormat="1">
      <c r="A141" s="156"/>
      <c r="B141" s="255" t="s">
        <v>452</v>
      </c>
      <c r="C141" s="255" t="s">
        <v>453</v>
      </c>
      <c r="D141" s="305">
        <v>462674.31412459299</v>
      </c>
      <c r="E141" s="305">
        <v>536618.66336989601</v>
      </c>
      <c r="F141" s="290">
        <v>5.8472026367978298</v>
      </c>
      <c r="G141" s="290">
        <v>0.46237981532950401</v>
      </c>
      <c r="H141" s="305">
        <v>158.82270989</v>
      </c>
      <c r="I141" s="290" t="s">
        <v>25</v>
      </c>
      <c r="J141" s="305">
        <v>232.752551283987</v>
      </c>
      <c r="K141" s="290" t="s">
        <v>25</v>
      </c>
      <c r="L141" s="305">
        <v>196.160720481217</v>
      </c>
      <c r="M141" s="290" t="s">
        <v>25</v>
      </c>
      <c r="N141" s="290">
        <v>1.8728614314721E-2</v>
      </c>
      <c r="O141" s="290" t="s">
        <v>25</v>
      </c>
      <c r="P141" s="290">
        <v>1.82180109043448E-2</v>
      </c>
      <c r="Q141" s="290">
        <v>0.58930307890919598</v>
      </c>
      <c r="R141" s="291">
        <v>11.9420501121666</v>
      </c>
      <c r="S141" s="290" t="s">
        <v>25</v>
      </c>
      <c r="T141" s="290">
        <v>0.27841034266186798</v>
      </c>
      <c r="U141" s="290" t="s">
        <v>25</v>
      </c>
      <c r="V141" s="290" t="s">
        <v>25</v>
      </c>
      <c r="W141" s="290" t="s">
        <v>25</v>
      </c>
      <c r="X141" s="290">
        <v>0.47536238936802599</v>
      </c>
      <c r="Y141" s="290" t="s">
        <v>25</v>
      </c>
      <c r="Z141" s="290" t="s">
        <v>25</v>
      </c>
      <c r="AA141" s="290">
        <v>6.2948191816308396E-2</v>
      </c>
      <c r="AB141" s="305">
        <f t="shared" si="40"/>
        <v>365.54956782410989</v>
      </c>
      <c r="AC141" s="305"/>
      <c r="AD141" s="305"/>
      <c r="AE141" s="219"/>
      <c r="AF141" s="255" t="s">
        <v>216</v>
      </c>
      <c r="AG141" s="255" t="s">
        <v>216</v>
      </c>
    </row>
    <row r="142" spans="1:33" s="255" customFormat="1">
      <c r="A142" s="156"/>
      <c r="B142" s="255" t="s">
        <v>454</v>
      </c>
      <c r="C142" s="255" t="s">
        <v>455</v>
      </c>
      <c r="D142" s="305">
        <v>483000.30908642203</v>
      </c>
      <c r="E142" s="305">
        <v>514875.377640386</v>
      </c>
      <c r="F142" s="305">
        <v>1140.9139343105901</v>
      </c>
      <c r="G142" s="290">
        <v>2.7707991250077901</v>
      </c>
      <c r="H142" s="305">
        <v>358.42177471586803</v>
      </c>
      <c r="I142" s="290" t="s">
        <v>25</v>
      </c>
      <c r="J142" s="305">
        <v>316.98828658420001</v>
      </c>
      <c r="K142" s="290" t="s">
        <v>25</v>
      </c>
      <c r="L142" s="305">
        <v>160.79780342965299</v>
      </c>
      <c r="M142" s="290">
        <v>0.12695943437527099</v>
      </c>
      <c r="N142" s="290" t="s">
        <v>25</v>
      </c>
      <c r="O142" s="290" t="s">
        <v>25</v>
      </c>
      <c r="P142" s="290">
        <v>0.39358834366187601</v>
      </c>
      <c r="Q142" s="290">
        <v>0.54990125980354099</v>
      </c>
      <c r="R142" s="291">
        <v>12.4324655468517</v>
      </c>
      <c r="S142" s="290" t="s">
        <v>25</v>
      </c>
      <c r="T142" s="290">
        <v>3.8680431547535798</v>
      </c>
      <c r="U142" s="290" t="s">
        <v>25</v>
      </c>
      <c r="V142" s="290">
        <v>3.08084715391428E-2</v>
      </c>
      <c r="W142" s="290" t="s">
        <v>25</v>
      </c>
      <c r="X142" s="290">
        <v>0.63268998820503497</v>
      </c>
      <c r="Y142" s="290">
        <v>4.5940895057168002E-2</v>
      </c>
      <c r="Z142" s="290" t="s">
        <v>25</v>
      </c>
      <c r="AA142" s="290" t="s">
        <v>25</v>
      </c>
      <c r="AB142" s="305">
        <f t="shared" si="40"/>
        <v>312.30431753518809</v>
      </c>
      <c r="AC142" s="305"/>
      <c r="AD142" s="305"/>
      <c r="AE142" s="219"/>
      <c r="AF142" s="255" t="s">
        <v>216</v>
      </c>
      <c r="AG142" s="255" t="s">
        <v>216</v>
      </c>
    </row>
    <row r="143" spans="1:33" s="255" customFormat="1">
      <c r="A143" s="156"/>
      <c r="B143" s="255" t="s">
        <v>456</v>
      </c>
      <c r="C143" s="255" t="s">
        <v>457</v>
      </c>
      <c r="D143" s="305">
        <v>482507.86435821198</v>
      </c>
      <c r="E143" s="305">
        <v>515257.55757784098</v>
      </c>
      <c r="F143" s="305">
        <v>596.08717906874904</v>
      </c>
      <c r="G143" s="290">
        <v>4.4899067415645799</v>
      </c>
      <c r="H143" s="305">
        <v>1031.37116223462</v>
      </c>
      <c r="I143" s="290">
        <v>0.41239542483004998</v>
      </c>
      <c r="J143" s="305">
        <v>269.98854200995402</v>
      </c>
      <c r="K143" s="290">
        <v>5.0237873667779299E-2</v>
      </c>
      <c r="L143" s="305">
        <v>175.11455894407899</v>
      </c>
      <c r="M143" s="290">
        <v>0.150326182002155</v>
      </c>
      <c r="N143" s="290" t="s">
        <v>25</v>
      </c>
      <c r="O143" s="290">
        <v>9.1575426744295498E-3</v>
      </c>
      <c r="P143" s="290">
        <v>0.30596411153282799</v>
      </c>
      <c r="Q143" s="290">
        <v>1.1921408150027499</v>
      </c>
      <c r="R143" s="290">
        <v>4.9131329656089999</v>
      </c>
      <c r="S143" s="290">
        <v>6.0152416884920998E-2</v>
      </c>
      <c r="T143" s="290">
        <v>4.78452026406186</v>
      </c>
      <c r="U143" s="290">
        <v>3.4347332617099498E-2</v>
      </c>
      <c r="V143" s="290" t="s">
        <v>25</v>
      </c>
      <c r="W143" s="290">
        <v>0.60252309205031995</v>
      </c>
      <c r="X143" s="290">
        <v>0.58891117553683403</v>
      </c>
      <c r="Y143" s="290" t="s">
        <v>25</v>
      </c>
      <c r="Z143" s="290" t="s">
        <v>25</v>
      </c>
      <c r="AA143" s="290" t="s">
        <v>25</v>
      </c>
      <c r="AB143" s="305">
        <f t="shared" si="40"/>
        <v>339.85830264629175</v>
      </c>
      <c r="AC143" s="305">
        <f>L143/U143</f>
        <v>5098.3452163880656</v>
      </c>
      <c r="AD143" s="305">
        <f t="shared" ref="AD143:AD149" si="42">H143/I143</f>
        <v>2500.9277507374209</v>
      </c>
      <c r="AE143" s="219">
        <f>O143/J143</f>
        <v>3.3918264109489232E-5</v>
      </c>
      <c r="AF143" s="255">
        <v>4.37</v>
      </c>
      <c r="AG143" s="255">
        <v>0.09</v>
      </c>
    </row>
    <row r="144" spans="1:33" s="255" customFormat="1">
      <c r="B144" s="255" t="s">
        <v>458</v>
      </c>
      <c r="C144" s="255" t="s">
        <v>459</v>
      </c>
      <c r="D144" s="305">
        <v>498476.90273206797</v>
      </c>
      <c r="E144" s="305">
        <v>496747.05355738901</v>
      </c>
      <c r="F144" s="305">
        <v>1362.1023618950001</v>
      </c>
      <c r="G144" s="305">
        <v>1899.8478123560401</v>
      </c>
      <c r="H144" s="305">
        <v>527.352278759358</v>
      </c>
      <c r="I144" s="290">
        <v>0.211621967830177</v>
      </c>
      <c r="J144" s="305">
        <v>170.94482448337999</v>
      </c>
      <c r="K144" s="290">
        <v>3.3048012859533999</v>
      </c>
      <c r="L144" s="305">
        <v>128.38606415018</v>
      </c>
      <c r="M144" s="290">
        <v>0.97086598585914197</v>
      </c>
      <c r="N144" s="290">
        <v>0.101877341436689</v>
      </c>
      <c r="O144" s="290">
        <v>9.2143249822007098E-2</v>
      </c>
      <c r="P144" s="291">
        <v>48.0946617656585</v>
      </c>
      <c r="Q144" s="291">
        <v>50.391693100247402</v>
      </c>
      <c r="R144" s="305">
        <v>101.499787620116</v>
      </c>
      <c r="S144" s="290">
        <v>1.68382929247812</v>
      </c>
      <c r="T144" s="305">
        <v>451.21851696764702</v>
      </c>
      <c r="U144" s="290">
        <v>1.16989462014805</v>
      </c>
      <c r="V144" s="290" t="s">
        <v>25</v>
      </c>
      <c r="W144" s="290" t="s">
        <v>25</v>
      </c>
      <c r="X144" s="290">
        <v>0.79567842660215204</v>
      </c>
      <c r="Y144" s="290">
        <v>1.06360650510741E-2</v>
      </c>
      <c r="Z144" s="290" t="s">
        <v>25</v>
      </c>
      <c r="AA144" s="290" t="s">
        <v>25</v>
      </c>
      <c r="AB144" s="305">
        <f t="shared" si="40"/>
        <v>258.45359973604275</v>
      </c>
      <c r="AC144" s="305">
        <f>L144/U144</f>
        <v>109.74156299131691</v>
      </c>
      <c r="AD144" s="305">
        <f t="shared" si="42"/>
        <v>2491.9543285910145</v>
      </c>
      <c r="AE144" s="219">
        <f>O144/J144</f>
        <v>5.3902333750364972E-4</v>
      </c>
      <c r="AF144" s="255">
        <v>3.61</v>
      </c>
      <c r="AG144" s="255">
        <v>0.09</v>
      </c>
    </row>
    <row r="145" spans="1:33" s="255" customFormat="1">
      <c r="B145" s="255" t="s">
        <v>460</v>
      </c>
      <c r="C145" s="255" t="s">
        <v>461</v>
      </c>
      <c r="D145" s="305">
        <v>473253.36463665002</v>
      </c>
      <c r="E145" s="305">
        <v>525079.64168596605</v>
      </c>
      <c r="F145" s="305">
        <v>459.05207306552302</v>
      </c>
      <c r="G145" s="290">
        <v>2.8063305081007499</v>
      </c>
      <c r="H145" s="305">
        <v>665.47424140089799</v>
      </c>
      <c r="I145" s="290">
        <v>0.28257125234320202</v>
      </c>
      <c r="J145" s="305">
        <v>268.473580340122</v>
      </c>
      <c r="K145" s="290">
        <v>5.2130029664651099E-2</v>
      </c>
      <c r="L145" s="305">
        <v>154.525930882653</v>
      </c>
      <c r="M145" s="290">
        <v>0.12770785456852901</v>
      </c>
      <c r="N145" s="290">
        <v>7.1235660143367005E-2</v>
      </c>
      <c r="O145" s="290" t="s">
        <v>25</v>
      </c>
      <c r="P145" s="290">
        <v>0.459338601106213</v>
      </c>
      <c r="Q145" s="290">
        <v>0.58658857807214304</v>
      </c>
      <c r="R145" s="290">
        <v>3.4382948619510301</v>
      </c>
      <c r="S145" s="301" t="s">
        <v>25</v>
      </c>
      <c r="T145" s="290">
        <v>4.3485543417068504</v>
      </c>
      <c r="U145" s="290">
        <v>3.4801286182632001E-2</v>
      </c>
      <c r="V145" s="290">
        <v>1.3883064095065401E-2</v>
      </c>
      <c r="W145" s="290">
        <v>0.36589116619981299</v>
      </c>
      <c r="X145" s="290">
        <v>0.49657444687820101</v>
      </c>
      <c r="Y145" s="290">
        <v>1.00115412723928E-2</v>
      </c>
      <c r="Z145" s="290" t="s">
        <v>25</v>
      </c>
      <c r="AA145" s="290" t="s">
        <v>25</v>
      </c>
      <c r="AB145" s="305">
        <f t="shared" si="40"/>
        <v>294.29046303621539</v>
      </c>
      <c r="AC145" s="305">
        <f>L145/U145</f>
        <v>4440.2362048265622</v>
      </c>
      <c r="AD145" s="305">
        <f t="shared" si="42"/>
        <v>2355.0670348894309</v>
      </c>
      <c r="AE145" s="219"/>
      <c r="AF145" s="255" t="s">
        <v>216</v>
      </c>
      <c r="AG145" s="255" t="s">
        <v>216</v>
      </c>
    </row>
    <row r="146" spans="1:33" s="255" customFormat="1">
      <c r="B146" s="255" t="s">
        <v>462</v>
      </c>
      <c r="C146" s="255" t="s">
        <v>463</v>
      </c>
      <c r="D146" s="305">
        <v>465663.81160816399</v>
      </c>
      <c r="E146" s="305">
        <v>532350.41626098705</v>
      </c>
      <c r="F146" s="291">
        <v>86.306771320560102</v>
      </c>
      <c r="G146" s="290">
        <v>2.1577805056667798</v>
      </c>
      <c r="H146" s="305">
        <v>1078.8770283093199</v>
      </c>
      <c r="I146" s="290">
        <v>0.25239507336631301</v>
      </c>
      <c r="J146" s="305">
        <v>520.46257658614604</v>
      </c>
      <c r="K146" s="290">
        <v>6.7005161255116297E-2</v>
      </c>
      <c r="L146" s="305">
        <v>151.75940546659001</v>
      </c>
      <c r="M146" s="290">
        <v>7.7256105160688499E-3</v>
      </c>
      <c r="N146" s="290">
        <v>8.3258838567921101E-2</v>
      </c>
      <c r="O146" s="290">
        <v>9.7288051588750295E-3</v>
      </c>
      <c r="P146" s="290">
        <v>0.27543667257584697</v>
      </c>
      <c r="Q146" s="290">
        <v>0.51274569497556399</v>
      </c>
      <c r="R146" s="290">
        <v>5.5567415336625201</v>
      </c>
      <c r="S146" s="290" t="s">
        <v>25</v>
      </c>
      <c r="T146" s="290">
        <v>0.50601922604208704</v>
      </c>
      <c r="U146" s="290" t="s">
        <v>25</v>
      </c>
      <c r="V146" s="290" t="s">
        <v>25</v>
      </c>
      <c r="W146" s="290" t="s">
        <v>25</v>
      </c>
      <c r="X146" s="290">
        <v>0.546976505763758</v>
      </c>
      <c r="Y146" s="290" t="s">
        <v>25</v>
      </c>
      <c r="Z146" s="290" t="s">
        <v>25</v>
      </c>
      <c r="AA146" s="290" t="s">
        <v>25</v>
      </c>
      <c r="AB146" s="305">
        <f t="shared" si="40"/>
        <v>285.07426843485234</v>
      </c>
      <c r="AC146" s="305"/>
      <c r="AD146" s="305">
        <f t="shared" si="42"/>
        <v>4274.5566065130533</v>
      </c>
      <c r="AE146" s="219">
        <f>O146/J146</f>
        <v>1.8692612296332387E-5</v>
      </c>
      <c r="AF146" s="255" t="s">
        <v>216</v>
      </c>
      <c r="AG146" s="255" t="s">
        <v>216</v>
      </c>
    </row>
    <row r="147" spans="1:33" s="255" customFormat="1">
      <c r="B147" s="255" t="s">
        <v>464</v>
      </c>
      <c r="C147" s="255" t="s">
        <v>465</v>
      </c>
      <c r="D147" s="305">
        <v>484970.70290699397</v>
      </c>
      <c r="E147" s="305">
        <v>513011.15075661102</v>
      </c>
      <c r="F147" s="305">
        <v>436.20808259167501</v>
      </c>
      <c r="G147" s="290">
        <v>1.23956809337469</v>
      </c>
      <c r="H147" s="305">
        <v>693.43188083334496</v>
      </c>
      <c r="I147" s="290">
        <v>0.29391727343260099</v>
      </c>
      <c r="J147" s="305">
        <v>584.61223176287206</v>
      </c>
      <c r="K147" s="290">
        <v>0.100476642985086</v>
      </c>
      <c r="L147" s="305">
        <v>168.74158810523201</v>
      </c>
      <c r="M147" s="290">
        <v>4.5415285363520602E-2</v>
      </c>
      <c r="N147" s="290" t="s">
        <v>25</v>
      </c>
      <c r="O147" s="290">
        <v>1.4593483825255899E-2</v>
      </c>
      <c r="P147" s="290">
        <v>0.163679905950779</v>
      </c>
      <c r="Q147" s="290">
        <v>0.66351463069178895</v>
      </c>
      <c r="R147" s="290">
        <v>6.0160851233323003</v>
      </c>
      <c r="S147" s="290" t="s">
        <v>25</v>
      </c>
      <c r="T147" s="290">
        <v>1.2607566892782001</v>
      </c>
      <c r="U147" s="290" t="s">
        <v>25</v>
      </c>
      <c r="V147" s="290">
        <v>7.0830677332102297E-3</v>
      </c>
      <c r="W147" s="290" t="s">
        <v>25</v>
      </c>
      <c r="X147" s="290">
        <v>0.57195887321653105</v>
      </c>
      <c r="Y147" s="290" t="s">
        <v>25</v>
      </c>
      <c r="Z147" s="290" t="s">
        <v>25</v>
      </c>
      <c r="AA147" s="290" t="s">
        <v>25</v>
      </c>
      <c r="AB147" s="305">
        <f t="shared" si="40"/>
        <v>328.92382135625047</v>
      </c>
      <c r="AC147" s="305"/>
      <c r="AD147" s="305">
        <f t="shared" si="42"/>
        <v>2359.2756993656508</v>
      </c>
      <c r="AE147" s="219">
        <f>O147/J147</f>
        <v>2.4962672746770796E-5</v>
      </c>
      <c r="AF147" s="255" t="s">
        <v>216</v>
      </c>
      <c r="AG147" s="255" t="s">
        <v>216</v>
      </c>
    </row>
    <row r="148" spans="1:33" s="255" customFormat="1">
      <c r="B148" s="255" t="s">
        <v>466</v>
      </c>
      <c r="C148" s="255" t="s">
        <v>467</v>
      </c>
      <c r="D148" s="305">
        <v>489967.08382302098</v>
      </c>
      <c r="E148" s="305">
        <v>504015.288696456</v>
      </c>
      <c r="F148" s="305">
        <v>800.52133416887</v>
      </c>
      <c r="G148" s="305">
        <v>1214.57010035185</v>
      </c>
      <c r="H148" s="305">
        <v>623.38665933500602</v>
      </c>
      <c r="I148" s="290">
        <v>1.3836894114998799</v>
      </c>
      <c r="J148" s="305">
        <v>386.554089498351</v>
      </c>
      <c r="K148" s="290">
        <v>1.3657339165951901</v>
      </c>
      <c r="L148" s="291">
        <v>79.758505272441894</v>
      </c>
      <c r="M148" s="290">
        <v>0.18845154247489601</v>
      </c>
      <c r="N148" s="290">
        <v>5.52381326616148E-2</v>
      </c>
      <c r="O148" s="290">
        <v>0.16939160745605999</v>
      </c>
      <c r="P148" s="291">
        <v>21.563613200298299</v>
      </c>
      <c r="Q148" s="291">
        <v>97.604570260435096</v>
      </c>
      <c r="R148" s="305">
        <v>157.253292108246</v>
      </c>
      <c r="S148" s="290">
        <v>2.4697283697179802</v>
      </c>
      <c r="T148" s="305">
        <v>2315.8750141839901</v>
      </c>
      <c r="U148" s="291">
        <v>10.6463035456743</v>
      </c>
      <c r="V148" s="290">
        <v>9.1613880268886005E-2</v>
      </c>
      <c r="W148" s="290">
        <v>3.70192956155481</v>
      </c>
      <c r="X148" s="290">
        <v>3.4386483335963698</v>
      </c>
      <c r="Y148" s="290">
        <v>0.246933535226704</v>
      </c>
      <c r="Z148" s="290">
        <v>1.26958300510451E-2</v>
      </c>
      <c r="AA148" s="290" t="s">
        <v>25</v>
      </c>
      <c r="AB148" s="305">
        <f t="shared" si="40"/>
        <v>158.24620217121347</v>
      </c>
      <c r="AC148" s="290">
        <f>L148/U148</f>
        <v>7.4916617707043098</v>
      </c>
      <c r="AD148" s="305">
        <f t="shared" si="42"/>
        <v>450.52499076311688</v>
      </c>
      <c r="AE148" s="219">
        <f>O148/J148</f>
        <v>4.3820932712388907E-4</v>
      </c>
      <c r="AF148" s="255" t="s">
        <v>216</v>
      </c>
      <c r="AG148" s="255" t="s">
        <v>216</v>
      </c>
    </row>
    <row r="149" spans="1:33" s="255" customFormat="1">
      <c r="A149" s="156"/>
      <c r="B149" s="255" t="s">
        <v>468</v>
      </c>
      <c r="C149" s="255" t="s">
        <v>469</v>
      </c>
      <c r="D149" s="305">
        <v>470320.33554570301</v>
      </c>
      <c r="E149" s="305">
        <v>527826.42655335402</v>
      </c>
      <c r="F149" s="305">
        <v>931.59636121473</v>
      </c>
      <c r="G149" s="290">
        <v>1.6355767875524201</v>
      </c>
      <c r="H149" s="305">
        <v>474.38560316164597</v>
      </c>
      <c r="I149" s="290">
        <v>0.28531450808304298</v>
      </c>
      <c r="J149" s="305">
        <v>235.92113024667</v>
      </c>
      <c r="K149" s="290">
        <v>4.9184675605459E-2</v>
      </c>
      <c r="L149" s="305">
        <v>168.78227930572999</v>
      </c>
      <c r="M149" s="290">
        <v>7.4874385085861306E-2</v>
      </c>
      <c r="N149" s="290">
        <v>0.10648914520394299</v>
      </c>
      <c r="O149" s="290" t="s">
        <v>25</v>
      </c>
      <c r="P149" s="290">
        <v>0.23744565873210399</v>
      </c>
      <c r="Q149" s="290">
        <v>0.51068075226006204</v>
      </c>
      <c r="R149" s="290">
        <v>4.9587975789515397</v>
      </c>
      <c r="S149" s="301" t="s">
        <v>25</v>
      </c>
      <c r="T149" s="290">
        <v>2.6151376626844902</v>
      </c>
      <c r="U149" s="290" t="s">
        <v>25</v>
      </c>
      <c r="V149" s="290" t="s">
        <v>25</v>
      </c>
      <c r="W149" s="290" t="s">
        <v>25</v>
      </c>
      <c r="X149" s="290">
        <v>0.488178534070282</v>
      </c>
      <c r="Y149" s="290" t="s">
        <v>25</v>
      </c>
      <c r="Z149" s="290">
        <v>6.50265868781738E-3</v>
      </c>
      <c r="AA149" s="290" t="s">
        <v>25</v>
      </c>
      <c r="AB149" s="305">
        <f t="shared" si="40"/>
        <v>319.76852771063187</v>
      </c>
      <c r="AC149" s="305"/>
      <c r="AD149" s="305">
        <f t="shared" si="42"/>
        <v>1662.6760635094392</v>
      </c>
      <c r="AE149" s="219"/>
      <c r="AF149" s="255" t="s">
        <v>216</v>
      </c>
      <c r="AG149" s="255" t="s">
        <v>216</v>
      </c>
    </row>
    <row r="150" spans="1:33" s="255" customFormat="1">
      <c r="A150" s="156"/>
      <c r="B150" s="255" t="s">
        <v>470</v>
      </c>
      <c r="C150" s="255" t="s">
        <v>471</v>
      </c>
      <c r="D150" s="305">
        <v>479828.96789975202</v>
      </c>
      <c r="E150" s="305">
        <v>518113.55131211103</v>
      </c>
      <c r="F150" s="305">
        <v>653.617649050213</v>
      </c>
      <c r="G150" s="291">
        <v>15.1678539497721</v>
      </c>
      <c r="H150" s="305">
        <v>653.44777060900901</v>
      </c>
      <c r="I150" s="290" t="s">
        <v>25</v>
      </c>
      <c r="J150" s="305">
        <v>473.18199361302902</v>
      </c>
      <c r="K150" s="290">
        <v>0.20774531812889299</v>
      </c>
      <c r="L150" s="305">
        <v>139.03663496164299</v>
      </c>
      <c r="M150" s="290">
        <v>7.0056820911349807E-2</v>
      </c>
      <c r="N150" s="290" t="s">
        <v>25</v>
      </c>
      <c r="O150" s="290">
        <v>1.15032147557426E-2</v>
      </c>
      <c r="P150" s="290">
        <v>0.57743391110717202</v>
      </c>
      <c r="Q150" s="290">
        <v>1.46144254102731</v>
      </c>
      <c r="R150" s="290">
        <v>8.1998610759247104</v>
      </c>
      <c r="S150" s="290">
        <v>7.3184592509904403E-2</v>
      </c>
      <c r="T150" s="290">
        <v>7.6628968757673803</v>
      </c>
      <c r="U150" s="290">
        <v>4.7705472417413901E-2</v>
      </c>
      <c r="V150" s="290" t="s">
        <v>25</v>
      </c>
      <c r="W150" s="290">
        <v>0.38720251830723501</v>
      </c>
      <c r="X150" s="290">
        <v>0.48387186246404401</v>
      </c>
      <c r="Y150" s="290" t="s">
        <v>25</v>
      </c>
      <c r="Z150" s="290" t="s">
        <v>25</v>
      </c>
      <c r="AA150" s="290" t="s">
        <v>25</v>
      </c>
      <c r="AB150" s="305">
        <f t="shared" si="40"/>
        <v>268.35166655945557</v>
      </c>
      <c r="AC150" s="305">
        <f>L150/U150</f>
        <v>2914.4797843127644</v>
      </c>
      <c r="AD150" s="305"/>
      <c r="AE150" s="219">
        <f>O150/J150</f>
        <v>2.43103391739585E-5</v>
      </c>
      <c r="AF150" s="255" t="s">
        <v>216</v>
      </c>
      <c r="AG150" s="255" t="s">
        <v>216</v>
      </c>
    </row>
    <row r="151" spans="1:33" s="255" customFormat="1">
      <c r="A151" s="156"/>
      <c r="B151" s="255" t="s">
        <v>472</v>
      </c>
      <c r="C151" s="255" t="s">
        <v>473</v>
      </c>
      <c r="D151" s="305">
        <v>474172.28349541599</v>
      </c>
      <c r="E151" s="305">
        <v>524417.74096208496</v>
      </c>
      <c r="F151" s="305">
        <v>359.94400538179298</v>
      </c>
      <c r="G151" s="290">
        <v>1.6725561778232201</v>
      </c>
      <c r="H151" s="305">
        <v>341.234499671788</v>
      </c>
      <c r="I151" s="290">
        <v>0.21360727981031399</v>
      </c>
      <c r="J151" s="305">
        <v>507.28631694845598</v>
      </c>
      <c r="K151" s="290" t="s">
        <v>25</v>
      </c>
      <c r="L151" s="305">
        <v>136.54841645163</v>
      </c>
      <c r="M151" s="290">
        <v>4.1347333052755501E-2</v>
      </c>
      <c r="N151" s="290">
        <v>2.7185533488879601E-2</v>
      </c>
      <c r="O151" s="290">
        <v>9.6832239698703398E-3</v>
      </c>
      <c r="P151" s="290">
        <v>0.16151980588081599</v>
      </c>
      <c r="Q151" s="290">
        <v>0.41842443951303299</v>
      </c>
      <c r="R151" s="290">
        <v>6.5551254471666001</v>
      </c>
      <c r="S151" s="290" t="s">
        <v>25</v>
      </c>
      <c r="T151" s="290">
        <v>2.1409408032223798</v>
      </c>
      <c r="U151" s="290" t="s">
        <v>25</v>
      </c>
      <c r="V151" s="290">
        <v>2.6099855074331001E-2</v>
      </c>
      <c r="W151" s="290" t="s">
        <v>25</v>
      </c>
      <c r="X151" s="290">
        <v>0.68343504419519396</v>
      </c>
      <c r="Y151" s="290">
        <v>5.1289750099408497E-2</v>
      </c>
      <c r="Z151" s="290" t="s">
        <v>25</v>
      </c>
      <c r="AA151" s="290" t="s">
        <v>25</v>
      </c>
      <c r="AB151" s="305">
        <f t="shared" si="40"/>
        <v>260.38100122456075</v>
      </c>
      <c r="AC151" s="305"/>
      <c r="AD151" s="305">
        <f>H151/I151</f>
        <v>1597.4853477597235</v>
      </c>
      <c r="AE151" s="219">
        <f>O151/J151</f>
        <v>1.9088281403131609E-5</v>
      </c>
      <c r="AF151" s="255">
        <v>4.33</v>
      </c>
      <c r="AG151" s="255">
        <v>0.1</v>
      </c>
    </row>
    <row r="152" spans="1:33" s="255" customFormat="1">
      <c r="A152" s="156"/>
      <c r="B152" s="255" t="s">
        <v>474</v>
      </c>
      <c r="C152" s="255" t="s">
        <v>475</v>
      </c>
      <c r="D152" s="305">
        <v>479772.86899054801</v>
      </c>
      <c r="E152" s="305">
        <v>519033.59086439601</v>
      </c>
      <c r="F152" s="305">
        <v>532.98602298964204</v>
      </c>
      <c r="G152" s="290">
        <v>2.0984250929781898</v>
      </c>
      <c r="H152" s="305">
        <v>196.47065059067799</v>
      </c>
      <c r="I152" s="290" t="s">
        <v>25</v>
      </c>
      <c r="J152" s="305">
        <v>247.97796603624201</v>
      </c>
      <c r="K152" s="290" t="s">
        <v>25</v>
      </c>
      <c r="L152" s="305">
        <v>158.282412256893</v>
      </c>
      <c r="M152" s="290">
        <v>4.7592782930715401E-2</v>
      </c>
      <c r="N152" s="290" t="s">
        <v>25</v>
      </c>
      <c r="O152" s="290" t="s">
        <v>25</v>
      </c>
      <c r="P152" s="290">
        <v>0.208250109845145</v>
      </c>
      <c r="Q152" s="290">
        <v>0.65090851458808696</v>
      </c>
      <c r="R152" s="291">
        <v>10.6554851482254</v>
      </c>
      <c r="S152" s="290" t="s">
        <v>25</v>
      </c>
      <c r="T152" s="290">
        <v>1.5484725270714601</v>
      </c>
      <c r="U152" s="290" t="s">
        <v>25</v>
      </c>
      <c r="V152" s="290" t="s">
        <v>25</v>
      </c>
      <c r="W152" s="290" t="s">
        <v>25</v>
      </c>
      <c r="X152" s="290">
        <v>0.43659237040094701</v>
      </c>
      <c r="Y152" s="290">
        <v>1.7180023771166401E-2</v>
      </c>
      <c r="Z152" s="290">
        <v>6.9557047894663798E-2</v>
      </c>
      <c r="AA152" s="290">
        <v>0.120355715276767</v>
      </c>
      <c r="AB152" s="305">
        <f t="shared" si="40"/>
        <v>304.95600871090102</v>
      </c>
      <c r="AC152" s="305"/>
      <c r="AD152" s="305"/>
      <c r="AE152" s="219"/>
    </row>
    <row r="153" spans="1:33" s="255" customFormat="1">
      <c r="A153" s="156"/>
      <c r="B153" s="255" t="s">
        <v>476</v>
      </c>
      <c r="C153" s="255" t="s">
        <v>477</v>
      </c>
      <c r="D153" s="305">
        <v>484419.65468975098</v>
      </c>
      <c r="E153" s="305">
        <v>513569.42193128302</v>
      </c>
      <c r="F153" s="305">
        <v>396.60981620871303</v>
      </c>
      <c r="G153" s="290">
        <v>1.8638804551046599</v>
      </c>
      <c r="H153" s="305">
        <v>829.02067319874504</v>
      </c>
      <c r="I153" s="290" t="s">
        <v>25</v>
      </c>
      <c r="J153" s="305">
        <v>581.98652911406202</v>
      </c>
      <c r="K153" s="290">
        <v>0.15885792678140501</v>
      </c>
      <c r="L153" s="305">
        <v>127.441472704497</v>
      </c>
      <c r="M153" s="290">
        <v>4.8283814448207001E-2</v>
      </c>
      <c r="N153" s="290">
        <v>5.1338473799359498E-2</v>
      </c>
      <c r="O153" s="290">
        <v>9.3116812878431196E-3</v>
      </c>
      <c r="P153" s="290">
        <v>0.233874186075435</v>
      </c>
      <c r="Q153" s="290">
        <v>0.546815493926602</v>
      </c>
      <c r="R153" s="290">
        <v>7.4700275524048099</v>
      </c>
      <c r="S153" s="290" t="s">
        <v>25</v>
      </c>
      <c r="T153" s="290">
        <v>5.8470291686060296</v>
      </c>
      <c r="U153" s="290" t="s">
        <v>25</v>
      </c>
      <c r="V153" s="290" t="s">
        <v>25</v>
      </c>
      <c r="W153" s="290" t="s">
        <v>25</v>
      </c>
      <c r="X153" s="290">
        <v>0.60743880033902797</v>
      </c>
      <c r="Y153" s="290" t="s">
        <v>25</v>
      </c>
      <c r="Z153" s="290" t="s">
        <v>25</v>
      </c>
      <c r="AA153" s="290">
        <v>0.13633486560935601</v>
      </c>
      <c r="AB153" s="305">
        <f t="shared" si="40"/>
        <v>248.14848248801894</v>
      </c>
      <c r="AC153" s="305"/>
      <c r="AD153" s="305"/>
      <c r="AE153" s="219">
        <f>O153/J153</f>
        <v>1.5999822714140771E-5</v>
      </c>
      <c r="AF153" s="255" t="s">
        <v>216</v>
      </c>
      <c r="AG153" s="255" t="s">
        <v>216</v>
      </c>
    </row>
    <row r="154" spans="1:33" ht="18.600000000000001" customHeight="1">
      <c r="A154" s="36"/>
      <c r="B154" s="37" t="s">
        <v>113</v>
      </c>
      <c r="C154" s="37"/>
      <c r="D154" s="38">
        <f t="shared" ref="D154:AD154" si="43">MEDIAN(D92:D153)</f>
        <v>461699.391508092</v>
      </c>
      <c r="E154" s="38">
        <f t="shared" si="43"/>
        <v>534522.85246526951</v>
      </c>
      <c r="F154" s="38">
        <f t="shared" si="43"/>
        <v>387.10537059825651</v>
      </c>
      <c r="G154" s="39">
        <f t="shared" si="43"/>
        <v>4.2986563337553196</v>
      </c>
      <c r="H154" s="38">
        <f t="shared" si="43"/>
        <v>1032.38452362406</v>
      </c>
      <c r="I154" s="39">
        <f t="shared" si="43"/>
        <v>0.29391727343260099</v>
      </c>
      <c r="J154" s="38">
        <f t="shared" si="43"/>
        <v>593.0111648603081</v>
      </c>
      <c r="K154" s="39">
        <f t="shared" si="43"/>
        <v>1.4333100507122101</v>
      </c>
      <c r="L154" s="38">
        <f t="shared" si="43"/>
        <v>130.75907254804301</v>
      </c>
      <c r="M154" s="39">
        <f t="shared" si="43"/>
        <v>8.3203775930446006E-2</v>
      </c>
      <c r="N154" s="39">
        <f t="shared" si="43"/>
        <v>6.943276454483871E-2</v>
      </c>
      <c r="O154" s="39">
        <f t="shared" si="43"/>
        <v>3.39994920579774E-2</v>
      </c>
      <c r="P154" s="39">
        <f t="shared" si="43"/>
        <v>0.44859486601319154</v>
      </c>
      <c r="Q154" s="39">
        <f t="shared" si="43"/>
        <v>0.64806577482185701</v>
      </c>
      <c r="R154" s="41">
        <f t="shared" si="43"/>
        <v>20.503600780779649</v>
      </c>
      <c r="S154" s="39">
        <f t="shared" si="43"/>
        <v>0.20388805144559802</v>
      </c>
      <c r="T154" s="39">
        <f t="shared" si="43"/>
        <v>5.7059592671246397</v>
      </c>
      <c r="U154" s="39">
        <f t="shared" si="43"/>
        <v>0.13836458436707999</v>
      </c>
      <c r="V154" s="39">
        <f t="shared" si="43"/>
        <v>2.98775956464906E-2</v>
      </c>
      <c r="W154" s="39">
        <f t="shared" si="43"/>
        <v>1.82121008422621</v>
      </c>
      <c r="X154" s="39">
        <f t="shared" si="43"/>
        <v>0.56407690177396852</v>
      </c>
      <c r="Y154" s="39">
        <f t="shared" si="43"/>
        <v>0.128233189700106</v>
      </c>
      <c r="Z154" s="39">
        <f>MEDIAN(Z92:Z153)</f>
        <v>1.9978047253647851E-2</v>
      </c>
      <c r="AA154" s="39">
        <f>MEDIAN(AA92:AA153)</f>
        <v>0.10476208414425001</v>
      </c>
      <c r="AB154" s="38">
        <f t="shared" si="43"/>
        <v>253.30104111203084</v>
      </c>
      <c r="AC154" s="38">
        <f>MEDIAN(AC92:AC153)</f>
        <v>501.53560203354795</v>
      </c>
      <c r="AD154" s="38">
        <f t="shared" si="43"/>
        <v>2316.5239678699822</v>
      </c>
      <c r="AE154" s="44"/>
      <c r="AF154" s="38"/>
      <c r="AG154" s="38"/>
    </row>
    <row r="155" spans="1:33" ht="18.600000000000001" customHeight="1">
      <c r="A155" s="36"/>
      <c r="B155" s="37" t="s">
        <v>31</v>
      </c>
      <c r="C155" s="37"/>
      <c r="D155" s="38">
        <f t="shared" ref="D155:AD155" si="44">AVERAGE(D92:D153)</f>
        <v>462317.60376862757</v>
      </c>
      <c r="E155" s="38">
        <f t="shared" si="44"/>
        <v>533384.03357755742</v>
      </c>
      <c r="F155" s="38">
        <f t="shared" si="44"/>
        <v>870.59293612090335</v>
      </c>
      <c r="G155" s="38">
        <f t="shared" si="44"/>
        <v>372.08477327486833</v>
      </c>
      <c r="H155" s="38">
        <f t="shared" si="44"/>
        <v>1881.80708391403</v>
      </c>
      <c r="I155" s="39">
        <f t="shared" si="44"/>
        <v>0.47106552227972703</v>
      </c>
      <c r="J155" s="38">
        <f t="shared" si="44"/>
        <v>703.60177259141835</v>
      </c>
      <c r="K155" s="39">
        <f t="shared" si="44"/>
        <v>2.177723780273821</v>
      </c>
      <c r="L155" s="38">
        <f t="shared" si="44"/>
        <v>132.44996073153538</v>
      </c>
      <c r="M155" s="39">
        <f t="shared" si="44"/>
        <v>0.32235347638232942</v>
      </c>
      <c r="N155" s="39">
        <f t="shared" si="44"/>
        <v>9.8702618027531483E-2</v>
      </c>
      <c r="O155" s="39">
        <f t="shared" si="44"/>
        <v>8.4326107511593987E-2</v>
      </c>
      <c r="P155" s="39">
        <f t="shared" si="44"/>
        <v>2.7354627247341488</v>
      </c>
      <c r="Q155" s="41">
        <f t="shared" si="44"/>
        <v>14.924054747219261</v>
      </c>
      <c r="R155" s="41">
        <f t="shared" si="44"/>
        <v>35.607979040726534</v>
      </c>
      <c r="S155" s="39">
        <f t="shared" si="44"/>
        <v>1.5694259576742993</v>
      </c>
      <c r="T155" s="41">
        <f t="shared" si="44"/>
        <v>83.491978650643034</v>
      </c>
      <c r="U155" s="39">
        <f t="shared" si="44"/>
        <v>1.6174217534668742</v>
      </c>
      <c r="V155" s="39">
        <f t="shared" si="44"/>
        <v>7.1664859418256094E-2</v>
      </c>
      <c r="W155" s="39">
        <f t="shared" si="44"/>
        <v>5.4209334299325089</v>
      </c>
      <c r="X155" s="39">
        <f t="shared" si="44"/>
        <v>1.1301897679649231</v>
      </c>
      <c r="Y155" s="39">
        <f t="shared" si="44"/>
        <v>0.88188255948090966</v>
      </c>
      <c r="Z155" s="39">
        <f>AVERAGE(Z92:Z153)</f>
        <v>7.4005316722870862E-2</v>
      </c>
      <c r="AA155" s="39">
        <f>AVERAGE(AA92:AA153)</f>
        <v>0.12421524773728645</v>
      </c>
      <c r="AB155" s="38">
        <f t="shared" si="44"/>
        <v>247.03990494602849</v>
      </c>
      <c r="AC155" s="38">
        <f>AVERAGE(AC92:AC153)</f>
        <v>2603.8611668808362</v>
      </c>
      <c r="AD155" s="38">
        <f t="shared" si="44"/>
        <v>4850.8692267912784</v>
      </c>
      <c r="AE155" s="44"/>
      <c r="AF155" s="38"/>
      <c r="AG155" s="38"/>
    </row>
    <row r="156" spans="1:33" ht="18.600000000000001" customHeight="1">
      <c r="A156" s="36"/>
      <c r="B156" s="37" t="s">
        <v>34</v>
      </c>
      <c r="C156" s="37"/>
      <c r="D156" s="38">
        <f t="shared" ref="D156:AD156" si="45">STDEV(D92:D153)</f>
        <v>16358.491140590477</v>
      </c>
      <c r="E156" s="38">
        <f t="shared" si="45"/>
        <v>15533.732240176609</v>
      </c>
      <c r="F156" s="38">
        <f t="shared" si="45"/>
        <v>1283.9046193722506</v>
      </c>
      <c r="G156" s="38">
        <f t="shared" si="45"/>
        <v>1250.2845475851764</v>
      </c>
      <c r="H156" s="38">
        <f t="shared" si="45"/>
        <v>2282.5863845403451</v>
      </c>
      <c r="I156" s="39">
        <f t="shared" si="45"/>
        <v>0.37715111792821032</v>
      </c>
      <c r="J156" s="38">
        <f t="shared" si="45"/>
        <v>441.55513857299496</v>
      </c>
      <c r="K156" s="39">
        <f t="shared" si="45"/>
        <v>2.6941822081948468</v>
      </c>
      <c r="L156" s="41">
        <f t="shared" si="45"/>
        <v>79.013855544276439</v>
      </c>
      <c r="M156" s="39">
        <f t="shared" si="45"/>
        <v>0.60190026630699589</v>
      </c>
      <c r="N156" s="39">
        <f t="shared" si="45"/>
        <v>0.10555373896305213</v>
      </c>
      <c r="O156" s="39">
        <f t="shared" si="45"/>
        <v>0.16085117008173805</v>
      </c>
      <c r="P156" s="39">
        <f t="shared" si="45"/>
        <v>6.9807329627639989</v>
      </c>
      <c r="Q156" s="41">
        <f t="shared" si="45"/>
        <v>34.115045130411097</v>
      </c>
      <c r="R156" s="41">
        <f t="shared" si="45"/>
        <v>47.372176916209604</v>
      </c>
      <c r="S156" s="39">
        <f t="shared" si="45"/>
        <v>4.8694590023312569</v>
      </c>
      <c r="T156" s="38">
        <f t="shared" si="45"/>
        <v>308.74980145419124</v>
      </c>
      <c r="U156" s="39">
        <f t="shared" si="45"/>
        <v>2.8480320242112627</v>
      </c>
      <c r="V156" s="39">
        <f t="shared" si="45"/>
        <v>0.12776286807485415</v>
      </c>
      <c r="W156" s="39">
        <f t="shared" si="45"/>
        <v>9.5687204822505159</v>
      </c>
      <c r="X156" s="39">
        <f t="shared" si="45"/>
        <v>1.5892450498171848</v>
      </c>
      <c r="Y156" s="39">
        <f t="shared" si="45"/>
        <v>3.389418176388725</v>
      </c>
      <c r="Z156" s="39">
        <f>STDEV(Z92:Z153)</f>
        <v>0.11731342673489235</v>
      </c>
      <c r="AA156" s="39">
        <f>STDEV(AA92:AA153)</f>
        <v>7.960186614255195E-2</v>
      </c>
      <c r="AB156" s="38">
        <f t="shared" si="45"/>
        <v>144.01693620852666</v>
      </c>
      <c r="AC156" s="38">
        <f>STDEV(AC92:AC153)</f>
        <v>3963.5113492196315</v>
      </c>
      <c r="AD156" s="38">
        <f t="shared" si="45"/>
        <v>10038.77405045329</v>
      </c>
      <c r="AE156" s="44"/>
      <c r="AF156" s="38"/>
      <c r="AG156" s="38"/>
    </row>
    <row r="157" spans="1:33">
      <c r="A157" s="4" t="s">
        <v>478</v>
      </c>
      <c r="B157" s="5" t="s">
        <v>479</v>
      </c>
      <c r="C157" s="5" t="s">
        <v>480</v>
      </c>
      <c r="D157" s="35">
        <v>326363.78115779901</v>
      </c>
      <c r="E157" s="35">
        <v>326399.67483520199</v>
      </c>
      <c r="F157" s="35">
        <v>346611.49396932201</v>
      </c>
      <c r="G157" s="35">
        <v>271.32497111539601</v>
      </c>
      <c r="H157" s="40">
        <v>28.603259244177401</v>
      </c>
      <c r="I157" s="42" t="s">
        <v>25</v>
      </c>
      <c r="J157" s="42" t="s">
        <v>25</v>
      </c>
      <c r="K157" s="42" t="s">
        <v>25</v>
      </c>
      <c r="L157" s="35">
        <v>291.075953444297</v>
      </c>
      <c r="M157" s="42">
        <v>6.1163650832358503</v>
      </c>
      <c r="N157" s="42">
        <v>0.56617268018637001</v>
      </c>
      <c r="O157" s="42" t="s">
        <v>25</v>
      </c>
      <c r="P157" s="40">
        <v>24.026623170829399</v>
      </c>
      <c r="Q157" s="42" t="s">
        <v>25</v>
      </c>
      <c r="R157" s="42" t="s">
        <v>25</v>
      </c>
      <c r="S157" s="42">
        <v>1.95705879674099</v>
      </c>
      <c r="T157" s="42" t="s">
        <v>25</v>
      </c>
      <c r="U157" s="40" t="s">
        <v>25</v>
      </c>
      <c r="V157" s="42" t="s">
        <v>25</v>
      </c>
      <c r="W157" s="40" t="s">
        <v>25</v>
      </c>
      <c r="X157" s="42" t="s">
        <v>25</v>
      </c>
      <c r="Y157" s="42" t="s">
        <v>25</v>
      </c>
      <c r="Z157" s="42">
        <v>6.0538308305270903E-3</v>
      </c>
      <c r="AA157" s="42">
        <v>0.20212837579667101</v>
      </c>
      <c r="AB157" s="35">
        <f t="shared" ref="AB157:AB171" si="46">L157/E157*1000000</f>
        <v>891.77770655335416</v>
      </c>
      <c r="AC157" s="40"/>
      <c r="AD157" s="35"/>
      <c r="AE157" s="47"/>
      <c r="AF157" s="5">
        <v>3.85</v>
      </c>
      <c r="AG157" s="5">
        <v>0.16</v>
      </c>
    </row>
    <row r="158" spans="1:33">
      <c r="B158" s="5" t="s">
        <v>481</v>
      </c>
      <c r="C158" s="5" t="s">
        <v>482</v>
      </c>
      <c r="D158" s="35">
        <v>318762.36385436798</v>
      </c>
      <c r="E158" s="35">
        <v>330083.11214283499</v>
      </c>
      <c r="F158" s="35">
        <v>350342.93433799897</v>
      </c>
      <c r="G158" s="35">
        <v>444.90609376834601</v>
      </c>
      <c r="H158" s="42">
        <v>1.33638306687567</v>
      </c>
      <c r="I158" s="42">
        <v>4.1068049366060698E-2</v>
      </c>
      <c r="J158" s="42" t="s">
        <v>25</v>
      </c>
      <c r="K158" s="42" t="s">
        <v>25</v>
      </c>
      <c r="L158" s="35">
        <v>219.92782281785</v>
      </c>
      <c r="M158" s="42">
        <v>7.9661121197228804</v>
      </c>
      <c r="N158" s="42">
        <v>0.95648789439645499</v>
      </c>
      <c r="O158" s="42">
        <v>6.38396286579016E-3</v>
      </c>
      <c r="P158" s="40">
        <v>41.442405779676101</v>
      </c>
      <c r="Q158" s="42">
        <v>3.0071110937013401</v>
      </c>
      <c r="R158" s="42">
        <v>1.23493055580458E-2</v>
      </c>
      <c r="S158" s="42">
        <v>2.7343420048332301</v>
      </c>
      <c r="T158" s="42">
        <v>0.165467552173967</v>
      </c>
      <c r="U158" s="42" t="s">
        <v>25</v>
      </c>
      <c r="V158" s="42">
        <v>3.5001462428974103E-2</v>
      </c>
      <c r="W158" s="42" t="s">
        <v>25</v>
      </c>
      <c r="X158" s="42">
        <v>3.46242361222577E-2</v>
      </c>
      <c r="Y158" s="42">
        <v>0.11280714200917499</v>
      </c>
      <c r="Z158" s="42" t="s">
        <v>25</v>
      </c>
      <c r="AA158" s="42" t="s">
        <v>25</v>
      </c>
      <c r="AB158" s="35">
        <f t="shared" si="46"/>
        <v>666.28014196219124</v>
      </c>
      <c r="AC158" s="40"/>
      <c r="AD158" s="35"/>
      <c r="AE158" s="47"/>
    </row>
    <row r="159" spans="1:33">
      <c r="B159" s="5" t="s">
        <v>483</v>
      </c>
      <c r="C159" s="5" t="s">
        <v>484</v>
      </c>
      <c r="D159" s="35">
        <v>319614.051862186</v>
      </c>
      <c r="E159" s="35">
        <v>325200.63581930503</v>
      </c>
      <c r="F159" s="35">
        <v>353874.57182325597</v>
      </c>
      <c r="G159" s="35">
        <v>425.73768983715797</v>
      </c>
      <c r="H159" s="40">
        <v>36.113387436007798</v>
      </c>
      <c r="I159" s="42">
        <v>9.5460878823843603E-2</v>
      </c>
      <c r="J159" s="42">
        <v>1.61300327423749</v>
      </c>
      <c r="K159" s="42">
        <v>0.11549398734800299</v>
      </c>
      <c r="L159" s="35">
        <v>137.10793899919901</v>
      </c>
      <c r="M159" s="40">
        <v>13.388902947498799</v>
      </c>
      <c r="N159" s="42">
        <v>1.87495242624011</v>
      </c>
      <c r="O159" s="42" t="s">
        <v>25</v>
      </c>
      <c r="P159" s="40">
        <v>53.558341709878199</v>
      </c>
      <c r="Q159" s="42">
        <v>2.3099257907971098</v>
      </c>
      <c r="R159" s="40">
        <v>12.721583031581901</v>
      </c>
      <c r="S159" s="42">
        <v>4.2797906730030304</v>
      </c>
      <c r="T159" s="42">
        <v>0.64660459852005403</v>
      </c>
      <c r="U159" s="42" t="s">
        <v>25</v>
      </c>
      <c r="V159" s="46" t="s">
        <v>25</v>
      </c>
      <c r="W159" s="42">
        <v>5.4648913582112204</v>
      </c>
      <c r="X159" s="42">
        <v>0.39322848091398599</v>
      </c>
      <c r="Y159" s="42">
        <v>0.74926627200523899</v>
      </c>
      <c r="Z159" s="42" t="s">
        <v>25</v>
      </c>
      <c r="AA159" s="42" t="s">
        <v>25</v>
      </c>
      <c r="AB159" s="35">
        <f t="shared" si="46"/>
        <v>421.61030421656949</v>
      </c>
      <c r="AC159" s="40"/>
      <c r="AD159" s="35"/>
      <c r="AE159" s="47"/>
      <c r="AF159" s="5">
        <v>3.96</v>
      </c>
      <c r="AG159" s="5">
        <v>0.28000000000000003</v>
      </c>
    </row>
    <row r="160" spans="1:33">
      <c r="B160" s="5" t="s">
        <v>485</v>
      </c>
      <c r="C160" s="5" t="s">
        <v>486</v>
      </c>
      <c r="D160" s="35">
        <v>307036.834937012</v>
      </c>
      <c r="E160" s="35">
        <v>342616.38112376799</v>
      </c>
      <c r="F160" s="35">
        <v>348964.27480581298</v>
      </c>
      <c r="G160" s="35">
        <v>496.58484438134798</v>
      </c>
      <c r="H160" s="40">
        <v>40.952758673937304</v>
      </c>
      <c r="I160" s="42">
        <v>0.15256998022200899</v>
      </c>
      <c r="J160" s="42">
        <v>0.83045129089192304</v>
      </c>
      <c r="K160" s="42">
        <v>0.39124663449715102</v>
      </c>
      <c r="L160" s="35">
        <v>124.06495811945101</v>
      </c>
      <c r="M160" s="40">
        <v>14.703789872120399</v>
      </c>
      <c r="N160" s="42">
        <v>1.33326366408854</v>
      </c>
      <c r="O160" s="42" t="s">
        <v>25</v>
      </c>
      <c r="P160" s="40">
        <v>66.2632070637179</v>
      </c>
      <c r="Q160" s="42">
        <v>3.1469729718160302</v>
      </c>
      <c r="R160" s="40">
        <v>16.924856325374101</v>
      </c>
      <c r="S160" s="42">
        <v>4.2102461227418901</v>
      </c>
      <c r="T160" s="40">
        <v>10.3234034532466</v>
      </c>
      <c r="U160" s="42">
        <v>1.19962905547245E-2</v>
      </c>
      <c r="V160" s="42" t="s">
        <v>25</v>
      </c>
      <c r="W160" s="40">
        <v>16.590559639240901</v>
      </c>
      <c r="X160" s="42">
        <v>0.12977884067648701</v>
      </c>
      <c r="Y160" s="42">
        <v>0.94106782022351199</v>
      </c>
      <c r="Z160" s="42" t="s">
        <v>25</v>
      </c>
      <c r="AA160" s="42">
        <v>8.4898863026426699E-2</v>
      </c>
      <c r="AB160" s="35">
        <f t="shared" si="46"/>
        <v>362.11040964393737</v>
      </c>
      <c r="AC160" s="35"/>
      <c r="AD160" s="35"/>
      <c r="AE160" s="47"/>
      <c r="AF160" s="5" t="s">
        <v>216</v>
      </c>
      <c r="AG160" s="5" t="s">
        <v>216</v>
      </c>
    </row>
    <row r="161" spans="1:33">
      <c r="B161" s="5" t="s">
        <v>487</v>
      </c>
      <c r="C161" s="5" t="s">
        <v>488</v>
      </c>
      <c r="D161" s="35">
        <v>302591.98052008601</v>
      </c>
      <c r="E161" s="35">
        <v>343293.54892215302</v>
      </c>
      <c r="F161" s="35">
        <v>352299.560798352</v>
      </c>
      <c r="G161" s="35">
        <v>651.83514011124305</v>
      </c>
      <c r="H161" s="40">
        <v>20.4933383228541</v>
      </c>
      <c r="I161" s="42">
        <v>0.100301661705267</v>
      </c>
      <c r="J161" s="42">
        <v>3.2272942650077598</v>
      </c>
      <c r="K161" s="42">
        <v>0.14003532258787099</v>
      </c>
      <c r="L161" s="35">
        <v>148.87512831907699</v>
      </c>
      <c r="M161" s="40">
        <v>12.0850413498269</v>
      </c>
      <c r="N161" s="42">
        <v>1.23831570199214</v>
      </c>
      <c r="O161" s="42">
        <v>1.4815651914650899E-2</v>
      </c>
      <c r="P161" s="40">
        <v>51.885432733862203</v>
      </c>
      <c r="Q161" s="42">
        <v>2.1650508971126099</v>
      </c>
      <c r="R161" s="42">
        <v>8.5893337765843398</v>
      </c>
      <c r="S161" s="42">
        <v>3.8850868624114101</v>
      </c>
      <c r="T161" s="42">
        <v>1.99614447617027</v>
      </c>
      <c r="U161" s="42">
        <v>4.53855441665241E-2</v>
      </c>
      <c r="V161" s="42">
        <v>3.6572609968850797E-2</v>
      </c>
      <c r="W161" s="42">
        <v>9.4633052902269696</v>
      </c>
      <c r="X161" s="42">
        <v>0.36098636300284498</v>
      </c>
      <c r="Y161" s="42">
        <v>2.39294025953172</v>
      </c>
      <c r="Z161" s="42" t="s">
        <v>25</v>
      </c>
      <c r="AA161" s="42" t="s">
        <v>25</v>
      </c>
      <c r="AB161" s="35">
        <f t="shared" si="46"/>
        <v>433.66713061315545</v>
      </c>
      <c r="AC161" s="35"/>
      <c r="AD161" s="35"/>
      <c r="AE161" s="47"/>
      <c r="AF161" s="5" t="s">
        <v>216</v>
      </c>
      <c r="AG161" s="5" t="s">
        <v>216</v>
      </c>
    </row>
    <row r="162" spans="1:33">
      <c r="B162" s="5" t="s">
        <v>489</v>
      </c>
      <c r="C162" s="5" t="s">
        <v>490</v>
      </c>
      <c r="D162" s="35">
        <v>314201.918646826</v>
      </c>
      <c r="E162" s="35">
        <v>328281.52767131501</v>
      </c>
      <c r="F162" s="35">
        <v>356286.48863402801</v>
      </c>
      <c r="G162" s="35">
        <v>465.91859496134902</v>
      </c>
      <c r="H162" s="40">
        <v>18.0471808003565</v>
      </c>
      <c r="I162" s="42">
        <v>4.4220771301404803E-2</v>
      </c>
      <c r="J162" s="42" t="s">
        <v>25</v>
      </c>
      <c r="K162" s="42">
        <v>2.76501526518695E-2</v>
      </c>
      <c r="L162" s="40">
        <v>94.985897313147305</v>
      </c>
      <c r="M162" s="40">
        <v>22.515603221918401</v>
      </c>
      <c r="N162" s="42">
        <v>3.8750382126609999</v>
      </c>
      <c r="O162" s="42">
        <v>8.9899248375477393E-3</v>
      </c>
      <c r="P162" s="40">
        <v>55.978457873905199</v>
      </c>
      <c r="Q162" s="42">
        <v>1.6360781879361901</v>
      </c>
      <c r="R162" s="42">
        <v>4.2654738511790802</v>
      </c>
      <c r="S162" s="42">
        <v>2.90545348859504</v>
      </c>
      <c r="T162" s="42">
        <v>0.54273725943599604</v>
      </c>
      <c r="U162" s="42">
        <v>2.0108759017970702E-2</v>
      </c>
      <c r="V162" s="42" t="s">
        <v>25</v>
      </c>
      <c r="W162" s="42">
        <v>3.4882593152996701</v>
      </c>
      <c r="X162" s="42">
        <v>0.63157895768146899</v>
      </c>
      <c r="Y162" s="42" t="s">
        <v>25</v>
      </c>
      <c r="Z162" s="42" t="s">
        <v>25</v>
      </c>
      <c r="AA162" s="42" t="s">
        <v>25</v>
      </c>
      <c r="AB162" s="35">
        <f t="shared" si="46"/>
        <v>289.34280276729407</v>
      </c>
      <c r="AC162" s="35"/>
      <c r="AD162" s="35"/>
      <c r="AE162" s="47"/>
      <c r="AF162" s="4" t="s">
        <v>216</v>
      </c>
      <c r="AG162" s="4" t="s">
        <v>216</v>
      </c>
    </row>
    <row r="163" spans="1:33">
      <c r="B163" s="5" t="s">
        <v>491</v>
      </c>
      <c r="C163" s="5" t="s">
        <v>492</v>
      </c>
      <c r="D163" s="35">
        <v>322738.26432066102</v>
      </c>
      <c r="E163" s="35">
        <v>302486.44697017898</v>
      </c>
      <c r="F163" s="35">
        <v>373444.06877301302</v>
      </c>
      <c r="G163" s="35">
        <v>638.80056153324995</v>
      </c>
      <c r="H163" s="40">
        <v>40.118695014246001</v>
      </c>
      <c r="I163" s="42">
        <v>7.5427188956277993E-2</v>
      </c>
      <c r="J163" s="42">
        <v>0.55116976172723797</v>
      </c>
      <c r="K163" s="42">
        <v>6.5105053585853195E-2</v>
      </c>
      <c r="L163" s="35">
        <v>176.104801154265</v>
      </c>
      <c r="M163" s="40">
        <v>10.6106260058788</v>
      </c>
      <c r="N163" s="42">
        <v>0.713308249787731</v>
      </c>
      <c r="O163" s="42">
        <v>5.8852548268064301E-3</v>
      </c>
      <c r="P163" s="40">
        <v>39.385778892801603</v>
      </c>
      <c r="Q163" s="42">
        <v>2.5145970181024602</v>
      </c>
      <c r="R163" s="42">
        <v>4.7309654895021598E-2</v>
      </c>
      <c r="S163" s="42">
        <v>2.4993111939099002</v>
      </c>
      <c r="T163" s="42">
        <v>7.6759921765294406E-2</v>
      </c>
      <c r="U163" s="42">
        <v>9.9504686319861792E-3</v>
      </c>
      <c r="V163" s="42">
        <v>9.3078770617922007E-3</v>
      </c>
      <c r="W163" s="42">
        <v>0.17637056095148601</v>
      </c>
      <c r="X163" s="42">
        <v>6.0138399966899903E-2</v>
      </c>
      <c r="Y163" s="42">
        <v>1.39402960910112E-2</v>
      </c>
      <c r="Z163" s="42">
        <v>5.7248718949053003E-3</v>
      </c>
      <c r="AA163" s="42" t="s">
        <v>25</v>
      </c>
      <c r="AB163" s="35">
        <f t="shared" si="46"/>
        <v>582.1907160409952</v>
      </c>
      <c r="AC163" s="35"/>
      <c r="AD163" s="35"/>
      <c r="AE163" s="47"/>
      <c r="AF163" s="5">
        <v>3.77</v>
      </c>
      <c r="AG163" s="5">
        <v>0.19</v>
      </c>
    </row>
    <row r="164" spans="1:33">
      <c r="B164" s="5" t="s">
        <v>493</v>
      </c>
      <c r="C164" s="5" t="s">
        <v>494</v>
      </c>
      <c r="D164" s="35">
        <v>322661.279368811</v>
      </c>
      <c r="E164" s="35">
        <v>336968.85602215602</v>
      </c>
      <c r="F164" s="35">
        <v>337994.39975193102</v>
      </c>
      <c r="G164" s="35">
        <v>733.21844956132395</v>
      </c>
      <c r="H164" s="40">
        <v>35.950947245145002</v>
      </c>
      <c r="I164" s="42">
        <v>1.3210858921853299</v>
      </c>
      <c r="J164" s="42">
        <v>3.3049170599916802</v>
      </c>
      <c r="K164" s="42">
        <v>0.67431123321451703</v>
      </c>
      <c r="L164" s="35">
        <v>154.782897257418</v>
      </c>
      <c r="M164" s="40">
        <v>12.439771751315201</v>
      </c>
      <c r="N164" s="42">
        <v>1.19644633311099</v>
      </c>
      <c r="O164" s="42" t="s">
        <v>25</v>
      </c>
      <c r="P164" s="40">
        <v>33.530762183488903</v>
      </c>
      <c r="Q164" s="42">
        <v>4.7358381662133002</v>
      </c>
      <c r="R164" s="40">
        <v>24.2255421032485</v>
      </c>
      <c r="S164" s="42">
        <v>4.18709323304682</v>
      </c>
      <c r="T164" s="42">
        <v>1.82207604985108</v>
      </c>
      <c r="U164" s="42">
        <v>1.186591675178E-2</v>
      </c>
      <c r="V164" s="42">
        <v>0.82209056320912599</v>
      </c>
      <c r="W164" s="40">
        <v>31.522290789177902</v>
      </c>
      <c r="X164" s="42">
        <v>0.49130535952452298</v>
      </c>
      <c r="Y164" s="40">
        <v>42.607984859077099</v>
      </c>
      <c r="Z164" s="42" t="s">
        <v>25</v>
      </c>
      <c r="AA164" s="42" t="s">
        <v>25</v>
      </c>
      <c r="AB164" s="35">
        <f t="shared" si="46"/>
        <v>459.33888100104087</v>
      </c>
      <c r="AC164" s="35"/>
      <c r="AD164" s="35"/>
      <c r="AE164" s="47"/>
      <c r="AF164" s="5" t="s">
        <v>216</v>
      </c>
      <c r="AG164" s="5" t="s">
        <v>216</v>
      </c>
    </row>
    <row r="165" spans="1:33">
      <c r="B165" s="5" t="s">
        <v>495</v>
      </c>
      <c r="C165" s="5" t="s">
        <v>496</v>
      </c>
      <c r="D165" s="35">
        <v>319908.51086881501</v>
      </c>
      <c r="E165" s="35">
        <v>354062.93758571998</v>
      </c>
      <c r="F165" s="35">
        <v>322818.21159693698</v>
      </c>
      <c r="G165" s="35">
        <v>739.87402213692997</v>
      </c>
      <c r="H165" s="40">
        <v>35.597419951299102</v>
      </c>
      <c r="I165" s="42">
        <v>1.55484786234157</v>
      </c>
      <c r="J165" s="42">
        <v>4.3325638664444304</v>
      </c>
      <c r="K165" s="42">
        <v>0.42966342270162999</v>
      </c>
      <c r="L165" s="35">
        <v>192.39681186700099</v>
      </c>
      <c r="M165" s="42">
        <v>9.4323000265847803</v>
      </c>
      <c r="N165" s="42">
        <v>0.76988577672360303</v>
      </c>
      <c r="O165" s="42">
        <v>1.4110961818734301E-2</v>
      </c>
      <c r="P165" s="40">
        <v>52.422601502469497</v>
      </c>
      <c r="Q165" s="42">
        <v>3.5465011377320801</v>
      </c>
      <c r="R165" s="40">
        <v>63.135936697102302</v>
      </c>
      <c r="S165" s="42">
        <v>4.0934231148386697</v>
      </c>
      <c r="T165" s="42">
        <v>7.6779017636590501</v>
      </c>
      <c r="U165" s="42">
        <v>0.20143561340419999</v>
      </c>
      <c r="V165" s="42">
        <v>0.51163212153633197</v>
      </c>
      <c r="W165" s="40">
        <v>38.440112763944903</v>
      </c>
      <c r="X165" s="42">
        <v>2.2107011667312699</v>
      </c>
      <c r="Y165" s="40">
        <v>13.6704478583642</v>
      </c>
      <c r="Z165" s="42">
        <v>1.18720136649497E-2</v>
      </c>
      <c r="AA165" s="42">
        <v>0.11972487872559499</v>
      </c>
      <c r="AB165" s="35">
        <f t="shared" si="46"/>
        <v>543.39720835768355</v>
      </c>
      <c r="AC165" s="35"/>
      <c r="AD165" s="35"/>
      <c r="AE165" s="47"/>
      <c r="AF165" s="5" t="s">
        <v>216</v>
      </c>
      <c r="AG165" s="5" t="s">
        <v>216</v>
      </c>
    </row>
    <row r="166" spans="1:33">
      <c r="B166" s="5" t="s">
        <v>497</v>
      </c>
      <c r="C166" s="5" t="s">
        <v>498</v>
      </c>
      <c r="D166" s="35">
        <v>327530.41205873201</v>
      </c>
      <c r="E166" s="35">
        <v>356532.07115463098</v>
      </c>
      <c r="F166" s="35">
        <v>311750.54047801899</v>
      </c>
      <c r="G166" s="35">
        <v>1010.82422320137</v>
      </c>
      <c r="H166" s="35">
        <v>103.63596609059</v>
      </c>
      <c r="I166" s="42">
        <v>2.81674770173389</v>
      </c>
      <c r="J166" s="42">
        <v>5.1724411269315498</v>
      </c>
      <c r="K166" s="42">
        <v>0.43732541554412702</v>
      </c>
      <c r="L166" s="35">
        <v>167.11472485769499</v>
      </c>
      <c r="M166" s="40">
        <v>14.5502507155523</v>
      </c>
      <c r="N166" s="42">
        <v>1.0521032015116301</v>
      </c>
      <c r="O166" s="42">
        <v>1.6628296023588202E-2</v>
      </c>
      <c r="P166" s="40">
        <v>51.197329756555</v>
      </c>
      <c r="Q166" s="42">
        <v>6.0756647920320104</v>
      </c>
      <c r="R166" s="35">
        <v>207.51942300793499</v>
      </c>
      <c r="S166" s="42">
        <v>5.6434907981690001</v>
      </c>
      <c r="T166" s="42">
        <v>4.0352347084002202</v>
      </c>
      <c r="U166" s="42">
        <v>0.45019580451177799</v>
      </c>
      <c r="V166" s="42">
        <v>0.35684625918854102</v>
      </c>
      <c r="W166" s="40">
        <v>79.912160453831305</v>
      </c>
      <c r="X166" s="42">
        <v>5.06749056512108</v>
      </c>
      <c r="Y166" s="42">
        <v>5.2412889946494197</v>
      </c>
      <c r="Z166" s="42">
        <v>1.5691947204037601E-2</v>
      </c>
      <c r="AA166" s="42">
        <v>0.11402305290575</v>
      </c>
      <c r="AB166" s="35">
        <f t="shared" si="46"/>
        <v>468.72283976163232</v>
      </c>
      <c r="AC166" s="35"/>
      <c r="AD166" s="35"/>
      <c r="AE166" s="47"/>
    </row>
    <row r="167" spans="1:33">
      <c r="B167" s="5" t="s">
        <v>499</v>
      </c>
      <c r="C167" s="5" t="s">
        <v>500</v>
      </c>
      <c r="D167" s="35">
        <v>330051.61599352199</v>
      </c>
      <c r="E167" s="35">
        <v>338994.96016966301</v>
      </c>
      <c r="F167" s="35">
        <v>329751.22315745702</v>
      </c>
      <c r="G167" s="35">
        <v>507.75957411963901</v>
      </c>
      <c r="H167" s="40">
        <v>34.890569179501497</v>
      </c>
      <c r="I167" s="42">
        <v>0.28691946821582898</v>
      </c>
      <c r="J167" s="42">
        <v>1.52983262937192</v>
      </c>
      <c r="K167" s="42">
        <v>3.7733755071206403E-2</v>
      </c>
      <c r="L167" s="35">
        <v>217.81966849522601</v>
      </c>
      <c r="M167" s="42">
        <v>7.1621385846236896</v>
      </c>
      <c r="N167" s="42">
        <v>0.57942455323495401</v>
      </c>
      <c r="O167" s="42" t="s">
        <v>25</v>
      </c>
      <c r="P167" s="40">
        <v>46.520889193185603</v>
      </c>
      <c r="Q167" s="42">
        <v>1.94188764382789</v>
      </c>
      <c r="R167" s="40">
        <v>10.079307757881599</v>
      </c>
      <c r="S167" s="42">
        <v>3.77687855575918</v>
      </c>
      <c r="T167" s="42">
        <v>0.28050627829702601</v>
      </c>
      <c r="U167" s="42">
        <v>1.71567449756975E-2</v>
      </c>
      <c r="V167" s="42" t="s">
        <v>25</v>
      </c>
      <c r="W167" s="42">
        <v>5.5400398588083197</v>
      </c>
      <c r="X167" s="42">
        <v>0.12519708760093401</v>
      </c>
      <c r="Y167" s="42">
        <v>1.11488806388732</v>
      </c>
      <c r="Z167" s="42" t="s">
        <v>25</v>
      </c>
      <c r="AA167" s="42">
        <v>6.5124488739360401E-2</v>
      </c>
      <c r="AB167" s="35">
        <f t="shared" si="46"/>
        <v>642.54544783264566</v>
      </c>
      <c r="AC167" s="35"/>
      <c r="AD167" s="35"/>
      <c r="AE167" s="47"/>
      <c r="AF167" s="5" t="s">
        <v>216</v>
      </c>
      <c r="AG167" s="5" t="s">
        <v>216</v>
      </c>
    </row>
    <row r="168" spans="1:33">
      <c r="B168" s="5" t="s">
        <v>501</v>
      </c>
      <c r="C168" s="5" t="s">
        <v>502</v>
      </c>
      <c r="D168" s="35">
        <v>322674.72031286499</v>
      </c>
      <c r="E168" s="35">
        <v>343803.84997090802</v>
      </c>
      <c r="F168" s="35">
        <v>332322.74656549498</v>
      </c>
      <c r="G168" s="35">
        <v>460.47903237713803</v>
      </c>
      <c r="H168" s="40">
        <v>41.504165363504498</v>
      </c>
      <c r="I168" s="42">
        <v>0.162620011603094</v>
      </c>
      <c r="J168" s="42" t="s">
        <v>25</v>
      </c>
      <c r="K168" s="42">
        <v>3.5615355696678799E-2</v>
      </c>
      <c r="L168" s="35">
        <v>171.23019864930001</v>
      </c>
      <c r="M168" s="40">
        <v>13.0234209163487</v>
      </c>
      <c r="N168" s="42">
        <v>1.36909044100142</v>
      </c>
      <c r="O168" s="42" t="s">
        <v>25</v>
      </c>
      <c r="P168" s="40">
        <v>40.483611272473297</v>
      </c>
      <c r="Q168" s="42">
        <v>3.1331164999650798</v>
      </c>
      <c r="R168" s="42">
        <v>0.13041636133321299</v>
      </c>
      <c r="S168" s="42">
        <v>2.5067820436902402</v>
      </c>
      <c r="T168" s="42">
        <v>6.6265624145935703E-2</v>
      </c>
      <c r="U168" s="42">
        <v>8.5027141045519693E-3</v>
      </c>
      <c r="V168" s="42" t="s">
        <v>25</v>
      </c>
      <c r="W168" s="42">
        <v>0.52693632644889699</v>
      </c>
      <c r="X168" s="42">
        <v>1.67504407673255E-2</v>
      </c>
      <c r="Y168" s="42">
        <v>7.2914139044648798E-3</v>
      </c>
      <c r="Z168" s="42">
        <v>9.0810860203145594E-3</v>
      </c>
      <c r="AA168" s="42" t="s">
        <v>25</v>
      </c>
      <c r="AB168" s="35">
        <f t="shared" si="46"/>
        <v>498.04619309466477</v>
      </c>
      <c r="AC168" s="35"/>
      <c r="AD168" s="35"/>
      <c r="AE168" s="47"/>
    </row>
    <row r="169" spans="1:33">
      <c r="B169" s="5" t="s">
        <v>503</v>
      </c>
      <c r="C169" s="5" t="s">
        <v>504</v>
      </c>
      <c r="D169" s="35">
        <v>344972.15954536898</v>
      </c>
      <c r="E169" s="35">
        <v>342705.56315961399</v>
      </c>
      <c r="F169" s="35">
        <v>311184.29567360098</v>
      </c>
      <c r="G169" s="35">
        <v>396.36569404975899</v>
      </c>
      <c r="H169" s="40">
        <v>39.826541641873199</v>
      </c>
      <c r="I169" s="42">
        <v>6.2598048846825793E-2</v>
      </c>
      <c r="J169" s="42" t="s">
        <v>25</v>
      </c>
      <c r="K169" s="42">
        <v>6.16598968912788E-2</v>
      </c>
      <c r="L169" s="35">
        <v>170.637640599739</v>
      </c>
      <c r="M169" s="40">
        <v>11.158914954194399</v>
      </c>
      <c r="N169" s="42">
        <v>1.7145407175118199</v>
      </c>
      <c r="O169" s="42" t="s">
        <v>25</v>
      </c>
      <c r="P169" s="40">
        <v>32.848006563559601</v>
      </c>
      <c r="Q169" s="42">
        <v>2.5969417009665401</v>
      </c>
      <c r="R169" s="42">
        <v>9.5901533968715494E-2</v>
      </c>
      <c r="S169" s="42">
        <v>3.0215073460616102</v>
      </c>
      <c r="T169" s="42">
        <v>3.8272502241387701E-2</v>
      </c>
      <c r="U169" s="42" t="s">
        <v>25</v>
      </c>
      <c r="V169" s="42" t="s">
        <v>25</v>
      </c>
      <c r="W169" s="42" t="s">
        <v>25</v>
      </c>
      <c r="X169" s="42">
        <v>6.1434002533565499E-2</v>
      </c>
      <c r="Y169" s="42">
        <v>7.5022759509092204E-3</v>
      </c>
      <c r="Z169" s="42" t="s">
        <v>25</v>
      </c>
      <c r="AA169" s="42" t="s">
        <v>25</v>
      </c>
      <c r="AB169" s="35">
        <f t="shared" si="46"/>
        <v>497.91324957355619</v>
      </c>
      <c r="AC169" s="35"/>
      <c r="AD169" s="35"/>
      <c r="AE169" s="47"/>
    </row>
    <row r="170" spans="1:33">
      <c r="B170" s="5" t="s">
        <v>505</v>
      </c>
      <c r="C170" s="5" t="s">
        <v>506</v>
      </c>
      <c r="D170" s="35">
        <v>338939.55170032498</v>
      </c>
      <c r="E170" s="35">
        <v>351620.15712416399</v>
      </c>
      <c r="F170" s="35">
        <v>308027.14980097598</v>
      </c>
      <c r="G170" s="35">
        <v>529.64706700693398</v>
      </c>
      <c r="H170" s="40">
        <v>47.444043950709201</v>
      </c>
      <c r="I170" s="42">
        <v>0.25626015345498798</v>
      </c>
      <c r="J170" s="42">
        <v>4.9346325542502898</v>
      </c>
      <c r="K170" s="42">
        <v>0.181729731002854</v>
      </c>
      <c r="L170" s="35">
        <v>247.65580784263301</v>
      </c>
      <c r="M170" s="42">
        <v>8.7855604002590901</v>
      </c>
      <c r="N170" s="42">
        <v>1.5831380871224801</v>
      </c>
      <c r="O170" s="42" t="s">
        <v>25</v>
      </c>
      <c r="P170" s="40">
        <v>41.377553571507697</v>
      </c>
      <c r="Q170" s="42">
        <v>3.1934813674208899</v>
      </c>
      <c r="R170" s="42">
        <v>6.2900818138081398</v>
      </c>
      <c r="S170" s="42">
        <v>4.5556242839963597</v>
      </c>
      <c r="T170" s="42">
        <v>7.5034841654236804</v>
      </c>
      <c r="U170" s="42">
        <v>6.2973501654616003E-3</v>
      </c>
      <c r="V170" s="42">
        <v>2.7175076130881898E-2</v>
      </c>
      <c r="W170" s="40">
        <v>17.9682953698543</v>
      </c>
      <c r="X170" s="42">
        <v>9.5888014037527503E-2</v>
      </c>
      <c r="Y170" s="42">
        <v>0.130266861473358</v>
      </c>
      <c r="Z170" s="42">
        <v>5.4174107177892197E-3</v>
      </c>
      <c r="AA170" s="42">
        <v>9.46821127949629E-2</v>
      </c>
      <c r="AB170" s="35">
        <f t="shared" si="46"/>
        <v>704.32767526231692</v>
      </c>
      <c r="AC170" s="35"/>
      <c r="AD170" s="35"/>
      <c r="AE170" s="47"/>
      <c r="AF170" s="5" t="s">
        <v>216</v>
      </c>
      <c r="AG170" s="5" t="s">
        <v>216</v>
      </c>
    </row>
    <row r="171" spans="1:33">
      <c r="B171" s="5" t="s">
        <v>507</v>
      </c>
      <c r="C171" s="5" t="s">
        <v>508</v>
      </c>
      <c r="D171" s="35">
        <v>342499.28715801798</v>
      </c>
      <c r="E171" s="35">
        <v>354144.84508276498</v>
      </c>
      <c r="F171" s="35">
        <v>301961.11258997303</v>
      </c>
      <c r="G171" s="35">
        <v>551.11049217989398</v>
      </c>
      <c r="H171" s="40">
        <v>40.743967128138102</v>
      </c>
      <c r="I171" s="42">
        <v>6.6294342685127905E-2</v>
      </c>
      <c r="J171" s="42" t="s">
        <v>25</v>
      </c>
      <c r="K171" s="42">
        <v>8.5399721447873608E-3</v>
      </c>
      <c r="L171" s="35">
        <v>159.14859864189501</v>
      </c>
      <c r="M171" s="40">
        <v>16.640813509593901</v>
      </c>
      <c r="N171" s="42">
        <v>2.1939083206052099</v>
      </c>
      <c r="O171" s="42" t="s">
        <v>25</v>
      </c>
      <c r="P171" s="40">
        <v>51.592162190315698</v>
      </c>
      <c r="Q171" s="42">
        <v>2.5308909710316199</v>
      </c>
      <c r="R171" s="42">
        <v>0.29749449667507899</v>
      </c>
      <c r="S171" s="42">
        <v>3.1579709791254902</v>
      </c>
      <c r="T171" s="42">
        <v>0.299842586574533</v>
      </c>
      <c r="U171" s="42">
        <v>1.16212262997981E-2</v>
      </c>
      <c r="V171" s="42">
        <v>1.08650369652349E-2</v>
      </c>
      <c r="W171" s="42">
        <v>2.0321837236146201</v>
      </c>
      <c r="X171" s="42">
        <v>4.3340639956858697E-2</v>
      </c>
      <c r="Y171" s="42">
        <v>0.75729338862937701</v>
      </c>
      <c r="Z171" s="42" t="s">
        <v>25</v>
      </c>
      <c r="AA171" s="42">
        <v>5.8289967528443003E-2</v>
      </c>
      <c r="AB171" s="35">
        <f t="shared" si="46"/>
        <v>449.38843767357781</v>
      </c>
      <c r="AC171" s="35"/>
      <c r="AD171" s="35"/>
      <c r="AE171" s="47"/>
      <c r="AF171" s="5" t="s">
        <v>216</v>
      </c>
      <c r="AG171" s="5" t="s">
        <v>216</v>
      </c>
    </row>
    <row r="172" spans="1:33">
      <c r="A172" s="36"/>
      <c r="B172" s="37" t="s">
        <v>113</v>
      </c>
      <c r="C172" s="37"/>
      <c r="D172" s="38">
        <f t="shared" ref="D172:AB172" si="47">MEDIAN(D157:D171)</f>
        <v>322674.72031286499</v>
      </c>
      <c r="E172" s="38">
        <f t="shared" si="47"/>
        <v>342616.38112376799</v>
      </c>
      <c r="F172" s="38">
        <f t="shared" si="47"/>
        <v>337994.39975193102</v>
      </c>
      <c r="G172" s="38">
        <f t="shared" si="47"/>
        <v>507.75957411963901</v>
      </c>
      <c r="H172" s="41">
        <f t="shared" si="47"/>
        <v>36.113387436007798</v>
      </c>
      <c r="I172" s="39">
        <f t="shared" si="47"/>
        <v>0.12643582096363798</v>
      </c>
      <c r="J172" s="39">
        <f t="shared" si="47"/>
        <v>3.2272942650077598</v>
      </c>
      <c r="K172" s="39">
        <f t="shared" si="47"/>
        <v>0.11549398734800299</v>
      </c>
      <c r="L172" s="38">
        <f t="shared" si="47"/>
        <v>170.637640599739</v>
      </c>
      <c r="M172" s="41">
        <f t="shared" si="47"/>
        <v>12.0850413498269</v>
      </c>
      <c r="N172" s="39">
        <f t="shared" si="47"/>
        <v>1.23831570199214</v>
      </c>
      <c r="O172" s="39">
        <f t="shared" si="47"/>
        <v>1.155044332814102E-2</v>
      </c>
      <c r="P172" s="41">
        <f t="shared" si="47"/>
        <v>46.520889193185603</v>
      </c>
      <c r="Q172" s="39">
        <f t="shared" si="47"/>
        <v>2.8020263973339401</v>
      </c>
      <c r="R172" s="39">
        <f t="shared" si="47"/>
        <v>7.4397077951962398</v>
      </c>
      <c r="S172" s="39">
        <f t="shared" si="47"/>
        <v>3.77687855575918</v>
      </c>
      <c r="T172" s="39">
        <f t="shared" si="47"/>
        <v>0.59467092897802498</v>
      </c>
      <c r="U172" s="39">
        <f t="shared" si="47"/>
        <v>1.19962905547245E-2</v>
      </c>
      <c r="V172" s="39">
        <f t="shared" si="47"/>
        <v>3.578703619891245E-2</v>
      </c>
      <c r="W172" s="39">
        <f t="shared" si="47"/>
        <v>7.5016725745176451</v>
      </c>
      <c r="X172" s="39">
        <f t="shared" si="47"/>
        <v>0.1274879641387105</v>
      </c>
      <c r="Y172" s="39">
        <f t="shared" si="47"/>
        <v>0.75729338862937701</v>
      </c>
      <c r="Z172" s="39">
        <f>MEDIAN(Z157:Z171)</f>
        <v>7.5674584254208244E-3</v>
      </c>
      <c r="AA172" s="39">
        <f>MEDIAN(AA157:AA171)</f>
        <v>9.46821127949629E-2</v>
      </c>
      <c r="AB172" s="38">
        <f t="shared" si="47"/>
        <v>497.91324957355619</v>
      </c>
      <c r="AC172" s="38"/>
      <c r="AD172" s="38"/>
      <c r="AE172" s="44"/>
      <c r="AF172" s="37"/>
      <c r="AG172" s="37"/>
    </row>
    <row r="173" spans="1:33">
      <c r="A173" s="36"/>
      <c r="B173" s="37" t="s">
        <v>31</v>
      </c>
      <c r="C173" s="37"/>
      <c r="D173" s="38">
        <f t="shared" ref="D173:AB173" si="48">AVERAGE(D157:D171)</f>
        <v>324036.44882035971</v>
      </c>
      <c r="E173" s="38">
        <f t="shared" si="48"/>
        <v>338479.63785029179</v>
      </c>
      <c r="F173" s="38">
        <f t="shared" si="48"/>
        <v>335842.20485041145</v>
      </c>
      <c r="G173" s="38">
        <f t="shared" si="48"/>
        <v>554.9590966894051</v>
      </c>
      <c r="H173" s="41">
        <f t="shared" si="48"/>
        <v>37.683908207281021</v>
      </c>
      <c r="I173" s="39">
        <f t="shared" si="48"/>
        <v>0.50260157224582269</v>
      </c>
      <c r="J173" s="39">
        <f t="shared" si="48"/>
        <v>2.8329228698726978</v>
      </c>
      <c r="K173" s="39">
        <f t="shared" si="48"/>
        <v>0.20046999484137126</v>
      </c>
      <c r="L173" s="38">
        <f t="shared" si="48"/>
        <v>178.19525655854622</v>
      </c>
      <c r="M173" s="41">
        <f t="shared" si="48"/>
        <v>12.038640763911607</v>
      </c>
      <c r="N173" s="39">
        <f t="shared" si="48"/>
        <v>1.401071750678297</v>
      </c>
      <c r="O173" s="39">
        <f t="shared" si="48"/>
        <v>1.1135675381186289E-2</v>
      </c>
      <c r="P173" s="41">
        <f t="shared" si="48"/>
        <v>45.50087756388173</v>
      </c>
      <c r="Q173" s="39">
        <f t="shared" si="48"/>
        <v>3.0381470170467959</v>
      </c>
      <c r="R173" s="41">
        <f t="shared" si="48"/>
        <v>25.309643551223221</v>
      </c>
      <c r="S173" s="39">
        <f t="shared" si="48"/>
        <v>3.5609372997948574</v>
      </c>
      <c r="T173" s="39">
        <f t="shared" si="48"/>
        <v>2.5339072099932212</v>
      </c>
      <c r="U173" s="39">
        <f t="shared" si="48"/>
        <v>7.2228766598588429E-2</v>
      </c>
      <c r="V173" s="39">
        <f t="shared" si="48"/>
        <v>0.22618637581121664</v>
      </c>
      <c r="W173" s="41">
        <f t="shared" si="48"/>
        <v>17.59378378746754</v>
      </c>
      <c r="X173" s="39">
        <f t="shared" si="48"/>
        <v>0.69446018247407337</v>
      </c>
      <c r="Y173" s="39">
        <f t="shared" si="48"/>
        <v>5.2113065773689859</v>
      </c>
      <c r="Z173" s="39">
        <f>AVERAGE(Z157:Z171)</f>
        <v>8.9735267220872449E-3</v>
      </c>
      <c r="AA173" s="39">
        <f>AVERAGE(AA157:AA171)</f>
        <v>0.10555310564531557</v>
      </c>
      <c r="AB173" s="38">
        <f t="shared" si="48"/>
        <v>527.37727629030769</v>
      </c>
      <c r="AC173" s="38"/>
      <c r="AD173" s="38"/>
      <c r="AE173" s="44"/>
      <c r="AF173" s="37"/>
      <c r="AG173" s="37"/>
    </row>
    <row r="174" spans="1:33">
      <c r="A174" s="36"/>
      <c r="B174" s="37" t="s">
        <v>34</v>
      </c>
      <c r="C174" s="37"/>
      <c r="D174" s="38">
        <f t="shared" ref="D174:AB174" si="49">STDEV(D157:D171)</f>
        <v>11863.821184876062</v>
      </c>
      <c r="E174" s="38">
        <f t="shared" si="49"/>
        <v>14313.11065457021</v>
      </c>
      <c r="F174" s="38">
        <f t="shared" si="49"/>
        <v>21145.899065715388</v>
      </c>
      <c r="G174" s="38">
        <f t="shared" si="49"/>
        <v>178.83609245108886</v>
      </c>
      <c r="H174" s="41">
        <f t="shared" si="49"/>
        <v>21.69996766505249</v>
      </c>
      <c r="I174" s="39">
        <f t="shared" si="49"/>
        <v>0.8225150713522501</v>
      </c>
      <c r="J174" s="39">
        <f t="shared" si="49"/>
        <v>1.7649467899126645</v>
      </c>
      <c r="K174" s="39">
        <f t="shared" si="49"/>
        <v>0.21188277221209684</v>
      </c>
      <c r="L174" s="41">
        <f t="shared" si="49"/>
        <v>49.731867461994085</v>
      </c>
      <c r="M174" s="39">
        <f t="shared" si="49"/>
        <v>4.1656915005055017</v>
      </c>
      <c r="N174" s="39">
        <f t="shared" si="49"/>
        <v>0.83418327677138848</v>
      </c>
      <c r="O174" s="44">
        <f t="shared" si="49"/>
        <v>4.6327825637730658E-3</v>
      </c>
      <c r="P174" s="41">
        <f t="shared" si="49"/>
        <v>10.775654059891348</v>
      </c>
      <c r="Q174" s="39">
        <f t="shared" si="49"/>
        <v>1.1635260631730289</v>
      </c>
      <c r="R174" s="41">
        <f t="shared" si="49"/>
        <v>55.018022611047392</v>
      </c>
      <c r="S174" s="39">
        <f t="shared" si="49"/>
        <v>0.98085619431645088</v>
      </c>
      <c r="T174" s="39">
        <f t="shared" si="49"/>
        <v>3.4690229132337462</v>
      </c>
      <c r="U174" s="39">
        <f t="shared" si="49"/>
        <v>0.13756995273195843</v>
      </c>
      <c r="V174" s="39">
        <f t="shared" si="49"/>
        <v>0.3068650681417977</v>
      </c>
      <c r="W174" s="41">
        <f t="shared" si="49"/>
        <v>23.174397638215311</v>
      </c>
      <c r="X174" s="39">
        <f t="shared" si="49"/>
        <v>1.3809830315200098</v>
      </c>
      <c r="Y174" s="41">
        <f t="shared" si="49"/>
        <v>11.852432790341419</v>
      </c>
      <c r="Z174" s="44">
        <f>STDEV(Z157:Z171)</f>
        <v>4.1297533256663081E-3</v>
      </c>
      <c r="AA174" s="39">
        <f>STDEV(AA157:AA171)</f>
        <v>4.8326003140021438E-2</v>
      </c>
      <c r="AB174" s="38">
        <f t="shared" si="49"/>
        <v>151.12436706728926</v>
      </c>
      <c r="AC174" s="38"/>
      <c r="AD174" s="38"/>
      <c r="AE174" s="44"/>
      <c r="AF174" s="37"/>
      <c r="AG174" s="37"/>
    </row>
    <row r="175" spans="1:33">
      <c r="A175" s="4" t="s">
        <v>509</v>
      </c>
      <c r="B175" s="5" t="s">
        <v>510</v>
      </c>
      <c r="C175" s="5" t="s">
        <v>511</v>
      </c>
      <c r="D175" s="35">
        <v>330870.99904546799</v>
      </c>
      <c r="E175" s="35">
        <v>362434.13319657301</v>
      </c>
      <c r="F175" s="35">
        <v>305399.41388140601</v>
      </c>
      <c r="G175" s="35">
        <v>661.80702845851397</v>
      </c>
      <c r="H175" s="40">
        <v>49.982494121434101</v>
      </c>
      <c r="I175" s="42">
        <v>5.4284769553021597E-2</v>
      </c>
      <c r="J175" s="42">
        <v>2.3840233051879798</v>
      </c>
      <c r="K175" s="42">
        <v>7.07388539316752E-2</v>
      </c>
      <c r="L175" s="35">
        <v>186.49597761017</v>
      </c>
      <c r="M175" s="40">
        <v>15.8330232963788</v>
      </c>
      <c r="N175" s="42">
        <v>1.11826249563896</v>
      </c>
      <c r="O175" s="42" t="s">
        <v>25</v>
      </c>
      <c r="P175" s="40">
        <v>94.113250156896299</v>
      </c>
      <c r="Q175" s="42">
        <v>4.0332229980248497</v>
      </c>
      <c r="R175" s="42">
        <v>0.243946656658034</v>
      </c>
      <c r="S175" s="42">
        <v>3.1479042608569201</v>
      </c>
      <c r="T175" s="42">
        <v>0.20834538390693699</v>
      </c>
      <c r="U175" s="42" t="s">
        <v>25</v>
      </c>
      <c r="V175" s="42">
        <v>1.68939384676314E-2</v>
      </c>
      <c r="W175" s="42">
        <v>0.37877475427503599</v>
      </c>
      <c r="X175" s="42">
        <v>6.7439421277482495E-2</v>
      </c>
      <c r="Y175" s="42">
        <v>3.7411379008706398E-2</v>
      </c>
      <c r="Z175" s="43" t="s">
        <v>25</v>
      </c>
      <c r="AA175" s="42" t="s">
        <v>25</v>
      </c>
      <c r="AB175" s="35">
        <f t="shared" ref="AB175:AB196" si="50">L175/E175*1000000</f>
        <v>514.56515964797484</v>
      </c>
      <c r="AC175" s="35"/>
      <c r="AD175" s="35"/>
      <c r="AE175" s="47"/>
      <c r="AF175" s="5" t="s">
        <v>216</v>
      </c>
      <c r="AG175" s="5" t="s">
        <v>216</v>
      </c>
    </row>
    <row r="176" spans="1:33">
      <c r="B176" s="5" t="s">
        <v>512</v>
      </c>
      <c r="C176" s="5" t="s">
        <v>513</v>
      </c>
      <c r="D176" s="35">
        <v>335896.720508167</v>
      </c>
      <c r="E176" s="35">
        <v>344778.06345283397</v>
      </c>
      <c r="F176" s="35">
        <v>317696.837092462</v>
      </c>
      <c r="G176" s="35">
        <v>535.57228988792394</v>
      </c>
      <c r="H176" s="40">
        <v>72.045304435698498</v>
      </c>
      <c r="I176" s="42">
        <v>4.44418573384485E-2</v>
      </c>
      <c r="J176" s="42">
        <v>0.329717738511217</v>
      </c>
      <c r="K176" s="42">
        <v>8.2777512098417799E-2</v>
      </c>
      <c r="L176" s="35">
        <v>236.385420460836</v>
      </c>
      <c r="M176" s="40">
        <v>10.479793575769399</v>
      </c>
      <c r="N176" s="42">
        <v>0.99059648078932605</v>
      </c>
      <c r="O176" s="42" t="s">
        <v>25</v>
      </c>
      <c r="P176" s="40">
        <v>86.804072470422298</v>
      </c>
      <c r="Q176" s="42">
        <v>5.01051169241246</v>
      </c>
      <c r="R176" s="42" t="s">
        <v>25</v>
      </c>
      <c r="S176" s="42">
        <v>2.9592708314291598</v>
      </c>
      <c r="T176" s="42">
        <v>0.38298091449760902</v>
      </c>
      <c r="U176" s="42" t="s">
        <v>25</v>
      </c>
      <c r="V176" s="42">
        <v>4.4008049257830702E-2</v>
      </c>
      <c r="W176" s="42">
        <v>1.04848970578836</v>
      </c>
      <c r="X176" s="42">
        <v>9.8780872399627406E-2</v>
      </c>
      <c r="Y176" s="42">
        <v>1.04648868182481</v>
      </c>
      <c r="Z176" s="43" t="s">
        <v>25</v>
      </c>
      <c r="AA176" s="42" t="s">
        <v>25</v>
      </c>
      <c r="AB176" s="35">
        <f t="shared" si="50"/>
        <v>685.61618478135517</v>
      </c>
      <c r="AC176" s="35"/>
      <c r="AD176" s="35"/>
      <c r="AE176" s="47"/>
      <c r="AF176" s="5" t="s">
        <v>216</v>
      </c>
      <c r="AG176" s="5" t="s">
        <v>216</v>
      </c>
    </row>
    <row r="177" spans="2:33">
      <c r="B177" s="5" t="s">
        <v>514</v>
      </c>
      <c r="C177" s="5" t="s">
        <v>515</v>
      </c>
      <c r="D177" s="35">
        <v>315430.85343362699</v>
      </c>
      <c r="E177" s="35">
        <v>371050.55095511902</v>
      </c>
      <c r="F177" s="35">
        <v>312302.42804996698</v>
      </c>
      <c r="G177" s="35">
        <v>427.15438033532598</v>
      </c>
      <c r="H177" s="40">
        <v>91.231416770305898</v>
      </c>
      <c r="I177" s="42">
        <v>1.8973872428135599E-2</v>
      </c>
      <c r="J177" s="42">
        <v>1.2379545843833999</v>
      </c>
      <c r="K177" s="42" t="s">
        <v>25</v>
      </c>
      <c r="L177" s="35">
        <v>206.26711360308701</v>
      </c>
      <c r="M177" s="42">
        <v>9.9358394672131496</v>
      </c>
      <c r="N177" s="42">
        <v>0.73542669650410297</v>
      </c>
      <c r="O177" s="42" t="s">
        <v>25</v>
      </c>
      <c r="P177" s="40">
        <v>92.136417377343903</v>
      </c>
      <c r="Q177" s="42">
        <v>6.9941825734181098</v>
      </c>
      <c r="R177" s="42">
        <v>3.8811886785176102E-2</v>
      </c>
      <c r="S177" s="42">
        <v>2.8477812037021102</v>
      </c>
      <c r="T177" s="42">
        <v>9.2789364626136503E-3</v>
      </c>
      <c r="U177" s="42" t="s">
        <v>25</v>
      </c>
      <c r="V177" s="42">
        <v>1.8399204535573199E-2</v>
      </c>
      <c r="W177" s="42">
        <v>0.175007146947184</v>
      </c>
      <c r="X177" s="42">
        <v>8.0610358961925699E-2</v>
      </c>
      <c r="Y177" s="42" t="s">
        <v>75</v>
      </c>
      <c r="Z177" s="42">
        <v>1.9347827715200602E-2</v>
      </c>
      <c r="AA177" s="42">
        <v>8.5456013093641203E-2</v>
      </c>
      <c r="AB177" s="35">
        <f t="shared" si="50"/>
        <v>555.90030272731315</v>
      </c>
      <c r="AC177" s="35"/>
      <c r="AD177" s="35"/>
      <c r="AE177" s="47"/>
      <c r="AF177" s="5" t="s">
        <v>216</v>
      </c>
      <c r="AG177" s="5" t="s">
        <v>216</v>
      </c>
    </row>
    <row r="178" spans="2:33">
      <c r="B178" s="5" t="s">
        <v>516</v>
      </c>
      <c r="C178" s="5" t="s">
        <v>517</v>
      </c>
      <c r="D178" s="35">
        <v>316970.64512600802</v>
      </c>
      <c r="E178" s="35">
        <v>348861.81882748002</v>
      </c>
      <c r="F178" s="35">
        <v>332906.75479094899</v>
      </c>
      <c r="G178" s="35">
        <v>423.79789390316398</v>
      </c>
      <c r="H178" s="40">
        <v>93.918523597893696</v>
      </c>
      <c r="I178" s="42" t="s">
        <v>25</v>
      </c>
      <c r="J178" s="42" t="s">
        <v>25</v>
      </c>
      <c r="K178" s="42">
        <v>5.9263030951658698E-2</v>
      </c>
      <c r="L178" s="35">
        <v>252.05011251813701</v>
      </c>
      <c r="M178" s="42">
        <v>8.1025831256589296</v>
      </c>
      <c r="N178" s="42">
        <v>0.53962423385004099</v>
      </c>
      <c r="O178" s="42">
        <v>1.45144373347559E-2</v>
      </c>
      <c r="P178" s="40">
        <v>89.278773325090995</v>
      </c>
      <c r="Q178" s="42">
        <v>6.0680145191835502</v>
      </c>
      <c r="R178" s="42">
        <v>2.19739870584587E-2</v>
      </c>
      <c r="S178" s="42">
        <v>2.7751325384416501</v>
      </c>
      <c r="T178" s="42">
        <v>1.0669863715409501E-2</v>
      </c>
      <c r="U178" s="42" t="s">
        <v>25</v>
      </c>
      <c r="V178" s="42" t="s">
        <v>25</v>
      </c>
      <c r="W178" s="42">
        <v>0.455869011504977</v>
      </c>
      <c r="X178" s="42">
        <v>9.4826741833179407E-2</v>
      </c>
      <c r="Y178" s="42">
        <v>5.0589945901370698E-2</v>
      </c>
      <c r="Z178" s="43" t="s">
        <v>25</v>
      </c>
      <c r="AA178" s="42" t="s">
        <v>25</v>
      </c>
      <c r="AB178" s="35">
        <f t="shared" si="50"/>
        <v>722.49268597312857</v>
      </c>
      <c r="AC178" s="35"/>
      <c r="AD178" s="35"/>
      <c r="AE178" s="47"/>
      <c r="AF178" s="5">
        <v>2.33</v>
      </c>
      <c r="AG178" s="5">
        <v>0.28999999999999998</v>
      </c>
    </row>
    <row r="179" spans="2:33">
      <c r="B179" s="5" t="s">
        <v>518</v>
      </c>
      <c r="C179" s="5" t="s">
        <v>519</v>
      </c>
      <c r="D179" s="35">
        <v>320863.15304499603</v>
      </c>
      <c r="E179" s="35">
        <v>341085.42600026901</v>
      </c>
      <c r="F179" s="35">
        <v>336839.68150563003</v>
      </c>
      <c r="G179" s="35">
        <v>395.16683489574598</v>
      </c>
      <c r="H179" s="35">
        <v>107.04897370741099</v>
      </c>
      <c r="I179" s="42">
        <v>6.3832081850569794E-2</v>
      </c>
      <c r="J179" s="42" t="s">
        <v>25</v>
      </c>
      <c r="K179" s="42">
        <v>8.51910325089449E-2</v>
      </c>
      <c r="L179" s="35">
        <v>264.21238905866198</v>
      </c>
      <c r="M179" s="42">
        <v>5.9871915202003496</v>
      </c>
      <c r="N179" s="42">
        <v>0.60742525652169799</v>
      </c>
      <c r="O179" s="42">
        <v>5.2753882452612798E-3</v>
      </c>
      <c r="P179" s="40">
        <v>91.750602011107702</v>
      </c>
      <c r="Q179" s="42">
        <v>5.8403422571705796</v>
      </c>
      <c r="R179" s="42" t="s">
        <v>25</v>
      </c>
      <c r="S179" s="42">
        <v>2.9735138252528599</v>
      </c>
      <c r="T179" s="42">
        <v>0.150207298050787</v>
      </c>
      <c r="U179" s="42">
        <v>8.4772181149301296E-3</v>
      </c>
      <c r="V179" s="42" t="s">
        <v>25</v>
      </c>
      <c r="W179" s="42">
        <v>0.36063903971532402</v>
      </c>
      <c r="X179" s="42">
        <v>3.88455223466697E-2</v>
      </c>
      <c r="Y179" s="42">
        <v>1.11799249054456E-2</v>
      </c>
      <c r="Z179" s="43" t="s">
        <v>25</v>
      </c>
      <c r="AA179" s="42">
        <v>5.6459980836756303E-2</v>
      </c>
      <c r="AB179" s="35">
        <f t="shared" si="50"/>
        <v>774.62233481196472</v>
      </c>
      <c r="AC179" s="35"/>
      <c r="AD179" s="35"/>
      <c r="AE179" s="47"/>
      <c r="AF179" s="5">
        <v>3.36</v>
      </c>
      <c r="AG179" s="5">
        <v>0.28999999999999998</v>
      </c>
    </row>
    <row r="180" spans="2:33" ht="14.1" customHeight="1">
      <c r="B180" s="5" t="s">
        <v>520</v>
      </c>
      <c r="C180" s="5" t="s">
        <v>521</v>
      </c>
      <c r="D180" s="35">
        <v>305932.32505621901</v>
      </c>
      <c r="E180" s="35">
        <v>346824.75316551398</v>
      </c>
      <c r="F180" s="35">
        <v>346022.60469814</v>
      </c>
      <c r="G180" s="35">
        <v>387.21994992656897</v>
      </c>
      <c r="H180" s="40">
        <v>72.448171200440896</v>
      </c>
      <c r="I180" s="42">
        <v>0.109587840318802</v>
      </c>
      <c r="J180" s="42">
        <v>0.48503699991713201</v>
      </c>
      <c r="K180" s="42" t="s">
        <v>25</v>
      </c>
      <c r="L180" s="35">
        <v>231.84634498324999</v>
      </c>
      <c r="M180" s="42">
        <v>6.9203355957206796</v>
      </c>
      <c r="N180" s="42">
        <v>0.85372999795591298</v>
      </c>
      <c r="O180" s="42">
        <v>5.1655777372676404E-3</v>
      </c>
      <c r="P180" s="40">
        <v>94.268996027478806</v>
      </c>
      <c r="Q180" s="42">
        <v>4.5020249333601496</v>
      </c>
      <c r="R180" s="42">
        <v>0.49520373309934701</v>
      </c>
      <c r="S180" s="42">
        <v>2.71779596594217</v>
      </c>
      <c r="T180" s="42">
        <v>0.23292633407719701</v>
      </c>
      <c r="U180" s="42" t="s">
        <v>25</v>
      </c>
      <c r="V180" s="42" t="s">
        <v>25</v>
      </c>
      <c r="W180" s="42">
        <v>0.61248294610203402</v>
      </c>
      <c r="X180" s="42">
        <v>8.0896489982537303E-2</v>
      </c>
      <c r="Y180" s="42">
        <v>0.23923489496512401</v>
      </c>
      <c r="Z180" s="42">
        <v>6.06476196081454E-3</v>
      </c>
      <c r="AA180" s="42" t="s">
        <v>25</v>
      </c>
      <c r="AB180" s="35">
        <f t="shared" si="50"/>
        <v>668.48269296570879</v>
      </c>
      <c r="AC180" s="35"/>
      <c r="AD180" s="35"/>
      <c r="AE180" s="47"/>
      <c r="AF180" s="5" t="s">
        <v>216</v>
      </c>
      <c r="AG180" s="5" t="s">
        <v>216</v>
      </c>
    </row>
    <row r="181" spans="2:33">
      <c r="B181" s="5" t="s">
        <v>522</v>
      </c>
      <c r="C181" s="5" t="s">
        <v>523</v>
      </c>
      <c r="D181" s="35">
        <v>303906.16899282701</v>
      </c>
      <c r="E181" s="35">
        <v>340565.25056226499</v>
      </c>
      <c r="F181" s="35">
        <v>354044.04196172598</v>
      </c>
      <c r="G181" s="35">
        <v>689.128421425032</v>
      </c>
      <c r="H181" s="40">
        <v>60.205916701438099</v>
      </c>
      <c r="I181" s="42">
        <v>3.8168013131926998E-2</v>
      </c>
      <c r="J181" s="42">
        <v>0.60671532202639999</v>
      </c>
      <c r="K181" s="42" t="s">
        <v>25</v>
      </c>
      <c r="L181" s="35">
        <v>116.87974180186001</v>
      </c>
      <c r="M181" s="40">
        <v>25.683232550057301</v>
      </c>
      <c r="N181" s="42">
        <v>4.0935465352693496</v>
      </c>
      <c r="O181" s="42" t="s">
        <v>25</v>
      </c>
      <c r="P181" s="35">
        <v>113.26108936727</v>
      </c>
      <c r="Q181" s="42">
        <v>2.8801162781608598</v>
      </c>
      <c r="R181" s="42">
        <v>0.19771051410797499</v>
      </c>
      <c r="S181" s="42">
        <v>3.4064447432948</v>
      </c>
      <c r="T181" s="42">
        <v>0.747437825223631</v>
      </c>
      <c r="U181" s="42">
        <v>6.4603667611058697E-3</v>
      </c>
      <c r="V181" s="42">
        <v>8.2314389629312507E-2</v>
      </c>
      <c r="W181" s="42">
        <v>3.7582280446995999</v>
      </c>
      <c r="X181" s="42">
        <v>4.3935950071316898E-2</v>
      </c>
      <c r="Y181" s="42">
        <v>0.67735987781249196</v>
      </c>
      <c r="Z181" s="43" t="s">
        <v>25</v>
      </c>
      <c r="AA181" s="42" t="s">
        <v>25</v>
      </c>
      <c r="AB181" s="35">
        <f t="shared" si="50"/>
        <v>343.19338690278698</v>
      </c>
      <c r="AC181" s="35"/>
      <c r="AD181" s="35"/>
      <c r="AE181" s="47"/>
      <c r="AF181" s="5" t="s">
        <v>216</v>
      </c>
      <c r="AG181" s="5" t="s">
        <v>216</v>
      </c>
    </row>
    <row r="182" spans="2:33">
      <c r="B182" s="5" t="s">
        <v>524</v>
      </c>
      <c r="C182" s="5" t="s">
        <v>525</v>
      </c>
      <c r="D182" s="35">
        <v>310293.66754719999</v>
      </c>
      <c r="E182" s="35">
        <v>342717.74559018901</v>
      </c>
      <c r="F182" s="35">
        <v>345563.49607246602</v>
      </c>
      <c r="G182" s="35">
        <v>570.77894597938098</v>
      </c>
      <c r="H182" s="40">
        <v>97.873126895681196</v>
      </c>
      <c r="I182" s="42" t="s">
        <v>25</v>
      </c>
      <c r="J182" s="42">
        <v>0.70176869576636403</v>
      </c>
      <c r="K182" s="42" t="s">
        <v>25</v>
      </c>
      <c r="L182" s="35">
        <v>174.20710747093301</v>
      </c>
      <c r="M182" s="40">
        <v>14.5056903796164</v>
      </c>
      <c r="N182" s="42">
        <v>0.99999957080122903</v>
      </c>
      <c r="O182" s="42" t="s">
        <v>25</v>
      </c>
      <c r="P182" s="35">
        <v>112.748819207675</v>
      </c>
      <c r="Q182" s="42">
        <v>7.7648572316017104</v>
      </c>
      <c r="R182" s="42" t="s">
        <v>25</v>
      </c>
      <c r="S182" s="42">
        <v>2.4735554208830601</v>
      </c>
      <c r="T182" s="42">
        <v>7.3079552605734399E-2</v>
      </c>
      <c r="U182" s="42">
        <v>7.5758075254938901E-3</v>
      </c>
      <c r="V182" s="42" t="s">
        <v>25</v>
      </c>
      <c r="W182" s="42">
        <v>0.25837411146045303</v>
      </c>
      <c r="X182" s="42">
        <v>9.07842414315264E-2</v>
      </c>
      <c r="Y182" s="42">
        <v>0.114386401698663</v>
      </c>
      <c r="Z182" s="42">
        <v>5.15983323679457E-3</v>
      </c>
      <c r="AA182" s="42" t="s">
        <v>25</v>
      </c>
      <c r="AB182" s="35">
        <f t="shared" si="50"/>
        <v>508.31073007595097</v>
      </c>
      <c r="AC182" s="35"/>
      <c r="AD182" s="35"/>
      <c r="AE182" s="47"/>
      <c r="AF182" s="5">
        <v>2.5299999999999998</v>
      </c>
      <c r="AG182" s="5">
        <v>0.27</v>
      </c>
    </row>
    <row r="183" spans="2:33">
      <c r="B183" s="5" t="s">
        <v>526</v>
      </c>
      <c r="C183" s="5" t="s">
        <v>527</v>
      </c>
      <c r="D183" s="35">
        <v>307281.01640335302</v>
      </c>
      <c r="E183" s="35">
        <v>352069.68366303999</v>
      </c>
      <c r="F183" s="35">
        <v>339437.859546564</v>
      </c>
      <c r="G183" s="35">
        <v>399.05102152855801</v>
      </c>
      <c r="H183" s="40">
        <v>49.958236650771497</v>
      </c>
      <c r="I183" s="42">
        <v>0.141505022299767</v>
      </c>
      <c r="J183" s="42">
        <v>0.52215772114317005</v>
      </c>
      <c r="K183" s="42" t="s">
        <v>25</v>
      </c>
      <c r="L183" s="35">
        <v>227.39588639530001</v>
      </c>
      <c r="M183" s="42">
        <v>9.1746249374250297</v>
      </c>
      <c r="N183" s="42">
        <v>0.85531545546327103</v>
      </c>
      <c r="O183" s="42" t="s">
        <v>25</v>
      </c>
      <c r="P183" s="40">
        <v>82.024646471251302</v>
      </c>
      <c r="Q183" s="42">
        <v>2.9464733733360999</v>
      </c>
      <c r="R183" s="42">
        <v>1.0456204239653699</v>
      </c>
      <c r="S183" s="42">
        <v>3.0810575983261002</v>
      </c>
      <c r="T183" s="42">
        <v>1.5336731302205699</v>
      </c>
      <c r="U183" s="42" t="s">
        <v>25</v>
      </c>
      <c r="V183" s="42">
        <v>3.5233276020156502E-2</v>
      </c>
      <c r="W183" s="42">
        <v>3.4817484708051998</v>
      </c>
      <c r="X183" s="42">
        <v>3.2034538484011103E-2</v>
      </c>
      <c r="Y183" s="42">
        <v>0.73372375294881698</v>
      </c>
      <c r="Z183" s="43" t="s">
        <v>25</v>
      </c>
      <c r="AA183" s="42">
        <v>5.0426618646861397E-2</v>
      </c>
      <c r="AB183" s="35">
        <f t="shared" si="50"/>
        <v>645.88317866339435</v>
      </c>
      <c r="AC183" s="35"/>
      <c r="AD183" s="35"/>
      <c r="AE183" s="47"/>
      <c r="AF183" s="5" t="s">
        <v>216</v>
      </c>
      <c r="AG183" s="5" t="s">
        <v>216</v>
      </c>
    </row>
    <row r="184" spans="2:33">
      <c r="B184" s="5" t="s">
        <v>528</v>
      </c>
      <c r="C184" s="5" t="s">
        <v>529</v>
      </c>
      <c r="D184" s="35">
        <v>315938.37446537602</v>
      </c>
      <c r="E184" s="35">
        <v>337758.53811832197</v>
      </c>
      <c r="F184" s="35">
        <v>345200.46629316901</v>
      </c>
      <c r="G184" s="35">
        <v>361.58263163893099</v>
      </c>
      <c r="H184" s="40">
        <v>60.793668116927897</v>
      </c>
      <c r="I184" s="42">
        <v>0.20812629166708899</v>
      </c>
      <c r="J184" s="42">
        <v>0.30203866632802601</v>
      </c>
      <c r="K184" s="42" t="s">
        <v>25</v>
      </c>
      <c r="L184" s="35">
        <v>231.890829542554</v>
      </c>
      <c r="M184" s="42">
        <v>6.6139107799495402</v>
      </c>
      <c r="N184" s="42">
        <v>0.55721240850431297</v>
      </c>
      <c r="O184" s="42">
        <v>8.0725364578646906E-3</v>
      </c>
      <c r="P184" s="40">
        <v>89.150584764623602</v>
      </c>
      <c r="Q184" s="42">
        <v>2.70603405250991</v>
      </c>
      <c r="R184" s="42" t="s">
        <v>25</v>
      </c>
      <c r="S184" s="42">
        <v>2.7215673556785802</v>
      </c>
      <c r="T184" s="42">
        <v>2.02687593017024E-2</v>
      </c>
      <c r="U184" s="42" t="s">
        <v>25</v>
      </c>
      <c r="V184" s="42" t="s">
        <v>25</v>
      </c>
      <c r="W184" s="42">
        <v>0.27686514550324798</v>
      </c>
      <c r="X184" s="42">
        <v>5.8507681474235101E-2</v>
      </c>
      <c r="Y184" s="42" t="s">
        <v>25</v>
      </c>
      <c r="Z184" s="43" t="s">
        <v>25</v>
      </c>
      <c r="AA184" s="42" t="s">
        <v>25</v>
      </c>
      <c r="AB184" s="35">
        <f t="shared" si="50"/>
        <v>686.55800926435529</v>
      </c>
      <c r="AC184" s="35"/>
      <c r="AD184" s="35"/>
      <c r="AE184" s="47"/>
      <c r="AF184" s="5" t="s">
        <v>216</v>
      </c>
      <c r="AG184" s="5" t="s">
        <v>216</v>
      </c>
    </row>
    <row r="185" spans="2:33" ht="20.65" customHeight="1">
      <c r="B185" s="5" t="s">
        <v>530</v>
      </c>
      <c r="C185" s="5" t="s">
        <v>531</v>
      </c>
      <c r="D185" s="35">
        <v>311093.39760000299</v>
      </c>
      <c r="E185" s="35">
        <v>338601.23395674699</v>
      </c>
      <c r="F185" s="35">
        <v>349124.14534777502</v>
      </c>
      <c r="G185" s="35">
        <v>498.36039601147701</v>
      </c>
      <c r="H185" s="40">
        <v>70.662770286545296</v>
      </c>
      <c r="I185" s="42">
        <v>8.4229878106104494E-2</v>
      </c>
      <c r="J185" s="42">
        <v>0.82695166682535703</v>
      </c>
      <c r="K185" s="42">
        <v>6.3058780309371495E-2</v>
      </c>
      <c r="L185" s="35">
        <v>138.22429693444101</v>
      </c>
      <c r="M185" s="42">
        <v>9.4347232704501796</v>
      </c>
      <c r="N185" s="42">
        <v>0.60526179988582995</v>
      </c>
      <c r="O185" s="42" t="s">
        <v>25</v>
      </c>
      <c r="P185" s="40">
        <v>83.717522088617102</v>
      </c>
      <c r="Q185" s="42">
        <v>3.03499553832249</v>
      </c>
      <c r="R185" s="42">
        <v>0.23748121749987999</v>
      </c>
      <c r="S185" s="42">
        <v>3.6853156844002202</v>
      </c>
      <c r="T185" s="42">
        <v>2.5654157343426198</v>
      </c>
      <c r="U185" s="42" t="s">
        <v>25</v>
      </c>
      <c r="V185" s="42" t="s">
        <v>25</v>
      </c>
      <c r="W185" s="42">
        <v>1.8844347001164099</v>
      </c>
      <c r="X185" s="42">
        <v>6.9384243147835006E-2</v>
      </c>
      <c r="Y185" s="42">
        <v>9.2818253175767002E-2</v>
      </c>
      <c r="Z185" s="42">
        <v>8.7249909766346397E-3</v>
      </c>
      <c r="AA185" s="42" t="s">
        <v>25</v>
      </c>
      <c r="AB185" s="35">
        <f t="shared" si="50"/>
        <v>408.22148023269705</v>
      </c>
      <c r="AC185" s="35"/>
      <c r="AD185" s="35"/>
      <c r="AE185" s="47"/>
      <c r="AF185" s="5" t="s">
        <v>216</v>
      </c>
      <c r="AG185" s="5" t="s">
        <v>216</v>
      </c>
    </row>
    <row r="186" spans="2:33">
      <c r="B186" s="5" t="s">
        <v>532</v>
      </c>
      <c r="C186" s="5" t="s">
        <v>533</v>
      </c>
      <c r="D186" s="35">
        <v>312808.626069433</v>
      </c>
      <c r="E186" s="35">
        <v>342285.08303463901</v>
      </c>
      <c r="F186" s="35">
        <v>343591.16236944101</v>
      </c>
      <c r="G186" s="35">
        <v>596.80892319895304</v>
      </c>
      <c r="H186" s="40">
        <v>47.425866554400102</v>
      </c>
      <c r="I186" s="42" t="s">
        <v>25</v>
      </c>
      <c r="J186" s="42">
        <v>0.77724923436184801</v>
      </c>
      <c r="K186" s="42" t="s">
        <v>25</v>
      </c>
      <c r="L186" s="35">
        <v>207.87356090468799</v>
      </c>
      <c r="M186" s="40">
        <v>18.457024220361902</v>
      </c>
      <c r="N186" s="42">
        <v>1.68267738807482</v>
      </c>
      <c r="O186" s="42">
        <v>6.7059151242921996E-3</v>
      </c>
      <c r="P186" s="40">
        <v>91.066027243598</v>
      </c>
      <c r="Q186" s="42">
        <v>4.4517309141074799</v>
      </c>
      <c r="R186" s="42" t="s">
        <v>25</v>
      </c>
      <c r="S186" s="42">
        <v>2.7218631810745602</v>
      </c>
      <c r="T186" s="42">
        <v>9.3123475395904806E-2</v>
      </c>
      <c r="U186" s="42" t="s">
        <v>25</v>
      </c>
      <c r="V186" s="42">
        <v>5.0042905508906098E-3</v>
      </c>
      <c r="W186" s="42">
        <v>0.14025632530905399</v>
      </c>
      <c r="X186" s="42">
        <v>2.7930859462083301E-2</v>
      </c>
      <c r="Y186" s="42" t="s">
        <v>25</v>
      </c>
      <c r="Z186" s="43" t="s">
        <v>25</v>
      </c>
      <c r="AA186" s="42">
        <v>0.17004147487496701</v>
      </c>
      <c r="AB186" s="35">
        <f t="shared" si="50"/>
        <v>607.31118943810748</v>
      </c>
      <c r="AC186" s="35"/>
      <c r="AD186" s="35"/>
      <c r="AE186" s="47"/>
      <c r="AF186" s="5" t="s">
        <v>216</v>
      </c>
      <c r="AG186" s="5" t="s">
        <v>216</v>
      </c>
    </row>
    <row r="187" spans="2:33">
      <c r="B187" s="5" t="s">
        <v>534</v>
      </c>
      <c r="C187" s="5" t="s">
        <v>535</v>
      </c>
      <c r="D187" s="35">
        <v>311187.13215822598</v>
      </c>
      <c r="E187" s="35">
        <v>332702.71570471098</v>
      </c>
      <c r="F187" s="35">
        <v>354906.82797897299</v>
      </c>
      <c r="G187" s="35">
        <v>336.89547760884</v>
      </c>
      <c r="H187" s="40">
        <v>35.5717737048722</v>
      </c>
      <c r="I187" s="42">
        <v>0.45135817666310402</v>
      </c>
      <c r="J187" s="42" t="s">
        <v>25</v>
      </c>
      <c r="K187" s="42">
        <v>5.9980118146278398E-2</v>
      </c>
      <c r="L187" s="35">
        <v>153.92432009100199</v>
      </c>
      <c r="M187" s="40">
        <v>10.4650134623485</v>
      </c>
      <c r="N187" s="42">
        <v>0.80417523444127004</v>
      </c>
      <c r="O187" s="42">
        <v>1.8908137754221701E-2</v>
      </c>
      <c r="P187" s="40">
        <v>29.842812095195502</v>
      </c>
      <c r="Q187" s="42">
        <v>2.1583501952112898</v>
      </c>
      <c r="R187" s="42" t="s">
        <v>25</v>
      </c>
      <c r="S187" s="42">
        <v>2.5069747682101302</v>
      </c>
      <c r="T187" s="42">
        <v>0.26867483497135702</v>
      </c>
      <c r="U187" s="42">
        <v>8.7727140930104596E-3</v>
      </c>
      <c r="V187" s="42">
        <v>7.3272531276803596E-2</v>
      </c>
      <c r="W187" s="42">
        <v>3.56518844073896</v>
      </c>
      <c r="X187" s="42">
        <v>0.170072437086916</v>
      </c>
      <c r="Y187" s="42">
        <v>1.9890902453261299E-2</v>
      </c>
      <c r="Z187" s="42">
        <v>1.9247355933270999E-2</v>
      </c>
      <c r="AA187" s="42">
        <v>0.27583008572836598</v>
      </c>
      <c r="AB187" s="35">
        <f t="shared" si="50"/>
        <v>462.64822264816416</v>
      </c>
      <c r="AC187" s="35"/>
      <c r="AD187" s="35"/>
      <c r="AE187" s="47"/>
      <c r="AF187" s="5" t="s">
        <v>216</v>
      </c>
      <c r="AG187" s="5" t="s">
        <v>216</v>
      </c>
    </row>
    <row r="188" spans="2:33">
      <c r="B188" s="5" t="s">
        <v>536</v>
      </c>
      <c r="C188" s="5" t="s">
        <v>537</v>
      </c>
      <c r="D188" s="35">
        <v>308384.67821893003</v>
      </c>
      <c r="E188" s="35">
        <v>338030.99455136602</v>
      </c>
      <c r="F188" s="35">
        <v>352353.12492356403</v>
      </c>
      <c r="G188" s="35">
        <v>468.028335651303</v>
      </c>
      <c r="H188" s="40">
        <v>43.2510995334043</v>
      </c>
      <c r="I188" s="42">
        <v>1.60342898482481E-2</v>
      </c>
      <c r="J188" s="42">
        <v>0.94423099649882403</v>
      </c>
      <c r="K188" s="42" t="s">
        <v>25</v>
      </c>
      <c r="L188" s="35">
        <v>163.59669977472799</v>
      </c>
      <c r="M188" s="40">
        <v>15.685387901861899</v>
      </c>
      <c r="N188" s="42">
        <v>0.809839397451112</v>
      </c>
      <c r="O188" s="42">
        <v>2.0137183117871601E-2</v>
      </c>
      <c r="P188" s="40">
        <v>34.662583616436898</v>
      </c>
      <c r="Q188" s="42">
        <v>2.5938842535479201</v>
      </c>
      <c r="R188" s="42">
        <v>1.9532663038070499</v>
      </c>
      <c r="S188" s="42">
        <v>2.9246096239917998</v>
      </c>
      <c r="T188" s="42">
        <v>0.238461051794227</v>
      </c>
      <c r="U188" s="42">
        <v>2.0372946711058399E-2</v>
      </c>
      <c r="V188" s="42">
        <v>2.1141994020952098E-2</v>
      </c>
      <c r="W188" s="42">
        <v>0.66010146546444104</v>
      </c>
      <c r="X188" s="42">
        <v>0.25022606682857901</v>
      </c>
      <c r="Y188" s="42">
        <v>2.1139245965943299</v>
      </c>
      <c r="Z188" s="42">
        <v>1.4288836853325699E-2</v>
      </c>
      <c r="AA188" s="42">
        <v>9.1349949112602094E-2</v>
      </c>
      <c r="AB188" s="35">
        <f t="shared" si="50"/>
        <v>483.96952472317867</v>
      </c>
      <c r="AC188" s="35"/>
      <c r="AD188" s="35"/>
      <c r="AE188" s="47"/>
      <c r="AF188" s="5">
        <v>3.68</v>
      </c>
      <c r="AG188" s="5">
        <v>0.15</v>
      </c>
    </row>
    <row r="189" spans="2:33">
      <c r="B189" s="5" t="s">
        <v>538</v>
      </c>
      <c r="C189" s="5" t="s">
        <v>539</v>
      </c>
      <c r="D189" s="35">
        <v>316363.29901036998</v>
      </c>
      <c r="E189" s="35">
        <v>337866.77072935802</v>
      </c>
      <c r="F189" s="35">
        <v>345210.49902957998</v>
      </c>
      <c r="G189" s="35">
        <v>192.67719627882599</v>
      </c>
      <c r="H189" s="40">
        <v>62.431559016332599</v>
      </c>
      <c r="I189" s="42">
        <v>5.2973068532617899E-2</v>
      </c>
      <c r="J189" s="42">
        <v>0.79309304525631896</v>
      </c>
      <c r="K189" s="42" t="s">
        <v>25</v>
      </c>
      <c r="L189" s="35">
        <v>145.05428875362099</v>
      </c>
      <c r="M189" s="42">
        <v>7.7582488803546203</v>
      </c>
      <c r="N189" s="42">
        <v>0.48113642359459902</v>
      </c>
      <c r="O189" s="42" t="s">
        <v>25</v>
      </c>
      <c r="P189" s="40">
        <v>38.301349925319698</v>
      </c>
      <c r="Q189" s="42">
        <v>2.8062915926425198</v>
      </c>
      <c r="R189" s="42">
        <v>3.7989719864419499E-2</v>
      </c>
      <c r="S189" s="42">
        <v>2.1728411989505498</v>
      </c>
      <c r="T189" s="42">
        <v>1.3065621318584599E-2</v>
      </c>
      <c r="U189" s="42" t="s">
        <v>25</v>
      </c>
      <c r="V189" s="42">
        <v>9.4589753127195895E-3</v>
      </c>
      <c r="W189" s="42" t="s">
        <v>25</v>
      </c>
      <c r="X189" s="42">
        <v>0.121007812617647</v>
      </c>
      <c r="Y189" s="42" t="s">
        <v>25</v>
      </c>
      <c r="Z189" s="43" t="s">
        <v>25</v>
      </c>
      <c r="AA189" s="42">
        <v>0.13951596801767099</v>
      </c>
      <c r="AB189" s="35">
        <f t="shared" si="50"/>
        <v>429.32392682621656</v>
      </c>
      <c r="AC189" s="35"/>
      <c r="AD189" s="35"/>
      <c r="AE189" s="47"/>
      <c r="AF189" s="5" t="s">
        <v>216</v>
      </c>
      <c r="AG189" s="5" t="s">
        <v>216</v>
      </c>
    </row>
    <row r="190" spans="2:33">
      <c r="B190" s="5" t="s">
        <v>540</v>
      </c>
      <c r="C190" s="5" t="s">
        <v>541</v>
      </c>
      <c r="D190" s="35">
        <v>323334.07423454599</v>
      </c>
      <c r="E190" s="35">
        <v>321227.57746229001</v>
      </c>
      <c r="F190" s="35">
        <v>354491.84359183197</v>
      </c>
      <c r="G190" s="35">
        <v>382.97491484012801</v>
      </c>
      <c r="H190" s="40">
        <v>75.474699021193302</v>
      </c>
      <c r="I190" s="42">
        <v>0.10189986943941599</v>
      </c>
      <c r="J190" s="42" t="s">
        <v>25</v>
      </c>
      <c r="K190" s="42" t="s">
        <v>25</v>
      </c>
      <c r="L190" s="40">
        <v>96.188685382495294</v>
      </c>
      <c r="M190" s="40">
        <v>21.871456291946</v>
      </c>
      <c r="N190" s="42">
        <v>3.9959692133688902</v>
      </c>
      <c r="O190" s="42">
        <v>1.60673410252593E-2</v>
      </c>
      <c r="P190" s="40">
        <v>35.965613880767997</v>
      </c>
      <c r="Q190" s="42">
        <v>3.18156179189713</v>
      </c>
      <c r="R190" s="42">
        <v>4.4895542192534298E-2</v>
      </c>
      <c r="S190" s="42">
        <v>2.6405153557950798</v>
      </c>
      <c r="T190" s="42">
        <v>7.6505899228155996E-2</v>
      </c>
      <c r="U190" s="42" t="s">
        <v>25</v>
      </c>
      <c r="V190" s="42" t="s">
        <v>25</v>
      </c>
      <c r="W190" s="42">
        <v>0.31336081262913801</v>
      </c>
      <c r="X190" s="42">
        <v>0.136005333760885</v>
      </c>
      <c r="Y190" s="42">
        <v>8.7978356541608908E-3</v>
      </c>
      <c r="Z190" s="42">
        <v>1.26736089184962E-2</v>
      </c>
      <c r="AA190" s="42">
        <v>1.542959337605E-2</v>
      </c>
      <c r="AB190" s="35">
        <f t="shared" si="50"/>
        <v>299.44093263221527</v>
      </c>
      <c r="AC190" s="35"/>
      <c r="AD190" s="35"/>
      <c r="AE190" s="47"/>
      <c r="AF190" s="5" t="s">
        <v>216</v>
      </c>
      <c r="AG190" s="5" t="s">
        <v>216</v>
      </c>
    </row>
    <row r="191" spans="2:33">
      <c r="B191" s="5" t="s">
        <v>542</v>
      </c>
      <c r="C191" s="5" t="s">
        <v>543</v>
      </c>
      <c r="D191" s="35">
        <v>311251.41732540302</v>
      </c>
      <c r="E191" s="35">
        <v>351718.20939171599</v>
      </c>
      <c r="F191" s="35">
        <v>336087.35162693198</v>
      </c>
      <c r="G191" s="35">
        <v>187.52928670071799</v>
      </c>
      <c r="H191" s="40">
        <v>37.708539831119197</v>
      </c>
      <c r="I191" s="42" t="s">
        <v>25</v>
      </c>
      <c r="J191" s="42">
        <v>0.39140588456936398</v>
      </c>
      <c r="K191" s="42">
        <v>4.7131254807899703E-2</v>
      </c>
      <c r="L191" s="35">
        <v>193.32180944996401</v>
      </c>
      <c r="M191" s="40">
        <v>11.3452406150884</v>
      </c>
      <c r="N191" s="42">
        <v>1.13602505263134</v>
      </c>
      <c r="O191" s="42" t="s">
        <v>25</v>
      </c>
      <c r="P191" s="40">
        <v>36.240032016356501</v>
      </c>
      <c r="Q191" s="42">
        <v>1.8875012327843499</v>
      </c>
      <c r="R191" s="42">
        <v>1.29693738220601</v>
      </c>
      <c r="S191" s="42">
        <v>2.9321656696558098</v>
      </c>
      <c r="T191" s="42">
        <v>0.19834038100168</v>
      </c>
      <c r="U191" s="42">
        <v>4.1851772613487798E-2</v>
      </c>
      <c r="V191" s="42" t="s">
        <v>25</v>
      </c>
      <c r="W191" s="42">
        <v>1.25588225370814</v>
      </c>
      <c r="X191" s="42">
        <v>6.4859022521869203E-2</v>
      </c>
      <c r="Y191" s="42">
        <v>0.24394779859270099</v>
      </c>
      <c r="Z191" s="42">
        <v>9.1245049036242001E-3</v>
      </c>
      <c r="AA191" s="42">
        <v>6.8692957397214899E-2</v>
      </c>
      <c r="AB191" s="35">
        <f t="shared" si="50"/>
        <v>549.64970333582414</v>
      </c>
      <c r="AC191" s="35"/>
      <c r="AD191" s="35"/>
      <c r="AE191" s="47"/>
      <c r="AF191" s="5" t="s">
        <v>216</v>
      </c>
      <c r="AG191" s="5" t="s">
        <v>216</v>
      </c>
    </row>
    <row r="192" spans="2:33">
      <c r="B192" s="5" t="s">
        <v>544</v>
      </c>
      <c r="C192" s="5" t="s">
        <v>545</v>
      </c>
      <c r="D192" s="35">
        <v>313301.97705657699</v>
      </c>
      <c r="E192" s="35">
        <v>333116.50451673201</v>
      </c>
      <c r="F192" s="35">
        <v>352831.01931957703</v>
      </c>
      <c r="G192" s="35">
        <v>168.192060159287</v>
      </c>
      <c r="H192" s="40">
        <v>45.786251894476699</v>
      </c>
      <c r="I192" s="42" t="s">
        <v>25</v>
      </c>
      <c r="J192" s="42">
        <v>0.99379420561694998</v>
      </c>
      <c r="K192" s="42">
        <v>5.4892463906832799E-2</v>
      </c>
      <c r="L192" s="35">
        <v>152.957933192886</v>
      </c>
      <c r="M192" s="40">
        <v>10.468889068267901</v>
      </c>
      <c r="N192" s="42">
        <v>1.4063125071606299</v>
      </c>
      <c r="O192" s="42" t="s">
        <v>25</v>
      </c>
      <c r="P192" s="40">
        <v>36.146826588538403</v>
      </c>
      <c r="Q192" s="42">
        <v>1.69903827727289</v>
      </c>
      <c r="R192" s="42" t="s">
        <v>25</v>
      </c>
      <c r="S192" s="42">
        <v>2.1840755982608</v>
      </c>
      <c r="T192" s="42">
        <v>1.2983449211933101E-2</v>
      </c>
      <c r="U192" s="42">
        <v>6.7497962621517298E-3</v>
      </c>
      <c r="V192" s="42">
        <v>2.04863113717988E-2</v>
      </c>
      <c r="W192" s="42">
        <v>0.13671416926887001</v>
      </c>
      <c r="X192" s="42">
        <v>9.8056076428699304E-2</v>
      </c>
      <c r="Y192" s="42" t="s">
        <v>25</v>
      </c>
      <c r="Z192" s="43" t="s">
        <v>25</v>
      </c>
      <c r="AA192" s="42" t="s">
        <v>25</v>
      </c>
      <c r="AB192" s="35">
        <f t="shared" si="50"/>
        <v>459.17248505831128</v>
      </c>
      <c r="AC192" s="35"/>
      <c r="AD192" s="35"/>
      <c r="AE192" s="47"/>
      <c r="AF192" s="5" t="s">
        <v>216</v>
      </c>
      <c r="AG192" s="5" t="s">
        <v>216</v>
      </c>
    </row>
    <row r="193" spans="1:33">
      <c r="B193" s="5" t="s">
        <v>546</v>
      </c>
      <c r="C193" s="5" t="s">
        <v>547</v>
      </c>
      <c r="D193" s="35">
        <v>320733.51445300702</v>
      </c>
      <c r="E193" s="35">
        <v>328551.591201353</v>
      </c>
      <c r="F193" s="35">
        <v>349832.03816947603</v>
      </c>
      <c r="G193" s="35">
        <v>228.48946044565099</v>
      </c>
      <c r="H193" s="40">
        <v>55.704836018612497</v>
      </c>
      <c r="I193" s="42" t="s">
        <v>25</v>
      </c>
      <c r="J193" s="42">
        <v>1.5930262569262099</v>
      </c>
      <c r="K193" s="42" t="s">
        <v>25</v>
      </c>
      <c r="L193" s="35">
        <v>108.744485637094</v>
      </c>
      <c r="M193" s="42">
        <v>9.9116309808055796</v>
      </c>
      <c r="N193" s="42">
        <v>0.73848930568740201</v>
      </c>
      <c r="O193" s="42" t="s">
        <v>25</v>
      </c>
      <c r="P193" s="40">
        <v>37.076899868937403</v>
      </c>
      <c r="Q193" s="40">
        <v>14.8381308860394</v>
      </c>
      <c r="R193" s="42">
        <v>0.34078141367672199</v>
      </c>
      <c r="S193" s="42">
        <v>1.91207780659414</v>
      </c>
      <c r="T193" s="42">
        <v>0.32777104143255997</v>
      </c>
      <c r="U193" s="42" t="s">
        <v>25</v>
      </c>
      <c r="V193" s="42" t="s">
        <v>25</v>
      </c>
      <c r="W193" s="42">
        <v>0.10674214045845599</v>
      </c>
      <c r="X193" s="42">
        <v>0.121305416521272</v>
      </c>
      <c r="Y193" s="42" t="s">
        <v>25</v>
      </c>
      <c r="Z193" s="43" t="s">
        <v>25</v>
      </c>
      <c r="AA193" s="42" t="s">
        <v>25</v>
      </c>
      <c r="AB193" s="35">
        <f t="shared" si="50"/>
        <v>330.98146090076273</v>
      </c>
      <c r="AC193" s="35"/>
      <c r="AD193" s="35"/>
      <c r="AE193" s="47"/>
      <c r="AF193" s="5" t="s">
        <v>216</v>
      </c>
      <c r="AG193" s="5" t="s">
        <v>216</v>
      </c>
    </row>
    <row r="194" spans="1:33">
      <c r="B194" s="5" t="s">
        <v>548</v>
      </c>
      <c r="C194" s="5" t="s">
        <v>549</v>
      </c>
      <c r="D194" s="35">
        <v>318511.68254001503</v>
      </c>
      <c r="E194" s="35">
        <v>325293.66296763602</v>
      </c>
      <c r="F194" s="35">
        <v>355441.31016804301</v>
      </c>
      <c r="G194" s="35">
        <v>180.046627842297</v>
      </c>
      <c r="H194" s="40">
        <v>52.427934043775998</v>
      </c>
      <c r="I194" s="42">
        <v>0.113967431764815</v>
      </c>
      <c r="J194" s="42">
        <v>0.72266002830614595</v>
      </c>
      <c r="K194" s="42" t="s">
        <v>25</v>
      </c>
      <c r="L194" s="35">
        <v>114.645451249264</v>
      </c>
      <c r="M194" s="40">
        <v>11.769743925089101</v>
      </c>
      <c r="N194" s="42">
        <v>1.4799754060054</v>
      </c>
      <c r="O194" s="42">
        <v>7.8597255744275694E-3</v>
      </c>
      <c r="P194" s="40">
        <v>47.149567350392402</v>
      </c>
      <c r="Q194" s="42">
        <v>2.3309798572138898</v>
      </c>
      <c r="R194" s="42">
        <v>5.3950192913524798E-2</v>
      </c>
      <c r="S194" s="42">
        <v>2.3154686924187802</v>
      </c>
      <c r="T194" s="42" t="s">
        <v>25</v>
      </c>
      <c r="U194" s="42" t="s">
        <v>25</v>
      </c>
      <c r="V194" s="42" t="s">
        <v>25</v>
      </c>
      <c r="W194" s="42" t="s">
        <v>25</v>
      </c>
      <c r="X194" s="42">
        <v>0.179612009642271</v>
      </c>
      <c r="Y194" s="42">
        <v>2.07089474891087E-2</v>
      </c>
      <c r="Z194" s="43" t="s">
        <v>25</v>
      </c>
      <c r="AA194" s="42">
        <v>0.19200685146607799</v>
      </c>
      <c r="AB194" s="35">
        <f t="shared" si="50"/>
        <v>352.43678036442492</v>
      </c>
      <c r="AC194" s="35"/>
      <c r="AD194" s="35"/>
      <c r="AE194" s="47"/>
      <c r="AF194" s="5" t="s">
        <v>216</v>
      </c>
      <c r="AG194" s="5" t="s">
        <v>216</v>
      </c>
    </row>
    <row r="195" spans="1:33">
      <c r="B195" s="5" t="s">
        <v>550</v>
      </c>
      <c r="C195" s="5" t="s">
        <v>551</v>
      </c>
      <c r="D195" s="35">
        <v>312057.19412287901</v>
      </c>
      <c r="E195" s="35">
        <v>340264.52692529198</v>
      </c>
      <c r="F195" s="35">
        <v>346899.193197858</v>
      </c>
      <c r="G195" s="35">
        <v>262.43800156993598</v>
      </c>
      <c r="H195" s="40">
        <v>38.048231965674802</v>
      </c>
      <c r="I195" s="42" t="s">
        <v>25</v>
      </c>
      <c r="J195" s="42">
        <v>1.0965401815308899</v>
      </c>
      <c r="K195" s="42" t="s">
        <v>25</v>
      </c>
      <c r="L195" s="35">
        <v>137.65672937096201</v>
      </c>
      <c r="M195" s="42">
        <v>8.0277222935595791</v>
      </c>
      <c r="N195" s="42">
        <v>0.42650222900707602</v>
      </c>
      <c r="O195" s="42">
        <v>1.2584991460222E-2</v>
      </c>
      <c r="P195" s="40">
        <v>45.0902459045762</v>
      </c>
      <c r="Q195" s="42">
        <v>2.0562128391268502</v>
      </c>
      <c r="R195" s="42">
        <v>1.3385624371821401</v>
      </c>
      <c r="S195" s="42">
        <v>4.0018515198623703</v>
      </c>
      <c r="T195" s="42">
        <v>7.6839794652884602E-3</v>
      </c>
      <c r="U195" s="42" t="s">
        <v>25</v>
      </c>
      <c r="V195" s="42">
        <v>7.1058824089468495E-2</v>
      </c>
      <c r="W195" s="42">
        <v>4.1075668828701097</v>
      </c>
      <c r="X195" s="42">
        <v>0.14126003141322099</v>
      </c>
      <c r="Y195" s="42">
        <v>6.3982883856072204E-2</v>
      </c>
      <c r="Z195" s="43" t="s">
        <v>25</v>
      </c>
      <c r="AA195" s="42">
        <v>0.106730693035354</v>
      </c>
      <c r="AB195" s="35">
        <f t="shared" si="50"/>
        <v>404.55797909602768</v>
      </c>
      <c r="AC195" s="35"/>
      <c r="AD195" s="35"/>
      <c r="AE195" s="47"/>
    </row>
    <row r="196" spans="1:33">
      <c r="B196" s="5" t="s">
        <v>552</v>
      </c>
      <c r="C196" s="5" t="s">
        <v>553</v>
      </c>
      <c r="D196" s="35">
        <v>314262.556132267</v>
      </c>
      <c r="E196" s="35">
        <v>332988.89881214401</v>
      </c>
      <c r="F196" s="35">
        <v>352033.01565040101</v>
      </c>
      <c r="G196" s="35">
        <v>197.99550054194199</v>
      </c>
      <c r="H196" s="40">
        <v>47.133677736577901</v>
      </c>
      <c r="I196" s="42" t="s">
        <v>25</v>
      </c>
      <c r="J196" s="42" t="s">
        <v>25</v>
      </c>
      <c r="K196" s="42">
        <v>9.5049419588376205E-2</v>
      </c>
      <c r="L196" s="40">
        <v>96.382113886151402</v>
      </c>
      <c r="M196" s="40">
        <v>10.921956129817699</v>
      </c>
      <c r="N196" s="42">
        <v>1.02561724051928</v>
      </c>
      <c r="O196" s="42" t="s">
        <v>25</v>
      </c>
      <c r="P196" s="40">
        <v>47.816163075646898</v>
      </c>
      <c r="Q196" s="42">
        <v>2.3111625756356098</v>
      </c>
      <c r="R196" s="42">
        <v>5.1194481132245798E-2</v>
      </c>
      <c r="S196" s="42">
        <v>2.1557777813945602</v>
      </c>
      <c r="T196" s="42">
        <v>2.6279196324817799E-2</v>
      </c>
      <c r="U196" s="42" t="s">
        <v>25</v>
      </c>
      <c r="V196" s="42" t="s">
        <v>25</v>
      </c>
      <c r="W196" s="42">
        <v>8.4770037903934101E-2</v>
      </c>
      <c r="X196" s="42">
        <v>9.5011143480853905E-2</v>
      </c>
      <c r="Y196" s="42">
        <v>8.3991419191801701E-3</v>
      </c>
      <c r="Z196" s="43" t="s">
        <v>25</v>
      </c>
      <c r="AA196" s="42">
        <v>0.45484634727873702</v>
      </c>
      <c r="AB196" s="35">
        <f t="shared" si="50"/>
        <v>289.44542664926934</v>
      </c>
      <c r="AC196" s="35"/>
      <c r="AD196" s="35"/>
      <c r="AE196" s="47"/>
      <c r="AF196" s="5">
        <v>3.56</v>
      </c>
      <c r="AG196" s="5">
        <v>0.16</v>
      </c>
    </row>
    <row r="197" spans="1:33">
      <c r="A197" s="36"/>
      <c r="B197" s="37" t="s">
        <v>113</v>
      </c>
      <c r="C197" s="37"/>
      <c r="D197" s="38">
        <f t="shared" ref="D197:AB197" si="51">MEDIAN(D175:D196)</f>
        <v>313782.26659442199</v>
      </c>
      <c r="E197" s="38">
        <f t="shared" si="51"/>
        <v>340414.88874377846</v>
      </c>
      <c r="F197" s="38">
        <f t="shared" si="51"/>
        <v>345793.05038530298</v>
      </c>
      <c r="G197" s="38">
        <f t="shared" si="51"/>
        <v>391.19339241115745</v>
      </c>
      <c r="H197" s="41">
        <f t="shared" si="51"/>
        <v>57.955376360025298</v>
      </c>
      <c r="I197" s="39">
        <f t="shared" si="51"/>
        <v>7.4030979978337144E-2</v>
      </c>
      <c r="J197" s="39">
        <f t="shared" si="51"/>
        <v>0.77724923436184801</v>
      </c>
      <c r="K197" s="39">
        <f t="shared" si="51"/>
        <v>6.3058780309371495E-2</v>
      </c>
      <c r="L197" s="38">
        <f t="shared" si="51"/>
        <v>168.9019036228305</v>
      </c>
      <c r="M197" s="41">
        <f t="shared" si="51"/>
        <v>10.4669512653082</v>
      </c>
      <c r="N197" s="39">
        <f t="shared" si="51"/>
        <v>0.85452272670959206</v>
      </c>
      <c r="O197" s="39">
        <f t="shared" si="51"/>
        <v>1.0328763959043346E-2</v>
      </c>
      <c r="P197" s="41">
        <f t="shared" si="51"/>
        <v>82.871084279934195</v>
      </c>
      <c r="Q197" s="39">
        <f t="shared" si="51"/>
        <v>2.990734455829295</v>
      </c>
      <c r="R197" s="39">
        <f t="shared" si="51"/>
        <v>0.23748121749987999</v>
      </c>
      <c r="S197" s="39">
        <f t="shared" si="51"/>
        <v>2.7484978597581051</v>
      </c>
      <c r="T197" s="39">
        <f t="shared" si="51"/>
        <v>0.150207298050787</v>
      </c>
      <c r="U197" s="39">
        <f t="shared" si="51"/>
        <v>8.4772181149301296E-3</v>
      </c>
      <c r="V197" s="39">
        <f t="shared" si="51"/>
        <v>2.1141994020952098E-2</v>
      </c>
      <c r="W197" s="39">
        <f t="shared" si="51"/>
        <v>0.41732188289000649</v>
      </c>
      <c r="X197" s="39">
        <f t="shared" si="51"/>
        <v>9.280549163235291E-2</v>
      </c>
      <c r="Y197" s="39">
        <f t="shared" si="51"/>
        <v>7.8400568515919603E-2</v>
      </c>
      <c r="Z197" s="39">
        <f>MEDIAN(Z175:Z196)</f>
        <v>1.08990569110602E-2</v>
      </c>
      <c r="AA197" s="39">
        <f>MEDIAN(AA175:AA196)</f>
        <v>9.9040321073978047E-2</v>
      </c>
      <c r="AB197" s="38">
        <f t="shared" si="51"/>
        <v>496.14012739956479</v>
      </c>
      <c r="AC197" s="38"/>
      <c r="AD197" s="38"/>
      <c r="AE197" s="44"/>
      <c r="AF197" s="38"/>
      <c r="AG197" s="38"/>
    </row>
    <row r="198" spans="1:33">
      <c r="A198" s="36"/>
      <c r="B198" s="37" t="s">
        <v>31</v>
      </c>
      <c r="C198" s="37"/>
      <c r="D198" s="38">
        <f t="shared" ref="D198:AB198" si="52">AVERAGE(D175:D196)</f>
        <v>315303.33966113167</v>
      </c>
      <c r="E198" s="38">
        <f t="shared" si="52"/>
        <v>341399.71512661775</v>
      </c>
      <c r="F198" s="38">
        <f t="shared" si="52"/>
        <v>342191.59614845132</v>
      </c>
      <c r="G198" s="38">
        <f t="shared" si="52"/>
        <v>388.71343540129561</v>
      </c>
      <c r="H198" s="41">
        <f t="shared" si="52"/>
        <v>62.142412354772162</v>
      </c>
      <c r="I198" s="39">
        <f t="shared" si="52"/>
        <v>0.10709874735300472</v>
      </c>
      <c r="J198" s="39">
        <f t="shared" si="52"/>
        <v>0.86519791371503507</v>
      </c>
      <c r="K198" s="39">
        <f t="shared" si="52"/>
        <v>6.8675829583272799E-2</v>
      </c>
      <c r="L198" s="38">
        <f t="shared" si="52"/>
        <v>174.37278627600389</v>
      </c>
      <c r="M198" s="41">
        <f t="shared" si="52"/>
        <v>11.788784648542769</v>
      </c>
      <c r="N198" s="39">
        <f t="shared" si="52"/>
        <v>1.1792327422329936</v>
      </c>
      <c r="O198" s="39">
        <f t="shared" si="52"/>
        <v>1.152912338314439E-2</v>
      </c>
      <c r="P198" s="41">
        <f t="shared" si="52"/>
        <v>68.573313401524672</v>
      </c>
      <c r="Q198" s="39">
        <f t="shared" si="52"/>
        <v>4.1861645392263673</v>
      </c>
      <c r="R198" s="39">
        <f t="shared" si="52"/>
        <v>0.4932217261432591</v>
      </c>
      <c r="S198" s="39">
        <f t="shared" si="52"/>
        <v>2.7844345738371006</v>
      </c>
      <c r="T198" s="39">
        <f t="shared" si="52"/>
        <v>0.34272250774044377</v>
      </c>
      <c r="U198" s="39">
        <f t="shared" si="52"/>
        <v>1.4322946011605468E-2</v>
      </c>
      <c r="V198" s="39">
        <f t="shared" si="52"/>
        <v>3.6115616775739774E-2</v>
      </c>
      <c r="W198" s="39">
        <f t="shared" si="52"/>
        <v>1.1530747802634462</v>
      </c>
      <c r="X198" s="39">
        <f t="shared" si="52"/>
        <v>9.8245103235211059E-2</v>
      </c>
      <c r="Y198" s="39">
        <f t="shared" si="52"/>
        <v>0.34267782617500053</v>
      </c>
      <c r="Z198" s="39">
        <f>AVERAGE(Z175:Z196)</f>
        <v>1.1828965062270181E-2</v>
      </c>
      <c r="AA198" s="39">
        <f>AVERAGE(AA175:AA196)</f>
        <v>0.14223221107202491</v>
      </c>
      <c r="AB198" s="38">
        <f t="shared" si="52"/>
        <v>508.3083535326877</v>
      </c>
      <c r="AC198" s="38"/>
      <c r="AD198" s="38"/>
      <c r="AE198" s="44"/>
      <c r="AF198" s="38"/>
      <c r="AG198" s="38"/>
    </row>
    <row r="199" spans="1:33">
      <c r="A199" s="36"/>
      <c r="B199" s="37" t="s">
        <v>34</v>
      </c>
      <c r="C199" s="37"/>
      <c r="D199" s="38">
        <f t="shared" ref="D199:AB199" si="53">STDEV(D175:D196)</f>
        <v>7665.3678639976661</v>
      </c>
      <c r="E199" s="38">
        <f t="shared" si="53"/>
        <v>11410.887995127669</v>
      </c>
      <c r="F199" s="38">
        <f t="shared" si="53"/>
        <v>14013.263771222497</v>
      </c>
      <c r="G199" s="38">
        <f t="shared" si="53"/>
        <v>159.84255486656286</v>
      </c>
      <c r="H199" s="41">
        <f t="shared" si="53"/>
        <v>20.692036557193923</v>
      </c>
      <c r="I199" s="39">
        <f t="shared" si="53"/>
        <v>0.11191867574494652</v>
      </c>
      <c r="J199" s="39">
        <f t="shared" si="53"/>
        <v>0.51663672468486166</v>
      </c>
      <c r="K199" s="39">
        <f t="shared" si="53"/>
        <v>1.5895553569692852E-2</v>
      </c>
      <c r="L199" s="41">
        <f t="shared" si="53"/>
        <v>52.509174016976274</v>
      </c>
      <c r="M199" s="39">
        <f t="shared" si="53"/>
        <v>5.0318500009118026</v>
      </c>
      <c r="N199" s="39">
        <f t="shared" si="53"/>
        <v>0.98331694168312866</v>
      </c>
      <c r="O199" s="39">
        <f t="shared" si="53"/>
        <v>5.6514565414503646E-3</v>
      </c>
      <c r="P199" s="41">
        <f t="shared" si="53"/>
        <v>28.961402911757222</v>
      </c>
      <c r="Q199" s="39">
        <f t="shared" si="53"/>
        <v>2.9324961949226456</v>
      </c>
      <c r="R199" s="39">
        <f t="shared" si="53"/>
        <v>0.61299541078663466</v>
      </c>
      <c r="S199" s="39">
        <f t="shared" si="53"/>
        <v>0.50378789720219985</v>
      </c>
      <c r="T199" s="39">
        <f t="shared" si="53"/>
        <v>0.61602875476439656</v>
      </c>
      <c r="U199" s="39">
        <f t="shared" si="53"/>
        <v>1.306466633634942E-2</v>
      </c>
      <c r="V199" s="39">
        <f t="shared" si="53"/>
        <v>2.7621331540119864E-2</v>
      </c>
      <c r="W199" s="39">
        <f t="shared" si="53"/>
        <v>1.3971202327671288</v>
      </c>
      <c r="X199" s="39">
        <f t="shared" si="53"/>
        <v>5.3530337926500554E-2</v>
      </c>
      <c r="Y199" s="39">
        <f t="shared" si="53"/>
        <v>0.56743438860853446</v>
      </c>
      <c r="Z199" s="39">
        <f>STDEV(Z175:Z196)</f>
        <v>5.5159810389614327E-3</v>
      </c>
      <c r="AA199" s="39">
        <f>STDEV(AA175:AA196)</f>
        <v>0.12179685218072692</v>
      </c>
      <c r="AB199" s="38">
        <f t="shared" si="53"/>
        <v>145.57741543989329</v>
      </c>
      <c r="AC199" s="38"/>
      <c r="AD199" s="38"/>
      <c r="AE199" s="44"/>
      <c r="AF199" s="38"/>
      <c r="AG199" s="38"/>
    </row>
    <row r="200" spans="1:33" s="24" customFormat="1" ht="13.9" customHeight="1">
      <c r="A200" s="23" t="s">
        <v>137</v>
      </c>
      <c r="D200" s="159"/>
      <c r="E200" s="159"/>
      <c r="F200" s="159"/>
      <c r="G200" s="159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1"/>
      <c r="AA200" s="160"/>
      <c r="AB200" s="160"/>
      <c r="AC200" s="158"/>
      <c r="AD200" s="159"/>
      <c r="AE200" s="157"/>
    </row>
    <row r="201" spans="1:33" s="255" customFormat="1">
      <c r="A201" s="156" t="s">
        <v>554</v>
      </c>
      <c r="B201" s="255" t="s">
        <v>555</v>
      </c>
      <c r="C201" s="255" t="s">
        <v>556</v>
      </c>
      <c r="D201" s="300">
        <v>501291.53505148686</v>
      </c>
      <c r="E201" s="300">
        <v>497554.34758034063</v>
      </c>
      <c r="F201" s="302">
        <v>39.681878841700886</v>
      </c>
      <c r="G201" s="300">
        <v>368.83226093630708</v>
      </c>
      <c r="H201" s="303" t="s">
        <v>25</v>
      </c>
      <c r="I201" s="301">
        <v>1.6024502191283707</v>
      </c>
      <c r="J201" s="302">
        <v>38.262241751672711</v>
      </c>
      <c r="K201" s="301">
        <v>5.7370857616199356</v>
      </c>
      <c r="L201" s="301">
        <v>1.5406480396290578</v>
      </c>
      <c r="M201" s="303" t="s">
        <v>25</v>
      </c>
      <c r="N201" s="301">
        <v>0.18594657070588727</v>
      </c>
      <c r="O201" s="301">
        <v>4.1726278287386093E-2</v>
      </c>
      <c r="P201" s="301">
        <v>0.21199973211089998</v>
      </c>
      <c r="Q201" s="300">
        <v>208.30566496904495</v>
      </c>
      <c r="R201" s="302">
        <v>48.045329454348256</v>
      </c>
      <c r="S201" s="301">
        <v>0.25238220194308897</v>
      </c>
      <c r="T201" s="302">
        <v>65.686384263918143</v>
      </c>
      <c r="U201" s="301">
        <v>4.5042914770124263</v>
      </c>
      <c r="V201" s="301" t="s">
        <v>25</v>
      </c>
      <c r="W201" s="301">
        <v>2.3157834392409282</v>
      </c>
      <c r="X201" s="301">
        <v>2.4123952481304611</v>
      </c>
      <c r="Y201" s="301">
        <v>1.9648068223636788</v>
      </c>
      <c r="Z201" s="303" t="s">
        <v>25</v>
      </c>
      <c r="AA201" s="301" t="s">
        <v>25</v>
      </c>
      <c r="AB201" s="217">
        <v>3.0964417196259908</v>
      </c>
      <c r="AC201" s="217">
        <f>L201/U201</f>
        <v>0.34204004059056314</v>
      </c>
      <c r="AD201" s="217"/>
      <c r="AE201" s="219">
        <f>O201/J201</f>
        <v>1.0905340716363527E-3</v>
      </c>
      <c r="AF201" s="219"/>
      <c r="AG201" s="219"/>
    </row>
    <row r="202" spans="1:33" s="255" customFormat="1">
      <c r="B202" s="255" t="s">
        <v>557</v>
      </c>
      <c r="C202" s="255" t="s">
        <v>558</v>
      </c>
      <c r="D202" s="300">
        <v>496469.74766716489</v>
      </c>
      <c r="E202" s="300">
        <v>502414.30417434825</v>
      </c>
      <c r="F202" s="302">
        <v>39.698064955131976</v>
      </c>
      <c r="G202" s="300">
        <v>113.19866629025273</v>
      </c>
      <c r="H202" s="301">
        <v>2.3903888625015461E-2</v>
      </c>
      <c r="I202" s="301">
        <v>2.6876392512747782</v>
      </c>
      <c r="J202" s="302">
        <v>22.849961366675974</v>
      </c>
      <c r="K202" s="301">
        <v>6.0273014656260555</v>
      </c>
      <c r="L202" s="301" t="s">
        <v>25</v>
      </c>
      <c r="M202" s="301">
        <v>1.5068121728537968E-2</v>
      </c>
      <c r="N202" s="301" t="s">
        <v>25</v>
      </c>
      <c r="O202" s="301">
        <v>2.6233803994811664E-2</v>
      </c>
      <c r="P202" s="301">
        <v>0.27898710056878445</v>
      </c>
      <c r="Q202" s="300">
        <v>628.50766185851444</v>
      </c>
      <c r="R202" s="302">
        <v>92.5999788519985</v>
      </c>
      <c r="S202" s="301">
        <v>0.30875243057797735</v>
      </c>
      <c r="T202" s="302">
        <v>31.301927490605649</v>
      </c>
      <c r="U202" s="301">
        <v>8.5151725216605172</v>
      </c>
      <c r="V202" s="301" t="s">
        <v>25</v>
      </c>
      <c r="W202" s="301">
        <v>3.9503281199152536</v>
      </c>
      <c r="X202" s="301">
        <v>2.3840236977502305</v>
      </c>
      <c r="Y202" s="301">
        <v>0.68857713541630916</v>
      </c>
      <c r="Z202" s="303" t="s">
        <v>25</v>
      </c>
      <c r="AA202" s="301">
        <v>2.3376737882810462E-2</v>
      </c>
      <c r="AB202" s="301" t="s">
        <v>25</v>
      </c>
      <c r="AC202" s="217"/>
      <c r="AD202" s="217">
        <f>H202/I202</f>
        <v>8.8940093480468305E-3</v>
      </c>
      <c r="AE202" s="219">
        <f>O202/J202</f>
        <v>1.1480896432967556E-3</v>
      </c>
      <c r="AF202" s="219"/>
      <c r="AG202" s="219"/>
    </row>
    <row r="203" spans="1:33" s="255" customFormat="1">
      <c r="B203" s="255" t="s">
        <v>559</v>
      </c>
      <c r="C203" s="255" t="s">
        <v>560</v>
      </c>
      <c r="D203" s="300">
        <v>499312.66901650908</v>
      </c>
      <c r="E203" s="300">
        <v>499423.80808538239</v>
      </c>
      <c r="F203" s="302">
        <v>59.355280711865738</v>
      </c>
      <c r="G203" s="302">
        <v>97.147285803525065</v>
      </c>
      <c r="H203" s="301">
        <v>2.6042199598791935E-2</v>
      </c>
      <c r="I203" s="301">
        <v>3.521094267864938</v>
      </c>
      <c r="J203" s="302">
        <v>30.06641172018611</v>
      </c>
      <c r="K203" s="301">
        <v>9.1362955875732137</v>
      </c>
      <c r="L203" s="301" t="s">
        <v>25</v>
      </c>
      <c r="M203" s="303" t="s">
        <v>25</v>
      </c>
      <c r="N203" s="301" t="s">
        <v>25</v>
      </c>
      <c r="O203" s="301">
        <v>4.0215908813892184E-2</v>
      </c>
      <c r="P203" s="301">
        <v>0.44009658591849249</v>
      </c>
      <c r="Q203" s="300">
        <v>611.69684171708991</v>
      </c>
      <c r="R203" s="300">
        <v>104.04118159211023</v>
      </c>
      <c r="S203" s="301" t="s">
        <v>25</v>
      </c>
      <c r="T203" s="302">
        <v>57.803532056456596</v>
      </c>
      <c r="U203" s="301">
        <v>7.3566896426038291</v>
      </c>
      <c r="V203" s="301">
        <v>7.7931171312979218E-3</v>
      </c>
      <c r="W203" s="301">
        <v>4.1512226509705119</v>
      </c>
      <c r="X203" s="301">
        <v>2.4406590476171495</v>
      </c>
      <c r="Y203" s="301">
        <v>1.6500400894138285</v>
      </c>
      <c r="Z203" s="303" t="s">
        <v>25</v>
      </c>
      <c r="AA203" s="301">
        <v>7.0031129235502518E-2</v>
      </c>
      <c r="AB203" s="217">
        <v>1.1766348021516788</v>
      </c>
      <c r="AC203" s="217"/>
      <c r="AD203" s="217">
        <f>H203/I203</f>
        <v>7.3960529362887429E-3</v>
      </c>
      <c r="AE203" s="219">
        <f>O203/J203</f>
        <v>1.3375692845612123E-3</v>
      </c>
      <c r="AF203" s="219"/>
      <c r="AG203" s="219"/>
    </row>
    <row r="204" spans="1:33" s="255" customFormat="1">
      <c r="B204" s="255" t="s">
        <v>561</v>
      </c>
      <c r="C204" s="255" t="s">
        <v>562</v>
      </c>
      <c r="D204" s="300">
        <v>489510.24916087661</v>
      </c>
      <c r="E204" s="300">
        <v>509787.38983941881</v>
      </c>
      <c r="F204" s="301">
        <v>1.0856394352645393</v>
      </c>
      <c r="G204" s="301">
        <v>5.7259737800017767</v>
      </c>
      <c r="H204" s="301">
        <v>1.596970458852583E-2</v>
      </c>
      <c r="I204" s="301">
        <v>0.12089397896329987</v>
      </c>
      <c r="J204" s="300">
        <v>167.13808545555057</v>
      </c>
      <c r="K204" s="302">
        <v>84.206446228144998</v>
      </c>
      <c r="L204" s="301" t="s">
        <v>25</v>
      </c>
      <c r="M204" s="303" t="s">
        <v>25</v>
      </c>
      <c r="N204" s="301" t="s">
        <v>25</v>
      </c>
      <c r="O204" s="301">
        <v>2.4053560919766712E-2</v>
      </c>
      <c r="P204" s="301">
        <v>4.2846945492967622E-2</v>
      </c>
      <c r="Q204" s="302">
        <v>15.54210038110257</v>
      </c>
      <c r="R204" s="301">
        <v>8.8052308891467987</v>
      </c>
      <c r="S204" s="301" t="s">
        <v>25</v>
      </c>
      <c r="T204" s="300">
        <v>302.7832206028304</v>
      </c>
      <c r="U204" s="301">
        <v>0.43304118440485873</v>
      </c>
      <c r="V204" s="301" t="s">
        <v>25</v>
      </c>
      <c r="W204" s="301">
        <v>0.47711907930204378</v>
      </c>
      <c r="X204" s="301">
        <v>0.69243082586306559</v>
      </c>
      <c r="Y204" s="301">
        <v>0.16409752062259808</v>
      </c>
      <c r="Z204" s="303" t="s">
        <v>25</v>
      </c>
      <c r="AA204" s="301" t="s">
        <v>25</v>
      </c>
      <c r="AB204" s="217">
        <v>0.70295420461360503</v>
      </c>
      <c r="AC204" s="217"/>
      <c r="AD204" s="217">
        <f>H204/I204</f>
        <v>0.1320967737638431</v>
      </c>
      <c r="AE204" s="219">
        <f>O204/J204</f>
        <v>1.4391430208265501E-4</v>
      </c>
      <c r="AF204" s="219"/>
      <c r="AG204" s="219"/>
    </row>
    <row r="205" spans="1:33" s="255" customFormat="1">
      <c r="B205" s="255" t="s">
        <v>563</v>
      </c>
      <c r="C205" s="255" t="s">
        <v>564</v>
      </c>
      <c r="D205" s="300">
        <v>484230.10355265328</v>
      </c>
      <c r="E205" s="300">
        <v>515051.3834770851</v>
      </c>
      <c r="F205" s="301">
        <v>3.4113716359584032</v>
      </c>
      <c r="G205" s="302">
        <v>21.55835793482893</v>
      </c>
      <c r="H205" s="301" t="s">
        <v>25</v>
      </c>
      <c r="I205" s="301" t="s">
        <v>25</v>
      </c>
      <c r="J205" s="302">
        <v>34.22768036833989</v>
      </c>
      <c r="K205" s="302">
        <v>24.526250025292168</v>
      </c>
      <c r="L205" s="301" t="s">
        <v>25</v>
      </c>
      <c r="M205" s="303" t="s">
        <v>25</v>
      </c>
      <c r="N205" s="301">
        <v>0.12039933315145258</v>
      </c>
      <c r="O205" s="301" t="s">
        <v>25</v>
      </c>
      <c r="P205" s="301">
        <v>5.6679665989221285E-2</v>
      </c>
      <c r="Q205" s="300">
        <v>228.94430539868</v>
      </c>
      <c r="R205" s="302">
        <v>34.141354900771717</v>
      </c>
      <c r="S205" s="301" t="s">
        <v>25</v>
      </c>
      <c r="T205" s="302">
        <v>65.688624357831841</v>
      </c>
      <c r="U205" s="301">
        <v>0.45416025772221924</v>
      </c>
      <c r="V205" s="301" t="s">
        <v>25</v>
      </c>
      <c r="W205" s="301">
        <v>1.4747138931659955</v>
      </c>
      <c r="X205" s="301">
        <v>1.8900287768131316</v>
      </c>
      <c r="Y205" s="301">
        <v>0.10207036553562927</v>
      </c>
      <c r="Z205" s="303" t="s">
        <v>25</v>
      </c>
      <c r="AA205" s="301" t="s">
        <v>25</v>
      </c>
      <c r="AB205" s="301" t="s">
        <v>25</v>
      </c>
      <c r="AC205" s="217"/>
      <c r="AD205" s="217"/>
      <c r="AE205" s="219"/>
      <c r="AF205" s="219"/>
      <c r="AG205" s="219"/>
    </row>
    <row r="206" spans="1:33" s="255" customFormat="1">
      <c r="B206" s="255" t="s">
        <v>565</v>
      </c>
      <c r="C206" s="255" t="s">
        <v>566</v>
      </c>
      <c r="D206" s="300">
        <v>485986.52658034227</v>
      </c>
      <c r="E206" s="300">
        <v>513517.66300642682</v>
      </c>
      <c r="F206" s="302">
        <v>21.764658254194497</v>
      </c>
      <c r="G206" s="300">
        <v>112.74996289932538</v>
      </c>
      <c r="H206" s="301">
        <v>0.32054483067706668</v>
      </c>
      <c r="I206" s="301" t="s">
        <v>25</v>
      </c>
      <c r="J206" s="302">
        <v>26.157972397300792</v>
      </c>
      <c r="K206" s="302">
        <v>19.813980744738881</v>
      </c>
      <c r="L206" s="301">
        <v>1.1260833361897928</v>
      </c>
      <c r="M206" s="301">
        <v>5.4841281238972566E-3</v>
      </c>
      <c r="N206" s="301" t="s">
        <v>25</v>
      </c>
      <c r="O206" s="301">
        <v>1.9461996770661846E-2</v>
      </c>
      <c r="P206" s="301">
        <v>4.2608038045543618E-2</v>
      </c>
      <c r="Q206" s="302">
        <v>15.805791780514754</v>
      </c>
      <c r="R206" s="302">
        <v>19.198032417291188</v>
      </c>
      <c r="S206" s="301">
        <v>8.0971826410489361E-2</v>
      </c>
      <c r="T206" s="300">
        <v>150.63868655919677</v>
      </c>
      <c r="U206" s="301">
        <v>1.458437034219954</v>
      </c>
      <c r="V206" s="301">
        <v>1.5400515974585501E-2</v>
      </c>
      <c r="W206" s="301">
        <v>0.43226968361609203</v>
      </c>
      <c r="X206" s="301">
        <v>1.9007950630269372</v>
      </c>
      <c r="Y206" s="301">
        <v>3.8409190234656859E-2</v>
      </c>
      <c r="Z206" s="303" t="s">
        <v>25</v>
      </c>
      <c r="AA206" s="301">
        <v>4.4908777198409848E-2</v>
      </c>
      <c r="AB206" s="217">
        <v>2.3319277846593902</v>
      </c>
      <c r="AC206" s="217">
        <f>L206/U206</f>
        <v>0.77211652595758395</v>
      </c>
      <c r="AD206" s="304"/>
      <c r="AE206" s="219">
        <f>O206/J206</f>
        <v>7.4401778834624443E-4</v>
      </c>
      <c r="AF206" s="219"/>
      <c r="AG206" s="219"/>
    </row>
    <row r="207" spans="1:33" s="255" customFormat="1">
      <c r="B207" s="255" t="s">
        <v>567</v>
      </c>
      <c r="C207" s="255" t="s">
        <v>568</v>
      </c>
      <c r="D207" s="300">
        <v>490760.32785948931</v>
      </c>
      <c r="E207" s="300">
        <v>508323.81081860559</v>
      </c>
      <c r="F207" s="302">
        <v>53.584211269920658</v>
      </c>
      <c r="G207" s="302">
        <v>25.932940416443412</v>
      </c>
      <c r="H207" s="301">
        <v>1.8149837228683359E-2</v>
      </c>
      <c r="I207" s="301" t="s">
        <v>25</v>
      </c>
      <c r="J207" s="300">
        <v>191.84599831535448</v>
      </c>
      <c r="K207" s="302">
        <v>99.840117608698264</v>
      </c>
      <c r="L207" s="301" t="s">
        <v>25</v>
      </c>
      <c r="M207" s="303" t="s">
        <v>25</v>
      </c>
      <c r="N207" s="301" t="s">
        <v>25</v>
      </c>
      <c r="O207" s="301">
        <v>5.5225909401873087E-2</v>
      </c>
      <c r="P207" s="301">
        <v>3.2729993451138931E-2</v>
      </c>
      <c r="Q207" s="302">
        <v>63.908450804459704</v>
      </c>
      <c r="R207" s="302">
        <v>10.624407418246301</v>
      </c>
      <c r="S207" s="301" t="s">
        <v>25</v>
      </c>
      <c r="T207" s="300">
        <v>335.06902456245211</v>
      </c>
      <c r="U207" s="301">
        <v>3.6190161466682951</v>
      </c>
      <c r="V207" s="301" t="s">
        <v>25</v>
      </c>
      <c r="W207" s="301">
        <v>0.66165169305123983</v>
      </c>
      <c r="X207" s="301">
        <v>1.4185247835133461</v>
      </c>
      <c r="Y207" s="301">
        <v>2.8757158207544729E-2</v>
      </c>
      <c r="Z207" s="303" t="s">
        <v>25</v>
      </c>
      <c r="AA207" s="301" t="s">
        <v>25</v>
      </c>
      <c r="AB207" s="217">
        <v>1.3769745540077549</v>
      </c>
      <c r="AC207" s="217"/>
      <c r="AD207" s="217"/>
      <c r="AE207" s="219">
        <f>O207/J207</f>
        <v>2.8786583971948849E-4</v>
      </c>
      <c r="AF207" s="219"/>
      <c r="AG207" s="219"/>
    </row>
    <row r="208" spans="1:33" s="255" customFormat="1">
      <c r="B208" s="255" t="s">
        <v>569</v>
      </c>
      <c r="C208" s="255" t="s">
        <v>570</v>
      </c>
      <c r="D208" s="300">
        <v>480293.9840621351</v>
      </c>
      <c r="E208" s="300">
        <v>518886.5149524124</v>
      </c>
      <c r="F208" s="302">
        <v>64.214984303064995</v>
      </c>
      <c r="G208" s="302">
        <v>12.343950519552967</v>
      </c>
      <c r="H208" s="301">
        <v>1.5995992145109113E-2</v>
      </c>
      <c r="I208" s="301">
        <v>0.17822879441159487</v>
      </c>
      <c r="J208" s="300">
        <v>335.5529302816866</v>
      </c>
      <c r="K208" s="302">
        <v>19.3948330714653</v>
      </c>
      <c r="L208" s="301">
        <v>0.93843698821261212</v>
      </c>
      <c r="M208" s="301">
        <v>1.4784771963615238E-2</v>
      </c>
      <c r="N208" s="301">
        <v>0.10881398240725988</v>
      </c>
      <c r="O208" s="301">
        <v>5.1383799072127589E-2</v>
      </c>
      <c r="P208" s="301">
        <v>7.5323505302671004E-3</v>
      </c>
      <c r="Q208" s="300">
        <v>121.12594819674815</v>
      </c>
      <c r="R208" s="302">
        <v>26.877714152179323</v>
      </c>
      <c r="S208" s="301" t="s">
        <v>25</v>
      </c>
      <c r="T208" s="300">
        <v>125.27901074488345</v>
      </c>
      <c r="U208" s="301">
        <v>1.703996344999634</v>
      </c>
      <c r="V208" s="301">
        <v>3.7911929908865633E-2</v>
      </c>
      <c r="W208" s="301">
        <v>4.1706382580230912</v>
      </c>
      <c r="X208" s="301">
        <v>1.5846465779438532</v>
      </c>
      <c r="Y208" s="290" t="s">
        <v>25</v>
      </c>
      <c r="Z208" s="303" t="s">
        <v>25</v>
      </c>
      <c r="AA208" s="301" t="s">
        <v>25</v>
      </c>
      <c r="AB208" s="217">
        <v>1.9232364629435277</v>
      </c>
      <c r="AC208" s="217">
        <f>L208/U208</f>
        <v>0.5507271133335756</v>
      </c>
      <c r="AD208" s="217">
        <f>H208/I208</f>
        <v>8.9749763487534856E-2</v>
      </c>
      <c r="AE208" s="219">
        <f>O208/J208</f>
        <v>1.5313172508728336E-4</v>
      </c>
      <c r="AF208" s="219"/>
      <c r="AG208" s="219"/>
    </row>
    <row r="209" spans="1:33" s="255" customFormat="1">
      <c r="B209" s="255" t="s">
        <v>571</v>
      </c>
      <c r="C209" s="255" t="s">
        <v>572</v>
      </c>
      <c r="D209" s="300">
        <v>480283.35445663397</v>
      </c>
      <c r="E209" s="300">
        <v>518442.50726568449</v>
      </c>
      <c r="F209" s="302">
        <v>66.209379481186232</v>
      </c>
      <c r="G209" s="302">
        <v>19.448227382015919</v>
      </c>
      <c r="H209" s="301" t="s">
        <v>25</v>
      </c>
      <c r="I209" s="301">
        <v>0.33416547664040908</v>
      </c>
      <c r="J209" s="300">
        <v>463.96874321658873</v>
      </c>
      <c r="K209" s="302">
        <v>37.613079575477315</v>
      </c>
      <c r="L209" s="301">
        <v>2.1151387296309885</v>
      </c>
      <c r="M209" s="303" t="s">
        <v>25</v>
      </c>
      <c r="N209" s="301" t="s">
        <v>25</v>
      </c>
      <c r="O209" s="301">
        <v>2.9501835924353407E-2</v>
      </c>
      <c r="P209" s="301" t="s">
        <v>25</v>
      </c>
      <c r="Q209" s="300">
        <v>176.89123554863991</v>
      </c>
      <c r="R209" s="302">
        <v>47.899044857644647</v>
      </c>
      <c r="S209" s="301">
        <v>6.37979183478906E-2</v>
      </c>
      <c r="T209" s="300">
        <v>219.25836582058255</v>
      </c>
      <c r="U209" s="301">
        <v>2.1541316006022821</v>
      </c>
      <c r="V209" s="301">
        <v>2.6093306031353965E-2</v>
      </c>
      <c r="W209" s="301">
        <v>1.4270740466997738</v>
      </c>
      <c r="X209" s="301">
        <v>1.5737912216211047</v>
      </c>
      <c r="Y209" s="290" t="s">
        <v>25</v>
      </c>
      <c r="Z209" s="303" t="s">
        <v>25</v>
      </c>
      <c r="AA209" s="301">
        <v>2.2908393957290527E-2</v>
      </c>
      <c r="AB209" s="217">
        <v>4.3384860635681965</v>
      </c>
      <c r="AC209" s="217">
        <f>L209/U209</f>
        <v>0.98189856601129133</v>
      </c>
      <c r="AD209" s="217"/>
      <c r="AE209" s="219">
        <f>O209/J209</f>
        <v>6.3585826320592106E-5</v>
      </c>
      <c r="AF209" s="219"/>
      <c r="AG209" s="219"/>
    </row>
    <row r="210" spans="1:33" s="148" customFormat="1">
      <c r="B210" s="148" t="s">
        <v>573</v>
      </c>
      <c r="C210" s="148" t="s">
        <v>574</v>
      </c>
      <c r="D210" s="248">
        <v>481284.19692106481</v>
      </c>
      <c r="E210" s="248">
        <v>517824.54001102335</v>
      </c>
      <c r="F210" s="251">
        <v>54.235934431889277</v>
      </c>
      <c r="G210" s="251">
        <v>23.828772178851455</v>
      </c>
      <c r="H210" s="250" t="s">
        <v>25</v>
      </c>
      <c r="I210" s="249">
        <v>0.11921038027461626</v>
      </c>
      <c r="J210" s="248">
        <v>268.71519516100159</v>
      </c>
      <c r="K210" s="251">
        <v>20.839888093128899</v>
      </c>
      <c r="L210" s="249" t="s">
        <v>25</v>
      </c>
      <c r="M210" s="250" t="s">
        <v>25</v>
      </c>
      <c r="N210" s="249" t="s">
        <v>25</v>
      </c>
      <c r="O210" s="249">
        <v>4.2467603624288155E-2</v>
      </c>
      <c r="P210" s="249">
        <v>0.20750777784278848</v>
      </c>
      <c r="Q210" s="248">
        <v>121.48911857340852</v>
      </c>
      <c r="R210" s="251">
        <v>51.679529823615724</v>
      </c>
      <c r="S210" s="249" t="s">
        <v>25</v>
      </c>
      <c r="T210" s="248">
        <v>118.43188133289375</v>
      </c>
      <c r="U210" s="249">
        <v>3.6747580721407367</v>
      </c>
      <c r="V210" s="249" t="s">
        <v>25</v>
      </c>
      <c r="W210" s="249">
        <v>0.89932429852926643</v>
      </c>
      <c r="X210" s="249">
        <v>0.99020561327705736</v>
      </c>
      <c r="Y210" s="290" t="s">
        <v>25</v>
      </c>
      <c r="Z210" s="250" t="s">
        <v>25</v>
      </c>
      <c r="AA210" s="249">
        <v>4.4044430991967559E-2</v>
      </c>
      <c r="AB210" s="249" t="s">
        <v>25</v>
      </c>
      <c r="AC210" s="146"/>
      <c r="AD210" s="146"/>
      <c r="AE210" s="219">
        <f>O210/J210</f>
        <v>1.5803945734755919E-4</v>
      </c>
      <c r="AF210" s="218"/>
      <c r="AG210" s="218"/>
    </row>
    <row r="211" spans="1:33" s="128" customFormat="1">
      <c r="B211" s="128" t="s">
        <v>575</v>
      </c>
      <c r="D211" s="129">
        <f>MEDIAN(D201:D210)</f>
        <v>487748.38787060941</v>
      </c>
      <c r="E211" s="129">
        <f>MEDIAN(E201:E210)</f>
        <v>511652.52642292285</v>
      </c>
      <c r="F211" s="133">
        <f t="shared" ref="F211:AD211" si="54">MEDIAN(F201:F210)</f>
        <v>46.64113811252632</v>
      </c>
      <c r="G211" s="133">
        <f t="shared" si="54"/>
        <v>24.880856297647433</v>
      </c>
      <c r="H211" s="132">
        <f t="shared" si="54"/>
        <v>2.102686292684941E-2</v>
      </c>
      <c r="I211" s="132">
        <f t="shared" si="54"/>
        <v>0.33416547664040908</v>
      </c>
      <c r="J211" s="129">
        <f t="shared" si="54"/>
        <v>102.70016360361163</v>
      </c>
      <c r="K211" s="133">
        <f t="shared" si="54"/>
        <v>20.326934418933888</v>
      </c>
      <c r="L211" s="132">
        <f t="shared" si="54"/>
        <v>1.3333656879094253</v>
      </c>
      <c r="M211" s="132">
        <f t="shared" si="54"/>
        <v>1.4784771963615238E-2</v>
      </c>
      <c r="N211" s="132">
        <f t="shared" si="54"/>
        <v>0.12039933315145258</v>
      </c>
      <c r="O211" s="132">
        <f t="shared" si="54"/>
        <v>4.0215908813892184E-2</v>
      </c>
      <c r="P211" s="132">
        <f>MEDIAN(P201:P210)</f>
        <v>5.6679665989221285E-2</v>
      </c>
      <c r="Q211" s="129">
        <f t="shared" si="54"/>
        <v>149.1901770610242</v>
      </c>
      <c r="R211" s="133">
        <f t="shared" si="54"/>
        <v>41.020199879208178</v>
      </c>
      <c r="S211" s="132">
        <f t="shared" si="54"/>
        <v>0.16667701417678915</v>
      </c>
      <c r="T211" s="129">
        <f t="shared" si="54"/>
        <v>121.8554460388886</v>
      </c>
      <c r="U211" s="132">
        <f t="shared" si="54"/>
        <v>2.8865738736352888</v>
      </c>
      <c r="V211" s="132">
        <f t="shared" si="54"/>
        <v>2.0746911002969732E-2</v>
      </c>
      <c r="W211" s="132">
        <f t="shared" si="54"/>
        <v>1.4508939699328847</v>
      </c>
      <c r="X211" s="132">
        <f t="shared" si="54"/>
        <v>1.7373376773784925</v>
      </c>
      <c r="Y211" s="132">
        <f t="shared" si="54"/>
        <v>0.16409752062259808</v>
      </c>
      <c r="Z211" s="289" t="s">
        <v>25</v>
      </c>
      <c r="AA211" s="132">
        <f>MEDIAN(AA201:AA210)</f>
        <v>4.4044430991967559E-2</v>
      </c>
      <c r="AB211" s="132">
        <f t="shared" si="54"/>
        <v>1.9232364629435277</v>
      </c>
      <c r="AC211" s="132">
        <f>MEDIAN(AC201:AC210)</f>
        <v>0.66142181964557978</v>
      </c>
      <c r="AD211" s="132">
        <f t="shared" si="54"/>
        <v>4.9321886417790839E-2</v>
      </c>
      <c r="AE211" s="130"/>
      <c r="AF211" s="130"/>
      <c r="AG211" s="130"/>
    </row>
    <row r="212" spans="1:33" s="128" customFormat="1">
      <c r="B212" s="128" t="s">
        <v>576</v>
      </c>
      <c r="D212" s="129">
        <f t="shared" ref="D212:Y212" si="55">AVERAGE(D201:D210)</f>
        <v>488942.26943283557</v>
      </c>
      <c r="E212" s="129">
        <f t="shared" si="55"/>
        <v>510122.62692107278</v>
      </c>
      <c r="F212" s="133">
        <f>AVERAGE(F201:F210)</f>
        <v>40.324140332017727</v>
      </c>
      <c r="G212" s="133">
        <f t="shared" si="55"/>
        <v>80.076639814110479</v>
      </c>
      <c r="H212" s="132">
        <f t="shared" si="55"/>
        <v>7.0101075477198724E-2</v>
      </c>
      <c r="I212" s="132">
        <f t="shared" si="55"/>
        <v>1.2233831955082868</v>
      </c>
      <c r="J212" s="129">
        <f t="shared" si="55"/>
        <v>157.87852200343573</v>
      </c>
      <c r="K212" s="133">
        <f t="shared" si="55"/>
        <v>32.713527816176502</v>
      </c>
      <c r="L212" s="132">
        <f t="shared" si="55"/>
        <v>1.4300767734156128</v>
      </c>
      <c r="M212" s="132">
        <f t="shared" si="55"/>
        <v>1.177900727201682E-2</v>
      </c>
      <c r="N212" s="132">
        <f>AVERAGE(N201:N210)</f>
        <v>0.13838662875486657</v>
      </c>
      <c r="O212" s="132">
        <f t="shared" si="55"/>
        <v>3.6696744089906745E-2</v>
      </c>
      <c r="P212" s="132">
        <f t="shared" si="55"/>
        <v>0.14677646555001156</v>
      </c>
      <c r="Q212" s="129">
        <f t="shared" si="55"/>
        <v>219.2217119228203</v>
      </c>
      <c r="R212" s="133">
        <f t="shared" si="55"/>
        <v>44.391180435735265</v>
      </c>
      <c r="S212" s="132">
        <f t="shared" si="55"/>
        <v>0.17647609431986158</v>
      </c>
      <c r="T212" s="129">
        <f t="shared" si="55"/>
        <v>147.19406577916513</v>
      </c>
      <c r="U212" s="132">
        <f t="shared" si="55"/>
        <v>3.387369428203475</v>
      </c>
      <c r="V212" s="132">
        <f t="shared" si="55"/>
        <v>2.1799717261525756E-2</v>
      </c>
      <c r="W212" s="132">
        <f t="shared" si="55"/>
        <v>1.9960125162514195</v>
      </c>
      <c r="X212" s="132">
        <f t="shared" si="55"/>
        <v>1.7287500855556339</v>
      </c>
      <c r="Y212" s="132">
        <f t="shared" si="55"/>
        <v>0.66239404025632087</v>
      </c>
      <c r="Z212" s="289" t="s">
        <v>25</v>
      </c>
      <c r="AA212" s="132">
        <f>AVERAGE(AA201:AA210)</f>
        <v>4.1053893853196181E-2</v>
      </c>
      <c r="AB212" s="132">
        <f t="shared" ref="AB212:AD212" si="56">AVERAGE(AB201:AB210)</f>
        <v>2.1352365130814492</v>
      </c>
      <c r="AC212" s="132">
        <f>AVERAGE(AC201:AC210)</f>
        <v>0.66169556147325348</v>
      </c>
      <c r="AD212" s="132">
        <f t="shared" si="56"/>
        <v>5.9534149883928383E-2</v>
      </c>
      <c r="AE212" s="130"/>
      <c r="AF212" s="130"/>
      <c r="AG212" s="130"/>
    </row>
    <row r="213" spans="1:33" s="141" customFormat="1">
      <c r="B213" s="141" t="s">
        <v>577</v>
      </c>
      <c r="D213" s="142">
        <f t="shared" ref="D213:AD213" si="57">STDEV(D201:D210)</f>
        <v>7885.9725035003412</v>
      </c>
      <c r="E213" s="142">
        <f t="shared" si="57"/>
        <v>8002.4805302525237</v>
      </c>
      <c r="F213" s="143">
        <f t="shared" si="57"/>
        <v>24.082822653412105</v>
      </c>
      <c r="G213" s="142">
        <f t="shared" si="57"/>
        <v>110.12474018553533</v>
      </c>
      <c r="H213" s="144">
        <f t="shared" si="57"/>
        <v>0.12276313424440514</v>
      </c>
      <c r="I213" s="144">
        <f t="shared" si="57"/>
        <v>1.407417832382811</v>
      </c>
      <c r="J213" s="142">
        <f t="shared" si="57"/>
        <v>156.45384552209921</v>
      </c>
      <c r="K213" s="143">
        <f t="shared" si="57"/>
        <v>32.878691302292879</v>
      </c>
      <c r="L213" s="144">
        <f t="shared" si="57"/>
        <v>0.52142675325703025</v>
      </c>
      <c r="M213" s="144">
        <f t="shared" si="57"/>
        <v>5.4533658770885111E-3</v>
      </c>
      <c r="N213" s="144">
        <f t="shared" si="57"/>
        <v>4.1593462788698438E-2</v>
      </c>
      <c r="O213" s="144">
        <f t="shared" si="57"/>
        <v>1.2490744174932593E-2</v>
      </c>
      <c r="P213" s="144">
        <f t="shared" si="57"/>
        <v>0.14731941186741648</v>
      </c>
      <c r="Q213" s="142">
        <f t="shared" si="57"/>
        <v>223.53656000380195</v>
      </c>
      <c r="R213" s="143">
        <f t="shared" si="57"/>
        <v>32.341955438608814</v>
      </c>
      <c r="S213" s="144">
        <f t="shared" si="57"/>
        <v>0.12257814220277974</v>
      </c>
      <c r="T213" s="142">
        <f t="shared" si="57"/>
        <v>105.79116810659542</v>
      </c>
      <c r="U213" s="144">
        <f t="shared" si="57"/>
        <v>2.7656786769015747</v>
      </c>
      <c r="V213" s="144">
        <f t="shared" si="57"/>
        <v>1.3104362190206865E-2</v>
      </c>
      <c r="W213" s="144">
        <f t="shared" si="57"/>
        <v>1.550145038836338</v>
      </c>
      <c r="X213" s="144">
        <f t="shared" si="57"/>
        <v>0.59810833559081855</v>
      </c>
      <c r="Y213" s="144">
        <f t="shared" si="57"/>
        <v>0.81909748719407149</v>
      </c>
      <c r="Z213" s="289" t="s">
        <v>25</v>
      </c>
      <c r="AA213" s="144">
        <f>STDEV(AA201:AA210)</f>
        <v>1.9398612180120109E-2</v>
      </c>
      <c r="AB213" s="144">
        <f t="shared" si="57"/>
        <v>1.2521426009250134</v>
      </c>
      <c r="AC213" s="144">
        <f>STDEV(AC201:AC210)</f>
        <v>0.27641538911943675</v>
      </c>
      <c r="AD213" s="144">
        <f t="shared" si="57"/>
        <v>6.1809175900766601E-2</v>
      </c>
      <c r="AE213" s="145"/>
      <c r="AF213" s="145"/>
      <c r="AG213" s="145"/>
    </row>
    <row r="214" spans="1:33" s="264" customFormat="1">
      <c r="A214" s="306" t="s">
        <v>578</v>
      </c>
      <c r="B214" s="264" t="s">
        <v>579</v>
      </c>
      <c r="C214" s="264" t="s">
        <v>580</v>
      </c>
      <c r="D214" s="300">
        <v>491937.69544122851</v>
      </c>
      <c r="E214" s="300">
        <v>507327.54498518433</v>
      </c>
      <c r="F214" s="301">
        <v>8.1440295370843074</v>
      </c>
      <c r="G214" s="302">
        <v>16.718807576661977</v>
      </c>
      <c r="H214" s="301">
        <v>1.5893463164825646E-2</v>
      </c>
      <c r="I214" s="303" t="s">
        <v>25</v>
      </c>
      <c r="J214" s="300">
        <v>195.0727075625509</v>
      </c>
      <c r="K214" s="302">
        <v>32.316849285457799</v>
      </c>
      <c r="L214" s="301" t="s">
        <v>25</v>
      </c>
      <c r="M214" s="301">
        <v>5.6083013787108374E-3</v>
      </c>
      <c r="N214" s="301">
        <v>0.1742115663275772</v>
      </c>
      <c r="O214" s="301">
        <v>0.11646831685913672</v>
      </c>
      <c r="P214" s="301">
        <v>5.383774857329663E-2</v>
      </c>
      <c r="Q214" s="301">
        <v>5.0069161412881851</v>
      </c>
      <c r="R214" s="301">
        <v>1.6486885309826855</v>
      </c>
      <c r="S214" s="301" t="s">
        <v>25</v>
      </c>
      <c r="T214" s="300">
        <v>349.75054617436342</v>
      </c>
      <c r="U214" s="301">
        <v>8.0479107253167008</v>
      </c>
      <c r="V214" s="303" t="s">
        <v>25</v>
      </c>
      <c r="W214" s="303" t="s">
        <v>25</v>
      </c>
      <c r="X214" s="301">
        <v>0.52648893226851212</v>
      </c>
      <c r="Y214" s="301">
        <v>2.5631339874984647E-2</v>
      </c>
      <c r="Z214" s="303" t="s">
        <v>25</v>
      </c>
      <c r="AA214" s="301">
        <v>6.0872024964886591E-2</v>
      </c>
      <c r="AB214" s="307">
        <v>1.4925546748754484</v>
      </c>
      <c r="AC214" s="307"/>
      <c r="AD214" s="217"/>
      <c r="AE214" s="219">
        <f t="shared" ref="AE214:AE223" si="58">O214/J214</f>
        <v>5.9705080384856325E-4</v>
      </c>
      <c r="AF214" s="308"/>
      <c r="AG214" s="308"/>
    </row>
    <row r="215" spans="1:33" s="255" customFormat="1">
      <c r="B215" s="255" t="s">
        <v>581</v>
      </c>
      <c r="C215" s="255" t="s">
        <v>582</v>
      </c>
      <c r="D215" s="300">
        <v>484804.3211895969</v>
      </c>
      <c r="E215" s="300">
        <v>514787.76882395224</v>
      </c>
      <c r="F215" s="301">
        <v>3.319144121572009</v>
      </c>
      <c r="G215" s="302">
        <v>15.496126512894101</v>
      </c>
      <c r="H215" s="301">
        <v>1.1664524386487199E-2</v>
      </c>
      <c r="I215" s="301" t="s">
        <v>25</v>
      </c>
      <c r="J215" s="302">
        <v>25.301284376729278</v>
      </c>
      <c r="K215" s="301">
        <v>5.0990930401139831</v>
      </c>
      <c r="L215" s="301" t="s">
        <v>25</v>
      </c>
      <c r="M215" s="301">
        <v>5.8788073962735329E-3</v>
      </c>
      <c r="N215" s="301" t="s">
        <v>25</v>
      </c>
      <c r="O215" s="301">
        <v>5.1800057256296911E-2</v>
      </c>
      <c r="P215" s="301" t="s">
        <v>25</v>
      </c>
      <c r="Q215" s="301">
        <v>8.2424755192018289</v>
      </c>
      <c r="R215" s="301">
        <v>4.1076464971809665</v>
      </c>
      <c r="S215" s="301" t="s">
        <v>25</v>
      </c>
      <c r="T215" s="300">
        <v>125.3635375654455</v>
      </c>
      <c r="U215" s="301">
        <v>0.56596278785261445</v>
      </c>
      <c r="V215" s="303" t="s">
        <v>25</v>
      </c>
      <c r="W215" s="301">
        <v>0.56440606704388496</v>
      </c>
      <c r="X215" s="301">
        <v>0.59323079132492462</v>
      </c>
      <c r="Y215" s="301">
        <v>4.1588391042078815E-2</v>
      </c>
      <c r="Z215" s="303" t="s">
        <v>25</v>
      </c>
      <c r="AA215" s="301">
        <v>4.2671750280235468E-2</v>
      </c>
      <c r="AB215" s="217">
        <v>0.689600137767159</v>
      </c>
      <c r="AC215" s="217"/>
      <c r="AD215" s="217"/>
      <c r="AE215" s="219">
        <f t="shared" si="58"/>
        <v>2.0473291586706856E-3</v>
      </c>
      <c r="AF215" s="219"/>
      <c r="AG215" s="219"/>
    </row>
    <row r="216" spans="1:33" s="255" customFormat="1">
      <c r="B216" s="255" t="s">
        <v>583</v>
      </c>
      <c r="C216" s="255" t="s">
        <v>584</v>
      </c>
      <c r="D216" s="300">
        <v>480291.72536837467</v>
      </c>
      <c r="E216" s="300">
        <v>519443.56002655945</v>
      </c>
      <c r="F216" s="301">
        <v>0.53829706318863679</v>
      </c>
      <c r="G216" s="301">
        <v>2.5032219352117737</v>
      </c>
      <c r="H216" s="301" t="s">
        <v>25</v>
      </c>
      <c r="I216" s="301" t="s">
        <v>25</v>
      </c>
      <c r="J216" s="302">
        <v>32.783443345535268</v>
      </c>
      <c r="K216" s="301">
        <v>2.6721148273814115</v>
      </c>
      <c r="L216" s="301">
        <v>0.79023071739276973</v>
      </c>
      <c r="M216" s="301" t="s">
        <v>25</v>
      </c>
      <c r="N216" s="301" t="s">
        <v>25</v>
      </c>
      <c r="O216" s="301">
        <v>1.5402588312533395E-2</v>
      </c>
      <c r="P216" s="301">
        <v>3.8777181629257959E-2</v>
      </c>
      <c r="Q216" s="301">
        <v>2.3120150983026262</v>
      </c>
      <c r="R216" s="301">
        <v>1.2553205942472112</v>
      </c>
      <c r="S216" s="301">
        <v>6.1005325944948958E-2</v>
      </c>
      <c r="T216" s="302">
        <v>49.517759385391848</v>
      </c>
      <c r="U216" s="301">
        <v>0.26751197202200572</v>
      </c>
      <c r="V216" s="303" t="s">
        <v>25</v>
      </c>
      <c r="W216" s="301">
        <v>0.48906716175316495</v>
      </c>
      <c r="X216" s="301">
        <v>0.58723861562997282</v>
      </c>
      <c r="Y216" s="301">
        <v>5.6053467017537434E-3</v>
      </c>
      <c r="Z216" s="303" t="s">
        <v>25</v>
      </c>
      <c r="AA216" s="301" t="s">
        <v>25</v>
      </c>
      <c r="AB216" s="217">
        <v>1.6328617974864896</v>
      </c>
      <c r="AC216" s="217">
        <f>L216/U216</f>
        <v>2.9540013159776071</v>
      </c>
      <c r="AD216" s="217"/>
      <c r="AE216" s="219">
        <f t="shared" si="58"/>
        <v>4.6982826514564561E-4</v>
      </c>
      <c r="AF216" s="219"/>
      <c r="AG216" s="219"/>
    </row>
    <row r="217" spans="1:33" s="255" customFormat="1">
      <c r="B217" s="255" t="s">
        <v>585</v>
      </c>
      <c r="C217" s="255" t="s">
        <v>586</v>
      </c>
      <c r="D217" s="300">
        <v>505172.55324444675</v>
      </c>
      <c r="E217" s="300">
        <v>493959.92657019704</v>
      </c>
      <c r="F217" s="302">
        <v>23.280170381407292</v>
      </c>
      <c r="G217" s="302">
        <v>35.445382926701278</v>
      </c>
      <c r="H217" s="301" t="s">
        <v>25</v>
      </c>
      <c r="I217" s="301" t="s">
        <v>25</v>
      </c>
      <c r="J217" s="300">
        <v>135.31802916018827</v>
      </c>
      <c r="K217" s="302">
        <v>27.976288059285178</v>
      </c>
      <c r="L217" s="301">
        <v>0.89136966003004647</v>
      </c>
      <c r="M217" s="303" t="s">
        <v>25</v>
      </c>
      <c r="N217" s="301">
        <v>5.9623206963234927E-2</v>
      </c>
      <c r="O217" s="301">
        <v>0.13802627520964841</v>
      </c>
      <c r="P217" s="301">
        <v>7.5596727903720753E-2</v>
      </c>
      <c r="Q217" s="302">
        <v>50.646468006407815</v>
      </c>
      <c r="R217" s="301">
        <v>8.3808323627856769</v>
      </c>
      <c r="S217" s="301" t="s">
        <v>25</v>
      </c>
      <c r="T217" s="300">
        <v>312.62606419418296</v>
      </c>
      <c r="U217" s="301">
        <v>5.4043523989168314</v>
      </c>
      <c r="V217" s="301" t="s">
        <v>25</v>
      </c>
      <c r="W217" s="301">
        <v>0.39136963811032394</v>
      </c>
      <c r="X217" s="301">
        <v>1.1565184603374385</v>
      </c>
      <c r="Y217" s="301">
        <v>4.4689469831754217E-2</v>
      </c>
      <c r="Z217" s="303" t="s">
        <v>25</v>
      </c>
      <c r="AA217" s="301">
        <v>0.17055221294898837</v>
      </c>
      <c r="AB217" s="217">
        <v>1.9189607053421305</v>
      </c>
      <c r="AC217" s="217">
        <f>L217/U217</f>
        <v>0.16493551756704455</v>
      </c>
      <c r="AD217" s="217"/>
      <c r="AE217" s="219">
        <f t="shared" si="58"/>
        <v>1.0200139335923533E-3</v>
      </c>
      <c r="AF217" s="219"/>
      <c r="AG217" s="219"/>
    </row>
    <row r="218" spans="1:33" s="255" customFormat="1">
      <c r="B218" s="255" t="s">
        <v>587</v>
      </c>
      <c r="C218" s="255" t="s">
        <v>588</v>
      </c>
      <c r="D218" s="300">
        <v>494277.21922290663</v>
      </c>
      <c r="E218" s="300">
        <v>504765.67886423907</v>
      </c>
      <c r="F218" s="301">
        <v>0.50117863544844909</v>
      </c>
      <c r="G218" s="302">
        <v>27.864315974969923</v>
      </c>
      <c r="H218" s="301" t="s">
        <v>25</v>
      </c>
      <c r="I218" s="301">
        <v>0.28278477603530822</v>
      </c>
      <c r="J218" s="300">
        <v>266.45950771262079</v>
      </c>
      <c r="K218" s="302">
        <v>25.973789735175558</v>
      </c>
      <c r="L218" s="301" t="s">
        <v>25</v>
      </c>
      <c r="M218" s="303" t="s">
        <v>25</v>
      </c>
      <c r="N218" s="301" t="s">
        <v>25</v>
      </c>
      <c r="O218" s="301">
        <v>0.10931842821048833</v>
      </c>
      <c r="P218" s="301">
        <v>0.31315668150739268</v>
      </c>
      <c r="Q218" s="301">
        <v>7.3350542936902254</v>
      </c>
      <c r="R218" s="301">
        <v>0.21461882235345242</v>
      </c>
      <c r="S218" s="301" t="s">
        <v>25</v>
      </c>
      <c r="T218" s="300">
        <v>317.91970730347714</v>
      </c>
      <c r="U218" s="301">
        <v>0.7944243337424346</v>
      </c>
      <c r="V218" s="301">
        <v>2.1786123242319169E-2</v>
      </c>
      <c r="W218" s="301" t="s">
        <v>25</v>
      </c>
      <c r="X218" s="301">
        <v>1.0765996367024937</v>
      </c>
      <c r="Y218" s="301">
        <v>7.2807779141814397E-2</v>
      </c>
      <c r="Z218" s="303" t="s">
        <v>25</v>
      </c>
      <c r="AA218" s="301" t="s">
        <v>25</v>
      </c>
      <c r="AB218" s="217" t="s">
        <v>25</v>
      </c>
      <c r="AC218" s="217"/>
      <c r="AD218" s="217"/>
      <c r="AE218" s="219">
        <f t="shared" si="58"/>
        <v>4.1026281684941536E-4</v>
      </c>
      <c r="AF218" s="219"/>
      <c r="AG218" s="219"/>
    </row>
    <row r="219" spans="1:33" s="255" customFormat="1">
      <c r="B219" s="255" t="s">
        <v>589</v>
      </c>
      <c r="C219" s="255" t="s">
        <v>590</v>
      </c>
      <c r="D219" s="300">
        <v>483854.56332010659</v>
      </c>
      <c r="E219" s="300">
        <v>514810.94518346427</v>
      </c>
      <c r="F219" s="302">
        <v>34.349067242937231</v>
      </c>
      <c r="G219" s="302">
        <v>20.219018521455791</v>
      </c>
      <c r="H219" s="301" t="s">
        <v>25</v>
      </c>
      <c r="I219" s="301" t="s">
        <v>25</v>
      </c>
      <c r="J219" s="300">
        <v>420.66053317337776</v>
      </c>
      <c r="K219" s="302">
        <v>82.189231021518992</v>
      </c>
      <c r="L219" s="301" t="s">
        <v>25</v>
      </c>
      <c r="M219" s="301">
        <v>6.9500640985808862E-3</v>
      </c>
      <c r="N219" s="301">
        <v>3.4612294047845271E-2</v>
      </c>
      <c r="O219" s="301">
        <v>0.30125610915615308</v>
      </c>
      <c r="P219" s="301">
        <v>2.5170508908766873</v>
      </c>
      <c r="Q219" s="302">
        <v>56.142066482333213</v>
      </c>
      <c r="R219" s="301">
        <v>4.2259804024957202</v>
      </c>
      <c r="S219" s="301" t="s">
        <v>25</v>
      </c>
      <c r="T219" s="300">
        <v>446.34534988781576</v>
      </c>
      <c r="U219" s="301">
        <v>1.4194301999669958</v>
      </c>
      <c r="V219" s="301">
        <v>2.7374863853602639E-2</v>
      </c>
      <c r="W219" s="301" t="s">
        <v>25</v>
      </c>
      <c r="X219" s="301">
        <v>0.62815590497900498</v>
      </c>
      <c r="Y219" s="301">
        <v>0.10665166851794954</v>
      </c>
      <c r="Z219" s="303" t="s">
        <v>25</v>
      </c>
      <c r="AA219" s="301" t="s">
        <v>25</v>
      </c>
      <c r="AB219" s="217">
        <v>1.3046491719179647</v>
      </c>
      <c r="AC219" s="217"/>
      <c r="AD219" s="217"/>
      <c r="AE219" s="219">
        <f t="shared" si="58"/>
        <v>7.1615016242084341E-4</v>
      </c>
      <c r="AF219" s="219"/>
      <c r="AG219" s="219"/>
    </row>
    <row r="220" spans="1:33" s="255" customFormat="1">
      <c r="B220" s="255" t="s">
        <v>591</v>
      </c>
      <c r="C220" s="255" t="s">
        <v>592</v>
      </c>
      <c r="D220" s="300">
        <v>491013.26618007541</v>
      </c>
      <c r="E220" s="300">
        <v>508013.47670272156</v>
      </c>
      <c r="F220" s="302">
        <v>41.747491212642409</v>
      </c>
      <c r="G220" s="302">
        <v>16.3617104226843</v>
      </c>
      <c r="H220" s="301" t="s">
        <v>25</v>
      </c>
      <c r="I220" s="301">
        <v>0.11234941654270934</v>
      </c>
      <c r="J220" s="300">
        <v>280.43759585925181</v>
      </c>
      <c r="K220" s="302">
        <v>23.195518726476553</v>
      </c>
      <c r="L220" s="301" t="s">
        <v>25</v>
      </c>
      <c r="M220" s="303" t="s">
        <v>25</v>
      </c>
      <c r="N220" s="301" t="s">
        <v>25</v>
      </c>
      <c r="O220" s="301">
        <v>7.9570355237934084E-2</v>
      </c>
      <c r="P220" s="301">
        <v>0.12969532555674523</v>
      </c>
      <c r="Q220" s="302">
        <v>18.623608929638113</v>
      </c>
      <c r="R220" s="301">
        <v>0.93259479083123942</v>
      </c>
      <c r="S220" s="301">
        <v>8.3282430233249841E-2</v>
      </c>
      <c r="T220" s="300">
        <v>459.95291055507676</v>
      </c>
      <c r="U220" s="301">
        <v>1.4449108194816906</v>
      </c>
      <c r="V220" s="301">
        <v>7.3065679681836504E-3</v>
      </c>
      <c r="W220" s="301" t="s">
        <v>25</v>
      </c>
      <c r="X220" s="301">
        <v>0.80287309924963512</v>
      </c>
      <c r="Y220" s="301">
        <v>7.1394012721157155E-2</v>
      </c>
      <c r="Z220" s="303" t="s">
        <v>25</v>
      </c>
      <c r="AA220" s="301" t="s">
        <v>25</v>
      </c>
      <c r="AB220" s="217">
        <v>0.16510318331045137</v>
      </c>
      <c r="AC220" s="217"/>
      <c r="AD220" s="217"/>
      <c r="AE220" s="219">
        <f t="shared" si="58"/>
        <v>2.8373640486445146E-4</v>
      </c>
      <c r="AF220" s="219"/>
      <c r="AG220" s="219"/>
    </row>
    <row r="221" spans="1:33" s="255" customFormat="1">
      <c r="B221" s="255" t="s">
        <v>593</v>
      </c>
      <c r="C221" s="255" t="s">
        <v>594</v>
      </c>
      <c r="D221" s="300">
        <v>491157.54765720241</v>
      </c>
      <c r="E221" s="300">
        <v>507940.81650903355</v>
      </c>
      <c r="F221" s="302">
        <v>19.798125310805666</v>
      </c>
      <c r="G221" s="302">
        <v>29.923236296128731</v>
      </c>
      <c r="H221" s="301" t="s">
        <v>25</v>
      </c>
      <c r="I221" s="301">
        <v>0.18610426508108166</v>
      </c>
      <c r="J221" s="300">
        <v>349.31376379455247</v>
      </c>
      <c r="K221" s="302">
        <v>12.187159812647767</v>
      </c>
      <c r="L221" s="301">
        <v>1.2705847958350289</v>
      </c>
      <c r="M221" s="301">
        <v>5.1798677422079283E-3</v>
      </c>
      <c r="N221" s="301" t="s">
        <v>25</v>
      </c>
      <c r="O221" s="301">
        <v>5.1080619655882835E-2</v>
      </c>
      <c r="P221" s="301">
        <v>9.0635838648359696E-2</v>
      </c>
      <c r="Q221" s="302">
        <v>89.143998310919471</v>
      </c>
      <c r="R221" s="302">
        <v>31.640502551693842</v>
      </c>
      <c r="S221" s="301" t="s">
        <v>25</v>
      </c>
      <c r="T221" s="300">
        <v>134.77532469040958</v>
      </c>
      <c r="U221" s="301">
        <v>1.6353101486582482</v>
      </c>
      <c r="V221" s="303" t="s">
        <v>25</v>
      </c>
      <c r="W221" s="301">
        <v>0.51470752994915692</v>
      </c>
      <c r="X221" s="301">
        <v>0.98379138899277185</v>
      </c>
      <c r="Y221" s="303" t="s">
        <v>25</v>
      </c>
      <c r="Z221" s="303" t="s">
        <v>25</v>
      </c>
      <c r="AA221" s="301" t="s">
        <v>25</v>
      </c>
      <c r="AB221" s="217">
        <v>2.6600542436416852</v>
      </c>
      <c r="AC221" s="217">
        <f>L221/U221</f>
        <v>0.77696869726976747</v>
      </c>
      <c r="AD221" s="217"/>
      <c r="AE221" s="219">
        <f t="shared" si="58"/>
        <v>1.4623133970159189E-4</v>
      </c>
      <c r="AF221" s="219"/>
      <c r="AG221" s="219"/>
    </row>
    <row r="222" spans="1:33" s="255" customFormat="1">
      <c r="B222" s="255" t="s">
        <v>595</v>
      </c>
      <c r="C222" s="255" t="s">
        <v>596</v>
      </c>
      <c r="D222" s="300">
        <v>489699.74228516896</v>
      </c>
      <c r="E222" s="300">
        <v>508921.18123059283</v>
      </c>
      <c r="F222" s="302">
        <v>77.892605139855505</v>
      </c>
      <c r="G222" s="302">
        <v>59.81466887577939</v>
      </c>
      <c r="H222" s="301" t="s">
        <v>25</v>
      </c>
      <c r="I222" s="301" t="s">
        <v>25</v>
      </c>
      <c r="J222" s="300">
        <v>493.15630520805337</v>
      </c>
      <c r="K222" s="302">
        <v>37.469996592970546</v>
      </c>
      <c r="L222" s="301">
        <v>1.4618110271970852</v>
      </c>
      <c r="M222" s="301" t="s">
        <v>25</v>
      </c>
      <c r="N222" s="301">
        <v>5.5479039878250785E-2</v>
      </c>
      <c r="O222" s="301">
        <v>7.3471529841167962E-2</v>
      </c>
      <c r="P222" s="301">
        <v>0.14080267794294327</v>
      </c>
      <c r="Q222" s="300">
        <v>286.7869240918946</v>
      </c>
      <c r="R222" s="302">
        <v>54.817098578646835</v>
      </c>
      <c r="S222" s="301">
        <v>7.579043074572335E-2</v>
      </c>
      <c r="T222" s="300">
        <v>283.03267372336927</v>
      </c>
      <c r="U222" s="301">
        <v>3.7997673301965196</v>
      </c>
      <c r="V222" s="301">
        <v>2.9046195263897043E-2</v>
      </c>
      <c r="W222" s="301">
        <v>0.5767498244403102</v>
      </c>
      <c r="X222" s="301">
        <v>1.0376234598843286</v>
      </c>
      <c r="Y222" s="301">
        <v>6.1225040426349875E-3</v>
      </c>
      <c r="Z222" s="303" t="s">
        <v>25</v>
      </c>
      <c r="AA222" s="301">
        <v>0.14730156122734631</v>
      </c>
      <c r="AB222" s="217">
        <v>3.054503721352126</v>
      </c>
      <c r="AC222" s="217">
        <f>L222/U222</f>
        <v>0.3847106678296226</v>
      </c>
      <c r="AD222" s="217"/>
      <c r="AE222" s="219">
        <f t="shared" si="58"/>
        <v>1.4898223760957837E-4</v>
      </c>
      <c r="AF222" s="219"/>
      <c r="AG222" s="219"/>
    </row>
    <row r="223" spans="1:33" s="255" customFormat="1">
      <c r="B223" s="255" t="s">
        <v>597</v>
      </c>
      <c r="C223" s="255" t="s">
        <v>598</v>
      </c>
      <c r="D223" s="300">
        <v>482760.01624461223</v>
      </c>
      <c r="E223" s="300">
        <v>515968.69527653966</v>
      </c>
      <c r="F223" s="302">
        <v>84.991498915513787</v>
      </c>
      <c r="G223" s="302">
        <v>63.12253085201808</v>
      </c>
      <c r="H223" s="301">
        <v>1.3058310096674488E-2</v>
      </c>
      <c r="I223" s="301" t="s">
        <v>25</v>
      </c>
      <c r="J223" s="300">
        <v>305.87595847491531</v>
      </c>
      <c r="K223" s="302">
        <v>42.848043176272526</v>
      </c>
      <c r="L223" s="301" t="s">
        <v>25</v>
      </c>
      <c r="M223" s="301">
        <v>6.4671261828919552E-3</v>
      </c>
      <c r="N223" s="301" t="s">
        <v>25</v>
      </c>
      <c r="O223" s="301">
        <v>7.5067121045744076E-2</v>
      </c>
      <c r="P223" s="301">
        <v>0.1641266572764627</v>
      </c>
      <c r="Q223" s="300">
        <v>350.05687438984688</v>
      </c>
      <c r="R223" s="302">
        <v>42.0238059585866</v>
      </c>
      <c r="S223" s="301">
        <v>8.8329406013394396E-2</v>
      </c>
      <c r="T223" s="300">
        <v>181.04081257819357</v>
      </c>
      <c r="U223" s="301">
        <v>5.5869767311608172</v>
      </c>
      <c r="V223" s="301">
        <v>4.1944855726628337E-2</v>
      </c>
      <c r="W223" s="301">
        <v>0.33220464229712815</v>
      </c>
      <c r="X223" s="301">
        <v>0.96765655886058344</v>
      </c>
      <c r="Y223" s="303" t="s">
        <v>25</v>
      </c>
      <c r="Z223" s="303" t="s">
        <v>25</v>
      </c>
      <c r="AA223" s="301">
        <v>8.1209839459340377E-2</v>
      </c>
      <c r="AB223" s="217">
        <v>0.59061891284052259</v>
      </c>
      <c r="AC223" s="217"/>
      <c r="AD223" s="217"/>
      <c r="AE223" s="219">
        <f t="shared" si="58"/>
        <v>2.4541687231656125E-4</v>
      </c>
      <c r="AF223" s="219"/>
      <c r="AG223" s="219"/>
    </row>
    <row r="224" spans="1:33" s="128" customFormat="1">
      <c r="B224" s="128" t="s">
        <v>575</v>
      </c>
      <c r="D224" s="129">
        <f t="shared" ref="D224:AB224" si="59">MEDIAN(D214:D223)</f>
        <v>490356.50423262222</v>
      </c>
      <c r="E224" s="129">
        <f t="shared" si="59"/>
        <v>508467.32896665717</v>
      </c>
      <c r="F224" s="133">
        <f t="shared" si="59"/>
        <v>21.539147846106481</v>
      </c>
      <c r="G224" s="133">
        <f t="shared" si="59"/>
        <v>24.041667248212857</v>
      </c>
      <c r="H224" s="132">
        <f t="shared" si="59"/>
        <v>1.3058310096674488E-2</v>
      </c>
      <c r="I224" s="132">
        <f t="shared" si="59"/>
        <v>0.18610426508108166</v>
      </c>
      <c r="J224" s="129">
        <f t="shared" si="59"/>
        <v>273.44855178593627</v>
      </c>
      <c r="K224" s="133">
        <f t="shared" si="59"/>
        <v>26.97503889723037</v>
      </c>
      <c r="L224" s="132">
        <f t="shared" si="59"/>
        <v>1.0809772279325376</v>
      </c>
      <c r="M224" s="132">
        <f t="shared" si="59"/>
        <v>5.8788073962735329E-3</v>
      </c>
      <c r="N224" s="257">
        <f t="shared" si="59"/>
        <v>5.7551123420742853E-2</v>
      </c>
      <c r="O224" s="257">
        <f t="shared" si="59"/>
        <v>7.731873814183908E-2</v>
      </c>
      <c r="P224" s="132">
        <f t="shared" si="59"/>
        <v>0.12969532555674523</v>
      </c>
      <c r="Q224" s="133">
        <f t="shared" si="59"/>
        <v>34.635038468022969</v>
      </c>
      <c r="R224" s="132">
        <f t="shared" si="59"/>
        <v>4.1668134498383438</v>
      </c>
      <c r="S224" s="132">
        <f t="shared" si="59"/>
        <v>7.9536430489486595E-2</v>
      </c>
      <c r="T224" s="129">
        <f t="shared" si="59"/>
        <v>297.82936895877612</v>
      </c>
      <c r="U224" s="132">
        <f t="shared" si="59"/>
        <v>1.5401104840699693</v>
      </c>
      <c r="V224" s="132">
        <f t="shared" si="59"/>
        <v>2.7374863853602639E-2</v>
      </c>
      <c r="W224" s="132">
        <f t="shared" si="59"/>
        <v>0.5018873458511609</v>
      </c>
      <c r="X224" s="132">
        <f t="shared" si="59"/>
        <v>0.88526482905510928</v>
      </c>
      <c r="Y224" s="132">
        <f t="shared" si="59"/>
        <v>4.3138930436916516E-2</v>
      </c>
      <c r="Z224" s="289" t="s">
        <v>25</v>
      </c>
      <c r="AA224" s="132">
        <f>MEDIAN(AA214:AA223)</f>
        <v>8.1209839459340377E-2</v>
      </c>
      <c r="AB224" s="132">
        <f t="shared" si="59"/>
        <v>1.4925546748754484</v>
      </c>
      <c r="AC224" s="132">
        <f>MEDIAN(AC214:AC223)</f>
        <v>0.58083968254969509</v>
      </c>
      <c r="AD224" s="132"/>
      <c r="AE224" s="130"/>
      <c r="AF224" s="130"/>
      <c r="AG224" s="130"/>
    </row>
    <row r="225" spans="1:33" s="128" customFormat="1">
      <c r="B225" s="128" t="s">
        <v>576</v>
      </c>
      <c r="D225" s="129">
        <f t="shared" ref="D225:Y225" si="60">AVERAGE(D214:D223)</f>
        <v>489496.86501537188</v>
      </c>
      <c r="E225" s="129">
        <f t="shared" si="60"/>
        <v>509593.95941724844</v>
      </c>
      <c r="F225" s="133">
        <f t="shared" si="60"/>
        <v>29.456160756045527</v>
      </c>
      <c r="G225" s="133">
        <f t="shared" si="60"/>
        <v>28.746901989450539</v>
      </c>
      <c r="H225" s="132">
        <f t="shared" si="60"/>
        <v>1.3538765882662444E-2</v>
      </c>
      <c r="I225" s="132">
        <f t="shared" si="60"/>
        <v>0.19374615255303307</v>
      </c>
      <c r="J225" s="129">
        <f t="shared" si="60"/>
        <v>250.43791286677751</v>
      </c>
      <c r="K225" s="133">
        <f t="shared" si="60"/>
        <v>29.192808427730036</v>
      </c>
      <c r="L225" s="132">
        <f t="shared" si="60"/>
        <v>1.1034990501137325</v>
      </c>
      <c r="M225" s="132">
        <f t="shared" si="60"/>
        <v>6.0168333597330282E-3</v>
      </c>
      <c r="N225" s="257">
        <f>AVERAGE(N214:N223)</f>
        <v>8.0981526804227044E-2</v>
      </c>
      <c r="O225" s="257">
        <f t="shared" si="60"/>
        <v>0.10114614007849858</v>
      </c>
      <c r="P225" s="132">
        <f t="shared" si="60"/>
        <v>0.39151996999054073</v>
      </c>
      <c r="Q225" s="133">
        <f t="shared" si="60"/>
        <v>87.429640126352297</v>
      </c>
      <c r="R225" s="133">
        <f t="shared" si="60"/>
        <v>14.924708908980424</v>
      </c>
      <c r="S225" s="132">
        <f t="shared" si="60"/>
        <v>7.7101898234329141E-2</v>
      </c>
      <c r="T225" s="129">
        <f t="shared" si="60"/>
        <v>266.03246860577258</v>
      </c>
      <c r="U225" s="132">
        <f t="shared" si="60"/>
        <v>2.8966557447314858</v>
      </c>
      <c r="V225" s="132">
        <f t="shared" si="60"/>
        <v>2.5491721210926167E-2</v>
      </c>
      <c r="W225" s="132">
        <f t="shared" si="60"/>
        <v>0.47808414393232823</v>
      </c>
      <c r="X225" s="132">
        <f t="shared" si="60"/>
        <v>0.83601768482296657</v>
      </c>
      <c r="Y225" s="132">
        <f t="shared" si="60"/>
        <v>4.6811313984265933E-2</v>
      </c>
      <c r="Z225" s="289" t="s">
        <v>25</v>
      </c>
      <c r="AA225" s="132">
        <f>AVERAGE(AA214:AA223)</f>
        <v>0.10052147777615941</v>
      </c>
      <c r="AB225" s="132">
        <f t="shared" ref="AB225" si="61">AVERAGE(AB214:AB223)</f>
        <v>1.5009896165037755</v>
      </c>
      <c r="AC225" s="132">
        <f>AVERAGE(AC214:AC223)</f>
        <v>1.0701540496610105</v>
      </c>
      <c r="AD225" s="132"/>
      <c r="AE225" s="130"/>
      <c r="AF225" s="130"/>
      <c r="AG225" s="130"/>
    </row>
    <row r="226" spans="1:33" s="128" customFormat="1">
      <c r="B226" s="128" t="s">
        <v>577</v>
      </c>
      <c r="D226" s="129">
        <f t="shared" ref="D226:AB226" si="62">STDEV(D214:D223)</f>
        <v>7177.2046767390893</v>
      </c>
      <c r="E226" s="129">
        <f t="shared" si="62"/>
        <v>7229.5676387564799</v>
      </c>
      <c r="F226" s="133">
        <f t="shared" si="62"/>
        <v>30.819700010963391</v>
      </c>
      <c r="G226" s="133">
        <f t="shared" si="62"/>
        <v>19.519303783270839</v>
      </c>
      <c r="H226" s="132">
        <f t="shared" si="62"/>
        <v>2.155019517185552E-3</v>
      </c>
      <c r="I226" s="132">
        <f t="shared" si="62"/>
        <v>8.5474275512830905E-2</v>
      </c>
      <c r="J226" s="129">
        <f t="shared" si="62"/>
        <v>155.01695423290198</v>
      </c>
      <c r="K226" s="133">
        <f t="shared" si="62"/>
        <v>22.838110451451055</v>
      </c>
      <c r="L226" s="132">
        <f t="shared" si="62"/>
        <v>0.31593303392104644</v>
      </c>
      <c r="M226" s="130">
        <f t="shared" si="62"/>
        <v>7.0002575480209394E-4</v>
      </c>
      <c r="N226" s="257">
        <f t="shared" si="62"/>
        <v>6.3109694664081117E-2</v>
      </c>
      <c r="O226" s="257">
        <f t="shared" si="62"/>
        <v>7.8818188931286698E-2</v>
      </c>
      <c r="P226" s="132">
        <f t="shared" si="62"/>
        <v>0.8012441136322791</v>
      </c>
      <c r="Q226" s="129">
        <f t="shared" si="62"/>
        <v>125.83489140471742</v>
      </c>
      <c r="R226" s="133">
        <f t="shared" si="62"/>
        <v>20.151499598244126</v>
      </c>
      <c r="S226" s="132">
        <f t="shared" si="62"/>
        <v>1.1903437782976237E-2</v>
      </c>
      <c r="T226" s="129">
        <f t="shared" si="62"/>
        <v>138.80331089124257</v>
      </c>
      <c r="U226" s="132">
        <f t="shared" si="62"/>
        <v>2.6566909832270058</v>
      </c>
      <c r="V226" s="132">
        <f t="shared" si="62"/>
        <v>1.2563015185104578E-2</v>
      </c>
      <c r="W226" s="132">
        <f t="shared" si="62"/>
        <v>9.7415116404857602E-2</v>
      </c>
      <c r="X226" s="132">
        <f t="shared" si="62"/>
        <v>0.23602278719300651</v>
      </c>
      <c r="Y226" s="132">
        <f t="shared" si="62"/>
        <v>3.5243797332062274E-2</v>
      </c>
      <c r="Z226" s="289" t="s">
        <v>25</v>
      </c>
      <c r="AA226" s="132">
        <f>STDEV(AA214:AA223)</f>
        <v>5.5642361404357563E-2</v>
      </c>
      <c r="AB226" s="132">
        <f t="shared" si="62"/>
        <v>0.95257991608120329</v>
      </c>
      <c r="AC226" s="132">
        <f>STDEV(AC214:AC223)</f>
        <v>1.2811572105207718</v>
      </c>
      <c r="AD226" s="132"/>
      <c r="AE226" s="130"/>
      <c r="AF226" s="130"/>
      <c r="AG226" s="130"/>
    </row>
    <row r="227" spans="1:33" s="54" customFormat="1">
      <c r="A227" s="131" t="s">
        <v>599</v>
      </c>
      <c r="B227" s="54" t="s">
        <v>600</v>
      </c>
      <c r="C227" s="54" t="s">
        <v>601</v>
      </c>
      <c r="D227" s="246">
        <v>266245.02731606807</v>
      </c>
      <c r="E227" s="246">
        <v>374819.00183248403</v>
      </c>
      <c r="F227" s="246">
        <v>358267.55302277894</v>
      </c>
      <c r="G227" s="242">
        <v>53.043052330431252</v>
      </c>
      <c r="H227" s="46">
        <v>4.2466617595844934E-2</v>
      </c>
      <c r="I227" s="46" t="s">
        <v>25</v>
      </c>
      <c r="J227" s="46" t="s">
        <v>25</v>
      </c>
      <c r="K227" s="46">
        <v>9.3845099419220864E-3</v>
      </c>
      <c r="L227" s="246">
        <v>144.54840954593718</v>
      </c>
      <c r="M227" s="242">
        <v>14.626695535253694</v>
      </c>
      <c r="N227" s="242">
        <v>30.683778197802422</v>
      </c>
      <c r="O227" s="46">
        <v>7.4647841699225191E-3</v>
      </c>
      <c r="P227" s="46">
        <v>4.0117285204930431</v>
      </c>
      <c r="Q227" s="46">
        <v>1.079778457097796</v>
      </c>
      <c r="R227" s="46">
        <v>4.4791358570976415E-2</v>
      </c>
      <c r="S227" s="46">
        <v>0.3753894326915857</v>
      </c>
      <c r="T227" s="46">
        <v>1.7412870109497852E-2</v>
      </c>
      <c r="U227" s="46" t="s">
        <v>25</v>
      </c>
      <c r="V227" s="46" t="s">
        <v>25</v>
      </c>
      <c r="W227" s="46">
        <v>0.28745406504224708</v>
      </c>
      <c r="X227" s="46">
        <v>4.667546543790313E-2</v>
      </c>
      <c r="Y227" s="46">
        <v>7.5404425498997465E-2</v>
      </c>
      <c r="Z227" s="46" t="s">
        <v>25</v>
      </c>
      <c r="AA227" s="46">
        <v>0.21005363996270379</v>
      </c>
      <c r="AE227" s="47"/>
    </row>
    <row r="228" spans="1:33" s="54" customFormat="1">
      <c r="B228" s="54" t="s">
        <v>602</v>
      </c>
      <c r="C228" s="54" t="s">
        <v>603</v>
      </c>
      <c r="D228" s="246">
        <v>259100.47283191644</v>
      </c>
      <c r="E228" s="246">
        <v>390938.37400107097</v>
      </c>
      <c r="F228" s="246">
        <v>349065.74242977577</v>
      </c>
      <c r="G228" s="242">
        <v>44.298446071397763</v>
      </c>
      <c r="H228" s="46">
        <v>1.5154810986222273E-2</v>
      </c>
      <c r="I228" s="46">
        <v>0.42767716270469242</v>
      </c>
      <c r="J228" s="46" t="s">
        <v>25</v>
      </c>
      <c r="K228" s="46" t="s">
        <v>25</v>
      </c>
      <c r="L228" s="246">
        <v>237.5012101321631</v>
      </c>
      <c r="M228" s="242">
        <v>15.546996451986045</v>
      </c>
      <c r="N228" s="242">
        <v>40.774518112523793</v>
      </c>
      <c r="O228" s="46" t="s">
        <v>25</v>
      </c>
      <c r="P228" s="46">
        <v>3.1301787804324479</v>
      </c>
      <c r="Q228" s="46">
        <v>2.1118420127112811</v>
      </c>
      <c r="R228" s="46" t="s">
        <v>25</v>
      </c>
      <c r="S228" s="46">
        <v>0.27885047028892451</v>
      </c>
      <c r="T228" s="46" t="s">
        <v>25</v>
      </c>
      <c r="U228" s="46" t="s">
        <v>25</v>
      </c>
      <c r="V228" s="46" t="s">
        <v>25</v>
      </c>
      <c r="W228" s="46">
        <v>1.4685708743034205</v>
      </c>
      <c r="X228" s="46" t="s">
        <v>25</v>
      </c>
      <c r="Y228" s="247" t="s">
        <v>25</v>
      </c>
      <c r="Z228" s="46">
        <v>9.4959522027078629E-3</v>
      </c>
      <c r="AA228" s="46">
        <v>7.5648684339774369E-2</v>
      </c>
      <c r="AE228" s="47"/>
    </row>
    <row r="229" spans="1:33" s="54" customFormat="1">
      <c r="B229" s="54" t="s">
        <v>604</v>
      </c>
      <c r="C229" s="54" t="s">
        <v>605</v>
      </c>
      <c r="D229" s="246">
        <v>266380.33132916555</v>
      </c>
      <c r="E229" s="246">
        <v>374166.46265678486</v>
      </c>
      <c r="F229" s="246">
        <v>358718.53949820093</v>
      </c>
      <c r="G229" s="242">
        <v>44.209678144316413</v>
      </c>
      <c r="H229" s="46">
        <v>1.4240785547616337E-2</v>
      </c>
      <c r="I229" s="46">
        <v>0.28239255942444985</v>
      </c>
      <c r="J229" s="46">
        <v>0.13495023890889796</v>
      </c>
      <c r="K229" s="46" t="s">
        <v>25</v>
      </c>
      <c r="L229" s="246">
        <v>166.54946279002201</v>
      </c>
      <c r="M229" s="242">
        <v>15.018614575980759</v>
      </c>
      <c r="N229" s="242">
        <v>33.492571543156942</v>
      </c>
      <c r="O229" s="46">
        <v>2.4677565190377733E-2</v>
      </c>
      <c r="P229" s="46">
        <v>9.4931771016287829</v>
      </c>
      <c r="Q229" s="46">
        <v>1.7894403145835363</v>
      </c>
      <c r="R229" s="46" t="s">
        <v>25</v>
      </c>
      <c r="S229" s="46">
        <v>0.34550139724422152</v>
      </c>
      <c r="T229" s="46" t="s">
        <v>25</v>
      </c>
      <c r="U229" s="46">
        <v>8.0447774310790587E-2</v>
      </c>
      <c r="V229" s="46">
        <v>5.5333265963554451E-2</v>
      </c>
      <c r="W229" s="46">
        <v>1.3809701225760436</v>
      </c>
      <c r="X229" s="46">
        <v>0.13972775012466032</v>
      </c>
      <c r="Y229" s="247" t="s">
        <v>25</v>
      </c>
      <c r="Z229" s="46" t="s">
        <v>25</v>
      </c>
      <c r="AA229" s="46">
        <v>0.30566663658282989</v>
      </c>
      <c r="AE229" s="47"/>
    </row>
    <row r="230" spans="1:33" s="54" customFormat="1">
      <c r="B230" s="54" t="s">
        <v>606</v>
      </c>
      <c r="C230" s="54" t="s">
        <v>607</v>
      </c>
      <c r="D230" s="246">
        <v>269287.49079171108</v>
      </c>
      <c r="E230" s="246">
        <v>374991.27584165597</v>
      </c>
      <c r="F230" s="246">
        <v>354910.2869495888</v>
      </c>
      <c r="G230" s="242">
        <v>42.887895531038623</v>
      </c>
      <c r="H230" s="46">
        <v>3.0249471130208504E-2</v>
      </c>
      <c r="I230" s="46" t="s">
        <v>25</v>
      </c>
      <c r="J230" s="46">
        <v>0.12775247788769817</v>
      </c>
      <c r="K230" s="46">
        <v>0.19713240938879026</v>
      </c>
      <c r="L230" s="246">
        <v>170.71776492781413</v>
      </c>
      <c r="M230" s="242">
        <v>14.539237209111921</v>
      </c>
      <c r="N230" s="242">
        <v>44.387802015520073</v>
      </c>
      <c r="O230" s="46" t="s">
        <v>25</v>
      </c>
      <c r="P230" s="46">
        <v>4.2282846672893966</v>
      </c>
      <c r="Q230" s="46">
        <v>1.565705343198593</v>
      </c>
      <c r="R230" s="46" t="s">
        <v>25</v>
      </c>
      <c r="S230" s="46">
        <v>0.55039367973402276</v>
      </c>
      <c r="T230" s="46">
        <v>1.331396620729737E-2</v>
      </c>
      <c r="U230" s="46">
        <v>1.3780435490202069E-2</v>
      </c>
      <c r="V230" s="46">
        <v>2.497050876287836E-2</v>
      </c>
      <c r="W230" s="46">
        <v>6.3358377826561929</v>
      </c>
      <c r="X230" s="46">
        <v>0.10452253484400463</v>
      </c>
      <c r="Y230" s="247" t="s">
        <v>25</v>
      </c>
      <c r="Z230" s="46" t="s">
        <v>25</v>
      </c>
      <c r="AA230" s="46">
        <v>0.2764764661374296</v>
      </c>
      <c r="AE230" s="47"/>
    </row>
    <row r="231" spans="1:33" s="54" customFormat="1">
      <c r="B231" s="54" t="s">
        <v>608</v>
      </c>
      <c r="C231" s="54" t="s">
        <v>609</v>
      </c>
      <c r="D231" s="246">
        <v>268827.20108215261</v>
      </c>
      <c r="E231" s="246">
        <v>389815.53489401122</v>
      </c>
      <c r="F231" s="246">
        <v>340457.84583108959</v>
      </c>
      <c r="G231" s="242">
        <v>41.853982140035413</v>
      </c>
      <c r="H231" s="46" t="s">
        <v>25</v>
      </c>
      <c r="I231" s="46" t="s">
        <v>25</v>
      </c>
      <c r="J231" s="46">
        <v>0.61587521036996118</v>
      </c>
      <c r="K231" s="46" t="s">
        <v>25</v>
      </c>
      <c r="L231" s="246">
        <v>240.78653702789418</v>
      </c>
      <c r="M231" s="242">
        <v>18.485150285690828</v>
      </c>
      <c r="N231" s="242">
        <v>83.022123972115622</v>
      </c>
      <c r="O231" s="46">
        <v>3.8390076492104089E-2</v>
      </c>
      <c r="P231" s="46">
        <v>6.6356868347490074</v>
      </c>
      <c r="Q231" s="46">
        <v>2.273315819324444</v>
      </c>
      <c r="R231" s="46">
        <v>6.7679082489483372E-2</v>
      </c>
      <c r="S231" s="46">
        <v>0.58026975313132656</v>
      </c>
      <c r="T231" s="46">
        <v>9.3039092117398428E-2</v>
      </c>
      <c r="U231" s="46">
        <v>2.5161656881151937E-2</v>
      </c>
      <c r="V231" s="46">
        <v>5.0742347891387506E-2</v>
      </c>
      <c r="W231" s="46">
        <v>2.0714432325430963</v>
      </c>
      <c r="X231" s="46">
        <v>0.21778659665583633</v>
      </c>
      <c r="Y231" s="247" t="s">
        <v>25</v>
      </c>
      <c r="Z231" s="46">
        <v>1.0310134686083203E-2</v>
      </c>
      <c r="AA231" s="46">
        <v>0.49380116668791257</v>
      </c>
      <c r="AE231" s="47"/>
    </row>
    <row r="232" spans="1:33" s="54" customFormat="1">
      <c r="B232" s="54" t="s">
        <v>610</v>
      </c>
      <c r="C232" s="54" t="s">
        <v>611</v>
      </c>
      <c r="D232" s="246">
        <v>294211.07535922964</v>
      </c>
      <c r="E232" s="246">
        <v>349929.70554592181</v>
      </c>
      <c r="F232" s="246">
        <v>354626.67154729535</v>
      </c>
      <c r="G232" s="246">
        <v>582.80452263173697</v>
      </c>
      <c r="H232" s="46">
        <v>3.6160427503107065E-2</v>
      </c>
      <c r="I232" s="46" t="s">
        <v>25</v>
      </c>
      <c r="J232" s="46">
        <v>1.5248890790007144</v>
      </c>
      <c r="K232" s="46">
        <v>0.10624051592354364</v>
      </c>
      <c r="L232" s="246">
        <v>102.17154099693649</v>
      </c>
      <c r="M232" s="242">
        <v>66.02564206999412</v>
      </c>
      <c r="N232" s="242">
        <v>12.134208300849036</v>
      </c>
      <c r="O232" s="46">
        <v>1.2821275000357325E-2</v>
      </c>
      <c r="P232" s="46">
        <v>2.9383559529663743</v>
      </c>
      <c r="Q232" s="46">
        <v>1.01814611735381</v>
      </c>
      <c r="R232" s="46">
        <v>0.62369267781806037</v>
      </c>
      <c r="S232" s="46">
        <v>0.52208070289809638</v>
      </c>
      <c r="T232" s="46">
        <v>6.2172848807328901E-2</v>
      </c>
      <c r="U232" s="46">
        <v>8.0484803657170201E-2</v>
      </c>
      <c r="V232" s="46" t="s">
        <v>25</v>
      </c>
      <c r="W232" s="46">
        <v>0.17353778789581037</v>
      </c>
      <c r="X232" s="46">
        <v>0.12927912927469265</v>
      </c>
      <c r="Y232" s="247" t="s">
        <v>25</v>
      </c>
      <c r="Z232" s="46" t="s">
        <v>25</v>
      </c>
      <c r="AA232" s="46">
        <v>0.11774541000245346</v>
      </c>
      <c r="AE232" s="47"/>
    </row>
    <row r="233" spans="1:33" s="54" customFormat="1">
      <c r="B233" s="54" t="s">
        <v>612</v>
      </c>
      <c r="C233" s="54" t="s">
        <v>613</v>
      </c>
      <c r="D233" s="246">
        <v>277937.45610607945</v>
      </c>
      <c r="E233" s="246">
        <v>364568.62989796966</v>
      </c>
      <c r="F233" s="246">
        <v>356667.27052640932</v>
      </c>
      <c r="G233" s="242">
        <v>49.829049797163393</v>
      </c>
      <c r="H233" s="46">
        <v>3.3202772826081875E-2</v>
      </c>
      <c r="I233" s="46">
        <v>0.11537145410121716</v>
      </c>
      <c r="J233" s="46">
        <v>0.50964115439576996</v>
      </c>
      <c r="K233" s="46" t="s">
        <v>25</v>
      </c>
      <c r="L233" s="246">
        <v>223.21075804155808</v>
      </c>
      <c r="M233" s="242">
        <v>51.306315337604879</v>
      </c>
      <c r="N233" s="246">
        <v>112.80413113007974</v>
      </c>
      <c r="O233" s="46">
        <v>3.436019331589811E-2</v>
      </c>
      <c r="P233" s="46">
        <v>3.6264731452364916</v>
      </c>
      <c r="Q233" s="46">
        <v>1.5595422404204808</v>
      </c>
      <c r="R233" s="46">
        <v>0.11975085649255905</v>
      </c>
      <c r="S233" s="46">
        <v>0.26536063083076583</v>
      </c>
      <c r="T233" s="46" t="s">
        <v>25</v>
      </c>
      <c r="U233" s="46">
        <v>5.3203892442654416E-2</v>
      </c>
      <c r="V233" s="46">
        <v>2.2653123572975258E-2</v>
      </c>
      <c r="W233" s="46">
        <v>0.63701083541461379</v>
      </c>
      <c r="X233" s="46">
        <v>0.12034382678200002</v>
      </c>
      <c r="Y233" s="247" t="s">
        <v>25</v>
      </c>
      <c r="Z233" s="46" t="s">
        <v>25</v>
      </c>
      <c r="AA233" s="46">
        <v>1.5856589566415733</v>
      </c>
      <c r="AE233" s="47"/>
    </row>
    <row r="234" spans="1:33" s="54" customFormat="1">
      <c r="B234" s="54" t="s">
        <v>614</v>
      </c>
      <c r="C234" s="54" t="s">
        <v>615</v>
      </c>
      <c r="D234" s="246">
        <v>285421.73793891445</v>
      </c>
      <c r="E234" s="246">
        <v>361997.55818227987</v>
      </c>
      <c r="F234" s="246">
        <v>352066.88471909659</v>
      </c>
      <c r="G234" s="242">
        <v>50.234172500414921</v>
      </c>
      <c r="H234" s="46" t="s">
        <v>25</v>
      </c>
      <c r="I234" s="46" t="s">
        <v>25</v>
      </c>
      <c r="J234" s="46">
        <v>2.4719949577205007</v>
      </c>
      <c r="K234" s="46">
        <v>9.9394638921863884E-2</v>
      </c>
      <c r="L234" s="246">
        <v>209.54855938890901</v>
      </c>
      <c r="M234" s="242">
        <v>44.543921437959334</v>
      </c>
      <c r="N234" s="242">
        <v>89.230390576872423</v>
      </c>
      <c r="O234" s="46" t="s">
        <v>25</v>
      </c>
      <c r="P234" s="46">
        <v>3.0214604648599246</v>
      </c>
      <c r="Q234" s="46">
        <v>1.5922586935925147</v>
      </c>
      <c r="R234" s="46">
        <v>1.9208847010543456E-2</v>
      </c>
      <c r="S234" s="46">
        <v>0.52377547912777978</v>
      </c>
      <c r="T234" s="46" t="s">
        <v>25</v>
      </c>
      <c r="U234" s="46" t="s">
        <v>25</v>
      </c>
      <c r="V234" s="46" t="s">
        <v>25</v>
      </c>
      <c r="W234" s="46" t="s">
        <v>25</v>
      </c>
      <c r="X234" s="46">
        <v>0.11892955123562722</v>
      </c>
      <c r="Y234" s="46">
        <v>7.1957981480728654E-3</v>
      </c>
      <c r="Z234" s="46">
        <v>7.3274630571600408E-3</v>
      </c>
      <c r="AA234" s="46">
        <v>1.526087626327866</v>
      </c>
      <c r="AE234" s="47"/>
    </row>
    <row r="235" spans="1:33" s="141" customFormat="1">
      <c r="B235" s="128" t="s">
        <v>575</v>
      </c>
      <c r="D235" s="129">
        <f>MEDIAN(D227:D234)</f>
        <v>269057.34593693184</v>
      </c>
      <c r="E235" s="129">
        <f t="shared" ref="E235:Y235" si="63">MEDIAN(E227:E234)</f>
        <v>374492.73224463442</v>
      </c>
      <c r="F235" s="129">
        <f t="shared" si="63"/>
        <v>354768.47924844211</v>
      </c>
      <c r="G235" s="133">
        <f t="shared" si="63"/>
        <v>47.063747934280578</v>
      </c>
      <c r="H235" s="132">
        <f t="shared" si="63"/>
        <v>3.1726121978145186E-2</v>
      </c>
      <c r="I235" s="132">
        <f t="shared" si="63"/>
        <v>0.28239255942444985</v>
      </c>
      <c r="J235" s="132">
        <f t="shared" si="63"/>
        <v>0.56275818238286557</v>
      </c>
      <c r="K235" s="132">
        <f t="shared" si="63"/>
        <v>0.10281757742270375</v>
      </c>
      <c r="L235" s="129">
        <f t="shared" si="63"/>
        <v>190.13316215836159</v>
      </c>
      <c r="M235" s="133">
        <f t="shared" si="63"/>
        <v>17.016073368838438</v>
      </c>
      <c r="N235" s="133">
        <f t="shared" si="63"/>
        <v>42.58116006402193</v>
      </c>
      <c r="O235" s="132">
        <f t="shared" si="63"/>
        <v>2.4677565190377733E-2</v>
      </c>
      <c r="P235" s="132">
        <f t="shared" si="63"/>
        <v>3.8191008328647671</v>
      </c>
      <c r="Q235" s="132">
        <f t="shared" si="63"/>
        <v>1.5789820183955539</v>
      </c>
      <c r="R235" s="132">
        <f t="shared" si="63"/>
        <v>6.7679082489483372E-2</v>
      </c>
      <c r="S235" s="132">
        <f t="shared" si="63"/>
        <v>0.44873506779484107</v>
      </c>
      <c r="T235" s="132">
        <f t="shared" si="63"/>
        <v>3.9792859458413377E-2</v>
      </c>
      <c r="U235" s="132">
        <f t="shared" si="63"/>
        <v>5.3203892442654416E-2</v>
      </c>
      <c r="V235" s="132">
        <f t="shared" si="63"/>
        <v>3.7856428327132929E-2</v>
      </c>
      <c r="W235" s="132">
        <f t="shared" si="63"/>
        <v>1.3809701225760436</v>
      </c>
      <c r="X235" s="132">
        <f t="shared" si="63"/>
        <v>0.12034382678200002</v>
      </c>
      <c r="Y235" s="132">
        <f t="shared" si="63"/>
        <v>4.1300111823535164E-2</v>
      </c>
      <c r="Z235" s="132">
        <f>MEDIAN(Z227:Z234)</f>
        <v>9.4959522027078629E-3</v>
      </c>
      <c r="AA235" s="132">
        <f>MEDIAN(AA227:AA234)</f>
        <v>0.29107155136012974</v>
      </c>
      <c r="AB235" s="145"/>
      <c r="AC235" s="144"/>
      <c r="AD235" s="144"/>
      <c r="AE235" s="44"/>
      <c r="AF235" s="145"/>
      <c r="AG235" s="145"/>
    </row>
    <row r="236" spans="1:33" s="128" customFormat="1">
      <c r="B236" s="128" t="s">
        <v>576</v>
      </c>
      <c r="D236" s="129">
        <f>AVERAGE(D227:D234)</f>
        <v>273426.34909440466</v>
      </c>
      <c r="E236" s="129">
        <f t="shared" ref="E236:Y236" si="64">AVERAGE(E227:E234)</f>
        <v>372653.31785652234</v>
      </c>
      <c r="F236" s="129">
        <f t="shared" si="64"/>
        <v>353097.5993155294</v>
      </c>
      <c r="G236" s="129">
        <f t="shared" si="64"/>
        <v>113.64509989331685</v>
      </c>
      <c r="H236" s="132">
        <f t="shared" si="64"/>
        <v>2.8579147598180161E-2</v>
      </c>
      <c r="I236" s="132">
        <f t="shared" si="64"/>
        <v>0.27514705874345319</v>
      </c>
      <c r="J236" s="132">
        <f t="shared" si="64"/>
        <v>0.8975171863805903</v>
      </c>
      <c r="K236" s="132">
        <f t="shared" si="64"/>
        <v>0.10303801854402997</v>
      </c>
      <c r="L236" s="129">
        <f t="shared" si="64"/>
        <v>186.87928035640431</v>
      </c>
      <c r="M236" s="133">
        <f t="shared" si="64"/>
        <v>30.011571612947698</v>
      </c>
      <c r="N236" s="133">
        <f t="shared" si="64"/>
        <v>55.816190481115008</v>
      </c>
      <c r="O236" s="132">
        <f t="shared" si="64"/>
        <v>2.3542778833731955E-2</v>
      </c>
      <c r="P236" s="132">
        <f t="shared" si="64"/>
        <v>4.635668183456934</v>
      </c>
      <c r="Q236" s="132">
        <f t="shared" si="64"/>
        <v>1.6237536247853068</v>
      </c>
      <c r="R236" s="132">
        <f t="shared" si="64"/>
        <v>0.17502456447632453</v>
      </c>
      <c r="S236" s="132">
        <f t="shared" si="64"/>
        <v>0.43020269324334037</v>
      </c>
      <c r="T236" s="132">
        <f t="shared" si="64"/>
        <v>4.6484694310380638E-2</v>
      </c>
      <c r="U236" s="132">
        <f t="shared" si="64"/>
        <v>5.0615712556393834E-2</v>
      </c>
      <c r="V236" s="132">
        <f t="shared" si="64"/>
        <v>3.8424811547698889E-2</v>
      </c>
      <c r="W236" s="132">
        <f t="shared" si="64"/>
        <v>1.7649749572044893</v>
      </c>
      <c r="X236" s="132">
        <f t="shared" si="64"/>
        <v>0.12532355062210349</v>
      </c>
      <c r="Y236" s="132">
        <f t="shared" si="64"/>
        <v>4.1300111823535164E-2</v>
      </c>
      <c r="Z236" s="132">
        <f>AVERAGE(Z227:Z234)</f>
        <v>9.0445166486503685E-3</v>
      </c>
      <c r="AA236" s="132">
        <f>AVERAGE(AA227:AA234)</f>
        <v>0.57389232333531792</v>
      </c>
      <c r="AE236" s="44"/>
    </row>
    <row r="237" spans="1:33" s="149" customFormat="1" ht="15.6" thickBot="1">
      <c r="B237" s="149" t="s">
        <v>577</v>
      </c>
      <c r="D237" s="150">
        <f>STDEV(D227:D234)</f>
        <v>11594.18004193763</v>
      </c>
      <c r="E237" s="150">
        <f t="shared" ref="E237:Y237" si="65">STDEV(E227:E234)</f>
        <v>13818.21139824736</v>
      </c>
      <c r="F237" s="150">
        <f t="shared" si="65"/>
        <v>6021.0517762810005</v>
      </c>
      <c r="G237" s="150">
        <f t="shared" si="65"/>
        <v>189.61140292072321</v>
      </c>
      <c r="H237" s="151">
        <f t="shared" si="65"/>
        <v>1.1491796714585818E-2</v>
      </c>
      <c r="I237" s="151">
        <f t="shared" si="65"/>
        <v>0.15627887530523257</v>
      </c>
      <c r="J237" s="151">
        <f t="shared" si="65"/>
        <v>0.92481261007299764</v>
      </c>
      <c r="K237" s="151">
        <f t="shared" si="65"/>
        <v>7.6699118348841119E-2</v>
      </c>
      <c r="L237" s="152">
        <f t="shared" si="65"/>
        <v>49.199657915336537</v>
      </c>
      <c r="M237" s="152">
        <f t="shared" si="65"/>
        <v>20.717925986806183</v>
      </c>
      <c r="N237" s="152">
        <f t="shared" si="65"/>
        <v>34.845074691909389</v>
      </c>
      <c r="O237" s="151">
        <f t="shared" si="65"/>
        <v>1.3343528401148825E-2</v>
      </c>
      <c r="P237" s="151">
        <f t="shared" si="65"/>
        <v>2.2966509114123568</v>
      </c>
      <c r="Q237" s="151">
        <f t="shared" si="65"/>
        <v>0.440578754086206</v>
      </c>
      <c r="R237" s="151">
        <f t="shared" si="65"/>
        <v>0.25353527217956057</v>
      </c>
      <c r="S237" s="151">
        <f t="shared" si="65"/>
        <v>0.12785183088428226</v>
      </c>
      <c r="T237" s="151">
        <f t="shared" si="65"/>
        <v>3.8117792485705383E-2</v>
      </c>
      <c r="U237" s="151">
        <f t="shared" si="65"/>
        <v>3.0795940372432596E-2</v>
      </c>
      <c r="V237" s="151">
        <f t="shared" si="65"/>
        <v>1.700374407112374E-2</v>
      </c>
      <c r="W237" s="151">
        <f t="shared" si="65"/>
        <v>2.1295566117912168</v>
      </c>
      <c r="X237" s="151">
        <f t="shared" si="65"/>
        <v>5.0755011059405719E-2</v>
      </c>
      <c r="Y237" s="151">
        <f t="shared" si="65"/>
        <v>4.8230782935265004E-2</v>
      </c>
      <c r="Z237" s="151">
        <f>STDEV(Z227:Z234)</f>
        <v>1.5417289178374337E-3</v>
      </c>
      <c r="AA237" s="151">
        <f>STDEV(AA227:AA234)</f>
        <v>0.61943046856350237</v>
      </c>
      <c r="AE237" s="165"/>
    </row>
    <row r="238" spans="1:33">
      <c r="A238" s="311" t="s">
        <v>616</v>
      </c>
      <c r="B238" s="252"/>
      <c r="R238" s="40"/>
    </row>
    <row r="239" spans="1:33">
      <c r="A239" s="54"/>
      <c r="B239" s="54"/>
      <c r="R239" s="40"/>
    </row>
    <row r="240" spans="1:33" s="107" customFormat="1">
      <c r="A240" s="243"/>
    </row>
    <row r="241" spans="1:27" s="154" customFormat="1">
      <c r="A241" s="50" t="s">
        <v>617</v>
      </c>
      <c r="D241" s="153" t="s">
        <v>618</v>
      </c>
      <c r="E241" s="153" t="s">
        <v>619</v>
      </c>
      <c r="F241" s="153" t="s">
        <v>620</v>
      </c>
      <c r="G241" s="153" t="s">
        <v>621</v>
      </c>
      <c r="H241" s="153" t="s">
        <v>622</v>
      </c>
      <c r="I241" s="153" t="s">
        <v>623</v>
      </c>
      <c r="J241" s="153" t="s">
        <v>624</v>
      </c>
      <c r="K241" s="153" t="s">
        <v>625</v>
      </c>
      <c r="L241" s="153" t="s">
        <v>626</v>
      </c>
      <c r="M241" s="153" t="s">
        <v>627</v>
      </c>
      <c r="N241" s="153" t="s">
        <v>628</v>
      </c>
      <c r="O241" s="153" t="s">
        <v>629</v>
      </c>
      <c r="P241" s="153" t="s">
        <v>630</v>
      </c>
      <c r="Q241" s="153" t="s">
        <v>631</v>
      </c>
      <c r="R241" s="153" t="s">
        <v>632</v>
      </c>
      <c r="S241" s="153" t="s">
        <v>633</v>
      </c>
      <c r="T241" s="153" t="s">
        <v>634</v>
      </c>
      <c r="U241" s="153" t="s">
        <v>635</v>
      </c>
      <c r="V241" s="153" t="s">
        <v>636</v>
      </c>
      <c r="W241" s="153" t="s">
        <v>637</v>
      </c>
      <c r="X241" s="153" t="s">
        <v>638</v>
      </c>
      <c r="Y241" s="153" t="s">
        <v>639</v>
      </c>
      <c r="Z241" s="153" t="s">
        <v>640</v>
      </c>
      <c r="AA241" s="153" t="s">
        <v>641</v>
      </c>
    </row>
    <row r="242" spans="1:27">
      <c r="A242" s="162" t="s">
        <v>642</v>
      </c>
      <c r="B242" s="253"/>
      <c r="C242" s="253"/>
      <c r="D242" s="135">
        <f t="shared" ref="D242:Y242" si="66">MEDIAN(D246:D383, D435:D444)</f>
        <v>5.9452469615489658</v>
      </c>
      <c r="E242" s="292">
        <f t="shared" si="66"/>
        <v>904.12666232855645</v>
      </c>
      <c r="F242" s="135">
        <f t="shared" si="66"/>
        <v>0.22634336671823352</v>
      </c>
      <c r="G242" s="135">
        <f t="shared" si="66"/>
        <v>0.41282347074519254</v>
      </c>
      <c r="H242" s="135">
        <f t="shared" si="66"/>
        <v>1.8821709245128149E-2</v>
      </c>
      <c r="I242" s="135">
        <f t="shared" si="66"/>
        <v>0.116356941239403</v>
      </c>
      <c r="J242" s="135">
        <f t="shared" si="66"/>
        <v>0.66061193589305001</v>
      </c>
      <c r="K242" s="135">
        <f t="shared" si="66"/>
        <v>4.6452039202922998E-2</v>
      </c>
      <c r="L242" s="135">
        <f t="shared" si="66"/>
        <v>0.79520677568071507</v>
      </c>
      <c r="M242" s="135">
        <f t="shared" si="66"/>
        <v>5.7746514704662046E-3</v>
      </c>
      <c r="N242" s="135">
        <f t="shared" si="66"/>
        <v>0.165142351629263</v>
      </c>
      <c r="O242" s="135">
        <f t="shared" si="66"/>
        <v>8.54985540276707E-3</v>
      </c>
      <c r="P242" s="293">
        <f t="shared" si="66"/>
        <v>1.3951442348420051E-2</v>
      </c>
      <c r="Q242" s="135">
        <f t="shared" si="66"/>
        <v>0.18421753366583798</v>
      </c>
      <c r="R242" s="135">
        <f t="shared" si="66"/>
        <v>2.8695678527051901E-2</v>
      </c>
      <c r="S242" s="135">
        <f t="shared" si="66"/>
        <v>0.124097460526762</v>
      </c>
      <c r="T242" s="135">
        <f t="shared" si="66"/>
        <v>1.8697671282818948E-2</v>
      </c>
      <c r="U242" s="135">
        <f t="shared" si="66"/>
        <v>1.79767699396878E-2</v>
      </c>
      <c r="V242" s="135">
        <f t="shared" si="66"/>
        <v>2.2953903264109451E-2</v>
      </c>
      <c r="W242" s="135">
        <f t="shared" si="66"/>
        <v>0.40006829111139652</v>
      </c>
      <c r="X242" s="135">
        <f t="shared" si="66"/>
        <v>4.3562136061181547E-2</v>
      </c>
      <c r="Y242" s="293">
        <f t="shared" si="66"/>
        <v>3.9859720138349548E-3</v>
      </c>
      <c r="Z242" s="135">
        <f>MEDIAN(Z246:Z383, Z435:Z444)</f>
        <v>9.0315613189916218E-3</v>
      </c>
      <c r="AA242" s="135">
        <f>MEDIAN(AA246:AA383, AA435:AA444)</f>
        <v>0.14128559690671</v>
      </c>
    </row>
    <row r="243" spans="1:27">
      <c r="A243" s="294" t="s">
        <v>643</v>
      </c>
      <c r="B243" s="295"/>
      <c r="C243" s="295"/>
      <c r="D243" s="296">
        <f>D242/2</f>
        <v>2.9726234807744829</v>
      </c>
      <c r="E243" s="299">
        <f t="shared" ref="E243:Y243" si="67">E242/2</f>
        <v>452.06333116427822</v>
      </c>
      <c r="F243" s="296">
        <f t="shared" si="67"/>
        <v>0.11317168335911676</v>
      </c>
      <c r="G243" s="296">
        <f t="shared" si="67"/>
        <v>0.20641173537259627</v>
      </c>
      <c r="H243" s="296">
        <f t="shared" si="67"/>
        <v>9.4108546225640747E-3</v>
      </c>
      <c r="I243" s="296">
        <f t="shared" si="67"/>
        <v>5.8178470619701501E-2</v>
      </c>
      <c r="J243" s="296">
        <f t="shared" si="67"/>
        <v>0.330305967946525</v>
      </c>
      <c r="K243" s="296">
        <f t="shared" si="67"/>
        <v>2.3226019601461499E-2</v>
      </c>
      <c r="L243" s="296">
        <f t="shared" si="67"/>
        <v>0.39760338784035754</v>
      </c>
      <c r="M243" s="296">
        <f t="shared" si="67"/>
        <v>2.8873257352331023E-3</v>
      </c>
      <c r="N243" s="296">
        <f t="shared" si="67"/>
        <v>8.2571175814631498E-2</v>
      </c>
      <c r="O243" s="297">
        <f t="shared" si="67"/>
        <v>4.274927701383535E-3</v>
      </c>
      <c r="P243" s="297">
        <f t="shared" si="67"/>
        <v>6.9757211742100256E-3</v>
      </c>
      <c r="Q243" s="296">
        <f t="shared" si="67"/>
        <v>9.2108766832918992E-2</v>
      </c>
      <c r="R243" s="296">
        <f t="shared" si="67"/>
        <v>1.434783926352595E-2</v>
      </c>
      <c r="S243" s="296">
        <f t="shared" si="67"/>
        <v>6.2048730263381001E-2</v>
      </c>
      <c r="T243" s="296">
        <f t="shared" si="67"/>
        <v>9.3488356414094739E-3</v>
      </c>
      <c r="U243" s="296">
        <f t="shared" si="67"/>
        <v>8.9883849698438999E-3</v>
      </c>
      <c r="V243" s="296">
        <f t="shared" si="67"/>
        <v>1.1476951632054725E-2</v>
      </c>
      <c r="W243" s="296">
        <f t="shared" si="67"/>
        <v>0.20003414555569826</v>
      </c>
      <c r="X243" s="296">
        <f t="shared" si="67"/>
        <v>2.1781068030590774E-2</v>
      </c>
      <c r="Y243" s="298">
        <f t="shared" si="67"/>
        <v>1.9929860069174774E-3</v>
      </c>
      <c r="Z243" s="296">
        <f>Z242/2</f>
        <v>4.5157806594958109E-3</v>
      </c>
      <c r="AA243" s="296">
        <f>AA242/2</f>
        <v>7.0642798453354999E-2</v>
      </c>
    </row>
    <row r="244" spans="1:27">
      <c r="A244" s="162" t="s">
        <v>644</v>
      </c>
      <c r="B244" s="253"/>
      <c r="C244" s="253"/>
      <c r="D244" s="135">
        <f t="shared" ref="D244:Y244" si="68">AVERAGE(D246:D383, D435:D444 )</f>
        <v>10.709667562610802</v>
      </c>
      <c r="E244" s="292">
        <f t="shared" si="68"/>
        <v>931.08566879371585</v>
      </c>
      <c r="F244" s="135">
        <f t="shared" si="68"/>
        <v>0.44975913795672451</v>
      </c>
      <c r="G244" s="135">
        <f t="shared" si="68"/>
        <v>0.45869845418124605</v>
      </c>
      <c r="H244" s="135">
        <f t="shared" si="68"/>
        <v>3.1126136597240742E-2</v>
      </c>
      <c r="I244" s="135">
        <f t="shared" si="68"/>
        <v>0.12979450338314324</v>
      </c>
      <c r="J244" s="135">
        <f t="shared" si="68"/>
        <v>0.68118638058041103</v>
      </c>
      <c r="K244" s="135">
        <f t="shared" si="68"/>
        <v>5.2714699310217869E-2</v>
      </c>
      <c r="L244" s="135">
        <f t="shared" si="68"/>
        <v>0.8702213578427106</v>
      </c>
      <c r="M244" s="135">
        <f t="shared" si="68"/>
        <v>6.1688543984110529E-3</v>
      </c>
      <c r="N244" s="135">
        <f t="shared" si="68"/>
        <v>0.16833521808319182</v>
      </c>
      <c r="O244" s="135">
        <f t="shared" si="68"/>
        <v>1.025199478406064E-2</v>
      </c>
      <c r="P244" s="135">
        <f t="shared" si="68"/>
        <v>2.5599420056349114E-2</v>
      </c>
      <c r="Q244" s="135">
        <f t="shared" si="68"/>
        <v>0.20481989122636757</v>
      </c>
      <c r="R244" s="135">
        <f t="shared" si="68"/>
        <v>3.5569906356883479E-2</v>
      </c>
      <c r="S244" s="135">
        <f t="shared" si="68"/>
        <v>0.11717760365963507</v>
      </c>
      <c r="T244" s="135">
        <f t="shared" si="68"/>
        <v>1.9911975652262316E-2</v>
      </c>
      <c r="U244" s="135">
        <f t="shared" si="68"/>
        <v>1.977418785551004E-2</v>
      </c>
      <c r="V244" s="135">
        <f t="shared" si="68"/>
        <v>2.8728414490024955E-2</v>
      </c>
      <c r="W244" s="135">
        <f t="shared" si="68"/>
        <v>0.42695148363057878</v>
      </c>
      <c r="X244" s="135">
        <f t="shared" si="68"/>
        <v>4.2419220211607177E-2</v>
      </c>
      <c r="Y244" s="135">
        <f t="shared" si="68"/>
        <v>4.3568055564947462E-3</v>
      </c>
      <c r="Z244" s="135">
        <f>AVERAGE(Z246:Z383, Z435:Z444 )</f>
        <v>9.0062587887838521E-3</v>
      </c>
      <c r="AA244" s="135">
        <f>AVERAGE(AA246:AA383, AA435:AA444 )</f>
        <v>0.16781296933236867</v>
      </c>
    </row>
    <row r="245" spans="1:27">
      <c r="A245" s="4" t="s">
        <v>22</v>
      </c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</row>
    <row r="246" spans="1:27">
      <c r="A246" s="4" t="s">
        <v>207</v>
      </c>
      <c r="B246" s="5" t="s">
        <v>208</v>
      </c>
      <c r="C246" s="5" t="s">
        <v>209</v>
      </c>
      <c r="D246" s="11">
        <v>9.3995159023542492</v>
      </c>
      <c r="E246" s="164">
        <v>1275.0844521341601</v>
      </c>
      <c r="F246" s="11">
        <v>0.34724774538106701</v>
      </c>
      <c r="G246" s="11">
        <v>0.75451592593249905</v>
      </c>
      <c r="H246" s="11">
        <v>4.1306743737161297E-2</v>
      </c>
      <c r="I246" s="11">
        <v>0.14363048279009899</v>
      </c>
      <c r="J246" s="11">
        <v>0.96335608444610998</v>
      </c>
      <c r="K246" s="11">
        <v>6.6990963221069302E-2</v>
      </c>
      <c r="L246" s="11">
        <v>1.1808356256670001</v>
      </c>
      <c r="M246" s="11">
        <v>1.8240372678802099E-2</v>
      </c>
      <c r="N246" s="11">
        <v>0.25524878947971602</v>
      </c>
      <c r="O246" s="11">
        <v>6.7278513481291297E-2</v>
      </c>
      <c r="P246" s="11">
        <v>3.7940906573104498E-2</v>
      </c>
      <c r="Q246" s="11">
        <v>0.28827897943917602</v>
      </c>
      <c r="R246" s="11">
        <v>4.73625922224079E-2</v>
      </c>
      <c r="S246" s="11">
        <v>0.102702330116762</v>
      </c>
      <c r="T246" s="11">
        <v>2.9261704963116201E-2</v>
      </c>
      <c r="U246" s="11">
        <v>1.5774165217745099E-2</v>
      </c>
      <c r="V246" s="11">
        <v>3.72794421048682E-2</v>
      </c>
      <c r="W246" s="11">
        <v>0.76799942260083498</v>
      </c>
      <c r="X246" s="11">
        <v>9.3742364953354307E-2</v>
      </c>
      <c r="Y246" s="11">
        <v>9.5348462586949904E-3</v>
      </c>
      <c r="Z246" s="11">
        <v>7.7600038622247297E-3</v>
      </c>
      <c r="AA246" s="11">
        <v>0.51548165357759901</v>
      </c>
    </row>
    <row r="247" spans="1:27">
      <c r="A247" s="5"/>
      <c r="B247" s="5" t="s">
        <v>210</v>
      </c>
      <c r="C247" s="5" t="s">
        <v>211</v>
      </c>
      <c r="D247" s="11">
        <v>8.55172747608961</v>
      </c>
      <c r="E247" s="164">
        <v>1055.0796862990601</v>
      </c>
      <c r="F247" s="11">
        <v>0.26317319689367602</v>
      </c>
      <c r="G247" s="11">
        <v>0.49301486407763201</v>
      </c>
      <c r="H247" s="11">
        <v>2.4392502625494E-2</v>
      </c>
      <c r="I247" s="11">
        <v>0.15398802246882601</v>
      </c>
      <c r="J247" s="11">
        <v>0.93012262481282204</v>
      </c>
      <c r="K247" s="11">
        <v>6.7730219818024795E-2</v>
      </c>
      <c r="L247" s="11">
        <v>0.931124359672032</v>
      </c>
      <c r="M247" s="11">
        <v>5.1791429382077097E-3</v>
      </c>
      <c r="N247" s="11">
        <v>0.21483683655070401</v>
      </c>
      <c r="O247" s="11">
        <v>1.0101844292490499E-2</v>
      </c>
      <c r="P247" s="11">
        <v>2.0503559852618199E-2</v>
      </c>
      <c r="Q247" s="11">
        <v>0.19855978807283201</v>
      </c>
      <c r="R247" s="11">
        <v>6.4320130535813397E-2</v>
      </c>
      <c r="S247" s="11">
        <v>0.22401656749597801</v>
      </c>
      <c r="T247" s="11">
        <v>2.5072406621888799E-2</v>
      </c>
      <c r="U247" s="11">
        <v>3.3570205473529402E-2</v>
      </c>
      <c r="V247" s="11">
        <v>4.4366505708064601E-2</v>
      </c>
      <c r="W247" s="11">
        <v>0.34619115427811598</v>
      </c>
      <c r="X247" s="11">
        <v>5.0467175623697298E-2</v>
      </c>
      <c r="Y247" s="11">
        <v>1.28044769486405E-2</v>
      </c>
      <c r="Z247" s="11">
        <v>1.3311920071167001E-2</v>
      </c>
      <c r="AA247" s="11">
        <v>0.22108175004414801</v>
      </c>
    </row>
    <row r="248" spans="1:27">
      <c r="A248" s="5"/>
      <c r="B248" s="5" t="s">
        <v>212</v>
      </c>
      <c r="C248" s="5" t="s">
        <v>213</v>
      </c>
      <c r="D248" s="11">
        <v>9.0828240492058008</v>
      </c>
      <c r="E248" s="164">
        <v>959.16824858251198</v>
      </c>
      <c r="F248" s="11">
        <v>0.25048465689124599</v>
      </c>
      <c r="G248" s="11">
        <v>0.48437198512495</v>
      </c>
      <c r="H248" s="11">
        <v>3.66818936453326E-2</v>
      </c>
      <c r="I248" s="11">
        <v>0.20376447589803601</v>
      </c>
      <c r="J248" s="11">
        <v>0.97439253649792601</v>
      </c>
      <c r="K248" s="11">
        <v>5.44134929175858E-2</v>
      </c>
      <c r="L248" s="11">
        <v>1.11682975321558</v>
      </c>
      <c r="M248" s="11">
        <v>1.0453598696903999E-2</v>
      </c>
      <c r="N248" s="11">
        <v>0.23836762236009601</v>
      </c>
      <c r="O248" s="11">
        <v>2.2513344108791501E-2</v>
      </c>
      <c r="P248" s="11">
        <v>4.6739019073419902E-2</v>
      </c>
      <c r="Q248" s="11">
        <v>0.22465758730011701</v>
      </c>
      <c r="R248" s="11">
        <v>6.4927134472344397E-2</v>
      </c>
      <c r="S248" s="11">
        <v>8.9019337754078304E-2</v>
      </c>
      <c r="T248" s="11">
        <v>3.6115391810870201E-2</v>
      </c>
      <c r="U248" s="11">
        <v>2.0139065865107601E-2</v>
      </c>
      <c r="V248" s="11">
        <v>4.4674280687200599E-2</v>
      </c>
      <c r="W248" s="11">
        <v>0.288571967324118</v>
      </c>
      <c r="X248" s="11">
        <v>5.61636164432259E-2</v>
      </c>
      <c r="Y248" s="11">
        <v>4.12687805696808E-3</v>
      </c>
      <c r="Z248" s="11">
        <v>1.84491314524085E-2</v>
      </c>
      <c r="AA248" s="11">
        <v>0.22354761817646601</v>
      </c>
    </row>
    <row r="249" spans="1:27">
      <c r="A249" s="54"/>
      <c r="B249" s="54" t="s">
        <v>214</v>
      </c>
      <c r="C249" s="5" t="s">
        <v>215</v>
      </c>
      <c r="D249" s="82">
        <v>10.256803466981401</v>
      </c>
      <c r="E249" s="127">
        <v>1171.6134006930199</v>
      </c>
      <c r="F249" s="82">
        <v>0.30464872115952402</v>
      </c>
      <c r="G249" s="82">
        <v>0.52729909134296105</v>
      </c>
      <c r="H249" s="82">
        <v>3.0825753427699901E-2</v>
      </c>
      <c r="I249" s="82">
        <v>0.18942098950223901</v>
      </c>
      <c r="J249" s="82">
        <v>1.1902193972949999</v>
      </c>
      <c r="K249" s="82">
        <v>6.8763345010214694E-2</v>
      </c>
      <c r="L249" s="82">
        <v>1.35356987659076</v>
      </c>
      <c r="M249" s="82">
        <v>5.2661478974252796E-3</v>
      </c>
      <c r="N249" s="82">
        <v>0.24959008250846501</v>
      </c>
      <c r="O249" s="82">
        <v>3.2310029123149397E-2</v>
      </c>
      <c r="P249" s="82">
        <v>1.4915468365387799E-2</v>
      </c>
      <c r="Q249" s="82">
        <v>0.239606841589695</v>
      </c>
      <c r="R249" s="82">
        <v>2.95293167102985E-2</v>
      </c>
      <c r="S249" s="82">
        <v>0.18995306323143801</v>
      </c>
      <c r="T249" s="82">
        <v>3.3323652717608301E-2</v>
      </c>
      <c r="U249" s="82">
        <v>3.1147320356456398E-2</v>
      </c>
      <c r="V249" s="82">
        <v>0</v>
      </c>
      <c r="W249" s="82">
        <v>0.87339592912904895</v>
      </c>
      <c r="X249" s="82">
        <v>8.7005078768978894E-2</v>
      </c>
      <c r="Y249" s="82">
        <v>4.1848189003983096E-3</v>
      </c>
      <c r="Z249" s="82">
        <v>1.30469376493477E-2</v>
      </c>
      <c r="AA249" s="82">
        <v>0.31455005161904798</v>
      </c>
    </row>
    <row r="250" spans="1:27">
      <c r="A250" s="5"/>
      <c r="B250" s="5" t="s">
        <v>217</v>
      </c>
      <c r="C250" s="5" t="s">
        <v>218</v>
      </c>
      <c r="D250" s="11">
        <v>8.3739549182985993</v>
      </c>
      <c r="E250" s="164">
        <v>1352.6023124552501</v>
      </c>
      <c r="F250" s="11">
        <v>0.32256721263649901</v>
      </c>
      <c r="G250" s="11">
        <v>0.52755390156210002</v>
      </c>
      <c r="H250" s="11">
        <v>2.4278510194531699E-2</v>
      </c>
      <c r="I250" s="11">
        <v>0.19375357045538699</v>
      </c>
      <c r="J250" s="11">
        <v>1.11223478653779</v>
      </c>
      <c r="K250" s="11">
        <v>4.3596577238814903E-2</v>
      </c>
      <c r="L250" s="11">
        <v>0.85474602621776397</v>
      </c>
      <c r="M250" s="11">
        <v>6.8661434555125798E-3</v>
      </c>
      <c r="N250" s="11">
        <v>0.20074880693119199</v>
      </c>
      <c r="O250" s="11">
        <v>2.1706745968192501E-2</v>
      </c>
      <c r="P250" s="11">
        <v>1.4170726651160001E-2</v>
      </c>
      <c r="Q250" s="11">
        <v>0.19274430231381501</v>
      </c>
      <c r="R250" s="11">
        <v>2.8082571438216401E-2</v>
      </c>
      <c r="S250" s="11">
        <v>0.215440338965699</v>
      </c>
      <c r="T250" s="11">
        <v>2.9083412300255601E-2</v>
      </c>
      <c r="U250" s="11">
        <v>2.7163579083663101E-2</v>
      </c>
      <c r="V250" s="11">
        <v>3.0776851069899198E-2</v>
      </c>
      <c r="W250" s="11">
        <v>0.42653337882437498</v>
      </c>
      <c r="X250" s="11">
        <v>5.4408493545004502E-2</v>
      </c>
      <c r="Y250" s="11">
        <v>3.9899598458834496E-3</v>
      </c>
      <c r="Z250" s="11">
        <v>1.5123837348958599E-2</v>
      </c>
      <c r="AA250" s="11">
        <v>0.21502266415002499</v>
      </c>
    </row>
    <row r="251" spans="1:27">
      <c r="A251" s="5"/>
      <c r="B251" s="5" t="s">
        <v>219</v>
      </c>
      <c r="C251" s="5" t="s">
        <v>220</v>
      </c>
      <c r="D251" s="11">
        <v>8.9718955627294505</v>
      </c>
      <c r="E251" s="164">
        <v>671.60284545790103</v>
      </c>
      <c r="F251" s="11">
        <v>0.17755212682587801</v>
      </c>
      <c r="G251" s="11">
        <v>0.33520861828551901</v>
      </c>
      <c r="H251" s="11">
        <v>1.22593505716129E-2</v>
      </c>
      <c r="I251" s="11">
        <v>0.13894057075778099</v>
      </c>
      <c r="J251" s="11">
        <v>0.60785204260553605</v>
      </c>
      <c r="K251" s="11">
        <v>4.8638110478834498E-2</v>
      </c>
      <c r="L251" s="11">
        <v>0.699848651647199</v>
      </c>
      <c r="M251" s="11">
        <v>6.0946735711953403E-3</v>
      </c>
      <c r="N251" s="11">
        <v>0.168994573255383</v>
      </c>
      <c r="O251" s="11">
        <v>2.19713618134828E-2</v>
      </c>
      <c r="P251" s="11">
        <v>3.0885233138593E-2</v>
      </c>
      <c r="Q251" s="11">
        <v>0.15279791223080699</v>
      </c>
      <c r="R251" s="11">
        <v>6.19777851890208E-2</v>
      </c>
      <c r="S251" s="11">
        <v>8.4107095744252097E-2</v>
      </c>
      <c r="T251" s="11">
        <v>1.41177274272411E-2</v>
      </c>
      <c r="U251" s="11">
        <v>2.7243796140709101E-2</v>
      </c>
      <c r="V251" s="11">
        <v>2.3361203841350799E-2</v>
      </c>
      <c r="W251" s="11">
        <v>0.440681335643342</v>
      </c>
      <c r="X251" s="11">
        <v>6.2021694864378897E-2</v>
      </c>
      <c r="Y251" s="11">
        <v>0</v>
      </c>
      <c r="Z251" s="11">
        <v>9.4662254859649107E-3</v>
      </c>
      <c r="AA251" s="11">
        <v>0.148700224520396</v>
      </c>
    </row>
    <row r="252" spans="1:27">
      <c r="A252" s="5"/>
      <c r="B252" s="5" t="s">
        <v>221</v>
      </c>
      <c r="C252" s="5" t="s">
        <v>222</v>
      </c>
      <c r="D252" s="11">
        <v>8.2372021040110095</v>
      </c>
      <c r="E252" s="164">
        <v>864.11978330754505</v>
      </c>
      <c r="F252" s="11">
        <v>0.16488359971627201</v>
      </c>
      <c r="G252" s="11">
        <v>0.50022523054444101</v>
      </c>
      <c r="H252" s="11">
        <v>1.92817263553056E-2</v>
      </c>
      <c r="I252" s="11">
        <v>0.117160983058075</v>
      </c>
      <c r="J252" s="11">
        <v>0.62458058763440405</v>
      </c>
      <c r="K252" s="11">
        <v>7.8654967101342302E-2</v>
      </c>
      <c r="L252" s="11">
        <v>0.95649096723142502</v>
      </c>
      <c r="M252" s="11">
        <v>3.9944264022016996E-3</v>
      </c>
      <c r="N252" s="11">
        <v>0.17468378255964701</v>
      </c>
      <c r="O252" s="11">
        <v>0</v>
      </c>
      <c r="P252" s="11">
        <v>1.0585239216660301E-2</v>
      </c>
      <c r="Q252" s="11">
        <v>0.20958088249285201</v>
      </c>
      <c r="R252" s="11">
        <v>0</v>
      </c>
      <c r="S252" s="11">
        <v>0.16850736226129501</v>
      </c>
      <c r="T252" s="11">
        <v>1.1030493896819E-2</v>
      </c>
      <c r="U252" s="11">
        <v>2.8142371736356302E-2</v>
      </c>
      <c r="V252" s="11">
        <v>5.3691841858655699E-2</v>
      </c>
      <c r="W252" s="11">
        <v>0.372764061613856</v>
      </c>
      <c r="X252" s="11">
        <v>6.4200822930542106E-2</v>
      </c>
      <c r="Y252" s="11">
        <v>7.5053929411535297E-3</v>
      </c>
      <c r="Z252" s="11">
        <v>8.9945088277302698E-3</v>
      </c>
      <c r="AA252" s="11">
        <v>0.155537989051618</v>
      </c>
    </row>
    <row r="253" spans="1:27">
      <c r="A253" s="5"/>
      <c r="B253" s="5" t="s">
        <v>223</v>
      </c>
      <c r="C253" s="5" t="s">
        <v>224</v>
      </c>
      <c r="D253" s="11">
        <v>8.6553404613651193</v>
      </c>
      <c r="E253" s="164">
        <v>918.51804026202899</v>
      </c>
      <c r="F253" s="11">
        <v>0.257342341650033</v>
      </c>
      <c r="G253" s="11">
        <v>0.42775981982695999</v>
      </c>
      <c r="H253" s="11">
        <v>2.0854588524954702E-2</v>
      </c>
      <c r="I253" s="11">
        <v>0.19665211609793401</v>
      </c>
      <c r="J253" s="11">
        <v>1.0888668572536799</v>
      </c>
      <c r="K253" s="11">
        <v>4.1664847903313998E-2</v>
      </c>
      <c r="L253" s="11">
        <v>1.24977055112682</v>
      </c>
      <c r="M253" s="11">
        <v>8.4028832452937505E-3</v>
      </c>
      <c r="N253" s="11">
        <v>0.23338552658551201</v>
      </c>
      <c r="O253" s="11">
        <v>2.1315027587392101E-2</v>
      </c>
      <c r="P253" s="11">
        <v>1.3751176571018301E-2</v>
      </c>
      <c r="Q253" s="11">
        <v>0.21268511656128</v>
      </c>
      <c r="R253" s="11">
        <v>0</v>
      </c>
      <c r="S253" s="11">
        <v>0.162495003791093</v>
      </c>
      <c r="T253" s="11">
        <v>1.7181600908102002E-2</v>
      </c>
      <c r="U253" s="11">
        <v>2.8770193940007301E-2</v>
      </c>
      <c r="V253" s="11">
        <v>6.6642698531167499E-2</v>
      </c>
      <c r="W253" s="11">
        <v>0.30288272315243298</v>
      </c>
      <c r="X253" s="11">
        <v>7.1351171641387906E-2</v>
      </c>
      <c r="Y253" s="11">
        <v>5.30591951056984E-3</v>
      </c>
      <c r="Z253" s="11">
        <v>1.4617603489131201E-2</v>
      </c>
      <c r="AA253" s="11">
        <v>0</v>
      </c>
    </row>
    <row r="254" spans="1:27">
      <c r="A254" s="5"/>
      <c r="B254" s="5" t="s">
        <v>225</v>
      </c>
      <c r="C254" s="5" t="s">
        <v>226</v>
      </c>
      <c r="D254" s="11">
        <v>7.7853054563255997</v>
      </c>
      <c r="E254" s="164">
        <v>1043.1812205546801</v>
      </c>
      <c r="F254" s="11">
        <v>0.218966721676989</v>
      </c>
      <c r="G254" s="11">
        <v>0.51219090035385795</v>
      </c>
      <c r="H254" s="11">
        <v>2.0585281802626299E-2</v>
      </c>
      <c r="I254" s="11">
        <v>0.130423352353258</v>
      </c>
      <c r="J254" s="11">
        <v>0.89334117483345998</v>
      </c>
      <c r="K254" s="11">
        <v>6.5206824986340395E-2</v>
      </c>
      <c r="L254" s="11">
        <v>0.50869240191527698</v>
      </c>
      <c r="M254" s="11">
        <v>3.4647872113145401E-3</v>
      </c>
      <c r="N254" s="11">
        <v>0.19410266628602399</v>
      </c>
      <c r="O254" s="11">
        <v>9.4974511220270296E-3</v>
      </c>
      <c r="P254" s="11">
        <v>3.2359190411326302E-2</v>
      </c>
      <c r="Q254" s="11">
        <v>0.191970251643689</v>
      </c>
      <c r="R254" s="11">
        <v>6.3455467119554701E-2</v>
      </c>
      <c r="S254" s="11">
        <v>0.233978679007045</v>
      </c>
      <c r="T254" s="11">
        <v>3.1491472121293898E-2</v>
      </c>
      <c r="U254" s="11">
        <v>2.1216866394330701E-2</v>
      </c>
      <c r="V254" s="11">
        <v>8.6993558317843403E-2</v>
      </c>
      <c r="W254" s="11">
        <v>0.49811783720591302</v>
      </c>
      <c r="X254" s="11">
        <v>4.0394360735186499E-2</v>
      </c>
      <c r="Y254" s="11">
        <v>5.2295438131023204E-3</v>
      </c>
      <c r="Z254" s="11">
        <v>1.32025011474076E-2</v>
      </c>
      <c r="AA254" s="11">
        <v>0.39725847248171497</v>
      </c>
    </row>
    <row r="255" spans="1:27">
      <c r="A255" s="4" t="s">
        <v>227</v>
      </c>
      <c r="D255" s="11"/>
      <c r="E255" s="164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>
      <c r="A256" s="5"/>
      <c r="B256" s="5" t="s">
        <v>228</v>
      </c>
      <c r="C256" s="5" t="s">
        <v>229</v>
      </c>
      <c r="D256" s="11">
        <v>6.7552996740873796</v>
      </c>
      <c r="E256" s="164">
        <v>781.21069676145396</v>
      </c>
      <c r="F256" s="11">
        <v>0.13728853510297701</v>
      </c>
      <c r="G256" s="11">
        <v>0.37244645081262301</v>
      </c>
      <c r="H256" s="11">
        <v>1.1411477054616301E-2</v>
      </c>
      <c r="I256" s="11">
        <v>0.13247007480310899</v>
      </c>
      <c r="J256" s="11">
        <v>0.73869190160712594</v>
      </c>
      <c r="K256" s="11">
        <v>3.8241003311485097E-2</v>
      </c>
      <c r="L256" s="11">
        <v>0.69601664127273999</v>
      </c>
      <c r="M256" s="11">
        <v>2.6712066573118601E-3</v>
      </c>
      <c r="N256" s="11">
        <v>0.14764931209594601</v>
      </c>
      <c r="O256" s="11">
        <v>7.31920929493062E-3</v>
      </c>
      <c r="P256" s="11">
        <v>1.04460911871099E-2</v>
      </c>
      <c r="Q256" s="11">
        <v>0.19964730343636</v>
      </c>
      <c r="R256" s="11">
        <v>5.9975683685881499E-2</v>
      </c>
      <c r="S256" s="11">
        <v>8.6154167743371701E-2</v>
      </c>
      <c r="T256" s="11">
        <v>1.2101032659593501E-2</v>
      </c>
      <c r="U256" s="11">
        <v>1.41159880028163E-2</v>
      </c>
      <c r="V256" s="11">
        <v>3.2082394015409098E-2</v>
      </c>
      <c r="W256" s="11">
        <v>0.351613106047312</v>
      </c>
      <c r="X256" s="11">
        <v>3.3631067727313502E-2</v>
      </c>
      <c r="Y256" s="11">
        <v>0</v>
      </c>
      <c r="Z256" s="11">
        <v>8.9796219226335496E-3</v>
      </c>
      <c r="AA256" s="11">
        <v>0</v>
      </c>
    </row>
    <row r="257" spans="1:27">
      <c r="A257" s="5"/>
      <c r="B257" s="5" t="s">
        <v>230</v>
      </c>
      <c r="C257" s="5" t="s">
        <v>231</v>
      </c>
      <c r="D257" s="11">
        <v>6.3751821160034599</v>
      </c>
      <c r="E257" s="164">
        <v>806.19093262716797</v>
      </c>
      <c r="F257" s="11">
        <v>0.23789547761254401</v>
      </c>
      <c r="G257" s="11">
        <v>0.459255111774313</v>
      </c>
      <c r="H257" s="11">
        <v>3.04042821433512E-2</v>
      </c>
      <c r="I257" s="11">
        <v>0.112063318991641</v>
      </c>
      <c r="J257" s="11">
        <v>0.61622737135645</v>
      </c>
      <c r="K257" s="11">
        <v>4.9452622578349099E-2</v>
      </c>
      <c r="L257" s="11">
        <v>0.918537848453994</v>
      </c>
      <c r="M257" s="11">
        <v>1.22880045493538E-2</v>
      </c>
      <c r="N257" s="11">
        <v>0.171631766212272</v>
      </c>
      <c r="O257" s="11">
        <v>1.9785651519801301E-2</v>
      </c>
      <c r="P257" s="11">
        <v>2.3305554986405599E-2</v>
      </c>
      <c r="Q257" s="11">
        <v>0.17483545290923</v>
      </c>
      <c r="R257" s="11">
        <v>0</v>
      </c>
      <c r="S257" s="11">
        <v>0.174142962832461</v>
      </c>
      <c r="T257" s="11">
        <v>2.3525438397191099E-2</v>
      </c>
      <c r="U257" s="11">
        <v>2.5847738418023701E-2</v>
      </c>
      <c r="V257" s="11">
        <v>7.5844171218193202E-2</v>
      </c>
      <c r="W257" s="11">
        <v>0.40000753410185202</v>
      </c>
      <c r="X257" s="11">
        <v>4.2816344537073101E-2</v>
      </c>
      <c r="Y257" s="11">
        <v>5.5862941190825402E-3</v>
      </c>
      <c r="Z257" s="11">
        <v>9.8902418717714494E-3</v>
      </c>
      <c r="AA257" s="11">
        <v>0.15535193587153501</v>
      </c>
    </row>
    <row r="258" spans="1:27">
      <c r="A258" s="5"/>
      <c r="B258" s="5" t="s">
        <v>232</v>
      </c>
      <c r="C258" s="5" t="s">
        <v>233</v>
      </c>
      <c r="D258" s="11">
        <v>7.0635186344383101</v>
      </c>
      <c r="E258" s="164">
        <v>774.46968259054995</v>
      </c>
      <c r="F258" s="11">
        <v>0.15904519305943199</v>
      </c>
      <c r="G258" s="11">
        <v>0.44289291872563202</v>
      </c>
      <c r="H258" s="11">
        <v>2.0848990596995399E-2</v>
      </c>
      <c r="I258" s="11">
        <v>0.12868727432100299</v>
      </c>
      <c r="J258" s="11">
        <v>0.65919958110246302</v>
      </c>
      <c r="K258" s="11">
        <v>1.7708287322356901E-2</v>
      </c>
      <c r="L258" s="11">
        <v>0.78726119736903699</v>
      </c>
      <c r="M258" s="11">
        <v>5.9468317981699803E-3</v>
      </c>
      <c r="N258" s="11">
        <v>0.178574632269035</v>
      </c>
      <c r="O258" s="11">
        <v>7.36852077375162E-3</v>
      </c>
      <c r="P258" s="11">
        <v>1.05290802471443E-2</v>
      </c>
      <c r="Q258" s="11">
        <v>0.13734610534316799</v>
      </c>
      <c r="R258" s="11">
        <v>0</v>
      </c>
      <c r="S258" s="11">
        <v>0.12488972508362001</v>
      </c>
      <c r="T258" s="11">
        <v>1.32157837411902E-2</v>
      </c>
      <c r="U258" s="11">
        <v>1.9694654399015799E-2</v>
      </c>
      <c r="V258" s="11">
        <v>5.5718383061468799E-2</v>
      </c>
      <c r="W258" s="11">
        <v>0.44937434420766498</v>
      </c>
      <c r="X258" s="11">
        <v>5.0902660848467902E-2</v>
      </c>
      <c r="Y258" s="11">
        <v>5.8429707329799001E-3</v>
      </c>
      <c r="Z258" s="11">
        <v>1.0945403001962801E-2</v>
      </c>
      <c r="AA258" s="11">
        <v>0</v>
      </c>
    </row>
    <row r="259" spans="1:27">
      <c r="A259" s="5"/>
      <c r="B259" s="5" t="s">
        <v>234</v>
      </c>
      <c r="C259" s="5" t="s">
        <v>235</v>
      </c>
      <c r="D259" s="11">
        <v>6.8598419501721404</v>
      </c>
      <c r="E259" s="164">
        <v>749.24031161544701</v>
      </c>
      <c r="F259" s="11">
        <v>0.17036205693883</v>
      </c>
      <c r="G259" s="11">
        <v>0.384522220389453</v>
      </c>
      <c r="H259" s="11">
        <v>1.0447684813221799E-2</v>
      </c>
      <c r="I259" s="11">
        <v>0.11119095049975</v>
      </c>
      <c r="J259" s="11">
        <v>0.568157837346149</v>
      </c>
      <c r="K259" s="11">
        <v>6.4447555683297797E-2</v>
      </c>
      <c r="L259" s="11">
        <v>0.71659509860032999</v>
      </c>
      <c r="M259" s="11">
        <v>3.67874592450915E-3</v>
      </c>
      <c r="N259" s="11">
        <v>0.15755090380422701</v>
      </c>
      <c r="O259" s="11">
        <v>1.2142247253964299E-2</v>
      </c>
      <c r="P259" s="11">
        <v>1.0331729861574599E-2</v>
      </c>
      <c r="Q259" s="11">
        <v>0.158854403972612</v>
      </c>
      <c r="R259" s="11">
        <v>4.0927212431618898E-2</v>
      </c>
      <c r="S259" s="11">
        <v>0.15601201667093101</v>
      </c>
      <c r="T259" s="11">
        <v>1.6517004542693E-2</v>
      </c>
      <c r="U259" s="11">
        <v>1.57040986425473E-2</v>
      </c>
      <c r="V259" s="11">
        <v>0</v>
      </c>
      <c r="W259" s="11">
        <v>0.32428903111190899</v>
      </c>
      <c r="X259" s="11">
        <v>3.9823868855810102E-2</v>
      </c>
      <c r="Y259" s="11">
        <v>3.9959883904067102E-3</v>
      </c>
      <c r="Z259" s="11">
        <v>9.6993177032712197E-3</v>
      </c>
      <c r="AA259" s="11">
        <v>0</v>
      </c>
    </row>
    <row r="260" spans="1:27">
      <c r="A260" s="5"/>
      <c r="B260" s="5" t="s">
        <v>236</v>
      </c>
      <c r="C260" s="5" t="s">
        <v>237</v>
      </c>
      <c r="D260" s="11">
        <v>7.0877398020755198</v>
      </c>
      <c r="E260" s="164">
        <v>980.63964801025998</v>
      </c>
      <c r="F260" s="11">
        <v>0.24439674849312501</v>
      </c>
      <c r="G260" s="11">
        <v>0.36763224983264098</v>
      </c>
      <c r="H260" s="11">
        <v>1.7650806000847001E-2</v>
      </c>
      <c r="I260" s="11">
        <v>0.15109783620928399</v>
      </c>
      <c r="J260" s="11">
        <v>0.57518398287474604</v>
      </c>
      <c r="K260" s="11">
        <v>4.8807702559578503E-2</v>
      </c>
      <c r="L260" s="11">
        <v>0.668478016712582</v>
      </c>
      <c r="M260" s="11">
        <v>7.1982647129691197E-3</v>
      </c>
      <c r="N260" s="11">
        <v>0.161211742611753</v>
      </c>
      <c r="O260" s="11">
        <v>1.4655471918631501E-2</v>
      </c>
      <c r="P260" s="11">
        <v>2.3350021816257099E-2</v>
      </c>
      <c r="Q260" s="11">
        <v>0.17207029274237901</v>
      </c>
      <c r="R260" s="11">
        <v>8.7825725737005395E-2</v>
      </c>
      <c r="S260" s="11">
        <v>0.18411308836182799</v>
      </c>
      <c r="T260" s="11">
        <v>1.75172181276823E-2</v>
      </c>
      <c r="U260" s="11">
        <v>2.10115412755855E-2</v>
      </c>
      <c r="V260" s="11">
        <v>0</v>
      </c>
      <c r="W260" s="11">
        <v>0.49218238877819098</v>
      </c>
      <c r="X260" s="11">
        <v>2.68288703555307E-2</v>
      </c>
      <c r="Y260" s="11">
        <v>7.4685179325373E-3</v>
      </c>
      <c r="Z260" s="11">
        <v>8.1549827343112401E-3</v>
      </c>
      <c r="AA260" s="11">
        <v>0.157946242795172</v>
      </c>
    </row>
    <row r="261" spans="1:27">
      <c r="A261" s="5"/>
      <c r="B261" s="5" t="s">
        <v>238</v>
      </c>
      <c r="C261" s="5" t="s">
        <v>239</v>
      </c>
      <c r="D261" s="11">
        <v>5.1153560514520704</v>
      </c>
      <c r="E261" s="164">
        <v>867.41505725736397</v>
      </c>
      <c r="F261" s="11">
        <v>0.23376831976347101</v>
      </c>
      <c r="G261" s="11">
        <v>0.32980630087854201</v>
      </c>
      <c r="H261" s="11">
        <v>2.0738990234581402E-2</v>
      </c>
      <c r="I261" s="11">
        <v>9.8223311064770294E-2</v>
      </c>
      <c r="J261" s="11">
        <v>0.74645758507440296</v>
      </c>
      <c r="K261" s="11">
        <v>3.6210300404093801E-2</v>
      </c>
      <c r="L261" s="11">
        <v>0.76582622150493096</v>
      </c>
      <c r="M261" s="11">
        <v>4.7734650515894404E-3</v>
      </c>
      <c r="N261" s="11">
        <v>0.18833230327782399</v>
      </c>
      <c r="O261" s="11">
        <v>7.7424957633448199E-3</v>
      </c>
      <c r="P261" s="11">
        <v>4.0870281612426798E-2</v>
      </c>
      <c r="Q261" s="11">
        <v>0.12545299775236601</v>
      </c>
      <c r="R261" s="11">
        <v>5.3075838560055801E-2</v>
      </c>
      <c r="S261" s="11">
        <v>0.12748869928827999</v>
      </c>
      <c r="T261" s="11">
        <v>1.9815207903575702E-2</v>
      </c>
      <c r="U261" s="11">
        <v>1.41748554243778E-2</v>
      </c>
      <c r="V261" s="11">
        <v>0</v>
      </c>
      <c r="W261" s="11">
        <v>0.434095575899407</v>
      </c>
      <c r="X261" s="11">
        <v>3.2531649595210703E-2</v>
      </c>
      <c r="Y261" s="11">
        <v>1.04417890831875E-2</v>
      </c>
      <c r="Z261" s="11">
        <v>1.79320318647406E-2</v>
      </c>
      <c r="AA261" s="11">
        <v>0</v>
      </c>
    </row>
    <row r="262" spans="1:27">
      <c r="A262" s="5"/>
      <c r="B262" s="5" t="s">
        <v>240</v>
      </c>
      <c r="C262" s="5" t="s">
        <v>241</v>
      </c>
      <c r="D262" s="11">
        <v>6.2162881453904202</v>
      </c>
      <c r="E262" s="164">
        <v>701.68031570527603</v>
      </c>
      <c r="F262" s="11">
        <v>0.205857778905673</v>
      </c>
      <c r="G262" s="11">
        <v>0.32107598555216899</v>
      </c>
      <c r="H262" s="11">
        <v>1.6828582535858901E-2</v>
      </c>
      <c r="I262" s="11">
        <v>6.7188202226701604E-2</v>
      </c>
      <c r="J262" s="11">
        <v>0.49131069590189302</v>
      </c>
      <c r="K262" s="11">
        <v>3.9986258322418901E-2</v>
      </c>
      <c r="L262" s="11">
        <v>0.65652458832331795</v>
      </c>
      <c r="M262" s="11">
        <v>1.0332847479047801E-2</v>
      </c>
      <c r="N262" s="11">
        <v>0.16743670332390501</v>
      </c>
      <c r="O262" s="11">
        <v>0</v>
      </c>
      <c r="P262" s="11">
        <v>1.9963788628666702E-2</v>
      </c>
      <c r="Q262" s="11">
        <v>0.166371086903851</v>
      </c>
      <c r="R262" s="11">
        <v>2.7604745062801399E-2</v>
      </c>
      <c r="S262" s="11">
        <v>8.3052833659159997E-2</v>
      </c>
      <c r="T262" s="11">
        <v>1.25666377695655E-2</v>
      </c>
      <c r="U262" s="11">
        <v>1.82876048325534E-2</v>
      </c>
      <c r="V262" s="11">
        <v>0</v>
      </c>
      <c r="W262" s="11">
        <v>0.365647646267447</v>
      </c>
      <c r="X262" s="11">
        <v>4.7652337727462503E-2</v>
      </c>
      <c r="Y262" s="11">
        <v>3.8629139316328602E-3</v>
      </c>
      <c r="Z262" s="11">
        <v>1.14332731511484E-2</v>
      </c>
      <c r="AA262" s="11">
        <v>0.25112608654004698</v>
      </c>
    </row>
    <row r="263" spans="1:27">
      <c r="A263" s="5"/>
      <c r="B263" s="5" t="s">
        <v>242</v>
      </c>
      <c r="C263" s="5" t="s">
        <v>243</v>
      </c>
      <c r="D263" s="11">
        <v>7.1598948492301302</v>
      </c>
      <c r="E263" s="164">
        <v>1017.0664514244</v>
      </c>
      <c r="F263" s="11">
        <v>0.209014554157407</v>
      </c>
      <c r="G263" s="11">
        <v>0.45783953832243801</v>
      </c>
      <c r="H263" s="11">
        <v>1.9485145404284199E-2</v>
      </c>
      <c r="I263" s="11">
        <v>0.111696684234442</v>
      </c>
      <c r="J263" s="11">
        <v>0.642565471266065</v>
      </c>
      <c r="K263" s="11">
        <v>5.5828147653396797E-2</v>
      </c>
      <c r="L263" s="11">
        <v>1.0125535800307399</v>
      </c>
      <c r="M263" s="11">
        <v>4.8271829020023298E-3</v>
      </c>
      <c r="N263" s="11">
        <v>0.16861769682397701</v>
      </c>
      <c r="O263" s="11">
        <v>1.8680767003090699E-2</v>
      </c>
      <c r="P263" s="11">
        <v>2.26708780090722E-2</v>
      </c>
      <c r="Q263" s="11">
        <v>0.18121734259182901</v>
      </c>
      <c r="R263" s="11">
        <v>4.9672281638308599E-2</v>
      </c>
      <c r="S263" s="11">
        <v>0.22038704472712201</v>
      </c>
      <c r="T263" s="11">
        <v>2.19692013606121E-2</v>
      </c>
      <c r="U263" s="11">
        <v>1.7923484983644301E-2</v>
      </c>
      <c r="V263" s="11">
        <v>5.4743174466085502E-2</v>
      </c>
      <c r="W263" s="11">
        <v>0.55136068644397396</v>
      </c>
      <c r="X263" s="11">
        <v>4.4762094603595003E-2</v>
      </c>
      <c r="Y263" s="11">
        <v>1.7243058282045299E-2</v>
      </c>
      <c r="Z263" s="11">
        <v>1.40210797922609E-2</v>
      </c>
      <c r="AA263" s="11">
        <v>0.33972048415008999</v>
      </c>
    </row>
    <row r="264" spans="1:27">
      <c r="A264" s="5"/>
      <c r="B264" s="5" t="s">
        <v>244</v>
      </c>
      <c r="C264" s="5" t="s">
        <v>245</v>
      </c>
      <c r="D264" s="11">
        <v>6.7621058685516999</v>
      </c>
      <c r="E264" s="164">
        <v>1028.81293497973</v>
      </c>
      <c r="F264" s="11">
        <v>0.24793615822916601</v>
      </c>
      <c r="G264" s="11">
        <v>0.304982720059498</v>
      </c>
      <c r="H264" s="11">
        <v>1.8434367521229698E-2</v>
      </c>
      <c r="I264" s="11">
        <v>0.114695446470281</v>
      </c>
      <c r="J264" s="11">
        <v>0.713875461555049</v>
      </c>
      <c r="K264" s="11">
        <v>6.2221222810167197E-2</v>
      </c>
      <c r="L264" s="11">
        <v>0.76390336298264605</v>
      </c>
      <c r="M264" s="11">
        <v>1.04318854682568E-2</v>
      </c>
      <c r="N264" s="11">
        <v>0.222138913839668</v>
      </c>
      <c r="O264" s="11">
        <v>0</v>
      </c>
      <c r="P264" s="11">
        <v>1.6614622002129101E-2</v>
      </c>
      <c r="Q264" s="11">
        <v>0.17748136996604899</v>
      </c>
      <c r="R264" s="11">
        <v>4.7257744461303999E-2</v>
      </c>
      <c r="S264" s="11">
        <v>7.1288577049446702E-2</v>
      </c>
      <c r="T264" s="11">
        <v>8.7522359089172008E-3</v>
      </c>
      <c r="U264" s="11">
        <v>2.19303292079513E-2</v>
      </c>
      <c r="V264" s="11">
        <v>0</v>
      </c>
      <c r="W264" s="11">
        <v>0.62140695223862097</v>
      </c>
      <c r="X264" s="11">
        <v>5.9364591861143901E-2</v>
      </c>
      <c r="Y264" s="11">
        <v>0</v>
      </c>
      <c r="Z264" s="11">
        <v>1.0353880713093301E-2</v>
      </c>
      <c r="AA264" s="11">
        <v>0</v>
      </c>
    </row>
    <row r="265" spans="1:27">
      <c r="A265" s="4" t="s">
        <v>246</v>
      </c>
      <c r="D265" s="11"/>
      <c r="E265" s="164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>
      <c r="A266" s="5"/>
      <c r="B266" s="5" t="s">
        <v>247</v>
      </c>
      <c r="C266" s="5" t="s">
        <v>248</v>
      </c>
      <c r="D266" s="11">
        <v>5.8341911618223703</v>
      </c>
      <c r="E266" s="164">
        <v>965.25820971389601</v>
      </c>
      <c r="F266" s="11">
        <v>0.19980818648228399</v>
      </c>
      <c r="G266" s="11">
        <v>0.42491764290003697</v>
      </c>
      <c r="H266" s="11">
        <v>1.0229498539785E-2</v>
      </c>
      <c r="I266" s="11">
        <v>6.9629546582729504E-2</v>
      </c>
      <c r="J266" s="11">
        <v>0.64577415928552395</v>
      </c>
      <c r="K266" s="11">
        <v>4.2863796923669303E-2</v>
      </c>
      <c r="L266" s="11">
        <v>0.69963518861001694</v>
      </c>
      <c r="M266" s="11">
        <v>8.0979430403474197E-3</v>
      </c>
      <c r="N266" s="11">
        <v>0.140470406365549</v>
      </c>
      <c r="O266" s="11">
        <v>2.3746829533563701E-2</v>
      </c>
      <c r="P266" s="11">
        <v>1.0430191962246E-2</v>
      </c>
      <c r="Q266" s="11">
        <v>0.17640952621329101</v>
      </c>
      <c r="R266" s="11">
        <v>3.9533854665217201E-2</v>
      </c>
      <c r="S266" s="11">
        <v>0.146881351438332</v>
      </c>
      <c r="T266" s="11">
        <v>1.4159333171320799E-2</v>
      </c>
      <c r="U266" s="11">
        <v>1.6723975665195401E-2</v>
      </c>
      <c r="V266" s="11">
        <v>3.17888220740703E-2</v>
      </c>
      <c r="W266" s="11">
        <v>0.51141335555094303</v>
      </c>
      <c r="X266" s="11">
        <v>4.1476888603910002E-2</v>
      </c>
      <c r="Y266" s="11">
        <v>2.96827397126871E-3</v>
      </c>
      <c r="Z266" s="11">
        <v>4.8149257281857802E-3</v>
      </c>
      <c r="AA266" s="11">
        <v>0.15922956759286799</v>
      </c>
    </row>
    <row r="267" spans="1:27">
      <c r="A267" s="5"/>
      <c r="B267" s="5" t="s">
        <v>249</v>
      </c>
      <c r="C267" s="5" t="s">
        <v>250</v>
      </c>
      <c r="D267" s="11">
        <v>5.5472417343335003</v>
      </c>
      <c r="E267" s="164">
        <v>864.35499065070803</v>
      </c>
      <c r="F267" s="11">
        <v>0.24023149621039899</v>
      </c>
      <c r="G267" s="11">
        <v>0.32119330365569698</v>
      </c>
      <c r="H267" s="11">
        <v>1.87428708706554E-2</v>
      </c>
      <c r="I267" s="11">
        <v>0.15256907681423801</v>
      </c>
      <c r="J267" s="11">
        <v>0.59339260610102595</v>
      </c>
      <c r="K267" s="11">
        <v>4.0506797403836899E-2</v>
      </c>
      <c r="L267" s="11">
        <v>0.70553125282816898</v>
      </c>
      <c r="M267" s="11">
        <v>3.5316883466264899E-3</v>
      </c>
      <c r="N267" s="11">
        <v>0.14621122930899</v>
      </c>
      <c r="O267" s="11">
        <v>1.3894200611562499E-2</v>
      </c>
      <c r="P267" s="11">
        <v>1.3775265734985701E-2</v>
      </c>
      <c r="Q267" s="11">
        <v>0.14479761064506899</v>
      </c>
      <c r="R267" s="11">
        <v>6.4003447595758198E-2</v>
      </c>
      <c r="S267" s="11">
        <v>0.13934073847619799</v>
      </c>
      <c r="T267" s="11">
        <v>1.7124217146340399E-2</v>
      </c>
      <c r="U267" s="11">
        <v>1.0205704323164101E-2</v>
      </c>
      <c r="V267" s="11">
        <v>0</v>
      </c>
      <c r="W267" s="11">
        <v>0.21004573771158699</v>
      </c>
      <c r="X267" s="11">
        <v>3.9281307911546499E-2</v>
      </c>
      <c r="Y267" s="11">
        <v>3.9342804339867303E-3</v>
      </c>
      <c r="Z267" s="11">
        <v>7.2668454023779496E-3</v>
      </c>
      <c r="AA267" s="11">
        <v>0</v>
      </c>
    </row>
    <row r="268" spans="1:27">
      <c r="A268" s="5"/>
      <c r="B268" s="5" t="s">
        <v>251</v>
      </c>
      <c r="C268" s="5" t="s">
        <v>252</v>
      </c>
      <c r="D268" s="11">
        <v>6.75211480425018</v>
      </c>
      <c r="E268" s="164">
        <v>836.60962199158701</v>
      </c>
      <c r="F268" s="11">
        <v>0.20397891475531199</v>
      </c>
      <c r="G268" s="11">
        <v>0.59539235720723804</v>
      </c>
      <c r="H268" s="11">
        <v>1.73237043871926E-2</v>
      </c>
      <c r="I268" s="11">
        <v>0.17031361642564799</v>
      </c>
      <c r="J268" s="11">
        <v>0.65968892873436502</v>
      </c>
      <c r="K268" s="11">
        <v>4.29859799473222E-2</v>
      </c>
      <c r="L268" s="11">
        <v>0.641284299290378</v>
      </c>
      <c r="M268" s="11">
        <v>5.3585419854781597E-3</v>
      </c>
      <c r="N268" s="11">
        <v>0.155796537151138</v>
      </c>
      <c r="O268" s="11">
        <v>7.3530987216609998E-3</v>
      </c>
      <c r="P268" s="11">
        <v>2.89751424268824E-2</v>
      </c>
      <c r="Q268" s="11">
        <v>0.169413025030167</v>
      </c>
      <c r="R268" s="11">
        <v>4.9504780195928098E-2</v>
      </c>
      <c r="S268" s="11">
        <v>0.234577003343961</v>
      </c>
      <c r="T268" s="11">
        <v>1.9847073948566898E-2</v>
      </c>
      <c r="U268" s="11">
        <v>1.8754625012365501E-2</v>
      </c>
      <c r="V268" s="11">
        <v>5.0678358381839803E-2</v>
      </c>
      <c r="W268" s="11">
        <v>0.45824459043648103</v>
      </c>
      <c r="X268" s="11">
        <v>2.3624214869656698E-2</v>
      </c>
      <c r="Y268" s="11">
        <v>5.98519323132473E-3</v>
      </c>
      <c r="Z268" s="11">
        <v>6.6427787512441296E-3</v>
      </c>
      <c r="AA268" s="11">
        <v>0.51966480286600303</v>
      </c>
    </row>
    <row r="269" spans="1:27">
      <c r="A269" s="5"/>
      <c r="B269" s="5" t="s">
        <v>253</v>
      </c>
      <c r="C269" s="5" t="s">
        <v>254</v>
      </c>
      <c r="D269" s="11">
        <v>5.74130718013223</v>
      </c>
      <c r="E269" s="164">
        <v>818.13074206785302</v>
      </c>
      <c r="F269" s="11">
        <v>0.11359666705362299</v>
      </c>
      <c r="G269" s="11">
        <v>0.39356371722698102</v>
      </c>
      <c r="H269" s="11">
        <v>1.6686170826402599E-2</v>
      </c>
      <c r="I269" s="11">
        <v>0.12400295572964699</v>
      </c>
      <c r="J269" s="11">
        <v>0.55657728280526197</v>
      </c>
      <c r="K269" s="11">
        <v>6.1454462619912699E-2</v>
      </c>
      <c r="L269" s="11">
        <v>0.83536400692077595</v>
      </c>
      <c r="M269" s="11">
        <v>5.1097303763415498E-3</v>
      </c>
      <c r="N269" s="11">
        <v>0.13366908936494501</v>
      </c>
      <c r="O269" s="11">
        <v>1.6258271696127698E-2</v>
      </c>
      <c r="P269" s="11">
        <v>3.5822641755648803E-2</v>
      </c>
      <c r="Q269" s="11">
        <v>0.16834226570018501</v>
      </c>
      <c r="R269" s="11">
        <v>3.4778429951535197E-2</v>
      </c>
      <c r="S269" s="11">
        <v>0</v>
      </c>
      <c r="T269" s="11">
        <v>1.42892822105924E-2</v>
      </c>
      <c r="U269" s="11">
        <v>1.49880617551496E-2</v>
      </c>
      <c r="V269" s="11">
        <v>0</v>
      </c>
      <c r="W269" s="11">
        <v>0.28457136203286398</v>
      </c>
      <c r="X269" s="11">
        <v>5.7922034644859198E-2</v>
      </c>
      <c r="Y269" s="11">
        <v>0</v>
      </c>
      <c r="Z269" s="11">
        <v>1.33017092518026E-2</v>
      </c>
      <c r="AA269" s="11">
        <v>0.15977993229297399</v>
      </c>
    </row>
    <row r="270" spans="1:27">
      <c r="A270" s="5"/>
      <c r="B270" s="5" t="s">
        <v>255</v>
      </c>
      <c r="C270" s="5" t="s">
        <v>256</v>
      </c>
      <c r="D270" s="11">
        <v>5.4910049732807797</v>
      </c>
      <c r="E270" s="164">
        <v>924.19097209725999</v>
      </c>
      <c r="F270" s="11">
        <v>0.267763331902861</v>
      </c>
      <c r="G270" s="11">
        <v>0.42449688300316402</v>
      </c>
      <c r="H270" s="11">
        <v>2.2567441350735701E-2</v>
      </c>
      <c r="I270" s="11">
        <v>8.6249440020021301E-2</v>
      </c>
      <c r="J270" s="11">
        <v>0.61766080620099895</v>
      </c>
      <c r="K270" s="11">
        <v>3.5290248278935302E-2</v>
      </c>
      <c r="L270" s="11">
        <v>0.70010033932506799</v>
      </c>
      <c r="M270" s="11">
        <v>0</v>
      </c>
      <c r="N270" s="11">
        <v>0.15366328886358799</v>
      </c>
      <c r="O270" s="11">
        <v>2.22097919891769E-2</v>
      </c>
      <c r="P270" s="11">
        <v>2.7316323528393499E-2</v>
      </c>
      <c r="Q270" s="11">
        <v>0.15297409646144999</v>
      </c>
      <c r="R270" s="11">
        <v>5.08811669009675E-2</v>
      </c>
      <c r="S270" s="11">
        <v>0.15270859467986</v>
      </c>
      <c r="T270" s="11">
        <v>2.35964689278199E-2</v>
      </c>
      <c r="U270" s="11">
        <v>2.2943693152500499E-2</v>
      </c>
      <c r="V270" s="11">
        <v>2.3668321299783201E-2</v>
      </c>
      <c r="W270" s="11">
        <v>0.40919289646454798</v>
      </c>
      <c r="X270" s="11">
        <v>5.74686921296058E-2</v>
      </c>
      <c r="Y270" s="11">
        <v>1.29367875458737E-2</v>
      </c>
      <c r="Z270" s="11">
        <v>1.2113178500171099E-2</v>
      </c>
      <c r="AA270" s="11">
        <v>0.33037109095989797</v>
      </c>
    </row>
    <row r="271" spans="1:27">
      <c r="A271" s="5"/>
      <c r="B271" s="5" t="s">
        <v>257</v>
      </c>
      <c r="C271" s="5" t="s">
        <v>258</v>
      </c>
      <c r="D271" s="11">
        <v>6.5546881872917497</v>
      </c>
      <c r="E271" s="164">
        <v>901.365433034077</v>
      </c>
      <c r="F271" s="11">
        <v>0.23499089815624699</v>
      </c>
      <c r="G271" s="11">
        <v>0.413715693752291</v>
      </c>
      <c r="H271" s="11">
        <v>1.75954923524844E-2</v>
      </c>
      <c r="I271" s="11">
        <v>0.139631882432662</v>
      </c>
      <c r="J271" s="11">
        <v>0.75724486826280601</v>
      </c>
      <c r="K271" s="11">
        <v>3.05646186531566E-2</v>
      </c>
      <c r="L271" s="11">
        <v>0.90601586073208196</v>
      </c>
      <c r="M271" s="11">
        <v>0</v>
      </c>
      <c r="N271" s="11">
        <v>0.188609164540775</v>
      </c>
      <c r="O271" s="11">
        <v>0</v>
      </c>
      <c r="P271" s="11">
        <v>3.0751713262711099E-2</v>
      </c>
      <c r="Q271" s="11">
        <v>0.18403597485920101</v>
      </c>
      <c r="R271" s="11">
        <v>4.3669760892422201E-2</v>
      </c>
      <c r="S271" s="11">
        <v>0.16983911030093601</v>
      </c>
      <c r="T271" s="11">
        <v>2.5217780114198701E-2</v>
      </c>
      <c r="U271" s="11">
        <v>1.9151787010599899E-2</v>
      </c>
      <c r="V271" s="11">
        <v>6.7533809720633803E-2</v>
      </c>
      <c r="W271" s="11">
        <v>0.40982228233011597</v>
      </c>
      <c r="X271" s="11">
        <v>3.3762632533664599E-2</v>
      </c>
      <c r="Y271" s="11">
        <v>0</v>
      </c>
      <c r="Z271" s="11">
        <v>5.1512578256016897E-3</v>
      </c>
      <c r="AA271" s="11">
        <v>0.37417298147506201</v>
      </c>
    </row>
    <row r="272" spans="1:27">
      <c r="A272" s="5"/>
      <c r="B272" s="5" t="s">
        <v>259</v>
      </c>
      <c r="C272" s="5" t="s">
        <v>260</v>
      </c>
      <c r="D272" s="11">
        <v>5.5295098447315203</v>
      </c>
      <c r="E272" s="164">
        <v>848.72728277405201</v>
      </c>
      <c r="F272" s="11">
        <v>0.17318544820575199</v>
      </c>
      <c r="G272" s="11">
        <v>0.48452418281821202</v>
      </c>
      <c r="H272" s="11">
        <v>1.8940300085222898E-2</v>
      </c>
      <c r="I272" s="11">
        <v>0.100321037311526</v>
      </c>
      <c r="J272" s="11">
        <v>0.53136943112924695</v>
      </c>
      <c r="K272" s="11">
        <v>4.6593334926493098E-2</v>
      </c>
      <c r="L272" s="11">
        <v>0.584423422521406</v>
      </c>
      <c r="M272" s="11">
        <v>3.6194291655436799E-3</v>
      </c>
      <c r="N272" s="11">
        <v>0.13944569920054201</v>
      </c>
      <c r="O272" s="11">
        <v>0</v>
      </c>
      <c r="P272" s="11">
        <v>1.02189977810936E-2</v>
      </c>
      <c r="Q272" s="11">
        <v>0.15785074847293101</v>
      </c>
      <c r="R272" s="11">
        <v>0.101653914874197</v>
      </c>
      <c r="S272" s="11">
        <v>6.6455176525546097E-2</v>
      </c>
      <c r="T272" s="11">
        <v>5.4563684861985004E-3</v>
      </c>
      <c r="U272" s="11">
        <v>2.12116383187647E-2</v>
      </c>
      <c r="V272" s="11">
        <v>2.2231310815978299E-2</v>
      </c>
      <c r="W272" s="11">
        <v>0.53304256862597699</v>
      </c>
      <c r="X272" s="11">
        <v>3.7670009223141003E-2</v>
      </c>
      <c r="Y272" s="11">
        <v>4.0199267799944701E-3</v>
      </c>
      <c r="Z272" s="11">
        <v>1.0677205063070599E-2</v>
      </c>
      <c r="AA272" s="11">
        <v>0.261832886141249</v>
      </c>
    </row>
    <row r="273" spans="1:27">
      <c r="A273" s="5"/>
      <c r="B273" s="5" t="s">
        <v>261</v>
      </c>
      <c r="C273" s="5" t="s">
        <v>262</v>
      </c>
      <c r="D273" s="11">
        <v>5.3046593442642198</v>
      </c>
      <c r="E273" s="164">
        <v>928.01745209586102</v>
      </c>
      <c r="F273" s="11">
        <v>0.25208557336614901</v>
      </c>
      <c r="G273" s="11">
        <v>0.53778780621229305</v>
      </c>
      <c r="H273" s="11">
        <v>4.7092213970571201E-2</v>
      </c>
      <c r="I273" s="11">
        <v>8.1443898915821406E-2</v>
      </c>
      <c r="J273" s="11">
        <v>0.66591303932693602</v>
      </c>
      <c r="K273" s="11">
        <v>7.3297701692670802E-2</v>
      </c>
      <c r="L273" s="11">
        <v>0.92993902275185503</v>
      </c>
      <c r="M273" s="11">
        <v>5.9002896186262904E-3</v>
      </c>
      <c r="N273" s="11">
        <v>0.14895451757898401</v>
      </c>
      <c r="O273" s="11">
        <v>0</v>
      </c>
      <c r="P273" s="11">
        <v>3.9922881437262303E-2</v>
      </c>
      <c r="Q273" s="11">
        <v>0.29151940339993698</v>
      </c>
      <c r="R273" s="11">
        <v>0</v>
      </c>
      <c r="S273" s="11">
        <v>0</v>
      </c>
      <c r="T273" s="11">
        <v>4.0631798737289802E-2</v>
      </c>
      <c r="U273" s="11">
        <v>1.9275514921791598E-2</v>
      </c>
      <c r="V273" s="11">
        <v>0</v>
      </c>
      <c r="W273" s="11">
        <v>0.52916448336949096</v>
      </c>
      <c r="X273" s="11">
        <v>5.0845408950037398E-2</v>
      </c>
      <c r="Y273" s="11">
        <v>9.5010919162907999E-3</v>
      </c>
      <c r="Z273" s="11">
        <v>1.6653380326622998E-2</v>
      </c>
      <c r="AA273" s="11">
        <v>0.26276137490658702</v>
      </c>
    </row>
    <row r="274" spans="1:27">
      <c r="A274" s="5"/>
      <c r="B274" s="5" t="s">
        <v>263</v>
      </c>
      <c r="C274" s="5" t="s">
        <v>264</v>
      </c>
      <c r="D274" s="11">
        <v>5.1522998616148801</v>
      </c>
      <c r="E274" s="164">
        <v>810.06020935549805</v>
      </c>
      <c r="F274" s="11">
        <v>0.19424797511981801</v>
      </c>
      <c r="G274" s="11">
        <v>0.37458314704120599</v>
      </c>
      <c r="H274" s="11">
        <v>2.7061996932234E-2</v>
      </c>
      <c r="I274" s="11">
        <v>8.6772002602279893E-2</v>
      </c>
      <c r="J274" s="11">
        <v>0.64081698768923001</v>
      </c>
      <c r="K274" s="11">
        <v>4.3182288334060299E-2</v>
      </c>
      <c r="L274" s="11">
        <v>0.68856179794091898</v>
      </c>
      <c r="M274" s="11">
        <v>0</v>
      </c>
      <c r="N274" s="11">
        <v>0.15529969373421601</v>
      </c>
      <c r="O274" s="11">
        <v>2.6704548090081701E-2</v>
      </c>
      <c r="P274" s="11">
        <v>1.02418807991046E-2</v>
      </c>
      <c r="Q274" s="11">
        <v>0.172842534046875</v>
      </c>
      <c r="R274" s="11">
        <v>1.9768236246865099E-2</v>
      </c>
      <c r="S274" s="11">
        <v>0</v>
      </c>
      <c r="T274" s="11">
        <v>1.3881026228567199E-2</v>
      </c>
      <c r="U274" s="11">
        <v>1.6695012424397599E-2</v>
      </c>
      <c r="V274" s="11">
        <v>2.2088574985384E-2</v>
      </c>
      <c r="W274" s="11">
        <v>0.37618801861026802</v>
      </c>
      <c r="X274" s="11">
        <v>3.6802930938499297E-2</v>
      </c>
      <c r="Y274" s="11">
        <v>6.3175281136202497E-3</v>
      </c>
      <c r="Z274" s="11">
        <v>1.06917610507693E-2</v>
      </c>
      <c r="AA274" s="11">
        <v>0.16131575716909299</v>
      </c>
    </row>
    <row r="275" spans="1:27">
      <c r="A275" s="5"/>
      <c r="B275" s="5" t="s">
        <v>265</v>
      </c>
      <c r="C275" s="5" t="s">
        <v>266</v>
      </c>
      <c r="D275" s="11">
        <v>7.8235511522113397</v>
      </c>
      <c r="E275" s="164">
        <v>1188.0638749288501</v>
      </c>
      <c r="F275" s="11">
        <v>0.27788607306011198</v>
      </c>
      <c r="G275" s="11">
        <v>0.58279391728908903</v>
      </c>
      <c r="H275" s="11">
        <v>2.0390970090314601E-2</v>
      </c>
      <c r="I275" s="11">
        <v>0.21819792272194399</v>
      </c>
      <c r="J275" s="11">
        <v>0.88550880164658197</v>
      </c>
      <c r="K275" s="11">
        <v>5.0965642756546699E-2</v>
      </c>
      <c r="L275" s="11">
        <v>1.01203723787643</v>
      </c>
      <c r="M275" s="11">
        <v>6.16316719639838E-3</v>
      </c>
      <c r="N275" s="11">
        <v>0.18240448095957801</v>
      </c>
      <c r="O275" s="11">
        <v>1.01250578382126E-2</v>
      </c>
      <c r="P275" s="11">
        <v>1.43736188752339E-2</v>
      </c>
      <c r="Q275" s="11">
        <v>0.22161052680006699</v>
      </c>
      <c r="R275" s="11">
        <v>8.8755528437892903E-2</v>
      </c>
      <c r="S275" s="11">
        <v>0.12959101603801701</v>
      </c>
      <c r="T275" s="11">
        <v>2.9402929369786099E-2</v>
      </c>
      <c r="U275" s="11">
        <v>2.65399982503065E-2</v>
      </c>
      <c r="V275" s="11">
        <v>4.3752376527951303E-2</v>
      </c>
      <c r="W275" s="11">
        <v>0.64945694394569697</v>
      </c>
      <c r="X275" s="11">
        <v>5.25640178725756E-2</v>
      </c>
      <c r="Y275" s="11">
        <v>1.19233989361052E-2</v>
      </c>
      <c r="Z275" s="11">
        <v>4.8004626160320198E-3</v>
      </c>
      <c r="AA275" s="11">
        <v>0.48583706444289898</v>
      </c>
    </row>
    <row r="276" spans="1:27">
      <c r="A276" s="5"/>
      <c r="B276" s="5" t="s">
        <v>267</v>
      </c>
      <c r="C276" s="5" t="s">
        <v>268</v>
      </c>
      <c r="D276" s="11">
        <v>6.3759773603663596</v>
      </c>
      <c r="E276" s="164">
        <v>847.66672362131101</v>
      </c>
      <c r="F276" s="11">
        <v>0.19782245064072601</v>
      </c>
      <c r="G276" s="11">
        <v>0.375783451536573</v>
      </c>
      <c r="H276" s="11">
        <v>1.87832958804591E-2</v>
      </c>
      <c r="I276" s="11">
        <v>0.14010130808777399</v>
      </c>
      <c r="J276" s="11">
        <v>0.66452791112373999</v>
      </c>
      <c r="K276" s="11">
        <v>5.6210943494157499E-2</v>
      </c>
      <c r="L276" s="11">
        <v>0.73417863529277405</v>
      </c>
      <c r="M276" s="11">
        <v>3.7168125685363902E-3</v>
      </c>
      <c r="N276" s="11">
        <v>0.13679879486622401</v>
      </c>
      <c r="O276" s="11">
        <v>0</v>
      </c>
      <c r="P276" s="11">
        <v>0</v>
      </c>
      <c r="Q276" s="11">
        <v>0.18439909247247499</v>
      </c>
      <c r="R276" s="11">
        <v>4.1104363623244697E-2</v>
      </c>
      <c r="S276" s="11">
        <v>0.21322966987188499</v>
      </c>
      <c r="T276" s="11">
        <v>2.8474605005292399E-2</v>
      </c>
      <c r="U276" s="11">
        <v>1.1119690996690801E-2</v>
      </c>
      <c r="V276" s="11">
        <v>3.1799794686540601E-2</v>
      </c>
      <c r="W276" s="11">
        <v>0.45037210807456302</v>
      </c>
      <c r="X276" s="11">
        <v>4.0633030006140998E-2</v>
      </c>
      <c r="Y276" s="11">
        <v>0</v>
      </c>
      <c r="Z276" s="11">
        <v>1.2994316678416299E-2</v>
      </c>
      <c r="AA276" s="11">
        <v>0</v>
      </c>
    </row>
    <row r="277" spans="1:27">
      <c r="A277" s="4" t="s">
        <v>52</v>
      </c>
      <c r="D277" s="11"/>
      <c r="E277" s="164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>
      <c r="A278" s="5"/>
      <c r="B278" s="5" t="s">
        <v>269</v>
      </c>
      <c r="C278" s="5" t="s">
        <v>270</v>
      </c>
      <c r="D278" s="11">
        <v>8.1149729296490705</v>
      </c>
      <c r="E278" s="164">
        <v>1246.49715777196</v>
      </c>
      <c r="F278" s="11">
        <v>0.21745142099390899</v>
      </c>
      <c r="G278" s="11">
        <v>0.46744200883374698</v>
      </c>
      <c r="H278" s="11">
        <v>2.42782526009656E-2</v>
      </c>
      <c r="I278" s="11">
        <v>0.18764854132504599</v>
      </c>
      <c r="J278" s="11">
        <v>0.73488050568047503</v>
      </c>
      <c r="K278" s="11">
        <v>5.9635243763485203E-2</v>
      </c>
      <c r="L278" s="11">
        <v>0.81553336008794797</v>
      </c>
      <c r="M278" s="11">
        <v>8.2908716844176892E-3</v>
      </c>
      <c r="N278" s="11">
        <v>0.20696861318697499</v>
      </c>
      <c r="O278" s="11">
        <v>0</v>
      </c>
      <c r="P278" s="11">
        <v>3.24842910981194E-2</v>
      </c>
      <c r="Q278" s="11">
        <v>0.23428931381907001</v>
      </c>
      <c r="R278" s="11">
        <v>2.7024615542601799E-2</v>
      </c>
      <c r="S278" s="11">
        <v>0.25312209705849698</v>
      </c>
      <c r="T278" s="11">
        <v>2.8546154186986E-2</v>
      </c>
      <c r="U278" s="11">
        <v>2.16047823445536E-2</v>
      </c>
      <c r="V278" s="11">
        <v>9.3234235621353204E-2</v>
      </c>
      <c r="W278" s="11">
        <v>0.57053332129468004</v>
      </c>
      <c r="X278" s="11">
        <v>4.6079336402126699E-2</v>
      </c>
      <c r="Y278" s="11">
        <v>0</v>
      </c>
      <c r="Z278" s="11">
        <v>1.92363580397928E-2</v>
      </c>
      <c r="AA278" s="11">
        <v>0.41469548730322198</v>
      </c>
    </row>
    <row r="279" spans="1:27">
      <c r="A279" s="5"/>
      <c r="B279" s="5" t="s">
        <v>271</v>
      </c>
      <c r="C279" s="5" t="s">
        <v>272</v>
      </c>
      <c r="D279" s="11">
        <v>10.284278119529301</v>
      </c>
      <c r="E279" s="164">
        <v>1114.6194509227601</v>
      </c>
      <c r="F279" s="11">
        <v>0.22055815664105699</v>
      </c>
      <c r="G279" s="11">
        <v>0.44079675272207203</v>
      </c>
      <c r="H279" s="11">
        <v>2.64133427286724E-2</v>
      </c>
      <c r="I279" s="11">
        <v>0.12890311572256299</v>
      </c>
      <c r="J279" s="11">
        <v>0.936613204226041</v>
      </c>
      <c r="K279" s="11">
        <v>6.9108201418647305E-2</v>
      </c>
      <c r="L279" s="11">
        <v>0.82625253530513398</v>
      </c>
      <c r="M279" s="11">
        <v>1.4282464262414699E-2</v>
      </c>
      <c r="N279" s="11">
        <v>0.173132535862037</v>
      </c>
      <c r="O279" s="11">
        <v>2.45084165108015E-2</v>
      </c>
      <c r="P279" s="11">
        <v>3.2190614009795199E-2</v>
      </c>
      <c r="Q279" s="11">
        <v>0.24647443657815299</v>
      </c>
      <c r="R279" s="11">
        <v>4.0422834379058803E-2</v>
      </c>
      <c r="S279" s="11">
        <v>9.2974975879282204E-2</v>
      </c>
      <c r="T279" s="11">
        <v>1.73204416952706E-2</v>
      </c>
      <c r="U279" s="11">
        <v>2.3694400030282101E-2</v>
      </c>
      <c r="V279" s="11">
        <v>6.4118705640799703E-2</v>
      </c>
      <c r="W279" s="11">
        <v>0.71480216012629405</v>
      </c>
      <c r="X279" s="11">
        <v>7.3027337086187305E-2</v>
      </c>
      <c r="Y279" s="11">
        <v>9.97053684073183E-3</v>
      </c>
      <c r="Z279" s="11">
        <v>1.5239646767433401E-2</v>
      </c>
      <c r="AA279" s="11">
        <v>0</v>
      </c>
    </row>
    <row r="280" spans="1:27">
      <c r="A280" s="5"/>
      <c r="B280" s="5" t="s">
        <v>273</v>
      </c>
      <c r="C280" s="5" t="s">
        <v>274</v>
      </c>
      <c r="D280" s="11">
        <v>9.42670821602856</v>
      </c>
      <c r="E280" s="164">
        <v>1300.59594053405</v>
      </c>
      <c r="F280" s="11">
        <v>0.27258334857397098</v>
      </c>
      <c r="G280" s="11">
        <v>0.611953427849524</v>
      </c>
      <c r="H280" s="11">
        <v>3.05481843653393E-2</v>
      </c>
      <c r="I280" s="11">
        <v>0.115676374433893</v>
      </c>
      <c r="J280" s="11">
        <v>0.80943958016764905</v>
      </c>
      <c r="K280" s="11">
        <v>6.5214651243803906E-2</v>
      </c>
      <c r="L280" s="11">
        <v>1.4444921548893599</v>
      </c>
      <c r="M280" s="11">
        <v>7.7646120365776599E-3</v>
      </c>
      <c r="N280" s="11">
        <v>0.24081071050662201</v>
      </c>
      <c r="O280" s="11">
        <v>0</v>
      </c>
      <c r="P280" s="11">
        <v>3.6518510636880899E-2</v>
      </c>
      <c r="Q280" s="11">
        <v>0.24518165034703401</v>
      </c>
      <c r="R280" s="11">
        <v>7.9240988942744506E-2</v>
      </c>
      <c r="S280" s="11">
        <v>0.27910806892039502</v>
      </c>
      <c r="T280" s="11">
        <v>1.3601245679819299E-2</v>
      </c>
      <c r="U280" s="11">
        <v>2.5913704820231701E-2</v>
      </c>
      <c r="V280" s="11">
        <v>8.8010096813038494E-2</v>
      </c>
      <c r="W280" s="11">
        <v>0.63416253815064605</v>
      </c>
      <c r="X280" s="11">
        <v>4.66775358471338E-2</v>
      </c>
      <c r="Y280" s="11">
        <v>7.2152613227938998E-3</v>
      </c>
      <c r="Z280" s="11">
        <v>1.14590676341537E-2</v>
      </c>
      <c r="AA280" s="11">
        <v>0</v>
      </c>
    </row>
    <row r="281" spans="1:27">
      <c r="A281" s="5"/>
      <c r="B281" s="5" t="s">
        <v>275</v>
      </c>
      <c r="C281" s="5" t="s">
        <v>276</v>
      </c>
      <c r="D281" s="11">
        <v>6.4334582541057799</v>
      </c>
      <c r="E281" s="164">
        <v>1077.3650170447299</v>
      </c>
      <c r="F281" s="11">
        <v>0.31437875518084102</v>
      </c>
      <c r="G281" s="11">
        <v>0.45657244659696899</v>
      </c>
      <c r="H281" s="11">
        <v>3.2175293456448803E-2</v>
      </c>
      <c r="I281" s="11">
        <v>0.165840643979841</v>
      </c>
      <c r="J281" s="11">
        <v>0.64379420593416503</v>
      </c>
      <c r="K281" s="11">
        <v>4.0447551777297197E-2</v>
      </c>
      <c r="L281" s="11">
        <v>0.75230714285530098</v>
      </c>
      <c r="M281" s="11">
        <v>1.0980224307241999E-2</v>
      </c>
      <c r="N281" s="11">
        <v>0.18304519258726901</v>
      </c>
      <c r="O281" s="11">
        <v>1.34723520438296E-2</v>
      </c>
      <c r="P281" s="11">
        <v>2.3242688080009701E-2</v>
      </c>
      <c r="Q281" s="11">
        <v>0.18460104270325101</v>
      </c>
      <c r="R281" s="11">
        <v>2.6900508771402799E-2</v>
      </c>
      <c r="S281" s="11">
        <v>0.18127165666598599</v>
      </c>
      <c r="T281" s="11">
        <v>2.1235080107401799E-2</v>
      </c>
      <c r="U281" s="11">
        <v>2.55379929703827E-2</v>
      </c>
      <c r="V281" s="11">
        <v>5.9817305232294997E-2</v>
      </c>
      <c r="W281" s="11">
        <v>0.40107408403655798</v>
      </c>
      <c r="X281" s="11">
        <v>6.9465983979466295E-2</v>
      </c>
      <c r="Y281" s="11">
        <v>0</v>
      </c>
      <c r="Z281" s="11">
        <v>1.6829875259199899E-2</v>
      </c>
      <c r="AA281" s="11">
        <v>0.420984134072236</v>
      </c>
    </row>
    <row r="282" spans="1:27">
      <c r="A282" s="5"/>
      <c r="B282" s="5" t="s">
        <v>277</v>
      </c>
      <c r="C282" s="5" t="s">
        <v>278</v>
      </c>
      <c r="D282" s="11">
        <v>5.2590887363827301</v>
      </c>
      <c r="E282" s="164">
        <v>1325.91866725614</v>
      </c>
      <c r="F282" s="11">
        <v>0.23218778078472699</v>
      </c>
      <c r="G282" s="11">
        <v>0.46634761204662001</v>
      </c>
      <c r="H282" s="11">
        <v>2.92031219062504E-2</v>
      </c>
      <c r="I282" s="11">
        <v>0.151870410082206</v>
      </c>
      <c r="J282" s="11">
        <v>1.04318928323529</v>
      </c>
      <c r="K282" s="11">
        <v>3.08685456099521E-2</v>
      </c>
      <c r="L282" s="11">
        <v>1.03260005526599</v>
      </c>
      <c r="M282" s="11">
        <v>1.2925940588106701E-2</v>
      </c>
      <c r="N282" s="11">
        <v>0.21012042893284899</v>
      </c>
      <c r="O282" s="11">
        <v>1.2859232879374001E-2</v>
      </c>
      <c r="P282" s="11">
        <v>0</v>
      </c>
      <c r="Q282" s="11">
        <v>0.23870318938763299</v>
      </c>
      <c r="R282" s="11">
        <v>0</v>
      </c>
      <c r="S282" s="11">
        <v>0.190444406037176</v>
      </c>
      <c r="T282" s="11">
        <v>3.6615863566185999E-2</v>
      </c>
      <c r="U282" s="11">
        <v>1.9713509808030098E-2</v>
      </c>
      <c r="V282" s="11">
        <v>6.8104407325086894E-2</v>
      </c>
      <c r="W282" s="11">
        <v>0.52950558412221904</v>
      </c>
      <c r="X282" s="11">
        <v>6.0540343703292497E-2</v>
      </c>
      <c r="Y282" s="11">
        <v>8.1577488275159492E-3</v>
      </c>
      <c r="Z282" s="11">
        <v>7.3655108721443104E-3</v>
      </c>
      <c r="AA282" s="11">
        <v>0.56673549779190302</v>
      </c>
    </row>
    <row r="283" spans="1:27">
      <c r="A283" s="5"/>
      <c r="B283" s="5" t="s">
        <v>279</v>
      </c>
      <c r="C283" s="5" t="s">
        <v>280</v>
      </c>
      <c r="D283" s="11">
        <v>6.9494496849654999</v>
      </c>
      <c r="E283" s="164">
        <v>1133.01194234489</v>
      </c>
      <c r="F283" s="11">
        <v>0.246958656776397</v>
      </c>
      <c r="G283" s="11">
        <v>0.52802542337255998</v>
      </c>
      <c r="H283" s="11">
        <v>2.04398824117904E-2</v>
      </c>
      <c r="I283" s="11">
        <v>0.15344344994680401</v>
      </c>
      <c r="J283" s="11">
        <v>0.75490918958419095</v>
      </c>
      <c r="K283" s="11">
        <v>6.0305475772045099E-2</v>
      </c>
      <c r="L283" s="11">
        <v>0.75965562827335897</v>
      </c>
      <c r="M283" s="11">
        <v>5.6725996939633897E-3</v>
      </c>
      <c r="N283" s="11">
        <v>0.16501469868501401</v>
      </c>
      <c r="O283" s="11">
        <v>9.3813139588260104E-3</v>
      </c>
      <c r="P283" s="11">
        <v>1.8727798001525499E-2</v>
      </c>
      <c r="Q283" s="11">
        <v>0.20544495727438999</v>
      </c>
      <c r="R283" s="11">
        <v>7.8924489934409495E-2</v>
      </c>
      <c r="S283" s="11">
        <v>0.31833029914184702</v>
      </c>
      <c r="T283" s="11">
        <v>3.03016620938764E-2</v>
      </c>
      <c r="U283" s="11">
        <v>2.2230788862007401E-2</v>
      </c>
      <c r="V283" s="11">
        <v>0</v>
      </c>
      <c r="W283" s="11">
        <v>0.31229942836352298</v>
      </c>
      <c r="X283" s="11">
        <v>4.5273707084839999E-2</v>
      </c>
      <c r="Y283" s="11">
        <v>0</v>
      </c>
      <c r="Z283" s="11">
        <v>1.1338238507024E-2</v>
      </c>
      <c r="AA283" s="11">
        <v>0.20842228065122401</v>
      </c>
    </row>
    <row r="284" spans="1:27">
      <c r="A284" s="5"/>
      <c r="B284" s="5" t="s">
        <v>281</v>
      </c>
      <c r="C284" s="5" t="s">
        <v>282</v>
      </c>
      <c r="D284" s="11">
        <v>5.59569175008318</v>
      </c>
      <c r="E284" s="164">
        <v>1038.48884212185</v>
      </c>
      <c r="F284" s="11">
        <v>0.24470217403861899</v>
      </c>
      <c r="G284" s="11">
        <v>0.37556429164768401</v>
      </c>
      <c r="H284" s="11">
        <v>1.6276000014070102E-2</v>
      </c>
      <c r="I284" s="11">
        <v>0.14465560519391599</v>
      </c>
      <c r="J284" s="11">
        <v>0.70681566879688895</v>
      </c>
      <c r="K284" s="11">
        <v>7.3739563593807997E-2</v>
      </c>
      <c r="L284" s="11">
        <v>1.0327632878001201</v>
      </c>
      <c r="M284" s="11">
        <v>4.6198715689445098E-3</v>
      </c>
      <c r="N284" s="11">
        <v>0.18460320839975899</v>
      </c>
      <c r="O284" s="11">
        <v>0</v>
      </c>
      <c r="P284" s="11">
        <v>1.32118988028156E-2</v>
      </c>
      <c r="Q284" s="11">
        <v>0.18241094046133199</v>
      </c>
      <c r="R284" s="11">
        <v>2.55356032672144E-2</v>
      </c>
      <c r="S284" s="11">
        <v>0.188725344960742</v>
      </c>
      <c r="T284" s="11">
        <v>2.57830517337134E-2</v>
      </c>
      <c r="U284" s="11">
        <v>1.46642557036431E-2</v>
      </c>
      <c r="V284" s="11">
        <v>8.6462770092657695E-2</v>
      </c>
      <c r="W284" s="11">
        <v>0.61657513404954301</v>
      </c>
      <c r="X284" s="11">
        <v>6.2928293466495394E-2</v>
      </c>
      <c r="Y284" s="11">
        <v>1.1193643710622E-2</v>
      </c>
      <c r="Z284" s="11">
        <v>8.7742692594012205E-3</v>
      </c>
      <c r="AA284" s="11">
        <v>0.454123449676963</v>
      </c>
    </row>
    <row r="285" spans="1:27">
      <c r="A285" s="5"/>
      <c r="B285" s="5" t="s">
        <v>283</v>
      </c>
      <c r="C285" s="5" t="s">
        <v>284</v>
      </c>
      <c r="D285" s="11">
        <v>7.05305551407241</v>
      </c>
      <c r="E285" s="164">
        <v>1143.0062496620999</v>
      </c>
      <c r="F285" s="11">
        <v>0.23080030954696201</v>
      </c>
      <c r="G285" s="11">
        <v>0.465511087507537</v>
      </c>
      <c r="H285" s="11">
        <v>2.8989467815640099E-2</v>
      </c>
      <c r="I285" s="11">
        <v>0.130716956769651</v>
      </c>
      <c r="J285" s="11">
        <v>0.798453583087119</v>
      </c>
      <c r="K285" s="11">
        <v>5.8113332492979099E-2</v>
      </c>
      <c r="L285" s="11">
        <v>0.78855190728223701</v>
      </c>
      <c r="M285" s="11">
        <v>9.4521235360245492E-3</v>
      </c>
      <c r="N285" s="11">
        <v>0.17675529878498</v>
      </c>
      <c r="O285" s="11">
        <v>2.3455471883529699E-2</v>
      </c>
      <c r="P285" s="11">
        <v>4.86127878768896E-2</v>
      </c>
      <c r="Q285" s="11">
        <v>0.218950603433025</v>
      </c>
      <c r="R285" s="11">
        <v>9.1371159779008199E-2</v>
      </c>
      <c r="S285" s="11">
        <v>0.33184952207937202</v>
      </c>
      <c r="T285" s="11">
        <v>2.2767610320407299E-2</v>
      </c>
      <c r="U285" s="11">
        <v>2.2216217613244001E-2</v>
      </c>
      <c r="V285" s="11">
        <v>0</v>
      </c>
      <c r="W285" s="11">
        <v>0.84729195558369597</v>
      </c>
      <c r="X285" s="11">
        <v>5.7231060397430998E-2</v>
      </c>
      <c r="Y285" s="11">
        <v>3.9327771998165202E-3</v>
      </c>
      <c r="Z285" s="11">
        <v>1.25164881602974E-2</v>
      </c>
      <c r="AA285" s="11">
        <v>0</v>
      </c>
    </row>
    <row r="286" spans="1:27">
      <c r="A286" s="4" t="s">
        <v>285</v>
      </c>
      <c r="D286" s="11"/>
      <c r="E286" s="164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>
      <c r="A287" s="5"/>
      <c r="B287" s="5" t="s">
        <v>286</v>
      </c>
      <c r="C287" s="5" t="s">
        <v>287</v>
      </c>
      <c r="D287" s="11">
        <v>3.9470121209723401</v>
      </c>
      <c r="E287" s="164">
        <v>694.52169565134898</v>
      </c>
      <c r="F287" s="11">
        <v>0.192575844158583</v>
      </c>
      <c r="G287" s="11">
        <v>0.38332718044408398</v>
      </c>
      <c r="H287" s="11">
        <v>1.7878773846585701E-2</v>
      </c>
      <c r="I287" s="11">
        <v>5.8732377868986801E-2</v>
      </c>
      <c r="J287" s="11">
        <v>0.57894936277681397</v>
      </c>
      <c r="K287" s="11">
        <v>4.4688818354979502E-2</v>
      </c>
      <c r="L287" s="11">
        <v>1.00669267661107</v>
      </c>
      <c r="M287" s="11">
        <v>7.3992776332185099E-3</v>
      </c>
      <c r="N287" s="11">
        <v>0.130006946062525</v>
      </c>
      <c r="O287" s="11">
        <v>0</v>
      </c>
      <c r="P287" s="11">
        <v>2.4129208970717599E-2</v>
      </c>
      <c r="Q287" s="11">
        <v>0.12617284084896799</v>
      </c>
      <c r="R287" s="11">
        <v>4.6465726344118302E-2</v>
      </c>
      <c r="S287" s="11">
        <v>0.22825492200717701</v>
      </c>
      <c r="T287" s="11">
        <v>2.9426976810032601E-2</v>
      </c>
      <c r="U287" s="11">
        <v>1.10270644497329E-2</v>
      </c>
      <c r="V287" s="11">
        <v>2.20008568763654E-2</v>
      </c>
      <c r="W287" s="11">
        <v>0.50975023293774702</v>
      </c>
      <c r="X287" s="11">
        <v>3.8656648296150502E-2</v>
      </c>
      <c r="Y287" s="11">
        <v>7.8723916230791294E-3</v>
      </c>
      <c r="Z287" s="11">
        <v>4.7098615662549397E-3</v>
      </c>
      <c r="AA287" s="11">
        <v>0.31930242090871702</v>
      </c>
    </row>
    <row r="288" spans="1:27">
      <c r="A288" s="5"/>
      <c r="B288" s="5" t="s">
        <v>288</v>
      </c>
      <c r="C288" s="5" t="s">
        <v>289</v>
      </c>
      <c r="D288" s="11">
        <v>4.67341674613224</v>
      </c>
      <c r="E288" s="164">
        <v>949.15199824129797</v>
      </c>
      <c r="F288" s="11">
        <v>0.173807658971424</v>
      </c>
      <c r="G288" s="11">
        <v>0.38149573081028898</v>
      </c>
      <c r="H288" s="11">
        <v>1.35866971263556E-2</v>
      </c>
      <c r="I288" s="11">
        <v>0.11077867568505299</v>
      </c>
      <c r="J288" s="11">
        <v>0.53473710762924398</v>
      </c>
      <c r="K288" s="11">
        <v>2.90216695325877E-2</v>
      </c>
      <c r="L288" s="11">
        <v>0.84554176963410799</v>
      </c>
      <c r="M288" s="11">
        <v>0</v>
      </c>
      <c r="N288" s="11">
        <v>0.14231589063082001</v>
      </c>
      <c r="O288" s="11">
        <v>9.6785023655780802E-3</v>
      </c>
      <c r="P288" s="11">
        <v>1.9702547885244899E-2</v>
      </c>
      <c r="Q288" s="11">
        <v>0.112766752852914</v>
      </c>
      <c r="R288" s="11">
        <v>0</v>
      </c>
      <c r="S288" s="11">
        <v>8.6633655179009103E-2</v>
      </c>
      <c r="T288" s="11">
        <v>1.7301993830902699E-2</v>
      </c>
      <c r="U288" s="11">
        <v>1.1406554236268801E-2</v>
      </c>
      <c r="V288" s="11">
        <v>3.0298291005065599E-2</v>
      </c>
      <c r="W288" s="11">
        <v>0.41073816978622502</v>
      </c>
      <c r="X288" s="11">
        <v>4.7709746248157103E-2</v>
      </c>
      <c r="Y288" s="11">
        <v>2.7578073877150798E-3</v>
      </c>
      <c r="Z288" s="11">
        <v>7.32748713759115E-3</v>
      </c>
      <c r="AA288" s="11">
        <v>0.15313310523556201</v>
      </c>
    </row>
    <row r="289" spans="1:27">
      <c r="A289" s="5"/>
      <c r="B289" s="5" t="s">
        <v>290</v>
      </c>
      <c r="C289" s="5" t="s">
        <v>291</v>
      </c>
      <c r="D289" s="11">
        <v>6.2091866931981103</v>
      </c>
      <c r="E289" s="164">
        <v>897.93605243188904</v>
      </c>
      <c r="F289" s="11">
        <v>0.225940846166651</v>
      </c>
      <c r="G289" s="11">
        <v>0.50481554817393703</v>
      </c>
      <c r="H289" s="11">
        <v>1.7076247396019598E-2</v>
      </c>
      <c r="I289" s="11">
        <v>0.13553672337130701</v>
      </c>
      <c r="J289" s="11">
        <v>0.647498559397928</v>
      </c>
      <c r="K289" s="11">
        <v>5.18022396405085E-2</v>
      </c>
      <c r="L289" s="11">
        <v>0.60540518373458796</v>
      </c>
      <c r="M289" s="11">
        <v>6.61970485374386E-3</v>
      </c>
      <c r="N289" s="11">
        <v>0.156474502500387</v>
      </c>
      <c r="O289" s="11">
        <v>7.7651207049796904E-3</v>
      </c>
      <c r="P289" s="11">
        <v>1.0960373450112E-2</v>
      </c>
      <c r="Q289" s="11">
        <v>0.15779846768842101</v>
      </c>
      <c r="R289" s="11">
        <v>2.10531022389263E-2</v>
      </c>
      <c r="S289" s="11">
        <v>0.11577923486957201</v>
      </c>
      <c r="T289" s="11">
        <v>1.6045545949424801E-2</v>
      </c>
      <c r="U289" s="11">
        <v>1.77014654958263E-2</v>
      </c>
      <c r="V289" s="11">
        <v>7.3259181547425001E-2</v>
      </c>
      <c r="W289" s="11">
        <v>0.436471146974095</v>
      </c>
      <c r="X289" s="11">
        <v>5.4887317284359603E-2</v>
      </c>
      <c r="Y289" s="11">
        <v>3.0706454251996601E-3</v>
      </c>
      <c r="Z289" s="11">
        <v>1.20506287948515E-2</v>
      </c>
      <c r="AA289" s="11">
        <v>0</v>
      </c>
    </row>
    <row r="290" spans="1:27">
      <c r="A290" s="5"/>
      <c r="B290" s="5" t="s">
        <v>292</v>
      </c>
      <c r="C290" s="5" t="s">
        <v>293</v>
      </c>
      <c r="D290" s="11">
        <v>4.4009355453176404</v>
      </c>
      <c r="E290" s="164">
        <v>793.077277186429</v>
      </c>
      <c r="F290" s="11">
        <v>0.21269087791456201</v>
      </c>
      <c r="G290" s="11">
        <v>5.3711371583069196</v>
      </c>
      <c r="H290" s="11">
        <v>2.8317339654723502E-2</v>
      </c>
      <c r="I290" s="11">
        <v>0.23167712210979999</v>
      </c>
      <c r="J290" s="11">
        <v>0.75497305048055596</v>
      </c>
      <c r="K290" s="11">
        <v>3.23513108070329E-2</v>
      </c>
      <c r="L290" s="11">
        <v>0.83498929076851802</v>
      </c>
      <c r="M290" s="11">
        <v>1.1304515991065399E-2</v>
      </c>
      <c r="N290" s="11">
        <v>0.151048443627224</v>
      </c>
      <c r="O290" s="11">
        <v>1.71539941165334E-2</v>
      </c>
      <c r="P290" s="11">
        <v>0</v>
      </c>
      <c r="Q290" s="11">
        <v>0.16263557901014</v>
      </c>
      <c r="R290" s="11">
        <v>2.0927411068409799E-2</v>
      </c>
      <c r="S290" s="11">
        <v>0.15233633573477201</v>
      </c>
      <c r="T290" s="11">
        <v>2.1837099292514199E-2</v>
      </c>
      <c r="U290" s="11">
        <v>1.2206328574815E-2</v>
      </c>
      <c r="V290" s="11">
        <v>6.1522917834357101E-2</v>
      </c>
      <c r="W290" s="11">
        <v>0.56049467687721999</v>
      </c>
      <c r="X290" s="11">
        <v>4.0831674254877E-2</v>
      </c>
      <c r="Y290" s="11">
        <v>4.24585599241696E-3</v>
      </c>
      <c r="Z290" s="11">
        <v>1.07965199615954E-2</v>
      </c>
      <c r="AA290" s="11">
        <v>0.33247467807167003</v>
      </c>
    </row>
    <row r="291" spans="1:27">
      <c r="A291" s="5"/>
      <c r="B291" s="5" t="s">
        <v>294</v>
      </c>
      <c r="C291" s="5" t="s">
        <v>295</v>
      </c>
      <c r="D291" s="11">
        <v>5.9948671632268704</v>
      </c>
      <c r="E291" s="164">
        <v>829.71931751670104</v>
      </c>
      <c r="F291" s="11">
        <v>0.16592497083572</v>
      </c>
      <c r="G291" s="11">
        <v>0.40802601961358098</v>
      </c>
      <c r="H291" s="11">
        <v>2.6040571247531601E-2</v>
      </c>
      <c r="I291" s="11">
        <v>0.117902176140302</v>
      </c>
      <c r="J291" s="11">
        <v>0.77797068280870996</v>
      </c>
      <c r="K291" s="11">
        <v>6.0574452119402697E-2</v>
      </c>
      <c r="L291" s="11">
        <v>0.59821357579557199</v>
      </c>
      <c r="M291" s="11">
        <v>5.8462370241375503E-3</v>
      </c>
      <c r="N291" s="11">
        <v>0.15618604688652801</v>
      </c>
      <c r="O291" s="11">
        <v>1.7804065267444501E-2</v>
      </c>
      <c r="P291" s="11">
        <v>4.1883719832333403E-2</v>
      </c>
      <c r="Q291" s="11">
        <v>0.135714398407971</v>
      </c>
      <c r="R291" s="11">
        <v>2.0056108164460702E-2</v>
      </c>
      <c r="S291" s="11">
        <v>0.146496398144117</v>
      </c>
      <c r="T291" s="11">
        <v>2.0667393991747801E-2</v>
      </c>
      <c r="U291" s="11">
        <v>1.24686163310238E-2</v>
      </c>
      <c r="V291" s="11">
        <v>2.31418032460468E-2</v>
      </c>
      <c r="W291" s="11">
        <v>0.51872848096064805</v>
      </c>
      <c r="X291" s="11">
        <v>3.46603640237758E-2</v>
      </c>
      <c r="Y291" s="11">
        <v>6.4482606703823702E-3</v>
      </c>
      <c r="Z291" s="11">
        <v>9.0211923280888208E-3</v>
      </c>
      <c r="AA291" s="11">
        <v>0.66363125947069601</v>
      </c>
    </row>
    <row r="292" spans="1:27">
      <c r="A292" s="5"/>
      <c r="B292" s="5" t="s">
        <v>296</v>
      </c>
      <c r="C292" s="5" t="s">
        <v>297</v>
      </c>
      <c r="D292" s="11">
        <v>4.6125928444165902</v>
      </c>
      <c r="E292" s="164">
        <v>1053.9598222833599</v>
      </c>
      <c r="F292" s="11">
        <v>0.16779403995976599</v>
      </c>
      <c r="G292" s="11">
        <v>0.35212903306688598</v>
      </c>
      <c r="H292" s="11">
        <v>2.01371703312943E-2</v>
      </c>
      <c r="I292" s="11">
        <v>0.108628833795684</v>
      </c>
      <c r="J292" s="11">
        <v>0.61978017954895803</v>
      </c>
      <c r="K292" s="11">
        <v>6.1962903427079601E-2</v>
      </c>
      <c r="L292" s="11">
        <v>0.55079766928385299</v>
      </c>
      <c r="M292" s="11">
        <v>2.7335502090676199E-3</v>
      </c>
      <c r="N292" s="11">
        <v>0.14152960284346</v>
      </c>
      <c r="O292" s="11">
        <v>1.2959727027277599E-2</v>
      </c>
      <c r="P292" s="11">
        <v>3.15784657776274E-2</v>
      </c>
      <c r="Q292" s="11">
        <v>0.119895029192136</v>
      </c>
      <c r="R292" s="11">
        <v>0</v>
      </c>
      <c r="S292" s="11">
        <v>0.13745164744227401</v>
      </c>
      <c r="T292" s="11">
        <v>2.83354920103716E-2</v>
      </c>
      <c r="U292" s="11">
        <v>1.6756779501438699E-2</v>
      </c>
      <c r="V292" s="11">
        <v>0</v>
      </c>
      <c r="W292" s="11">
        <v>0.21892459758903801</v>
      </c>
      <c r="X292" s="11">
        <v>3.1656106701748198E-2</v>
      </c>
      <c r="Y292" s="11">
        <v>9.1420353991590805E-3</v>
      </c>
      <c r="Z292" s="11">
        <v>1.15235223316322E-2</v>
      </c>
      <c r="AA292" s="11">
        <v>0.32707346842020202</v>
      </c>
    </row>
    <row r="293" spans="1:27">
      <c r="A293" s="5"/>
      <c r="B293" s="5" t="s">
        <v>298</v>
      </c>
      <c r="C293" s="5" t="s">
        <v>299</v>
      </c>
      <c r="D293" s="11">
        <v>4.0792394292818797</v>
      </c>
      <c r="E293" s="164">
        <v>1059.81290985483</v>
      </c>
      <c r="F293" s="11">
        <v>0.182800123021815</v>
      </c>
      <c r="G293" s="11">
        <v>0.49184052192269101</v>
      </c>
      <c r="H293" s="11">
        <v>2.7813213601115501E-2</v>
      </c>
      <c r="I293" s="11">
        <v>0.11904428673010101</v>
      </c>
      <c r="J293" s="11">
        <v>0.51250615595016702</v>
      </c>
      <c r="K293" s="11">
        <v>4.4280427993521602E-2</v>
      </c>
      <c r="L293" s="11">
        <v>0.73691177666327401</v>
      </c>
      <c r="M293" s="11">
        <v>7.9803571424202809E-3</v>
      </c>
      <c r="N293" s="11">
        <v>0.125018561983222</v>
      </c>
      <c r="O293" s="11">
        <v>1.20873212441561E-2</v>
      </c>
      <c r="P293" s="11">
        <v>0</v>
      </c>
      <c r="Q293" s="11">
        <v>0.17222104561231</v>
      </c>
      <c r="R293" s="11">
        <v>3.8590985369784399E-2</v>
      </c>
      <c r="S293" s="11">
        <v>6.4138875518285093E-2</v>
      </c>
      <c r="T293" s="11">
        <v>2.3597781094688301E-2</v>
      </c>
      <c r="U293" s="11">
        <v>1.93548029070779E-2</v>
      </c>
      <c r="V293" s="11">
        <v>0</v>
      </c>
      <c r="W293" s="11">
        <v>0.42419713462458902</v>
      </c>
      <c r="X293" s="11">
        <v>4.8417442146793201E-2</v>
      </c>
      <c r="Y293" s="11">
        <v>3.9062489895686499E-3</v>
      </c>
      <c r="Z293" s="11">
        <v>9.1550627804920896E-3</v>
      </c>
      <c r="AA293" s="11">
        <v>0.21185872048594501</v>
      </c>
    </row>
    <row r="294" spans="1:27">
      <c r="A294" s="5"/>
      <c r="B294" s="5" t="s">
        <v>300</v>
      </c>
      <c r="C294" s="5" t="s">
        <v>301</v>
      </c>
      <c r="D294" s="11">
        <v>4.7503792968230796</v>
      </c>
      <c r="E294" s="164">
        <v>929.71804045247302</v>
      </c>
      <c r="F294" s="11">
        <v>0.16291647532644399</v>
      </c>
      <c r="G294" s="11">
        <v>0.34059638693065297</v>
      </c>
      <c r="H294" s="11">
        <v>1.3205831341281799E-2</v>
      </c>
      <c r="I294" s="11">
        <v>0.117037508044913</v>
      </c>
      <c r="J294" s="11">
        <v>0.58080052351840705</v>
      </c>
      <c r="K294" s="11">
        <v>5.5145161214376598E-2</v>
      </c>
      <c r="L294" s="11">
        <v>0.80050975466978502</v>
      </c>
      <c r="M294" s="11">
        <v>2.5028390175299399E-3</v>
      </c>
      <c r="N294" s="11">
        <v>9.4110195638997099E-2</v>
      </c>
      <c r="O294" s="11">
        <v>1.41663063547516E-2</v>
      </c>
      <c r="P294" s="11">
        <v>1.6645542225548201E-2</v>
      </c>
      <c r="Q294" s="11">
        <v>0.17303955411227501</v>
      </c>
      <c r="R294" s="11">
        <v>5.5328941877229199E-2</v>
      </c>
      <c r="S294" s="11">
        <v>0.15069241154396801</v>
      </c>
      <c r="T294" s="11">
        <v>1.8296830012475201E-2</v>
      </c>
      <c r="U294" s="11">
        <v>9.8947982736203796E-3</v>
      </c>
      <c r="V294" s="11">
        <v>6.8263428764917602E-2</v>
      </c>
      <c r="W294" s="11">
        <v>0.70043389491233599</v>
      </c>
      <c r="X294" s="11">
        <v>3.7177977290398297E-2</v>
      </c>
      <c r="Y294" s="11">
        <v>4.6250993378291602E-3</v>
      </c>
      <c r="Z294" s="11">
        <v>9.8235178348257193E-3</v>
      </c>
      <c r="AA294" s="11">
        <v>0.14926404891950301</v>
      </c>
    </row>
    <row r="295" spans="1:27">
      <c r="A295" s="5"/>
      <c r="B295" s="5" t="s">
        <v>302</v>
      </c>
      <c r="C295" s="5" t="s">
        <v>303</v>
      </c>
      <c r="D295" s="11">
        <v>6.31381429905238</v>
      </c>
      <c r="E295" s="164">
        <v>842.97909611728505</v>
      </c>
      <c r="F295" s="11">
        <v>0.25023507160034197</v>
      </c>
      <c r="G295" s="11">
        <v>0.33607563219995301</v>
      </c>
      <c r="H295" s="11">
        <v>1.30528989734006E-2</v>
      </c>
      <c r="I295" s="11">
        <v>0.13030080271976699</v>
      </c>
      <c r="J295" s="11">
        <v>0.55127842269095595</v>
      </c>
      <c r="K295" s="11">
        <v>5.5270121262835002E-2</v>
      </c>
      <c r="L295" s="11">
        <v>0.89673296184225204</v>
      </c>
      <c r="M295" s="11">
        <v>3.4678663291813701E-3</v>
      </c>
      <c r="N295" s="11">
        <v>0.157551777133251</v>
      </c>
      <c r="O295" s="11">
        <v>7.00031975113576E-3</v>
      </c>
      <c r="P295" s="11">
        <v>1.38208614958172E-2</v>
      </c>
      <c r="Q295" s="11">
        <v>0.165709964326899</v>
      </c>
      <c r="R295" s="11">
        <v>5.5421008330720903E-2</v>
      </c>
      <c r="S295" s="11">
        <v>6.3224926217142902E-2</v>
      </c>
      <c r="T295" s="11">
        <v>2.0029164672292699E-2</v>
      </c>
      <c r="U295" s="11">
        <v>1.8030054895731298E-2</v>
      </c>
      <c r="V295" s="11">
        <v>4.7500620317573398E-2</v>
      </c>
      <c r="W295" s="11">
        <v>0.217253529315624</v>
      </c>
      <c r="X295" s="11">
        <v>3.3754834583174097E-2</v>
      </c>
      <c r="Y295" s="11">
        <v>5.4917889067440696E-3</v>
      </c>
      <c r="Z295" s="11">
        <v>8.0101032336696593E-3</v>
      </c>
      <c r="AA295" s="11">
        <v>0.29668125953878799</v>
      </c>
    </row>
    <row r="296" spans="1:27">
      <c r="A296" s="5"/>
      <c r="B296" s="5" t="s">
        <v>304</v>
      </c>
      <c r="C296" s="5" t="s">
        <v>305</v>
      </c>
      <c r="D296" s="11">
        <v>4.2752054088303098</v>
      </c>
      <c r="E296" s="164">
        <v>987.33983557906697</v>
      </c>
      <c r="F296" s="11">
        <v>0.180894250480688</v>
      </c>
      <c r="G296" s="11">
        <v>0.34440340566370697</v>
      </c>
      <c r="H296" s="11">
        <v>1.9044026247112499E-2</v>
      </c>
      <c r="I296" s="11">
        <v>0.13750364102444501</v>
      </c>
      <c r="J296" s="11">
        <v>0.52793058899548895</v>
      </c>
      <c r="K296" s="11">
        <v>4.6103240730998599E-2</v>
      </c>
      <c r="L296" s="11">
        <v>0.58964535808211604</v>
      </c>
      <c r="M296" s="11">
        <v>5.7686418313868297E-3</v>
      </c>
      <c r="N296" s="11">
        <v>0.106656176411513</v>
      </c>
      <c r="O296" s="11">
        <v>0</v>
      </c>
      <c r="P296" s="11">
        <v>1.9297560303838199E-2</v>
      </c>
      <c r="Q296" s="11">
        <v>0.12172715267563899</v>
      </c>
      <c r="R296" s="11">
        <v>1.8474683543262999E-2</v>
      </c>
      <c r="S296" s="11">
        <v>0</v>
      </c>
      <c r="T296" s="11">
        <v>8.7635130750211999E-3</v>
      </c>
      <c r="U296" s="11">
        <v>1.35641460820555E-2</v>
      </c>
      <c r="V296" s="11">
        <v>4.1698496567967397E-2</v>
      </c>
      <c r="W296" s="11">
        <v>0.210608394935279</v>
      </c>
      <c r="X296" s="11">
        <v>4.3306863536421901E-2</v>
      </c>
      <c r="Y296" s="11">
        <v>2.6674481594904198E-3</v>
      </c>
      <c r="Z296" s="11">
        <v>5.4691027791250301E-3</v>
      </c>
      <c r="AA296" s="11">
        <v>0</v>
      </c>
    </row>
    <row r="297" spans="1:27">
      <c r="A297" s="5"/>
      <c r="B297" s="5" t="s">
        <v>306</v>
      </c>
      <c r="C297" s="5" t="s">
        <v>307</v>
      </c>
      <c r="D297" s="11">
        <v>6.3174297677327296</v>
      </c>
      <c r="E297" s="164">
        <v>943.26322525861099</v>
      </c>
      <c r="F297" s="11">
        <v>0.226566951000684</v>
      </c>
      <c r="G297" s="11">
        <v>0.30318606535988202</v>
      </c>
      <c r="H297" s="11">
        <v>2.11336754289949E-2</v>
      </c>
      <c r="I297" s="11">
        <v>7.6060261976305693E-2</v>
      </c>
      <c r="J297" s="11">
        <v>0.58981568945469798</v>
      </c>
      <c r="K297" s="11">
        <v>3.1437578522467202E-2</v>
      </c>
      <c r="L297" s="11">
        <v>0.64291862396711896</v>
      </c>
      <c r="M297" s="11">
        <v>5.5674840301224099E-3</v>
      </c>
      <c r="N297" s="11">
        <v>0.16912587093924</v>
      </c>
      <c r="O297" s="11">
        <v>1.40487698387849E-2</v>
      </c>
      <c r="P297" s="11">
        <v>0</v>
      </c>
      <c r="Q297" s="11">
        <v>0.167173539544022</v>
      </c>
      <c r="R297" s="11">
        <v>3.24894583139844E-2</v>
      </c>
      <c r="S297" s="11">
        <v>8.9401439091641097E-2</v>
      </c>
      <c r="T297" s="11">
        <v>1.9943601178496001E-2</v>
      </c>
      <c r="U297" s="11">
        <v>1.7413681282187801E-2</v>
      </c>
      <c r="V297" s="11">
        <v>2.1696920389394501E-2</v>
      </c>
      <c r="W297" s="11">
        <v>0.35817028172193699</v>
      </c>
      <c r="X297" s="11">
        <v>2.7212299471178598E-2</v>
      </c>
      <c r="Y297" s="11">
        <v>6.1556691699097997E-3</v>
      </c>
      <c r="Z297" s="11">
        <v>7.1251595956426999E-3</v>
      </c>
      <c r="AA297" s="11">
        <v>0</v>
      </c>
    </row>
    <row r="298" spans="1:27">
      <c r="A298" s="5"/>
      <c r="B298" s="5" t="s">
        <v>308</v>
      </c>
      <c r="C298" s="5" t="s">
        <v>309</v>
      </c>
      <c r="D298" s="11">
        <v>4.42833096817807</v>
      </c>
      <c r="E298" s="164">
        <v>923.34720153724197</v>
      </c>
      <c r="F298" s="11">
        <v>0.19049366850122501</v>
      </c>
      <c r="G298" s="11">
        <v>0.33752096365684697</v>
      </c>
      <c r="H298" s="11">
        <v>1.4563122787532801E-2</v>
      </c>
      <c r="I298" s="11">
        <v>0.104390961208396</v>
      </c>
      <c r="J298" s="11">
        <v>0.53521456728937999</v>
      </c>
      <c r="K298" s="11">
        <v>6.0563816135262398E-2</v>
      </c>
      <c r="L298" s="11">
        <v>0.59484727309958096</v>
      </c>
      <c r="M298" s="11">
        <v>8.9605207486227502E-3</v>
      </c>
      <c r="N298" s="11">
        <v>0.11530544000902</v>
      </c>
      <c r="O298" s="11">
        <v>0</v>
      </c>
      <c r="P298" s="11">
        <v>2.5768918173135001E-2</v>
      </c>
      <c r="Q298" s="11">
        <v>0.14222857788717999</v>
      </c>
      <c r="R298" s="11">
        <v>3.6976321009479701E-2</v>
      </c>
      <c r="S298" s="11">
        <v>6.11832699593804E-2</v>
      </c>
      <c r="T298" s="11">
        <v>2.0988282593826599E-2</v>
      </c>
      <c r="U298" s="11">
        <v>1.03688203863021E-2</v>
      </c>
      <c r="V298" s="11">
        <v>4.1184137000433899E-2</v>
      </c>
      <c r="W298" s="11">
        <v>0.27627072244749301</v>
      </c>
      <c r="X298" s="11">
        <v>3.8235712974554803E-2</v>
      </c>
      <c r="Y298" s="11">
        <v>3.6978625720769801E-3</v>
      </c>
      <c r="Z298" s="11">
        <v>1.4109432813541101E-2</v>
      </c>
      <c r="AA298" s="11">
        <v>0</v>
      </c>
    </row>
    <row r="299" spans="1:27">
      <c r="A299" s="5"/>
      <c r="B299" s="5" t="s">
        <v>310</v>
      </c>
      <c r="C299" s="5" t="s">
        <v>311</v>
      </c>
      <c r="D299" s="11">
        <v>4.6490323791382604</v>
      </c>
      <c r="E299" s="164">
        <v>737.87783542329305</v>
      </c>
      <c r="F299" s="11">
        <v>0.26951164711356301</v>
      </c>
      <c r="G299" s="11">
        <v>0.29262435239955797</v>
      </c>
      <c r="H299" s="11">
        <v>4.8724360944854099E-3</v>
      </c>
      <c r="I299" s="11">
        <v>0.13071818277415001</v>
      </c>
      <c r="J299" s="11">
        <v>0.48192376025244299</v>
      </c>
      <c r="K299" s="11">
        <v>1.7252139261163198E-2</v>
      </c>
      <c r="L299" s="11">
        <v>0.69625794483814696</v>
      </c>
      <c r="M299" s="11">
        <v>6.0379940048770802E-3</v>
      </c>
      <c r="N299" s="11">
        <v>0.17349148816326701</v>
      </c>
      <c r="O299" s="11">
        <v>0</v>
      </c>
      <c r="P299" s="11">
        <v>2.0402998430174901E-2</v>
      </c>
      <c r="Q299" s="11">
        <v>0.15715300381613501</v>
      </c>
      <c r="R299" s="11">
        <v>1.9592679017870901E-2</v>
      </c>
      <c r="S299" s="11">
        <v>0.15440386704265299</v>
      </c>
      <c r="T299" s="11">
        <v>2.6187370327618701E-2</v>
      </c>
      <c r="U299" s="11">
        <v>1.4037909215215701E-2</v>
      </c>
      <c r="V299" s="11">
        <v>4.3364543085397902E-2</v>
      </c>
      <c r="W299" s="11">
        <v>0.37543425379694201</v>
      </c>
      <c r="X299" s="11">
        <v>2.6353588425847799E-2</v>
      </c>
      <c r="Y299" s="11">
        <v>0</v>
      </c>
      <c r="Z299" s="11">
        <v>3.4142703190088298E-3</v>
      </c>
      <c r="AA299" s="11">
        <v>0</v>
      </c>
    </row>
    <row r="300" spans="1:27">
      <c r="A300" s="5"/>
      <c r="B300" s="5" t="s">
        <v>312</v>
      </c>
      <c r="C300" s="5" t="s">
        <v>313</v>
      </c>
      <c r="D300" s="11">
        <v>4.3042468846895297</v>
      </c>
      <c r="E300" s="164">
        <v>722.81862018966399</v>
      </c>
      <c r="F300" s="11">
        <v>0.19835492088808901</v>
      </c>
      <c r="G300" s="11">
        <v>0.40104617896387401</v>
      </c>
      <c r="H300" s="11">
        <v>1.25942754983505E-2</v>
      </c>
      <c r="I300" s="11">
        <v>0.112364368704278</v>
      </c>
      <c r="J300" s="11">
        <v>0.48467749806488702</v>
      </c>
      <c r="K300" s="11">
        <v>5.6089692643211703E-2</v>
      </c>
      <c r="L300" s="11">
        <v>0.65769984882779498</v>
      </c>
      <c r="M300" s="11">
        <v>8.4830603878245595E-3</v>
      </c>
      <c r="N300" s="11">
        <v>0.12436642224399599</v>
      </c>
      <c r="O300" s="11">
        <v>0</v>
      </c>
      <c r="P300" s="11">
        <v>9.9615859289218494E-3</v>
      </c>
      <c r="Q300" s="11">
        <v>0.16228999068547001</v>
      </c>
      <c r="R300" s="11">
        <v>1.91576676786166E-2</v>
      </c>
      <c r="S300" s="11">
        <v>0.13891191656233201</v>
      </c>
      <c r="T300" s="11">
        <v>1.46857204031584E-2</v>
      </c>
      <c r="U300" s="11">
        <v>1.38059153051394E-2</v>
      </c>
      <c r="V300" s="11">
        <v>2.1010837070358002E-2</v>
      </c>
      <c r="W300" s="11">
        <v>0.39104440546303398</v>
      </c>
      <c r="X300" s="11">
        <v>3.3338609548637897E-2</v>
      </c>
      <c r="Y300" s="11">
        <v>6.4912934856955302E-3</v>
      </c>
      <c r="Z300" s="11">
        <v>7.8745827957508799E-3</v>
      </c>
      <c r="AA300" s="11">
        <v>0.44465030614537898</v>
      </c>
    </row>
    <row r="301" spans="1:27">
      <c r="A301" s="5"/>
      <c r="B301" s="5" t="s">
        <v>314</v>
      </c>
      <c r="C301" s="5" t="s">
        <v>315</v>
      </c>
      <c r="D301" s="11">
        <v>4.8704990985662597</v>
      </c>
      <c r="E301" s="164">
        <v>891.24318015737504</v>
      </c>
      <c r="F301" s="11">
        <v>0.19677511312110199</v>
      </c>
      <c r="G301" s="11">
        <v>0.26525735958505903</v>
      </c>
      <c r="H301" s="11">
        <v>2.5907644925031299E-2</v>
      </c>
      <c r="I301" s="11">
        <v>7.1457101037440393E-2</v>
      </c>
      <c r="J301" s="11">
        <v>0.66286496060550504</v>
      </c>
      <c r="K301" s="11">
        <v>4.0011360746737799E-2</v>
      </c>
      <c r="L301" s="11">
        <v>0.98374624936055299</v>
      </c>
      <c r="M301" s="11">
        <v>6.4249467765063999E-3</v>
      </c>
      <c r="N301" s="11">
        <v>0.15333838815176801</v>
      </c>
      <c r="O301" s="11">
        <v>1.39337462134512E-2</v>
      </c>
      <c r="P301" s="11">
        <v>1.4047824789953801E-2</v>
      </c>
      <c r="Q301" s="11">
        <v>0.146804577779092</v>
      </c>
      <c r="R301" s="11">
        <v>4.3510936304435803E-2</v>
      </c>
      <c r="S301" s="11">
        <v>0.17785851395907601</v>
      </c>
      <c r="T301" s="11">
        <v>1.52123651760602E-2</v>
      </c>
      <c r="U301" s="11">
        <v>1.0599521582007001E-2</v>
      </c>
      <c r="V301" s="11">
        <v>2.14202039591955E-2</v>
      </c>
      <c r="W301" s="11">
        <v>0.38935276655741302</v>
      </c>
      <c r="X301" s="11">
        <v>3.8636808868514602E-2</v>
      </c>
      <c r="Y301" s="11">
        <v>4.5349220011146E-3</v>
      </c>
      <c r="Z301" s="11">
        <v>1.4040909075912201E-2</v>
      </c>
      <c r="AA301" s="11">
        <v>0</v>
      </c>
    </row>
    <row r="302" spans="1:27">
      <c r="A302" s="5"/>
      <c r="B302" s="5" t="s">
        <v>316</v>
      </c>
      <c r="C302" s="5" t="s">
        <v>317</v>
      </c>
      <c r="D302" s="11">
        <v>5.0311286898583703</v>
      </c>
      <c r="E302" s="164">
        <v>746.21854625235301</v>
      </c>
      <c r="F302" s="11">
        <v>0.22802748986500701</v>
      </c>
      <c r="G302" s="11">
        <v>0.34982488665626899</v>
      </c>
      <c r="H302" s="11">
        <v>2.6503126768861001E-2</v>
      </c>
      <c r="I302" s="11">
        <v>0.121214164703892</v>
      </c>
      <c r="J302" s="11">
        <v>0.72796445074858296</v>
      </c>
      <c r="K302" s="11">
        <v>2.47973176951061E-2</v>
      </c>
      <c r="L302" s="11">
        <v>0.75901592653275496</v>
      </c>
      <c r="M302" s="11">
        <v>7.0963466530214103E-3</v>
      </c>
      <c r="N302" s="11">
        <v>0.191663167331829</v>
      </c>
      <c r="O302" s="11">
        <v>7.2770001552283897E-3</v>
      </c>
      <c r="P302" s="11">
        <v>1.0757907377437899E-2</v>
      </c>
      <c r="Q302" s="11">
        <v>0.14258091658203001</v>
      </c>
      <c r="R302" s="11">
        <v>2.8814741086692301E-2</v>
      </c>
      <c r="S302" s="11">
        <v>0.13572870198936199</v>
      </c>
      <c r="T302" s="11">
        <v>1.28057323852313E-2</v>
      </c>
      <c r="U302" s="11">
        <v>1.6269192583287701E-2</v>
      </c>
      <c r="V302" s="11">
        <v>4.5354897038660198E-2</v>
      </c>
      <c r="W302" s="11">
        <v>0.32161374288419697</v>
      </c>
      <c r="X302" s="11">
        <v>4.38174085859412E-2</v>
      </c>
      <c r="Y302" s="11">
        <v>8.7974590056092896E-3</v>
      </c>
      <c r="Z302" s="11">
        <v>5.9697509673866198E-3</v>
      </c>
      <c r="AA302" s="11">
        <v>1.01658877866567</v>
      </c>
    </row>
    <row r="303" spans="1:27">
      <c r="A303" s="5"/>
      <c r="B303" s="5" t="s">
        <v>318</v>
      </c>
      <c r="C303" s="5" t="s">
        <v>319</v>
      </c>
      <c r="D303" s="11">
        <v>10.0406155892996</v>
      </c>
      <c r="E303" s="164">
        <v>835.08063019385702</v>
      </c>
      <c r="F303" s="11">
        <v>0.20981746476756399</v>
      </c>
      <c r="G303" s="11">
        <v>0.45958239009427199</v>
      </c>
      <c r="H303" s="11">
        <v>1.82152712566186E-2</v>
      </c>
      <c r="I303" s="11">
        <v>0.105189651630098</v>
      </c>
      <c r="J303" s="11">
        <v>0.69622177127305895</v>
      </c>
      <c r="K303" s="11">
        <v>6.9854661681411301E-2</v>
      </c>
      <c r="L303" s="11">
        <v>0.68874647425188895</v>
      </c>
      <c r="M303" s="11">
        <v>9.7863872129141504E-3</v>
      </c>
      <c r="N303" s="11">
        <v>0.18309881524556501</v>
      </c>
      <c r="O303" s="11">
        <v>1.5956550963649702E-2</v>
      </c>
      <c r="P303" s="11">
        <v>9.3575928173242704E-3</v>
      </c>
      <c r="Q303" s="11">
        <v>0.19307353692446999</v>
      </c>
      <c r="R303" s="11">
        <v>6.08010721762016E-2</v>
      </c>
      <c r="S303" s="11">
        <v>0.18388019838246999</v>
      </c>
      <c r="T303" s="11">
        <v>1.94060522484647E-2</v>
      </c>
      <c r="U303" s="11">
        <v>2.0129705014014E-2</v>
      </c>
      <c r="V303" s="11">
        <v>0</v>
      </c>
      <c r="W303" s="11">
        <v>0.45747577997014099</v>
      </c>
      <c r="X303" s="11">
        <v>5.94690705379377E-2</v>
      </c>
      <c r="Y303" s="11">
        <v>3.9819841817864601E-3</v>
      </c>
      <c r="Z303" s="11">
        <v>8.8662164832238495E-3</v>
      </c>
      <c r="AA303" s="11">
        <v>0.186269312204148</v>
      </c>
    </row>
    <row r="304" spans="1:27">
      <c r="A304" s="5"/>
      <c r="B304" s="5" t="s">
        <v>320</v>
      </c>
      <c r="C304" s="5" t="s">
        <v>321</v>
      </c>
      <c r="D304" s="11">
        <v>7.36574084649334</v>
      </c>
      <c r="E304" s="164">
        <v>789.846554308348</v>
      </c>
      <c r="F304" s="11">
        <v>0.191925013390885</v>
      </c>
      <c r="G304" s="11">
        <v>0.37001781396823902</v>
      </c>
      <c r="H304" s="11">
        <v>1.6790792237792E-2</v>
      </c>
      <c r="I304" s="11">
        <v>9.3895629820328702E-2</v>
      </c>
      <c r="J304" s="11">
        <v>0.72041404615405402</v>
      </c>
      <c r="K304" s="11">
        <v>4.9925642887234702E-2</v>
      </c>
      <c r="L304" s="11">
        <v>0.71068147588403496</v>
      </c>
      <c r="M304" s="11">
        <v>1.06157509107822E-2</v>
      </c>
      <c r="N304" s="11">
        <v>0.153967818783601</v>
      </c>
      <c r="O304" s="11">
        <v>1.12594457004497E-2</v>
      </c>
      <c r="P304" s="11">
        <v>1.78377592806967E-2</v>
      </c>
      <c r="Q304" s="11">
        <v>0.14900598519887401</v>
      </c>
      <c r="R304" s="11">
        <v>5.54142558576581E-2</v>
      </c>
      <c r="S304" s="11">
        <v>8.9060045365404003E-2</v>
      </c>
      <c r="T304" s="11">
        <v>2.5620665141075499E-2</v>
      </c>
      <c r="U304" s="11">
        <v>1.56527575045021E-2</v>
      </c>
      <c r="V304" s="11">
        <v>0</v>
      </c>
      <c r="W304" s="11">
        <v>0.43321744716153698</v>
      </c>
      <c r="X304" s="11">
        <v>4.2344463794439499E-2</v>
      </c>
      <c r="Y304" s="11">
        <v>2.6502584308383901E-3</v>
      </c>
      <c r="Z304" s="11">
        <v>9.9263157720953007E-3</v>
      </c>
      <c r="AA304" s="11">
        <v>0.303452181832359</v>
      </c>
    </row>
    <row r="305" spans="1:27">
      <c r="A305" s="5"/>
      <c r="B305" s="5" t="s">
        <v>322</v>
      </c>
      <c r="C305" s="5" t="s">
        <v>323</v>
      </c>
      <c r="D305" s="11">
        <v>8.4258638769157592</v>
      </c>
      <c r="E305" s="164">
        <v>909.28325653409297</v>
      </c>
      <c r="F305" s="11">
        <v>0.22208360457065801</v>
      </c>
      <c r="G305" s="11">
        <v>0.40327790694050702</v>
      </c>
      <c r="H305" s="11">
        <v>1.7444286381486599E-2</v>
      </c>
      <c r="I305" s="11">
        <v>0.118271164646109</v>
      </c>
      <c r="J305" s="11">
        <v>0.632549632915686</v>
      </c>
      <c r="K305" s="11">
        <v>6.2126878781370902E-2</v>
      </c>
      <c r="L305" s="11">
        <v>0.79724857351863798</v>
      </c>
      <c r="M305" s="11">
        <v>4.45368601013713E-3</v>
      </c>
      <c r="N305" s="11">
        <v>0.163345118106619</v>
      </c>
      <c r="O305" s="11">
        <v>0</v>
      </c>
      <c r="P305" s="11">
        <v>9.7058223115349292E-3</v>
      </c>
      <c r="Q305" s="11">
        <v>0.18001813004655901</v>
      </c>
      <c r="R305" s="11">
        <v>2.0428686021683601E-2</v>
      </c>
      <c r="S305" s="11">
        <v>8.0217543790440701E-2</v>
      </c>
      <c r="T305" s="11">
        <v>1.42330012446739E-2</v>
      </c>
      <c r="U305" s="11">
        <v>2.1792102080646601E-2</v>
      </c>
      <c r="V305" s="11">
        <v>0</v>
      </c>
      <c r="W305" s="11">
        <v>0.38346098224193198</v>
      </c>
      <c r="X305" s="11">
        <v>6.09276694494474E-2</v>
      </c>
      <c r="Y305" s="11">
        <v>6.3647550238955597E-3</v>
      </c>
      <c r="Z305" s="11">
        <v>1.2415980119717E-2</v>
      </c>
      <c r="AA305" s="11">
        <v>0</v>
      </c>
    </row>
    <row r="306" spans="1:27">
      <c r="A306" s="5"/>
      <c r="B306" s="5" t="s">
        <v>324</v>
      </c>
      <c r="C306" s="5" t="s">
        <v>325</v>
      </c>
      <c r="D306" s="11">
        <v>9.6107123875024296</v>
      </c>
      <c r="E306" s="164">
        <v>1029.4550114751701</v>
      </c>
      <c r="F306" s="11">
        <v>0.20565051444664101</v>
      </c>
      <c r="G306" s="11">
        <v>0.44626139570058698</v>
      </c>
      <c r="H306" s="11">
        <v>1.6681456248386999E-2</v>
      </c>
      <c r="I306" s="11">
        <v>8.6499277844784797E-2</v>
      </c>
      <c r="J306" s="11">
        <v>0.859350658225149</v>
      </c>
      <c r="K306" s="11">
        <v>4.4046782868550002E-2</v>
      </c>
      <c r="L306" s="11">
        <v>0.81203716320942398</v>
      </c>
      <c r="M306" s="11">
        <v>6.8155163788481497E-3</v>
      </c>
      <c r="N306" s="11">
        <v>0.13155486627847901</v>
      </c>
      <c r="O306" s="11">
        <v>2.3357080940014499E-2</v>
      </c>
      <c r="P306" s="11">
        <v>1.45872894643131E-2</v>
      </c>
      <c r="Q306" s="11">
        <v>0.17988286529861799</v>
      </c>
      <c r="R306" s="11">
        <v>3.0621616829858402E-2</v>
      </c>
      <c r="S306" s="11">
        <v>8.6570534760571902E-2</v>
      </c>
      <c r="T306" s="11">
        <v>2.2610015097078499E-2</v>
      </c>
      <c r="U306" s="11">
        <v>2.6336103458582099E-2</v>
      </c>
      <c r="V306" s="11">
        <v>0</v>
      </c>
      <c r="W306" s="11">
        <v>0.44889692337259002</v>
      </c>
      <c r="X306" s="11">
        <v>5.6081615602080102E-2</v>
      </c>
      <c r="Y306" s="11">
        <v>6.2147853878384597E-3</v>
      </c>
      <c r="Z306" s="11">
        <v>9.8017465013720897E-3</v>
      </c>
      <c r="AA306" s="11">
        <v>0</v>
      </c>
    </row>
    <row r="307" spans="1:27">
      <c r="A307" s="5"/>
      <c r="B307" s="5" t="s">
        <v>326</v>
      </c>
      <c r="C307" s="5" t="s">
        <v>327</v>
      </c>
      <c r="D307" s="11">
        <v>10.4777316883943</v>
      </c>
      <c r="E307" s="164">
        <v>1165.0690859433801</v>
      </c>
      <c r="F307" s="11">
        <v>0.195892176687717</v>
      </c>
      <c r="G307" s="11">
        <v>0.42443247137211498</v>
      </c>
      <c r="H307" s="11">
        <v>1.40085879633819E-2</v>
      </c>
      <c r="I307" s="11">
        <v>0.101518224757717</v>
      </c>
      <c r="J307" s="11">
        <v>0.769588254187895</v>
      </c>
      <c r="K307" s="11">
        <v>6.2705667778275798E-2</v>
      </c>
      <c r="L307" s="11">
        <v>0.77547552564532796</v>
      </c>
      <c r="M307" s="11">
        <v>3.1364433063975198E-3</v>
      </c>
      <c r="N307" s="11">
        <v>0.22845760954654901</v>
      </c>
      <c r="O307" s="11">
        <v>8.5565401345437005E-3</v>
      </c>
      <c r="P307" s="11">
        <v>1.9379024589308701E-2</v>
      </c>
      <c r="Q307" s="11">
        <v>0.19094242193160299</v>
      </c>
      <c r="R307" s="11">
        <v>2.41455391979877E-2</v>
      </c>
      <c r="S307" s="11">
        <v>0.115058164664799</v>
      </c>
      <c r="T307" s="11">
        <v>2.54886526233476E-2</v>
      </c>
      <c r="U307" s="11">
        <v>2.6042224513417402E-2</v>
      </c>
      <c r="V307" s="11">
        <v>0</v>
      </c>
      <c r="W307" s="11">
        <v>0.58073835149878095</v>
      </c>
      <c r="X307" s="11">
        <v>5.8232738978040398E-2</v>
      </c>
      <c r="Y307" s="11">
        <v>3.4230165046787702E-3</v>
      </c>
      <c r="Z307" s="11">
        <v>8.1024393130301898E-3</v>
      </c>
      <c r="AA307" s="11">
        <v>0</v>
      </c>
    </row>
    <row r="308" spans="1:27">
      <c r="A308" s="5"/>
      <c r="B308" s="5" t="s">
        <v>328</v>
      </c>
      <c r="C308" s="5" t="s">
        <v>329</v>
      </c>
      <c r="D308" s="11">
        <v>7.0860856390724303</v>
      </c>
      <c r="E308" s="164">
        <v>689.554549935198</v>
      </c>
      <c r="F308" s="11">
        <v>0.180545621152195</v>
      </c>
      <c r="G308" s="11">
        <v>0.33580267146721099</v>
      </c>
      <c r="H308" s="11">
        <v>2.0085271341174899E-2</v>
      </c>
      <c r="I308" s="11">
        <v>0.118749188858025</v>
      </c>
      <c r="J308" s="11">
        <v>0.56984178326076995</v>
      </c>
      <c r="K308" s="11">
        <v>3.8949415149878597E-2</v>
      </c>
      <c r="L308" s="11">
        <v>0.82209743395165402</v>
      </c>
      <c r="M308" s="11">
        <v>5.9891646591579296E-3</v>
      </c>
      <c r="N308" s="11">
        <v>0.13285723742675301</v>
      </c>
      <c r="O308" s="11">
        <v>0</v>
      </c>
      <c r="P308" s="11">
        <v>1.9247512357428002E-2</v>
      </c>
      <c r="Q308" s="11">
        <v>0.12750473864686099</v>
      </c>
      <c r="R308" s="11">
        <v>1.8093278707704202E-2</v>
      </c>
      <c r="S308" s="11">
        <v>8.7017406144710097E-2</v>
      </c>
      <c r="T308" s="11">
        <v>1.4201592552165101E-2</v>
      </c>
      <c r="U308" s="11">
        <v>2.4268744383694502E-2</v>
      </c>
      <c r="V308" s="11">
        <v>3.9940017456320497E-2</v>
      </c>
      <c r="W308" s="11">
        <v>0.41074970767308</v>
      </c>
      <c r="X308" s="11">
        <v>3.8912775342624099E-2</v>
      </c>
      <c r="Y308" s="11">
        <v>7.5517888556047696E-3</v>
      </c>
      <c r="Z308" s="11">
        <v>6.9461394243500599E-3</v>
      </c>
      <c r="AA308" s="11">
        <v>0</v>
      </c>
    </row>
    <row r="309" spans="1:27">
      <c r="A309" s="5"/>
      <c r="B309" s="5" t="s">
        <v>330</v>
      </c>
      <c r="C309" s="5" t="s">
        <v>331</v>
      </c>
      <c r="D309" s="11">
        <v>9.1154355272871292</v>
      </c>
      <c r="E309" s="164">
        <v>1006.11962155401</v>
      </c>
      <c r="F309" s="11">
        <v>0.19542548288987199</v>
      </c>
      <c r="G309" s="11">
        <v>0.42875324696196698</v>
      </c>
      <c r="H309" s="11">
        <v>1.59427551123229E-2</v>
      </c>
      <c r="I309" s="11">
        <v>0.11060239475367099</v>
      </c>
      <c r="J309" s="11">
        <v>0.71789663666414505</v>
      </c>
      <c r="K309" s="11">
        <v>4.8634891323193298E-2</v>
      </c>
      <c r="L309" s="11">
        <v>0.94013137323715501</v>
      </c>
      <c r="M309" s="11">
        <v>1.00524620939216E-2</v>
      </c>
      <c r="N309" s="11">
        <v>0.223197273584121</v>
      </c>
      <c r="O309" s="11">
        <v>9.0791201038595507E-3</v>
      </c>
      <c r="P309" s="11">
        <v>3.27413684278735E-2</v>
      </c>
      <c r="Q309" s="11">
        <v>0.20000371338763501</v>
      </c>
      <c r="R309" s="11">
        <v>5.5340538552035301E-2</v>
      </c>
      <c r="S309" s="11">
        <v>0.15928002562461099</v>
      </c>
      <c r="T309" s="11">
        <v>2.0438400202609501E-2</v>
      </c>
      <c r="U309" s="11">
        <v>2.4504690981321599E-2</v>
      </c>
      <c r="V309" s="11">
        <v>0</v>
      </c>
      <c r="W309" s="11">
        <v>0.433717533795548</v>
      </c>
      <c r="X309" s="11">
        <v>5.7734670359270199E-2</v>
      </c>
      <c r="Y309" s="11">
        <v>4.9865263652033604E-3</v>
      </c>
      <c r="Z309" s="11">
        <v>1.5450692884264599E-2</v>
      </c>
      <c r="AA309" s="11">
        <v>0.26068220823390698</v>
      </c>
    </row>
    <row r="310" spans="1:27">
      <c r="A310" s="5"/>
      <c r="B310" s="5" t="s">
        <v>332</v>
      </c>
      <c r="C310" s="5" t="s">
        <v>333</v>
      </c>
      <c r="D310" s="11">
        <v>8.9138464295074904</v>
      </c>
      <c r="E310" s="164">
        <v>887.28022230572299</v>
      </c>
      <c r="F310" s="11">
        <v>0.15773202597166799</v>
      </c>
      <c r="G310" s="11">
        <v>0.47421196337849902</v>
      </c>
      <c r="H310" s="11">
        <v>1.19146946466885E-2</v>
      </c>
      <c r="I310" s="11">
        <v>9.4364616382752703E-2</v>
      </c>
      <c r="J310" s="11">
        <v>0.73171700177930699</v>
      </c>
      <c r="K310" s="11">
        <v>6.3886280517974695E-2</v>
      </c>
      <c r="L310" s="11">
        <v>0.75028608391613205</v>
      </c>
      <c r="M310" s="11">
        <v>5.5380376811971698E-3</v>
      </c>
      <c r="N310" s="11">
        <v>0.22075170374855599</v>
      </c>
      <c r="O310" s="11">
        <v>0</v>
      </c>
      <c r="P310" s="11">
        <v>1.28808896555532E-2</v>
      </c>
      <c r="Q310" s="11">
        <v>0.18874169116583001</v>
      </c>
      <c r="R310" s="11">
        <v>2.5131831637979499E-2</v>
      </c>
      <c r="S310" s="11">
        <v>0.28449118144647401</v>
      </c>
      <c r="T310" s="11">
        <v>2.2793104645338201E-2</v>
      </c>
      <c r="U310" s="11">
        <v>3.1642730208809901E-2</v>
      </c>
      <c r="V310" s="11">
        <v>6.2267483641375597E-2</v>
      </c>
      <c r="W310" s="11">
        <v>0.46558363507707501</v>
      </c>
      <c r="X310" s="11">
        <v>4.59486959507358E-2</v>
      </c>
      <c r="Y310" s="11">
        <v>7.8784652199062298E-3</v>
      </c>
      <c r="Z310" s="11">
        <v>1.54056654101141E-2</v>
      </c>
      <c r="AA310" s="11">
        <v>0.18800709297366799</v>
      </c>
    </row>
    <row r="311" spans="1:27">
      <c r="A311" s="4" t="s">
        <v>334</v>
      </c>
      <c r="D311" s="11"/>
      <c r="E311" s="164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>
      <c r="A312" s="5"/>
      <c r="B312" s="5" t="s">
        <v>335</v>
      </c>
      <c r="C312" s="5" t="s">
        <v>336</v>
      </c>
      <c r="D312" s="11">
        <v>2.7240856243945699</v>
      </c>
      <c r="E312" s="164">
        <v>819.07307954223802</v>
      </c>
      <c r="F312" s="11">
        <v>0.410936027817566</v>
      </c>
      <c r="G312" s="11">
        <v>0.72071915328678104</v>
      </c>
      <c r="H312" s="11">
        <v>4.4462011089526299E-2</v>
      </c>
      <c r="I312" s="11">
        <v>0.12326722428683499</v>
      </c>
      <c r="J312" s="11">
        <v>0.50305301741394304</v>
      </c>
      <c r="K312" s="11">
        <v>4.4686285923864602E-2</v>
      </c>
      <c r="L312" s="11">
        <v>1.0419138498456799</v>
      </c>
      <c r="M312" s="11">
        <v>7.05468205843584E-3</v>
      </c>
      <c r="N312" s="11">
        <v>0.12009831755511199</v>
      </c>
      <c r="O312" s="11">
        <v>6.73100174636365E-3</v>
      </c>
      <c r="P312" s="11">
        <v>7.5075637734815098E-3</v>
      </c>
      <c r="Q312" s="11">
        <v>0.22352062601570699</v>
      </c>
      <c r="R312" s="11">
        <v>0</v>
      </c>
      <c r="S312" s="11">
        <v>0.139277392106438</v>
      </c>
      <c r="T312" s="11">
        <v>1.4976303122237401E-2</v>
      </c>
      <c r="U312" s="11">
        <v>2.3705676692723199E-3</v>
      </c>
      <c r="V312" s="11">
        <v>0</v>
      </c>
      <c r="W312" s="11">
        <v>0.24230738723833001</v>
      </c>
      <c r="X312" s="11">
        <v>2.0356888827419699E-2</v>
      </c>
      <c r="Y312" s="11">
        <v>0</v>
      </c>
      <c r="Z312" s="11">
        <v>9.24648034909838E-3</v>
      </c>
      <c r="AA312" s="11">
        <v>8.8670234487586999E-2</v>
      </c>
    </row>
    <row r="313" spans="1:27">
      <c r="A313" s="5"/>
      <c r="B313" s="5" t="s">
        <v>337</v>
      </c>
      <c r="C313" s="5" t="s">
        <v>338</v>
      </c>
      <c r="D313" s="11">
        <v>2.8446977371128299</v>
      </c>
      <c r="E313" s="164">
        <v>739.79694436205898</v>
      </c>
      <c r="F313" s="11">
        <v>0.46791115098235597</v>
      </c>
      <c r="G313" s="11">
        <v>0.57974764807474899</v>
      </c>
      <c r="H313" s="11">
        <v>1.6565388725694401E-2</v>
      </c>
      <c r="I313" s="11">
        <v>8.6867732635359698E-2</v>
      </c>
      <c r="J313" s="11">
        <v>0.69347854056487301</v>
      </c>
      <c r="K313" s="11">
        <v>3.5233234673595903E-2</v>
      </c>
      <c r="L313" s="11">
        <v>1.3022495888360699</v>
      </c>
      <c r="M313" s="11">
        <v>3.0744577185709502E-3</v>
      </c>
      <c r="N313" s="11">
        <v>0.10430325423723399</v>
      </c>
      <c r="O313" s="11">
        <v>1.37140216417712E-2</v>
      </c>
      <c r="P313" s="11">
        <v>1.0671162329494501E-2</v>
      </c>
      <c r="Q313" s="11">
        <v>0.24235113339179701</v>
      </c>
      <c r="R313" s="11">
        <v>3.8602061227353102E-2</v>
      </c>
      <c r="S313" s="11">
        <v>0</v>
      </c>
      <c r="T313" s="11">
        <v>1.71363801601121E-2</v>
      </c>
      <c r="U313" s="11">
        <v>5.8389729621174799E-3</v>
      </c>
      <c r="V313" s="11">
        <v>0</v>
      </c>
      <c r="W313" s="11">
        <v>0.20350439811351401</v>
      </c>
      <c r="X313" s="11">
        <v>2.02486217220759E-2</v>
      </c>
      <c r="Y313" s="11">
        <v>4.4793113091430798E-3</v>
      </c>
      <c r="Z313" s="11">
        <v>3.4359429614039898E-3</v>
      </c>
      <c r="AA313" s="11">
        <v>9.0968652374344705E-2</v>
      </c>
    </row>
    <row r="314" spans="1:27">
      <c r="A314" s="5"/>
      <c r="B314" s="5" t="s">
        <v>339</v>
      </c>
      <c r="C314" s="5" t="s">
        <v>340</v>
      </c>
      <c r="D314" s="11">
        <v>3.0225762419777098</v>
      </c>
      <c r="E314" s="164">
        <v>674.24211556693797</v>
      </c>
      <c r="F314" s="11">
        <v>0.42538386466065198</v>
      </c>
      <c r="G314" s="11">
        <v>0.42952770697505799</v>
      </c>
      <c r="H314" s="11">
        <v>1.4443044145664901E-2</v>
      </c>
      <c r="I314" s="11">
        <v>6.1717362814297697E-2</v>
      </c>
      <c r="J314" s="11">
        <v>0.56778544485203797</v>
      </c>
      <c r="K314" s="11">
        <v>3.4838064917533398E-2</v>
      </c>
      <c r="L314" s="11">
        <v>1.0628422903931201</v>
      </c>
      <c r="M314" s="11">
        <v>4.1678748647556501E-3</v>
      </c>
      <c r="N314" s="11">
        <v>0.100473952907603</v>
      </c>
      <c r="O314" s="11">
        <v>6.4745982701804299E-3</v>
      </c>
      <c r="P314" s="11">
        <v>2.3555779841127701E-2</v>
      </c>
      <c r="Q314" s="11">
        <v>0.24882805605875499</v>
      </c>
      <c r="R314" s="11">
        <v>1.8207530705988802E-2</v>
      </c>
      <c r="S314" s="11">
        <v>5.2549128168406602E-2</v>
      </c>
      <c r="T314" s="11">
        <v>1.2043405974530399E-2</v>
      </c>
      <c r="U314" s="11">
        <v>8.0241170726607098E-3</v>
      </c>
      <c r="V314" s="11">
        <v>2.4309020049854899E-2</v>
      </c>
      <c r="W314" s="11">
        <v>0.20762432893923</v>
      </c>
      <c r="X314" s="11">
        <v>2.1414010777842499E-2</v>
      </c>
      <c r="Y314" s="11">
        <v>2.6647692043214001E-3</v>
      </c>
      <c r="Z314" s="11">
        <v>5.2683152053778102E-3</v>
      </c>
      <c r="AA314" s="11">
        <v>0</v>
      </c>
    </row>
    <row r="315" spans="1:27">
      <c r="A315" s="5"/>
      <c r="B315" s="5" t="s">
        <v>341</v>
      </c>
      <c r="C315" s="5" t="s">
        <v>342</v>
      </c>
      <c r="D315" s="11">
        <v>3.6931423931457599</v>
      </c>
      <c r="E315" s="164">
        <v>716.51904036155702</v>
      </c>
      <c r="F315" s="11">
        <v>0.45017414784026699</v>
      </c>
      <c r="G315" s="11">
        <v>0.47818837021639499</v>
      </c>
      <c r="H315" s="11">
        <v>1.5322459035680001E-2</v>
      </c>
      <c r="I315" s="11">
        <v>5.5484941653190699E-2</v>
      </c>
      <c r="J315" s="11">
        <v>0.59261388235579604</v>
      </c>
      <c r="K315" s="11">
        <v>5.9294055713475999E-2</v>
      </c>
      <c r="L315" s="11">
        <v>0.99015922143049095</v>
      </c>
      <c r="M315" s="11">
        <v>3.3297541127371498E-3</v>
      </c>
      <c r="N315" s="11">
        <v>7.7376547546856703E-2</v>
      </c>
      <c r="O315" s="11">
        <v>1.7152838775977099E-2</v>
      </c>
      <c r="P315" s="11">
        <v>0</v>
      </c>
      <c r="Q315" s="11">
        <v>0.19223561220510299</v>
      </c>
      <c r="R315" s="11">
        <v>0</v>
      </c>
      <c r="S315" s="11">
        <v>0</v>
      </c>
      <c r="T315" s="11">
        <v>1.0765135423038299E-2</v>
      </c>
      <c r="U315" s="11">
        <v>6.21213179771226E-3</v>
      </c>
      <c r="V315" s="11">
        <v>2.31529962221605E-2</v>
      </c>
      <c r="W315" s="11">
        <v>0.210101381613713</v>
      </c>
      <c r="X315" s="11">
        <v>1.2687932407175201E-2</v>
      </c>
      <c r="Y315" s="11">
        <v>0</v>
      </c>
      <c r="Z315" s="11">
        <v>6.1936088036422801E-3</v>
      </c>
      <c r="AA315" s="11">
        <v>0.114024897911849</v>
      </c>
    </row>
    <row r="316" spans="1:27">
      <c r="A316" s="54"/>
      <c r="B316" s="54" t="s">
        <v>343</v>
      </c>
      <c r="C316" s="5" t="s">
        <v>344</v>
      </c>
      <c r="D316" s="82">
        <v>2.9731067879143902</v>
      </c>
      <c r="E316" s="127">
        <v>815.85349159356497</v>
      </c>
      <c r="F316" s="82">
        <v>0.51843657941002397</v>
      </c>
      <c r="G316" s="82">
        <v>0.59816457193106798</v>
      </c>
      <c r="H316" s="82">
        <v>2.8466241354402001E-2</v>
      </c>
      <c r="I316" s="82">
        <v>0.12505736168616099</v>
      </c>
      <c r="J316" s="82">
        <v>0.57433427235927703</v>
      </c>
      <c r="K316" s="82">
        <v>4.7598822978986897E-2</v>
      </c>
      <c r="L316" s="82">
        <v>1.1630798088205501</v>
      </c>
      <c r="M316" s="82">
        <v>6.7421334190519901E-3</v>
      </c>
      <c r="N316" s="82">
        <v>0.13299646693023801</v>
      </c>
      <c r="O316" s="82">
        <v>1.4333187463176E-2</v>
      </c>
      <c r="P316" s="82">
        <v>0</v>
      </c>
      <c r="Q316" s="82">
        <v>0.22354530863104499</v>
      </c>
      <c r="R316" s="82">
        <v>2.0058943401897199E-2</v>
      </c>
      <c r="S316" s="82">
        <v>7.5518762694293196E-2</v>
      </c>
      <c r="T316" s="82">
        <v>1.20966909019513E-2</v>
      </c>
      <c r="U316" s="82">
        <v>5.0561063289739803E-3</v>
      </c>
      <c r="V316" s="82">
        <v>1.94857163611412E-2</v>
      </c>
      <c r="W316" s="82">
        <v>0.183267157237157</v>
      </c>
      <c r="X316" s="82">
        <v>2.10614509373616E-2</v>
      </c>
      <c r="Y316" s="82">
        <v>0</v>
      </c>
      <c r="Z316" s="82">
        <v>5.6987137647268203E-3</v>
      </c>
      <c r="AA316" s="82">
        <v>9.5691627155699094E-2</v>
      </c>
    </row>
    <row r="317" spans="1:27">
      <c r="A317" s="54"/>
      <c r="B317" s="54" t="s">
        <v>345</v>
      </c>
      <c r="C317" s="5" t="s">
        <v>346</v>
      </c>
      <c r="D317" s="82">
        <v>3.2209381085276401</v>
      </c>
      <c r="E317" s="127">
        <v>624.78024813849299</v>
      </c>
      <c r="F317" s="82">
        <v>0.39574923108316401</v>
      </c>
      <c r="G317" s="82">
        <v>0.50097261418921002</v>
      </c>
      <c r="H317" s="82">
        <v>3.2582798542380602E-2</v>
      </c>
      <c r="I317" s="82">
        <v>0.104711114559429</v>
      </c>
      <c r="J317" s="82">
        <v>0.54505226952742103</v>
      </c>
      <c r="K317" s="82">
        <v>2.5946652370961401E-2</v>
      </c>
      <c r="L317" s="82">
        <v>0.80531435639682702</v>
      </c>
      <c r="M317" s="82">
        <v>4.9629793348792998E-3</v>
      </c>
      <c r="N317" s="82">
        <v>0.115453595947133</v>
      </c>
      <c r="O317" s="82">
        <v>6.0548638431690604E-3</v>
      </c>
      <c r="P317" s="82">
        <v>0</v>
      </c>
      <c r="Q317" s="82">
        <v>0.20943616920838201</v>
      </c>
      <c r="R317" s="82">
        <v>3.7376131884232902E-2</v>
      </c>
      <c r="S317" s="82">
        <v>5.74553397329612E-2</v>
      </c>
      <c r="T317" s="82">
        <v>1.06575602266433E-2</v>
      </c>
      <c r="U317" s="82">
        <v>7.3226026891008798E-3</v>
      </c>
      <c r="V317" s="82">
        <v>3.9465018240529399E-2</v>
      </c>
      <c r="W317" s="82">
        <v>0.136100215623149</v>
      </c>
      <c r="X317" s="82">
        <v>2.90756010754251E-2</v>
      </c>
      <c r="Y317" s="82">
        <v>5.3357951637582604E-3</v>
      </c>
      <c r="Z317" s="82">
        <v>2.1794359347971802E-3</v>
      </c>
      <c r="AA317" s="82">
        <v>0.19353417938350001</v>
      </c>
    </row>
    <row r="318" spans="1:27">
      <c r="A318" s="54"/>
      <c r="B318" s="54" t="s">
        <v>347</v>
      </c>
      <c r="C318" s="5" t="s">
        <v>348</v>
      </c>
      <c r="D318" s="82">
        <v>2.9320345945092399</v>
      </c>
      <c r="E318" s="127">
        <v>734.88709255803803</v>
      </c>
      <c r="F318" s="82">
        <v>0.56238918661378401</v>
      </c>
      <c r="G318" s="82">
        <v>0.50984456770050901</v>
      </c>
      <c r="H318" s="82">
        <v>2.3439582991145399E-2</v>
      </c>
      <c r="I318" s="82">
        <v>0.100205241212474</v>
      </c>
      <c r="J318" s="82">
        <v>0.88691330787534906</v>
      </c>
      <c r="K318" s="82">
        <v>4.1435246876385799E-2</v>
      </c>
      <c r="L318" s="82">
        <v>1.1119029472041</v>
      </c>
      <c r="M318" s="82">
        <v>0</v>
      </c>
      <c r="N318" s="82">
        <v>0.121099959045313</v>
      </c>
      <c r="O318" s="82">
        <v>1.4898895875955E-2</v>
      </c>
      <c r="P318" s="82">
        <v>8.5752340653822805E-3</v>
      </c>
      <c r="Q318" s="82">
        <v>0.319876475612898</v>
      </c>
      <c r="R318" s="82">
        <v>2.0801110720142599E-2</v>
      </c>
      <c r="S318" s="82">
        <v>0</v>
      </c>
      <c r="T318" s="82">
        <v>1.9469559558676401E-2</v>
      </c>
      <c r="U318" s="82">
        <v>5.8733179632379801E-3</v>
      </c>
      <c r="V318" s="82">
        <v>4.5807548899782502E-2</v>
      </c>
      <c r="W318" s="82">
        <v>0.17040028385970299</v>
      </c>
      <c r="X318" s="82">
        <v>1.6838190606777E-2</v>
      </c>
      <c r="Y318" s="82">
        <v>3.03543962087411E-3</v>
      </c>
      <c r="Z318" s="82">
        <v>1.0947798098643401E-2</v>
      </c>
      <c r="AA318" s="82">
        <v>0.21584292693770499</v>
      </c>
    </row>
    <row r="319" spans="1:27">
      <c r="A319" s="54"/>
      <c r="B319" s="54" t="s">
        <v>349</v>
      </c>
      <c r="C319" s="5" t="s">
        <v>350</v>
      </c>
      <c r="D319" s="82">
        <v>3.4858557234115102</v>
      </c>
      <c r="E319" s="127">
        <v>932.76283790556795</v>
      </c>
      <c r="F319" s="82">
        <v>0.56416613516203595</v>
      </c>
      <c r="G319" s="82">
        <v>0.97658426192287295</v>
      </c>
      <c r="H319" s="82">
        <v>4.0883736311513701E-2</v>
      </c>
      <c r="I319" s="82">
        <v>9.8251595861010205E-2</v>
      </c>
      <c r="J319" s="82">
        <v>0.77999430012527604</v>
      </c>
      <c r="K319" s="82">
        <v>5.4725625214962402E-2</v>
      </c>
      <c r="L319" s="82">
        <v>1.12683024073099</v>
      </c>
      <c r="M319" s="82">
        <v>5.7806611095455804E-3</v>
      </c>
      <c r="N319" s="82">
        <v>0.14210769420064001</v>
      </c>
      <c r="O319" s="82">
        <v>8.8547762278159692E-3</v>
      </c>
      <c r="P319" s="82">
        <v>1.0213412834332599E-2</v>
      </c>
      <c r="Q319" s="82">
        <v>0.320110933551219</v>
      </c>
      <c r="R319" s="82">
        <v>2.47286739330186E-2</v>
      </c>
      <c r="S319" s="82">
        <v>0</v>
      </c>
      <c r="T319" s="82">
        <v>1.35887557716036E-2</v>
      </c>
      <c r="U319" s="82">
        <v>9.6191102821247404E-3</v>
      </c>
      <c r="V319" s="82">
        <v>5.4536316734835E-2</v>
      </c>
      <c r="W319" s="82">
        <v>0.26683179143083502</v>
      </c>
      <c r="X319" s="82">
        <v>3.1201435826200101E-2</v>
      </c>
      <c r="Y319" s="82">
        <v>4.3502849058881399E-3</v>
      </c>
      <c r="Z319" s="82">
        <v>7.0476852635013004E-3</v>
      </c>
      <c r="AA319" s="82">
        <v>0</v>
      </c>
    </row>
    <row r="320" spans="1:27">
      <c r="A320" s="54"/>
      <c r="B320" s="54" t="s">
        <v>351</v>
      </c>
      <c r="C320" s="5" t="s">
        <v>352</v>
      </c>
      <c r="D320" s="82">
        <v>2.7261198152692998</v>
      </c>
      <c r="E320" s="127">
        <v>599.68569867950998</v>
      </c>
      <c r="F320" s="82">
        <v>0.42198363027709901</v>
      </c>
      <c r="G320" s="82">
        <v>0.54752806025295797</v>
      </c>
      <c r="H320" s="82">
        <v>2.4295888629374599E-2</v>
      </c>
      <c r="I320" s="82">
        <v>3.4121206123201603E-2</v>
      </c>
      <c r="J320" s="82">
        <v>0.62777803351118799</v>
      </c>
      <c r="K320" s="82">
        <v>4.0426548889008401E-2</v>
      </c>
      <c r="L320" s="82">
        <v>0.79316497784279205</v>
      </c>
      <c r="M320" s="82">
        <v>6.8556500011597099E-3</v>
      </c>
      <c r="N320" s="82">
        <v>9.0829623919633506E-2</v>
      </c>
      <c r="O320" s="82">
        <v>0</v>
      </c>
      <c r="P320" s="82">
        <v>0</v>
      </c>
      <c r="Q320" s="82">
        <v>0.21301395985248001</v>
      </c>
      <c r="R320" s="82">
        <v>3.92582740344221E-2</v>
      </c>
      <c r="S320" s="82">
        <v>0</v>
      </c>
      <c r="T320" s="82">
        <v>1.1757490571559301E-2</v>
      </c>
      <c r="U320" s="82">
        <v>7.8448010693754604E-3</v>
      </c>
      <c r="V320" s="82">
        <v>0</v>
      </c>
      <c r="W320" s="82">
        <v>0.20638860687178101</v>
      </c>
      <c r="X320" s="82">
        <v>1.8627324971766199E-2</v>
      </c>
      <c r="Y320" s="82">
        <v>0</v>
      </c>
      <c r="Z320" s="82">
        <v>3.2493596746881099E-3</v>
      </c>
      <c r="AA320" s="82">
        <v>0</v>
      </c>
    </row>
    <row r="321" spans="1:27">
      <c r="A321" s="4" t="s">
        <v>353</v>
      </c>
      <c r="D321" s="11"/>
      <c r="E321" s="164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>
      <c r="A322" s="5"/>
      <c r="B322" s="5" t="s">
        <v>354</v>
      </c>
      <c r="C322" s="5" t="s">
        <v>355</v>
      </c>
      <c r="D322" s="11">
        <v>5.91209500839319</v>
      </c>
      <c r="E322" s="164">
        <v>720.02375529410995</v>
      </c>
      <c r="F322" s="11">
        <v>0.17913496133292001</v>
      </c>
      <c r="G322" s="11">
        <v>0.36998173092570502</v>
      </c>
      <c r="H322" s="11">
        <v>3.0739601837890401E-2</v>
      </c>
      <c r="I322" s="11">
        <v>0.108322266609284</v>
      </c>
      <c r="J322" s="11">
        <v>0.63469280388434102</v>
      </c>
      <c r="K322" s="11">
        <v>2.5808471979358399E-2</v>
      </c>
      <c r="L322" s="11">
        <v>0.624108610604449</v>
      </c>
      <c r="M322" s="11">
        <v>8.4617868034269593E-3</v>
      </c>
      <c r="N322" s="11">
        <v>0.14763286274968401</v>
      </c>
      <c r="O322" s="11">
        <v>1.27243728912404E-2</v>
      </c>
      <c r="P322" s="11">
        <v>9.5651150549895102E-3</v>
      </c>
      <c r="Q322" s="11">
        <v>0.13453703385309301</v>
      </c>
      <c r="R322" s="11">
        <v>3.8681890836771197E-2</v>
      </c>
      <c r="S322" s="11">
        <v>6.12618728746403E-2</v>
      </c>
      <c r="T322" s="11">
        <v>1.9478416899726101E-2</v>
      </c>
      <c r="U322" s="11">
        <v>1.3389624312824E-2</v>
      </c>
      <c r="V322" s="11">
        <v>6.9267148128636102E-2</v>
      </c>
      <c r="W322" s="11">
        <v>0.36667220588135202</v>
      </c>
      <c r="X322" s="11">
        <v>4.7376363491399398E-2</v>
      </c>
      <c r="Y322" s="11">
        <v>5.9009147503032502E-3</v>
      </c>
      <c r="Z322" s="11">
        <v>7.0321325194746698E-3</v>
      </c>
      <c r="AA322" s="11">
        <v>0.33410070095612499</v>
      </c>
    </row>
    <row r="323" spans="1:27">
      <c r="A323" s="5"/>
      <c r="B323" s="5" t="s">
        <v>356</v>
      </c>
      <c r="C323" s="5" t="s">
        <v>357</v>
      </c>
      <c r="D323" s="11">
        <v>6.9507351065493097</v>
      </c>
      <c r="E323" s="164">
        <v>1181.0171023575299</v>
      </c>
      <c r="F323" s="11">
        <v>0.22724155715637001</v>
      </c>
      <c r="G323" s="11">
        <v>0.51171515165542403</v>
      </c>
      <c r="H323" s="11">
        <v>2.2181436015201499E-2</v>
      </c>
      <c r="I323" s="11">
        <v>0.13612655429526899</v>
      </c>
      <c r="J323" s="11">
        <v>0.85575316959455505</v>
      </c>
      <c r="K323" s="11">
        <v>4.08104440250186E-2</v>
      </c>
      <c r="L323" s="11">
        <v>0.961894075547715</v>
      </c>
      <c r="M323" s="11">
        <v>7.8419171324539405E-3</v>
      </c>
      <c r="N323" s="11">
        <v>0.17596336159657799</v>
      </c>
      <c r="O323" s="11">
        <v>2.0274541118843602E-2</v>
      </c>
      <c r="P323" s="11">
        <v>2.6168795302203899E-2</v>
      </c>
      <c r="Q323" s="11">
        <v>0.19260543348999901</v>
      </c>
      <c r="R323" s="11">
        <v>5.5636971786016801E-2</v>
      </c>
      <c r="S323" s="11">
        <v>0.31026575644507898</v>
      </c>
      <c r="T323" s="11">
        <v>2.1421967233460799E-2</v>
      </c>
      <c r="U323" s="11">
        <v>1.43215674900165E-2</v>
      </c>
      <c r="V323" s="11">
        <v>0</v>
      </c>
      <c r="W323" s="11">
        <v>0.50544820593640105</v>
      </c>
      <c r="X323" s="11">
        <v>4.7450172162852203E-2</v>
      </c>
      <c r="Y323" s="11">
        <v>0</v>
      </c>
      <c r="Z323" s="11">
        <v>1.42538541541248E-2</v>
      </c>
      <c r="AA323" s="11">
        <v>0.20599007219211601</v>
      </c>
    </row>
    <row r="324" spans="1:27">
      <c r="A324" s="5"/>
      <c r="B324" s="5" t="s">
        <v>358</v>
      </c>
      <c r="C324" s="5" t="s">
        <v>359</v>
      </c>
      <c r="D324" s="11">
        <v>5.8919059092127704</v>
      </c>
      <c r="E324" s="164">
        <v>878.13331269384696</v>
      </c>
      <c r="F324" s="11">
        <v>0.22611978243578301</v>
      </c>
      <c r="G324" s="11">
        <v>0.44535885432878197</v>
      </c>
      <c r="H324" s="11">
        <v>1.9938945773997501E-2</v>
      </c>
      <c r="I324" s="11">
        <v>0.19568736112826099</v>
      </c>
      <c r="J324" s="11">
        <v>0.84543387099145995</v>
      </c>
      <c r="K324" s="11">
        <v>3.4146887935352803E-2</v>
      </c>
      <c r="L324" s="11">
        <v>0.949525381473031</v>
      </c>
      <c r="M324" s="11">
        <v>1.37517123259816E-2</v>
      </c>
      <c r="N324" s="11">
        <v>0.19258279099983</v>
      </c>
      <c r="O324" s="11">
        <v>1.63791644831645E-2</v>
      </c>
      <c r="P324" s="11">
        <v>0</v>
      </c>
      <c r="Q324" s="11">
        <v>0.19979249773857899</v>
      </c>
      <c r="R324" s="11">
        <v>8.1124896493564705E-2</v>
      </c>
      <c r="S324" s="11">
        <v>0.122566883028113</v>
      </c>
      <c r="T324" s="11">
        <v>2.7938090865183202E-2</v>
      </c>
      <c r="U324" s="11">
        <v>2.1180770219978402E-2</v>
      </c>
      <c r="V324" s="11">
        <v>0</v>
      </c>
      <c r="W324" s="11">
        <v>0.443950119154286</v>
      </c>
      <c r="X324" s="11">
        <v>3.9448806698319398E-2</v>
      </c>
      <c r="Y324" s="11">
        <v>3.8850636777717201E-3</v>
      </c>
      <c r="Z324" s="11">
        <v>4.6585349699051698E-3</v>
      </c>
      <c r="AA324" s="11">
        <v>0.43592599436455498</v>
      </c>
    </row>
    <row r="325" spans="1:27">
      <c r="A325" s="5"/>
      <c r="B325" s="5" t="s">
        <v>360</v>
      </c>
      <c r="C325" s="5" t="s">
        <v>361</v>
      </c>
      <c r="D325" s="11">
        <v>8.4474549071910303</v>
      </c>
      <c r="E325" s="164">
        <v>1227.3155385443299</v>
      </c>
      <c r="F325" s="11">
        <v>0.26932589334747298</v>
      </c>
      <c r="G325" s="11">
        <v>0.48763385723179498</v>
      </c>
      <c r="H325" s="11">
        <v>2.6336333175943399E-2</v>
      </c>
      <c r="I325" s="11">
        <v>0.19670366145556101</v>
      </c>
      <c r="J325" s="11">
        <v>0.97831581095403997</v>
      </c>
      <c r="K325" s="11">
        <v>5.2412049123871901E-2</v>
      </c>
      <c r="L325" s="11">
        <v>0.90356174196941996</v>
      </c>
      <c r="M325" s="11">
        <v>4.7536655207767098E-3</v>
      </c>
      <c r="N325" s="11">
        <v>0.18397859021163099</v>
      </c>
      <c r="O325" s="11">
        <v>3.8182140948679798E-2</v>
      </c>
      <c r="P325" s="11">
        <v>4.6758416935951799E-2</v>
      </c>
      <c r="Q325" s="11">
        <v>0.172753302239715</v>
      </c>
      <c r="R325" s="11">
        <v>4.3747036200066799E-2</v>
      </c>
      <c r="S325" s="11">
        <v>0.23859102706798699</v>
      </c>
      <c r="T325" s="11">
        <v>3.2008855109625201E-2</v>
      </c>
      <c r="U325" s="11">
        <v>1.34997545735237E-2</v>
      </c>
      <c r="V325" s="11">
        <v>0</v>
      </c>
      <c r="W325" s="11">
        <v>0.68942006553045498</v>
      </c>
      <c r="X325" s="11">
        <v>4.05007116781122E-2</v>
      </c>
      <c r="Y325" s="11">
        <v>3.7921164801949601E-3</v>
      </c>
      <c r="Z325" s="11">
        <v>1.08761928538358E-2</v>
      </c>
      <c r="AA325" s="11">
        <v>0</v>
      </c>
    </row>
    <row r="326" spans="1:27">
      <c r="A326" s="5"/>
      <c r="B326" s="5" t="s">
        <v>362</v>
      </c>
      <c r="C326" s="5" t="s">
        <v>363</v>
      </c>
      <c r="D326" s="11">
        <v>7.4730151923899202</v>
      </c>
      <c r="E326" s="164">
        <v>1233.72087540295</v>
      </c>
      <c r="F326" s="11">
        <v>0.26016375251818902</v>
      </c>
      <c r="G326" s="11">
        <v>0.53032189644261996</v>
      </c>
      <c r="H326" s="11">
        <v>1.6649070843168901E-2</v>
      </c>
      <c r="I326" s="11">
        <v>0.174519545883456</v>
      </c>
      <c r="J326" s="11">
        <v>0.85283155713041703</v>
      </c>
      <c r="K326" s="11">
        <v>5.4940778727574698E-2</v>
      </c>
      <c r="L326" s="11">
        <v>0.84520421499186105</v>
      </c>
      <c r="M326" s="11">
        <v>3.34288062817457E-3</v>
      </c>
      <c r="N326" s="11">
        <v>0.16527000457351201</v>
      </c>
      <c r="O326" s="11">
        <v>0</v>
      </c>
      <c r="P326" s="11">
        <v>1.32400401321109E-2</v>
      </c>
      <c r="Q326" s="11">
        <v>0.21820968507848401</v>
      </c>
      <c r="R326" s="11">
        <v>7.4259761863581103E-2</v>
      </c>
      <c r="S326" s="11">
        <v>0</v>
      </c>
      <c r="T326" s="11">
        <v>2.87878371484371E-2</v>
      </c>
      <c r="U326" s="11">
        <v>2.9822494436527899E-2</v>
      </c>
      <c r="V326" s="11">
        <v>0</v>
      </c>
      <c r="W326" s="11">
        <v>0.28807233948868199</v>
      </c>
      <c r="X326" s="11">
        <v>4.8330042970838899E-2</v>
      </c>
      <c r="Y326" s="11">
        <v>7.4148347203882399E-3</v>
      </c>
      <c r="Z326" s="11">
        <v>0</v>
      </c>
      <c r="AA326" s="11">
        <v>0.41029496190947701</v>
      </c>
    </row>
    <row r="327" spans="1:27">
      <c r="A327" s="5"/>
      <c r="B327" s="5" t="s">
        <v>364</v>
      </c>
      <c r="C327" s="5" t="s">
        <v>365</v>
      </c>
      <c r="D327" s="11">
        <v>7.17112165625662</v>
      </c>
      <c r="E327" s="164">
        <v>1343.9958618175599</v>
      </c>
      <c r="F327" s="11">
        <v>0.32298057557885101</v>
      </c>
      <c r="G327" s="11">
        <v>0.46097565712289901</v>
      </c>
      <c r="H327" s="11">
        <v>2.0544467335254699E-2</v>
      </c>
      <c r="I327" s="11">
        <v>0.12915833062217999</v>
      </c>
      <c r="J327" s="11">
        <v>0.85397976114003804</v>
      </c>
      <c r="K327" s="11">
        <v>4.6310743479352899E-2</v>
      </c>
      <c r="L327" s="11">
        <v>0.83659431010250795</v>
      </c>
      <c r="M327" s="11">
        <v>1.25003726454149E-2</v>
      </c>
      <c r="N327" s="11">
        <v>0.208728515451584</v>
      </c>
      <c r="O327" s="11">
        <v>0</v>
      </c>
      <c r="P327" s="11">
        <v>2.7327901107581098E-2</v>
      </c>
      <c r="Q327" s="11">
        <v>0.223639005181411</v>
      </c>
      <c r="R327" s="11">
        <v>6.0821652362925499E-2</v>
      </c>
      <c r="S327" s="11">
        <v>9.0283621525809904E-2</v>
      </c>
      <c r="T327" s="11">
        <v>2.9133120868399601E-2</v>
      </c>
      <c r="U327" s="11">
        <v>2.1069979762069001E-2</v>
      </c>
      <c r="V327" s="11">
        <v>9.5507005335733405E-2</v>
      </c>
      <c r="W327" s="11">
        <v>0.73336104117746304</v>
      </c>
      <c r="X327" s="11">
        <v>6.2233272037700203E-2</v>
      </c>
      <c r="Y327" s="11">
        <v>1.1179663769968E-2</v>
      </c>
      <c r="Z327" s="11">
        <v>1.5184871255160499E-2</v>
      </c>
      <c r="AA327" s="11">
        <v>0.22133046822810801</v>
      </c>
    </row>
    <row r="328" spans="1:27">
      <c r="A328" s="5"/>
      <c r="B328" s="5" t="s">
        <v>366</v>
      </c>
      <c r="C328" s="5" t="s">
        <v>367</v>
      </c>
      <c r="D328" s="11">
        <v>7.8787433720614599</v>
      </c>
      <c r="E328" s="164">
        <v>1098.3202149466799</v>
      </c>
      <c r="F328" s="11">
        <v>0.25628435330152399</v>
      </c>
      <c r="G328" s="11">
        <v>0.58180808034827403</v>
      </c>
      <c r="H328" s="11">
        <v>1.0615655600878101E-2</v>
      </c>
      <c r="I328" s="11">
        <v>0.105614699150185</v>
      </c>
      <c r="J328" s="11">
        <v>0.879064469789124</v>
      </c>
      <c r="K328" s="11">
        <v>4.9524391578273E-2</v>
      </c>
      <c r="L328" s="11">
        <v>0.97085106296504997</v>
      </c>
      <c r="M328" s="11">
        <v>7.6778549397752797E-3</v>
      </c>
      <c r="N328" s="11">
        <v>0.15639600088964101</v>
      </c>
      <c r="O328" s="11">
        <v>1.2585486247912701E-2</v>
      </c>
      <c r="P328" s="11">
        <v>1.27118449454373E-2</v>
      </c>
      <c r="Q328" s="11">
        <v>0.162451659134497</v>
      </c>
      <c r="R328" s="11">
        <v>0</v>
      </c>
      <c r="S328" s="11">
        <v>0.17715899052166401</v>
      </c>
      <c r="T328" s="11">
        <v>2.5924085360743501E-2</v>
      </c>
      <c r="U328" s="11">
        <v>2.7098459564955601E-2</v>
      </c>
      <c r="V328" s="11">
        <v>2.8250429558853599E-2</v>
      </c>
      <c r="W328" s="11">
        <v>0.60840456830252698</v>
      </c>
      <c r="X328" s="11">
        <v>3.2806914089782799E-2</v>
      </c>
      <c r="Y328" s="11">
        <v>9.8966496663015196E-3</v>
      </c>
      <c r="Z328" s="11">
        <v>5.9981928319943903E-3</v>
      </c>
      <c r="AA328" s="11">
        <v>0</v>
      </c>
    </row>
    <row r="329" spans="1:27">
      <c r="A329" s="5"/>
      <c r="B329" s="5" t="s">
        <v>368</v>
      </c>
      <c r="C329" s="5" t="s">
        <v>369</v>
      </c>
      <c r="D329" s="11">
        <v>7.3754556214504499</v>
      </c>
      <c r="E329" s="164">
        <v>1127.1573709542899</v>
      </c>
      <c r="F329" s="11">
        <v>0.30022035897731603</v>
      </c>
      <c r="G329" s="11">
        <v>0.51873626419789298</v>
      </c>
      <c r="H329" s="11">
        <v>3.8386864330160503E-2</v>
      </c>
      <c r="I329" s="11">
        <v>0.17854472270399199</v>
      </c>
      <c r="J329" s="11">
        <v>0.79739453080730704</v>
      </c>
      <c r="K329" s="11">
        <v>7.7034803241121594E-2</v>
      </c>
      <c r="L329" s="11">
        <v>1.0814870993555299</v>
      </c>
      <c r="M329" s="11">
        <v>4.5642419006985098E-3</v>
      </c>
      <c r="N329" s="11">
        <v>0.17265699086077799</v>
      </c>
      <c r="O329" s="11">
        <v>9.2269752907676496E-3</v>
      </c>
      <c r="P329" s="11">
        <v>0</v>
      </c>
      <c r="Q329" s="11">
        <v>0.19039499252651501</v>
      </c>
      <c r="R329" s="11">
        <v>7.2474234913245603E-2</v>
      </c>
      <c r="S329" s="11">
        <v>0.163981720165673</v>
      </c>
      <c r="T329" s="11">
        <v>2.8605633563728201E-2</v>
      </c>
      <c r="U329" s="11">
        <v>2.4095187366557601E-2</v>
      </c>
      <c r="V329" s="11">
        <v>2.8698429638808601E-2</v>
      </c>
      <c r="W329" s="11">
        <v>0.59340292879314804</v>
      </c>
      <c r="X329" s="11">
        <v>4.6251496407710799E-2</v>
      </c>
      <c r="Y329" s="11">
        <v>7.9886245727356E-3</v>
      </c>
      <c r="Z329" s="11">
        <v>1.27075861623665E-2</v>
      </c>
      <c r="AA329" s="11">
        <v>0.27433879597529598</v>
      </c>
    </row>
    <row r="330" spans="1:27">
      <c r="A330" s="5"/>
      <c r="B330" s="5" t="s">
        <v>370</v>
      </c>
      <c r="C330" s="5" t="s">
        <v>371</v>
      </c>
      <c r="D330" s="11">
        <v>8.4232527680957006</v>
      </c>
      <c r="E330" s="164">
        <v>1026.59030312492</v>
      </c>
      <c r="F330" s="11">
        <v>0.31450468510552398</v>
      </c>
      <c r="G330" s="11">
        <v>0.53576661939305503</v>
      </c>
      <c r="H330" s="11">
        <v>2.5094782721047201E-2</v>
      </c>
      <c r="I330" s="11">
        <v>0.225240872542427</v>
      </c>
      <c r="J330" s="11">
        <v>0.71331963458987402</v>
      </c>
      <c r="K330" s="11">
        <v>5.0227153027825301E-2</v>
      </c>
      <c r="L330" s="11">
        <v>0.98726935028010199</v>
      </c>
      <c r="M330" s="11">
        <v>1.6457616535713399E-2</v>
      </c>
      <c r="N330" s="11">
        <v>0.21628392917654299</v>
      </c>
      <c r="O330" s="11">
        <v>0</v>
      </c>
      <c r="P330" s="11">
        <v>4.0800857274748997E-2</v>
      </c>
      <c r="Q330" s="11">
        <v>0.26985330234239702</v>
      </c>
      <c r="R330" s="11">
        <v>2.6770830255176799E-2</v>
      </c>
      <c r="S330" s="11">
        <v>8.8681461589680793E-2</v>
      </c>
      <c r="T330" s="11">
        <v>1.69010595452012E-2</v>
      </c>
      <c r="U330" s="11">
        <v>1.5881070459155398E-2</v>
      </c>
      <c r="V330" s="11">
        <v>0</v>
      </c>
      <c r="W330" s="11">
        <v>0.60198269834487494</v>
      </c>
      <c r="X330" s="11">
        <v>6.1792354812228202E-2</v>
      </c>
      <c r="Y330" s="11">
        <v>0</v>
      </c>
      <c r="Z330" s="11">
        <v>1.48617067159617E-2</v>
      </c>
      <c r="AA330" s="11">
        <v>0.29482330233202803</v>
      </c>
    </row>
    <row r="331" spans="1:27">
      <c r="A331" s="5"/>
      <c r="B331" s="5" t="s">
        <v>372</v>
      </c>
      <c r="C331" s="5" t="s">
        <v>373</v>
      </c>
      <c r="D331" s="11">
        <v>5.5914747104441096</v>
      </c>
      <c r="E331" s="164">
        <v>1061.8504818707499</v>
      </c>
      <c r="F331" s="11">
        <v>0.24858364877841499</v>
      </c>
      <c r="G331" s="11">
        <v>0.442244678511855</v>
      </c>
      <c r="H331" s="11">
        <v>1.9689235649779601E-2</v>
      </c>
      <c r="I331" s="11">
        <v>0.13370009621505499</v>
      </c>
      <c r="J331" s="11">
        <v>0.74894384645098999</v>
      </c>
      <c r="K331" s="11">
        <v>4.5081483287445101E-2</v>
      </c>
      <c r="L331" s="11">
        <v>0.75663752263402795</v>
      </c>
      <c r="M331" s="11">
        <v>6.0311472891198597E-3</v>
      </c>
      <c r="N331" s="11">
        <v>0.18156311490675001</v>
      </c>
      <c r="O331" s="11">
        <v>8.5431706709904395E-3</v>
      </c>
      <c r="P331" s="11">
        <v>3.6273299892731703E-2</v>
      </c>
      <c r="Q331" s="11">
        <v>0.177328318780586</v>
      </c>
      <c r="R331" s="11">
        <v>5.0457216379341599E-2</v>
      </c>
      <c r="S331" s="11">
        <v>0.21222265271881</v>
      </c>
      <c r="T331" s="11">
        <v>1.8225885142593799E-2</v>
      </c>
      <c r="U331" s="11">
        <v>2.0868910910515199E-2</v>
      </c>
      <c r="V331" s="11">
        <v>5.2337497400056998E-2</v>
      </c>
      <c r="W331" s="11">
        <v>0.77135701046423</v>
      </c>
      <c r="X331" s="11">
        <v>6.6124573354307298E-2</v>
      </c>
      <c r="Y331" s="11">
        <v>8.4292587075218296E-3</v>
      </c>
      <c r="Z331" s="11">
        <v>8.9649253027320793E-3</v>
      </c>
      <c r="AA331" s="11">
        <v>0.428575600151539</v>
      </c>
    </row>
    <row r="332" spans="1:27">
      <c r="A332" s="5"/>
      <c r="B332" s="5" t="s">
        <v>374</v>
      </c>
      <c r="C332" s="5" t="s">
        <v>375</v>
      </c>
      <c r="D332" s="11">
        <v>6.96703215817847</v>
      </c>
      <c r="E332" s="164">
        <v>1137.6530971771999</v>
      </c>
      <c r="F332" s="11">
        <v>0.344117503272165</v>
      </c>
      <c r="G332" s="11">
        <v>0.53132850984106295</v>
      </c>
      <c r="H332" s="11">
        <v>2.5444833205359702E-2</v>
      </c>
      <c r="I332" s="11">
        <v>0.15157164557762301</v>
      </c>
      <c r="J332" s="11">
        <v>0.807745398459499</v>
      </c>
      <c r="K332" s="11">
        <v>5.9252059745649302E-2</v>
      </c>
      <c r="L332" s="11">
        <v>1.01307846680623</v>
      </c>
      <c r="M332" s="11">
        <v>0</v>
      </c>
      <c r="N332" s="11">
        <v>0.15889854738459</v>
      </c>
      <c r="O332" s="11">
        <v>2.6969378252176501E-2</v>
      </c>
      <c r="P332" s="11">
        <v>1.38550599068863E-2</v>
      </c>
      <c r="Q332" s="11">
        <v>0.22409182428278299</v>
      </c>
      <c r="R332" s="11">
        <v>2.6542342253142E-2</v>
      </c>
      <c r="S332" s="11">
        <v>8.8146877266653906E-2</v>
      </c>
      <c r="T332" s="11">
        <v>1.8999027924759399E-2</v>
      </c>
      <c r="U332" s="11">
        <v>1.9600957898073802E-2</v>
      </c>
      <c r="V332" s="11">
        <v>5.97091681766697E-2</v>
      </c>
      <c r="W332" s="11">
        <v>0.49158930713920901</v>
      </c>
      <c r="X332" s="11">
        <v>4.7467747283391398E-2</v>
      </c>
      <c r="Y332" s="11">
        <v>3.82716181463055E-3</v>
      </c>
      <c r="Z332" s="11">
        <v>8.9074089608539592E-3</v>
      </c>
      <c r="AA332" s="11">
        <v>0.20665986751058499</v>
      </c>
    </row>
    <row r="333" spans="1:27">
      <c r="A333" s="5"/>
      <c r="B333" s="5" t="s">
        <v>376</v>
      </c>
      <c r="C333" s="5" t="s">
        <v>377</v>
      </c>
      <c r="D333" s="11">
        <v>6.2128793161221303</v>
      </c>
      <c r="E333" s="164">
        <v>1204.2841556303399</v>
      </c>
      <c r="F333" s="11">
        <v>0.26202550897924698</v>
      </c>
      <c r="G333" s="11">
        <v>0.42975705431630101</v>
      </c>
      <c r="H333" s="11">
        <v>2.8726509875582298E-2</v>
      </c>
      <c r="I333" s="11">
        <v>0.11902543878446201</v>
      </c>
      <c r="J333" s="11">
        <v>0.92462555126380996</v>
      </c>
      <c r="K333" s="11">
        <v>4.4346574464159301E-2</v>
      </c>
      <c r="L333" s="11">
        <v>0.66664787891058397</v>
      </c>
      <c r="M333" s="11">
        <v>3.3800130913657599E-3</v>
      </c>
      <c r="N333" s="11">
        <v>0.16761901450150399</v>
      </c>
      <c r="O333" s="11">
        <v>9.3922550091373996E-3</v>
      </c>
      <c r="P333" s="11">
        <v>3.9577286651850702E-2</v>
      </c>
      <c r="Q333" s="11">
        <v>0.23316092838079999</v>
      </c>
      <c r="R333" s="11">
        <v>5.7449013519305599E-2</v>
      </c>
      <c r="S333" s="11">
        <v>0.31070072202836801</v>
      </c>
      <c r="T333" s="11">
        <v>2.5744843222053899E-2</v>
      </c>
      <c r="U333" s="11">
        <v>1.40392022520387E-2</v>
      </c>
      <c r="V333" s="11">
        <v>6.4194955904200005E-2</v>
      </c>
      <c r="W333" s="11">
        <v>0.56796048919958797</v>
      </c>
      <c r="X333" s="11">
        <v>5.2293273324801902E-2</v>
      </c>
      <c r="Y333" s="11">
        <v>8.9276826466602108E-3</v>
      </c>
      <c r="Z333" s="11">
        <v>1.0881690256461801E-2</v>
      </c>
      <c r="AA333" s="11">
        <v>0.20188405945956001</v>
      </c>
    </row>
    <row r="334" spans="1:27">
      <c r="A334" s="5"/>
      <c r="B334" s="5" t="s">
        <v>378</v>
      </c>
      <c r="C334" s="5" t="s">
        <v>379</v>
      </c>
      <c r="D334" s="11">
        <v>6.5422730522677197</v>
      </c>
      <c r="E334" s="164">
        <v>1039.3657679653099</v>
      </c>
      <c r="F334" s="11">
        <v>0.254523932223924</v>
      </c>
      <c r="G334" s="11">
        <v>0.50150433208700895</v>
      </c>
      <c r="H334" s="11">
        <v>2.2456457700862398E-2</v>
      </c>
      <c r="I334" s="11">
        <v>0.136542093879743</v>
      </c>
      <c r="J334" s="11">
        <v>0.84215585111035496</v>
      </c>
      <c r="K334" s="11">
        <v>3.3808921812471401E-2</v>
      </c>
      <c r="L334" s="11">
        <v>1.0677616073238101</v>
      </c>
      <c r="M334" s="11">
        <v>1.03295960725996E-2</v>
      </c>
      <c r="N334" s="11">
        <v>0.17151712067473801</v>
      </c>
      <c r="O334" s="11">
        <v>1.26644505496786E-2</v>
      </c>
      <c r="P334" s="11">
        <v>4.0221331134075299E-2</v>
      </c>
      <c r="Q334" s="11">
        <v>0.179157026991798</v>
      </c>
      <c r="R334" s="11">
        <v>2.54384611699352E-2</v>
      </c>
      <c r="S334" s="11">
        <v>0</v>
      </c>
      <c r="T334" s="11">
        <v>2.2238028542242501E-2</v>
      </c>
      <c r="U334" s="11">
        <v>1.5699962785495299E-2</v>
      </c>
      <c r="V334" s="11">
        <v>2.8241950339247701E-2</v>
      </c>
      <c r="W334" s="11">
        <v>0.67720989692195199</v>
      </c>
      <c r="X334" s="11">
        <v>6.2197084257820098E-2</v>
      </c>
      <c r="Y334" s="11">
        <v>1.48691797698329E-2</v>
      </c>
      <c r="Z334" s="11">
        <v>4.4415643614173798E-3</v>
      </c>
      <c r="AA334" s="11">
        <v>0.39371110816653299</v>
      </c>
    </row>
    <row r="335" spans="1:27">
      <c r="A335" s="5"/>
      <c r="B335" s="5" t="s">
        <v>380</v>
      </c>
      <c r="C335" s="5" t="s">
        <v>381</v>
      </c>
      <c r="D335" s="11">
        <v>6.4584442583954198</v>
      </c>
      <c r="E335" s="164">
        <v>1371.33599774202</v>
      </c>
      <c r="F335" s="11">
        <v>0.25940422415203102</v>
      </c>
      <c r="G335" s="11">
        <v>0.52582688610059602</v>
      </c>
      <c r="H335" s="11">
        <v>2.43959782147736E-2</v>
      </c>
      <c r="I335" s="11">
        <v>0.15683453339742701</v>
      </c>
      <c r="J335" s="11">
        <v>0.78500151312016597</v>
      </c>
      <c r="K335" s="11">
        <v>4.4686606312769599E-2</v>
      </c>
      <c r="L335" s="11">
        <v>0.84277415318414495</v>
      </c>
      <c r="M335" s="11">
        <v>7.8093630050870503E-3</v>
      </c>
      <c r="N335" s="11">
        <v>0.165416666786637</v>
      </c>
      <c r="O335" s="11">
        <v>2.2834877199101399E-2</v>
      </c>
      <c r="P335" s="11">
        <v>0</v>
      </c>
      <c r="Q335" s="11">
        <v>0.20098166057656799</v>
      </c>
      <c r="R335" s="11">
        <v>9.2727753489897494E-2</v>
      </c>
      <c r="S335" s="11">
        <v>0.25419726786219199</v>
      </c>
      <c r="T335" s="11">
        <v>2.68292603299203E-2</v>
      </c>
      <c r="U335" s="11">
        <v>1.68328678746394E-2</v>
      </c>
      <c r="V335" s="11">
        <v>5.6027062575232101E-2</v>
      </c>
      <c r="W335" s="11">
        <v>0.55409750855939499</v>
      </c>
      <c r="X335" s="11">
        <v>4.1326744794762199E-2</v>
      </c>
      <c r="Y335" s="11">
        <v>3.63325163767983E-3</v>
      </c>
      <c r="Z335" s="11">
        <v>1.18116123643934E-2</v>
      </c>
      <c r="AA335" s="11">
        <v>0</v>
      </c>
    </row>
    <row r="336" spans="1:27">
      <c r="A336" s="5"/>
      <c r="B336" s="5" t="s">
        <v>382</v>
      </c>
      <c r="C336" s="5" t="s">
        <v>383</v>
      </c>
      <c r="D336" s="11">
        <v>6.8598694113075096</v>
      </c>
      <c r="E336" s="164">
        <v>931.24523878755599</v>
      </c>
      <c r="F336" s="11">
        <v>0.26086240984529901</v>
      </c>
      <c r="G336" s="11">
        <v>0.38128725565022498</v>
      </c>
      <c r="H336" s="11">
        <v>1.9914160492071498E-2</v>
      </c>
      <c r="I336" s="11">
        <v>0.15632780770683</v>
      </c>
      <c r="J336" s="11">
        <v>0.71489026259086796</v>
      </c>
      <c r="K336" s="11">
        <v>0</v>
      </c>
      <c r="L336" s="11">
        <v>0.81813434685341502</v>
      </c>
      <c r="M336" s="11">
        <v>5.7486025744588496E-3</v>
      </c>
      <c r="N336" s="11">
        <v>0.22401085525297301</v>
      </c>
      <c r="O336" s="11">
        <v>0</v>
      </c>
      <c r="P336" s="11">
        <v>0</v>
      </c>
      <c r="Q336" s="11">
        <v>0.288570773829747</v>
      </c>
      <c r="R336" s="11">
        <v>4.4779075543285099E-2</v>
      </c>
      <c r="S336" s="11">
        <v>8.7642004161279402E-2</v>
      </c>
      <c r="T336" s="11">
        <v>3.60597975717276E-2</v>
      </c>
      <c r="U336" s="11">
        <v>1.8476478967414701E-2</v>
      </c>
      <c r="V336" s="11">
        <v>2.9273829675233599E-2</v>
      </c>
      <c r="W336" s="11">
        <v>0.59966141710756604</v>
      </c>
      <c r="X336" s="11">
        <v>3.47010955925037E-2</v>
      </c>
      <c r="Y336" s="11">
        <v>1.0564084749839201E-2</v>
      </c>
      <c r="Z336" s="11">
        <v>1.6807171839394199E-2</v>
      </c>
      <c r="AA336" s="11">
        <v>0.41230433660190702</v>
      </c>
    </row>
    <row r="337" spans="1:27">
      <c r="A337" s="5"/>
      <c r="B337" s="5" t="s">
        <v>384</v>
      </c>
      <c r="C337" s="5" t="s">
        <v>385</v>
      </c>
      <c r="D337" s="11">
        <v>4.2235897057780001</v>
      </c>
      <c r="E337" s="164">
        <v>790.43336620623097</v>
      </c>
      <c r="F337" s="11">
        <v>0.18667421825840899</v>
      </c>
      <c r="G337" s="11">
        <v>0.40751500132270702</v>
      </c>
      <c r="H337" s="11">
        <v>1.32478997609829E-2</v>
      </c>
      <c r="I337" s="11">
        <v>0.123031360252511</v>
      </c>
      <c r="J337" s="11">
        <v>0.55836188276008503</v>
      </c>
      <c r="K337" s="11">
        <v>3.4838172362378302E-2</v>
      </c>
      <c r="L337" s="11">
        <v>0.79272503223785495</v>
      </c>
      <c r="M337" s="11">
        <v>3.7088799241334902E-3</v>
      </c>
      <c r="N337" s="11">
        <v>0.17520120497740399</v>
      </c>
      <c r="O337" s="11">
        <v>1.4890249163688101E-2</v>
      </c>
      <c r="P337" s="11">
        <v>0</v>
      </c>
      <c r="Q337" s="11">
        <v>0.15390419446616499</v>
      </c>
      <c r="R337" s="11">
        <v>2.03606868824045E-2</v>
      </c>
      <c r="S337" s="11">
        <v>0.147960422520723</v>
      </c>
      <c r="T337" s="11">
        <v>1.45645421341012E-2</v>
      </c>
      <c r="U337" s="11">
        <v>2.6397617624342701E-2</v>
      </c>
      <c r="V337" s="11">
        <v>0</v>
      </c>
      <c r="W337" s="11">
        <v>0.39550030858428797</v>
      </c>
      <c r="X337" s="11">
        <v>4.5938116674637097E-2</v>
      </c>
      <c r="Y337" s="11">
        <v>4.1237825848890498E-3</v>
      </c>
      <c r="Z337" s="11">
        <v>1.15592710517127E-2</v>
      </c>
      <c r="AA337" s="11">
        <v>0.16556280612613999</v>
      </c>
    </row>
    <row r="338" spans="1:27">
      <c r="A338" s="5"/>
      <c r="B338" s="5" t="s">
        <v>386</v>
      </c>
      <c r="C338" s="5" t="s">
        <v>387</v>
      </c>
      <c r="D338" s="11">
        <v>5.1147658488169299</v>
      </c>
      <c r="E338" s="164">
        <v>852.632242957681</v>
      </c>
      <c r="F338" s="11">
        <v>0.18732851306571199</v>
      </c>
      <c r="G338" s="11">
        <v>0.42221089140572499</v>
      </c>
      <c r="H338" s="11">
        <v>1.35688414092426E-2</v>
      </c>
      <c r="I338" s="11">
        <v>9.4638011407611203E-2</v>
      </c>
      <c r="J338" s="11">
        <v>0.57284492082532201</v>
      </c>
      <c r="K338" s="11">
        <v>4.07525578925024E-2</v>
      </c>
      <c r="L338" s="11">
        <v>0.81306700635280404</v>
      </c>
      <c r="M338" s="11">
        <v>9.3596914383529007E-3</v>
      </c>
      <c r="N338" s="11">
        <v>0.16598833913705499</v>
      </c>
      <c r="O338" s="11">
        <v>0</v>
      </c>
      <c r="P338" s="11">
        <v>2.0486715694963801E-2</v>
      </c>
      <c r="Q338" s="11">
        <v>0.16995057869094801</v>
      </c>
      <c r="R338" s="11">
        <v>0</v>
      </c>
      <c r="S338" s="11">
        <v>0.12913529180563699</v>
      </c>
      <c r="T338" s="11">
        <v>2.4215885401713301E-2</v>
      </c>
      <c r="U338" s="11">
        <v>1.7434353382253701E-2</v>
      </c>
      <c r="V338" s="11">
        <v>2.2633751631841399E-2</v>
      </c>
      <c r="W338" s="11">
        <v>0.162698467806873</v>
      </c>
      <c r="X338" s="11">
        <v>3.1821166012596998E-2</v>
      </c>
      <c r="Y338" s="11">
        <v>4.0719880924448603E-3</v>
      </c>
      <c r="Z338" s="11">
        <v>1.3001175379985399E-2</v>
      </c>
      <c r="AA338" s="11">
        <v>0</v>
      </c>
    </row>
    <row r="339" spans="1:27">
      <c r="A339" s="5"/>
      <c r="B339" s="5" t="s">
        <v>388</v>
      </c>
      <c r="C339" s="5" t="s">
        <v>389</v>
      </c>
      <c r="D339" s="11">
        <v>5.4779634525469296</v>
      </c>
      <c r="E339" s="164">
        <v>2852.74973186426</v>
      </c>
      <c r="F339" s="11">
        <v>0.25375670369452302</v>
      </c>
      <c r="G339" s="11">
        <v>0.33479663209701699</v>
      </c>
      <c r="H339" s="11">
        <v>2.00088079228481E-2</v>
      </c>
      <c r="I339" s="11">
        <v>9.9966860604736196E-2</v>
      </c>
      <c r="J339" s="11">
        <v>0.66157647325395996</v>
      </c>
      <c r="K339" s="11">
        <v>5.6318308817612399E-2</v>
      </c>
      <c r="L339" s="11">
        <v>0.85988944289041502</v>
      </c>
      <c r="M339" s="11">
        <v>4.5984534675128797E-3</v>
      </c>
      <c r="N339" s="11">
        <v>0.11111058291118001</v>
      </c>
      <c r="O339" s="11">
        <v>2.3547874459581401E-2</v>
      </c>
      <c r="P339" s="11">
        <v>0</v>
      </c>
      <c r="Q339" s="11">
        <v>0.163843942876441</v>
      </c>
      <c r="R339" s="11">
        <v>0</v>
      </c>
      <c r="S339" s="11">
        <v>0</v>
      </c>
      <c r="T339" s="11">
        <v>9.8169867598141194E-3</v>
      </c>
      <c r="U339" s="11">
        <v>1.2856034169667799E-2</v>
      </c>
      <c r="V339" s="11">
        <v>0</v>
      </c>
      <c r="W339" s="11">
        <v>0.458555122739423</v>
      </c>
      <c r="X339" s="11">
        <v>4.1725132321325402E-2</v>
      </c>
      <c r="Y339" s="11">
        <v>3.02018450003344E-3</v>
      </c>
      <c r="Z339" s="11">
        <v>1.18159528849593E-2</v>
      </c>
      <c r="AA339" s="11">
        <v>0.33186296366552298</v>
      </c>
    </row>
    <row r="340" spans="1:27">
      <c r="A340" s="5"/>
      <c r="B340" s="5" t="s">
        <v>390</v>
      </c>
      <c r="C340" s="5" t="s">
        <v>391</v>
      </c>
      <c r="D340" s="11">
        <v>5.8520597432773096</v>
      </c>
      <c r="E340" s="164">
        <v>1080.52516420147</v>
      </c>
      <c r="F340" s="11">
        <v>0.17863836171556299</v>
      </c>
      <c r="G340" s="11">
        <v>0.44546904984201602</v>
      </c>
      <c r="H340" s="11">
        <v>2.1453579172336899E-2</v>
      </c>
      <c r="I340" s="11">
        <v>0.23522267026031199</v>
      </c>
      <c r="J340" s="11">
        <v>0.50567918319134997</v>
      </c>
      <c r="K340" s="11">
        <v>5.6696876377908399E-2</v>
      </c>
      <c r="L340" s="11">
        <v>0.67003415490037199</v>
      </c>
      <c r="M340" s="11">
        <v>6.0887446387920098E-3</v>
      </c>
      <c r="N340" s="11">
        <v>0.172224015888576</v>
      </c>
      <c r="O340" s="11">
        <v>1.51288825132636E-2</v>
      </c>
      <c r="P340" s="11">
        <v>1.87835933463016E-2</v>
      </c>
      <c r="Q340" s="11">
        <v>0.160921125751851</v>
      </c>
      <c r="R340" s="11">
        <v>5.1379418270174802E-2</v>
      </c>
      <c r="S340" s="11">
        <v>0.188314084915333</v>
      </c>
      <c r="T340" s="11">
        <v>2.86577271602989E-2</v>
      </c>
      <c r="U340" s="11">
        <v>1.8384165721183399E-2</v>
      </c>
      <c r="V340" s="11">
        <v>6.8708585964227395E-2</v>
      </c>
      <c r="W340" s="11">
        <v>0.41120952704049002</v>
      </c>
      <c r="X340" s="11">
        <v>4.6679888264611398E-2</v>
      </c>
      <c r="Y340" s="11">
        <v>6.7055706940246096E-3</v>
      </c>
      <c r="Z340" s="11">
        <v>9.3425092501777697E-3</v>
      </c>
      <c r="AA340" s="11">
        <v>0.66897972564543495</v>
      </c>
    </row>
    <row r="341" spans="1:27">
      <c r="A341" s="5"/>
      <c r="B341" s="5" t="s">
        <v>392</v>
      </c>
      <c r="C341" s="5" t="s">
        <v>393</v>
      </c>
      <c r="D341" s="11">
        <v>3.8082208028177398</v>
      </c>
      <c r="E341" s="164">
        <v>1010.07464208853</v>
      </c>
      <c r="F341" s="11">
        <v>0.25031373507496901</v>
      </c>
      <c r="G341" s="11">
        <v>0.23457071565736201</v>
      </c>
      <c r="H341" s="11">
        <v>2.0240933336011999E-2</v>
      </c>
      <c r="I341" s="11">
        <v>8.8328905307863401E-2</v>
      </c>
      <c r="J341" s="11">
        <v>0.75343725936935302</v>
      </c>
      <c r="K341" s="11">
        <v>3.1044315572518001E-2</v>
      </c>
      <c r="L341" s="11">
        <v>0.64766344566667</v>
      </c>
      <c r="M341" s="11">
        <v>5.8535691208466004E-3</v>
      </c>
      <c r="N341" s="11">
        <v>0.15559802138926801</v>
      </c>
      <c r="O341" s="11">
        <v>1.6066527159641301E-2</v>
      </c>
      <c r="P341" s="11">
        <v>1.0761280877698899E-2</v>
      </c>
      <c r="Q341" s="11">
        <v>0.16471715129066999</v>
      </c>
      <c r="R341" s="11">
        <v>2.8834320360076798E-2</v>
      </c>
      <c r="S341" s="11">
        <v>0</v>
      </c>
      <c r="T341" s="11">
        <v>2.67413496806208E-2</v>
      </c>
      <c r="U341" s="11">
        <v>1.92236516466271E-2</v>
      </c>
      <c r="V341" s="11">
        <v>0</v>
      </c>
      <c r="W341" s="11">
        <v>0.213168191747858</v>
      </c>
      <c r="X341" s="11">
        <v>4.6332550937506101E-2</v>
      </c>
      <c r="Y341" s="11">
        <v>8.5068733610980697E-3</v>
      </c>
      <c r="Z341" s="11">
        <v>4.9158103448929203E-3</v>
      </c>
      <c r="AA341" s="11">
        <v>0</v>
      </c>
    </row>
    <row r="342" spans="1:27">
      <c r="A342" s="5"/>
      <c r="B342" s="5" t="s">
        <v>394</v>
      </c>
      <c r="C342" s="5" t="s">
        <v>395</v>
      </c>
      <c r="D342" s="11">
        <v>5.1097808435457397</v>
      </c>
      <c r="E342" s="164">
        <v>893.375763821757</v>
      </c>
      <c r="F342" s="11">
        <v>0.18266056735365399</v>
      </c>
      <c r="G342" s="11">
        <v>0.36305468172794497</v>
      </c>
      <c r="H342" s="11">
        <v>1.30192330706233E-2</v>
      </c>
      <c r="I342" s="11">
        <v>0.18131481835326799</v>
      </c>
      <c r="J342" s="11">
        <v>0.53902379609498496</v>
      </c>
      <c r="K342" s="11">
        <v>2.7544860016391101E-2</v>
      </c>
      <c r="L342" s="11">
        <v>0.87431871361832803</v>
      </c>
      <c r="M342" s="11">
        <v>3.7272296755293398E-3</v>
      </c>
      <c r="N342" s="11">
        <v>0.14882286513880999</v>
      </c>
      <c r="O342" s="11">
        <v>2.1441087541770699E-2</v>
      </c>
      <c r="P342" s="11">
        <v>1.0872492871123501E-2</v>
      </c>
      <c r="Q342" s="11">
        <v>0.179771442996429</v>
      </c>
      <c r="R342" s="11">
        <v>0</v>
      </c>
      <c r="S342" s="11">
        <v>6.8318001774214293E-2</v>
      </c>
      <c r="T342" s="11">
        <v>1.83963146408785E-2</v>
      </c>
      <c r="U342" s="11">
        <v>7.9533497175593507E-2</v>
      </c>
      <c r="V342" s="11">
        <v>5.0478720276632798E-2</v>
      </c>
      <c r="W342" s="11">
        <v>0.383313649026365</v>
      </c>
      <c r="X342" s="11">
        <v>4.14048261207439E-2</v>
      </c>
      <c r="Y342" s="11">
        <v>6.4955856679722902E-3</v>
      </c>
      <c r="Z342" s="11">
        <v>4.9570189335304297E-3</v>
      </c>
      <c r="AA342" s="11">
        <v>0.27343234684356899</v>
      </c>
    </row>
    <row r="343" spans="1:27">
      <c r="A343" s="5"/>
      <c r="B343" s="5" t="s">
        <v>396</v>
      </c>
      <c r="C343" s="5" t="s">
        <v>397</v>
      </c>
      <c r="D343" s="11">
        <v>5.2727841538006004</v>
      </c>
      <c r="E343" s="164">
        <v>825.04236186159801</v>
      </c>
      <c r="F343" s="11">
        <v>0.16553921166417501</v>
      </c>
      <c r="G343" s="11">
        <v>0.364274241058546</v>
      </c>
      <c r="H343" s="11">
        <v>1.9536678213792701E-2</v>
      </c>
      <c r="I343" s="11">
        <v>0.132569110867401</v>
      </c>
      <c r="J343" s="11">
        <v>0.59664037126338898</v>
      </c>
      <c r="K343" s="11">
        <v>5.6990784431276899E-2</v>
      </c>
      <c r="L343" s="11">
        <v>0.58511982254802497</v>
      </c>
      <c r="M343" s="11">
        <v>1.0318173768768001E-2</v>
      </c>
      <c r="N343" s="11">
        <v>0.147922203277839</v>
      </c>
      <c r="O343" s="11">
        <v>0</v>
      </c>
      <c r="P343" s="11">
        <v>1.02901649716628E-2</v>
      </c>
      <c r="Q343" s="11">
        <v>0.123164848560376</v>
      </c>
      <c r="R343" s="11">
        <v>0.184644671129685</v>
      </c>
      <c r="S343" s="11">
        <v>0.15420850059320801</v>
      </c>
      <c r="T343" s="11">
        <v>5.3854277131620597E-3</v>
      </c>
      <c r="U343" s="11">
        <v>8.7280197117529205E-3</v>
      </c>
      <c r="V343" s="11">
        <v>3.0104388524748098E-2</v>
      </c>
      <c r="W343" s="11">
        <v>0.32948734860302298</v>
      </c>
      <c r="X343" s="11">
        <v>2.8186011737894399E-2</v>
      </c>
      <c r="Y343" s="11">
        <v>3.8700018281089999E-3</v>
      </c>
      <c r="Z343" s="11">
        <v>1.21230367673059E-2</v>
      </c>
      <c r="AA343" s="11">
        <v>0.154330070069987</v>
      </c>
    </row>
    <row r="344" spans="1:27">
      <c r="A344" s="5"/>
      <c r="B344" s="5" t="s">
        <v>398</v>
      </c>
      <c r="C344" s="5" t="s">
        <v>399</v>
      </c>
      <c r="D344" s="11">
        <v>4.8020792498993901</v>
      </c>
      <c r="E344" s="164">
        <v>994.64406607070202</v>
      </c>
      <c r="F344" s="11">
        <v>0.190185834947972</v>
      </c>
      <c r="G344" s="11">
        <v>0.39183943930104198</v>
      </c>
      <c r="H344" s="11">
        <v>1.51033781324792E-2</v>
      </c>
      <c r="I344" s="11">
        <v>0.10365655123904199</v>
      </c>
      <c r="J344" s="11">
        <v>0.55339807446992295</v>
      </c>
      <c r="K344" s="11">
        <v>3.8503079005897597E-2</v>
      </c>
      <c r="L344" s="11">
        <v>0.53824317764164498</v>
      </c>
      <c r="M344" s="11">
        <v>3.3824605011240501E-3</v>
      </c>
      <c r="N344" s="11">
        <v>0.16454150725795999</v>
      </c>
      <c r="O344" s="11">
        <v>6.6764701839365998E-3</v>
      </c>
      <c r="P344" s="11">
        <v>0</v>
      </c>
      <c r="Q344" s="11">
        <v>0.15066543234806001</v>
      </c>
      <c r="R344" s="11">
        <v>0</v>
      </c>
      <c r="S344" s="11">
        <v>0.123564749686548</v>
      </c>
      <c r="T344" s="11">
        <v>1.7187469430474799E-2</v>
      </c>
      <c r="U344" s="11">
        <v>1.2806458494227801E-2</v>
      </c>
      <c r="V344" s="11">
        <v>0</v>
      </c>
      <c r="W344" s="11">
        <v>0.32229253334465802</v>
      </c>
      <c r="X344" s="11">
        <v>4.6499989450821302E-2</v>
      </c>
      <c r="Y344" s="11">
        <v>2.6440639362407402E-3</v>
      </c>
      <c r="Z344" s="11">
        <v>9.6986865397143806E-3</v>
      </c>
      <c r="AA344" s="11">
        <v>0.35014483743748698</v>
      </c>
    </row>
    <row r="345" spans="1:27">
      <c r="A345" s="5"/>
      <c r="B345" s="5" t="s">
        <v>400</v>
      </c>
      <c r="C345" s="5" t="s">
        <v>401</v>
      </c>
      <c r="D345" s="11">
        <v>5.1035969259072296</v>
      </c>
      <c r="E345" s="164">
        <v>923.51845087928803</v>
      </c>
      <c r="F345" s="11">
        <v>0.24664306669609401</v>
      </c>
      <c r="G345" s="11">
        <v>0.43370296073121001</v>
      </c>
      <c r="H345" s="11">
        <v>2.50448442866971E-2</v>
      </c>
      <c r="I345" s="11">
        <v>0.133416285931412</v>
      </c>
      <c r="J345" s="11">
        <v>0.98226092077167304</v>
      </c>
      <c r="K345" s="11">
        <v>4.6129816931193099E-2</v>
      </c>
      <c r="L345" s="11">
        <v>0.682713901528055</v>
      </c>
      <c r="M345" s="11">
        <v>7.28238795106112E-3</v>
      </c>
      <c r="N345" s="11">
        <v>0.15927618798903501</v>
      </c>
      <c r="O345" s="11">
        <v>1.04273542786553E-2</v>
      </c>
      <c r="P345" s="11">
        <v>2.0967539672123701E-2</v>
      </c>
      <c r="Q345" s="11">
        <v>0.172757211745589</v>
      </c>
      <c r="R345" s="11">
        <v>2.1272932163774998E-2</v>
      </c>
      <c r="S345" s="11">
        <v>0.15286178602477801</v>
      </c>
      <c r="T345" s="11">
        <v>2.3996019731681199E-2</v>
      </c>
      <c r="U345" s="11">
        <v>2.0430393874522602E-2</v>
      </c>
      <c r="V345" s="11">
        <v>2.3179846148463398E-2</v>
      </c>
      <c r="W345" s="11">
        <v>0.54947470348609095</v>
      </c>
      <c r="X345" s="11">
        <v>3.8749841235441798E-2</v>
      </c>
      <c r="Y345" s="11">
        <v>4.1187223440932097E-3</v>
      </c>
      <c r="Z345" s="11">
        <v>7.8928396183035408E-3</v>
      </c>
      <c r="AA345" s="11">
        <v>0.670904878274726</v>
      </c>
    </row>
    <row r="346" spans="1:27">
      <c r="A346" s="5"/>
      <c r="B346" s="5" t="s">
        <v>402</v>
      </c>
      <c r="C346" s="5" t="s">
        <v>403</v>
      </c>
      <c r="D346" s="11">
        <v>5.7149931495928801</v>
      </c>
      <c r="E346" s="164">
        <v>1133.7156185966501</v>
      </c>
      <c r="F346" s="11">
        <v>0.26539787233038797</v>
      </c>
      <c r="G346" s="11">
        <v>0.47746501648601603</v>
      </c>
      <c r="H346" s="11">
        <v>3.0305506804654801E-2</v>
      </c>
      <c r="I346" s="11">
        <v>7.8947207957992704E-2</v>
      </c>
      <c r="J346" s="11">
        <v>0.53741644889651696</v>
      </c>
      <c r="K346" s="11">
        <v>3.3100997959874298E-2</v>
      </c>
      <c r="L346" s="11">
        <v>0.55493867429093302</v>
      </c>
      <c r="M346" s="11">
        <v>4.8096557491773698E-3</v>
      </c>
      <c r="N346" s="11">
        <v>0.17259042289556201</v>
      </c>
      <c r="O346" s="11">
        <v>0</v>
      </c>
      <c r="P346" s="11">
        <v>0</v>
      </c>
      <c r="Q346" s="11">
        <v>0.12857952214367299</v>
      </c>
      <c r="R346" s="11">
        <v>5.0036640414249801E-2</v>
      </c>
      <c r="S346" s="11">
        <v>0.14145138674941701</v>
      </c>
      <c r="T346" s="11">
        <v>1.7750394033431101E-2</v>
      </c>
      <c r="U346" s="11">
        <v>1.1176869355995E-2</v>
      </c>
      <c r="V346" s="11">
        <v>4.7387767681975501E-2</v>
      </c>
      <c r="W346" s="11">
        <v>0.19101069811902099</v>
      </c>
      <c r="X346" s="11">
        <v>3.0879991914631401E-2</v>
      </c>
      <c r="Y346" s="11">
        <v>5.7285093110287302E-3</v>
      </c>
      <c r="Z346" s="11">
        <v>1.13916791849741E-2</v>
      </c>
      <c r="AA346" s="11">
        <v>0.21063258279304301</v>
      </c>
    </row>
    <row r="347" spans="1:27">
      <c r="A347" s="5"/>
      <c r="B347" s="5" t="s">
        <v>404</v>
      </c>
      <c r="C347" s="5" t="s">
        <v>405</v>
      </c>
      <c r="D347" s="11">
        <v>5.3089987307616902</v>
      </c>
      <c r="E347" s="164">
        <v>1054.6409191002199</v>
      </c>
      <c r="F347" s="11">
        <v>0.28076742418467099</v>
      </c>
      <c r="G347" s="11">
        <v>0.35973792469152599</v>
      </c>
      <c r="H347" s="11">
        <v>1.43839108858214E-2</v>
      </c>
      <c r="I347" s="11">
        <v>8.7713507861353596E-2</v>
      </c>
      <c r="J347" s="11">
        <v>0.63630081448100295</v>
      </c>
      <c r="K347" s="11">
        <v>5.1383124344153701E-2</v>
      </c>
      <c r="L347" s="11">
        <v>0.81132396520307803</v>
      </c>
      <c r="M347" s="11">
        <v>5.9607313626718096E-3</v>
      </c>
      <c r="N347" s="11">
        <v>0.158788696298409</v>
      </c>
      <c r="O347" s="11">
        <v>2.3298769985619801E-2</v>
      </c>
      <c r="P347" s="11">
        <v>2.17173626974425E-2</v>
      </c>
      <c r="Q347" s="11">
        <v>0.144192485111447</v>
      </c>
      <c r="R347" s="11">
        <v>5.8668338622957797E-2</v>
      </c>
      <c r="S347" s="11">
        <v>0.16339492955083099</v>
      </c>
      <c r="T347" s="11">
        <v>2.1891714082359199E-2</v>
      </c>
      <c r="U347" s="11">
        <v>1.8583566908490699E-2</v>
      </c>
      <c r="V347" s="11">
        <v>5.0666777362546801E-2</v>
      </c>
      <c r="W347" s="11">
        <v>0.305770270481169</v>
      </c>
      <c r="X347" s="11">
        <v>3.81160557463592E-2</v>
      </c>
      <c r="Y347" s="11">
        <v>1.03696824902164E-2</v>
      </c>
      <c r="Z347" s="11">
        <v>1.0691865284822201E-2</v>
      </c>
      <c r="AA347" s="11">
        <v>0.16124607201847199</v>
      </c>
    </row>
    <row r="348" spans="1:27">
      <c r="A348" s="5"/>
      <c r="B348" s="5" t="s">
        <v>406</v>
      </c>
      <c r="C348" s="5" t="s">
        <v>407</v>
      </c>
      <c r="D348" s="11">
        <v>6.1830801018781099</v>
      </c>
      <c r="E348" s="164">
        <v>921.70343699684702</v>
      </c>
      <c r="F348" s="11">
        <v>0.19961630763645899</v>
      </c>
      <c r="G348" s="11">
        <v>0.358436812937109</v>
      </c>
      <c r="H348" s="11">
        <v>1.40249749715097E-2</v>
      </c>
      <c r="I348" s="11">
        <v>0.11324026803882099</v>
      </c>
      <c r="J348" s="11">
        <v>0.63765349235753599</v>
      </c>
      <c r="K348" s="11">
        <v>4.2705142537164599E-2</v>
      </c>
      <c r="L348" s="11">
        <v>0.90459774852407204</v>
      </c>
      <c r="M348" s="11">
        <v>8.2607342584154891E-3</v>
      </c>
      <c r="N348" s="11">
        <v>0.16606296146642499</v>
      </c>
      <c r="O348" s="11">
        <v>7.2436569820466196E-3</v>
      </c>
      <c r="P348" s="11">
        <v>1.05733375620098E-2</v>
      </c>
      <c r="Q348" s="11">
        <v>0.161132472515369</v>
      </c>
      <c r="R348" s="11">
        <v>7.6762071125887302E-2</v>
      </c>
      <c r="S348" s="11">
        <v>9.2905527016052605E-2</v>
      </c>
      <c r="T348" s="11">
        <v>1.7219932326059999E-2</v>
      </c>
      <c r="U348" s="11">
        <v>1.81449886289228E-2</v>
      </c>
      <c r="V348" s="11">
        <v>4.9386363294802699E-2</v>
      </c>
      <c r="W348" s="11">
        <v>0.40397539384076098</v>
      </c>
      <c r="X348" s="11">
        <v>3.4315398536035997E-2</v>
      </c>
      <c r="Y348" s="11">
        <v>2.8386924772285998E-3</v>
      </c>
      <c r="Z348" s="11">
        <v>1.0401648991764399E-2</v>
      </c>
      <c r="AA348" s="11">
        <v>0</v>
      </c>
    </row>
    <row r="349" spans="1:27">
      <c r="A349" s="5"/>
      <c r="B349" s="5" t="s">
        <v>408</v>
      </c>
      <c r="C349" s="5" t="s">
        <v>409</v>
      </c>
      <c r="D349" s="11">
        <v>5.1222320441606701</v>
      </c>
      <c r="E349" s="164">
        <v>825.04925861261097</v>
      </c>
      <c r="F349" s="11">
        <v>0.24337713207220801</v>
      </c>
      <c r="G349" s="11">
        <v>0.3386891721286</v>
      </c>
      <c r="H349" s="11">
        <v>2.3727488351822201E-2</v>
      </c>
      <c r="I349" s="11">
        <v>0.16482689668242001</v>
      </c>
      <c r="J349" s="11">
        <v>0.66663196821757098</v>
      </c>
      <c r="K349" s="11">
        <v>5.0449555632144899E-2</v>
      </c>
      <c r="L349" s="11">
        <v>0.70277188894253195</v>
      </c>
      <c r="M349" s="11">
        <v>7.2135543229658698E-3</v>
      </c>
      <c r="N349" s="11">
        <v>0.19325032596396399</v>
      </c>
      <c r="O349" s="11">
        <v>0</v>
      </c>
      <c r="P349" s="11">
        <v>0</v>
      </c>
      <c r="Q349" s="11">
        <v>0.15217263273623</v>
      </c>
      <c r="R349" s="11">
        <v>4.6467293462467599E-2</v>
      </c>
      <c r="S349" s="11">
        <v>0.136601614723036</v>
      </c>
      <c r="T349" s="11">
        <v>2.0567968875638099E-2</v>
      </c>
      <c r="U349" s="11">
        <v>1.70546384924617E-2</v>
      </c>
      <c r="V349" s="11">
        <v>4.5792086112200599E-2</v>
      </c>
      <c r="W349" s="11">
        <v>0.39526720954276601</v>
      </c>
      <c r="X349" s="11">
        <v>3.7963698165687398E-2</v>
      </c>
      <c r="Y349" s="11">
        <v>6.9267134921392496E-3</v>
      </c>
      <c r="Z349" s="11">
        <v>8.8986936628109997E-3</v>
      </c>
      <c r="AA349" s="11">
        <v>0</v>
      </c>
    </row>
    <row r="350" spans="1:27">
      <c r="A350" s="5"/>
      <c r="B350" s="5" t="s">
        <v>410</v>
      </c>
      <c r="C350" s="5" t="s">
        <v>411</v>
      </c>
      <c r="D350" s="11">
        <v>4.5593752429798204</v>
      </c>
      <c r="E350" s="164">
        <v>1056.15683889249</v>
      </c>
      <c r="F350" s="11">
        <v>0.30205607213366797</v>
      </c>
      <c r="G350" s="11">
        <v>0.31823597222135402</v>
      </c>
      <c r="H350" s="11">
        <v>1.6753456192754399E-2</v>
      </c>
      <c r="I350" s="11">
        <v>0.118455443075116</v>
      </c>
      <c r="J350" s="11">
        <v>0.82392960319987796</v>
      </c>
      <c r="K350" s="11">
        <v>2.9454230520491401E-2</v>
      </c>
      <c r="L350" s="11">
        <v>0.60943197038358499</v>
      </c>
      <c r="M350" s="11">
        <v>8.5225605209518895E-3</v>
      </c>
      <c r="N350" s="11">
        <v>0.14685218340870901</v>
      </c>
      <c r="O350" s="11">
        <v>2.3501834869664302E-2</v>
      </c>
      <c r="P350" s="11">
        <v>2.1774430578221E-2</v>
      </c>
      <c r="Q350" s="11">
        <v>0.16501915620988</v>
      </c>
      <c r="R350" s="11">
        <v>0</v>
      </c>
      <c r="S350" s="11">
        <v>0.27548716482957902</v>
      </c>
      <c r="T350" s="11">
        <v>1.7694393780125901E-2</v>
      </c>
      <c r="U350" s="11">
        <v>1.8730650216329199E-2</v>
      </c>
      <c r="V350" s="11">
        <v>4.6141036542828598E-2</v>
      </c>
      <c r="W350" s="11">
        <v>0.398300353285307</v>
      </c>
      <c r="X350" s="11">
        <v>3.71711427946015E-2</v>
      </c>
      <c r="Y350" s="11">
        <v>0</v>
      </c>
      <c r="Z350" s="11">
        <v>9.8109661913369506E-3</v>
      </c>
      <c r="AA350" s="11">
        <v>0</v>
      </c>
    </row>
    <row r="351" spans="1:27">
      <c r="A351" s="5"/>
      <c r="B351" s="5" t="s">
        <v>412</v>
      </c>
      <c r="C351" s="5" t="s">
        <v>413</v>
      </c>
      <c r="D351" s="11">
        <v>6.3044901790100898</v>
      </c>
      <c r="E351" s="164">
        <v>1114.4171663837899</v>
      </c>
      <c r="F351" s="11">
        <v>0.17191539116495899</v>
      </c>
      <c r="G351" s="11">
        <v>0.43258853727216001</v>
      </c>
      <c r="H351" s="11">
        <v>1.3026826106890901E-2</v>
      </c>
      <c r="I351" s="11">
        <v>0.17952591315827801</v>
      </c>
      <c r="J351" s="11">
        <v>0.832990894420786</v>
      </c>
      <c r="K351" s="11">
        <v>4.4022051850444097E-2</v>
      </c>
      <c r="L351" s="11">
        <v>0.79107368600660199</v>
      </c>
      <c r="M351" s="11">
        <v>8.9674776351987302E-3</v>
      </c>
      <c r="N351" s="11">
        <v>0.159675203674397</v>
      </c>
      <c r="O351" s="11">
        <v>1.88130216312263E-2</v>
      </c>
      <c r="P351" s="11">
        <v>4.6600412427670497E-2</v>
      </c>
      <c r="Q351" s="11">
        <v>0.14669670980697799</v>
      </c>
      <c r="R351" s="11">
        <v>4.9260081203517297E-2</v>
      </c>
      <c r="S351" s="11">
        <v>0.26411913997859099</v>
      </c>
      <c r="T351" s="11">
        <v>2.3303167088719798E-2</v>
      </c>
      <c r="U351" s="11">
        <v>1.2746919659487699E-2</v>
      </c>
      <c r="V351" s="11">
        <v>7.0785775851658794E-2</v>
      </c>
      <c r="W351" s="11">
        <v>0.29804543007714901</v>
      </c>
      <c r="X351" s="11">
        <v>4.8365864839357897E-2</v>
      </c>
      <c r="Y351" s="11">
        <v>8.9420701455502696E-3</v>
      </c>
      <c r="Z351" s="11">
        <v>1.40980809489464E-2</v>
      </c>
      <c r="AA351" s="11">
        <v>0.234693426814652</v>
      </c>
    </row>
    <row r="352" spans="1:27">
      <c r="A352" s="5"/>
      <c r="B352" s="5" t="s">
        <v>414</v>
      </c>
      <c r="C352" s="5" t="s">
        <v>415</v>
      </c>
      <c r="D352" s="11">
        <v>1.6411040918436699</v>
      </c>
      <c r="E352" s="164">
        <v>697.46512727476897</v>
      </c>
      <c r="F352" s="11">
        <v>0.133365609728509</v>
      </c>
      <c r="G352" s="11">
        <v>0.35600808904597703</v>
      </c>
      <c r="H352" s="11">
        <v>5.6425420433540803E-3</v>
      </c>
      <c r="I352" s="11">
        <v>3.4628351767226298E-2</v>
      </c>
      <c r="J352" s="11">
        <v>0.55033526855436399</v>
      </c>
      <c r="K352" s="11">
        <v>3.7601437907216401E-2</v>
      </c>
      <c r="L352" s="11">
        <v>0.43900260945396202</v>
      </c>
      <c r="M352" s="11">
        <v>1.79409599027823E-3</v>
      </c>
      <c r="N352" s="11">
        <v>0.114020417545293</v>
      </c>
      <c r="O352" s="11">
        <v>4.9861864394556803E-3</v>
      </c>
      <c r="P352" s="11">
        <v>5.1223412099765603E-3</v>
      </c>
      <c r="Q352" s="11">
        <v>0.22491428985343501</v>
      </c>
      <c r="R352" s="11">
        <v>1.9362716484455599E-2</v>
      </c>
      <c r="S352" s="11">
        <v>0</v>
      </c>
      <c r="T352" s="11">
        <v>7.1985657089924503E-3</v>
      </c>
      <c r="U352" s="11">
        <v>4.9480937014030604E-3</v>
      </c>
      <c r="V352" s="11">
        <v>0</v>
      </c>
      <c r="W352" s="11">
        <v>8.2960854395082106E-2</v>
      </c>
      <c r="X352" s="11">
        <v>2.1814742169790301E-2</v>
      </c>
      <c r="Y352" s="11">
        <v>0</v>
      </c>
      <c r="Z352" s="11">
        <v>3.4726928296522001E-3</v>
      </c>
      <c r="AA352" s="11">
        <v>5.0087048235543698E-2</v>
      </c>
    </row>
    <row r="353" spans="1:27">
      <c r="A353" s="5"/>
      <c r="B353" s="5" t="s">
        <v>416</v>
      </c>
      <c r="C353" s="5" t="s">
        <v>417</v>
      </c>
      <c r="D353" s="11">
        <v>2.6201957528835198</v>
      </c>
      <c r="E353" s="164">
        <v>639.76505347916202</v>
      </c>
      <c r="F353" s="11">
        <v>0.161898901001199</v>
      </c>
      <c r="G353" s="11">
        <v>0.40885437977170402</v>
      </c>
      <c r="H353" s="11">
        <v>5.6570865128004197E-3</v>
      </c>
      <c r="I353" s="11">
        <v>3.45753803987809E-2</v>
      </c>
      <c r="J353" s="11">
        <v>0.39381602272745603</v>
      </c>
      <c r="K353" s="11">
        <v>2.4166039099833201E-2</v>
      </c>
      <c r="L353" s="11">
        <v>0.54384199605788996</v>
      </c>
      <c r="M353" s="11">
        <v>3.4329511311729801E-3</v>
      </c>
      <c r="N353" s="11">
        <v>0.116465529722335</v>
      </c>
      <c r="O353" s="11">
        <v>0</v>
      </c>
      <c r="P353" s="11">
        <v>1.02632932491425E-2</v>
      </c>
      <c r="Q353" s="11">
        <v>0.231776538506726</v>
      </c>
      <c r="R353" s="11">
        <v>0</v>
      </c>
      <c r="S353" s="11">
        <v>5.3094061381332297E-2</v>
      </c>
      <c r="T353" s="11">
        <v>6.7573725414175802E-3</v>
      </c>
      <c r="U353" s="11">
        <v>3.4338471330639E-3</v>
      </c>
      <c r="V353" s="11">
        <v>0</v>
      </c>
      <c r="W353" s="11">
        <v>0</v>
      </c>
      <c r="X353" s="11">
        <v>2.84008577571301E-2</v>
      </c>
      <c r="Y353" s="11">
        <v>1.5504302909304401E-3</v>
      </c>
      <c r="Z353" s="11">
        <v>2.7851656889883399E-3</v>
      </c>
      <c r="AA353" s="11">
        <v>0</v>
      </c>
    </row>
    <row r="354" spans="1:27">
      <c r="A354" s="5"/>
      <c r="B354" s="5" t="s">
        <v>418</v>
      </c>
      <c r="C354" s="5" t="s">
        <v>419</v>
      </c>
      <c r="D354" s="164">
        <v>673.51765663670994</v>
      </c>
      <c r="E354" s="164">
        <v>845.17103022122001</v>
      </c>
      <c r="F354" s="11">
        <v>0.255824346054632</v>
      </c>
      <c r="G354" s="11">
        <v>0.45984673652755098</v>
      </c>
      <c r="H354" s="11">
        <v>1.5535099196386201E-2</v>
      </c>
      <c r="I354" s="11">
        <v>8.2843998246473205E-2</v>
      </c>
      <c r="J354" s="11">
        <v>0.56257617471338806</v>
      </c>
      <c r="K354" s="11">
        <v>5.18087302887641E-2</v>
      </c>
      <c r="L354" s="11">
        <v>0.97595616838472998</v>
      </c>
      <c r="M354" s="11">
        <v>2.4487724399360799E-3</v>
      </c>
      <c r="N354" s="11">
        <v>0.13121154288897799</v>
      </c>
      <c r="O354" s="11">
        <v>9.5484534554469893E-3</v>
      </c>
      <c r="P354" s="11">
        <v>1.4078234949303201E-2</v>
      </c>
      <c r="Q354" s="11">
        <v>0.338258404957273</v>
      </c>
      <c r="R354" s="11">
        <v>0</v>
      </c>
      <c r="S354" s="11">
        <v>2.7263340619296899E-2</v>
      </c>
      <c r="T354" s="11">
        <v>1.57265666033931E-2</v>
      </c>
      <c r="U354" s="11">
        <v>6.1791927670356997E-3</v>
      </c>
      <c r="V354" s="11">
        <v>0</v>
      </c>
      <c r="W354" s="11">
        <v>0</v>
      </c>
      <c r="X354" s="11">
        <v>1.46159207889146E-2</v>
      </c>
      <c r="Y354" s="11">
        <v>0</v>
      </c>
      <c r="Z354" s="11">
        <v>6.94965105488465E-3</v>
      </c>
      <c r="AA354" s="11">
        <v>0</v>
      </c>
    </row>
    <row r="355" spans="1:27">
      <c r="A355" s="5"/>
      <c r="B355" s="5" t="s">
        <v>420</v>
      </c>
      <c r="C355" s="5" t="s">
        <v>421</v>
      </c>
      <c r="D355" s="11">
        <v>2.3584251487213899</v>
      </c>
      <c r="E355" s="164">
        <v>553.08778628093603</v>
      </c>
      <c r="F355" s="11">
        <v>0.19716732139655799</v>
      </c>
      <c r="G355" s="11">
        <v>0.34730801167935399</v>
      </c>
      <c r="H355" s="11">
        <v>5.7868038794834696E-3</v>
      </c>
      <c r="I355" s="11">
        <v>5.7557474262890797E-2</v>
      </c>
      <c r="J355" s="11">
        <v>0.34929584840801298</v>
      </c>
      <c r="K355" s="11">
        <v>3.0579889518917099E-2</v>
      </c>
      <c r="L355" s="11">
        <v>0.69996651885833705</v>
      </c>
      <c r="M355" s="11">
        <v>5.0562532771727797E-3</v>
      </c>
      <c r="N355" s="11">
        <v>0.10038448160629999</v>
      </c>
      <c r="O355" s="11">
        <v>0</v>
      </c>
      <c r="P355" s="11">
        <v>5.2437436410884899E-3</v>
      </c>
      <c r="Q355" s="11">
        <v>0.29262534390251299</v>
      </c>
      <c r="R355" s="11">
        <v>2.7681629875358299E-2</v>
      </c>
      <c r="S355" s="11">
        <v>4.0572962486689998E-2</v>
      </c>
      <c r="T355" s="11">
        <v>9.1711541823934293E-3</v>
      </c>
      <c r="U355" s="11">
        <v>5.1229324938676301E-3</v>
      </c>
      <c r="V355" s="11">
        <v>2.1036287910962501E-2</v>
      </c>
      <c r="W355" s="11">
        <v>0.120367798902455</v>
      </c>
      <c r="X355" s="11">
        <v>1.37742742008605E-2</v>
      </c>
      <c r="Y355" s="11">
        <v>0</v>
      </c>
      <c r="Z355" s="11">
        <v>2.3836403026048698E-3</v>
      </c>
      <c r="AA355" s="11">
        <v>5.1609228244565201E-2</v>
      </c>
    </row>
    <row r="356" spans="1:27">
      <c r="A356" s="5"/>
      <c r="B356" s="5" t="s">
        <v>422</v>
      </c>
      <c r="C356" s="5" t="s">
        <v>423</v>
      </c>
      <c r="D356" s="11">
        <v>2.0694262946333901</v>
      </c>
      <c r="E356" s="164">
        <v>664.33380006572497</v>
      </c>
      <c r="F356" s="11">
        <v>0.156017720030904</v>
      </c>
      <c r="G356" s="11">
        <v>0.320128500225422</v>
      </c>
      <c r="H356" s="11">
        <v>1.30456019713366E-2</v>
      </c>
      <c r="I356" s="11">
        <v>9.2380720118755699E-2</v>
      </c>
      <c r="J356" s="11">
        <v>0.512222992290148</v>
      </c>
      <c r="K356" s="11">
        <v>3.2739714607477703E-2</v>
      </c>
      <c r="L356" s="11">
        <v>0.56678794360764895</v>
      </c>
      <c r="M356" s="11">
        <v>3.0963046962502998E-3</v>
      </c>
      <c r="N356" s="11">
        <v>0.15228101832508201</v>
      </c>
      <c r="O356" s="11">
        <v>1.1430888831974901E-2</v>
      </c>
      <c r="P356" s="11">
        <v>0</v>
      </c>
      <c r="Q356" s="11">
        <v>0.26443116982710702</v>
      </c>
      <c r="R356" s="11">
        <v>0</v>
      </c>
      <c r="S356" s="11">
        <v>4.3272323948988799E-2</v>
      </c>
      <c r="T356" s="11">
        <v>1.0088581468645099E-2</v>
      </c>
      <c r="U356" s="11">
        <v>4.7326836746095701E-3</v>
      </c>
      <c r="V356" s="11">
        <v>1.54500534926417E-2</v>
      </c>
      <c r="W356" s="11">
        <v>0.123548924932774</v>
      </c>
      <c r="X356" s="11">
        <v>1.6713949317215499E-2</v>
      </c>
      <c r="Y356" s="11">
        <v>0</v>
      </c>
      <c r="Z356" s="11">
        <v>4.1803059234137704E-3</v>
      </c>
      <c r="AA356" s="11">
        <v>5.2941773633496197E-2</v>
      </c>
    </row>
    <row r="357" spans="1:27">
      <c r="A357" s="5"/>
      <c r="B357" s="5" t="s">
        <v>424</v>
      </c>
      <c r="C357" s="5" t="s">
        <v>425</v>
      </c>
      <c r="D357" s="11">
        <v>2.3522745919916601</v>
      </c>
      <c r="E357" s="164">
        <v>491.18622378075099</v>
      </c>
      <c r="F357" s="11">
        <v>0.183527179098286</v>
      </c>
      <c r="G357" s="11">
        <v>0.30432495824912298</v>
      </c>
      <c r="H357" s="11">
        <v>0</v>
      </c>
      <c r="I357" s="11">
        <v>7.2979948558500096E-2</v>
      </c>
      <c r="J357" s="11">
        <v>0.51624400420582495</v>
      </c>
      <c r="K357" s="11">
        <v>1.9032693362272798E-2</v>
      </c>
      <c r="L357" s="11">
        <v>0.578754507975766</v>
      </c>
      <c r="M357" s="11">
        <v>6.7965986247602904E-3</v>
      </c>
      <c r="N357" s="11">
        <v>0.117545697192855</v>
      </c>
      <c r="O357" s="11">
        <v>0</v>
      </c>
      <c r="P357" s="11">
        <v>5.1980385566298901E-3</v>
      </c>
      <c r="Q357" s="11">
        <v>0.207731693585436</v>
      </c>
      <c r="R357" s="11">
        <v>1.97279478062444E-2</v>
      </c>
      <c r="S357" s="11">
        <v>2.7928278562546299E-2</v>
      </c>
      <c r="T357" s="11">
        <v>7.4147035340217304E-3</v>
      </c>
      <c r="U357" s="11">
        <v>4.0313214384136101E-3</v>
      </c>
      <c r="V357" s="11">
        <v>0</v>
      </c>
      <c r="W357" s="11">
        <v>0</v>
      </c>
      <c r="X357" s="11">
        <v>1.03268713730016E-2</v>
      </c>
      <c r="Y357" s="11">
        <v>0</v>
      </c>
      <c r="Z357" s="11">
        <v>4.06919564595392E-3</v>
      </c>
      <c r="AA357" s="11">
        <v>0</v>
      </c>
    </row>
    <row r="358" spans="1:27">
      <c r="A358" s="5"/>
      <c r="B358" s="5" t="s">
        <v>426</v>
      </c>
      <c r="C358" s="5" t="s">
        <v>427</v>
      </c>
      <c r="D358" s="11">
        <v>2.56482358623294</v>
      </c>
      <c r="E358" s="164">
        <v>631.49110699308596</v>
      </c>
      <c r="F358" s="11">
        <v>0.19042699936049101</v>
      </c>
      <c r="G358" s="11">
        <v>0.23519856022445901</v>
      </c>
      <c r="H358" s="11">
        <v>1.40892572023112E-2</v>
      </c>
      <c r="I358" s="11">
        <v>4.5587751127575002E-2</v>
      </c>
      <c r="J358" s="11">
        <v>0.43928534754745302</v>
      </c>
      <c r="K358" s="11">
        <v>4.9463881527750699E-2</v>
      </c>
      <c r="L358" s="11">
        <v>0.77534527058006997</v>
      </c>
      <c r="M358" s="11">
        <v>1.8299128010961E-3</v>
      </c>
      <c r="N358" s="11">
        <v>0.13518560389100201</v>
      </c>
      <c r="O358" s="11">
        <v>5.1363854114474103E-3</v>
      </c>
      <c r="P358" s="11">
        <v>0</v>
      </c>
      <c r="Q358" s="11">
        <v>0.27227987918756802</v>
      </c>
      <c r="R358" s="11">
        <v>2.8284922288258098E-2</v>
      </c>
      <c r="S358" s="11">
        <v>5.7449439061082401E-2</v>
      </c>
      <c r="T358" s="11">
        <v>4.2027181848092897E-3</v>
      </c>
      <c r="U358" s="11">
        <v>6.2031343736352502E-3</v>
      </c>
      <c r="V358" s="11">
        <v>0</v>
      </c>
      <c r="W358" s="11">
        <v>0.213856277337265</v>
      </c>
      <c r="X358" s="11">
        <v>2.8482373494982598E-2</v>
      </c>
      <c r="Y358" s="11">
        <v>0</v>
      </c>
      <c r="Z358" s="11">
        <v>5.6733228395181396E-3</v>
      </c>
      <c r="AA358" s="11">
        <v>7.4363687295007405E-2</v>
      </c>
    </row>
    <row r="359" spans="1:27">
      <c r="A359" s="5"/>
      <c r="B359" s="5" t="s">
        <v>428</v>
      </c>
      <c r="C359" s="5" t="s">
        <v>429</v>
      </c>
      <c r="D359" s="11">
        <v>2.0258911145381</v>
      </c>
      <c r="E359" s="164">
        <v>630.80766097985702</v>
      </c>
      <c r="F359" s="11">
        <v>0.23384467312652699</v>
      </c>
      <c r="G359" s="11">
        <v>0.26658074577532997</v>
      </c>
      <c r="H359" s="11">
        <v>1.30357500178175E-2</v>
      </c>
      <c r="I359" s="11">
        <v>7.0498123202169999E-2</v>
      </c>
      <c r="J359" s="11">
        <v>0.430779380766042</v>
      </c>
      <c r="K359" s="11">
        <v>2.5549922754159599E-2</v>
      </c>
      <c r="L359" s="11">
        <v>0.58188692838853595</v>
      </c>
      <c r="M359" s="11">
        <v>5.1094938196071596E-3</v>
      </c>
      <c r="N359" s="11">
        <v>7.7054269094887107E-2</v>
      </c>
      <c r="O359" s="11">
        <v>0</v>
      </c>
      <c r="P359" s="11">
        <v>0</v>
      </c>
      <c r="Q359" s="11">
        <v>0.18229739601535899</v>
      </c>
      <c r="R359" s="11">
        <v>3.1539240045987203E-2</v>
      </c>
      <c r="S359" s="11">
        <v>0</v>
      </c>
      <c r="T359" s="11">
        <v>1.0250244367215E-2</v>
      </c>
      <c r="U359" s="11">
        <v>3.4025222328616001E-3</v>
      </c>
      <c r="V359" s="11">
        <v>0</v>
      </c>
      <c r="W359" s="11">
        <v>8.3389701580596207E-2</v>
      </c>
      <c r="X359" s="11">
        <v>1.6312235784258E-2</v>
      </c>
      <c r="Y359" s="11">
        <v>0</v>
      </c>
      <c r="Z359" s="11">
        <v>3.2672154325827001E-3</v>
      </c>
      <c r="AA359" s="11">
        <v>0</v>
      </c>
    </row>
    <row r="360" spans="1:27">
      <c r="A360" s="5"/>
      <c r="B360" s="5" t="s">
        <v>430</v>
      </c>
      <c r="C360" s="5" t="s">
        <v>431</v>
      </c>
      <c r="D360" s="11">
        <v>2.38058018122197</v>
      </c>
      <c r="E360" s="164">
        <v>582.59921137877097</v>
      </c>
      <c r="F360" s="11">
        <v>0.20307174844393899</v>
      </c>
      <c r="G360" s="11">
        <v>0.341521579097742</v>
      </c>
      <c r="H360" s="11">
        <v>1.9263738578262898E-2</v>
      </c>
      <c r="I360" s="11">
        <v>0.11352584865135699</v>
      </c>
      <c r="J360" s="11">
        <v>0.45684208630159701</v>
      </c>
      <c r="K360" s="11">
        <v>2.9978353222549999E-2</v>
      </c>
      <c r="L360" s="11">
        <v>0.69423793815783097</v>
      </c>
      <c r="M360" s="11">
        <v>5.7523792544125901E-3</v>
      </c>
      <c r="N360" s="11">
        <v>0.12651839156602299</v>
      </c>
      <c r="O360" s="11">
        <v>5.1596145454789501E-3</v>
      </c>
      <c r="P360" s="11">
        <v>0</v>
      </c>
      <c r="Q360" s="11">
        <v>0.21456789222550601</v>
      </c>
      <c r="R360" s="11">
        <v>4.5444924966760801E-2</v>
      </c>
      <c r="S360" s="11">
        <v>0</v>
      </c>
      <c r="T360" s="11">
        <v>5.8576964151828099E-3</v>
      </c>
      <c r="U360" s="11">
        <v>3.9293844582290703E-3</v>
      </c>
      <c r="V360" s="11">
        <v>1.5715420366198801E-2</v>
      </c>
      <c r="W360" s="11">
        <v>0.30756372449958602</v>
      </c>
      <c r="X360" s="11">
        <v>2.6933638858105399E-2</v>
      </c>
      <c r="Y360" s="11">
        <v>0</v>
      </c>
      <c r="Z360" s="11">
        <v>5.61247663760959E-3</v>
      </c>
      <c r="AA360" s="11">
        <v>5.4569901546171098E-2</v>
      </c>
    </row>
    <row r="361" spans="1:27">
      <c r="A361" s="5"/>
      <c r="B361" s="5" t="s">
        <v>432</v>
      </c>
      <c r="C361" s="5" t="s">
        <v>433</v>
      </c>
      <c r="D361" s="11">
        <v>3.51539278031888</v>
      </c>
      <c r="E361" s="164">
        <v>596.89614420380894</v>
      </c>
      <c r="F361" s="11">
        <v>0.20275693551459401</v>
      </c>
      <c r="G361" s="11">
        <v>0.28723139720848001</v>
      </c>
      <c r="H361" s="11">
        <v>1.1565548208025E-2</v>
      </c>
      <c r="I361" s="11">
        <v>0.118746588238478</v>
      </c>
      <c r="J361" s="11">
        <v>0.45212912374544201</v>
      </c>
      <c r="K361" s="11">
        <v>4.4635284458583002E-2</v>
      </c>
      <c r="L361" s="11">
        <v>0.466932544768491</v>
      </c>
      <c r="M361" s="11">
        <v>4.9216626359416798E-3</v>
      </c>
      <c r="N361" s="11">
        <v>0.12421702444510301</v>
      </c>
      <c r="O361" s="11">
        <v>6.9176371038076898E-3</v>
      </c>
      <c r="P361" s="11">
        <v>5.2378734642372802E-3</v>
      </c>
      <c r="Q361" s="11">
        <v>0.23786556484971899</v>
      </c>
      <c r="R361" s="11">
        <v>2.7709557341649701E-2</v>
      </c>
      <c r="S361" s="11">
        <v>5.1070779456442401E-2</v>
      </c>
      <c r="T361" s="11">
        <v>8.3083032798220192E-3</v>
      </c>
      <c r="U361" s="11">
        <v>7.3424330125314496E-3</v>
      </c>
      <c r="V361" s="11">
        <v>0</v>
      </c>
      <c r="W361" s="11">
        <v>0.124027280864364</v>
      </c>
      <c r="X361" s="11">
        <v>2.1489480023243399E-2</v>
      </c>
      <c r="Y361" s="11">
        <v>0</v>
      </c>
      <c r="Z361" s="11">
        <v>4.4060381896209701E-3</v>
      </c>
      <c r="AA361" s="11">
        <v>0.10599481608428001</v>
      </c>
    </row>
    <row r="362" spans="1:27">
      <c r="A362" s="5"/>
      <c r="B362" s="5" t="s">
        <v>434</v>
      </c>
      <c r="C362" s="5" t="s">
        <v>435</v>
      </c>
      <c r="D362" s="11">
        <v>2.6267499808677499</v>
      </c>
      <c r="E362" s="164">
        <v>846.70819191543103</v>
      </c>
      <c r="F362" s="11">
        <v>0.24214725226789299</v>
      </c>
      <c r="G362" s="11">
        <v>0.39439253105996702</v>
      </c>
      <c r="H362" s="11">
        <v>1.6763812822845899E-2</v>
      </c>
      <c r="I362" s="11">
        <v>6.2840172024900498E-2</v>
      </c>
      <c r="J362" s="11">
        <v>0.47957247423217397</v>
      </c>
      <c r="K362" s="11">
        <v>3.60540096885031E-2</v>
      </c>
      <c r="L362" s="11">
        <v>0.70667102031932205</v>
      </c>
      <c r="M362" s="11">
        <v>3.07406380880539E-3</v>
      </c>
      <c r="N362" s="11">
        <v>0.101277349514454</v>
      </c>
      <c r="O362" s="11">
        <v>5.1553600122384797E-3</v>
      </c>
      <c r="P362" s="11">
        <v>0</v>
      </c>
      <c r="Q362" s="11">
        <v>0.28722836435522298</v>
      </c>
      <c r="R362" s="11">
        <v>2.07354968465433E-2</v>
      </c>
      <c r="S362" s="11">
        <v>3.9861188788916403E-2</v>
      </c>
      <c r="T362" s="11">
        <v>5.2285019410544999E-3</v>
      </c>
      <c r="U362" s="11">
        <v>5.0035096507112797E-3</v>
      </c>
      <c r="V362" s="11">
        <v>0</v>
      </c>
      <c r="W362" s="11">
        <v>9.3240164424660502E-2</v>
      </c>
      <c r="X362" s="11">
        <v>7.3259747909525498E-3</v>
      </c>
      <c r="Y362" s="11">
        <v>2.2765980499297898E-3</v>
      </c>
      <c r="Z362" s="11">
        <v>5.2845704747299504E-3</v>
      </c>
      <c r="AA362" s="11">
        <v>0.13218735507731399</v>
      </c>
    </row>
    <row r="363" spans="1:27">
      <c r="A363" s="5"/>
      <c r="B363" s="5" t="s">
        <v>436</v>
      </c>
      <c r="C363" s="5" t="s">
        <v>437</v>
      </c>
      <c r="D363" s="11">
        <v>3.09755568814664</v>
      </c>
      <c r="E363" s="164">
        <v>745.85872322823195</v>
      </c>
      <c r="F363" s="11">
        <v>0.21919012325168299</v>
      </c>
      <c r="G363" s="11">
        <v>0.38273928521242001</v>
      </c>
      <c r="H363" s="11">
        <v>1.8053595200953801E-2</v>
      </c>
      <c r="I363" s="11">
        <v>7.4439527661261301E-2</v>
      </c>
      <c r="J363" s="11">
        <v>0.52791248202838104</v>
      </c>
      <c r="K363" s="11">
        <v>4.0183878245814403E-2</v>
      </c>
      <c r="L363" s="11">
        <v>0.62240034662780697</v>
      </c>
      <c r="M363" s="11">
        <v>4.1971413120596201E-3</v>
      </c>
      <c r="N363" s="11">
        <v>0.10543734420362</v>
      </c>
      <c r="O363" s="11">
        <v>0</v>
      </c>
      <c r="P363" s="11">
        <v>1.13537279098768E-2</v>
      </c>
      <c r="Q363" s="11">
        <v>0.29126499080367102</v>
      </c>
      <c r="R363" s="11">
        <v>3.5494394541247497E-2</v>
      </c>
      <c r="S363" s="11">
        <v>5.9201750467146798E-2</v>
      </c>
      <c r="T363" s="11">
        <v>7.5879100520541004E-3</v>
      </c>
      <c r="U363" s="11">
        <v>4.2847717979552597E-3</v>
      </c>
      <c r="V363" s="11">
        <v>2.2766003282172102E-2</v>
      </c>
      <c r="W363" s="11">
        <v>0.19264487421054499</v>
      </c>
      <c r="X363" s="11">
        <v>2.2359151408381801E-2</v>
      </c>
      <c r="Y363" s="11">
        <v>0</v>
      </c>
      <c r="Z363" s="11">
        <v>3.10969040165419E-3</v>
      </c>
      <c r="AA363" s="11">
        <v>0.12546571674587301</v>
      </c>
    </row>
    <row r="364" spans="1:27">
      <c r="A364" s="5"/>
      <c r="B364" s="5" t="s">
        <v>438</v>
      </c>
      <c r="C364" s="5" t="s">
        <v>439</v>
      </c>
      <c r="D364" s="11">
        <v>2.95655739547359</v>
      </c>
      <c r="E364" s="164">
        <v>637.11280771444501</v>
      </c>
      <c r="F364" s="11">
        <v>0.23001906693591601</v>
      </c>
      <c r="G364" s="11">
        <v>0.36631892664511201</v>
      </c>
      <c r="H364" s="11">
        <v>1.6741028215310899E-2</v>
      </c>
      <c r="I364" s="11">
        <v>9.6536171021541495E-2</v>
      </c>
      <c r="J364" s="11">
        <v>0.50095998904642003</v>
      </c>
      <c r="K364" s="11">
        <v>2.8981306173395598E-2</v>
      </c>
      <c r="L364" s="11">
        <v>0.676842366581621</v>
      </c>
      <c r="M364" s="11">
        <v>2.4640635914983098E-3</v>
      </c>
      <c r="N364" s="11">
        <v>9.8443545327701595E-2</v>
      </c>
      <c r="O364" s="11">
        <v>0</v>
      </c>
      <c r="P364" s="11">
        <v>7.3572024781041597E-3</v>
      </c>
      <c r="Q364" s="11">
        <v>0.26225616847646899</v>
      </c>
      <c r="R364" s="11">
        <v>5.4494219944354397E-2</v>
      </c>
      <c r="S364" s="11">
        <v>0</v>
      </c>
      <c r="T364" s="11">
        <v>6.4906215542249101E-3</v>
      </c>
      <c r="U364" s="11">
        <v>5.5279674623524497E-3</v>
      </c>
      <c r="V364" s="11">
        <v>0</v>
      </c>
      <c r="W364" s="11">
        <v>0.17862467588910799</v>
      </c>
      <c r="X364" s="11">
        <v>1.89709845823441E-2</v>
      </c>
      <c r="Y364" s="11">
        <v>1.5460001929220701E-3</v>
      </c>
      <c r="Z364" s="11">
        <v>4.3515239543826497E-3</v>
      </c>
      <c r="AA364" s="11">
        <v>5.2562847920239797E-2</v>
      </c>
    </row>
    <row r="365" spans="1:27">
      <c r="A365" s="5"/>
      <c r="B365" s="5" t="s">
        <v>440</v>
      </c>
      <c r="C365" s="5" t="s">
        <v>441</v>
      </c>
      <c r="D365" s="11">
        <v>1.9722837466091301</v>
      </c>
      <c r="E365" s="164">
        <v>789.52131443508097</v>
      </c>
      <c r="F365" s="11">
        <v>0.20093776251914</v>
      </c>
      <c r="G365" s="11">
        <v>0.46229090430352099</v>
      </c>
      <c r="H365" s="11">
        <v>1.4442091488851901E-2</v>
      </c>
      <c r="I365" s="11">
        <v>9.9551154134442904E-2</v>
      </c>
      <c r="J365" s="11">
        <v>0.64816162493395102</v>
      </c>
      <c r="K365" s="11">
        <v>3.3283859586759501E-2</v>
      </c>
      <c r="L365" s="11">
        <v>0.828601258477209</v>
      </c>
      <c r="M365" s="11">
        <v>3.3962014678564599E-3</v>
      </c>
      <c r="N365" s="11">
        <v>0.144037615703283</v>
      </c>
      <c r="O365" s="11">
        <v>5.6354031737539199E-3</v>
      </c>
      <c r="P365" s="11">
        <v>0</v>
      </c>
      <c r="Q365" s="11">
        <v>0.29763586298900602</v>
      </c>
      <c r="R365" s="11">
        <v>4.4479486231481E-2</v>
      </c>
      <c r="S365" s="11">
        <v>6.2062552935717698E-2</v>
      </c>
      <c r="T365" s="11">
        <v>3.3363831580480998E-3</v>
      </c>
      <c r="U365" s="11">
        <v>7.1802399856178197E-3</v>
      </c>
      <c r="V365" s="11">
        <v>0</v>
      </c>
      <c r="W365" s="11">
        <v>0.28320300059612602</v>
      </c>
      <c r="X365" s="11">
        <v>2.1730205073713201E-2</v>
      </c>
      <c r="Y365" s="11">
        <v>1.7576350629087301E-3</v>
      </c>
      <c r="Z365" s="11">
        <v>4.6472888544838798E-3</v>
      </c>
      <c r="AA365" s="11">
        <v>0</v>
      </c>
    </row>
    <row r="366" spans="1:27">
      <c r="A366" s="5"/>
      <c r="B366" s="5" t="s">
        <v>442</v>
      </c>
      <c r="C366" s="5" t="s">
        <v>443</v>
      </c>
      <c r="D366" s="11">
        <v>2.0732577944809298</v>
      </c>
      <c r="E366" s="164">
        <v>721.17762616253503</v>
      </c>
      <c r="F366" s="11">
        <v>0.231056898475895</v>
      </c>
      <c r="G366" s="11">
        <v>0.30794923509136102</v>
      </c>
      <c r="H366" s="11">
        <v>1.55416993800889</v>
      </c>
      <c r="I366" s="11">
        <v>6.9612142872259503E-2</v>
      </c>
      <c r="J366" s="11">
        <v>0.36885773921116699</v>
      </c>
      <c r="K366" s="11">
        <v>2.9322295036400801E-2</v>
      </c>
      <c r="L366" s="11">
        <v>0.63911359183429195</v>
      </c>
      <c r="M366" s="11">
        <v>1.7184174101238399E-3</v>
      </c>
      <c r="N366" s="11">
        <v>0.115053305292553</v>
      </c>
      <c r="O366" s="11">
        <v>6.6415205430914604E-3</v>
      </c>
      <c r="P366" s="11">
        <v>5.1289406933261597E-3</v>
      </c>
      <c r="Q366" s="11">
        <v>0.22699158731782099</v>
      </c>
      <c r="R366" s="11">
        <v>1.8742087178680901E-2</v>
      </c>
      <c r="S366" s="11">
        <v>1.8764987465711602E-2</v>
      </c>
      <c r="T366" s="11">
        <v>1.04857277637264E-2</v>
      </c>
      <c r="U366" s="11">
        <v>4.7346951405429103E-3</v>
      </c>
      <c r="V366" s="11">
        <v>0</v>
      </c>
      <c r="W366" s="11">
        <v>0.17190087024388701</v>
      </c>
      <c r="X366" s="11">
        <v>1.9604420822806501E-2</v>
      </c>
      <c r="Y366" s="11">
        <v>0</v>
      </c>
      <c r="Z366" s="11">
        <v>3.2846070065982798E-3</v>
      </c>
      <c r="AA366" s="11">
        <v>0</v>
      </c>
    </row>
    <row r="367" spans="1:27">
      <c r="A367" s="5"/>
      <c r="B367" s="5" t="s">
        <v>444</v>
      </c>
      <c r="C367" s="5" t="s">
        <v>445</v>
      </c>
      <c r="D367" s="11">
        <v>3.1179462706298402</v>
      </c>
      <c r="E367" s="164">
        <v>735.18370366630495</v>
      </c>
      <c r="F367" s="11">
        <v>0.227806363374703</v>
      </c>
      <c r="G367" s="11">
        <v>0.32208309158503701</v>
      </c>
      <c r="H367" s="11">
        <v>2.0399996487524798E-2</v>
      </c>
      <c r="I367" s="11">
        <v>4.96030346842899E-2</v>
      </c>
      <c r="J367" s="11">
        <v>0.51884877110481797</v>
      </c>
      <c r="K367" s="11">
        <v>4.4926768802683197E-2</v>
      </c>
      <c r="L367" s="11">
        <v>0.65130869343070996</v>
      </c>
      <c r="M367" s="11">
        <v>6.31300663595927E-3</v>
      </c>
      <c r="N367" s="11">
        <v>0.10121854174337699</v>
      </c>
      <c r="O367" s="11">
        <v>5.4300333698906198E-3</v>
      </c>
      <c r="P367" s="11">
        <v>0</v>
      </c>
      <c r="Q367" s="11">
        <v>0.33791004450346401</v>
      </c>
      <c r="R367" s="11">
        <v>0</v>
      </c>
      <c r="S367" s="11">
        <v>2.1229357312876E-2</v>
      </c>
      <c r="T367" s="11">
        <v>8.8472233802856601E-3</v>
      </c>
      <c r="U367" s="11">
        <v>5.6129789862468197E-3</v>
      </c>
      <c r="V367" s="11">
        <v>1.6614421775242E-2</v>
      </c>
      <c r="W367" s="11">
        <v>0.21551061973864499</v>
      </c>
      <c r="X367" s="11">
        <v>1.9275207406924001E-2</v>
      </c>
      <c r="Y367" s="11">
        <v>1.68002303372351E-3</v>
      </c>
      <c r="Z367" s="11">
        <v>3.11988785286772E-3</v>
      </c>
      <c r="AA367" s="11">
        <v>0</v>
      </c>
    </row>
    <row r="368" spans="1:27">
      <c r="A368" s="5"/>
      <c r="B368" s="5" t="s">
        <v>446</v>
      </c>
      <c r="C368" s="5" t="s">
        <v>447</v>
      </c>
      <c r="D368" s="11">
        <v>2.29078165935984</v>
      </c>
      <c r="E368" s="164">
        <v>572.40995441139705</v>
      </c>
      <c r="F368" s="11">
        <v>0.19843558020006</v>
      </c>
      <c r="G368" s="11">
        <v>0.267342754432703</v>
      </c>
      <c r="H368" s="11">
        <v>1.6092790594127899E-2</v>
      </c>
      <c r="I368" s="11">
        <v>2.7201555208482699E-2</v>
      </c>
      <c r="J368" s="11">
        <v>0.353644508671701</v>
      </c>
      <c r="K368" s="11">
        <v>2.9024860215274301E-2</v>
      </c>
      <c r="L368" s="11">
        <v>0.71075026418852905</v>
      </c>
      <c r="M368" s="11">
        <v>3.4512392388618301E-3</v>
      </c>
      <c r="N368" s="11">
        <v>0.11331601206849</v>
      </c>
      <c r="O368" s="11">
        <v>0</v>
      </c>
      <c r="P368" s="11">
        <v>0</v>
      </c>
      <c r="Q368" s="11">
        <v>0.206816747217592</v>
      </c>
      <c r="R368" s="11">
        <v>1.9498504666715901E-2</v>
      </c>
      <c r="S368" s="11">
        <v>0</v>
      </c>
      <c r="T368" s="11">
        <v>1.0885577848882199E-2</v>
      </c>
      <c r="U368" s="11">
        <v>6.5073462584750797E-3</v>
      </c>
      <c r="V368" s="11">
        <v>0</v>
      </c>
      <c r="W368" s="11">
        <v>0.17113314771841501</v>
      </c>
      <c r="X368" s="11">
        <v>1.19921793525291E-2</v>
      </c>
      <c r="Y368" s="11">
        <v>3.08824994214175E-3</v>
      </c>
      <c r="Z368" s="11">
        <v>2.3785424662861598E-3</v>
      </c>
      <c r="AA368" s="11">
        <v>5.2384876383102803E-2</v>
      </c>
    </row>
    <row r="369" spans="1:27">
      <c r="A369" s="5"/>
      <c r="B369" s="5" t="s">
        <v>448</v>
      </c>
      <c r="C369" s="5" t="s">
        <v>449</v>
      </c>
      <c r="D369" s="11">
        <v>9.0963745708898198</v>
      </c>
      <c r="E369" s="164">
        <v>991.43534977079798</v>
      </c>
      <c r="F369" s="11">
        <v>0.13609122834144699</v>
      </c>
      <c r="G369" s="11">
        <v>0.36262132133097602</v>
      </c>
      <c r="H369" s="11">
        <v>1.7420136549580599E-2</v>
      </c>
      <c r="I369" s="11">
        <v>0.109656129740071</v>
      </c>
      <c r="J369" s="11">
        <v>0.75652301120686605</v>
      </c>
      <c r="K369" s="11">
        <v>5.7897875761748499E-2</v>
      </c>
      <c r="L369" s="11">
        <v>1.0015020776701999</v>
      </c>
      <c r="M369" s="11">
        <v>7.7318689865739096E-3</v>
      </c>
      <c r="N369" s="11">
        <v>0.232016335242195</v>
      </c>
      <c r="O369" s="11">
        <v>9.7652001885525398E-3</v>
      </c>
      <c r="P369" s="11">
        <v>1.48749915024965E-2</v>
      </c>
      <c r="Q369" s="11">
        <v>0.12766937162383199</v>
      </c>
      <c r="R369" s="11">
        <v>2.0213929124875699E-2</v>
      </c>
      <c r="S369" s="11">
        <v>0.17115427197025701</v>
      </c>
      <c r="T369" s="11">
        <v>1.23067002792898E-2</v>
      </c>
      <c r="U369" s="11">
        <v>2.0045176576395901E-2</v>
      </c>
      <c r="V369" s="11">
        <v>0</v>
      </c>
      <c r="W369" s="11">
        <v>0.440230492745188</v>
      </c>
      <c r="X369" s="11">
        <v>5.47219120482757E-2</v>
      </c>
      <c r="Y369" s="11">
        <v>2.7604300306076799E-3</v>
      </c>
      <c r="Z369" s="11">
        <v>1.1657258899755E-2</v>
      </c>
      <c r="AA369" s="11">
        <v>0.12835901246492101</v>
      </c>
    </row>
    <row r="370" spans="1:27">
      <c r="A370" s="5"/>
      <c r="B370" s="5" t="s">
        <v>450</v>
      </c>
      <c r="C370" s="5" t="s">
        <v>451</v>
      </c>
      <c r="D370" s="11">
        <v>9.9110613737953805</v>
      </c>
      <c r="E370" s="164">
        <v>729.74253899718099</v>
      </c>
      <c r="F370" s="11">
        <v>0.115911201281109</v>
      </c>
      <c r="G370" s="11">
        <v>0.35153796743953702</v>
      </c>
      <c r="H370" s="11">
        <v>1.10682597034895E-2</v>
      </c>
      <c r="I370" s="11">
        <v>6.2640274265201995E-2</v>
      </c>
      <c r="J370" s="11">
        <v>0.72556535751599704</v>
      </c>
      <c r="K370" s="11">
        <v>4.1855674352452701E-2</v>
      </c>
      <c r="L370" s="11">
        <v>0.51560475149023499</v>
      </c>
      <c r="M370" s="11">
        <v>1.3600066779173499E-2</v>
      </c>
      <c r="N370" s="11">
        <v>0.185006695597766</v>
      </c>
      <c r="O370" s="11">
        <v>0</v>
      </c>
      <c r="P370" s="11">
        <v>0</v>
      </c>
      <c r="Q370" s="11">
        <v>0.15564781520660101</v>
      </c>
      <c r="R370" s="11">
        <v>0</v>
      </c>
      <c r="S370" s="11">
        <v>9.7420273688749698E-2</v>
      </c>
      <c r="T370" s="11">
        <v>3.02023203500821E-2</v>
      </c>
      <c r="U370" s="11">
        <v>1.7787386087197599E-2</v>
      </c>
      <c r="V370" s="11">
        <v>6.3356124873085895E-2</v>
      </c>
      <c r="W370" s="11">
        <v>0.40012904812094102</v>
      </c>
      <c r="X370" s="11">
        <v>4.7094253607122903E-2</v>
      </c>
      <c r="Y370" s="11">
        <v>0</v>
      </c>
      <c r="Z370" s="11">
        <v>1.0610750637071099E-2</v>
      </c>
      <c r="AA370" s="11">
        <v>0</v>
      </c>
    </row>
    <row r="371" spans="1:27">
      <c r="A371" s="5"/>
      <c r="B371" s="5" t="s">
        <v>452</v>
      </c>
      <c r="C371" s="5" t="s">
        <v>453</v>
      </c>
      <c r="D371" s="11">
        <v>8.4675766918952906</v>
      </c>
      <c r="E371" s="164">
        <v>725.27136533660996</v>
      </c>
      <c r="F371" s="11">
        <v>0.17691869578807201</v>
      </c>
      <c r="G371" s="11">
        <v>0.346508066227949</v>
      </c>
      <c r="H371" s="11">
        <v>1.1059616646992799E-2</v>
      </c>
      <c r="I371" s="11">
        <v>8.2440287371536594E-2</v>
      </c>
      <c r="J371" s="11">
        <v>0.64964400759352203</v>
      </c>
      <c r="K371" s="11">
        <v>4.5578996787912301E-2</v>
      </c>
      <c r="L371" s="11">
        <v>0.65971967314900903</v>
      </c>
      <c r="M371" s="11">
        <v>2.4785915067601699E-3</v>
      </c>
      <c r="N371" s="11">
        <v>0.16649921057956099</v>
      </c>
      <c r="O371" s="11">
        <v>1.28371832692369E-2</v>
      </c>
      <c r="P371" s="11">
        <v>1.19516585509673E-2</v>
      </c>
      <c r="Q371" s="11">
        <v>0.15545164591996399</v>
      </c>
      <c r="R371" s="11">
        <v>1.9383425424972001E-2</v>
      </c>
      <c r="S371" s="11">
        <v>0.211299667925401</v>
      </c>
      <c r="T371" s="11">
        <v>2.2232870245168301E-2</v>
      </c>
      <c r="U371" s="11">
        <v>2.2757028917048599E-2</v>
      </c>
      <c r="V371" s="11">
        <v>4.2136257083221502E-2</v>
      </c>
      <c r="W371" s="11">
        <v>0.34171940708257598</v>
      </c>
      <c r="X371" s="11">
        <v>5.9268649547122902E-2</v>
      </c>
      <c r="Y371" s="11">
        <v>2.6526105189824301E-3</v>
      </c>
      <c r="Z371" s="11">
        <v>9.23133952681752E-3</v>
      </c>
      <c r="AA371" s="11">
        <v>0</v>
      </c>
    </row>
    <row r="372" spans="1:27">
      <c r="A372" s="5"/>
      <c r="B372" s="5" t="s">
        <v>454</v>
      </c>
      <c r="C372" s="5" t="s">
        <v>455</v>
      </c>
      <c r="D372" s="11">
        <v>9.2201229351394201</v>
      </c>
      <c r="E372" s="164">
        <v>749.06652596054005</v>
      </c>
      <c r="F372" s="11">
        <v>9.2991868429520702E-2</v>
      </c>
      <c r="G372" s="11">
        <v>0.38464361769321298</v>
      </c>
      <c r="H372" s="11">
        <v>9.6872576515881197E-3</v>
      </c>
      <c r="I372" s="11">
        <v>0.10719447850263999</v>
      </c>
      <c r="J372" s="11">
        <v>0.68096845734946798</v>
      </c>
      <c r="K372" s="11">
        <v>4.8064204195412297E-2</v>
      </c>
      <c r="L372" s="11">
        <v>0.76433847478813299</v>
      </c>
      <c r="M372" s="11">
        <v>7.8721278486389608E-3</v>
      </c>
      <c r="N372" s="11">
        <v>0.201330556998741</v>
      </c>
      <c r="O372" s="11">
        <v>1.40542013544521E-2</v>
      </c>
      <c r="P372" s="11">
        <v>2.4146510592693501E-2</v>
      </c>
      <c r="Q372" s="11">
        <v>0.16790481321109499</v>
      </c>
      <c r="R372" s="11">
        <v>2.8229675615266101E-2</v>
      </c>
      <c r="S372" s="11">
        <v>0.12964039495818799</v>
      </c>
      <c r="T372" s="11">
        <v>1.5608002829842101E-2</v>
      </c>
      <c r="U372" s="11">
        <v>2.4265983998144301E-2</v>
      </c>
      <c r="V372" s="11">
        <v>0</v>
      </c>
      <c r="W372" s="11">
        <v>0.376772867942685</v>
      </c>
      <c r="X372" s="11">
        <v>5.1370132469213202E-2</v>
      </c>
      <c r="Y372" s="11">
        <v>6.1332234399497998E-3</v>
      </c>
      <c r="Z372" s="11">
        <v>8.9176236463395005E-3</v>
      </c>
      <c r="AA372" s="11">
        <v>0</v>
      </c>
    </row>
    <row r="373" spans="1:27">
      <c r="A373" s="5"/>
      <c r="B373" s="5" t="s">
        <v>456</v>
      </c>
      <c r="C373" s="5" t="s">
        <v>457</v>
      </c>
      <c r="D373" s="11">
        <v>9.1961794467447504</v>
      </c>
      <c r="E373" s="164">
        <v>700.07828704401004</v>
      </c>
      <c r="F373" s="11">
        <v>0.17732852844900701</v>
      </c>
      <c r="G373" s="11">
        <v>0.33802677352357302</v>
      </c>
      <c r="H373" s="11">
        <v>1.2205644704234599E-2</v>
      </c>
      <c r="I373" s="11">
        <v>0.107448690202272</v>
      </c>
      <c r="J373" s="11">
        <v>0.56573542853137304</v>
      </c>
      <c r="K373" s="11">
        <v>6.0460104579410603E-2</v>
      </c>
      <c r="L373" s="11">
        <v>0.59389640199205695</v>
      </c>
      <c r="M373" s="11">
        <v>3.5717996768963199E-3</v>
      </c>
      <c r="N373" s="11">
        <v>0.20562543205068901</v>
      </c>
      <c r="O373" s="11">
        <v>6.9563275016100799E-3</v>
      </c>
      <c r="P373" s="11">
        <v>1.9816705187258098E-2</v>
      </c>
      <c r="Q373" s="11">
        <v>0.15504648996881101</v>
      </c>
      <c r="R373" s="11">
        <v>2.0055904484239499E-2</v>
      </c>
      <c r="S373" s="11">
        <v>0.137954148157965</v>
      </c>
      <c r="T373" s="11">
        <v>2.6642412970193499E-2</v>
      </c>
      <c r="U373" s="11">
        <v>2.08731250641234E-2</v>
      </c>
      <c r="V373" s="11">
        <v>3.0322432506159399E-2</v>
      </c>
      <c r="W373" s="11">
        <v>0.45725673176222897</v>
      </c>
      <c r="X373" s="11">
        <v>4.5642951835524102E-2</v>
      </c>
      <c r="Y373" s="11">
        <v>0</v>
      </c>
      <c r="Z373" s="11">
        <v>1.7544309323564999E-2</v>
      </c>
      <c r="AA373" s="11">
        <v>0.257014202930756</v>
      </c>
    </row>
    <row r="374" spans="1:27">
      <c r="A374" s="5"/>
      <c r="B374" s="5" t="s">
        <v>458</v>
      </c>
      <c r="C374" s="5" t="s">
        <v>459</v>
      </c>
      <c r="D374" s="11">
        <v>7.7232875194058401</v>
      </c>
      <c r="E374" s="164">
        <v>780.18905908729403</v>
      </c>
      <c r="F374" s="11">
        <v>0.15971766460739401</v>
      </c>
      <c r="G374" s="11">
        <v>0.31573999814953002</v>
      </c>
      <c r="H374" s="11">
        <v>1.4162716326742399E-2</v>
      </c>
      <c r="I374" s="11">
        <v>9.0176137064706202E-2</v>
      </c>
      <c r="J374" s="11">
        <v>0.64973877418042103</v>
      </c>
      <c r="K374" s="11">
        <v>6.5216428288021405E-2</v>
      </c>
      <c r="L374" s="11">
        <v>0.96468670236340504</v>
      </c>
      <c r="M374" s="11">
        <v>4.0366260011123704E-3</v>
      </c>
      <c r="N374" s="11">
        <v>0.19716875081683499</v>
      </c>
      <c r="O374" s="11">
        <v>0</v>
      </c>
      <c r="P374" s="11">
        <v>1.18343364216906E-2</v>
      </c>
      <c r="Q374" s="11">
        <v>0.15011970641560299</v>
      </c>
      <c r="R374" s="11">
        <v>1.8800622707142198E-2</v>
      </c>
      <c r="S374" s="11">
        <v>0.144880903034979</v>
      </c>
      <c r="T374" s="11">
        <v>2.1831150665413999E-2</v>
      </c>
      <c r="U374" s="11">
        <v>1.55566258941012E-2</v>
      </c>
      <c r="V374" s="11">
        <v>4.8653645107774597E-2</v>
      </c>
      <c r="W374" s="11">
        <v>0.46872680569963698</v>
      </c>
      <c r="X374" s="11">
        <v>4.9434772814911203E-2</v>
      </c>
      <c r="Y374" s="11">
        <v>2.5837125671385702E-3</v>
      </c>
      <c r="Z374" s="11">
        <v>5.7347223345475999E-3</v>
      </c>
      <c r="AA374" s="11">
        <v>0.121003951228767</v>
      </c>
    </row>
    <row r="375" spans="1:27">
      <c r="A375" s="5"/>
      <c r="B375" s="5" t="s">
        <v>460</v>
      </c>
      <c r="C375" s="5" t="s">
        <v>461</v>
      </c>
      <c r="D375" s="11">
        <v>9.5421774634722301</v>
      </c>
      <c r="E375" s="164">
        <v>792.68103818973998</v>
      </c>
      <c r="F375" s="11">
        <v>0.14419236997927001</v>
      </c>
      <c r="G375" s="11">
        <v>0.41938742339879997</v>
      </c>
      <c r="H375" s="11">
        <v>1.1544721270398101E-2</v>
      </c>
      <c r="I375" s="11">
        <v>9.1999422470725803E-2</v>
      </c>
      <c r="J375" s="11">
        <v>0.56775293582152597</v>
      </c>
      <c r="K375" s="11">
        <v>6.2901416650392797E-2</v>
      </c>
      <c r="L375" s="11">
        <v>0.61043544746227496</v>
      </c>
      <c r="M375" s="11">
        <v>5.4076005935549702E-3</v>
      </c>
      <c r="N375" s="11">
        <v>0.17049964839361001</v>
      </c>
      <c r="O375" s="11">
        <v>1.6700657305302801E-2</v>
      </c>
      <c r="P375" s="11">
        <v>9.1513327930079508E-3</v>
      </c>
      <c r="Q375" s="11">
        <v>0.14844570342430699</v>
      </c>
      <c r="R375" s="11">
        <v>2.0152524710926802E-2</v>
      </c>
      <c r="S375" s="11">
        <v>0.16365519166262399</v>
      </c>
      <c r="T375" s="11">
        <v>8.5796398023413305E-3</v>
      </c>
      <c r="U375" s="11">
        <v>1.6452869054592499E-2</v>
      </c>
      <c r="V375" s="11">
        <v>0</v>
      </c>
      <c r="W375" s="11">
        <v>0.34528821430343498</v>
      </c>
      <c r="X375" s="11">
        <v>4.9551862981488601E-2</v>
      </c>
      <c r="Y375" s="11">
        <v>6.6224557615882597E-3</v>
      </c>
      <c r="Z375" s="11">
        <v>8.2474346321176808E-3</v>
      </c>
      <c r="AA375" s="11">
        <v>0.129994502661017</v>
      </c>
    </row>
    <row r="376" spans="1:27">
      <c r="A376" s="5"/>
      <c r="B376" s="5" t="s">
        <v>462</v>
      </c>
      <c r="C376" s="5" t="s">
        <v>463</v>
      </c>
      <c r="D376" s="11">
        <v>8.8449264968761803</v>
      </c>
      <c r="E376" s="164">
        <v>906.88789162303601</v>
      </c>
      <c r="F376" s="11">
        <v>0.16354547866044</v>
      </c>
      <c r="G376" s="11">
        <v>0.45322915281838999</v>
      </c>
      <c r="H376" s="11">
        <v>1.8814719208559299E-2</v>
      </c>
      <c r="I376" s="11">
        <v>7.4925712046874204E-2</v>
      </c>
      <c r="J376" s="11">
        <v>0.60177190336945197</v>
      </c>
      <c r="K376" s="11">
        <v>7.7842551512754696E-2</v>
      </c>
      <c r="L376" s="11">
        <v>0.82498096527349996</v>
      </c>
      <c r="M376" s="11">
        <v>7.3528942090510998E-3</v>
      </c>
      <c r="N376" s="11">
        <v>0.17002532495526501</v>
      </c>
      <c r="O376" s="11">
        <v>0</v>
      </c>
      <c r="P376" s="11">
        <v>9.4366606833346297E-3</v>
      </c>
      <c r="Q376" s="11">
        <v>0.155784755856129</v>
      </c>
      <c r="R376" s="11">
        <v>2.8576615967411501E-2</v>
      </c>
      <c r="S376" s="11">
        <v>0.186011090746906</v>
      </c>
      <c r="T376" s="11">
        <v>9.9740803429328607E-3</v>
      </c>
      <c r="U376" s="11">
        <v>2.4918943698490702E-2</v>
      </c>
      <c r="V376" s="11">
        <v>5.3119491976321299E-2</v>
      </c>
      <c r="W376" s="11">
        <v>0.38323888772994802</v>
      </c>
      <c r="X376" s="11">
        <v>5.7552161755388201E-2</v>
      </c>
      <c r="Y376" s="11">
        <v>6.7730764743513597E-3</v>
      </c>
      <c r="Z376" s="11">
        <v>1.16402029185353E-2</v>
      </c>
      <c r="AA376" s="11">
        <v>0.133870969293024</v>
      </c>
    </row>
    <row r="377" spans="1:27">
      <c r="A377" s="5"/>
      <c r="B377" s="5" t="s">
        <v>464</v>
      </c>
      <c r="C377" s="5" t="s">
        <v>465</v>
      </c>
      <c r="D377" s="11">
        <v>9.4110724005230804</v>
      </c>
      <c r="E377" s="164">
        <v>976.91796947421403</v>
      </c>
      <c r="F377" s="11">
        <v>0.16170692119928201</v>
      </c>
      <c r="G377" s="11">
        <v>0.299047955378686</v>
      </c>
      <c r="H377" s="11">
        <v>1.8171416116095102E-2</v>
      </c>
      <c r="I377" s="11">
        <v>0.13939531459971599</v>
      </c>
      <c r="J377" s="11">
        <v>0.76684539379958105</v>
      </c>
      <c r="K377" s="11">
        <v>8.7456619795040103E-2</v>
      </c>
      <c r="L377" s="11">
        <v>0.88005142410211001</v>
      </c>
      <c r="M377" s="11">
        <v>4.7198477907137697E-3</v>
      </c>
      <c r="N377" s="11">
        <v>0.26635686981412998</v>
      </c>
      <c r="O377" s="11">
        <v>0</v>
      </c>
      <c r="P377" s="11">
        <v>1.00984693468047E-2</v>
      </c>
      <c r="Q377" s="11">
        <v>0.19173216469128501</v>
      </c>
      <c r="R377" s="11">
        <v>6.5671270836714202E-2</v>
      </c>
      <c r="S377" s="11">
        <v>0.164287927133659</v>
      </c>
      <c r="T377" s="11">
        <v>2.3728374387250201E-2</v>
      </c>
      <c r="U377" s="11">
        <v>2.1264793064722901E-2</v>
      </c>
      <c r="V377" s="11">
        <v>2.37529296280144E-2</v>
      </c>
      <c r="W377" s="11">
        <v>0.32570451223782898</v>
      </c>
      <c r="X377" s="11">
        <v>4.61610659050221E-2</v>
      </c>
      <c r="Y377" s="11">
        <v>8.4434351716708694E-3</v>
      </c>
      <c r="Z377" s="11">
        <v>1.0292450297411399E-2</v>
      </c>
      <c r="AA377" s="11">
        <v>0</v>
      </c>
    </row>
    <row r="378" spans="1:27">
      <c r="A378" s="5"/>
      <c r="B378" s="5" t="s">
        <v>466</v>
      </c>
      <c r="C378" s="5" t="s">
        <v>467</v>
      </c>
      <c r="D378" s="11">
        <v>8.1480998716472506</v>
      </c>
      <c r="E378" s="164">
        <v>815.53560490053599</v>
      </c>
      <c r="F378" s="11">
        <v>0.185966753684215</v>
      </c>
      <c r="G378" s="11">
        <v>0.39767599517137098</v>
      </c>
      <c r="H378" s="11">
        <v>1.25249249644022E-2</v>
      </c>
      <c r="I378" s="11">
        <v>6.5054998924859997E-2</v>
      </c>
      <c r="J378" s="11">
        <v>0.87895930299816105</v>
      </c>
      <c r="K378" s="11">
        <v>5.1476728907679799E-2</v>
      </c>
      <c r="L378" s="11">
        <v>0.68298155295938101</v>
      </c>
      <c r="M378" s="11">
        <v>1.0549539600691899E-2</v>
      </c>
      <c r="N378" s="11">
        <v>0.13998524397001</v>
      </c>
      <c r="O378" s="11">
        <v>9.9858205898632497E-3</v>
      </c>
      <c r="P378" s="11">
        <v>2.5393217979254701E-2</v>
      </c>
      <c r="Q378" s="11">
        <v>0.11873017936451299</v>
      </c>
      <c r="R378" s="11">
        <v>2.0492688825172699E-2</v>
      </c>
      <c r="S378" s="11">
        <v>0.216967168666542</v>
      </c>
      <c r="T378" s="11">
        <v>1.8094167764365E-2</v>
      </c>
      <c r="U378" s="11">
        <v>2.1375436941677001E-2</v>
      </c>
      <c r="V378" s="11">
        <v>2.2254180188427598E-2</v>
      </c>
      <c r="W378" s="11">
        <v>0.508959949781015</v>
      </c>
      <c r="X378" s="11">
        <v>5.4142231482590397E-2</v>
      </c>
      <c r="Y378" s="11">
        <v>6.2758611226257097E-3</v>
      </c>
      <c r="Z378" s="11">
        <v>7.59445446919387E-3</v>
      </c>
      <c r="AA378" s="11">
        <v>0.18754433871557699</v>
      </c>
    </row>
    <row r="379" spans="1:27">
      <c r="A379" s="5"/>
      <c r="B379" s="5" t="s">
        <v>468</v>
      </c>
      <c r="C379" s="5" t="s">
        <v>469</v>
      </c>
      <c r="D379" s="11">
        <v>7.1033895654740302</v>
      </c>
      <c r="E379" s="164">
        <v>849.11906774875001</v>
      </c>
      <c r="F379" s="11">
        <v>0.195127899993397</v>
      </c>
      <c r="G379" s="11">
        <v>0.42677221014880701</v>
      </c>
      <c r="H379" s="11">
        <v>7.9477812980868392E-3</v>
      </c>
      <c r="I379" s="11">
        <v>7.4282451721517997E-2</v>
      </c>
      <c r="J379" s="11">
        <v>0.712591516201032</v>
      </c>
      <c r="K379" s="11">
        <v>4.5157099931965802E-2</v>
      </c>
      <c r="L379" s="11">
        <v>0.78020694450290295</v>
      </c>
      <c r="M379" s="11">
        <v>9.4709748912081698E-3</v>
      </c>
      <c r="N379" s="11">
        <v>0.17177916850699201</v>
      </c>
      <c r="O379" s="11">
        <v>2.1609079222591501E-2</v>
      </c>
      <c r="P379" s="11">
        <v>2.5435503158981899E-2</v>
      </c>
      <c r="Q379" s="11">
        <v>0.18338058873646501</v>
      </c>
      <c r="R379" s="11">
        <v>1.9681215138230901E-2</v>
      </c>
      <c r="S379" s="11">
        <v>0.124630171366976</v>
      </c>
      <c r="T379" s="11">
        <v>2.0553458273994199E-2</v>
      </c>
      <c r="U379" s="11">
        <v>1.78533246249717E-2</v>
      </c>
      <c r="V379" s="11">
        <v>4.7263908181092697E-2</v>
      </c>
      <c r="W379" s="11">
        <v>0.42995314611991198</v>
      </c>
      <c r="X379" s="11">
        <v>5.1779559385125899E-2</v>
      </c>
      <c r="Y379" s="11">
        <v>0</v>
      </c>
      <c r="Z379" s="11">
        <v>4.2659737508302601E-3</v>
      </c>
      <c r="AA379" s="11">
        <v>0.44815704036242399</v>
      </c>
    </row>
    <row r="380" spans="1:27">
      <c r="A380" s="5"/>
      <c r="B380" s="5" t="s">
        <v>470</v>
      </c>
      <c r="C380" s="5" t="s">
        <v>471</v>
      </c>
      <c r="D380" s="11">
        <v>8.7159460750236608</v>
      </c>
      <c r="E380" s="164">
        <v>815.07819559113796</v>
      </c>
      <c r="F380" s="11">
        <v>0.15426129771439401</v>
      </c>
      <c r="G380" s="11">
        <v>0.33462927861826602</v>
      </c>
      <c r="H380" s="11">
        <v>1.51934969723867E-2</v>
      </c>
      <c r="I380" s="11">
        <v>0.13795719439328899</v>
      </c>
      <c r="J380" s="11">
        <v>0.68029368901805598</v>
      </c>
      <c r="K380" s="11">
        <v>3.8066569480733101E-2</v>
      </c>
      <c r="L380" s="11">
        <v>0.78384719762579702</v>
      </c>
      <c r="M380" s="11">
        <v>8.2553195491176304E-3</v>
      </c>
      <c r="N380" s="11">
        <v>0.17163274852600199</v>
      </c>
      <c r="O380" s="11">
        <v>0</v>
      </c>
      <c r="P380" s="11">
        <v>9.2141785038838495E-3</v>
      </c>
      <c r="Q380" s="11">
        <v>0.174641982328853</v>
      </c>
      <c r="R380" s="11">
        <v>0</v>
      </c>
      <c r="S380" s="11">
        <v>0.13242929896768599</v>
      </c>
      <c r="T380" s="11">
        <v>1.2922688204464501E-2</v>
      </c>
      <c r="U380" s="11">
        <v>1.71117241336604E-2</v>
      </c>
      <c r="V380" s="11">
        <v>2.1551721034936001E-2</v>
      </c>
      <c r="W380" s="11">
        <v>0.37037881859397598</v>
      </c>
      <c r="X380" s="11">
        <v>5.4249841296525998E-2</v>
      </c>
      <c r="Y380" s="11">
        <v>2.7532465358324101E-3</v>
      </c>
      <c r="Z380" s="11">
        <v>8.28046624624461E-3</v>
      </c>
      <c r="AA380" s="11">
        <v>0.38252875980464601</v>
      </c>
    </row>
    <row r="381" spans="1:27">
      <c r="A381" s="5"/>
      <c r="B381" s="5" t="s">
        <v>472</v>
      </c>
      <c r="C381" s="5" t="s">
        <v>473</v>
      </c>
      <c r="D381" s="11">
        <v>8.5045212663195695</v>
      </c>
      <c r="E381" s="164">
        <v>963.13875253266201</v>
      </c>
      <c r="F381" s="11">
        <v>0.24679432489915901</v>
      </c>
      <c r="G381" s="11">
        <v>0.45267124129495401</v>
      </c>
      <c r="H381" s="11">
        <v>1.8828699281697E-2</v>
      </c>
      <c r="I381" s="11">
        <v>7.9418559378397494E-2</v>
      </c>
      <c r="J381" s="11">
        <v>0.769432163182039</v>
      </c>
      <c r="K381" s="11">
        <v>7.2243977295026005E-2</v>
      </c>
      <c r="L381" s="11">
        <v>0.58097358400219701</v>
      </c>
      <c r="M381" s="11">
        <v>9.3234809785184506E-3</v>
      </c>
      <c r="N381" s="11">
        <v>0.188832598673529</v>
      </c>
      <c r="O381" s="11">
        <v>7.3556498288505096E-3</v>
      </c>
      <c r="P381" s="11">
        <v>2.9278226489426899E-2</v>
      </c>
      <c r="Q381" s="11">
        <v>0.206409514565848</v>
      </c>
      <c r="R381" s="11">
        <v>5.8322085896043097E-2</v>
      </c>
      <c r="S381" s="11">
        <v>0.21391074088734299</v>
      </c>
      <c r="T381" s="11">
        <v>1.9773059010203799E-2</v>
      </c>
      <c r="U381" s="11">
        <v>1.88303054604004E-2</v>
      </c>
      <c r="V381" s="11">
        <v>0</v>
      </c>
      <c r="W381" s="11">
        <v>0.341624607382844</v>
      </c>
      <c r="X381" s="11">
        <v>5.8926499056629902E-2</v>
      </c>
      <c r="Y381" s="11">
        <v>8.1146760123442206E-3</v>
      </c>
      <c r="Z381" s="11">
        <v>8.3286172646069492E-3</v>
      </c>
      <c r="AA381" s="11">
        <v>0</v>
      </c>
    </row>
    <row r="382" spans="1:27">
      <c r="A382" s="5"/>
      <c r="B382" s="5" t="s">
        <v>474</v>
      </c>
      <c r="C382" s="5" t="s">
        <v>475</v>
      </c>
      <c r="D382" s="11">
        <v>9.1834396261373108</v>
      </c>
      <c r="E382" s="164">
        <v>1016.94096329063</v>
      </c>
      <c r="F382" s="11">
        <v>0.174254678265161</v>
      </c>
      <c r="G382" s="11">
        <v>0.355509594523994</v>
      </c>
      <c r="H382" s="11">
        <v>1.36066459645558E-2</v>
      </c>
      <c r="I382" s="11">
        <v>0.100742377880533</v>
      </c>
      <c r="J382" s="11">
        <v>0.66153494305173499</v>
      </c>
      <c r="K382" s="11">
        <v>4.0162690606293398E-2</v>
      </c>
      <c r="L382" s="11">
        <v>0.93005115303569896</v>
      </c>
      <c r="M382" s="11">
        <v>5.2411500967003699E-3</v>
      </c>
      <c r="N382" s="11">
        <v>0.19301606889763001</v>
      </c>
      <c r="O382" s="11">
        <v>7.1476059127149102E-3</v>
      </c>
      <c r="P382" s="11">
        <v>9.4934897395103496E-3</v>
      </c>
      <c r="Q382" s="11">
        <v>0.185950261224477</v>
      </c>
      <c r="R382" s="11">
        <v>6.1706910614963299E-2</v>
      </c>
      <c r="S382" s="11">
        <v>7.9091946904901705E-2</v>
      </c>
      <c r="T382" s="11">
        <v>1.46125213338634E-2</v>
      </c>
      <c r="U382" s="11">
        <v>2.5250084660087602E-2</v>
      </c>
      <c r="V382" s="11">
        <v>0</v>
      </c>
      <c r="W382" s="11">
        <v>0.26895803966294701</v>
      </c>
      <c r="X382" s="11">
        <v>4.93023806907395E-2</v>
      </c>
      <c r="Y382" s="11">
        <v>8.2616678646267906E-3</v>
      </c>
      <c r="Z382" s="11">
        <v>1.33805598000437E-2</v>
      </c>
      <c r="AA382" s="11">
        <v>0</v>
      </c>
    </row>
    <row r="383" spans="1:27">
      <c r="A383" s="5"/>
      <c r="B383" s="5" t="s">
        <v>476</v>
      </c>
      <c r="C383" s="5" t="s">
        <v>477</v>
      </c>
      <c r="D383" s="11">
        <v>7.9135422108149598</v>
      </c>
      <c r="E383" s="164">
        <v>914.44141701611204</v>
      </c>
      <c r="F383" s="11">
        <v>0.17257158732747699</v>
      </c>
      <c r="G383" s="11">
        <v>0.33598421639752202</v>
      </c>
      <c r="H383" s="11">
        <v>1.84310640022564E-2</v>
      </c>
      <c r="I383" s="11">
        <v>0.169109820220468</v>
      </c>
      <c r="J383" s="11">
        <v>0.65010874849579703</v>
      </c>
      <c r="K383" s="11">
        <v>3.9769826702626701E-2</v>
      </c>
      <c r="L383" s="11">
        <v>0.81535634779189403</v>
      </c>
      <c r="M383" s="11">
        <v>2.59219460129014E-3</v>
      </c>
      <c r="N383" s="11">
        <v>0.15219706600130201</v>
      </c>
      <c r="O383" s="11">
        <v>7.0734155364322203E-3</v>
      </c>
      <c r="P383" s="11">
        <v>2.9477494081317699E-2</v>
      </c>
      <c r="Q383" s="11">
        <v>0.17847571471946799</v>
      </c>
      <c r="R383" s="11">
        <v>3.37109021624118E-2</v>
      </c>
      <c r="S383" s="11">
        <v>0.17624336920425501</v>
      </c>
      <c r="T383" s="11">
        <v>2.1720927798049901E-2</v>
      </c>
      <c r="U383" s="11">
        <v>2.8728954852054799E-2</v>
      </c>
      <c r="V383" s="11">
        <v>2.18749851473546E-2</v>
      </c>
      <c r="W383" s="11">
        <v>0.265765016063852</v>
      </c>
      <c r="X383" s="11">
        <v>5.4651707042962398E-2</v>
      </c>
      <c r="Y383" s="11">
        <v>2.79857323533609E-3</v>
      </c>
      <c r="Z383" s="11">
        <v>1.14039600384377E-2</v>
      </c>
      <c r="AA383" s="11">
        <v>0</v>
      </c>
    </row>
    <row r="384" spans="1:27">
      <c r="A384" s="4" t="s">
        <v>478</v>
      </c>
      <c r="D384" s="11"/>
      <c r="E384" s="164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>
      <c r="A385" s="5"/>
      <c r="B385" s="5" t="s">
        <v>479</v>
      </c>
      <c r="C385" s="5" t="s">
        <v>480</v>
      </c>
      <c r="D385" s="11">
        <v>8.8231292656660791</v>
      </c>
      <c r="E385" s="164">
        <v>2049.3723662249899</v>
      </c>
      <c r="F385" s="11">
        <v>0.22397182375865901</v>
      </c>
      <c r="G385" s="11">
        <v>0.94809208263891498</v>
      </c>
      <c r="H385" s="11">
        <v>5.1789474347641203E-2</v>
      </c>
      <c r="I385" s="11">
        <v>0</v>
      </c>
      <c r="J385" s="11">
        <v>1.81829263158629</v>
      </c>
      <c r="K385" s="11">
        <v>0.193966562725122</v>
      </c>
      <c r="L385" s="11">
        <v>1.91028530191601</v>
      </c>
      <c r="M385" s="11">
        <v>1.0283244454029601E-2</v>
      </c>
      <c r="N385" s="11">
        <v>0.40941754477495601</v>
      </c>
      <c r="O385" s="11">
        <v>0</v>
      </c>
      <c r="P385" s="11">
        <v>1.3656151942770201E-2</v>
      </c>
      <c r="Q385" s="11">
        <v>0.66946159589826704</v>
      </c>
      <c r="R385" s="11">
        <v>5.4284625142363298E-2</v>
      </c>
      <c r="S385" s="11">
        <v>5.5818144319721097E-2</v>
      </c>
      <c r="T385" s="11">
        <v>2.2235982779906599E-2</v>
      </c>
      <c r="U385" s="11">
        <v>1.2976551837752599E-2</v>
      </c>
      <c r="V385" s="11">
        <v>4.5163642606164803E-2</v>
      </c>
      <c r="W385" s="11">
        <v>0.23384400084233201</v>
      </c>
      <c r="X385" s="11">
        <v>6.8467248884186899E-2</v>
      </c>
      <c r="Y385" s="11">
        <v>0</v>
      </c>
      <c r="Z385" s="11">
        <v>1.76510398916494E-2</v>
      </c>
      <c r="AA385" s="11">
        <v>0.34158948183725601</v>
      </c>
    </row>
    <row r="386" spans="1:27">
      <c r="A386" s="5"/>
      <c r="B386" s="5" t="s">
        <v>481</v>
      </c>
      <c r="C386" s="5" t="s">
        <v>482</v>
      </c>
      <c r="D386" s="11">
        <v>7.2953462060311898</v>
      </c>
      <c r="E386" s="164">
        <v>2066.8229994844301</v>
      </c>
      <c r="F386" s="11">
        <v>0.31023861272869802</v>
      </c>
      <c r="G386" s="11">
        <v>1.14949403064874</v>
      </c>
      <c r="H386" s="11">
        <v>2.7294188207272599E-2</v>
      </c>
      <c r="I386" s="11">
        <v>0.13775635749561099</v>
      </c>
      <c r="J386" s="11">
        <v>1.7353985731641699</v>
      </c>
      <c r="K386" s="11">
        <v>0.253972092295635</v>
      </c>
      <c r="L386" s="11">
        <v>1.4650971127493899</v>
      </c>
      <c r="M386" s="11">
        <v>1.7281027683539799E-2</v>
      </c>
      <c r="N386" s="11">
        <v>0.374119583706017</v>
      </c>
      <c r="O386" s="11">
        <v>0</v>
      </c>
      <c r="P386" s="11">
        <v>0</v>
      </c>
      <c r="Q386" s="11">
        <v>0.72018251236022801</v>
      </c>
      <c r="R386" s="11">
        <v>5.6989285331905601E-2</v>
      </c>
      <c r="S386" s="11">
        <v>0.13966936118786999</v>
      </c>
      <c r="T386" s="11">
        <v>1.2174426453027401E-2</v>
      </c>
      <c r="U386" s="11">
        <v>2.2808241797174601E-2</v>
      </c>
      <c r="V386" s="11">
        <v>0</v>
      </c>
      <c r="W386" s="11">
        <v>0.74751613056367405</v>
      </c>
      <c r="X386" s="11">
        <v>6.4198341281968802E-2</v>
      </c>
      <c r="Y386" s="11">
        <v>0</v>
      </c>
      <c r="Z386" s="11">
        <v>2.2146725210497199E-2</v>
      </c>
      <c r="AA386" s="11">
        <v>0.33041822090711098</v>
      </c>
    </row>
    <row r="387" spans="1:27">
      <c r="A387" s="5"/>
      <c r="B387" s="5" t="s">
        <v>483</v>
      </c>
      <c r="C387" s="5" t="s">
        <v>484</v>
      </c>
      <c r="D387" s="11">
        <v>6.5139199407485799</v>
      </c>
      <c r="E387" s="164">
        <v>1650.21301195977</v>
      </c>
      <c r="F387" s="11">
        <v>0.30495333413114101</v>
      </c>
      <c r="G387" s="11">
        <v>0.924888422121802</v>
      </c>
      <c r="H387" s="11">
        <v>2.3519550892362798E-2</v>
      </c>
      <c r="I387" s="11">
        <v>0.104660309233855</v>
      </c>
      <c r="J387" s="11">
        <v>1.4620668511072401</v>
      </c>
      <c r="K387" s="11">
        <v>0.173584254815702</v>
      </c>
      <c r="L387" s="11">
        <v>1.5104031692838</v>
      </c>
      <c r="M387" s="11">
        <v>1.68090298671425E-2</v>
      </c>
      <c r="N387" s="11">
        <v>0.29276972242382598</v>
      </c>
      <c r="O387" s="11">
        <v>0</v>
      </c>
      <c r="P387" s="11">
        <v>0</v>
      </c>
      <c r="Q387" s="11">
        <v>0.65443138504259402</v>
      </c>
      <c r="R387" s="11">
        <v>0</v>
      </c>
      <c r="S387" s="11">
        <v>5.0236380253134302E-2</v>
      </c>
      <c r="T387" s="11">
        <v>2.74568313491413E-2</v>
      </c>
      <c r="U387" s="11">
        <v>1.48067940380717E-2</v>
      </c>
      <c r="V387" s="11">
        <v>0</v>
      </c>
      <c r="W387" s="11">
        <v>0</v>
      </c>
      <c r="X387" s="11">
        <v>6.6397423770395397E-2</v>
      </c>
      <c r="Y387" s="11">
        <v>0</v>
      </c>
      <c r="Z387" s="11">
        <v>1.6990691486198198E-2</v>
      </c>
      <c r="AA387" s="11">
        <v>0.12782564275309</v>
      </c>
    </row>
    <row r="388" spans="1:27">
      <c r="A388" s="5"/>
      <c r="B388" s="5" t="s">
        <v>485</v>
      </c>
      <c r="C388" s="5" t="s">
        <v>486</v>
      </c>
      <c r="D388" s="11">
        <v>6.2970819605116901</v>
      </c>
      <c r="E388" s="164">
        <v>1651.87169263895</v>
      </c>
      <c r="F388" s="11">
        <v>0.33572953170518699</v>
      </c>
      <c r="G388" s="11">
        <v>0.75780860166241704</v>
      </c>
      <c r="H388" s="11">
        <v>4.11745607988344E-2</v>
      </c>
      <c r="I388" s="11">
        <v>0.18339871248732101</v>
      </c>
      <c r="J388" s="11">
        <v>1.1412865481926899</v>
      </c>
      <c r="K388" s="11">
        <v>0.10340935998838301</v>
      </c>
      <c r="L388" s="11">
        <v>1.64425568843439</v>
      </c>
      <c r="M388" s="11">
        <v>1.28861809125656E-2</v>
      </c>
      <c r="N388" s="11">
        <v>0.29973020348325202</v>
      </c>
      <c r="O388" s="11">
        <v>1.22261539509872E-2</v>
      </c>
      <c r="P388" s="11">
        <v>0</v>
      </c>
      <c r="Q388" s="11">
        <v>0.65175015942318004</v>
      </c>
      <c r="R388" s="11">
        <v>9.8122882714869603E-2</v>
      </c>
      <c r="S388" s="11">
        <v>5.0360111977559498E-2</v>
      </c>
      <c r="T388" s="11">
        <v>1.0483105404692701E-2</v>
      </c>
      <c r="U388" s="11">
        <v>1.21853716545656E-2</v>
      </c>
      <c r="V388" s="11">
        <v>3.97067564036723E-2</v>
      </c>
      <c r="W388" s="11">
        <v>0.47301039695363301</v>
      </c>
      <c r="X388" s="11">
        <v>4.0171872005284402E-2</v>
      </c>
      <c r="Y388" s="11">
        <v>4.08621350340517E-3</v>
      </c>
      <c r="Z388" s="11">
        <v>1.1975053315725299E-2</v>
      </c>
      <c r="AA388" s="11">
        <v>0.12759841327299201</v>
      </c>
    </row>
    <row r="389" spans="1:27">
      <c r="A389" s="5"/>
      <c r="B389" s="5" t="s">
        <v>487</v>
      </c>
      <c r="C389" s="5" t="s">
        <v>488</v>
      </c>
      <c r="D389" s="11">
        <v>4.9653672918600202</v>
      </c>
      <c r="E389" s="164">
        <v>1413.9387874676199</v>
      </c>
      <c r="F389" s="11">
        <v>0.37326201482253801</v>
      </c>
      <c r="G389" s="11">
        <v>0.91430355736649205</v>
      </c>
      <c r="H389" s="11">
        <v>4.6461839361813702E-2</v>
      </c>
      <c r="I389" s="11">
        <v>0.13225537468259199</v>
      </c>
      <c r="J389" s="11">
        <v>1.6952944913568699</v>
      </c>
      <c r="K389" s="11">
        <v>0.14127673656664899</v>
      </c>
      <c r="L389" s="11">
        <v>1.6253660016134599</v>
      </c>
      <c r="M389" s="11">
        <v>4.6156608863136802E-3</v>
      </c>
      <c r="N389" s="11">
        <v>0.322912359096513</v>
      </c>
      <c r="O389" s="11">
        <v>2.5542286357287301E-2</v>
      </c>
      <c r="P389" s="11">
        <v>0</v>
      </c>
      <c r="Q389" s="11">
        <v>0.81978179012604602</v>
      </c>
      <c r="R389" s="11">
        <v>5.1324045611495402E-2</v>
      </c>
      <c r="S389" s="11">
        <v>7.3288965300481193E-2</v>
      </c>
      <c r="T389" s="11">
        <v>2.1032411452232499E-2</v>
      </c>
      <c r="U389" s="11">
        <v>1.36599037281399E-2</v>
      </c>
      <c r="V389" s="11">
        <v>4.1152708240855103E-2</v>
      </c>
      <c r="W389" s="11">
        <v>0.31334320270785698</v>
      </c>
      <c r="X389" s="11">
        <v>4.4885718693055403E-2</v>
      </c>
      <c r="Y389" s="11">
        <v>0</v>
      </c>
      <c r="Z389" s="11">
        <v>1.82761471858916E-2</v>
      </c>
      <c r="AA389" s="11">
        <v>0.13284057907858501</v>
      </c>
    </row>
    <row r="390" spans="1:27">
      <c r="A390" s="5"/>
      <c r="B390" s="5" t="s">
        <v>489</v>
      </c>
      <c r="C390" s="5" t="s">
        <v>490</v>
      </c>
      <c r="D390" s="11">
        <v>5.3614436434706798</v>
      </c>
      <c r="E390" s="164">
        <v>2199.8707071448298</v>
      </c>
      <c r="F390" s="11">
        <v>0.37798392779935702</v>
      </c>
      <c r="G390" s="11">
        <v>0.98830284563538395</v>
      </c>
      <c r="H390" s="11">
        <v>2.2545045251688E-2</v>
      </c>
      <c r="I390" s="11">
        <v>0.144557861685709</v>
      </c>
      <c r="J390" s="11">
        <v>1.3155125682828801</v>
      </c>
      <c r="K390" s="11">
        <v>0.18051040017289799</v>
      </c>
      <c r="L390" s="11">
        <v>1.88463402438183</v>
      </c>
      <c r="M390" s="11">
        <v>1.1065971803088799E-2</v>
      </c>
      <c r="N390" s="11">
        <v>0.34457302090464598</v>
      </c>
      <c r="O390" s="11">
        <v>0</v>
      </c>
      <c r="P390" s="11">
        <v>2.8234146186420998E-2</v>
      </c>
      <c r="Q390" s="11">
        <v>0.71176592893603496</v>
      </c>
      <c r="R390" s="11">
        <v>0</v>
      </c>
      <c r="S390" s="11">
        <v>0.12638193413308699</v>
      </c>
      <c r="T390" s="11">
        <v>2.0442454867385901E-2</v>
      </c>
      <c r="U390" s="11">
        <v>1.22540876433923E-2</v>
      </c>
      <c r="V390" s="11">
        <v>0</v>
      </c>
      <c r="W390" s="11">
        <v>0</v>
      </c>
      <c r="X390" s="11">
        <v>4.6930147125741201E-2</v>
      </c>
      <c r="Y390" s="11">
        <v>0</v>
      </c>
      <c r="Z390" s="11">
        <v>1.5881566016860499E-2</v>
      </c>
      <c r="AA390" s="11">
        <v>0.143800572886845</v>
      </c>
    </row>
    <row r="391" spans="1:27">
      <c r="A391" s="5"/>
      <c r="B391" s="5" t="s">
        <v>491</v>
      </c>
      <c r="C391" s="5" t="s">
        <v>492</v>
      </c>
      <c r="D391" s="11">
        <v>6.7819352930323102</v>
      </c>
      <c r="E391" s="164">
        <v>1567.15523642976</v>
      </c>
      <c r="F391" s="11">
        <v>0.35825297507150999</v>
      </c>
      <c r="G391" s="11">
        <v>0.70253512926889905</v>
      </c>
      <c r="H391" s="11">
        <v>4.1458844785069997E-2</v>
      </c>
      <c r="I391" s="11">
        <v>0.134892344040314</v>
      </c>
      <c r="J391" s="11">
        <v>1.42124396705761</v>
      </c>
      <c r="K391" s="11">
        <v>0.12059064683523001</v>
      </c>
      <c r="L391" s="11">
        <v>1.5968404703041601</v>
      </c>
      <c r="M391" s="11">
        <v>1.2270353915331499E-2</v>
      </c>
      <c r="N391" s="11">
        <v>0.34982818488582901</v>
      </c>
      <c r="O391" s="11">
        <v>0</v>
      </c>
      <c r="P391" s="11">
        <v>1.1887568122186699E-2</v>
      </c>
      <c r="Q391" s="11">
        <v>0.59594290120576998</v>
      </c>
      <c r="R391" s="11">
        <v>0</v>
      </c>
      <c r="S391" s="11">
        <v>0</v>
      </c>
      <c r="T391" s="11">
        <v>2.18586178945618E-2</v>
      </c>
      <c r="U391" s="11">
        <v>9.6597980779478902E-3</v>
      </c>
      <c r="V391" s="11">
        <v>0</v>
      </c>
      <c r="W391" s="11">
        <v>0.45882703386280999</v>
      </c>
      <c r="X391" s="11">
        <v>3.36379747159977E-2</v>
      </c>
      <c r="Y391" s="11">
        <v>3.9655716375085904E-3</v>
      </c>
      <c r="Z391" s="11">
        <v>6.9809836402780498E-3</v>
      </c>
      <c r="AA391" s="11">
        <v>0.12038229191081</v>
      </c>
    </row>
    <row r="392" spans="1:27">
      <c r="A392" s="5"/>
      <c r="B392" s="5" t="s">
        <v>493</v>
      </c>
      <c r="C392" s="5" t="s">
        <v>494</v>
      </c>
      <c r="D392" s="11">
        <v>6.2773701688036301</v>
      </c>
      <c r="E392" s="164">
        <v>1489.3702803599899</v>
      </c>
      <c r="F392" s="11">
        <v>0.362281787877273</v>
      </c>
      <c r="G392" s="11">
        <v>0.829930077871459</v>
      </c>
      <c r="H392" s="11">
        <v>3.8635600831566599E-2</v>
      </c>
      <c r="I392" s="11">
        <v>0.198077170561761</v>
      </c>
      <c r="J392" s="11">
        <v>1.44523052103928</v>
      </c>
      <c r="K392" s="11">
        <v>0.144490847927462</v>
      </c>
      <c r="L392" s="11">
        <v>1.4843212853029299</v>
      </c>
      <c r="M392" s="11">
        <v>1.20389476545589E-2</v>
      </c>
      <c r="N392" s="11">
        <v>0.22459156671157299</v>
      </c>
      <c r="O392" s="11">
        <v>0</v>
      </c>
      <c r="P392" s="11">
        <v>0</v>
      </c>
      <c r="Q392" s="11">
        <v>0.70997741349549603</v>
      </c>
      <c r="R392" s="11">
        <v>0.144684370492833</v>
      </c>
      <c r="S392" s="11">
        <v>5.1036039327192202E-2</v>
      </c>
      <c r="T392" s="11">
        <v>4.1557250331313397E-2</v>
      </c>
      <c r="U392" s="11">
        <v>2.5239827575921199E-2</v>
      </c>
      <c r="V392" s="11">
        <v>3.8763443923764698E-2</v>
      </c>
      <c r="W392" s="11">
        <v>0.56498092417061496</v>
      </c>
      <c r="X392" s="11">
        <v>1.7751495251101E-2</v>
      </c>
      <c r="Y392" s="11">
        <v>5.8307044496973002E-3</v>
      </c>
      <c r="Z392" s="11">
        <v>1.4291254164235399E-2</v>
      </c>
      <c r="AA392" s="11">
        <v>0.40840250084315699</v>
      </c>
    </row>
    <row r="393" spans="1:27">
      <c r="A393" s="5"/>
      <c r="B393" s="5" t="s">
        <v>495</v>
      </c>
      <c r="C393" s="5" t="s">
        <v>496</v>
      </c>
      <c r="D393" s="11">
        <v>8.0312760915613506</v>
      </c>
      <c r="E393" s="164">
        <v>1838.48116675749</v>
      </c>
      <c r="F393" s="11">
        <v>0.38599038091791599</v>
      </c>
      <c r="G393" s="11">
        <v>1.1573277550096901</v>
      </c>
      <c r="H393" s="11">
        <v>5.4420821614452802E-2</v>
      </c>
      <c r="I393" s="11">
        <v>0.13619743561744599</v>
      </c>
      <c r="J393" s="11">
        <v>1.2597749113649099</v>
      </c>
      <c r="K393" s="11">
        <v>0.12946263614824</v>
      </c>
      <c r="L393" s="11">
        <v>1.7411436001445699</v>
      </c>
      <c r="M393" s="11">
        <v>1.1806968237686901E-2</v>
      </c>
      <c r="N393" s="11">
        <v>0.37783235565177498</v>
      </c>
      <c r="O393" s="11">
        <v>0</v>
      </c>
      <c r="P393" s="11">
        <v>1.40494603793157E-2</v>
      </c>
      <c r="Q393" s="11">
        <v>0.81985401414509396</v>
      </c>
      <c r="R393" s="11">
        <v>5.41899803062953E-2</v>
      </c>
      <c r="S393" s="11">
        <v>0.12321904941261599</v>
      </c>
      <c r="T393" s="11">
        <v>1.59505183770038E-2</v>
      </c>
      <c r="U393" s="11">
        <v>1.7167887324497099E-2</v>
      </c>
      <c r="V393" s="11">
        <v>0</v>
      </c>
      <c r="W393" s="11">
        <v>0.739381897737456</v>
      </c>
      <c r="X393" s="11">
        <v>6.3617706055062395E-2</v>
      </c>
      <c r="Y393" s="11">
        <v>1.0890624040990801E-2</v>
      </c>
      <c r="Z393" s="11">
        <v>9.2399689542159505E-3</v>
      </c>
      <c r="AA393" s="11">
        <v>0.28750352818605501</v>
      </c>
    </row>
    <row r="394" spans="1:27">
      <c r="A394" s="5"/>
      <c r="B394" s="5" t="s">
        <v>497</v>
      </c>
      <c r="C394" s="5" t="s">
        <v>498</v>
      </c>
      <c r="D394" s="11">
        <v>6.4770170483240799</v>
      </c>
      <c r="E394" s="164">
        <v>2511.5038167534899</v>
      </c>
      <c r="F394" s="11">
        <v>0.29016511475275503</v>
      </c>
      <c r="G394" s="11">
        <v>1.0994076675957001</v>
      </c>
      <c r="H394" s="11">
        <v>0</v>
      </c>
      <c r="I394" s="11">
        <v>0.13661796523767999</v>
      </c>
      <c r="J394" s="11">
        <v>1.38714997450528</v>
      </c>
      <c r="K394" s="11">
        <v>7.6007704764514003E-2</v>
      </c>
      <c r="L394" s="11">
        <v>1.20061265191088</v>
      </c>
      <c r="M394" s="11">
        <v>5.9772493233000504E-3</v>
      </c>
      <c r="N394" s="11">
        <v>0.28894036274950202</v>
      </c>
      <c r="O394" s="11">
        <v>1.16820080684097E-2</v>
      </c>
      <c r="P394" s="11">
        <v>0</v>
      </c>
      <c r="Q394" s="11">
        <v>0.56949854114212495</v>
      </c>
      <c r="R394" s="11">
        <v>0.136320353649448</v>
      </c>
      <c r="S394" s="11">
        <v>0</v>
      </c>
      <c r="T394" s="11">
        <v>1.21429422568039E-2</v>
      </c>
      <c r="U394" s="11">
        <v>1.49605106413906E-2</v>
      </c>
      <c r="V394" s="11">
        <v>0</v>
      </c>
      <c r="W394" s="11">
        <v>0.21114985812371601</v>
      </c>
      <c r="X394" s="11">
        <v>7.1409685932502895E-2</v>
      </c>
      <c r="Y394" s="11">
        <v>0</v>
      </c>
      <c r="Z394" s="11">
        <v>7.9861486313328508E-3</v>
      </c>
      <c r="AA394" s="11">
        <v>0</v>
      </c>
    </row>
    <row r="395" spans="1:27">
      <c r="A395" s="5"/>
      <c r="B395" s="5" t="s">
        <v>499</v>
      </c>
      <c r="C395" s="5" t="s">
        <v>500</v>
      </c>
      <c r="D395" s="11">
        <v>6.1952582591977601</v>
      </c>
      <c r="E395" s="164">
        <v>1316.48038269115</v>
      </c>
      <c r="F395" s="11">
        <v>0.29945977310598398</v>
      </c>
      <c r="G395" s="11">
        <v>0.820939977691032</v>
      </c>
      <c r="H395" s="11">
        <v>0</v>
      </c>
      <c r="I395" s="11">
        <v>6.1980229614799501E-2</v>
      </c>
      <c r="J395" s="11">
        <v>1.28712102117607</v>
      </c>
      <c r="K395" s="11">
        <v>9.1369297845383196E-2</v>
      </c>
      <c r="L395" s="11">
        <v>1.1677144135174</v>
      </c>
      <c r="M395" s="11">
        <v>8.6265134371893391E-3</v>
      </c>
      <c r="N395" s="11">
        <v>0.26677155598795599</v>
      </c>
      <c r="O395" s="11">
        <v>0</v>
      </c>
      <c r="P395" s="11">
        <v>0</v>
      </c>
      <c r="Q395" s="11">
        <v>0.58009787396095502</v>
      </c>
      <c r="R395" s="11">
        <v>4.6720727434641299E-2</v>
      </c>
      <c r="S395" s="11">
        <v>9.1865464763034102E-2</v>
      </c>
      <c r="T395" s="11">
        <v>1.8387408019091601E-2</v>
      </c>
      <c r="U395" s="11">
        <v>2.3260361405810399E-2</v>
      </c>
      <c r="V395" s="11">
        <v>7.3145437591908002E-2</v>
      </c>
      <c r="W395" s="11">
        <v>0.21165953411785701</v>
      </c>
      <c r="X395" s="11">
        <v>4.4704512368396197E-2</v>
      </c>
      <c r="Y395" s="11">
        <v>3.9241165281357297E-3</v>
      </c>
      <c r="Z395" s="11">
        <v>1.1206501524091099E-2</v>
      </c>
      <c r="AA395" s="11">
        <v>0</v>
      </c>
    </row>
    <row r="396" spans="1:27">
      <c r="A396" s="5"/>
      <c r="B396" s="5" t="s">
        <v>501</v>
      </c>
      <c r="C396" s="5" t="s">
        <v>502</v>
      </c>
      <c r="D396" s="11">
        <v>8.4752863204103299</v>
      </c>
      <c r="E396" s="164">
        <v>1523.0378036607499</v>
      </c>
      <c r="F396" s="11">
        <v>0.27759287060677101</v>
      </c>
      <c r="G396" s="11">
        <v>0.95745846080556896</v>
      </c>
      <c r="H396" s="11">
        <v>5.2568901179494899E-2</v>
      </c>
      <c r="I396" s="11">
        <v>0.17805555230508699</v>
      </c>
      <c r="J396" s="11">
        <v>1.34047816858946</v>
      </c>
      <c r="K396" s="11">
        <v>9.5718008692623105E-2</v>
      </c>
      <c r="L396" s="11">
        <v>1.4958292100162001</v>
      </c>
      <c r="M396" s="11">
        <v>5.2099548390204401E-3</v>
      </c>
      <c r="N396" s="11">
        <v>0.41558731684327199</v>
      </c>
      <c r="O396" s="11">
        <v>0</v>
      </c>
      <c r="P396" s="11">
        <v>0</v>
      </c>
      <c r="Q396" s="11">
        <v>0.76117992321931105</v>
      </c>
      <c r="R396" s="11">
        <v>0</v>
      </c>
      <c r="S396" s="11">
        <v>0.138463618988829</v>
      </c>
      <c r="T396" s="11">
        <v>2.32834735279412E-2</v>
      </c>
      <c r="U396" s="11">
        <v>1.1525188188944499E-2</v>
      </c>
      <c r="V396" s="11">
        <v>0</v>
      </c>
      <c r="W396" s="11">
        <v>0</v>
      </c>
      <c r="X396" s="11">
        <v>9.56794502035727E-2</v>
      </c>
      <c r="Y396" s="11">
        <v>0</v>
      </c>
      <c r="Z396" s="11">
        <v>1.5317212934375201E-2</v>
      </c>
      <c r="AA396" s="11">
        <v>0.30652612215649599</v>
      </c>
    </row>
    <row r="397" spans="1:27">
      <c r="A397" s="5"/>
      <c r="B397" s="5" t="s">
        <v>503</v>
      </c>
      <c r="C397" s="5" t="s">
        <v>504</v>
      </c>
      <c r="D397" s="11">
        <v>6.7789451878576799</v>
      </c>
      <c r="E397" s="164">
        <v>1730.29095794203</v>
      </c>
      <c r="F397" s="11">
        <v>0.32051789408685399</v>
      </c>
      <c r="G397" s="11">
        <v>1.0736687978499899</v>
      </c>
      <c r="H397" s="11">
        <v>1.5466554357712801E-2</v>
      </c>
      <c r="I397" s="11">
        <v>0.16929743776964201</v>
      </c>
      <c r="J397" s="11">
        <v>1.54577521249131</v>
      </c>
      <c r="K397" s="11">
        <v>0.110135564810295</v>
      </c>
      <c r="L397" s="11">
        <v>1.56950366038763</v>
      </c>
      <c r="M397" s="11">
        <v>2.1436748846332E-2</v>
      </c>
      <c r="N397" s="11">
        <v>0.31237755381839999</v>
      </c>
      <c r="O397" s="11">
        <v>0</v>
      </c>
      <c r="P397" s="11">
        <v>4.2366769994921297E-2</v>
      </c>
      <c r="Q397" s="11">
        <v>0.68368330879877603</v>
      </c>
      <c r="R397" s="11">
        <v>5.3246914818669298E-2</v>
      </c>
      <c r="S397" s="11">
        <v>0.11028974224214</v>
      </c>
      <c r="T397" s="11">
        <v>2.1026204771258002E-2</v>
      </c>
      <c r="U397" s="11">
        <v>1.7910268900479601E-2</v>
      </c>
      <c r="V397" s="11">
        <v>0</v>
      </c>
      <c r="W397" s="11">
        <v>0.2427733036742</v>
      </c>
      <c r="X397" s="11">
        <v>5.7637119608181499E-2</v>
      </c>
      <c r="Y397" s="11">
        <v>0</v>
      </c>
      <c r="Z397" s="11">
        <v>1.72688412511602E-2</v>
      </c>
      <c r="AA397" s="11">
        <v>0</v>
      </c>
    </row>
    <row r="398" spans="1:27">
      <c r="A398" s="5"/>
      <c r="B398" s="5" t="s">
        <v>505</v>
      </c>
      <c r="C398" s="5" t="s">
        <v>506</v>
      </c>
      <c r="D398" s="11">
        <v>7.7610717643643898</v>
      </c>
      <c r="E398" s="164">
        <v>1653.0464034771501</v>
      </c>
      <c r="F398" s="11">
        <v>0.29530824866156802</v>
      </c>
      <c r="G398" s="11">
        <v>0.84861565197244004</v>
      </c>
      <c r="H398" s="11">
        <v>2.15337858626641E-2</v>
      </c>
      <c r="I398" s="11">
        <v>0.157297431169094</v>
      </c>
      <c r="J398" s="11">
        <v>1.44519279310129</v>
      </c>
      <c r="K398" s="11">
        <v>0.14080041503133001</v>
      </c>
      <c r="L398" s="11">
        <v>1.4338123882009599</v>
      </c>
      <c r="M398" s="11">
        <v>1.9876166225517598E-2</v>
      </c>
      <c r="N398" s="11">
        <v>0.26610098350386902</v>
      </c>
      <c r="O398" s="11">
        <v>1.86642431795421E-2</v>
      </c>
      <c r="P398" s="11">
        <v>1.42175497774687E-2</v>
      </c>
      <c r="Q398" s="11">
        <v>0.83409744590230905</v>
      </c>
      <c r="R398" s="11">
        <v>0</v>
      </c>
      <c r="S398" s="11">
        <v>0.16117390809176901</v>
      </c>
      <c r="T398" s="11">
        <v>1.8697422960081599E-2</v>
      </c>
      <c r="U398" s="11">
        <v>1.6051917606091801E-2</v>
      </c>
      <c r="V398" s="11">
        <v>0</v>
      </c>
      <c r="W398" s="11">
        <v>0.53832569756169901</v>
      </c>
      <c r="X398" s="11">
        <v>5.1215677111157799E-2</v>
      </c>
      <c r="Y398" s="11">
        <v>0</v>
      </c>
      <c r="Z398" s="11">
        <v>1.98868649172892E-2</v>
      </c>
      <c r="AA398" s="11">
        <v>0.20640968566807599</v>
      </c>
    </row>
    <row r="399" spans="1:27">
      <c r="A399" s="5"/>
      <c r="B399" s="5" t="s">
        <v>507</v>
      </c>
      <c r="C399" s="5" t="s">
        <v>508</v>
      </c>
      <c r="D399" s="11">
        <v>6.3101577307036703</v>
      </c>
      <c r="E399" s="164">
        <v>1667.19134933793</v>
      </c>
      <c r="F399" s="11">
        <v>0.23846976191796199</v>
      </c>
      <c r="G399" s="11">
        <v>0.99172041496159802</v>
      </c>
      <c r="H399" s="11">
        <v>3.3995915675582702E-2</v>
      </c>
      <c r="I399" s="11">
        <v>0.19804610303785</v>
      </c>
      <c r="J399" s="11">
        <v>1.2769356453115901</v>
      </c>
      <c r="K399" s="11">
        <v>9.8631429016145897E-2</v>
      </c>
      <c r="L399" s="11">
        <v>1.5788894476405799</v>
      </c>
      <c r="M399" s="11">
        <v>9.5288267486632692E-3</v>
      </c>
      <c r="N399" s="11">
        <v>0.28241018718028199</v>
      </c>
      <c r="O399" s="11">
        <v>2.67587519211301E-2</v>
      </c>
      <c r="P399" s="11">
        <v>4.4613395952361003E-2</v>
      </c>
      <c r="Q399" s="11">
        <v>0.55039239859076206</v>
      </c>
      <c r="R399" s="11">
        <v>0.32133992060576</v>
      </c>
      <c r="S399" s="11">
        <v>5.5144490864291101E-2</v>
      </c>
      <c r="T399" s="11">
        <v>1.9773960073573599E-2</v>
      </c>
      <c r="U399" s="11">
        <v>1.3801437870090401E-2</v>
      </c>
      <c r="V399" s="11">
        <v>0</v>
      </c>
      <c r="W399" s="11">
        <v>0.24364104884090301</v>
      </c>
      <c r="X399" s="11">
        <v>8.1797449370488107E-2</v>
      </c>
      <c r="Y399" s="11">
        <v>0</v>
      </c>
      <c r="Z399" s="11">
        <v>2.0095912918034701E-2</v>
      </c>
      <c r="AA399" s="11">
        <v>0</v>
      </c>
    </row>
    <row r="400" spans="1:27">
      <c r="A400" s="4" t="s">
        <v>509</v>
      </c>
      <c r="D400" s="11"/>
      <c r="E400" s="164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>
      <c r="A401" s="5"/>
      <c r="B401" s="5" t="s">
        <v>510</v>
      </c>
      <c r="C401" s="5" t="s">
        <v>511</v>
      </c>
      <c r="D401" s="11">
        <v>9.3873511768460194</v>
      </c>
      <c r="E401" s="164">
        <v>1601.21985154563</v>
      </c>
      <c r="F401" s="11">
        <v>0.489027127326501</v>
      </c>
      <c r="G401" s="11">
        <v>1.0347473204781601</v>
      </c>
      <c r="H401" s="11">
        <v>2.60783016340356E-2</v>
      </c>
      <c r="I401" s="11">
        <v>8.6677612549475605E-2</v>
      </c>
      <c r="J401" s="11">
        <v>1.4444326751636001</v>
      </c>
      <c r="K401" s="11">
        <v>9.5841505639181299E-2</v>
      </c>
      <c r="L401" s="11">
        <v>1.95903405350544</v>
      </c>
      <c r="M401" s="11">
        <v>1.44190286094678E-2</v>
      </c>
      <c r="N401" s="11">
        <v>0.37282311510427302</v>
      </c>
      <c r="O401" s="11">
        <v>0</v>
      </c>
      <c r="P401" s="11">
        <v>1.74091817038441E-2</v>
      </c>
      <c r="Q401" s="11">
        <v>0.68656562282805</v>
      </c>
      <c r="R401" s="11">
        <v>8.98364438314386E-2</v>
      </c>
      <c r="S401" s="11">
        <v>6.6430591888935603E-2</v>
      </c>
      <c r="T401" s="11">
        <v>2.9187992180963501E-2</v>
      </c>
      <c r="U401" s="11">
        <v>2.3355425674528502E-2</v>
      </c>
      <c r="V401" s="11">
        <v>0.112392470764099</v>
      </c>
      <c r="W401" s="11">
        <v>0.293298045650975</v>
      </c>
      <c r="X401" s="11">
        <v>6.5308813697439794E-2</v>
      </c>
      <c r="Y401" s="11">
        <v>5.2429018389294601E-3</v>
      </c>
      <c r="Z401" s="11">
        <v>1.38116888333903E-2</v>
      </c>
      <c r="AA401" s="11">
        <v>0.25409757056883198</v>
      </c>
    </row>
    <row r="402" spans="1:27">
      <c r="A402" s="5"/>
      <c r="B402" s="5" t="s">
        <v>512</v>
      </c>
      <c r="C402" s="5" t="s">
        <v>513</v>
      </c>
      <c r="D402" s="11">
        <v>7.7420140828034896</v>
      </c>
      <c r="E402" s="164">
        <v>1878.44965992677</v>
      </c>
      <c r="F402" s="11">
        <v>0.30162569915366699</v>
      </c>
      <c r="G402" s="11">
        <v>0.98154925301496299</v>
      </c>
      <c r="H402" s="11">
        <v>5.4178167149075501E-2</v>
      </c>
      <c r="I402" s="11">
        <v>0.15723789016471901</v>
      </c>
      <c r="J402" s="11">
        <v>1.2167597985519301</v>
      </c>
      <c r="K402" s="11">
        <v>0.10629807456568401</v>
      </c>
      <c r="L402" s="11">
        <v>2.0025588938027701</v>
      </c>
      <c r="M402" s="11">
        <v>1.09300482393116E-2</v>
      </c>
      <c r="N402" s="11">
        <v>0.38640482362689599</v>
      </c>
      <c r="O402" s="11">
        <v>1.5331241361409899E-2</v>
      </c>
      <c r="P402" s="11">
        <v>1.17713263895788</v>
      </c>
      <c r="Q402" s="11">
        <v>0.72390622897104395</v>
      </c>
      <c r="R402" s="11">
        <v>0.13586119477893099</v>
      </c>
      <c r="S402" s="11">
        <v>0.26838584202358701</v>
      </c>
      <c r="T402" s="11">
        <v>2.7450700600598399E-2</v>
      </c>
      <c r="U402" s="11">
        <v>2.3256761091768701E-2</v>
      </c>
      <c r="V402" s="11">
        <v>0</v>
      </c>
      <c r="W402" s="11">
        <v>0.27851361596375102</v>
      </c>
      <c r="X402" s="11">
        <v>3.7697929920891597E-2</v>
      </c>
      <c r="Y402" s="11">
        <v>9.9393596212186703E-3</v>
      </c>
      <c r="Z402" s="11">
        <v>1.77338104887402E-2</v>
      </c>
      <c r="AA402" s="11">
        <v>0.17355654463371201</v>
      </c>
    </row>
    <row r="403" spans="1:27">
      <c r="A403" s="5"/>
      <c r="B403" s="5" t="s">
        <v>514</v>
      </c>
      <c r="C403" s="5" t="s">
        <v>515</v>
      </c>
      <c r="D403" s="11">
        <v>7.73659548734783</v>
      </c>
      <c r="E403" s="164">
        <v>1561.2513599834599</v>
      </c>
      <c r="F403" s="11">
        <v>0.28147639966224403</v>
      </c>
      <c r="G403" s="11">
        <v>0.86834619594946805</v>
      </c>
      <c r="H403" s="11">
        <v>6.5582420668662003E-2</v>
      </c>
      <c r="I403" s="11">
        <v>0.110620160776553</v>
      </c>
      <c r="J403" s="11">
        <v>1.61088539355587</v>
      </c>
      <c r="K403" s="11">
        <v>9.8498610356345107E-2</v>
      </c>
      <c r="L403" s="11">
        <v>2.2371705206394799</v>
      </c>
      <c r="M403" s="11">
        <v>5.5052426246102598E-3</v>
      </c>
      <c r="N403" s="11">
        <v>0.36855138406404703</v>
      </c>
      <c r="O403" s="11">
        <v>0</v>
      </c>
      <c r="P403" s="11">
        <v>3.18763102565741E-2</v>
      </c>
      <c r="Q403" s="11">
        <v>0.57673705368888994</v>
      </c>
      <c r="R403" s="11">
        <v>0</v>
      </c>
      <c r="S403" s="11">
        <v>0</v>
      </c>
      <c r="T403" s="11">
        <v>2.66628182907164E-2</v>
      </c>
      <c r="U403" s="11">
        <v>1.7094305516704201E-2</v>
      </c>
      <c r="V403" s="11">
        <v>4.68045531503559E-2</v>
      </c>
      <c r="W403" s="11">
        <v>0.26711569766329302</v>
      </c>
      <c r="X403" s="11">
        <v>5.2319459859966902E-2</v>
      </c>
      <c r="Y403" s="11">
        <v>0</v>
      </c>
      <c r="Z403" s="11">
        <v>7.35812254932752E-3</v>
      </c>
      <c r="AA403" s="11">
        <v>0.166655076539346</v>
      </c>
    </row>
    <row r="404" spans="1:27">
      <c r="A404" s="5"/>
      <c r="B404" s="5" t="s">
        <v>516</v>
      </c>
      <c r="C404" s="5" t="s">
        <v>517</v>
      </c>
      <c r="D404" s="11">
        <v>6.8178606358254603</v>
      </c>
      <c r="E404" s="164">
        <v>1334.0071454715701</v>
      </c>
      <c r="F404" s="11">
        <v>0.357532404959927</v>
      </c>
      <c r="G404" s="11">
        <v>1.05772963803708</v>
      </c>
      <c r="H404" s="11">
        <v>6.1526574665511299E-2</v>
      </c>
      <c r="I404" s="11">
        <v>0.26137968867018002</v>
      </c>
      <c r="J404" s="11">
        <v>1.3602948809283399</v>
      </c>
      <c r="K404" s="11">
        <v>7.1431667168218194E-2</v>
      </c>
      <c r="L404" s="11">
        <v>1.87623968774592</v>
      </c>
      <c r="M404" s="11">
        <v>2.3481822741638101E-2</v>
      </c>
      <c r="N404" s="11">
        <v>0.39414622247154502</v>
      </c>
      <c r="O404" s="11">
        <v>0</v>
      </c>
      <c r="P404" s="11">
        <v>0</v>
      </c>
      <c r="Q404" s="11">
        <v>0.77806414315964201</v>
      </c>
      <c r="R404" s="11">
        <v>0.113245707126162</v>
      </c>
      <c r="S404" s="11">
        <v>0.12718683675501899</v>
      </c>
      <c r="T404" s="11">
        <v>3.8464592674463297E-2</v>
      </c>
      <c r="U404" s="11">
        <v>1.1784533483772499E-2</v>
      </c>
      <c r="V404" s="11">
        <v>4.47967820208868E-2</v>
      </c>
      <c r="W404" s="11">
        <v>0.25323965875387899</v>
      </c>
      <c r="X404" s="11">
        <v>6.3749638639439499E-2</v>
      </c>
      <c r="Y404" s="11">
        <v>0</v>
      </c>
      <c r="Z404" s="11">
        <v>1.8369495346844698E-2</v>
      </c>
      <c r="AA404" s="11">
        <v>0</v>
      </c>
    </row>
    <row r="405" spans="1:27">
      <c r="A405" s="5"/>
      <c r="B405" s="5" t="s">
        <v>518</v>
      </c>
      <c r="C405" s="5" t="s">
        <v>519</v>
      </c>
      <c r="D405" s="11">
        <v>5.7300817856920396</v>
      </c>
      <c r="E405" s="164">
        <v>1340.05643329187</v>
      </c>
      <c r="F405" s="11">
        <v>0.323434364884088</v>
      </c>
      <c r="G405" s="11">
        <v>0.854069410535648</v>
      </c>
      <c r="H405" s="11">
        <v>3.0511641180075499E-2</v>
      </c>
      <c r="I405" s="11">
        <v>0.219660719597597</v>
      </c>
      <c r="J405" s="11">
        <v>1.3272906514832301</v>
      </c>
      <c r="K405" s="11">
        <v>7.0766213220937998E-2</v>
      </c>
      <c r="L405" s="11">
        <v>1.4516895740589799</v>
      </c>
      <c r="M405" s="11">
        <v>1.7292391404723099E-2</v>
      </c>
      <c r="N405" s="11">
        <v>0.30226828722749799</v>
      </c>
      <c r="O405" s="11">
        <v>2.84828011012902E-2</v>
      </c>
      <c r="P405" s="11">
        <v>4.3955781321646903E-2</v>
      </c>
      <c r="Q405" s="11">
        <v>0.72625837379809099</v>
      </c>
      <c r="R405" s="11">
        <v>0.115654095633745</v>
      </c>
      <c r="S405" s="11">
        <v>0.117318082682386</v>
      </c>
      <c r="T405" s="11">
        <v>1.5279493480628299E-2</v>
      </c>
      <c r="U405" s="11">
        <v>5.24994920210265E-3</v>
      </c>
      <c r="V405" s="11">
        <v>4.1472243263709303E-2</v>
      </c>
      <c r="W405" s="11">
        <v>0</v>
      </c>
      <c r="X405" s="11">
        <v>6.8495492920041201E-2</v>
      </c>
      <c r="Y405" s="11">
        <v>0</v>
      </c>
      <c r="Z405" s="11">
        <v>1.93482839973909E-2</v>
      </c>
      <c r="AA405" s="11">
        <v>0</v>
      </c>
    </row>
    <row r="406" spans="1:27">
      <c r="A406" s="5"/>
      <c r="B406" s="5" t="s">
        <v>520</v>
      </c>
      <c r="C406" s="5" t="s">
        <v>521</v>
      </c>
      <c r="D406" s="11">
        <v>4.4813895381955202</v>
      </c>
      <c r="E406" s="164">
        <v>1653.0340167192101</v>
      </c>
      <c r="F406" s="11">
        <v>0.30554166714276398</v>
      </c>
      <c r="G406" s="11">
        <v>0.66527390573237899</v>
      </c>
      <c r="H406" s="11">
        <v>1.5818237984334099E-2</v>
      </c>
      <c r="I406" s="11">
        <v>0.15188665472728999</v>
      </c>
      <c r="J406" s="11">
        <v>1.56302288048885</v>
      </c>
      <c r="K406" s="11">
        <v>8.5379787857769202E-2</v>
      </c>
      <c r="L406" s="11">
        <v>1.98826547596228</v>
      </c>
      <c r="M406" s="11">
        <v>1.5980729393524299E-2</v>
      </c>
      <c r="N406" s="11">
        <v>0.31493980966108898</v>
      </c>
      <c r="O406" s="11">
        <v>0</v>
      </c>
      <c r="P406" s="11">
        <v>1.4520322786041999E-2</v>
      </c>
      <c r="Q406" s="11">
        <v>0.721551849231718</v>
      </c>
      <c r="R406" s="11">
        <v>7.5550194991555505E-2</v>
      </c>
      <c r="S406" s="11">
        <v>0.12121334713781701</v>
      </c>
      <c r="T406" s="11">
        <v>2.10469394556899E-2</v>
      </c>
      <c r="U406" s="11">
        <v>1.2211651357321799E-2</v>
      </c>
      <c r="V406" s="11">
        <v>4.3005615625219699E-2</v>
      </c>
      <c r="W406" s="11">
        <v>0.53173123234945296</v>
      </c>
      <c r="X406" s="11">
        <v>4.3131326006686503E-2</v>
      </c>
      <c r="Y406" s="11">
        <v>0</v>
      </c>
      <c r="Z406" s="11">
        <v>8.0286703611457001E-3</v>
      </c>
      <c r="AA406" s="11">
        <v>0.15098273502162801</v>
      </c>
    </row>
    <row r="407" spans="1:27">
      <c r="A407" s="5"/>
      <c r="B407" s="5" t="s">
        <v>522</v>
      </c>
      <c r="C407" s="5" t="s">
        <v>523</v>
      </c>
      <c r="D407" s="11">
        <v>6.8332021322711203</v>
      </c>
      <c r="E407" s="164">
        <v>2085.5060301056701</v>
      </c>
      <c r="F407" s="11">
        <v>0.434345850707682</v>
      </c>
      <c r="G407" s="11">
        <v>0.72616712394674998</v>
      </c>
      <c r="H407" s="11">
        <v>2.0724374311767799E-2</v>
      </c>
      <c r="I407" s="11">
        <v>0.26121501427260402</v>
      </c>
      <c r="J407" s="11">
        <v>1.3662039800594199</v>
      </c>
      <c r="K407" s="11">
        <v>0.12808463545458501</v>
      </c>
      <c r="L407" s="11">
        <v>1.7584789480256799</v>
      </c>
      <c r="M407" s="11">
        <v>1.6751686969322801E-2</v>
      </c>
      <c r="N407" s="11">
        <v>0.26504222987262599</v>
      </c>
      <c r="O407" s="11">
        <v>0</v>
      </c>
      <c r="P407" s="11">
        <v>2.7169805809156199E-2</v>
      </c>
      <c r="Q407" s="11">
        <v>0.52700446074386198</v>
      </c>
      <c r="R407" s="11">
        <v>0.16588764284338101</v>
      </c>
      <c r="S407" s="11">
        <v>0</v>
      </c>
      <c r="T407" s="11">
        <v>1.8317853144572301E-2</v>
      </c>
      <c r="U407" s="11">
        <v>1.7334392061532498E-2</v>
      </c>
      <c r="V407" s="11">
        <v>0</v>
      </c>
      <c r="W407" s="11">
        <v>0.49227680665903101</v>
      </c>
      <c r="X407" s="11">
        <v>4.8964564414023699E-2</v>
      </c>
      <c r="Y407" s="11">
        <v>0</v>
      </c>
      <c r="Z407" s="11">
        <v>8.8954918930891098E-3</v>
      </c>
      <c r="AA407" s="11">
        <v>0.27711581162144899</v>
      </c>
    </row>
    <row r="408" spans="1:27">
      <c r="A408" s="5"/>
      <c r="B408" s="5" t="s">
        <v>524</v>
      </c>
      <c r="C408" s="5" t="s">
        <v>525</v>
      </c>
      <c r="D408" s="11">
        <v>6.9683871223246197</v>
      </c>
      <c r="E408" s="164">
        <v>1612.25364706347</v>
      </c>
      <c r="F408" s="11">
        <v>0.44668916834293199</v>
      </c>
      <c r="G408" s="11">
        <v>1.0019916007632601</v>
      </c>
      <c r="H408" s="11">
        <v>1.64648421473482E-2</v>
      </c>
      <c r="I408" s="11">
        <v>0.36166698439470002</v>
      </c>
      <c r="J408" s="11">
        <v>1.2367710923028801</v>
      </c>
      <c r="K408" s="11">
        <v>8.8706806868507307E-2</v>
      </c>
      <c r="L408" s="11">
        <v>2.0220118111961898</v>
      </c>
      <c r="M408" s="11">
        <v>1.3097152760680301E-2</v>
      </c>
      <c r="N408" s="11">
        <v>0.31759344324038702</v>
      </c>
      <c r="O408" s="11">
        <v>0</v>
      </c>
      <c r="P408" s="11">
        <v>0</v>
      </c>
      <c r="Q408" s="11">
        <v>0.70724689277764596</v>
      </c>
      <c r="R408" s="11">
        <v>0.11290571621614399</v>
      </c>
      <c r="S408" s="11">
        <v>0</v>
      </c>
      <c r="T408" s="11">
        <v>8.4642426741576293E-3</v>
      </c>
      <c r="U408" s="11">
        <v>1.16609783581565E-2</v>
      </c>
      <c r="V408" s="11">
        <v>4.4137401046459801E-2</v>
      </c>
      <c r="W408" s="11">
        <v>0.34233244467685198</v>
      </c>
      <c r="X408" s="11">
        <v>2.8260997255897799E-2</v>
      </c>
      <c r="Y408" s="11">
        <v>0</v>
      </c>
      <c r="Z408" s="11">
        <v>6.8321092215972599E-3</v>
      </c>
      <c r="AA408" s="11">
        <v>0.21191921032114799</v>
      </c>
    </row>
    <row r="409" spans="1:27">
      <c r="A409" s="5"/>
      <c r="B409" s="5" t="s">
        <v>526</v>
      </c>
      <c r="C409" s="5" t="s">
        <v>527</v>
      </c>
      <c r="D409" s="11">
        <v>7.8141498863095702</v>
      </c>
      <c r="E409" s="164">
        <v>1347.52739814899</v>
      </c>
      <c r="F409" s="11">
        <v>0.31747625908764698</v>
      </c>
      <c r="G409" s="11">
        <v>1.1834181850522301</v>
      </c>
      <c r="H409" s="11">
        <v>3.2174923626438402E-2</v>
      </c>
      <c r="I409" s="11">
        <v>0.21976732507458399</v>
      </c>
      <c r="J409" s="11">
        <v>1.12508477947118</v>
      </c>
      <c r="K409" s="11">
        <v>0.110710537879634</v>
      </c>
      <c r="L409" s="11">
        <v>1.40566427562769</v>
      </c>
      <c r="M409" s="11">
        <v>2.12946993926789E-2</v>
      </c>
      <c r="N409" s="11">
        <v>0.34407055982703499</v>
      </c>
      <c r="O409" s="11">
        <v>2.5051383695282901E-2</v>
      </c>
      <c r="P409" s="11">
        <v>2.6554935877942502E-2</v>
      </c>
      <c r="Q409" s="11">
        <v>0.55261386877415497</v>
      </c>
      <c r="R409" s="11">
        <v>9.99418677794882E-2</v>
      </c>
      <c r="S409" s="11">
        <v>5.0667541001020097E-2</v>
      </c>
      <c r="T409" s="11">
        <v>2.5723657668709401E-2</v>
      </c>
      <c r="U409" s="11">
        <v>1.90439822400029E-2</v>
      </c>
      <c r="V409" s="11">
        <v>0</v>
      </c>
      <c r="W409" s="11">
        <v>0</v>
      </c>
      <c r="X409" s="11">
        <v>6.4476895655262503E-2</v>
      </c>
      <c r="Y409" s="11">
        <v>5.4646857435846699E-3</v>
      </c>
      <c r="Z409" s="11">
        <v>1.3963228326123799E-2</v>
      </c>
      <c r="AA409" s="11">
        <v>0.13387353714983499</v>
      </c>
    </row>
    <row r="410" spans="1:27">
      <c r="A410" s="5"/>
      <c r="B410" s="5" t="s">
        <v>528</v>
      </c>
      <c r="C410" s="5" t="s">
        <v>529</v>
      </c>
      <c r="D410" s="11">
        <v>5.8753643809927398</v>
      </c>
      <c r="E410" s="164">
        <v>1282.8476595969701</v>
      </c>
      <c r="F410" s="11">
        <v>0.40014304097640402</v>
      </c>
      <c r="G410" s="11">
        <v>0.81065210727908599</v>
      </c>
      <c r="H410" s="11">
        <v>1.45104654343573E-2</v>
      </c>
      <c r="I410" s="11">
        <v>0</v>
      </c>
      <c r="J410" s="11">
        <v>1.21888965651471</v>
      </c>
      <c r="K410" s="11">
        <v>0.14464199862240901</v>
      </c>
      <c r="L410" s="11">
        <v>1.9197911436331601</v>
      </c>
      <c r="M410" s="11">
        <v>0</v>
      </c>
      <c r="N410" s="11">
        <v>0.301018622039325</v>
      </c>
      <c r="O410" s="11">
        <v>0</v>
      </c>
      <c r="P410" s="11">
        <v>2.64232092703474E-2</v>
      </c>
      <c r="Q410" s="11">
        <v>0.71163794049060802</v>
      </c>
      <c r="R410" s="11">
        <v>9.9530942506935102E-2</v>
      </c>
      <c r="S410" s="11">
        <v>0</v>
      </c>
      <c r="T410" s="11">
        <v>2.90996736525902E-2</v>
      </c>
      <c r="U410" s="11">
        <v>1.60131566837458E-2</v>
      </c>
      <c r="V410" s="11">
        <v>5.3741587944257402E-2</v>
      </c>
      <c r="W410" s="11">
        <v>0</v>
      </c>
      <c r="X410" s="11">
        <v>5.9398181686014802E-2</v>
      </c>
      <c r="Y410" s="11">
        <v>0</v>
      </c>
      <c r="Z410" s="11">
        <v>7.2237444051453797E-3</v>
      </c>
      <c r="AA410" s="11">
        <v>0.18432721593877599</v>
      </c>
    </row>
    <row r="411" spans="1:27" s="255" customFormat="1">
      <c r="B411" s="5" t="s">
        <v>530</v>
      </c>
      <c r="C411" s="5" t="s">
        <v>531</v>
      </c>
      <c r="D411" s="249">
        <v>5.4683860960248856</v>
      </c>
      <c r="E411" s="248">
        <v>1506.5004644582236</v>
      </c>
      <c r="F411" s="249">
        <v>0.59045121988671545</v>
      </c>
      <c r="G411" s="249">
        <v>1.1035694559511924</v>
      </c>
      <c r="H411" s="249">
        <v>4.5726700693247441E-2</v>
      </c>
      <c r="I411" s="249">
        <v>7.4409527604449618E-2</v>
      </c>
      <c r="J411" s="249">
        <v>0.89866839585704494</v>
      </c>
      <c r="K411" s="249">
        <v>6.5612183817635242E-2</v>
      </c>
      <c r="L411" s="249">
        <v>1.782859773665542</v>
      </c>
      <c r="M411" s="249">
        <v>9.9273513946887392E-3</v>
      </c>
      <c r="N411" s="249">
        <v>0.3094666689672268</v>
      </c>
      <c r="O411" s="249">
        <v>2.4154219432104281E-2</v>
      </c>
      <c r="P411" s="249">
        <v>1.5172721158910728E-2</v>
      </c>
      <c r="Q411" s="249">
        <v>0.63740751025344466</v>
      </c>
      <c r="R411" s="249">
        <v>0</v>
      </c>
      <c r="S411" s="249">
        <v>5.8196103209492339E-2</v>
      </c>
      <c r="T411" s="249">
        <v>0</v>
      </c>
      <c r="U411" s="249">
        <v>1.5857215878595773E-2</v>
      </c>
      <c r="V411" s="249">
        <v>6.1344441333274373E-2</v>
      </c>
      <c r="W411" s="249">
        <v>0.49435420795787827</v>
      </c>
      <c r="X411" s="249">
        <v>4.8583383716366023E-2</v>
      </c>
      <c r="Y411" s="249">
        <v>0</v>
      </c>
      <c r="Z411" s="249">
        <v>1.0880608903930803E-2</v>
      </c>
      <c r="AA411" s="249">
        <v>0.60468770013293471</v>
      </c>
    </row>
    <row r="412" spans="1:27">
      <c r="A412" s="5"/>
      <c r="B412" s="5" t="s">
        <v>532</v>
      </c>
      <c r="C412" s="5" t="s">
        <v>533</v>
      </c>
      <c r="D412" s="11">
        <v>6.3522769859506996</v>
      </c>
      <c r="E412" s="164">
        <v>1980.1859667670899</v>
      </c>
      <c r="F412" s="11">
        <v>0.55904880029709003</v>
      </c>
      <c r="G412" s="11">
        <v>0.90105755514302799</v>
      </c>
      <c r="H412" s="11">
        <v>4.6277086676770898E-2</v>
      </c>
      <c r="I412" s="11">
        <v>0.204860377612607</v>
      </c>
      <c r="J412" s="11">
        <v>0.73909925746775895</v>
      </c>
      <c r="K412" s="11">
        <v>8.3079591548645498E-2</v>
      </c>
      <c r="L412" s="11">
        <v>1.5128397058391601</v>
      </c>
      <c r="M412" s="11">
        <v>1.7376315501839101E-2</v>
      </c>
      <c r="N412" s="11">
        <v>0.29191677892679502</v>
      </c>
      <c r="O412" s="11">
        <v>0</v>
      </c>
      <c r="P412" s="11">
        <v>2.9633506017415E-2</v>
      </c>
      <c r="Q412" s="11">
        <v>0.77574515990285497</v>
      </c>
      <c r="R412" s="11">
        <v>5.0688036786238899E-2</v>
      </c>
      <c r="S412" s="11">
        <v>0</v>
      </c>
      <c r="T412" s="11">
        <v>1.03794063309765E-2</v>
      </c>
      <c r="U412" s="11">
        <v>1.2770004712929099E-2</v>
      </c>
      <c r="V412" s="11">
        <v>0</v>
      </c>
      <c r="W412" s="11">
        <v>0.217800815045574</v>
      </c>
      <c r="X412" s="11">
        <v>6.1945805857705698E-2</v>
      </c>
      <c r="Y412" s="11">
        <v>0</v>
      </c>
      <c r="Z412" s="11">
        <v>1.1053877455008E-2</v>
      </c>
      <c r="AA412" s="11">
        <v>0</v>
      </c>
    </row>
    <row r="413" spans="1:27">
      <c r="A413" s="5"/>
      <c r="B413" s="5" t="s">
        <v>534</v>
      </c>
      <c r="C413" s="5" t="s">
        <v>535</v>
      </c>
      <c r="D413" s="11">
        <v>20.1256275420861</v>
      </c>
      <c r="E413" s="164">
        <v>1839.64638484242</v>
      </c>
      <c r="F413" s="11">
        <v>0.36476142778179299</v>
      </c>
      <c r="G413" s="11">
        <v>0.63760221088768398</v>
      </c>
      <c r="H413" s="11">
        <v>4.2240732521771102E-2</v>
      </c>
      <c r="I413" s="11">
        <v>0.19610467340695101</v>
      </c>
      <c r="J413" s="11">
        <v>1.8217955730672499</v>
      </c>
      <c r="K413" s="11">
        <v>7.6406715722362697E-2</v>
      </c>
      <c r="L413" s="11">
        <v>1.8616457914864299</v>
      </c>
      <c r="M413" s="11">
        <v>1.4838306149035399E-2</v>
      </c>
      <c r="N413" s="11">
        <v>0.41360533890855899</v>
      </c>
      <c r="O413" s="11">
        <v>1.5895622014568001E-2</v>
      </c>
      <c r="P413" s="11">
        <v>4.7880627511856899E-2</v>
      </c>
      <c r="Q413" s="11">
        <v>0.33933051621539201</v>
      </c>
      <c r="R413" s="11">
        <v>0.13431939017892999</v>
      </c>
      <c r="S413" s="11">
        <v>0.30798406288927799</v>
      </c>
      <c r="T413" s="11">
        <v>3.4212588595237903E-2</v>
      </c>
      <c r="U413" s="11">
        <v>4.90642180564669E-2</v>
      </c>
      <c r="V413" s="11">
        <v>0.13806445949874999</v>
      </c>
      <c r="W413" s="11">
        <v>2.00426717895296</v>
      </c>
      <c r="X413" s="11">
        <v>0.109642711636707</v>
      </c>
      <c r="Y413" s="11">
        <v>8.9628396537511194E-3</v>
      </c>
      <c r="Z413" s="11">
        <v>1.0065548814328799E-2</v>
      </c>
      <c r="AA413" s="11">
        <v>0</v>
      </c>
    </row>
    <row r="414" spans="1:27">
      <c r="A414" s="5"/>
      <c r="B414" s="5" t="s">
        <v>536</v>
      </c>
      <c r="C414" s="5" t="s">
        <v>537</v>
      </c>
      <c r="D414" s="11">
        <v>16.824107713707502</v>
      </c>
      <c r="E414" s="164">
        <v>1765.2505067485599</v>
      </c>
      <c r="F414" s="11">
        <v>0.28192055427607299</v>
      </c>
      <c r="G414" s="11">
        <v>0.81566488922844504</v>
      </c>
      <c r="H414" s="11">
        <v>1.7999589918653702E-2</v>
      </c>
      <c r="I414" s="11">
        <v>0.28120923478698301</v>
      </c>
      <c r="J414" s="11">
        <v>1.45592201245815</v>
      </c>
      <c r="K414" s="11">
        <v>8.7222516675964298E-2</v>
      </c>
      <c r="L414" s="11">
        <v>1.20472367257179</v>
      </c>
      <c r="M414" s="11">
        <v>1.09814437775768E-2</v>
      </c>
      <c r="N414" s="11">
        <v>0.372005124056148</v>
      </c>
      <c r="O414" s="11">
        <v>0</v>
      </c>
      <c r="P414" s="11">
        <v>3.5966427644227E-2</v>
      </c>
      <c r="Q414" s="11">
        <v>0.34900007472223399</v>
      </c>
      <c r="R414" s="11">
        <v>9.7464992890734098E-2</v>
      </c>
      <c r="S414" s="11">
        <v>0.267616785680655</v>
      </c>
      <c r="T414" s="11">
        <v>3.6600673729178301E-2</v>
      </c>
      <c r="U414" s="11">
        <v>4.6941495861054401E-2</v>
      </c>
      <c r="V414" s="11">
        <v>0.107999208947322</v>
      </c>
      <c r="W414" s="11">
        <v>1.2292338342854201</v>
      </c>
      <c r="X414" s="11">
        <v>9.2019191355742505E-2</v>
      </c>
      <c r="Y414" s="11">
        <v>1.2709184350027301E-2</v>
      </c>
      <c r="Z414" s="11">
        <v>1.19833281463266E-2</v>
      </c>
      <c r="AA414" s="11">
        <v>0</v>
      </c>
    </row>
    <row r="415" spans="1:27">
      <c r="A415" s="5"/>
      <c r="B415" s="5" t="s">
        <v>538</v>
      </c>
      <c r="C415" s="5" t="s">
        <v>539</v>
      </c>
      <c r="D415" s="11">
        <v>15.8891215960526</v>
      </c>
      <c r="E415" s="164">
        <v>2070.2043816537598</v>
      </c>
      <c r="F415" s="11">
        <v>0.41076677672904</v>
      </c>
      <c r="G415" s="11">
        <v>0.55870271070575195</v>
      </c>
      <c r="H415" s="11">
        <v>4.1483126567453399E-2</v>
      </c>
      <c r="I415" s="11">
        <v>0.20353280788197001</v>
      </c>
      <c r="J415" s="11">
        <v>1.6260114005556301</v>
      </c>
      <c r="K415" s="11">
        <v>0.141197774288952</v>
      </c>
      <c r="L415" s="11">
        <v>1.5952211685061799</v>
      </c>
      <c r="M415" s="11">
        <v>1.10810113053267E-2</v>
      </c>
      <c r="N415" s="11">
        <v>0.39754233096253899</v>
      </c>
      <c r="O415" s="11">
        <v>2.20654642650422E-2</v>
      </c>
      <c r="P415" s="11">
        <v>3.0506738216677001E-2</v>
      </c>
      <c r="Q415" s="11">
        <v>0.42537904762552098</v>
      </c>
      <c r="R415" s="11">
        <v>0</v>
      </c>
      <c r="S415" s="11">
        <v>0.21844946846605101</v>
      </c>
      <c r="T415" s="11">
        <v>5.5438832268977098E-2</v>
      </c>
      <c r="U415" s="11">
        <v>5.1324333235842498E-2</v>
      </c>
      <c r="V415" s="11">
        <v>4.9318429124778899E-2</v>
      </c>
      <c r="W415" s="11">
        <v>1.26721403965552</v>
      </c>
      <c r="X415" s="11">
        <v>0.105803768300546</v>
      </c>
      <c r="Y415" s="11">
        <v>1.41094067733794E-2</v>
      </c>
      <c r="Z415" s="11">
        <v>3.7003681297833997E-2</v>
      </c>
      <c r="AA415" s="11">
        <v>0</v>
      </c>
    </row>
    <row r="416" spans="1:27">
      <c r="A416" s="5"/>
      <c r="B416" s="5" t="s">
        <v>540</v>
      </c>
      <c r="C416" s="5" t="s">
        <v>541</v>
      </c>
      <c r="D416" s="11">
        <v>17.171571059122101</v>
      </c>
      <c r="E416" s="164">
        <v>1225.8001348806299</v>
      </c>
      <c r="F416" s="11">
        <v>0.49045272654313499</v>
      </c>
      <c r="G416" s="11">
        <v>0.67841793469481604</v>
      </c>
      <c r="H416" s="11">
        <v>1.7765283014955301E-2</v>
      </c>
      <c r="I416" s="11">
        <v>0.198011666749666</v>
      </c>
      <c r="J416" s="11">
        <v>1.2709798359401101</v>
      </c>
      <c r="K416" s="11">
        <v>0.107845011337181</v>
      </c>
      <c r="L416" s="11">
        <v>1.3920026892717501</v>
      </c>
      <c r="M416" s="11">
        <v>0</v>
      </c>
      <c r="N416" s="11">
        <v>0.35178123452637899</v>
      </c>
      <c r="O416" s="11">
        <v>1.5403809067030899E-2</v>
      </c>
      <c r="P416" s="11">
        <v>4.7206606150821902E-2</v>
      </c>
      <c r="Q416" s="11">
        <v>0.31349815631097799</v>
      </c>
      <c r="R416" s="11">
        <v>4.3041962782700699E-2</v>
      </c>
      <c r="S416" s="11">
        <v>0.17655671240820101</v>
      </c>
      <c r="T416" s="11">
        <v>3.0660361641382802E-2</v>
      </c>
      <c r="U416" s="11">
        <v>4.9615438010090801E-2</v>
      </c>
      <c r="V416" s="11">
        <v>0.17511910252843299</v>
      </c>
      <c r="W416" s="11">
        <v>0.66444323239135905</v>
      </c>
      <c r="X416" s="11">
        <v>8.4921166612832499E-2</v>
      </c>
      <c r="Y416" s="11">
        <v>0</v>
      </c>
      <c r="Z416" s="11">
        <v>1.7849720085445001E-2</v>
      </c>
      <c r="AA416" s="11">
        <v>0.31680731818909802</v>
      </c>
    </row>
    <row r="417" spans="1:33">
      <c r="A417" s="5"/>
      <c r="B417" s="5" t="s">
        <v>542</v>
      </c>
      <c r="C417" s="5" t="s">
        <v>543</v>
      </c>
      <c r="D417" s="11">
        <v>16.927850898565701</v>
      </c>
      <c r="E417" s="164">
        <v>2034.5977551355199</v>
      </c>
      <c r="F417" s="11">
        <v>0.32774301251594101</v>
      </c>
      <c r="G417" s="11">
        <v>0.94109758667732502</v>
      </c>
      <c r="H417" s="11">
        <v>8.0288462114091894E-2</v>
      </c>
      <c r="I417" s="11">
        <v>0.29881692135510901</v>
      </c>
      <c r="J417" s="11">
        <v>1.83124195120499</v>
      </c>
      <c r="K417" s="11">
        <v>9.0297648722182697E-2</v>
      </c>
      <c r="L417" s="11">
        <v>1.5106252645617699</v>
      </c>
      <c r="M417" s="11">
        <v>1.4012532051788601E-2</v>
      </c>
      <c r="N417" s="11">
        <v>0.46649485197195001</v>
      </c>
      <c r="O417" s="11">
        <v>4.1403852530035298E-2</v>
      </c>
      <c r="P417" s="11">
        <v>7.5812810885821993E-2</v>
      </c>
      <c r="Q417" s="11">
        <v>0.388449639453674</v>
      </c>
      <c r="R417" s="11">
        <v>0</v>
      </c>
      <c r="S417" s="11">
        <v>0.31576557577168102</v>
      </c>
      <c r="T417" s="11">
        <v>3.6006976350581497E-2</v>
      </c>
      <c r="U417" s="11">
        <v>4.93264946189194E-2</v>
      </c>
      <c r="V417" s="11">
        <v>7.5061397615402106E-2</v>
      </c>
      <c r="W417" s="11">
        <v>0.50867324323519403</v>
      </c>
      <c r="X417" s="11">
        <v>0.121042468618449</v>
      </c>
      <c r="Y417" s="11">
        <v>9.6827371757084793E-3</v>
      </c>
      <c r="Z417" s="11">
        <v>2.1147913440311101E-2</v>
      </c>
      <c r="AA417" s="11">
        <v>0.35659113093737699</v>
      </c>
    </row>
    <row r="418" spans="1:33">
      <c r="A418" s="5"/>
      <c r="B418" s="5" t="s">
        <v>544</v>
      </c>
      <c r="C418" s="5" t="s">
        <v>545</v>
      </c>
      <c r="D418" s="11">
        <v>13.0069290389101</v>
      </c>
      <c r="E418" s="164">
        <v>1612.09815922142</v>
      </c>
      <c r="F418" s="11">
        <v>0.406236830944956</v>
      </c>
      <c r="G418" s="11">
        <v>0.79598038007869898</v>
      </c>
      <c r="H418" s="11">
        <v>3.3015133262713603E-2</v>
      </c>
      <c r="I418" s="11">
        <v>0.219918026092767</v>
      </c>
      <c r="J418" s="11">
        <v>1.2984749698434599</v>
      </c>
      <c r="K418" s="11">
        <v>5.4949700620894597E-2</v>
      </c>
      <c r="L418" s="11">
        <v>1.6768640533691599</v>
      </c>
      <c r="M418" s="11">
        <v>2.01832602354154E-2</v>
      </c>
      <c r="N418" s="11">
        <v>0.34107495950222899</v>
      </c>
      <c r="O418" s="11">
        <v>3.6490575466335801E-2</v>
      </c>
      <c r="P418" s="11">
        <v>4.2643324277076199E-2</v>
      </c>
      <c r="Q418" s="11">
        <v>0.42458087110515103</v>
      </c>
      <c r="R418" s="11">
        <v>0.151248592614174</v>
      </c>
      <c r="S418" s="11">
        <v>0.12622208423481099</v>
      </c>
      <c r="T418" s="11">
        <v>1.9056080782013301E-2</v>
      </c>
      <c r="U418" s="11">
        <v>4.3303376038879203E-2</v>
      </c>
      <c r="V418" s="11">
        <v>0.104815655137917</v>
      </c>
      <c r="W418" s="11">
        <v>0.77207676550571303</v>
      </c>
      <c r="X418" s="11">
        <v>8.7560141199216707E-2</v>
      </c>
      <c r="Y418" s="11">
        <v>6.1078283986039502E-3</v>
      </c>
      <c r="Z418" s="11">
        <v>2.01742262002855E-2</v>
      </c>
      <c r="AA418" s="11">
        <v>0.31436527927172597</v>
      </c>
    </row>
    <row r="419" spans="1:33">
      <c r="A419" s="5"/>
      <c r="B419" s="5" t="s">
        <v>546</v>
      </c>
      <c r="C419" s="5" t="s">
        <v>547</v>
      </c>
      <c r="D419" s="11">
        <v>14.9461174816729</v>
      </c>
      <c r="E419" s="164">
        <v>1521.0718184934799</v>
      </c>
      <c r="F419" s="11">
        <v>0.40930918438897002</v>
      </c>
      <c r="G419" s="11">
        <v>0.62757058472591898</v>
      </c>
      <c r="H419" s="11">
        <v>4.6403963852419801E-2</v>
      </c>
      <c r="I419" s="11">
        <v>0.25280515742897203</v>
      </c>
      <c r="J419" s="11">
        <v>1.2184474888246599</v>
      </c>
      <c r="K419" s="11">
        <v>0.15544178337549699</v>
      </c>
      <c r="L419" s="11">
        <v>1.3101776781794801</v>
      </c>
      <c r="M419" s="11">
        <v>1.2264816926423601E-2</v>
      </c>
      <c r="N419" s="11">
        <v>0.33197754403100999</v>
      </c>
      <c r="O419" s="11">
        <v>0</v>
      </c>
      <c r="P419" s="11">
        <v>4.7001327436719802E-2</v>
      </c>
      <c r="Q419" s="11">
        <v>0.38621614304339003</v>
      </c>
      <c r="R419" s="11">
        <v>8.4438625320772107E-2</v>
      </c>
      <c r="S419" s="11">
        <v>0.51328354826349598</v>
      </c>
      <c r="T419" s="11">
        <v>3.4259812943172999E-2</v>
      </c>
      <c r="U419" s="11">
        <v>4.3905288822887502E-2</v>
      </c>
      <c r="V419" s="11">
        <v>9.4262454452767597E-2</v>
      </c>
      <c r="W419" s="11">
        <v>0.64810239561359495</v>
      </c>
      <c r="X419" s="11">
        <v>6.6018213914051493E-2</v>
      </c>
      <c r="Y419" s="11">
        <v>1.01781978792598E-2</v>
      </c>
      <c r="Z419" s="11">
        <v>2.38994697030314E-2</v>
      </c>
      <c r="AA419" s="11">
        <v>0.74701637704099899</v>
      </c>
    </row>
    <row r="420" spans="1:33">
      <c r="A420" s="5"/>
      <c r="B420" s="5" t="s">
        <v>548</v>
      </c>
      <c r="C420" s="5" t="s">
        <v>549</v>
      </c>
      <c r="D420" s="11">
        <v>17.202014974113901</v>
      </c>
      <c r="E420" s="164">
        <v>1840.10503620649</v>
      </c>
      <c r="F420" s="11">
        <v>0.49702921944205902</v>
      </c>
      <c r="G420" s="11">
        <v>0.66679536436321696</v>
      </c>
      <c r="H420" s="11">
        <v>2.87095277571674E-2</v>
      </c>
      <c r="I420" s="11">
        <v>0.21696589862306601</v>
      </c>
      <c r="J420" s="11">
        <v>1.3078448864080301</v>
      </c>
      <c r="K420" s="11">
        <v>9.6561074215692003E-2</v>
      </c>
      <c r="L420" s="11">
        <v>1.5988046471138699</v>
      </c>
      <c r="M420" s="11">
        <v>2.54293193068756E-2</v>
      </c>
      <c r="N420" s="11">
        <v>0.36724058903310702</v>
      </c>
      <c r="O420" s="11">
        <v>3.9150513230051198E-2</v>
      </c>
      <c r="P420" s="11">
        <v>5.0864745460519598E-2</v>
      </c>
      <c r="Q420" s="11">
        <v>0.35361729723873497</v>
      </c>
      <c r="R420" s="11">
        <v>4.5463286607195501E-2</v>
      </c>
      <c r="S420" s="11">
        <v>0.18949983538566001</v>
      </c>
      <c r="T420" s="11">
        <v>4.7997294225183902E-2</v>
      </c>
      <c r="U420" s="11">
        <v>5.9237685018909803E-2</v>
      </c>
      <c r="V420" s="11">
        <v>0.10159493935156701</v>
      </c>
      <c r="W420" s="11">
        <v>0.74205968538527101</v>
      </c>
      <c r="X420" s="11">
        <v>9.7175026037596396E-2</v>
      </c>
      <c r="Y420" s="11">
        <v>6.5162198964141002E-3</v>
      </c>
      <c r="Z420" s="11">
        <v>2.9003787008183499E-2</v>
      </c>
      <c r="AA420" s="11">
        <v>0</v>
      </c>
    </row>
    <row r="421" spans="1:33">
      <c r="A421" s="5"/>
      <c r="B421" s="5" t="s">
        <v>550</v>
      </c>
      <c r="C421" s="5" t="s">
        <v>551</v>
      </c>
      <c r="D421" s="11">
        <v>17.423942769568999</v>
      </c>
      <c r="E421" s="164">
        <v>1712.5904152145999</v>
      </c>
      <c r="F421" s="11">
        <v>0.41811827764334802</v>
      </c>
      <c r="G421" s="11">
        <v>0.96547086538952998</v>
      </c>
      <c r="H421" s="11">
        <v>3.6743250540472797E-2</v>
      </c>
      <c r="I421" s="11">
        <v>0.33539250391141501</v>
      </c>
      <c r="J421" s="11">
        <v>1.0414805526361599</v>
      </c>
      <c r="K421" s="11">
        <v>0.110178882454429</v>
      </c>
      <c r="L421" s="11">
        <v>2.5538149712096798</v>
      </c>
      <c r="M421" s="11">
        <v>2.6754046985357601E-2</v>
      </c>
      <c r="N421" s="11">
        <v>0.29891243386953797</v>
      </c>
      <c r="O421" s="11">
        <v>3.5087082521831403E-2</v>
      </c>
      <c r="P421" s="11">
        <v>5.4615252389348799E-2</v>
      </c>
      <c r="Q421" s="11">
        <v>0.38410113876783603</v>
      </c>
      <c r="R421" s="11">
        <v>0.10732927162700499</v>
      </c>
      <c r="S421" s="11">
        <v>0</v>
      </c>
      <c r="T421" s="11">
        <v>3.8892758954786E-2</v>
      </c>
      <c r="U421" s="11">
        <v>5.3663069409413497E-2</v>
      </c>
      <c r="V421" s="11">
        <v>5.4321228269306E-2</v>
      </c>
      <c r="W421" s="11">
        <v>1.3661132956200801</v>
      </c>
      <c r="X421" s="11">
        <v>0.107645378775042</v>
      </c>
      <c r="Y421" s="11">
        <v>1.53681790533386E-2</v>
      </c>
      <c r="Z421" s="11">
        <v>2.13850614268975E-2</v>
      </c>
      <c r="AA421" s="11">
        <v>0.72266087723465899</v>
      </c>
    </row>
    <row r="422" spans="1:33">
      <c r="A422" s="15"/>
      <c r="B422" s="15" t="s">
        <v>552</v>
      </c>
      <c r="C422" s="15" t="s">
        <v>553</v>
      </c>
      <c r="D422" s="16">
        <v>16.022393046077902</v>
      </c>
      <c r="E422" s="265">
        <v>1802.3043302067299</v>
      </c>
      <c r="F422" s="16">
        <v>0.67579643626080699</v>
      </c>
      <c r="G422" s="16">
        <v>0.81020762540431901</v>
      </c>
      <c r="H422" s="16">
        <v>3.73846398038747E-2</v>
      </c>
      <c r="I422" s="16">
        <v>0.26867800079785398</v>
      </c>
      <c r="J422" s="16">
        <v>1.4610720857127699</v>
      </c>
      <c r="K422" s="16">
        <v>8.4801917412825098E-2</v>
      </c>
      <c r="L422" s="16">
        <v>1.9235894080931</v>
      </c>
      <c r="M422" s="16">
        <v>9.4271791350376208E-3</v>
      </c>
      <c r="N422" s="16">
        <v>0.41534401861548698</v>
      </c>
      <c r="O422" s="16">
        <v>5.4200303120595802E-2</v>
      </c>
      <c r="P422" s="16">
        <v>5.7954944935402701E-2</v>
      </c>
      <c r="Q422" s="16">
        <v>0.386036231151902</v>
      </c>
      <c r="R422" s="16">
        <v>0</v>
      </c>
      <c r="S422" s="16">
        <v>0.50050000213988199</v>
      </c>
      <c r="T422" s="16">
        <v>4.3235288369220103E-2</v>
      </c>
      <c r="U422" s="16">
        <v>5.5084616001397503E-2</v>
      </c>
      <c r="V422" s="16">
        <v>7.9985801419072702E-2</v>
      </c>
      <c r="W422" s="16">
        <v>0.98712029149812297</v>
      </c>
      <c r="X422" s="16">
        <v>0.11489303395135</v>
      </c>
      <c r="Y422" s="16">
        <v>1.6211183472798499E-2</v>
      </c>
      <c r="Z422" s="16">
        <v>1.4186567444737201E-2</v>
      </c>
      <c r="AA422" s="16">
        <v>0.382343222169786</v>
      </c>
      <c r="AB422" s="15"/>
      <c r="AC422" s="15"/>
      <c r="AD422" s="15"/>
      <c r="AE422" s="15"/>
      <c r="AF422" s="15"/>
      <c r="AG422" s="15"/>
    </row>
    <row r="423" spans="1:33">
      <c r="A423" s="174" t="s">
        <v>137</v>
      </c>
      <c r="B423" s="175"/>
      <c r="C423" s="264"/>
      <c r="D423" s="263"/>
      <c r="E423" s="263"/>
      <c r="F423" s="263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3"/>
      <c r="W423" s="263"/>
      <c r="X423" s="263"/>
      <c r="Y423" s="263"/>
      <c r="Z423" s="263"/>
      <c r="AA423" s="263"/>
    </row>
    <row r="424" spans="1:33" s="54" customFormat="1">
      <c r="A424" s="131" t="s">
        <v>554</v>
      </c>
      <c r="B424" s="54" t="s">
        <v>555</v>
      </c>
      <c r="C424" s="54" t="s">
        <v>645</v>
      </c>
      <c r="D424" s="46">
        <v>8.6440724699980311</v>
      </c>
      <c r="E424" s="246">
        <v>923.14011705642815</v>
      </c>
      <c r="F424" s="46">
        <v>2.9514792332221234</v>
      </c>
      <c r="G424" s="46">
        <v>0.62768403038840737</v>
      </c>
      <c r="H424" s="46">
        <v>6.1228641006748248E-2</v>
      </c>
      <c r="I424" s="46">
        <v>0.23411313656773705</v>
      </c>
      <c r="J424" s="46">
        <v>0.91440219109318543</v>
      </c>
      <c r="K424" s="46">
        <v>5.1961417836756722E-2</v>
      </c>
      <c r="L424" s="46">
        <v>1.3341041078561029</v>
      </c>
      <c r="M424" s="46">
        <v>0</v>
      </c>
      <c r="N424" s="46">
        <v>0.25600271716073619</v>
      </c>
      <c r="O424" s="46">
        <v>0</v>
      </c>
      <c r="P424" s="46">
        <v>0.16350191114529594</v>
      </c>
      <c r="Q424" s="46">
        <v>0.35070312768205969</v>
      </c>
      <c r="R424" s="46">
        <v>0</v>
      </c>
      <c r="S424" s="46">
        <v>0.20569555243590479</v>
      </c>
      <c r="T424" s="46">
        <v>1.7706481938153936E-2</v>
      </c>
      <c r="U424" s="46">
        <v>5.7470855920305805E-2</v>
      </c>
      <c r="V424" s="46">
        <v>8.7352014404488559E-2</v>
      </c>
      <c r="W424" s="46">
        <v>1.1152807021608224</v>
      </c>
      <c r="X424" s="46">
        <v>7.2735219052541072E-2</v>
      </c>
      <c r="Y424" s="46">
        <v>0</v>
      </c>
      <c r="Z424" s="46">
        <v>1.4361451094441906E-2</v>
      </c>
      <c r="AA424" s="46">
        <v>0</v>
      </c>
      <c r="AB424" s="125"/>
      <c r="AC424" s="125"/>
      <c r="AD424" s="125"/>
      <c r="AE424" s="125"/>
      <c r="AF424" s="125"/>
      <c r="AG424" s="125"/>
    </row>
    <row r="425" spans="1:33" s="54" customFormat="1">
      <c r="B425" s="54" t="s">
        <v>557</v>
      </c>
      <c r="C425" s="54" t="s">
        <v>646</v>
      </c>
      <c r="D425" s="46">
        <v>6.199540494629419</v>
      </c>
      <c r="E425" s="246">
        <v>1186.3018712095641</v>
      </c>
      <c r="F425" s="46">
        <v>3.1173273508139276</v>
      </c>
      <c r="G425" s="46">
        <v>0.47757902258169693</v>
      </c>
      <c r="H425" s="46">
        <v>0</v>
      </c>
      <c r="I425" s="46">
        <v>0.20770779853056878</v>
      </c>
      <c r="J425" s="46">
        <v>0.98481384626683377</v>
      </c>
      <c r="K425" s="46">
        <v>9.3331088244492655E-2</v>
      </c>
      <c r="L425" s="46">
        <v>1.836368903338961</v>
      </c>
      <c r="M425" s="46">
        <v>0</v>
      </c>
      <c r="N425" s="46">
        <v>0.34350500040728993</v>
      </c>
      <c r="O425" s="46">
        <v>0</v>
      </c>
      <c r="P425" s="46">
        <v>0.19805974860615153</v>
      </c>
      <c r="Q425" s="46">
        <v>0.31409758965974516</v>
      </c>
      <c r="R425" s="46">
        <v>0</v>
      </c>
      <c r="S425" s="46">
        <v>0.10052290842509404</v>
      </c>
      <c r="T425" s="46">
        <v>0</v>
      </c>
      <c r="U425" s="46">
        <v>4.1677962938224497E-2</v>
      </c>
      <c r="V425" s="46">
        <v>8.5032171852059676E-2</v>
      </c>
      <c r="W425" s="46">
        <v>0.78877630562465473</v>
      </c>
      <c r="X425" s="46">
        <v>2.8197650418278018E-2</v>
      </c>
      <c r="Y425" s="46">
        <v>0</v>
      </c>
      <c r="Z425" s="46">
        <v>9.6698509832008287E-3</v>
      </c>
      <c r="AA425" s="46">
        <v>0</v>
      </c>
      <c r="AB425" s="125"/>
      <c r="AC425" s="125"/>
      <c r="AD425" s="125"/>
      <c r="AE425" s="125"/>
      <c r="AF425" s="125"/>
      <c r="AG425" s="125"/>
    </row>
    <row r="426" spans="1:33" s="54" customFormat="1">
      <c r="B426" s="54" t="s">
        <v>559</v>
      </c>
      <c r="C426" s="54" t="s">
        <v>647</v>
      </c>
      <c r="D426" s="46">
        <v>6.7948544952183942</v>
      </c>
      <c r="E426" s="246">
        <v>1261.2803024682087</v>
      </c>
      <c r="F426" s="46">
        <v>3.2417894892739816</v>
      </c>
      <c r="G426" s="46">
        <v>0.5735604021400319</v>
      </c>
      <c r="H426" s="46">
        <v>2.2449828010228476E-2</v>
      </c>
      <c r="I426" s="46">
        <v>0.31914905742067662</v>
      </c>
      <c r="J426" s="46">
        <v>0.80493579186757591</v>
      </c>
      <c r="K426" s="46">
        <v>8.2189234104706535E-2</v>
      </c>
      <c r="L426" s="46">
        <v>1.1595349532339017</v>
      </c>
      <c r="M426" s="46">
        <v>2.6826014839034167E-2</v>
      </c>
      <c r="N426" s="46">
        <v>0.34940992567524554</v>
      </c>
      <c r="O426" s="46">
        <v>0</v>
      </c>
      <c r="P426" s="46">
        <v>0.20758791917867372</v>
      </c>
      <c r="Q426" s="46">
        <v>0.33546581939195869</v>
      </c>
      <c r="R426" s="46">
        <v>0</v>
      </c>
      <c r="S426" s="46">
        <v>0.14456905801461875</v>
      </c>
      <c r="T426" s="46">
        <v>2.8384373683017324E-2</v>
      </c>
      <c r="U426" s="46">
        <v>4.6431859767053746E-2</v>
      </c>
      <c r="V426" s="46">
        <v>0</v>
      </c>
      <c r="W426" s="46">
        <v>1.2326759131983795</v>
      </c>
      <c r="X426" s="46">
        <v>6.9684745797744641E-2</v>
      </c>
      <c r="Y426" s="46">
        <v>5.6921669643808671E-3</v>
      </c>
      <c r="Z426" s="46">
        <v>7.2723609621895098E-3</v>
      </c>
      <c r="AA426" s="46">
        <v>0</v>
      </c>
      <c r="AB426" s="125"/>
      <c r="AC426" s="125"/>
      <c r="AD426" s="125"/>
      <c r="AE426" s="125"/>
      <c r="AF426" s="125"/>
      <c r="AG426" s="125"/>
    </row>
    <row r="427" spans="1:33" s="54" customFormat="1">
      <c r="B427" s="54" t="s">
        <v>561</v>
      </c>
      <c r="C427" s="54" t="s">
        <v>648</v>
      </c>
      <c r="D427" s="46">
        <v>5.2149236617326933</v>
      </c>
      <c r="E427" s="246">
        <v>975.32403786290001</v>
      </c>
      <c r="F427" s="46">
        <v>3.4623548064086851</v>
      </c>
      <c r="G427" s="46">
        <v>0.41943024434878384</v>
      </c>
      <c r="H427" s="46">
        <v>0</v>
      </c>
      <c r="I427" s="46">
        <v>0.10987831243265887</v>
      </c>
      <c r="J427" s="46">
        <v>0.71564218570066374</v>
      </c>
      <c r="K427" s="46">
        <v>0.1463639258122926</v>
      </c>
      <c r="L427" s="46">
        <v>2.0237955448456413</v>
      </c>
      <c r="M427" s="46">
        <v>1.7285347183953161E-2</v>
      </c>
      <c r="N427" s="46">
        <v>0.30812171760393237</v>
      </c>
      <c r="O427" s="46">
        <v>2.3795770710717402E-2</v>
      </c>
      <c r="P427" s="46">
        <v>0.14898553469305759</v>
      </c>
      <c r="Q427" s="46">
        <v>0.3452042467130611</v>
      </c>
      <c r="R427" s="46">
        <v>0.15634139119714202</v>
      </c>
      <c r="S427" s="46">
        <v>0</v>
      </c>
      <c r="T427" s="46">
        <v>2.970988612636314E-2</v>
      </c>
      <c r="U427" s="46">
        <v>5.045959824051225E-2</v>
      </c>
      <c r="V427" s="46">
        <v>8.5570516591812362E-2</v>
      </c>
      <c r="W427" s="46">
        <v>1.6148245241055275</v>
      </c>
      <c r="X427" s="46">
        <v>2.0910944027139541E-2</v>
      </c>
      <c r="Y427" s="46">
        <v>0</v>
      </c>
      <c r="Z427" s="46">
        <v>6.954651062181386E-3</v>
      </c>
      <c r="AA427" s="46">
        <v>0.25229766591422814</v>
      </c>
      <c r="AB427" s="125"/>
      <c r="AC427" s="125"/>
      <c r="AD427" s="125"/>
      <c r="AE427" s="125"/>
      <c r="AF427" s="125"/>
      <c r="AG427" s="125"/>
    </row>
    <row r="428" spans="1:33" s="54" customFormat="1">
      <c r="B428" s="54" t="s">
        <v>563</v>
      </c>
      <c r="C428" s="54" t="s">
        <v>649</v>
      </c>
      <c r="D428" s="46">
        <v>4.792343055737283</v>
      </c>
      <c r="E428" s="246">
        <v>1130.3216924099515</v>
      </c>
      <c r="F428" s="46">
        <v>4.2882917377891472</v>
      </c>
      <c r="G428" s="46">
        <v>0.54124220657374744</v>
      </c>
      <c r="H428" s="46">
        <v>4.6856396388022518E-2</v>
      </c>
      <c r="I428" s="46">
        <v>0.45268154284232048</v>
      </c>
      <c r="J428" s="46">
        <v>0.80581583657674594</v>
      </c>
      <c r="K428" s="46">
        <v>6.4687381534978688E-2</v>
      </c>
      <c r="L428" s="46">
        <v>2.1462120159618272</v>
      </c>
      <c r="M428" s="46">
        <v>1.1428822423355703E-2</v>
      </c>
      <c r="N428" s="46">
        <v>0.24879624261198516</v>
      </c>
      <c r="O428" s="46">
        <v>2.2702561265922322E-2</v>
      </c>
      <c r="P428" s="46">
        <v>0.15905929622483514</v>
      </c>
      <c r="Q428" s="46">
        <v>0.36264049794710357</v>
      </c>
      <c r="R428" s="46">
        <v>0</v>
      </c>
      <c r="S428" s="46">
        <v>9.431394939075706E-2</v>
      </c>
      <c r="T428" s="46">
        <v>3.4756524095294006E-2</v>
      </c>
      <c r="U428" s="46">
        <v>6.9608405669425916E-2</v>
      </c>
      <c r="V428" s="46">
        <v>0</v>
      </c>
      <c r="W428" s="46">
        <v>0.76888708582284859</v>
      </c>
      <c r="X428" s="46">
        <v>6.4576656893127485E-2</v>
      </c>
      <c r="Y428" s="46">
        <v>0</v>
      </c>
      <c r="Z428" s="46">
        <v>6.6301482555829374E-3</v>
      </c>
      <c r="AA428" s="46">
        <v>0.23822282409143991</v>
      </c>
      <c r="AB428" s="125"/>
      <c r="AC428" s="125"/>
      <c r="AD428" s="125"/>
      <c r="AE428" s="125"/>
      <c r="AF428" s="125"/>
      <c r="AG428" s="125"/>
    </row>
    <row r="429" spans="1:33" s="54" customFormat="1">
      <c r="B429" s="54" t="s">
        <v>565</v>
      </c>
      <c r="C429" s="54" t="s">
        <v>650</v>
      </c>
      <c r="D429" s="46">
        <v>4.4577840463903886</v>
      </c>
      <c r="E429" s="246">
        <v>1126.2395807020071</v>
      </c>
      <c r="F429" s="46">
        <v>4.3395521248852935</v>
      </c>
      <c r="G429" s="46">
        <v>0.24708380686857839</v>
      </c>
      <c r="H429" s="46">
        <v>2.2636916885385761E-2</v>
      </c>
      <c r="I429" s="46">
        <v>0.24345919082654541</v>
      </c>
      <c r="J429" s="46">
        <v>0.95018225875588969</v>
      </c>
      <c r="K429" s="46">
        <v>0.14812871680244605</v>
      </c>
      <c r="L429" s="46">
        <v>0.91191687053448178</v>
      </c>
      <c r="M429" s="46">
        <v>0</v>
      </c>
      <c r="N429" s="46">
        <v>0.26274963114846184</v>
      </c>
      <c r="O429" s="46">
        <v>0</v>
      </c>
      <c r="P429" s="46">
        <v>0.14239880988240375</v>
      </c>
      <c r="Q429" s="46">
        <v>0.38562502853055164</v>
      </c>
      <c r="R429" s="46">
        <v>0</v>
      </c>
      <c r="S429" s="46">
        <v>0</v>
      </c>
      <c r="T429" s="46">
        <v>3.2987596448248266E-2</v>
      </c>
      <c r="U429" s="46">
        <v>5.1027429468514109E-2</v>
      </c>
      <c r="V429" s="46">
        <v>0</v>
      </c>
      <c r="W429" s="46">
        <v>1.2141071872095281</v>
      </c>
      <c r="X429" s="46">
        <v>2.9358143547647854E-2</v>
      </c>
      <c r="Y429" s="46">
        <v>5.557675448836479E-3</v>
      </c>
      <c r="Z429" s="46">
        <v>0</v>
      </c>
      <c r="AA429" s="46">
        <v>0</v>
      </c>
      <c r="AB429" s="125"/>
      <c r="AC429" s="125"/>
      <c r="AD429" s="125"/>
      <c r="AE429" s="125"/>
      <c r="AF429" s="125"/>
      <c r="AG429" s="125"/>
    </row>
    <row r="430" spans="1:33" s="54" customFormat="1">
      <c r="B430" s="54" t="s">
        <v>567</v>
      </c>
      <c r="C430" s="54" t="s">
        <v>651</v>
      </c>
      <c r="D430" s="46">
        <v>3.9348808018191272</v>
      </c>
      <c r="E430" s="246">
        <v>1503.2568728709325</v>
      </c>
      <c r="F430" s="46">
        <v>2.5218974128386309</v>
      </c>
      <c r="G430" s="46">
        <v>0.39995167695595923</v>
      </c>
      <c r="H430" s="46">
        <v>0</v>
      </c>
      <c r="I430" s="46">
        <v>0.35231043203184442</v>
      </c>
      <c r="J430" s="46">
        <v>0.468862050972015</v>
      </c>
      <c r="K430" s="46">
        <v>3.9223529691804392E-2</v>
      </c>
      <c r="L430" s="46">
        <v>1.8341273908693894</v>
      </c>
      <c r="M430" s="46">
        <v>8.1504071615913221E-3</v>
      </c>
      <c r="N430" s="46">
        <v>0.21252018061620367</v>
      </c>
      <c r="O430" s="46">
        <v>2.2922147329405923E-2</v>
      </c>
      <c r="P430" s="46">
        <v>0.19929559633338326</v>
      </c>
      <c r="Q430" s="46">
        <v>0.37525467914749899</v>
      </c>
      <c r="R430" s="46">
        <v>0</v>
      </c>
      <c r="S430" s="46">
        <v>9.1098727063336646E-2</v>
      </c>
      <c r="T430" s="46">
        <v>0</v>
      </c>
      <c r="U430" s="46">
        <v>4.0239182163617056E-2</v>
      </c>
      <c r="V430" s="46">
        <v>0</v>
      </c>
      <c r="W430" s="46">
        <v>0.83029908962073229</v>
      </c>
      <c r="X430" s="46">
        <v>3.9569843532439058E-2</v>
      </c>
      <c r="Y430" s="46">
        <v>5.1558782264548089E-3</v>
      </c>
      <c r="Z430" s="46">
        <v>2.1733129309433961E-2</v>
      </c>
      <c r="AA430" s="46">
        <v>0</v>
      </c>
      <c r="AB430" s="125"/>
      <c r="AC430" s="125"/>
      <c r="AD430" s="125"/>
      <c r="AE430" s="125"/>
      <c r="AF430" s="125"/>
      <c r="AG430" s="125"/>
    </row>
    <row r="431" spans="1:33" s="54" customFormat="1">
      <c r="B431" s="54" t="s">
        <v>569</v>
      </c>
      <c r="C431" s="54" t="s">
        <v>652</v>
      </c>
      <c r="D431" s="46">
        <v>6.7619855248248797</v>
      </c>
      <c r="E431" s="246">
        <v>1247.302992162585</v>
      </c>
      <c r="F431" s="46">
        <v>3.5823884952247318</v>
      </c>
      <c r="G431" s="46">
        <v>0.21888090131488863</v>
      </c>
      <c r="H431" s="46">
        <v>0</v>
      </c>
      <c r="I431" s="46">
        <v>0.27899195773386753</v>
      </c>
      <c r="J431" s="46">
        <v>1.1242554806220988</v>
      </c>
      <c r="K431" s="46">
        <v>0.16068725647100113</v>
      </c>
      <c r="L431" s="46">
        <v>1.8812857607936397</v>
      </c>
      <c r="M431" s="46">
        <v>0</v>
      </c>
      <c r="N431" s="46">
        <v>0.2181502809482343</v>
      </c>
      <c r="O431" s="46">
        <v>0</v>
      </c>
      <c r="P431" s="46">
        <v>0.16160682344747612</v>
      </c>
      <c r="Q431" s="46">
        <v>0.28403325260002532</v>
      </c>
      <c r="R431" s="46">
        <v>8.2162438032752638E-2</v>
      </c>
      <c r="S431" s="46">
        <v>0.31089687012469325</v>
      </c>
      <c r="T431" s="46">
        <v>2.8571771729589468E-2</v>
      </c>
      <c r="U431" s="46">
        <v>7.3871352147689986E-2</v>
      </c>
      <c r="V431" s="46">
        <v>0</v>
      </c>
      <c r="W431" s="46">
        <v>0.599069371996514</v>
      </c>
      <c r="X431" s="46">
        <v>4.553776518735602E-2</v>
      </c>
      <c r="Y431" s="46">
        <v>0</v>
      </c>
      <c r="Z431" s="46">
        <v>0</v>
      </c>
      <c r="AA431" s="46">
        <v>0.25642875546599248</v>
      </c>
      <c r="AB431" s="125"/>
      <c r="AC431" s="125"/>
      <c r="AD431" s="125"/>
      <c r="AE431" s="125"/>
      <c r="AF431" s="125"/>
      <c r="AG431" s="125"/>
    </row>
    <row r="432" spans="1:33" s="54" customFormat="1">
      <c r="B432" s="54" t="s">
        <v>571</v>
      </c>
      <c r="C432" s="54" t="s">
        <v>653</v>
      </c>
      <c r="D432" s="46">
        <v>5.4375361040829091</v>
      </c>
      <c r="E432" s="246">
        <v>1442.9371043332621</v>
      </c>
      <c r="F432" s="46">
        <v>4.706360971146772</v>
      </c>
      <c r="G432" s="46">
        <v>0.61410800575706104</v>
      </c>
      <c r="H432" s="46">
        <v>4.6322213029823721E-2</v>
      </c>
      <c r="I432" s="46">
        <v>0</v>
      </c>
      <c r="J432" s="46">
        <v>0.92474458252785363</v>
      </c>
      <c r="K432" s="46">
        <v>0.14901528433551448</v>
      </c>
      <c r="L432" s="46">
        <v>1.1196023875253012</v>
      </c>
      <c r="M432" s="46">
        <v>1.2548403529966119E-2</v>
      </c>
      <c r="N432" s="46">
        <v>0.30760264902365159</v>
      </c>
      <c r="O432" s="46">
        <v>2.4811325654384628E-2</v>
      </c>
      <c r="P432" s="46">
        <v>0.18152447993014384</v>
      </c>
      <c r="Q432" s="46">
        <v>0.38383366349155174</v>
      </c>
      <c r="R432" s="46">
        <v>0</v>
      </c>
      <c r="S432" s="46">
        <v>0</v>
      </c>
      <c r="T432" s="46">
        <v>7.7457500549636321E-2</v>
      </c>
      <c r="U432" s="46">
        <v>6.4820391384220633E-2</v>
      </c>
      <c r="V432" s="46">
        <v>8.8356901809064789E-2</v>
      </c>
      <c r="W432" s="46">
        <v>1.7161892068175435</v>
      </c>
      <c r="X432" s="46">
        <v>0.10640232718323527</v>
      </c>
      <c r="Y432" s="46">
        <v>0</v>
      </c>
      <c r="Z432" s="46">
        <v>1.4261159176283041E-2</v>
      </c>
      <c r="AA432" s="46">
        <v>0</v>
      </c>
      <c r="AB432" s="125"/>
      <c r="AC432" s="125"/>
      <c r="AD432" s="125"/>
      <c r="AE432" s="125"/>
      <c r="AF432" s="125"/>
      <c r="AG432" s="125"/>
    </row>
    <row r="433" spans="1:33" s="54" customFormat="1">
      <c r="B433" s="54" t="s">
        <v>573</v>
      </c>
      <c r="C433" s="54" t="s">
        <v>654</v>
      </c>
      <c r="D433" s="46">
        <v>6.6013399830828527</v>
      </c>
      <c r="E433" s="246">
        <v>1429.548872960263</v>
      </c>
      <c r="F433" s="46">
        <v>2.8706905432735872</v>
      </c>
      <c r="G433" s="46">
        <v>0.86123399786418642</v>
      </c>
      <c r="H433" s="46">
        <v>6.5779080887618746E-2</v>
      </c>
      <c r="I433" s="46">
        <v>0</v>
      </c>
      <c r="J433" s="46">
        <v>1.0499566880735676</v>
      </c>
      <c r="K433" s="46">
        <v>0.15012067161390838</v>
      </c>
      <c r="L433" s="46">
        <v>2.5237212196255503</v>
      </c>
      <c r="M433" s="46">
        <v>1.9122358424739892E-2</v>
      </c>
      <c r="N433" s="46">
        <v>0.34019720489480176</v>
      </c>
      <c r="O433" s="46">
        <v>0</v>
      </c>
      <c r="P433" s="46">
        <v>9.2722545590849526E-2</v>
      </c>
      <c r="Q433" s="46">
        <v>0.34649918487807319</v>
      </c>
      <c r="R433" s="46">
        <v>0</v>
      </c>
      <c r="S433" s="46">
        <v>0</v>
      </c>
      <c r="T433" s="46">
        <v>0</v>
      </c>
      <c r="U433" s="46">
        <v>7.7601476851750867E-2</v>
      </c>
      <c r="V433" s="46">
        <v>0</v>
      </c>
      <c r="W433" s="46">
        <v>0.81778349811225604</v>
      </c>
      <c r="X433" s="46">
        <v>6.9452782436619134E-2</v>
      </c>
      <c r="Y433" s="46">
        <v>0</v>
      </c>
      <c r="Z433" s="46">
        <v>6.8321153013709357E-3</v>
      </c>
      <c r="AA433" s="46">
        <v>0</v>
      </c>
      <c r="AB433" s="125"/>
      <c r="AC433" s="125"/>
      <c r="AD433" s="125"/>
      <c r="AE433" s="125"/>
      <c r="AF433" s="125"/>
      <c r="AG433" s="125"/>
    </row>
    <row r="434" spans="1:33">
      <c r="A434" s="131" t="s">
        <v>578</v>
      </c>
      <c r="B434" s="175"/>
      <c r="C434" s="175"/>
      <c r="D434" s="134"/>
      <c r="E434" s="245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</row>
    <row r="435" spans="1:33" s="54" customFormat="1">
      <c r="B435" s="54" t="s">
        <v>579</v>
      </c>
      <c r="C435" s="54" t="s">
        <v>580</v>
      </c>
      <c r="D435" s="46">
        <v>5.9783989147047407</v>
      </c>
      <c r="E435" s="246">
        <v>1056.5094145363969</v>
      </c>
      <c r="F435" s="46">
        <v>3.0217620726414687</v>
      </c>
      <c r="G435" s="46">
        <v>0.64792756227752335</v>
      </c>
      <c r="H435" s="46">
        <v>0</v>
      </c>
      <c r="I435" s="46">
        <v>0.34628014323069822</v>
      </c>
      <c r="J435" s="46">
        <v>0.49505746081652574</v>
      </c>
      <c r="K435" s="46">
        <v>0.13480744173509224</v>
      </c>
      <c r="L435" s="46">
        <v>1.129917454375047</v>
      </c>
      <c r="M435" s="46">
        <v>0</v>
      </c>
      <c r="N435" s="46">
        <v>9.73260279794637E-2</v>
      </c>
      <c r="O435" s="46">
        <v>0</v>
      </c>
      <c r="P435" s="46">
        <v>0.1520243899141685</v>
      </c>
      <c r="Q435" s="46">
        <v>0.30037258105267239</v>
      </c>
      <c r="R435" s="46">
        <v>0</v>
      </c>
      <c r="S435" s="46">
        <v>0</v>
      </c>
      <c r="T435" s="46">
        <v>1.5981577091978536E-2</v>
      </c>
      <c r="U435" s="46">
        <v>6.4089781268752588E-2</v>
      </c>
      <c r="V435" s="46">
        <v>0.10884464970250775</v>
      </c>
      <c r="W435" s="46">
        <v>1.0866964552393197</v>
      </c>
      <c r="X435" s="46">
        <v>5.724564008944584E-2</v>
      </c>
      <c r="Y435" s="46">
        <v>0</v>
      </c>
      <c r="Z435" s="46">
        <v>1.4127074244489852E-2</v>
      </c>
      <c r="AA435" s="46">
        <v>0</v>
      </c>
      <c r="AB435" s="125"/>
      <c r="AC435" s="125"/>
      <c r="AD435" s="125"/>
      <c r="AE435" s="125"/>
      <c r="AF435" s="125"/>
      <c r="AG435" s="125"/>
    </row>
    <row r="436" spans="1:33" s="54" customFormat="1">
      <c r="B436" s="54" t="s">
        <v>581</v>
      </c>
      <c r="C436" s="54" t="s">
        <v>582</v>
      </c>
      <c r="D436" s="46">
        <v>5.8410526904542674</v>
      </c>
      <c r="E436" s="246">
        <v>720.66485428177691</v>
      </c>
      <c r="F436" s="46">
        <v>3.7743689514635617</v>
      </c>
      <c r="G436" s="46">
        <v>0.49214824274291374</v>
      </c>
      <c r="H436" s="46">
        <v>2.079365287143857E-2</v>
      </c>
      <c r="I436" s="46">
        <v>0.18690249442505058</v>
      </c>
      <c r="J436" s="46">
        <v>0.72283838399890643</v>
      </c>
      <c r="K436" s="46">
        <v>0.14592828700249955</v>
      </c>
      <c r="L436" s="46">
        <v>1.8111815942061813</v>
      </c>
      <c r="M436" s="46">
        <v>0</v>
      </c>
      <c r="N436" s="46">
        <v>0.27397812533511284</v>
      </c>
      <c r="O436" s="46">
        <v>0</v>
      </c>
      <c r="P436" s="46">
        <v>0.23830438283449815</v>
      </c>
      <c r="Q436" s="46">
        <v>0.34234799359974843</v>
      </c>
      <c r="R436" s="46">
        <v>0</v>
      </c>
      <c r="S436" s="46">
        <v>0</v>
      </c>
      <c r="T436" s="46">
        <v>1.2105015759740954E-2</v>
      </c>
      <c r="U436" s="46">
        <v>6.8908589732949499E-2</v>
      </c>
      <c r="V436" s="46">
        <v>0</v>
      </c>
      <c r="W436" s="46">
        <v>0.82322172566597951</v>
      </c>
      <c r="X436" s="46">
        <v>1.9942602909230021E-2</v>
      </c>
      <c r="Y436" s="46">
        <v>0</v>
      </c>
      <c r="Z436" s="46">
        <v>0</v>
      </c>
      <c r="AA436" s="46">
        <v>0</v>
      </c>
      <c r="AB436" s="125"/>
      <c r="AC436" s="125"/>
      <c r="AD436" s="125"/>
      <c r="AE436" s="125"/>
      <c r="AF436" s="125"/>
      <c r="AG436" s="125"/>
    </row>
    <row r="437" spans="1:33" s="54" customFormat="1">
      <c r="B437" s="54" t="s">
        <v>583</v>
      </c>
      <c r="C437" s="54" t="s">
        <v>584</v>
      </c>
      <c r="D437" s="46">
        <v>5.7995243177816338</v>
      </c>
      <c r="E437" s="246">
        <v>854.47929268703228</v>
      </c>
      <c r="F437" s="46">
        <v>3.9449231494945032</v>
      </c>
      <c r="G437" s="46">
        <v>0.59531145412091802</v>
      </c>
      <c r="H437" s="46">
        <v>4.4756799660748185E-2</v>
      </c>
      <c r="I437" s="46">
        <v>0.39284462323988734</v>
      </c>
      <c r="J437" s="46">
        <v>0.64385385304108778</v>
      </c>
      <c r="K437" s="46">
        <v>0.10964216499273537</v>
      </c>
      <c r="L437" s="46">
        <v>1.7749872961752804</v>
      </c>
      <c r="M437" s="46">
        <v>1.1194885710260323E-2</v>
      </c>
      <c r="N437" s="46">
        <v>0.35560853534328823</v>
      </c>
      <c r="O437" s="46">
        <v>0</v>
      </c>
      <c r="P437" s="46">
        <v>0.16967432202570823</v>
      </c>
      <c r="Q437" s="46">
        <v>0.35036910404527211</v>
      </c>
      <c r="R437" s="46">
        <v>0</v>
      </c>
      <c r="S437" s="46">
        <v>9.3893209657106916E-2</v>
      </c>
      <c r="T437" s="46">
        <v>8.5233242865637243E-2</v>
      </c>
      <c r="U437" s="46">
        <v>3.8453709460489614E-2</v>
      </c>
      <c r="V437" s="46">
        <v>0</v>
      </c>
      <c r="W437" s="46">
        <v>0.60885257973840556</v>
      </c>
      <c r="X437" s="46">
        <v>2.6938449146995017E-2</v>
      </c>
      <c r="Y437" s="46">
        <v>0</v>
      </c>
      <c r="Z437" s="46">
        <v>0</v>
      </c>
      <c r="AA437" s="46">
        <v>0.23597126822804376</v>
      </c>
      <c r="AB437" s="125"/>
      <c r="AC437" s="125"/>
      <c r="AD437" s="125"/>
      <c r="AE437" s="125"/>
      <c r="AF437" s="125"/>
      <c r="AG437" s="125"/>
    </row>
    <row r="438" spans="1:33" s="54" customFormat="1">
      <c r="B438" s="54" t="s">
        <v>585</v>
      </c>
      <c r="C438" s="54" t="s">
        <v>586</v>
      </c>
      <c r="D438" s="46">
        <v>5.6867951322837254</v>
      </c>
      <c r="E438" s="246">
        <v>1368.0217964628018</v>
      </c>
      <c r="F438" s="46">
        <v>2.9641240163011551</v>
      </c>
      <c r="G438" s="46">
        <v>0.58440703733699051</v>
      </c>
      <c r="H438" s="46">
        <v>4.9329697418461417E-2</v>
      </c>
      <c r="I438" s="46">
        <v>0.36870315441570656</v>
      </c>
      <c r="J438" s="46">
        <v>0.6902688750898015</v>
      </c>
      <c r="K438" s="46">
        <v>0.18404034802049007</v>
      </c>
      <c r="L438" s="46">
        <v>1.9409148430254883</v>
      </c>
      <c r="M438" s="46">
        <v>8.6592111471117846E-3</v>
      </c>
      <c r="N438" s="46">
        <v>0.28681379152443476</v>
      </c>
      <c r="O438" s="46">
        <v>4.8558227406999756E-2</v>
      </c>
      <c r="P438" s="46">
        <v>0.13313851491954162</v>
      </c>
      <c r="Q438" s="46">
        <v>0.32243550417448108</v>
      </c>
      <c r="R438" s="46">
        <v>0</v>
      </c>
      <c r="S438" s="46">
        <v>0</v>
      </c>
      <c r="T438" s="46">
        <v>4.1184564554057744E-2</v>
      </c>
      <c r="U438" s="46">
        <v>7.638198588853802E-2</v>
      </c>
      <c r="V438" s="46">
        <v>0</v>
      </c>
      <c r="W438" s="46">
        <v>0.94601921342316997</v>
      </c>
      <c r="X438" s="46">
        <v>6.4862005688416269E-2</v>
      </c>
      <c r="Y438" s="46">
        <v>5.4802182388328071E-3</v>
      </c>
      <c r="Z438" s="46">
        <v>1.1536306808018591E-2</v>
      </c>
      <c r="AA438" s="46">
        <v>0.24990962842087674</v>
      </c>
      <c r="AB438" s="125"/>
      <c r="AC438" s="125"/>
      <c r="AD438" s="125"/>
      <c r="AE438" s="125"/>
      <c r="AF438" s="125"/>
      <c r="AG438" s="125"/>
    </row>
    <row r="439" spans="1:33" s="54" customFormat="1">
      <c r="B439" s="54" t="s">
        <v>587</v>
      </c>
      <c r="C439" s="54" t="s">
        <v>588</v>
      </c>
      <c r="D439" s="46">
        <v>3.672655652146283</v>
      </c>
      <c r="E439" s="246">
        <v>1202.7703275364811</v>
      </c>
      <c r="F439" s="46">
        <v>2.9922563354571516</v>
      </c>
      <c r="G439" s="46">
        <v>0.48482006116888027</v>
      </c>
      <c r="H439" s="46">
        <v>0</v>
      </c>
      <c r="I439" s="46">
        <v>0.10432367905030387</v>
      </c>
      <c r="J439" s="46">
        <v>0.70942941697815687</v>
      </c>
      <c r="K439" s="46">
        <v>0.1364490358462434</v>
      </c>
      <c r="L439" s="46">
        <v>3.2519717866963274</v>
      </c>
      <c r="M439" s="46">
        <v>0</v>
      </c>
      <c r="N439" s="46">
        <v>0.24697932070632708</v>
      </c>
      <c r="O439" s="46">
        <v>0</v>
      </c>
      <c r="P439" s="46">
        <v>0.19791072172204136</v>
      </c>
      <c r="Q439" s="46">
        <v>0.30745177653239958</v>
      </c>
      <c r="R439" s="46">
        <v>7.4274312586558075E-2</v>
      </c>
      <c r="S439" s="46">
        <v>0</v>
      </c>
      <c r="T439" s="46">
        <v>5.9655545167754793E-2</v>
      </c>
      <c r="U439" s="46">
        <v>4.8386230500624745E-2</v>
      </c>
      <c r="V439" s="46">
        <v>0</v>
      </c>
      <c r="W439" s="46">
        <v>1.3831120733846969</v>
      </c>
      <c r="X439" s="46">
        <v>5.4954483541416112E-2</v>
      </c>
      <c r="Y439" s="46">
        <v>5.2075577037345297E-3</v>
      </c>
      <c r="Z439" s="46">
        <v>6.6121122908523334E-3</v>
      </c>
      <c r="AA439" s="46">
        <v>0</v>
      </c>
      <c r="AB439" s="125"/>
      <c r="AC439" s="125"/>
      <c r="AD439" s="125"/>
      <c r="AE439" s="125"/>
      <c r="AF439" s="125"/>
      <c r="AG439" s="125"/>
    </row>
    <row r="440" spans="1:33" s="54" customFormat="1">
      <c r="B440" s="54" t="s">
        <v>589</v>
      </c>
      <c r="C440" s="54" t="s">
        <v>590</v>
      </c>
      <c r="D440" s="46">
        <v>5.6537879871455203</v>
      </c>
      <c r="E440" s="246">
        <v>911.99186820557588</v>
      </c>
      <c r="F440" s="46">
        <v>3.5072463847328317</v>
      </c>
      <c r="G440" s="46">
        <v>0.32629070239103297</v>
      </c>
      <c r="H440" s="46">
        <v>6.0199952456116895E-2</v>
      </c>
      <c r="I440" s="46">
        <v>0.51048803280362565</v>
      </c>
      <c r="J440" s="46">
        <v>0.74590269511718366</v>
      </c>
      <c r="K440" s="46">
        <v>0.11595356238548921</v>
      </c>
      <c r="L440" s="46">
        <v>1.4133902628377308</v>
      </c>
      <c r="M440" s="46">
        <v>0</v>
      </c>
      <c r="N440" s="46">
        <v>0.26366332338621412</v>
      </c>
      <c r="O440" s="46">
        <v>2.2397993240845383E-2</v>
      </c>
      <c r="P440" s="46">
        <v>0.10236784940075357</v>
      </c>
      <c r="Q440" s="46">
        <v>0.30931252018952421</v>
      </c>
      <c r="R440" s="46">
        <v>0</v>
      </c>
      <c r="S440" s="46">
        <v>0.12851487097499384</v>
      </c>
      <c r="T440" s="46">
        <v>3.5404371162598459E-2</v>
      </c>
      <c r="U440" s="46">
        <v>4.511239159502179E-2</v>
      </c>
      <c r="V440" s="46">
        <v>0</v>
      </c>
      <c r="W440" s="46">
        <v>0.7016544565241094</v>
      </c>
      <c r="X440" s="46">
        <v>5.2413083087260566E-2</v>
      </c>
      <c r="Y440" s="46">
        <v>0</v>
      </c>
      <c r="Z440" s="46">
        <v>0</v>
      </c>
      <c r="AA440" s="46">
        <v>0</v>
      </c>
      <c r="AB440" s="125"/>
      <c r="AC440" s="125"/>
      <c r="AD440" s="125"/>
      <c r="AE440" s="125"/>
      <c r="AF440" s="125"/>
      <c r="AG440" s="125"/>
    </row>
    <row r="441" spans="1:33" s="54" customFormat="1" ht="10.5" customHeight="1">
      <c r="B441" s="54" t="s">
        <v>591</v>
      </c>
      <c r="C441" s="54" t="s">
        <v>592</v>
      </c>
      <c r="D441" s="46">
        <v>6.6176959053439477</v>
      </c>
      <c r="E441" s="246">
        <v>1183.4835186228229</v>
      </c>
      <c r="F441" s="46">
        <v>3.1957838733507526</v>
      </c>
      <c r="G441" s="46">
        <v>0.33699250730408131</v>
      </c>
      <c r="H441" s="46">
        <v>2.8987184278806678E-2</v>
      </c>
      <c r="I441" s="46">
        <v>0.28567041838183688</v>
      </c>
      <c r="J441" s="46">
        <v>0.83226680894575056</v>
      </c>
      <c r="K441" s="46">
        <v>0.12462026338608727</v>
      </c>
      <c r="L441" s="46">
        <v>1.3463993308571875</v>
      </c>
      <c r="M441" s="46">
        <v>8.1221759158590767E-3</v>
      </c>
      <c r="N441" s="46">
        <v>0.25585324854783947</v>
      </c>
      <c r="O441" s="46">
        <v>0</v>
      </c>
      <c r="P441" s="46">
        <v>0.12329825297739457</v>
      </c>
      <c r="Q441" s="46">
        <v>0.3488759667898047</v>
      </c>
      <c r="R441" s="46">
        <v>0</v>
      </c>
      <c r="S441" s="46">
        <v>9.2637032897785312E-2</v>
      </c>
      <c r="T441" s="46">
        <v>2.6063101394994556E-2</v>
      </c>
      <c r="U441" s="46">
        <v>7.0768592694508914E-2</v>
      </c>
      <c r="V441" s="46">
        <v>8.0563333229209055E-2</v>
      </c>
      <c r="W441" s="46">
        <v>1.0915253622678638</v>
      </c>
      <c r="X441" s="46">
        <v>5.8325596846879178E-2</v>
      </c>
      <c r="Y441" s="46">
        <v>0</v>
      </c>
      <c r="Z441" s="46">
        <v>1.306840622542086E-2</v>
      </c>
      <c r="AA441" s="46">
        <v>0</v>
      </c>
      <c r="AB441" s="125"/>
      <c r="AC441" s="125"/>
      <c r="AD441" s="125"/>
      <c r="AE441" s="125"/>
      <c r="AF441" s="125"/>
      <c r="AG441" s="125"/>
    </row>
    <row r="442" spans="1:33" s="54" customFormat="1">
      <c r="B442" s="54" t="s">
        <v>593</v>
      </c>
      <c r="C442" s="54" t="s">
        <v>594</v>
      </c>
      <c r="D442" s="46">
        <v>5.0148744438817925</v>
      </c>
      <c r="E442" s="246">
        <v>1101.0642155019191</v>
      </c>
      <c r="F442" s="46">
        <v>2.7420797555135477</v>
      </c>
      <c r="G442" s="46">
        <v>0.30340194133648818</v>
      </c>
      <c r="H442" s="46">
        <v>4.2592545686711371E-2</v>
      </c>
      <c r="I442" s="46">
        <v>0.10779931127014132</v>
      </c>
      <c r="J442" s="46">
        <v>0.82236360356544302</v>
      </c>
      <c r="K442" s="46">
        <v>0.10258542073024464</v>
      </c>
      <c r="L442" s="46">
        <v>1.437001797535131</v>
      </c>
      <c r="M442" s="46">
        <v>0</v>
      </c>
      <c r="N442" s="46">
        <v>0.28985892161198906</v>
      </c>
      <c r="O442" s="46">
        <v>0</v>
      </c>
      <c r="P442" s="46">
        <v>0.1753266668395316</v>
      </c>
      <c r="Q442" s="46">
        <v>0.39333326612267083</v>
      </c>
      <c r="R442" s="46">
        <v>0</v>
      </c>
      <c r="S442" s="46">
        <v>0.12973379760698792</v>
      </c>
      <c r="T442" s="46">
        <v>1.1855665246784872E-2</v>
      </c>
      <c r="U442" s="46">
        <v>4.5955793105936761E-2</v>
      </c>
      <c r="V442" s="46">
        <v>0.17724178956684769</v>
      </c>
      <c r="W442" s="46">
        <v>0.54435094224979497</v>
      </c>
      <c r="X442" s="46">
        <v>4.8672748587402087E-2</v>
      </c>
      <c r="Y442" s="46">
        <v>5.2339940062244416E-3</v>
      </c>
      <c r="Z442" s="46">
        <v>9.0419303098944227E-3</v>
      </c>
      <c r="AA442" s="46">
        <v>0.23413890270691282</v>
      </c>
      <c r="AB442" s="125"/>
      <c r="AC442" s="125"/>
      <c r="AD442" s="125"/>
      <c r="AE442" s="125"/>
      <c r="AF442" s="125"/>
      <c r="AG442" s="125"/>
    </row>
    <row r="443" spans="1:33" s="54" customFormat="1">
      <c r="B443" s="54" t="s">
        <v>595</v>
      </c>
      <c r="C443" s="54" t="s">
        <v>596</v>
      </c>
      <c r="D443" s="46">
        <v>3.9774345283823922</v>
      </c>
      <c r="E443" s="246">
        <v>1354.7699044428857</v>
      </c>
      <c r="F443" s="46">
        <v>3.5780788141152962</v>
      </c>
      <c r="G443" s="46">
        <v>0.41193124773809403</v>
      </c>
      <c r="H443" s="46">
        <v>4.263412006723083E-2</v>
      </c>
      <c r="I443" s="46">
        <v>0.39551549362577104</v>
      </c>
      <c r="J443" s="46">
        <v>0.9103568074018844</v>
      </c>
      <c r="K443" s="46">
        <v>0.13689702811777055</v>
      </c>
      <c r="L443" s="46">
        <v>1.3570284348628971</v>
      </c>
      <c r="M443" s="46">
        <v>3.0093431633920167E-2</v>
      </c>
      <c r="N443" s="46">
        <v>0.2207904022623261</v>
      </c>
      <c r="O443" s="46">
        <v>0</v>
      </c>
      <c r="P443" s="46">
        <v>0.10410957190418423</v>
      </c>
      <c r="Q443" s="46">
        <v>0.4552663990813785</v>
      </c>
      <c r="R443" s="46">
        <v>0.10385151864318715</v>
      </c>
      <c r="S443" s="46">
        <v>0</v>
      </c>
      <c r="T443" s="46">
        <v>1.1978624782351231E-2</v>
      </c>
      <c r="U443" s="46">
        <v>4.1241098464592764E-2</v>
      </c>
      <c r="V443" s="46">
        <v>0</v>
      </c>
      <c r="W443" s="46">
        <v>0.39557121669888784</v>
      </c>
      <c r="X443" s="46">
        <v>4.1616889645593277E-2</v>
      </c>
      <c r="Y443" s="46">
        <v>0</v>
      </c>
      <c r="Z443" s="46">
        <v>6.5568811412771199E-3</v>
      </c>
      <c r="AA443" s="46">
        <v>0</v>
      </c>
      <c r="AB443" s="125"/>
      <c r="AC443" s="125"/>
      <c r="AD443" s="125"/>
      <c r="AE443" s="125"/>
      <c r="AF443" s="125"/>
      <c r="AG443" s="125"/>
    </row>
    <row r="444" spans="1:33" s="54" customFormat="1">
      <c r="B444" s="54" t="s">
        <v>597</v>
      </c>
      <c r="C444" s="54" t="s">
        <v>598</v>
      </c>
      <c r="D444" s="46">
        <v>4.805239822671151</v>
      </c>
      <c r="E444" s="246">
        <v>1140.5032450335179</v>
      </c>
      <c r="F444" s="46">
        <v>3.4407751291524913</v>
      </c>
      <c r="G444" s="46">
        <v>0.32052913723043325</v>
      </c>
      <c r="H444" s="46">
        <v>2.1379476832032163E-2</v>
      </c>
      <c r="I444" s="46">
        <v>0.2528123333301372</v>
      </c>
      <c r="J444" s="46">
        <v>0.86421009493354006</v>
      </c>
      <c r="K444" s="46">
        <v>0.10917697884086464</v>
      </c>
      <c r="L444" s="46">
        <v>2.1772457202457614</v>
      </c>
      <c r="M444" s="46">
        <v>0</v>
      </c>
      <c r="N444" s="46">
        <v>0.29563174904665479</v>
      </c>
      <c r="O444" s="46">
        <v>4.583281215445998E-2</v>
      </c>
      <c r="P444" s="46">
        <v>0.14908178458126742</v>
      </c>
      <c r="Q444" s="46">
        <v>0.56498874153094558</v>
      </c>
      <c r="R444" s="46">
        <v>0.15107315251889544</v>
      </c>
      <c r="S444" s="46">
        <v>0</v>
      </c>
      <c r="T444" s="46">
        <v>4.3416162010030596E-2</v>
      </c>
      <c r="U444" s="46">
        <v>6.0798920781131111E-2</v>
      </c>
      <c r="V444" s="46">
        <v>0</v>
      </c>
      <c r="W444" s="46">
        <v>1.7340432088110547</v>
      </c>
      <c r="X444" s="46">
        <v>4.8975402997878219E-2</v>
      </c>
      <c r="Y444" s="46">
        <v>0</v>
      </c>
      <c r="Z444" s="46">
        <v>0</v>
      </c>
      <c r="AA444" s="46">
        <v>0</v>
      </c>
      <c r="AB444" s="125"/>
      <c r="AC444" s="125"/>
      <c r="AD444" s="125"/>
      <c r="AE444" s="125"/>
      <c r="AF444" s="125"/>
      <c r="AG444" s="125"/>
    </row>
    <row r="445" spans="1:33" s="54" customFormat="1">
      <c r="A445" s="131" t="s">
        <v>599</v>
      </c>
      <c r="D445" s="82"/>
      <c r="E445" s="246"/>
      <c r="F445" s="82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5"/>
      <c r="AG445" s="125"/>
    </row>
    <row r="446" spans="1:33" s="54" customFormat="1">
      <c r="B446" s="54" t="s">
        <v>600</v>
      </c>
      <c r="C446" s="54" t="s">
        <v>601</v>
      </c>
      <c r="D446" s="46">
        <v>25.413449019441316</v>
      </c>
      <c r="E446" s="246">
        <v>2806.0804896260056</v>
      </c>
      <c r="F446" s="46">
        <v>10.611374181461859</v>
      </c>
      <c r="G446" s="46">
        <v>2.5829582363390604</v>
      </c>
      <c r="H446" s="46">
        <v>0</v>
      </c>
      <c r="I446" s="46">
        <v>0.9654541253331409</v>
      </c>
      <c r="J446" s="46">
        <v>2.9032974112717738</v>
      </c>
      <c r="K446" s="46">
        <v>0.41224748792225041</v>
      </c>
      <c r="L446" s="46">
        <v>4.4631864390041773</v>
      </c>
      <c r="M446" s="46">
        <v>0</v>
      </c>
      <c r="N446" s="46">
        <v>1.002507219105027</v>
      </c>
      <c r="O446" s="46">
        <v>0</v>
      </c>
      <c r="P446" s="46">
        <v>0.4910207188983079</v>
      </c>
      <c r="Q446" s="46">
        <v>1.3840699330417392</v>
      </c>
      <c r="R446" s="46">
        <v>0</v>
      </c>
      <c r="S446" s="46">
        <v>0.32360859117322255</v>
      </c>
      <c r="T446" s="46">
        <v>0.1043895032385485</v>
      </c>
      <c r="U446" s="46">
        <v>0.21165109705474874</v>
      </c>
      <c r="V446" s="46">
        <v>0</v>
      </c>
      <c r="W446" s="46">
        <v>3.0055545396402312</v>
      </c>
      <c r="X446" s="46">
        <v>0.20012344111640512</v>
      </c>
      <c r="Y446" s="46">
        <v>1.8914684504269398E-2</v>
      </c>
      <c r="Z446" s="46">
        <v>7.1844290113348405E-2</v>
      </c>
      <c r="AA446" s="46">
        <v>0</v>
      </c>
    </row>
    <row r="447" spans="1:33" s="54" customFormat="1">
      <c r="B447" s="54" t="s">
        <v>602</v>
      </c>
      <c r="C447" s="54" t="s">
        <v>603</v>
      </c>
      <c r="D447" s="46">
        <v>20.104140512160118</v>
      </c>
      <c r="E447" s="246">
        <v>3431.3410517088469</v>
      </c>
      <c r="F447" s="46">
        <v>10.70152361204279</v>
      </c>
      <c r="G447" s="46">
        <v>1.882412335019662</v>
      </c>
      <c r="H447" s="46">
        <v>7.1311940989908978E-2</v>
      </c>
      <c r="I447" s="46">
        <v>0.3485637638845831</v>
      </c>
      <c r="J447" s="46">
        <v>2.5827117206797139</v>
      </c>
      <c r="K447" s="46">
        <v>0.46098947040094568</v>
      </c>
      <c r="L447" s="46">
        <v>4.0633788836821321</v>
      </c>
      <c r="M447" s="46">
        <v>5.8299827671180339E-2</v>
      </c>
      <c r="N447" s="46">
        <v>0.73347474963442783</v>
      </c>
      <c r="O447" s="46">
        <v>8.7873263976440297E-2</v>
      </c>
      <c r="P447" s="46">
        <v>0.66555753374043469</v>
      </c>
      <c r="Q447" s="46">
        <v>1.4523900544531181</v>
      </c>
      <c r="R447" s="46">
        <v>0</v>
      </c>
      <c r="S447" s="46">
        <v>0</v>
      </c>
      <c r="T447" s="46">
        <v>0.12060066724113931</v>
      </c>
      <c r="U447" s="46">
        <v>0.20730239025452704</v>
      </c>
      <c r="V447" s="46">
        <v>0</v>
      </c>
      <c r="W447" s="46">
        <v>0</v>
      </c>
      <c r="X447" s="46">
        <v>0.33477404374910685</v>
      </c>
      <c r="Y447" s="46">
        <v>1.9624634190338885E-2</v>
      </c>
      <c r="Z447" s="46">
        <v>2.3921194184417991E-2</v>
      </c>
      <c r="AA447" s="46">
        <v>0</v>
      </c>
    </row>
    <row r="448" spans="1:33" s="54" customFormat="1">
      <c r="B448" s="54" t="s">
        <v>604</v>
      </c>
      <c r="C448" s="54" t="s">
        <v>605</v>
      </c>
      <c r="D448" s="46">
        <v>26.39411094014697</v>
      </c>
      <c r="E448" s="246">
        <v>3386.991195759319</v>
      </c>
      <c r="F448" s="46">
        <v>12.200680566222335</v>
      </c>
      <c r="G448" s="46">
        <v>2.8150022003122821</v>
      </c>
      <c r="H448" s="46">
        <v>7.5487418875129816E-2</v>
      </c>
      <c r="I448" s="46">
        <v>1.184073302979427</v>
      </c>
      <c r="J448" s="46">
        <v>3.5958751232128847</v>
      </c>
      <c r="K448" s="46">
        <v>0.63161108700251223</v>
      </c>
      <c r="L448" s="46">
        <v>2.01261318049727</v>
      </c>
      <c r="M448" s="46">
        <v>6.159125809004843E-2</v>
      </c>
      <c r="N448" s="46">
        <v>0.9935811377645708</v>
      </c>
      <c r="O448" s="46">
        <v>0</v>
      </c>
      <c r="P448" s="46">
        <v>0.48463175794171753</v>
      </c>
      <c r="Q448" s="46">
        <v>1.2696415901420979</v>
      </c>
      <c r="R448" s="46">
        <v>0</v>
      </c>
      <c r="S448" s="46">
        <v>0</v>
      </c>
      <c r="T448" s="46">
        <v>0.12729269765339662</v>
      </c>
      <c r="U448" s="46">
        <v>0.20498820065661114</v>
      </c>
      <c r="V448" s="46">
        <v>0</v>
      </c>
      <c r="W448" s="46">
        <v>1.4042896199687473</v>
      </c>
      <c r="X448" s="46">
        <v>0.14876599211713418</v>
      </c>
      <c r="Y448" s="46">
        <v>2.0764376169254473E-2</v>
      </c>
      <c r="Z448" s="46">
        <v>5.063188208367083E-2</v>
      </c>
      <c r="AA448" s="46">
        <v>0</v>
      </c>
    </row>
    <row r="449" spans="1:27" s="54" customFormat="1">
      <c r="B449" s="54" t="s">
        <v>606</v>
      </c>
      <c r="C449" s="54" t="s">
        <v>607</v>
      </c>
      <c r="D449" s="46">
        <v>19.416066566622511</v>
      </c>
      <c r="E449" s="246">
        <v>1817.182607657732</v>
      </c>
      <c r="F449" s="46">
        <v>7.8611926847260456</v>
      </c>
      <c r="G449" s="46">
        <v>2.1610004193009544</v>
      </c>
      <c r="H449" s="46">
        <v>0</v>
      </c>
      <c r="I449" s="46">
        <v>0.70144457502948954</v>
      </c>
      <c r="J449" s="46">
        <v>3.1274438771614159</v>
      </c>
      <c r="K449" s="46">
        <v>0.32562043247647615</v>
      </c>
      <c r="L449" s="46">
        <v>5.2885184321823688</v>
      </c>
      <c r="M449" s="46">
        <v>8.0126944798057945E-2</v>
      </c>
      <c r="N449" s="46">
        <v>0.60570673323448931</v>
      </c>
      <c r="O449" s="46">
        <v>0.13388219033308119</v>
      </c>
      <c r="P449" s="46">
        <v>0.50482899983708496</v>
      </c>
      <c r="Q449" s="46">
        <v>1.3890718909967796</v>
      </c>
      <c r="R449" s="46">
        <v>0</v>
      </c>
      <c r="S449" s="46">
        <v>0.30915627857503802</v>
      </c>
      <c r="T449" s="46">
        <v>8.0010494848708438E-2</v>
      </c>
      <c r="U449" s="46">
        <v>0.20463895186447742</v>
      </c>
      <c r="V449" s="46">
        <v>0</v>
      </c>
      <c r="W449" s="46">
        <v>1.2200009855710394</v>
      </c>
      <c r="X449" s="46">
        <v>0.18604365409970042</v>
      </c>
      <c r="Y449" s="46">
        <v>0</v>
      </c>
      <c r="Z449" s="46">
        <v>4.8279995880998322E-2</v>
      </c>
      <c r="AA449" s="46">
        <v>0</v>
      </c>
    </row>
    <row r="450" spans="1:27" s="54" customFormat="1">
      <c r="B450" s="54" t="s">
        <v>608</v>
      </c>
      <c r="C450" s="54" t="s">
        <v>609</v>
      </c>
      <c r="D450" s="46">
        <v>28.104231477971709</v>
      </c>
      <c r="E450" s="246">
        <v>3075.9290476808496</v>
      </c>
      <c r="F450" s="46">
        <v>13.884813221139471</v>
      </c>
      <c r="G450" s="46">
        <v>1.9359393082004064</v>
      </c>
      <c r="H450" s="46">
        <v>0.12982318557530106</v>
      </c>
      <c r="I450" s="46">
        <v>1.1645626758817844</v>
      </c>
      <c r="J450" s="46">
        <v>2.3017898755637303</v>
      </c>
      <c r="K450" s="46">
        <v>0.42647094136895902</v>
      </c>
      <c r="L450" s="46">
        <v>5.0256551362895987</v>
      </c>
      <c r="M450" s="46">
        <v>2.8571204527518559E-2</v>
      </c>
      <c r="N450" s="46">
        <v>0.82148332463470075</v>
      </c>
      <c r="O450" s="46">
        <v>0</v>
      </c>
      <c r="P450" s="46">
        <v>0.5546484420828377</v>
      </c>
      <c r="Q450" s="46">
        <v>1.1034077458093732</v>
      </c>
      <c r="R450" s="46">
        <v>0</v>
      </c>
      <c r="S450" s="46">
        <v>0</v>
      </c>
      <c r="T450" s="46">
        <v>0.1256614808204719</v>
      </c>
      <c r="U450" s="46">
        <v>0.18226605122577816</v>
      </c>
      <c r="V450" s="46">
        <v>0</v>
      </c>
      <c r="W450" s="46">
        <v>1.2934171875200531</v>
      </c>
      <c r="X450" s="46">
        <v>6.8249825533036587E-2</v>
      </c>
      <c r="Y450" s="46">
        <v>0</v>
      </c>
      <c r="Z450" s="46">
        <v>0</v>
      </c>
      <c r="AA450" s="46">
        <v>0</v>
      </c>
    </row>
    <row r="451" spans="1:27" s="54" customFormat="1">
      <c r="B451" s="54" t="s">
        <v>610</v>
      </c>
      <c r="C451" s="54" t="s">
        <v>611</v>
      </c>
      <c r="D451" s="46">
        <v>16.664805850685838</v>
      </c>
      <c r="E451" s="246">
        <v>2476.7566895579002</v>
      </c>
      <c r="F451" s="46">
        <v>9.9403594423870061</v>
      </c>
      <c r="G451" s="46">
        <v>0.98104241971121608</v>
      </c>
      <c r="H451" s="46">
        <v>0</v>
      </c>
      <c r="I451" s="46">
        <v>0.92072484169421021</v>
      </c>
      <c r="J451" s="46">
        <v>2.1467108708053906</v>
      </c>
      <c r="K451" s="46">
        <v>0.27329758610896754</v>
      </c>
      <c r="L451" s="46">
        <v>5.11783116678364</v>
      </c>
      <c r="M451" s="46">
        <v>2.2847877799197717E-2</v>
      </c>
      <c r="N451" s="46">
        <v>0.4908156644016215</v>
      </c>
      <c r="O451" s="46">
        <v>0</v>
      </c>
      <c r="P451" s="46">
        <v>0.49074595662307968</v>
      </c>
      <c r="Q451" s="46">
        <v>0.98454345745810856</v>
      </c>
      <c r="R451" s="46">
        <v>0.20306189531534841</v>
      </c>
      <c r="S451" s="46">
        <v>0.52396086557882238</v>
      </c>
      <c r="T451" s="46">
        <v>5.5909477343818806E-2</v>
      </c>
      <c r="U451" s="46">
        <v>0.13483648894821543</v>
      </c>
      <c r="V451" s="46">
        <v>0.22941845360868446</v>
      </c>
      <c r="W451" s="46">
        <v>4.272136826687726</v>
      </c>
      <c r="X451" s="46">
        <v>0.19570227363702214</v>
      </c>
      <c r="Y451" s="46">
        <v>0</v>
      </c>
      <c r="Z451" s="46">
        <v>4.086117036424454E-2</v>
      </c>
      <c r="AA451" s="46">
        <v>0</v>
      </c>
    </row>
    <row r="452" spans="1:27" s="54" customFormat="1">
      <c r="B452" s="54" t="s">
        <v>612</v>
      </c>
      <c r="C452" s="54" t="s">
        <v>613</v>
      </c>
      <c r="D452" s="46">
        <v>17.801625355996784</v>
      </c>
      <c r="E452" s="246">
        <v>2180.1612905661573</v>
      </c>
      <c r="F452" s="46">
        <v>8.8000913142087835</v>
      </c>
      <c r="G452" s="46">
        <v>1.3759296429316927</v>
      </c>
      <c r="H452" s="46">
        <v>0</v>
      </c>
      <c r="I452" s="46">
        <v>0.61155989273563272</v>
      </c>
      <c r="J452" s="46">
        <v>2.4529960676450946</v>
      </c>
      <c r="K452" s="46">
        <v>1.1882080803147099</v>
      </c>
      <c r="L452" s="46">
        <v>4.4572979637102703</v>
      </c>
      <c r="M452" s="46">
        <v>7.9746713585102907E-2</v>
      </c>
      <c r="N452" s="46">
        <v>0.9351101769551966</v>
      </c>
      <c r="O452" s="46">
        <v>0</v>
      </c>
      <c r="P452" s="46">
        <v>0.39607346106426583</v>
      </c>
      <c r="Q452" s="46">
        <v>1.2584533260116606</v>
      </c>
      <c r="R452" s="46">
        <v>0</v>
      </c>
      <c r="S452" s="46">
        <v>0.40372301265584526</v>
      </c>
      <c r="T452" s="46">
        <v>7.5615513702891171E-2</v>
      </c>
      <c r="U452" s="46">
        <v>0.15469457884763912</v>
      </c>
      <c r="V452" s="46">
        <v>0</v>
      </c>
      <c r="W452" s="46">
        <v>1.5871814129587316</v>
      </c>
      <c r="X452" s="46">
        <v>0.14206870916921641</v>
      </c>
      <c r="Y452" s="46">
        <v>0</v>
      </c>
      <c r="Z452" s="46">
        <v>4.5574298325701958E-2</v>
      </c>
      <c r="AA452" s="46">
        <v>0.71436761630304846</v>
      </c>
    </row>
    <row r="453" spans="1:27" s="155" customFormat="1" ht="15.6" thickBot="1">
      <c r="B453" s="155" t="s">
        <v>614</v>
      </c>
      <c r="C453" s="155" t="s">
        <v>615</v>
      </c>
      <c r="D453" s="266">
        <v>24.212437384318466</v>
      </c>
      <c r="E453" s="267">
        <v>2629.5184259270759</v>
      </c>
      <c r="F453" s="266">
        <v>12.748264971235132</v>
      </c>
      <c r="G453" s="266">
        <v>1.3782082451607516</v>
      </c>
      <c r="H453" s="266">
        <v>0.13295937584532297</v>
      </c>
      <c r="I453" s="266">
        <v>1.0436214663770904</v>
      </c>
      <c r="J453" s="266">
        <v>1.5401385576407376</v>
      </c>
      <c r="K453" s="266">
        <v>0.29308005461640368</v>
      </c>
      <c r="L453" s="266">
        <v>2.8747750064955659</v>
      </c>
      <c r="M453" s="266">
        <v>4.9554649063168817E-2</v>
      </c>
      <c r="N453" s="266">
        <v>0.973309109659802</v>
      </c>
      <c r="O453" s="266">
        <v>0</v>
      </c>
      <c r="P453" s="266">
        <v>0.71221260995395896</v>
      </c>
      <c r="Q453" s="266">
        <v>1.3267130545217396</v>
      </c>
      <c r="R453" s="266">
        <v>0</v>
      </c>
      <c r="S453" s="266">
        <v>0</v>
      </c>
      <c r="T453" s="266">
        <v>0.13140091148836958</v>
      </c>
      <c r="U453" s="266">
        <v>0.21979319563012037</v>
      </c>
      <c r="V453" s="266">
        <v>0.3423456077597587</v>
      </c>
      <c r="W453" s="266">
        <v>3.5670631280151466</v>
      </c>
      <c r="X453" s="266">
        <v>5.8211324606516693E-2</v>
      </c>
      <c r="Y453" s="266">
        <v>0</v>
      </c>
      <c r="Z453" s="266">
        <v>2.0060914761071635E-2</v>
      </c>
      <c r="AA453" s="266">
        <v>0</v>
      </c>
    </row>
    <row r="454" spans="1:27">
      <c r="F454" s="244"/>
    </row>
    <row r="455" spans="1:27" s="107" customFormat="1">
      <c r="A455" s="243"/>
    </row>
    <row r="456" spans="1:27" s="139" customFormat="1">
      <c r="A456" s="138" t="s">
        <v>655</v>
      </c>
      <c r="C456" s="138"/>
      <c r="D456" s="140" t="s">
        <v>618</v>
      </c>
      <c r="E456" s="140" t="s">
        <v>619</v>
      </c>
      <c r="F456" s="140" t="s">
        <v>620</v>
      </c>
      <c r="G456" s="140" t="s">
        <v>621</v>
      </c>
      <c r="H456" s="140" t="s">
        <v>622</v>
      </c>
      <c r="I456" s="140" t="s">
        <v>623</v>
      </c>
      <c r="J456" s="140" t="s">
        <v>624</v>
      </c>
      <c r="K456" s="140" t="s">
        <v>625</v>
      </c>
      <c r="L456" s="140" t="s">
        <v>626</v>
      </c>
      <c r="M456" s="140" t="s">
        <v>627</v>
      </c>
      <c r="N456" s="140" t="s">
        <v>628</v>
      </c>
      <c r="O456" s="140" t="s">
        <v>629</v>
      </c>
      <c r="P456" s="140" t="s">
        <v>630</v>
      </c>
      <c r="Q456" s="140" t="s">
        <v>631</v>
      </c>
      <c r="R456" s="140" t="s">
        <v>632</v>
      </c>
      <c r="S456" s="140" t="s">
        <v>633</v>
      </c>
      <c r="T456" s="140" t="s">
        <v>656</v>
      </c>
      <c r="U456" s="140" t="s">
        <v>635</v>
      </c>
      <c r="V456" s="140" t="s">
        <v>636</v>
      </c>
      <c r="W456" s="140" t="s">
        <v>637</v>
      </c>
      <c r="X456" s="140" t="s">
        <v>638</v>
      </c>
      <c r="Y456" s="140" t="s">
        <v>639</v>
      </c>
      <c r="Z456" s="140" t="s">
        <v>640</v>
      </c>
      <c r="AA456" s="140" t="s">
        <v>641</v>
      </c>
    </row>
    <row r="457" spans="1:27" s="255" customFormat="1">
      <c r="A457" s="163" t="s">
        <v>22</v>
      </c>
      <c r="C457" s="14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  <c r="AA457" s="218"/>
    </row>
    <row r="458" spans="1:27">
      <c r="A458" s="156" t="s">
        <v>207</v>
      </c>
      <c r="B458" s="54" t="s">
        <v>208</v>
      </c>
      <c r="C458" s="5" t="s">
        <v>209</v>
      </c>
      <c r="D458" s="147">
        <v>15479.140804779781</v>
      </c>
      <c r="E458" s="127">
        <v>10205.932251877091</v>
      </c>
      <c r="F458" s="126">
        <v>439.62270770099809</v>
      </c>
      <c r="G458" s="126">
        <v>25.262097187748079</v>
      </c>
      <c r="H458" s="126">
        <v>11.204593718767779</v>
      </c>
      <c r="I458" s="75">
        <v>0.15526126336245477</v>
      </c>
      <c r="J458" s="75">
        <v>4.6923148574590465</v>
      </c>
      <c r="K458" s="75">
        <v>8.5441707942402897E-2</v>
      </c>
      <c r="L458" s="75">
        <v>0.80547654061527307</v>
      </c>
      <c r="M458" s="75">
        <v>5.9783564778136095E-2</v>
      </c>
      <c r="N458" s="75">
        <v>6.168156990520382E-2</v>
      </c>
      <c r="O458" s="75">
        <v>2.4666350603895708E-2</v>
      </c>
      <c r="P458" s="75">
        <v>0.85402741436451113</v>
      </c>
      <c r="Q458" s="75">
        <v>8.0759400030390776</v>
      </c>
      <c r="R458" s="75">
        <v>4.0463211237215866</v>
      </c>
      <c r="S458" s="75">
        <v>0.22570144680097698</v>
      </c>
      <c r="T458" s="75">
        <v>5.2583360596154289</v>
      </c>
      <c r="U458" s="75">
        <v>0.94656068062378429</v>
      </c>
      <c r="V458" s="75">
        <v>3.7295886120660336E-2</v>
      </c>
      <c r="W458" s="75">
        <v>1.0995759849938145</v>
      </c>
      <c r="X458" s="254">
        <v>0.55997195882063411</v>
      </c>
      <c r="Y458" s="75">
        <v>0.25199564128417046</v>
      </c>
      <c r="Z458" s="75">
        <v>3.8460794308309439E-3</v>
      </c>
      <c r="AA458" s="75">
        <v>7.3034847994613336E-2</v>
      </c>
    </row>
    <row r="459" spans="1:27">
      <c r="A459" s="148"/>
      <c r="B459" s="54" t="s">
        <v>210</v>
      </c>
      <c r="C459" s="5" t="s">
        <v>211</v>
      </c>
      <c r="D459" s="147">
        <v>10275.964474336193</v>
      </c>
      <c r="E459" s="127">
        <v>9293.5103874247834</v>
      </c>
      <c r="F459" s="126">
        <v>39.970036787412361</v>
      </c>
      <c r="G459" s="126">
        <v>88.130443326817513</v>
      </c>
      <c r="H459" s="126">
        <v>9.9061562592009818</v>
      </c>
      <c r="I459" s="75">
        <v>0.14309029691992589</v>
      </c>
      <c r="J459" s="75">
        <v>3.4244248937648667</v>
      </c>
      <c r="K459" s="75">
        <v>8.1776449985300745E-2</v>
      </c>
      <c r="L459" s="75">
        <v>0.64579964614842655</v>
      </c>
      <c r="M459" s="75">
        <v>1.7587489876258949E-2</v>
      </c>
      <c r="N459" s="75">
        <v>5.0776994743810248E-2</v>
      </c>
      <c r="O459" s="75">
        <v>2.6700512599473033E-2</v>
      </c>
      <c r="P459" s="75">
        <v>0.82822380872799461</v>
      </c>
      <c r="Q459" s="75">
        <v>4.7801163327188005</v>
      </c>
      <c r="R459" s="75">
        <v>10.535149558602622</v>
      </c>
      <c r="S459" s="75">
        <v>0.22649539132657978</v>
      </c>
      <c r="T459" s="75">
        <v>2.7140245014129043</v>
      </c>
      <c r="U459" s="75">
        <v>0.73826356020512907</v>
      </c>
      <c r="V459" s="75">
        <v>2.1296295548738048E-2</v>
      </c>
      <c r="W459" s="75">
        <v>0.58623215023170505</v>
      </c>
      <c r="X459" s="254">
        <v>0.23054019831727052</v>
      </c>
      <c r="Y459" s="75">
        <v>1.7623712625039912E-2</v>
      </c>
      <c r="Z459" s="75">
        <v>2.8179686521337065E-3</v>
      </c>
      <c r="AA459" s="75">
        <v>5.5353155519916965E-2</v>
      </c>
    </row>
    <row r="460" spans="1:27">
      <c r="A460" s="148"/>
      <c r="B460" s="54" t="s">
        <v>212</v>
      </c>
      <c r="C460" s="5" t="s">
        <v>213</v>
      </c>
      <c r="D460" s="147">
        <v>7658.0916717418668</v>
      </c>
      <c r="E460" s="127">
        <v>10156.619728983731</v>
      </c>
      <c r="F460" s="126">
        <v>77.211355102555942</v>
      </c>
      <c r="G460" s="126">
        <v>26.158789243882083</v>
      </c>
      <c r="H460" s="126">
        <v>15.303591487872518</v>
      </c>
      <c r="I460" s="75">
        <v>0.15106466525819781</v>
      </c>
      <c r="J460" s="75">
        <v>2.683398070894873</v>
      </c>
      <c r="K460" s="75">
        <v>7.49883164955545E-2</v>
      </c>
      <c r="L460" s="75">
        <v>0.58309200599646394</v>
      </c>
      <c r="M460" s="75">
        <v>1.1860519613517332E-2</v>
      </c>
      <c r="N460" s="75">
        <v>4.2964590718304052E-2</v>
      </c>
      <c r="O460" s="75">
        <v>3.5199349764830502E-2</v>
      </c>
      <c r="P460" s="75">
        <v>1.0573877130525631</v>
      </c>
      <c r="Q460" s="75">
        <v>7.8560457831355892</v>
      </c>
      <c r="R460" s="75">
        <v>0.96872177372899826</v>
      </c>
      <c r="S460" s="75">
        <v>0.11987496190460406</v>
      </c>
      <c r="T460" s="75">
        <v>3.3086386700799846</v>
      </c>
      <c r="U460" s="75">
        <v>0.65619430537441226</v>
      </c>
      <c r="V460" s="75">
        <v>4.7640656057159204E-2</v>
      </c>
      <c r="W460" s="75">
        <v>0.64693160124673443</v>
      </c>
      <c r="X460" s="254">
        <v>0.23771549406927078</v>
      </c>
      <c r="Y460" s="75">
        <v>9.0763523674282781E-2</v>
      </c>
      <c r="Z460" s="75">
        <v>2.0789637008250053E-3</v>
      </c>
      <c r="AA460" s="75">
        <v>7.893164734824562E-2</v>
      </c>
    </row>
    <row r="461" spans="1:27">
      <c r="A461" s="148"/>
      <c r="B461" s="54" t="s">
        <v>214</v>
      </c>
      <c r="C461" s="5" t="s">
        <v>215</v>
      </c>
      <c r="D461" s="147">
        <v>10631.535934434773</v>
      </c>
      <c r="E461" s="127">
        <v>10071.097925630027</v>
      </c>
      <c r="F461" s="126">
        <v>101.27898883796165</v>
      </c>
      <c r="G461" s="126">
        <v>126.00200767643409</v>
      </c>
      <c r="H461" s="126">
        <v>12.121568384574742</v>
      </c>
      <c r="I461" s="75">
        <v>0.17205668205986979</v>
      </c>
      <c r="J461" s="75">
        <v>9.4092961576431833</v>
      </c>
      <c r="K461" s="75">
        <v>8.7622829193372734E-2</v>
      </c>
      <c r="L461" s="75">
        <v>0.37504728130644466</v>
      </c>
      <c r="M461" s="75">
        <v>1.2645324034320038E-2</v>
      </c>
      <c r="N461" s="75">
        <v>4.2980624876018877E-2</v>
      </c>
      <c r="O461" s="75">
        <v>3.0850255289705461E-2</v>
      </c>
      <c r="P461" s="75">
        <v>1.4518873577592333</v>
      </c>
      <c r="Q461" s="75">
        <v>6.2284638695760508</v>
      </c>
      <c r="R461" s="75">
        <v>7.6662559583616989</v>
      </c>
      <c r="S461" s="75">
        <v>0.19711660204760134</v>
      </c>
      <c r="T461" s="75">
        <v>2.0431025664760787</v>
      </c>
      <c r="U461" s="75">
        <v>2.5624746507757226</v>
      </c>
      <c r="V461" s="75">
        <v>2.6447375577024222E-2</v>
      </c>
      <c r="W461" s="75">
        <v>0.68634021479211316</v>
      </c>
      <c r="X461" s="254">
        <v>0.19330103070195065</v>
      </c>
      <c r="Y461" s="75">
        <v>2.5824600046289677E-2</v>
      </c>
      <c r="Z461" s="75">
        <v>3.7063043201155266E-3</v>
      </c>
      <c r="AA461" s="75">
        <v>2.7939198684319162E-2</v>
      </c>
    </row>
    <row r="462" spans="1:27">
      <c r="A462" s="148"/>
      <c r="B462" s="54" t="s">
        <v>217</v>
      </c>
      <c r="C462" s="5" t="s">
        <v>218</v>
      </c>
      <c r="D462" s="147">
        <v>10352.519363787229</v>
      </c>
      <c r="E462" s="127">
        <v>10865.29750730733</v>
      </c>
      <c r="F462" s="126">
        <v>90.254153577793645</v>
      </c>
      <c r="G462" s="126">
        <v>14.971913593385013</v>
      </c>
      <c r="H462" s="126">
        <v>101.28013283723365</v>
      </c>
      <c r="I462" s="75">
        <v>0.3710186101102515</v>
      </c>
      <c r="J462" s="75">
        <v>2.8515304401686059</v>
      </c>
      <c r="K462" s="75">
        <v>7.8985092452558442E-2</v>
      </c>
      <c r="L462" s="75">
        <v>0.34270099568132373</v>
      </c>
      <c r="M462" s="75">
        <v>7.7862648820275389E-3</v>
      </c>
      <c r="N462" s="75">
        <v>4.2523809499866512E-2</v>
      </c>
      <c r="O462" s="75">
        <v>4.7412098210970401E-2</v>
      </c>
      <c r="P462" s="75">
        <v>3.0313287738372496</v>
      </c>
      <c r="Q462" s="75">
        <v>10.013141238481676</v>
      </c>
      <c r="R462" s="75">
        <v>2.1416531900538511</v>
      </c>
      <c r="S462" s="75">
        <v>0.13808671565745248</v>
      </c>
      <c r="T462" s="75">
        <v>5.2784849804663567</v>
      </c>
      <c r="U462" s="75">
        <v>1.4090460966098717</v>
      </c>
      <c r="V462" s="75">
        <v>2.5096251996285984E-2</v>
      </c>
      <c r="W462" s="75">
        <v>1.3202961869728054</v>
      </c>
      <c r="X462" s="254">
        <v>3.773235671977114E-2</v>
      </c>
      <c r="Y462" s="75">
        <v>5.4528921281255381E-2</v>
      </c>
      <c r="Z462" s="75">
        <v>2.1406923505735281E-3</v>
      </c>
      <c r="AA462" s="75">
        <v>7.3784333060382498E-2</v>
      </c>
    </row>
    <row r="463" spans="1:27">
      <c r="A463" s="148"/>
      <c r="B463" s="54" t="s">
        <v>221</v>
      </c>
      <c r="C463" s="5" t="s">
        <v>220</v>
      </c>
      <c r="D463" s="147">
        <v>12757.699632869688</v>
      </c>
      <c r="E463" s="127">
        <v>11610.985715950157</v>
      </c>
      <c r="F463" s="126">
        <v>229.16670586468757</v>
      </c>
      <c r="G463" s="126">
        <v>8.6110606980920057</v>
      </c>
      <c r="H463" s="126">
        <v>31.772454462462058</v>
      </c>
      <c r="I463" s="75">
        <v>0.18560761357790498</v>
      </c>
      <c r="J463" s="75">
        <v>4.4908598051426747</v>
      </c>
      <c r="K463" s="75">
        <v>8.159346825543462E-2</v>
      </c>
      <c r="L463" s="75">
        <v>0.57529622051722351</v>
      </c>
      <c r="M463" s="75">
        <v>2.0265537917840814E-2</v>
      </c>
      <c r="N463" s="75">
        <v>5.1172478773774552E-2</v>
      </c>
      <c r="O463" s="75">
        <v>3.3065851398672935E-2</v>
      </c>
      <c r="P463" s="75">
        <v>1.5892693381333196</v>
      </c>
      <c r="Q463" s="75">
        <v>15.679580570277535</v>
      </c>
      <c r="R463" s="75">
        <v>67.101857203570887</v>
      </c>
      <c r="S463" s="75">
        <v>0.13533134571961977</v>
      </c>
      <c r="T463" s="75">
        <v>7.8002261432681532</v>
      </c>
      <c r="U463" s="75">
        <v>0.53854184832544183</v>
      </c>
      <c r="V463" s="75">
        <v>3.8680918465948351E-2</v>
      </c>
      <c r="W463" s="75">
        <v>3.9079593942163875</v>
      </c>
      <c r="X463" s="254">
        <v>0.47900418188550709</v>
      </c>
      <c r="Y463" s="75">
        <v>6.2832921271343642E-2</v>
      </c>
      <c r="Z463" s="75">
        <v>2.3814583525593276E-3</v>
      </c>
      <c r="AA463" s="75">
        <v>3.3914299630137631E-2</v>
      </c>
    </row>
    <row r="464" spans="1:27">
      <c r="A464" s="148"/>
      <c r="B464" s="54" t="s">
        <v>328</v>
      </c>
      <c r="C464" s="5" t="s">
        <v>222</v>
      </c>
      <c r="D464" s="147">
        <v>15074.900733322233</v>
      </c>
      <c r="E464" s="127">
        <v>17930.680035423065</v>
      </c>
      <c r="F464" s="126">
        <v>38.782133801057114</v>
      </c>
      <c r="G464" s="126">
        <v>50.748905089884545</v>
      </c>
      <c r="H464" s="126">
        <v>40.197337954230647</v>
      </c>
      <c r="I464" s="75">
        <v>0.2744004048567249</v>
      </c>
      <c r="J464" s="75">
        <v>5.5000378431747929</v>
      </c>
      <c r="K464" s="75">
        <v>0.10684838271263575</v>
      </c>
      <c r="L464" s="75">
        <v>0.58150340143534374</v>
      </c>
      <c r="M464" s="75">
        <v>1.6113082901553246E-2</v>
      </c>
      <c r="N464" s="75">
        <v>5.5619995183476739E-2</v>
      </c>
      <c r="O464" s="75">
        <v>4.2873294385069018E-2</v>
      </c>
      <c r="P464" s="75">
        <v>1.8882111956176919</v>
      </c>
      <c r="Q464" s="75">
        <v>23.08972274203181</v>
      </c>
      <c r="R464" s="75">
        <v>2.2256456824508937</v>
      </c>
      <c r="S464" s="75">
        <v>0.18898675948777935</v>
      </c>
      <c r="T464" s="75">
        <v>9.2022758366793695</v>
      </c>
      <c r="U464" s="75">
        <v>0.38668381032794313</v>
      </c>
      <c r="V464" s="75">
        <v>3.9263776354771275E-2</v>
      </c>
      <c r="W464" s="75">
        <v>2.1663142425375468</v>
      </c>
      <c r="X464" s="254">
        <v>0.17073141037236528</v>
      </c>
      <c r="Y464" s="75">
        <v>0.1121859260965453</v>
      </c>
      <c r="Z464" s="75">
        <v>2.7078161713257284E-3</v>
      </c>
      <c r="AA464" s="75">
        <v>7.5410609615551433E-2</v>
      </c>
    </row>
    <row r="465" spans="1:27">
      <c r="A465" s="148"/>
      <c r="B465" s="54" t="s">
        <v>223</v>
      </c>
      <c r="C465" s="5" t="s">
        <v>224</v>
      </c>
      <c r="D465" s="147">
        <v>10540.588767189673</v>
      </c>
      <c r="E465" s="127">
        <v>9705.2020485946323</v>
      </c>
      <c r="F465" s="126">
        <v>55.924553221548614</v>
      </c>
      <c r="G465" s="126">
        <v>24.877943169310068</v>
      </c>
      <c r="H465" s="126">
        <v>10.677769505697709</v>
      </c>
      <c r="I465" s="75">
        <v>0.22260222067832613</v>
      </c>
      <c r="J465" s="75">
        <v>3.5215609611240763</v>
      </c>
      <c r="K465" s="75">
        <v>7.4891344878725466E-2</v>
      </c>
      <c r="L465" s="75">
        <v>0.36606130251047886</v>
      </c>
      <c r="M465" s="75">
        <v>1.1761573987034526E-2</v>
      </c>
      <c r="N465" s="75">
        <v>5.3346336884952793E-2</v>
      </c>
      <c r="O465" s="75">
        <v>2.5751145259152477E-2</v>
      </c>
      <c r="P465" s="75">
        <v>1.0508499745430573</v>
      </c>
      <c r="Q465" s="75">
        <v>7.9295050937350293</v>
      </c>
      <c r="R465" s="75">
        <v>9.7967600487304711</v>
      </c>
      <c r="S465" s="75">
        <v>0.11743434144237219</v>
      </c>
      <c r="T465" s="75">
        <v>3.8278937509969255</v>
      </c>
      <c r="U465" s="75">
        <v>0.98581574856070142</v>
      </c>
      <c r="V465" s="75">
        <v>2.2103059850524444E-2</v>
      </c>
      <c r="W465" s="75">
        <v>1.3500057738950881</v>
      </c>
      <c r="X465" s="254">
        <v>7.8516991304756312E-2</v>
      </c>
      <c r="Y465" s="75">
        <v>4.2494431973052207E-2</v>
      </c>
      <c r="Z465" s="75">
        <v>2.2484412419755766E-3</v>
      </c>
      <c r="AA465" s="75">
        <v>7.6067954476262856E-2</v>
      </c>
    </row>
    <row r="466" spans="1:27">
      <c r="A466" s="148"/>
      <c r="B466" s="54" t="s">
        <v>225</v>
      </c>
      <c r="C466" s="5" t="s">
        <v>226</v>
      </c>
      <c r="D466" s="147">
        <v>10803.023199215266</v>
      </c>
      <c r="E466" s="127">
        <v>12212.313342936635</v>
      </c>
      <c r="F466" s="126">
        <v>68.370824120754676</v>
      </c>
      <c r="G466" s="126">
        <v>3.3535515347042866</v>
      </c>
      <c r="H466" s="126">
        <v>24.468005735014895</v>
      </c>
      <c r="I466" s="75">
        <v>1.4000608790735569</v>
      </c>
      <c r="J466" s="75">
        <v>1.4218220510030972</v>
      </c>
      <c r="K466" s="75">
        <v>0.22609338661975611</v>
      </c>
      <c r="L466" s="75">
        <v>1.1390875961704747</v>
      </c>
      <c r="M466" s="75">
        <v>4.8596936430377524E-3</v>
      </c>
      <c r="N466" s="75">
        <v>6.2085555226337318E-2</v>
      </c>
      <c r="O466" s="75">
        <v>2.5655831181631186E-2</v>
      </c>
      <c r="P466" s="75">
        <v>1.0126057349473938</v>
      </c>
      <c r="Q466" s="75">
        <v>4.7245730946601538</v>
      </c>
      <c r="R466" s="75">
        <v>1.2032201929591939</v>
      </c>
      <c r="S466" s="75">
        <v>0.14556009508671264</v>
      </c>
      <c r="T466" s="75">
        <v>8.6431101081341559</v>
      </c>
      <c r="U466" s="75">
        <v>0.22639165671715511</v>
      </c>
      <c r="V466" s="75">
        <v>0.14569712595659792</v>
      </c>
      <c r="W466" s="75">
        <v>3.8185166779426343</v>
      </c>
      <c r="X466" s="254">
        <v>4.9609351387950383E-2</v>
      </c>
      <c r="Y466" s="75">
        <v>4.5117175626392551E-2</v>
      </c>
      <c r="Z466" s="75">
        <v>3.6342290521447006E-3</v>
      </c>
      <c r="AA466" s="75">
        <v>6.4670453935756461E-2</v>
      </c>
    </row>
    <row r="467" spans="1:27">
      <c r="A467" s="156" t="s">
        <v>227</v>
      </c>
      <c r="B467" s="54"/>
      <c r="C467" s="54"/>
      <c r="D467" s="147"/>
      <c r="E467" s="127"/>
      <c r="F467" s="126"/>
      <c r="G467" s="126"/>
      <c r="H467" s="126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254"/>
      <c r="Y467" s="75"/>
      <c r="Z467" s="75"/>
      <c r="AA467" s="75"/>
    </row>
    <row r="468" spans="1:27">
      <c r="A468" s="148"/>
      <c r="B468" s="54" t="s">
        <v>228</v>
      </c>
      <c r="C468" s="5" t="s">
        <v>229</v>
      </c>
      <c r="D468" s="147">
        <v>8463.7461272467535</v>
      </c>
      <c r="E468" s="127">
        <v>10120.049301203777</v>
      </c>
      <c r="F468" s="126">
        <v>81.417498922226216</v>
      </c>
      <c r="G468" s="126">
        <v>17.885663137130763</v>
      </c>
      <c r="H468" s="126">
        <v>1.6106394541853331</v>
      </c>
      <c r="I468" s="75">
        <v>0.3372998532905464</v>
      </c>
      <c r="J468" s="75">
        <v>0.92775954900099045</v>
      </c>
      <c r="K468" s="75">
        <v>0.13340476178863739</v>
      </c>
      <c r="L468" s="75">
        <v>0.44054113350543134</v>
      </c>
      <c r="M468" s="75">
        <v>5.5449351985997972E-3</v>
      </c>
      <c r="N468" s="75">
        <v>3.6937437320625766E-2</v>
      </c>
      <c r="O468" s="75">
        <v>2.4051165386362421E-2</v>
      </c>
      <c r="P468" s="75">
        <v>1.7013644633641272</v>
      </c>
      <c r="Q468" s="75">
        <v>4.6139946949149113</v>
      </c>
      <c r="R468" s="75">
        <v>0.71369803652052999</v>
      </c>
      <c r="S468" s="75">
        <v>0.19527549844845038</v>
      </c>
      <c r="T468" s="75">
        <v>8.4170673247902936</v>
      </c>
      <c r="U468" s="75">
        <v>0.2319976784801944</v>
      </c>
      <c r="V468" s="75">
        <v>7.901648067674244E-2</v>
      </c>
      <c r="W468" s="75">
        <v>4.7270245094397438</v>
      </c>
      <c r="X468" s="254">
        <v>3.4373176671681042E-2</v>
      </c>
      <c r="Y468" s="75">
        <v>0.39474893119506699</v>
      </c>
      <c r="Z468" s="75">
        <v>2.0624637206284281E-3</v>
      </c>
      <c r="AA468" s="75">
        <v>9.1510294584563126E-2</v>
      </c>
    </row>
    <row r="469" spans="1:27">
      <c r="A469" s="148"/>
      <c r="B469" s="54" t="s">
        <v>230</v>
      </c>
      <c r="C469" s="5" t="s">
        <v>231</v>
      </c>
      <c r="D469" s="147">
        <v>9822.8604569778017</v>
      </c>
      <c r="E469" s="127">
        <v>10230.804820097872</v>
      </c>
      <c r="F469" s="126">
        <v>123.88481932364212</v>
      </c>
      <c r="G469" s="126">
        <v>4.499924487194777</v>
      </c>
      <c r="H469" s="126">
        <v>0.87807836731617994</v>
      </c>
      <c r="I469" s="75">
        <v>0.2528644342243167</v>
      </c>
      <c r="J469" s="75">
        <v>1.0608772516971219</v>
      </c>
      <c r="K469" s="75">
        <v>0.13322227009614893</v>
      </c>
      <c r="L469" s="75">
        <v>0.41824566471730856</v>
      </c>
      <c r="M469" s="75">
        <v>4.6114803513862138E-3</v>
      </c>
      <c r="N469" s="75">
        <v>3.8331021145200282E-2</v>
      </c>
      <c r="O469" s="75">
        <v>2.5323970604270392E-2</v>
      </c>
      <c r="P469" s="75">
        <v>1.0699629115197598</v>
      </c>
      <c r="Q469" s="75">
        <v>3.6320844557232856</v>
      </c>
      <c r="R469" s="75">
        <v>1.4398788708698813</v>
      </c>
      <c r="S469" s="75">
        <v>0.12420258673142524</v>
      </c>
      <c r="T469" s="75">
        <v>7.5619917742699476</v>
      </c>
      <c r="U469" s="75">
        <v>0.23265546202673992</v>
      </c>
      <c r="V469" s="75">
        <v>5.6802512268400565E-2</v>
      </c>
      <c r="W469" s="75">
        <v>1.2099025181046881</v>
      </c>
      <c r="X469" s="254">
        <v>3.1486456982306996E-2</v>
      </c>
      <c r="Y469" s="75">
        <v>0.28273359395762282</v>
      </c>
      <c r="Z469" s="75">
        <v>3.11210285899464E-3</v>
      </c>
      <c r="AA469" s="75">
        <v>3.954622835834929E-2</v>
      </c>
    </row>
    <row r="470" spans="1:27">
      <c r="A470" s="148"/>
      <c r="B470" s="54" t="s">
        <v>232</v>
      </c>
      <c r="C470" s="5" t="s">
        <v>233</v>
      </c>
      <c r="D470" s="147">
        <v>9842.8692654014885</v>
      </c>
      <c r="E470" s="127">
        <v>9902.7536751733842</v>
      </c>
      <c r="F470" s="126">
        <v>101.96860375740053</v>
      </c>
      <c r="G470" s="126">
        <v>5.5600424355850473</v>
      </c>
      <c r="H470" s="126">
        <v>1.00392868060678</v>
      </c>
      <c r="I470" s="75">
        <v>0.24402156654513343</v>
      </c>
      <c r="J470" s="75">
        <v>0.97816947307080448</v>
      </c>
      <c r="K470" s="75">
        <v>0.10655778243910635</v>
      </c>
      <c r="L470" s="75">
        <v>0.32682305414304252</v>
      </c>
      <c r="M470" s="75">
        <v>4.7256361801893184E-3</v>
      </c>
      <c r="N470" s="75">
        <v>3.8540641719158601E-2</v>
      </c>
      <c r="O470" s="75">
        <v>2.5349729747509153E-2</v>
      </c>
      <c r="P470" s="75">
        <v>1.6423636738332457</v>
      </c>
      <c r="Q470" s="75">
        <v>4.0313419965894122</v>
      </c>
      <c r="R470" s="75">
        <v>1.4482933395923294</v>
      </c>
      <c r="S470" s="75">
        <v>0.14488812242669558</v>
      </c>
      <c r="T470" s="75">
        <v>5.6917033422149421</v>
      </c>
      <c r="U470" s="75">
        <v>0.22782641476430512</v>
      </c>
      <c r="V470" s="75">
        <v>0.14911083738108447</v>
      </c>
      <c r="W470" s="75">
        <v>2.2638382257091605</v>
      </c>
      <c r="X470" s="254">
        <v>3.5490215900608968E-2</v>
      </c>
      <c r="Y470" s="75">
        <v>1.2380616604296211</v>
      </c>
      <c r="Z470" s="75">
        <v>2.5652078047741587E-3</v>
      </c>
      <c r="AA470" s="75">
        <v>3.3891123852810012E-2</v>
      </c>
    </row>
    <row r="471" spans="1:27">
      <c r="A471" s="148"/>
      <c r="B471" s="54" t="s">
        <v>234</v>
      </c>
      <c r="C471" s="5" t="s">
        <v>235</v>
      </c>
      <c r="D471" s="147">
        <v>11741.959154322492</v>
      </c>
      <c r="E471" s="127">
        <v>9484.5495349054654</v>
      </c>
      <c r="F471" s="126">
        <v>123.23907644551058</v>
      </c>
      <c r="G471" s="126">
        <v>8.6456368082516928</v>
      </c>
      <c r="H471" s="126">
        <v>2.174913571438966</v>
      </c>
      <c r="I471" s="75">
        <v>0.14081089032899172</v>
      </c>
      <c r="J471" s="75">
        <v>5.5520319089624026</v>
      </c>
      <c r="K471" s="75">
        <v>7.5596094954421988E-2</v>
      </c>
      <c r="L471" s="75">
        <v>0.31813631912674251</v>
      </c>
      <c r="M471" s="75">
        <v>5.9482306690730692E-3</v>
      </c>
      <c r="N471" s="75">
        <v>3.747400012027214E-2</v>
      </c>
      <c r="O471" s="75">
        <v>1.9859200691700694E-2</v>
      </c>
      <c r="P471" s="75">
        <v>1.0379072118893387</v>
      </c>
      <c r="Q471" s="75">
        <v>2.7137050599046728</v>
      </c>
      <c r="R471" s="75">
        <v>3.5100904336103889</v>
      </c>
      <c r="S471" s="75">
        <v>0.10526984517089795</v>
      </c>
      <c r="T471" s="75">
        <v>3.3091268221794836</v>
      </c>
      <c r="U471" s="75">
        <v>0.93479748170662458</v>
      </c>
      <c r="V471" s="75">
        <v>5.8728882304772363E-2</v>
      </c>
      <c r="W471" s="75">
        <v>0.92963971992578165</v>
      </c>
      <c r="X471" s="254">
        <v>3.3539768315535734E-2</v>
      </c>
      <c r="Y471" s="75">
        <v>0.19575947300299651</v>
      </c>
      <c r="Z471" s="75">
        <v>1.5730077038718017E-3</v>
      </c>
      <c r="AA471" s="75">
        <v>4.7223735119396197E-2</v>
      </c>
    </row>
    <row r="472" spans="1:27">
      <c r="A472" s="148"/>
      <c r="B472" s="54" t="s">
        <v>236</v>
      </c>
      <c r="C472" s="5" t="s">
        <v>237</v>
      </c>
      <c r="D472" s="147">
        <v>11852.18268461345</v>
      </c>
      <c r="E472" s="127">
        <v>8404.2106926399083</v>
      </c>
      <c r="F472" s="126">
        <v>119.32680264022339</v>
      </c>
      <c r="G472" s="126">
        <v>10.835360716397753</v>
      </c>
      <c r="H472" s="126">
        <v>21.471411595662186</v>
      </c>
      <c r="I472" s="75">
        <v>0.16710862437251525</v>
      </c>
      <c r="J472" s="75">
        <v>1.9722840380625766</v>
      </c>
      <c r="K472" s="75">
        <v>4.5045822378758683E-2</v>
      </c>
      <c r="L472" s="75">
        <v>0.74185843223650494</v>
      </c>
      <c r="M472" s="75">
        <v>4.4211600664609673E-3</v>
      </c>
      <c r="N472" s="75">
        <v>3.120311338938243E-2</v>
      </c>
      <c r="O472" s="75">
        <v>1.7476138002754611E-2</v>
      </c>
      <c r="P472" s="75">
        <v>0.63703804592856295</v>
      </c>
      <c r="Q472" s="75">
        <v>0.75150761838864533</v>
      </c>
      <c r="R472" s="75">
        <v>2.2506068191964261</v>
      </c>
      <c r="S472" s="75">
        <v>8.7322545006244201E-2</v>
      </c>
      <c r="T472" s="75">
        <v>1.8057972430771423</v>
      </c>
      <c r="U472" s="75">
        <v>0.8442301143573786</v>
      </c>
      <c r="V472" s="75">
        <v>1.78643769402397E-2</v>
      </c>
      <c r="W472" s="75">
        <v>0.59471403440147397</v>
      </c>
      <c r="X472" s="254">
        <v>3.4208677586391407E-2</v>
      </c>
      <c r="Y472" s="75">
        <v>6.1791749746607894E-2</v>
      </c>
      <c r="Z472" s="75">
        <v>1.9819700944924434E-3</v>
      </c>
      <c r="AA472" s="75">
        <v>3.4439407608852696E-2</v>
      </c>
    </row>
    <row r="473" spans="1:27">
      <c r="A473" s="148"/>
      <c r="B473" s="54" t="s">
        <v>238</v>
      </c>
      <c r="C473" s="5" t="s">
        <v>239</v>
      </c>
      <c r="D473" s="147">
        <v>12121.327821607692</v>
      </c>
      <c r="E473" s="127">
        <v>11837.841819627221</v>
      </c>
      <c r="F473" s="126">
        <v>57.399383322065042</v>
      </c>
      <c r="G473" s="126">
        <v>2.2462450233653497</v>
      </c>
      <c r="H473" s="126">
        <v>12.473405027205265</v>
      </c>
      <c r="I473" s="75">
        <v>0.14438023704100603</v>
      </c>
      <c r="J473" s="75">
        <v>2.5464091719403803</v>
      </c>
      <c r="K473" s="75">
        <v>0.154017547241767</v>
      </c>
      <c r="L473" s="75">
        <v>0.86186595159094725</v>
      </c>
      <c r="M473" s="75">
        <v>4.1736565687513832E-3</v>
      </c>
      <c r="N473" s="75">
        <v>4.3099513855465538E-2</v>
      </c>
      <c r="O473" s="75">
        <v>2.8561758354697157E-2</v>
      </c>
      <c r="P473" s="75">
        <v>1.3307147348932855</v>
      </c>
      <c r="Q473" s="75">
        <v>2.3881695724527328</v>
      </c>
      <c r="R473" s="75">
        <v>2.265296454984413</v>
      </c>
      <c r="S473" s="75">
        <v>7.2813390320135854E-2</v>
      </c>
      <c r="T473" s="75">
        <v>10.196960754252819</v>
      </c>
      <c r="U473" s="75">
        <v>0.26378073595715218</v>
      </c>
      <c r="V473" s="75">
        <v>3.886256589812459E-2</v>
      </c>
      <c r="W473" s="75">
        <v>0.73836581791996392</v>
      </c>
      <c r="X473" s="254">
        <v>2.7394934317884274E-2</v>
      </c>
      <c r="Y473" s="75">
        <v>0.43442834543634795</v>
      </c>
      <c r="Z473" s="75">
        <v>1.9703971848652451E-3</v>
      </c>
      <c r="AA473" s="75">
        <v>2.9952273139589765E-2</v>
      </c>
    </row>
    <row r="474" spans="1:27">
      <c r="A474" s="148"/>
      <c r="B474" s="54" t="s">
        <v>240</v>
      </c>
      <c r="C474" s="5" t="s">
        <v>241</v>
      </c>
      <c r="D474" s="147">
        <v>13797.884798802137</v>
      </c>
      <c r="E474" s="127">
        <v>9834.580218682524</v>
      </c>
      <c r="F474" s="126">
        <v>84.386386094819031</v>
      </c>
      <c r="G474" s="126">
        <v>67.760006664815435</v>
      </c>
      <c r="H474" s="126">
        <v>2.064894504958207</v>
      </c>
      <c r="I474" s="75">
        <v>9.608817919359329E-2</v>
      </c>
      <c r="J474" s="75">
        <v>1.5087536179324814</v>
      </c>
      <c r="K474" s="75">
        <v>3.6955596484997119E-2</v>
      </c>
      <c r="L474" s="75">
        <v>0.20309533099976249</v>
      </c>
      <c r="M474" s="75">
        <v>5.9203045978763989E-3</v>
      </c>
      <c r="N474" s="75">
        <v>3.3199056918576254E-2</v>
      </c>
      <c r="O474" s="75">
        <v>1.0895160842682492E-2</v>
      </c>
      <c r="P474" s="75">
        <v>0.24184598848372854</v>
      </c>
      <c r="Q474" s="75">
        <v>2.1780755642984162</v>
      </c>
      <c r="R474" s="75">
        <v>1.1230095176184169</v>
      </c>
      <c r="S474" s="75">
        <v>0.18086786581350736</v>
      </c>
      <c r="T474" s="75">
        <v>0.95916773443399417</v>
      </c>
      <c r="U474" s="75">
        <v>0.47863034034521562</v>
      </c>
      <c r="V474" s="75">
        <v>1.6737002413527997E-2</v>
      </c>
      <c r="W474" s="75">
        <v>0.30738927836902513</v>
      </c>
      <c r="X474" s="254">
        <v>3.8648544866512403E-2</v>
      </c>
      <c r="Y474" s="75">
        <v>2.018633247747724E-2</v>
      </c>
      <c r="Z474" s="75">
        <v>1.86928269561865E-3</v>
      </c>
      <c r="AA474" s="75">
        <v>4.6169992620698562E-2</v>
      </c>
    </row>
    <row r="475" spans="1:27">
      <c r="A475" s="148"/>
      <c r="B475" s="54" t="s">
        <v>242</v>
      </c>
      <c r="C475" s="5" t="s">
        <v>243</v>
      </c>
      <c r="D475" s="147">
        <v>10056.947690977309</v>
      </c>
      <c r="E475" s="127">
        <v>10569.666628852377</v>
      </c>
      <c r="F475" s="126">
        <v>73.980571479530767</v>
      </c>
      <c r="G475" s="126">
        <v>2.1212188852942351</v>
      </c>
      <c r="H475" s="126">
        <v>1.4704148224044831</v>
      </c>
      <c r="I475" s="75">
        <v>0.22786386185414947</v>
      </c>
      <c r="J475" s="75">
        <v>1.1802075614140906</v>
      </c>
      <c r="K475" s="75">
        <v>0.10022065878232327</v>
      </c>
      <c r="L475" s="75">
        <v>0.28775687122695892</v>
      </c>
      <c r="M475" s="75">
        <v>4.7607301846269677E-3</v>
      </c>
      <c r="N475" s="75">
        <v>3.8450408243452174E-2</v>
      </c>
      <c r="O475" s="75">
        <v>2.295236510922892E-2</v>
      </c>
      <c r="P475" s="75">
        <v>1.1181587683100989</v>
      </c>
      <c r="Q475" s="75">
        <v>2.5712754589592044</v>
      </c>
      <c r="R475" s="75">
        <v>1.3785651713079772</v>
      </c>
      <c r="S475" s="75">
        <v>9.8363482597519231E-2</v>
      </c>
      <c r="T475" s="75">
        <v>4.3147635539478655</v>
      </c>
      <c r="U475" s="75">
        <v>0.2749972871334681</v>
      </c>
      <c r="V475" s="75">
        <v>2.4786026974981983E-2</v>
      </c>
      <c r="W475" s="75">
        <v>1.1976118841237799</v>
      </c>
      <c r="X475" s="254">
        <v>3.7008794457836565E-2</v>
      </c>
      <c r="Y475" s="75">
        <v>5.5000960790271849E-2</v>
      </c>
      <c r="Z475" s="75">
        <v>1.296167718534236E-3</v>
      </c>
      <c r="AA475" s="75">
        <v>4.8132525664801813E-2</v>
      </c>
    </row>
    <row r="476" spans="1:27">
      <c r="A476" s="148"/>
      <c r="B476" s="54" t="s">
        <v>244</v>
      </c>
      <c r="C476" s="5" t="s">
        <v>245</v>
      </c>
      <c r="D476" s="147">
        <v>7931.1133393975961</v>
      </c>
      <c r="E476" s="127">
        <v>8104.8761736954229</v>
      </c>
      <c r="F476" s="126">
        <v>39.672725189528769</v>
      </c>
      <c r="G476" s="126">
        <v>5.0211330635466531</v>
      </c>
      <c r="H476" s="126">
        <v>21.150017478253606</v>
      </c>
      <c r="I476" s="75">
        <v>0.17150370481025295</v>
      </c>
      <c r="J476" s="75">
        <v>4.131011121804959</v>
      </c>
      <c r="K476" s="75">
        <v>4.8527095377669902E-2</v>
      </c>
      <c r="L476" s="75">
        <v>0.4182495632567817</v>
      </c>
      <c r="M476" s="75">
        <v>9.7966486527774257E-3</v>
      </c>
      <c r="N476" s="75">
        <v>3.7601122667621903E-2</v>
      </c>
      <c r="O476" s="75">
        <v>2.6457343560619725E-2</v>
      </c>
      <c r="P476" s="75">
        <v>0.74297224334831546</v>
      </c>
      <c r="Q476" s="75">
        <v>11.639537886657461</v>
      </c>
      <c r="R476" s="75">
        <v>1.507714082752676</v>
      </c>
      <c r="S476" s="75">
        <v>8.6773738551365012E-2</v>
      </c>
      <c r="T476" s="75">
        <v>1.9118321073843116</v>
      </c>
      <c r="U476" s="75">
        <v>1.4644143995045362</v>
      </c>
      <c r="V476" s="75">
        <v>2.7255777757039242E-2</v>
      </c>
      <c r="W476" s="75">
        <v>0.87014301183386267</v>
      </c>
      <c r="X476" s="254">
        <v>0.13057218227286402</v>
      </c>
      <c r="Y476" s="75">
        <v>7.3245963847466164E-2</v>
      </c>
      <c r="Z476" s="75">
        <v>2.6689259453417952E-3</v>
      </c>
      <c r="AA476" s="75">
        <v>5.0678924653634959E-2</v>
      </c>
    </row>
    <row r="477" spans="1:27">
      <c r="A477" s="156" t="s">
        <v>246</v>
      </c>
      <c r="B477" s="54"/>
      <c r="C477" s="54"/>
      <c r="D477" s="147"/>
      <c r="E477" s="127"/>
      <c r="F477" s="126"/>
      <c r="G477" s="126"/>
      <c r="H477" s="126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254"/>
      <c r="Y477" s="75"/>
      <c r="Z477" s="75"/>
      <c r="AA477" s="75"/>
    </row>
    <row r="478" spans="1:27">
      <c r="A478" s="148"/>
      <c r="B478" s="54" t="s">
        <v>247</v>
      </c>
      <c r="C478" s="5" t="s">
        <v>248</v>
      </c>
      <c r="D478" s="147">
        <v>14072.160578343826</v>
      </c>
      <c r="E478" s="127">
        <v>10123.721791472837</v>
      </c>
      <c r="F478" s="126">
        <v>52.721480118477714</v>
      </c>
      <c r="G478" s="126">
        <v>79.62903030497688</v>
      </c>
      <c r="H478" s="126">
        <v>22.675383063195415</v>
      </c>
      <c r="I478" s="75">
        <v>5.5088921472433536E-2</v>
      </c>
      <c r="J478" s="75">
        <v>6.2015072915563652</v>
      </c>
      <c r="K478" s="75">
        <v>9.4178996769424289E-2</v>
      </c>
      <c r="L478" s="75">
        <v>0.83950452113391361</v>
      </c>
      <c r="M478" s="75">
        <v>9.0343546252758481E-3</v>
      </c>
      <c r="N478" s="75">
        <v>3.4424112190320412E-2</v>
      </c>
      <c r="O478" s="75">
        <v>3.4962427526287108E-2</v>
      </c>
      <c r="P478" s="75">
        <v>1.1608741297078435</v>
      </c>
      <c r="Q478" s="75">
        <v>0.98428926395466254</v>
      </c>
      <c r="R478" s="75">
        <v>0.72317725337818417</v>
      </c>
      <c r="S478" s="75">
        <v>0.3355685966038941</v>
      </c>
      <c r="T478" s="75">
        <v>23.011127343324379</v>
      </c>
      <c r="U478" s="75">
        <v>0.41728831895600804</v>
      </c>
      <c r="V478" s="75">
        <v>1.2087416648372562E-2</v>
      </c>
      <c r="W478" s="75">
        <v>2.6568062662368783</v>
      </c>
      <c r="X478" s="254">
        <v>4.5977634917577628E-2</v>
      </c>
      <c r="Y478" s="75">
        <v>2.0050085693263716E-2</v>
      </c>
      <c r="Z478" s="75">
        <v>2.4624633968718364E-3</v>
      </c>
      <c r="AA478" s="75">
        <v>4.3849982636951404E-2</v>
      </c>
    </row>
    <row r="479" spans="1:27">
      <c r="A479" s="148"/>
      <c r="B479" s="54" t="s">
        <v>249</v>
      </c>
      <c r="C479" s="5" t="s">
        <v>250</v>
      </c>
      <c r="D479" s="147">
        <v>12192.47846794886</v>
      </c>
      <c r="E479" s="127">
        <v>8918.121891911871</v>
      </c>
      <c r="F479" s="126">
        <v>1.7031191757116713</v>
      </c>
      <c r="G479" s="126">
        <v>208.50221634295994</v>
      </c>
      <c r="H479" s="126">
        <v>4.6084642358698844E-2</v>
      </c>
      <c r="I479" s="75">
        <v>5.9478069412553798E-2</v>
      </c>
      <c r="J479" s="258">
        <v>10.965367713427513</v>
      </c>
      <c r="K479" s="75">
        <v>8.6759010310932014E-2</v>
      </c>
      <c r="L479" s="75">
        <v>0.21414695322151583</v>
      </c>
      <c r="M479" s="75">
        <v>4.0746702327352224E-3</v>
      </c>
      <c r="N479" s="75">
        <v>2.7158853839037662E-2</v>
      </c>
      <c r="O479" s="75">
        <v>8.1432261524368138E-2</v>
      </c>
      <c r="P479" s="75">
        <v>1.1751980476055988</v>
      </c>
      <c r="Q479" s="75">
        <v>9.6836228728704619</v>
      </c>
      <c r="R479" s="75">
        <v>0.80185207788991186</v>
      </c>
      <c r="S479" s="75">
        <v>0.15946859284163478</v>
      </c>
      <c r="T479" s="75">
        <v>9.0529715146512011</v>
      </c>
      <c r="U479" s="75">
        <v>0.11994084966884896</v>
      </c>
      <c r="V479" s="75">
        <v>7.8569961101629827E-3</v>
      </c>
      <c r="W479" s="75">
        <v>0.10397085030197199</v>
      </c>
      <c r="X479" s="254">
        <v>0.11947432554568455</v>
      </c>
      <c r="Y479" s="75">
        <v>2.3379848005369952E-3</v>
      </c>
      <c r="Z479" s="75">
        <v>1.5143907753954187E-3</v>
      </c>
      <c r="AA479" s="75">
        <v>2.6325990104754317E-2</v>
      </c>
    </row>
    <row r="480" spans="1:27">
      <c r="A480" s="148"/>
      <c r="B480" s="54" t="s">
        <v>251</v>
      </c>
      <c r="C480" s="5" t="s">
        <v>252</v>
      </c>
      <c r="D480" s="147">
        <v>7812.9735006880455</v>
      </c>
      <c r="E480" s="127">
        <v>8585.7146495044999</v>
      </c>
      <c r="F480" s="126">
        <v>10.852814846419218</v>
      </c>
      <c r="G480" s="126">
        <v>28.033186829510807</v>
      </c>
      <c r="H480" s="126">
        <v>0.45673824582578898</v>
      </c>
      <c r="I480" s="75">
        <v>6.5143741005990075E-2</v>
      </c>
      <c r="J480" s="258">
        <v>15.107675215694156</v>
      </c>
      <c r="K480" s="75">
        <v>7.4884245844043393E-2</v>
      </c>
      <c r="L480" s="75">
        <v>0.1784250490143246</v>
      </c>
      <c r="M480" s="75">
        <v>2.8900573121071111E-3</v>
      </c>
      <c r="N480" s="75">
        <v>3.0251118597163743E-2</v>
      </c>
      <c r="O480" s="75">
        <v>4.9961826770317054E-2</v>
      </c>
      <c r="P480" s="75">
        <v>0.47217320596358214</v>
      </c>
      <c r="Q480" s="75">
        <v>2.4665509944828141</v>
      </c>
      <c r="R480" s="75">
        <v>1.2204011791951737</v>
      </c>
      <c r="S480" s="75">
        <v>9.7038457236810927E-2</v>
      </c>
      <c r="T480" s="75">
        <v>55.121680721150078</v>
      </c>
      <c r="U480" s="75">
        <v>1.5990648470835145</v>
      </c>
      <c r="V480" s="75">
        <v>6.3184751286686587E-3</v>
      </c>
      <c r="W480" s="75">
        <v>7.7649536327107957E-2</v>
      </c>
      <c r="X480" s="254">
        <v>8.096882482389936E-2</v>
      </c>
      <c r="Y480" s="75">
        <v>4.0355611314351197E-3</v>
      </c>
      <c r="Z480" s="75">
        <v>2.4391761392047583E-3</v>
      </c>
      <c r="AA480" s="75">
        <v>6.4314711587738202E-2</v>
      </c>
    </row>
    <row r="481" spans="1:27">
      <c r="A481" s="148"/>
      <c r="B481" s="54" t="s">
        <v>253</v>
      </c>
      <c r="C481" s="5" t="s">
        <v>254</v>
      </c>
      <c r="D481" s="147">
        <v>9415.3379449730564</v>
      </c>
      <c r="E481" s="127">
        <v>10236.688281580884</v>
      </c>
      <c r="F481" s="126">
        <v>8.1813059068397465</v>
      </c>
      <c r="G481" s="126">
        <v>81.427737466151683</v>
      </c>
      <c r="H481" s="126">
        <v>0.89653630481981827</v>
      </c>
      <c r="I481" s="75">
        <v>4.3177230656818166E-2</v>
      </c>
      <c r="J481" s="258">
        <v>18.588589079841562</v>
      </c>
      <c r="K481" s="75">
        <v>0.26547536817255013</v>
      </c>
      <c r="L481" s="75">
        <v>0.17653571049423716</v>
      </c>
      <c r="M481" s="75">
        <v>2.2496144669214625E-3</v>
      </c>
      <c r="N481" s="75">
        <v>3.5143879303455118E-2</v>
      </c>
      <c r="O481" s="75">
        <v>4.5640467654056868E-2</v>
      </c>
      <c r="P481" s="75">
        <v>0.70258161981465361</v>
      </c>
      <c r="Q481" s="75">
        <v>1.04963562928997</v>
      </c>
      <c r="R481" s="75">
        <v>0.33749748845858873</v>
      </c>
      <c r="S481" s="75">
        <v>4.9314454247933376E-2</v>
      </c>
      <c r="T481" s="75">
        <v>52.225378427802575</v>
      </c>
      <c r="U481" s="75">
        <v>6.2651235725085543</v>
      </c>
      <c r="V481" s="75">
        <v>7.4062709411169929E-3</v>
      </c>
      <c r="W481" s="75">
        <v>8.6941765041938707E-2</v>
      </c>
      <c r="X481" s="254">
        <v>2.8624085074172165E-2</v>
      </c>
      <c r="Y481" s="75">
        <v>8.7673416844707818E-3</v>
      </c>
      <c r="Z481" s="75">
        <v>1.4037396565365636E-3</v>
      </c>
      <c r="AA481" s="75">
        <v>2.7798490611875899E-2</v>
      </c>
    </row>
    <row r="482" spans="1:27">
      <c r="A482" s="148"/>
      <c r="B482" s="54" t="s">
        <v>255</v>
      </c>
      <c r="C482" s="5" t="s">
        <v>256</v>
      </c>
      <c r="D482" s="147">
        <v>8576.767350779699</v>
      </c>
      <c r="E482" s="127">
        <v>9420.8870820703323</v>
      </c>
      <c r="F482" s="126">
        <v>7.5939499461200501</v>
      </c>
      <c r="G482" s="126">
        <v>10.69011854477732</v>
      </c>
      <c r="H482" s="126">
        <v>1.4094078662950829</v>
      </c>
      <c r="I482" s="75">
        <v>9.8036915583521345E-2</v>
      </c>
      <c r="J482" s="258">
        <v>12.414101657008437</v>
      </c>
      <c r="K482" s="75">
        <v>7.3718203692869369E-2</v>
      </c>
      <c r="L482" s="75">
        <v>0.18394941010057636</v>
      </c>
      <c r="M482" s="75">
        <v>7.4919455891167379E-3</v>
      </c>
      <c r="N482" s="75">
        <v>2.8813119707403391E-2</v>
      </c>
      <c r="O482" s="75">
        <v>3.0895577763291882E-2</v>
      </c>
      <c r="P482" s="75">
        <v>0.14091435350769185</v>
      </c>
      <c r="Q482" s="75">
        <v>3.1226627504741318</v>
      </c>
      <c r="R482" s="75">
        <v>1.2093594707904427</v>
      </c>
      <c r="S482" s="75">
        <v>8.2018130423311852E-2</v>
      </c>
      <c r="T482" s="75">
        <v>50.546974017853309</v>
      </c>
      <c r="U482" s="75">
        <v>0.60896962507375718</v>
      </c>
      <c r="V482" s="75">
        <v>8.6977868298988344E-3</v>
      </c>
      <c r="W482" s="75">
        <v>0.25200888546759576</v>
      </c>
      <c r="X482" s="254">
        <v>4.8491127244520135E-2</v>
      </c>
      <c r="Y482" s="75">
        <v>3.0598624699411992E-3</v>
      </c>
      <c r="Z482" s="75">
        <v>2.4532046423087744E-3</v>
      </c>
      <c r="AA482" s="75">
        <v>6.6483643023202338E-2</v>
      </c>
    </row>
    <row r="483" spans="1:27">
      <c r="A483" s="148"/>
      <c r="B483" s="54" t="s">
        <v>257</v>
      </c>
      <c r="C483" s="5" t="s">
        <v>258</v>
      </c>
      <c r="D483" s="147">
        <v>6837.6864673185728</v>
      </c>
      <c r="E483" s="127">
        <v>7432.63565840308</v>
      </c>
      <c r="F483" s="126">
        <v>2.8811668137220172</v>
      </c>
      <c r="G483" s="126">
        <v>25.836397892433471</v>
      </c>
      <c r="H483" s="126">
        <v>0.1476343855602841</v>
      </c>
      <c r="I483" s="75">
        <v>9.8423345363539166E-2</v>
      </c>
      <c r="J483" s="75">
        <v>8.7108964652230352</v>
      </c>
      <c r="K483" s="75">
        <v>5.4623615902020257E-2</v>
      </c>
      <c r="L483" s="75">
        <v>0.18062674795371761</v>
      </c>
      <c r="M483" s="75">
        <v>2.8754853040327995E-3</v>
      </c>
      <c r="N483" s="75">
        <v>3.1821960222831305E-2</v>
      </c>
      <c r="O483" s="75">
        <v>2.0078392527080609E-2</v>
      </c>
      <c r="P483" s="75">
        <v>5.0043517397892166E-2</v>
      </c>
      <c r="Q483" s="75">
        <v>3.4392401159071317</v>
      </c>
      <c r="R483" s="75">
        <v>0.72155955507662395</v>
      </c>
      <c r="S483" s="75">
        <v>0.11085910852709574</v>
      </c>
      <c r="T483" s="75">
        <v>22.740293449491169</v>
      </c>
      <c r="U483" s="75">
        <v>0.62711426617443411</v>
      </c>
      <c r="V483" s="75">
        <v>8.3202840794356359E-3</v>
      </c>
      <c r="W483" s="75">
        <v>0.1291187582352061</v>
      </c>
      <c r="X483" s="254">
        <v>4.6920220971757909E-2</v>
      </c>
      <c r="Y483" s="75">
        <v>3.0182474280154019E-2</v>
      </c>
      <c r="Z483" s="75">
        <v>2.6473960538417468E-3</v>
      </c>
      <c r="AA483" s="75">
        <v>9.1650761762761074E-2</v>
      </c>
    </row>
    <row r="484" spans="1:27">
      <c r="A484" s="148"/>
      <c r="B484" s="54" t="s">
        <v>259</v>
      </c>
      <c r="C484" s="5" t="s">
        <v>260</v>
      </c>
      <c r="D484" s="147">
        <v>10340.60465237427</v>
      </c>
      <c r="E484" s="127">
        <v>13338.988405095863</v>
      </c>
      <c r="F484" s="126">
        <v>1.8197483589672705</v>
      </c>
      <c r="G484" s="126">
        <v>59.081343463063526</v>
      </c>
      <c r="H484" s="126">
        <v>8.5487987192298664E-2</v>
      </c>
      <c r="I484" s="75">
        <v>9.5176609017976296E-2</v>
      </c>
      <c r="J484" s="258">
        <v>18.300326678449462</v>
      </c>
      <c r="K484" s="75">
        <v>7.9034293469853426E-2</v>
      </c>
      <c r="L484" s="75">
        <v>0.16512038243904703</v>
      </c>
      <c r="M484" s="75">
        <v>2.9764634559827372E-3</v>
      </c>
      <c r="N484" s="75">
        <v>2.9928278240194828E-2</v>
      </c>
      <c r="O484" s="75">
        <v>2.258960916134619E-2</v>
      </c>
      <c r="P484" s="75">
        <v>0.14826009234458404</v>
      </c>
      <c r="Q484" s="75">
        <v>2.0381133057274279</v>
      </c>
      <c r="R484" s="75">
        <v>0.82956342254936322</v>
      </c>
      <c r="S484" s="75">
        <v>0.17879269696352171</v>
      </c>
      <c r="T484" s="75">
        <v>39.253979086774756</v>
      </c>
      <c r="U484" s="75">
        <v>1.0685147878454435</v>
      </c>
      <c r="V484" s="75">
        <v>1.506746517563106E-2</v>
      </c>
      <c r="W484" s="75">
        <v>0.12916576429590695</v>
      </c>
      <c r="X484" s="254">
        <v>6.0327108836054869E-2</v>
      </c>
      <c r="Y484" s="75">
        <v>3.6818582124208544E-3</v>
      </c>
      <c r="Z484" s="75">
        <v>2.1233892152017343E-3</v>
      </c>
      <c r="AA484" s="75">
        <v>5.6463277779093303E-2</v>
      </c>
    </row>
    <row r="485" spans="1:27">
      <c r="A485" s="148"/>
      <c r="B485" s="54" t="s">
        <v>261</v>
      </c>
      <c r="C485" s="5" t="s">
        <v>262</v>
      </c>
      <c r="D485" s="147">
        <v>7410.8336530291672</v>
      </c>
      <c r="E485" s="127">
        <v>12226.409552437703</v>
      </c>
      <c r="F485" s="126">
        <v>2.6099268380301601</v>
      </c>
      <c r="G485" s="126">
        <v>374.91338381797431</v>
      </c>
      <c r="H485" s="126">
        <v>0.91946567924175615</v>
      </c>
      <c r="I485" s="75">
        <v>9.4282478422106006E-2</v>
      </c>
      <c r="J485" s="75">
        <v>3.5186389192418694</v>
      </c>
      <c r="K485" s="75">
        <v>0.14858805598843616</v>
      </c>
      <c r="L485" s="75">
        <v>0.22395912893302405</v>
      </c>
      <c r="M485" s="75">
        <v>3.8777616494804303E-3</v>
      </c>
      <c r="N485" s="75">
        <v>3.1147309016936152E-2</v>
      </c>
      <c r="O485" s="75">
        <v>2.1187525741993493E-2</v>
      </c>
      <c r="P485" s="75">
        <v>0.35410072783655</v>
      </c>
      <c r="Q485" s="75">
        <v>1.9420183282781229</v>
      </c>
      <c r="R485" s="75">
        <v>1.3248456194417713</v>
      </c>
      <c r="S485" s="75">
        <v>0.35736221974557875</v>
      </c>
      <c r="T485" s="75">
        <v>25.928627096073868</v>
      </c>
      <c r="U485" s="75">
        <v>0.45973986646075082</v>
      </c>
      <c r="V485" s="75">
        <v>1.9409757621469657E-2</v>
      </c>
      <c r="W485" s="75">
        <v>0.14899529252422666</v>
      </c>
      <c r="X485" s="254">
        <v>7.9286983223688073E-2</v>
      </c>
      <c r="Y485" s="75">
        <v>2.039428138465435E-2</v>
      </c>
      <c r="Z485" s="75">
        <v>2.2799805525224692E-3</v>
      </c>
      <c r="AA485" s="75">
        <v>3.4718362634261958E-2</v>
      </c>
    </row>
    <row r="486" spans="1:27">
      <c r="A486" s="148"/>
      <c r="B486" s="54" t="s">
        <v>263</v>
      </c>
      <c r="C486" s="5" t="s">
        <v>264</v>
      </c>
      <c r="D486" s="147">
        <v>9786.5146921085125</v>
      </c>
      <c r="E486" s="127">
        <v>13217.73660614224</v>
      </c>
      <c r="F486" s="126">
        <v>175.31731462617876</v>
      </c>
      <c r="G486" s="126">
        <v>664.97965140282986</v>
      </c>
      <c r="H486" s="126">
        <v>0.29473271193816764</v>
      </c>
      <c r="I486" s="75">
        <v>8.2282177361598138E-2</v>
      </c>
      <c r="J486" s="258">
        <v>24.804562920097631</v>
      </c>
      <c r="K486" s="75">
        <v>1.0089723290419943</v>
      </c>
      <c r="L486" s="75">
        <v>0.22592761286615395</v>
      </c>
      <c r="M486" s="75">
        <v>3.1710839746430654E-3</v>
      </c>
      <c r="N486" s="75">
        <v>2.9155386222552742E-2</v>
      </c>
      <c r="O486" s="75">
        <v>5.7282616366129295E-2</v>
      </c>
      <c r="P486" s="75">
        <v>0.3542740228739682</v>
      </c>
      <c r="Q486" s="75">
        <v>6.8666764751199247</v>
      </c>
      <c r="R486" s="75">
        <v>0.73694329378434809</v>
      </c>
      <c r="S486" s="75">
        <v>0.10975895399073281</v>
      </c>
      <c r="T486" s="75">
        <v>187.78999542538529</v>
      </c>
      <c r="U486" s="75">
        <v>0.49270770644065032</v>
      </c>
      <c r="V486" s="75">
        <v>6.6317879424974916E-3</v>
      </c>
      <c r="W486" s="75">
        <v>0.13607233748320122</v>
      </c>
      <c r="X486" s="254">
        <v>8.3686427695734991E-2</v>
      </c>
      <c r="Y486" s="75">
        <v>6.4198318063506338E-3</v>
      </c>
      <c r="Z486" s="75">
        <v>2.3165955633764903E-3</v>
      </c>
      <c r="AA486" s="75">
        <v>6.8367855466754029E-2</v>
      </c>
    </row>
    <row r="487" spans="1:27">
      <c r="A487" s="148"/>
      <c r="B487" s="54" t="s">
        <v>265</v>
      </c>
      <c r="C487" s="5" t="s">
        <v>266</v>
      </c>
      <c r="D487" s="147">
        <v>9843.9640412339795</v>
      </c>
      <c r="E487" s="127">
        <v>10914.905072574844</v>
      </c>
      <c r="F487" s="126">
        <v>74.233794942799804</v>
      </c>
      <c r="G487" s="126">
        <v>7.733058949471884</v>
      </c>
      <c r="H487" s="126">
        <v>2.2639050445601452</v>
      </c>
      <c r="I487" s="75">
        <v>8.7744058568245228E-2</v>
      </c>
      <c r="J487" s="258">
        <v>19.212892984275207</v>
      </c>
      <c r="K487" s="75">
        <v>5.050259908251007E-2</v>
      </c>
      <c r="L487" s="75">
        <v>0.28755404815834901</v>
      </c>
      <c r="M487" s="75">
        <v>8.6172854022093428E-3</v>
      </c>
      <c r="N487" s="75">
        <v>4.1977318438949841E-2</v>
      </c>
      <c r="O487" s="75">
        <v>1.8055105246616108E-2</v>
      </c>
      <c r="P487" s="75">
        <v>0.10117490445003025</v>
      </c>
      <c r="Q487" s="75">
        <v>4.9079512573285893</v>
      </c>
      <c r="R487" s="75">
        <v>2.2646839231085623</v>
      </c>
      <c r="S487" s="75">
        <v>7.3394541536040594E-2</v>
      </c>
      <c r="T487" s="75">
        <v>33.50883328765795</v>
      </c>
      <c r="U487" s="75">
        <v>0.86464904915586782</v>
      </c>
      <c r="V487" s="75">
        <v>1.0704348100330652E-2</v>
      </c>
      <c r="W487" s="75">
        <v>0.98438980188765268</v>
      </c>
      <c r="X487" s="254">
        <v>3.8630346335106903E-2</v>
      </c>
      <c r="Y487" s="75">
        <v>2.4841986351414824E-2</v>
      </c>
      <c r="Z487" s="75">
        <v>2.3296492338688991E-3</v>
      </c>
      <c r="AA487" s="75">
        <v>8.5374900460661068E-2</v>
      </c>
    </row>
    <row r="488" spans="1:27">
      <c r="A488" s="148"/>
      <c r="B488" s="54" t="s">
        <v>267</v>
      </c>
      <c r="C488" s="5" t="s">
        <v>268</v>
      </c>
      <c r="D488" s="147">
        <v>8882.239646124679</v>
      </c>
      <c r="E488" s="127">
        <v>7204.8060896006991</v>
      </c>
      <c r="F488" s="126">
        <v>1.90466042278628</v>
      </c>
      <c r="G488" s="126">
        <v>114.82071615339528</v>
      </c>
      <c r="H488" s="126">
        <v>0.14562316312224005</v>
      </c>
      <c r="I488" s="75">
        <v>9.074462755548042E-2</v>
      </c>
      <c r="J488" s="258">
        <v>15.767745647280583</v>
      </c>
      <c r="K488" s="75">
        <v>0.10315335669560505</v>
      </c>
      <c r="L488" s="75">
        <v>0.19703711397896118</v>
      </c>
      <c r="M488" s="75">
        <v>3.1785458494793021E-3</v>
      </c>
      <c r="N488" s="75">
        <v>3.2366667268376642E-2</v>
      </c>
      <c r="O488" s="75">
        <v>3.0129407702499545E-2</v>
      </c>
      <c r="P488" s="75">
        <v>0.24242330443812324</v>
      </c>
      <c r="Q488" s="75">
        <v>2.2571419095971996</v>
      </c>
      <c r="R488" s="75">
        <v>0.91284542629442933</v>
      </c>
      <c r="S488" s="75">
        <v>0.19750910312951131</v>
      </c>
      <c r="T488" s="75">
        <v>62.595690700291875</v>
      </c>
      <c r="U488" s="75">
        <v>0.70821760343242368</v>
      </c>
      <c r="V488" s="75">
        <v>1.0361315783416064E-2</v>
      </c>
      <c r="W488" s="75">
        <v>9.9678810964634601E-2</v>
      </c>
      <c r="X488" s="254">
        <v>6.2712114847105191E-2</v>
      </c>
      <c r="Y488" s="75">
        <v>1.4379705726410589E-3</v>
      </c>
      <c r="Z488" s="75">
        <v>2.5985897548831544E-3</v>
      </c>
      <c r="AA488" s="75">
        <v>2.7842646892769649E-2</v>
      </c>
    </row>
    <row r="489" spans="1:27">
      <c r="A489" s="156" t="s">
        <v>52</v>
      </c>
      <c r="B489" s="54"/>
      <c r="C489" s="54"/>
      <c r="D489" s="147"/>
      <c r="E489" s="127"/>
      <c r="F489" s="126"/>
      <c r="G489" s="126"/>
      <c r="H489" s="126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254"/>
      <c r="Y489" s="75"/>
      <c r="Z489" s="75"/>
      <c r="AA489" s="75"/>
    </row>
    <row r="490" spans="1:27">
      <c r="A490" s="148"/>
      <c r="B490" s="54" t="s">
        <v>269</v>
      </c>
      <c r="C490" s="5" t="s">
        <v>270</v>
      </c>
      <c r="D490" s="147">
        <v>13066.502730123944</v>
      </c>
      <c r="E490" s="127">
        <v>10702.237989955604</v>
      </c>
      <c r="F490" s="126">
        <v>226.01017727133544</v>
      </c>
      <c r="G490" s="126">
        <v>1.9138045291455521</v>
      </c>
      <c r="H490" s="126">
        <v>4.9604330797519278</v>
      </c>
      <c r="I490" s="75">
        <v>4.4960047827492577E-2</v>
      </c>
      <c r="J490" s="75">
        <v>0.42807034481043671</v>
      </c>
      <c r="K490" s="75">
        <v>2.4350364900549017E-2</v>
      </c>
      <c r="L490" s="75">
        <v>0.32117612865032807</v>
      </c>
      <c r="M490" s="75">
        <v>8.6669062240245249E-3</v>
      </c>
      <c r="N490" s="75">
        <v>3.9669395450408582E-2</v>
      </c>
      <c r="O490" s="75">
        <v>5.2684581550461029E-3</v>
      </c>
      <c r="P490" s="75">
        <v>0.13522472855317841</v>
      </c>
      <c r="Q490" s="75">
        <v>8.4388383256883142</v>
      </c>
      <c r="R490" s="75">
        <v>0.33058703630309832</v>
      </c>
      <c r="S490" s="75">
        <v>7.652839832898016E-2</v>
      </c>
      <c r="T490" s="75">
        <v>1.0297822414626365</v>
      </c>
      <c r="U490" s="75">
        <v>0.54698013167693516</v>
      </c>
      <c r="V490" s="75">
        <v>2.6939729072077059E-2</v>
      </c>
      <c r="W490" s="75">
        <v>0.57194546871418772</v>
      </c>
      <c r="X490" s="254">
        <v>3.0968912577269934E-2</v>
      </c>
      <c r="Y490" s="75">
        <v>2.3286669464725501E-2</v>
      </c>
      <c r="Z490" s="75">
        <v>2.2681426054080734E-3</v>
      </c>
      <c r="AA490" s="75">
        <v>5.6090452119736532E-2</v>
      </c>
    </row>
    <row r="491" spans="1:27">
      <c r="A491" s="148"/>
      <c r="B491" s="54" t="s">
        <v>271</v>
      </c>
      <c r="C491" s="5" t="s">
        <v>272</v>
      </c>
      <c r="D491" s="147">
        <v>13334.395368883595</v>
      </c>
      <c r="E491" s="127">
        <v>12194.027008926123</v>
      </c>
      <c r="F491" s="126">
        <v>13.462458551587243</v>
      </c>
      <c r="G491" s="126">
        <v>1.0775774441304231</v>
      </c>
      <c r="H491" s="126">
        <v>0.88450034369118302</v>
      </c>
      <c r="I491" s="75">
        <v>0.35786974848801989</v>
      </c>
      <c r="J491" s="75">
        <v>0.27710165965119959</v>
      </c>
      <c r="K491" s="75">
        <v>1.4231060559816657E-2</v>
      </c>
      <c r="L491" s="75">
        <v>0.24870756553362369</v>
      </c>
      <c r="M491" s="75">
        <v>5.573975598671733E-3</v>
      </c>
      <c r="N491" s="75">
        <v>4.2826126894028961E-2</v>
      </c>
      <c r="O491" s="75">
        <v>2.2748337888015401E-2</v>
      </c>
      <c r="P491" s="75">
        <v>0.12781389334150062</v>
      </c>
      <c r="Q491" s="75">
        <v>2.2300003089161793</v>
      </c>
      <c r="R491" s="75">
        <v>7.5457806299513902E-2</v>
      </c>
      <c r="S491" s="75">
        <v>6.7933769100517294E-2</v>
      </c>
      <c r="T491" s="75">
        <v>5.2022572508951468</v>
      </c>
      <c r="U491" s="75">
        <v>2.4133210287491393</v>
      </c>
      <c r="V491" s="75">
        <v>8.6725013867707187E-3</v>
      </c>
      <c r="W491" s="75">
        <v>0.28144848319877946</v>
      </c>
      <c r="X491" s="254">
        <v>3.0540526455268478E-2</v>
      </c>
      <c r="Y491" s="75">
        <v>0.11112895555784974</v>
      </c>
      <c r="Z491" s="75">
        <v>3.1498886057068475E-3</v>
      </c>
      <c r="AA491" s="75">
        <v>5.5267578529936856E-2</v>
      </c>
    </row>
    <row r="492" spans="1:27">
      <c r="A492" s="148"/>
      <c r="B492" s="54" t="s">
        <v>273</v>
      </c>
      <c r="C492" s="5" t="s">
        <v>274</v>
      </c>
      <c r="D492" s="147">
        <v>12046.583320457932</v>
      </c>
      <c r="E492" s="127">
        <v>8539.6982172242151</v>
      </c>
      <c r="F492" s="126">
        <v>29.170371429706481</v>
      </c>
      <c r="G492" s="126">
        <v>5.3936680069100689</v>
      </c>
      <c r="H492" s="126">
        <v>1.6872370714425138</v>
      </c>
      <c r="I492" s="75">
        <v>5.1602890487945488E-2</v>
      </c>
      <c r="J492" s="75">
        <v>4.2606550680265292</v>
      </c>
      <c r="K492" s="75">
        <v>1.6053074956637565E-2</v>
      </c>
      <c r="L492" s="75">
        <v>0.21866192869264151</v>
      </c>
      <c r="M492" s="75">
        <v>1.0500161658058008E-2</v>
      </c>
      <c r="N492" s="75">
        <v>3.9843815684951892E-2</v>
      </c>
      <c r="O492" s="75">
        <v>5.490352421134658E-3</v>
      </c>
      <c r="P492" s="75">
        <v>7.5414927128186149E-2</v>
      </c>
      <c r="Q492" s="75">
        <v>45.024534658247326</v>
      </c>
      <c r="R492" s="75">
        <v>6.04921417089943E-2</v>
      </c>
      <c r="S492" s="75">
        <v>7.1981176781998529E-2</v>
      </c>
      <c r="T492" s="75">
        <v>0.70754510390273473</v>
      </c>
      <c r="U492" s="75">
        <v>4.0653010105154888</v>
      </c>
      <c r="V492" s="75">
        <v>3.3385065507037071E-2</v>
      </c>
      <c r="W492" s="75">
        <v>0.53528120534616108</v>
      </c>
      <c r="X492" s="254">
        <v>3.3990913169587834E-2</v>
      </c>
      <c r="Y492" s="75">
        <v>0.23725705862279445</v>
      </c>
      <c r="Z492" s="75">
        <v>2.4551880811203111E-3</v>
      </c>
      <c r="AA492" s="75">
        <v>7.3761609810128817E-2</v>
      </c>
    </row>
    <row r="493" spans="1:27">
      <c r="A493" s="148"/>
      <c r="B493" s="54" t="s">
        <v>275</v>
      </c>
      <c r="C493" s="5" t="s">
        <v>276</v>
      </c>
      <c r="D493" s="147">
        <v>12668.249454295268</v>
      </c>
      <c r="E493" s="127">
        <v>13138.802575586438</v>
      </c>
      <c r="F493" s="126">
        <v>2.3934663247090131</v>
      </c>
      <c r="G493" s="126">
        <v>73.290784124734628</v>
      </c>
      <c r="H493" s="126">
        <v>0.42773560301538999</v>
      </c>
      <c r="I493" s="75">
        <v>0.19289164952234764</v>
      </c>
      <c r="J493" s="75">
        <v>5.2540890986930515</v>
      </c>
      <c r="K493" s="75">
        <v>0.10373701983706166</v>
      </c>
      <c r="L493" s="75">
        <v>0.19763068043301871</v>
      </c>
      <c r="M493" s="75">
        <v>4.0720335106202562E-3</v>
      </c>
      <c r="N493" s="75">
        <v>3.9983712368659587E-2</v>
      </c>
      <c r="O493" s="75">
        <v>1.7769645307788962E-2</v>
      </c>
      <c r="P493" s="75">
        <v>0.1180858720560931</v>
      </c>
      <c r="Q493" s="75">
        <v>5.7007875705881439</v>
      </c>
      <c r="R493" s="75">
        <v>2.5538159539844831</v>
      </c>
      <c r="S493" s="75">
        <v>0.19370373566554677</v>
      </c>
      <c r="T493" s="75">
        <v>17.388793187326492</v>
      </c>
      <c r="U493" s="75">
        <v>0.83659200072958406</v>
      </c>
      <c r="V493" s="75">
        <v>1.313678619832882E-2</v>
      </c>
      <c r="W493" s="75">
        <v>1.101387444410838</v>
      </c>
      <c r="X493" s="254">
        <v>0.14857456099826633</v>
      </c>
      <c r="Y493" s="75">
        <v>2.0241499280708633E-2</v>
      </c>
      <c r="Z493" s="75">
        <v>2.4137169020547549E-3</v>
      </c>
      <c r="AA493" s="75">
        <v>3.662138082928184E-2</v>
      </c>
    </row>
    <row r="494" spans="1:27">
      <c r="A494" s="148"/>
      <c r="B494" s="54" t="s">
        <v>277</v>
      </c>
      <c r="C494" s="5" t="s">
        <v>278</v>
      </c>
      <c r="D494" s="147">
        <v>13262.116586310593</v>
      </c>
      <c r="E494" s="127">
        <v>8750.9611913258195</v>
      </c>
      <c r="F494" s="126">
        <v>9.9505024517805154</v>
      </c>
      <c r="G494" s="126">
        <v>54.075183008030706</v>
      </c>
      <c r="H494" s="126">
        <v>0.54698290356027002</v>
      </c>
      <c r="I494" s="75">
        <v>0.12750474255324351</v>
      </c>
      <c r="J494" s="75">
        <v>7.4983657809676005</v>
      </c>
      <c r="K494" s="75">
        <v>6.2279839001377194E-2</v>
      </c>
      <c r="L494" s="75">
        <v>0.23382074070107992</v>
      </c>
      <c r="M494" s="75">
        <v>2.9673052673318367E-3</v>
      </c>
      <c r="N494" s="75">
        <v>3.7207469584283094E-2</v>
      </c>
      <c r="O494" s="75">
        <v>1.7435913693999716E-2</v>
      </c>
      <c r="P494" s="75">
        <v>0.10381333966546617</v>
      </c>
      <c r="Q494" s="75">
        <v>7.9607442382742217</v>
      </c>
      <c r="R494" s="75">
        <v>1.1852216922801668</v>
      </c>
      <c r="S494" s="75">
        <v>0.20245514519498531</v>
      </c>
      <c r="T494" s="75">
        <v>7.742276475465439</v>
      </c>
      <c r="U494" s="75">
        <v>1.2878949470578542</v>
      </c>
      <c r="V494" s="75">
        <v>1.3338722405201352E-2</v>
      </c>
      <c r="W494" s="75">
        <v>3.6832592539583864</v>
      </c>
      <c r="X494" s="254">
        <v>8.6655739164083756E-2</v>
      </c>
      <c r="Y494" s="75">
        <v>7.6078954088641343E-3</v>
      </c>
      <c r="Z494" s="75">
        <v>2.4754412633970044E-3</v>
      </c>
      <c r="AA494" s="75">
        <v>2.516950099477527E-2</v>
      </c>
    </row>
    <row r="495" spans="1:27">
      <c r="A495" s="148"/>
      <c r="B495" s="54" t="s">
        <v>279</v>
      </c>
      <c r="C495" s="5" t="s">
        <v>280</v>
      </c>
      <c r="D495" s="147">
        <v>10491.932198018911</v>
      </c>
      <c r="E495" s="127">
        <v>10119.681683626284</v>
      </c>
      <c r="F495" s="126">
        <v>4.6464264230436436</v>
      </c>
      <c r="G495" s="126">
        <v>112.12193194917155</v>
      </c>
      <c r="H495" s="126">
        <v>1.6545551531058267</v>
      </c>
      <c r="I495" s="75">
        <v>0.1443605838828951</v>
      </c>
      <c r="J495" s="75">
        <v>2.8981505571281714</v>
      </c>
      <c r="K495" s="75">
        <v>6.6143632533833763E-2</v>
      </c>
      <c r="L495" s="75">
        <v>0.23154014969096687</v>
      </c>
      <c r="M495" s="75">
        <v>4.5567470137644634E-3</v>
      </c>
      <c r="N495" s="75">
        <v>3.9972905341010494E-2</v>
      </c>
      <c r="O495" s="75">
        <v>2.0230514656735973E-2</v>
      </c>
      <c r="P495" s="75">
        <v>0.17694303769455705</v>
      </c>
      <c r="Q495" s="75">
        <v>4.5114611913718834</v>
      </c>
      <c r="R495" s="75">
        <v>1.1704683601893557</v>
      </c>
      <c r="S495" s="75">
        <v>0.23413623398987174</v>
      </c>
      <c r="T495" s="75">
        <v>15.0190605387525</v>
      </c>
      <c r="U495" s="75">
        <v>1.9288178607819311</v>
      </c>
      <c r="V495" s="75">
        <v>7.054909293021416E-3</v>
      </c>
      <c r="W495" s="75">
        <v>0.23299959956186844</v>
      </c>
      <c r="X495" s="254">
        <v>8.6834066889450598E-2</v>
      </c>
      <c r="Y495" s="75">
        <v>5.1191519950931109E-2</v>
      </c>
      <c r="Z495" s="75">
        <v>2.5969580370640657E-3</v>
      </c>
      <c r="AA495" s="75">
        <v>2.5781094227911524E-2</v>
      </c>
    </row>
    <row r="496" spans="1:27">
      <c r="A496" s="148"/>
      <c r="B496" s="54" t="s">
        <v>281</v>
      </c>
      <c r="C496" s="5" t="s">
        <v>282</v>
      </c>
      <c r="D496" s="147">
        <v>9859.6605083605755</v>
      </c>
      <c r="E496" s="127">
        <v>9975.0886223023754</v>
      </c>
      <c r="F496" s="126">
        <v>6.687319056813176</v>
      </c>
      <c r="G496" s="126">
        <v>84.127314303070165</v>
      </c>
      <c r="H496" s="126">
        <v>2.7743034515856411</v>
      </c>
      <c r="I496" s="75">
        <v>0.14459596340767814</v>
      </c>
      <c r="J496" s="75">
        <v>3.6436512850623162</v>
      </c>
      <c r="K496" s="75">
        <v>7.2769656584307923E-2</v>
      </c>
      <c r="L496" s="75">
        <v>0.22466484307432621</v>
      </c>
      <c r="M496" s="75">
        <v>4.0995022252416895E-3</v>
      </c>
      <c r="N496" s="75">
        <v>4.2712274104394377E-2</v>
      </c>
      <c r="O496" s="75">
        <v>1.5747386271271622E-2</v>
      </c>
      <c r="P496" s="75">
        <v>0.13622757313122638</v>
      </c>
      <c r="Q496" s="75">
        <v>3.5940043668574262</v>
      </c>
      <c r="R496" s="75">
        <v>1.6147292186025002</v>
      </c>
      <c r="S496" s="75">
        <v>0.18372548536136188</v>
      </c>
      <c r="T496" s="75">
        <v>15.909442332720621</v>
      </c>
      <c r="U496" s="75">
        <v>2.0172034684940292</v>
      </c>
      <c r="V496" s="75">
        <v>2.6466922190026766E-2</v>
      </c>
      <c r="W496" s="75">
        <v>0.2124746782338717</v>
      </c>
      <c r="X496" s="254">
        <v>7.4492623518836343E-2</v>
      </c>
      <c r="Y496" s="75">
        <v>7.2554770733937707E-2</v>
      </c>
      <c r="Z496" s="75">
        <v>2.3079208552648522E-3</v>
      </c>
      <c r="AA496" s="75">
        <v>8.0159379495358493E-2</v>
      </c>
    </row>
    <row r="497" spans="1:27">
      <c r="A497" s="148"/>
      <c r="B497" s="54" t="s">
        <v>283</v>
      </c>
      <c r="C497" s="5" t="s">
        <v>284</v>
      </c>
      <c r="D497" s="147">
        <v>10937.089127123103</v>
      </c>
      <c r="E497" s="127">
        <v>8404.153156106162</v>
      </c>
      <c r="F497" s="126">
        <v>890.12320052886105</v>
      </c>
      <c r="G497" s="126">
        <v>55.463967090923049</v>
      </c>
      <c r="H497" s="126">
        <v>4.3844759531136592</v>
      </c>
      <c r="I497" s="75">
        <v>9.5606533614695732E-2</v>
      </c>
      <c r="J497" s="75">
        <v>5.8353407020213162</v>
      </c>
      <c r="K497" s="75">
        <v>6.4892621950857834E-2</v>
      </c>
      <c r="L497" s="75">
        <v>0.30946431211110559</v>
      </c>
      <c r="M497" s="75">
        <v>2.4626526136055839E-2</v>
      </c>
      <c r="N497" s="75">
        <v>3.8352315684887332E-2</v>
      </c>
      <c r="O497" s="75">
        <v>1.3852798718812454E-2</v>
      </c>
      <c r="P497" s="75">
        <v>0.43109674546419807</v>
      </c>
      <c r="Q497" s="75">
        <v>7.5191624784897488</v>
      </c>
      <c r="R497" s="75">
        <v>1.2953878750794563</v>
      </c>
      <c r="S497" s="75">
        <v>0.1986953067026489</v>
      </c>
      <c r="T497" s="75">
        <v>8.558001866618687</v>
      </c>
      <c r="U497" s="75">
        <v>0.90847877734313898</v>
      </c>
      <c r="V497" s="75">
        <v>2.5807034125964069E-2</v>
      </c>
      <c r="W497" s="75">
        <v>1.973647418907394</v>
      </c>
      <c r="X497" s="254">
        <v>4.1153443825906862E-2</v>
      </c>
      <c r="Y497" s="75">
        <v>0.1475657033596556</v>
      </c>
      <c r="Z497" s="75">
        <v>2.993776589400515E-3</v>
      </c>
      <c r="AA497" s="75">
        <v>5.355590854415946E-2</v>
      </c>
    </row>
    <row r="498" spans="1:27">
      <c r="A498" s="156" t="s">
        <v>285</v>
      </c>
      <c r="B498" s="54"/>
      <c r="C498" s="54"/>
      <c r="D498" s="147"/>
      <c r="E498" s="127"/>
      <c r="F498" s="126"/>
      <c r="G498" s="126"/>
      <c r="H498" s="126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148"/>
      <c r="Y498" s="54"/>
      <c r="Z498" s="54"/>
      <c r="AA498" s="54"/>
    </row>
    <row r="499" spans="1:27">
      <c r="A499" s="148"/>
      <c r="B499" s="54" t="s">
        <v>286</v>
      </c>
      <c r="C499" s="5" t="s">
        <v>287</v>
      </c>
      <c r="D499" s="147">
        <v>14758.974701203471</v>
      </c>
      <c r="E499" s="127">
        <v>14330.889315674238</v>
      </c>
      <c r="F499" s="126">
        <v>19.47128210032286</v>
      </c>
      <c r="G499" s="126">
        <v>337.47037967061499</v>
      </c>
      <c r="H499" s="126">
        <v>19.682061233465355</v>
      </c>
      <c r="I499" s="75">
        <v>6.8248322092754776E-2</v>
      </c>
      <c r="J499" s="126">
        <v>20.769684302070957</v>
      </c>
      <c r="K499" s="75">
        <v>0.13332220942698417</v>
      </c>
      <c r="L499" s="75">
        <v>0.63052771382560424</v>
      </c>
      <c r="M499" s="75">
        <v>3.1938912918495287E-2</v>
      </c>
      <c r="N499" s="75">
        <v>2.7492140297092051E-2</v>
      </c>
      <c r="O499" s="75">
        <v>2.3486057888292989E-2</v>
      </c>
      <c r="P499" s="75">
        <v>0.23497078486771006</v>
      </c>
      <c r="Q499" s="75">
        <v>1.0852665831386485</v>
      </c>
      <c r="R499" s="75">
        <v>1.9695367765767446</v>
      </c>
      <c r="S499" s="75">
        <v>0.82371655556148837</v>
      </c>
      <c r="T499" s="75">
        <v>9.0118294101558796</v>
      </c>
      <c r="U499" s="75">
        <v>0.54764878068151457</v>
      </c>
      <c r="V499" s="75">
        <v>3.6573974225650473E-2</v>
      </c>
      <c r="W499" s="75">
        <v>3.0595130911714707</v>
      </c>
      <c r="X499" s="254">
        <v>0.35832220602854081</v>
      </c>
      <c r="Y499" s="75">
        <v>3.4664893253414891E-3</v>
      </c>
      <c r="Z499" s="75">
        <v>1.5121352859497259E-3</v>
      </c>
      <c r="AA499" s="75">
        <v>5.5552191208247913E-2</v>
      </c>
    </row>
    <row r="500" spans="1:27">
      <c r="A500" s="148"/>
      <c r="B500" s="54" t="s">
        <v>288</v>
      </c>
      <c r="C500" s="5" t="s">
        <v>289</v>
      </c>
      <c r="D500" s="147">
        <v>12767.822239316729</v>
      </c>
      <c r="E500" s="127">
        <v>13419.534305318239</v>
      </c>
      <c r="F500" s="126">
        <v>52.739146600662231</v>
      </c>
      <c r="G500" s="126">
        <v>1.3811598589198013</v>
      </c>
      <c r="H500" s="126">
        <v>39.730395717021821</v>
      </c>
      <c r="I500" s="75">
        <v>7.685529535069742E-2</v>
      </c>
      <c r="J500" s="75">
        <v>7.5825633495308917</v>
      </c>
      <c r="K500" s="75">
        <v>6.8228565909578043E-2</v>
      </c>
      <c r="L500" s="75">
        <v>1.1141337743994444</v>
      </c>
      <c r="M500" s="75">
        <v>2.1163862426827693E-2</v>
      </c>
      <c r="N500" s="75">
        <v>3.6084827798725107E-2</v>
      </c>
      <c r="O500" s="75">
        <v>8.9232172335324596E-3</v>
      </c>
      <c r="P500" s="75">
        <v>0.21466166849046203</v>
      </c>
      <c r="Q500" s="75">
        <v>1.1933705811927955</v>
      </c>
      <c r="R500" s="75">
        <v>1.926919813229836</v>
      </c>
      <c r="S500" s="75">
        <v>4.2299896796326744E-2</v>
      </c>
      <c r="T500" s="75">
        <v>3.3658127577934964</v>
      </c>
      <c r="U500" s="75">
        <v>5.7318140215620011E-2</v>
      </c>
      <c r="V500" s="75">
        <v>2.2280746344607631E-2</v>
      </c>
      <c r="W500" s="75">
        <v>0.69755327930198407</v>
      </c>
      <c r="X500" s="254">
        <v>0.13878997452010841</v>
      </c>
      <c r="Y500" s="75">
        <v>2.095598553843539E-2</v>
      </c>
      <c r="Z500" s="75">
        <v>2.3988531023164217E-3</v>
      </c>
      <c r="AA500" s="75">
        <v>3.2449967038700497E-2</v>
      </c>
    </row>
    <row r="501" spans="1:27">
      <c r="A501" s="148"/>
      <c r="B501" s="54" t="s">
        <v>290</v>
      </c>
      <c r="C501" s="5" t="s">
        <v>291</v>
      </c>
      <c r="D501" s="147">
        <v>13641.068537589766</v>
      </c>
      <c r="E501" s="127">
        <v>11123.801343205027</v>
      </c>
      <c r="F501" s="126">
        <v>33.892449638129797</v>
      </c>
      <c r="G501" s="126">
        <v>36.998352089877905</v>
      </c>
      <c r="H501" s="126">
        <v>6.036780596744606</v>
      </c>
      <c r="I501" s="75">
        <v>0.13049657978560922</v>
      </c>
      <c r="J501" s="126">
        <v>18.091541331447978</v>
      </c>
      <c r="K501" s="75">
        <v>0.31360841457339483</v>
      </c>
      <c r="L501" s="75">
        <v>0.52937297177395914</v>
      </c>
      <c r="M501" s="75">
        <v>6.9784861998006958E-3</v>
      </c>
      <c r="N501" s="75">
        <v>3.6297584198390617E-2</v>
      </c>
      <c r="O501" s="75">
        <v>1.6332192652241839E-2</v>
      </c>
      <c r="P501" s="75">
        <v>0.24066694423707521</v>
      </c>
      <c r="Q501" s="75">
        <v>3.4788833693648793</v>
      </c>
      <c r="R501" s="75">
        <v>2.4156139607080207</v>
      </c>
      <c r="S501" s="75">
        <v>0.15985294960000257</v>
      </c>
      <c r="T501" s="75">
        <v>10.491326530331488</v>
      </c>
      <c r="U501" s="75">
        <v>0.45109513310028043</v>
      </c>
      <c r="V501" s="75">
        <v>0.20970690931372535</v>
      </c>
      <c r="W501" s="75">
        <v>0.6592231690169269</v>
      </c>
      <c r="X501" s="254">
        <v>0.42958812531623697</v>
      </c>
      <c r="Y501" s="75">
        <v>0.76136619007418727</v>
      </c>
      <c r="Z501" s="75">
        <v>2.7385383563629825E-3</v>
      </c>
      <c r="AA501" s="75">
        <v>4.5642209614740324E-2</v>
      </c>
    </row>
    <row r="502" spans="1:27">
      <c r="A502" s="148"/>
      <c r="B502" s="54" t="s">
        <v>292</v>
      </c>
      <c r="C502" s="5" t="s">
        <v>293</v>
      </c>
      <c r="D502" s="147">
        <v>11980.470971744926</v>
      </c>
      <c r="E502" s="127">
        <v>7923.1592439862943</v>
      </c>
      <c r="F502" s="126">
        <v>26.247203753202669</v>
      </c>
      <c r="G502" s="126">
        <v>143.1283123636899</v>
      </c>
      <c r="H502" s="126">
        <v>15.907533045690975</v>
      </c>
      <c r="I502" s="75">
        <v>0.13829247281854304</v>
      </c>
      <c r="J502" s="75">
        <v>6.167594430984483</v>
      </c>
      <c r="K502" s="75">
        <v>0.12053967981516431</v>
      </c>
      <c r="L502" s="75">
        <v>0.67790643387091043</v>
      </c>
      <c r="M502" s="75">
        <v>3.6705502447014642E-2</v>
      </c>
      <c r="N502" s="75">
        <v>4.0344436608229388E-2</v>
      </c>
      <c r="O502" s="75">
        <v>2.047094882263846E-2</v>
      </c>
      <c r="P502" s="75">
        <v>0.43602722110663988</v>
      </c>
      <c r="Q502" s="75">
        <v>3.7894615317929148</v>
      </c>
      <c r="R502" s="75">
        <v>2.8360023177052818</v>
      </c>
      <c r="S502" s="75">
        <v>0.61665060394223237</v>
      </c>
      <c r="T502" s="75">
        <v>8.9565206799422725</v>
      </c>
      <c r="U502" s="75">
        <v>0.67716099675837449</v>
      </c>
      <c r="V502" s="75">
        <v>2.3959737808948608E-2</v>
      </c>
      <c r="W502" s="75">
        <v>1.1139665343957019</v>
      </c>
      <c r="X502" s="254">
        <v>0.24936919926223339</v>
      </c>
      <c r="Y502" s="75">
        <v>6.5210037993830447E-2</v>
      </c>
      <c r="Z502" s="75">
        <v>1.7296115363961725E-3</v>
      </c>
      <c r="AA502" s="75">
        <v>4.0449845409583046E-2</v>
      </c>
    </row>
    <row r="503" spans="1:27">
      <c r="A503" s="148"/>
      <c r="B503" s="54" t="s">
        <v>294</v>
      </c>
      <c r="C503" s="5" t="s">
        <v>295</v>
      </c>
      <c r="D503" s="147">
        <v>12260.326901819291</v>
      </c>
      <c r="E503" s="127">
        <v>8917.9983473151842</v>
      </c>
      <c r="F503" s="126">
        <v>18.292816074763465</v>
      </c>
      <c r="G503" s="126">
        <v>418.98787059521544</v>
      </c>
      <c r="H503" s="126">
        <v>32.59318034735378</v>
      </c>
      <c r="I503" s="75">
        <v>0.1459764980747372</v>
      </c>
      <c r="J503" s="126">
        <v>12.163765277574774</v>
      </c>
      <c r="K503" s="75">
        <v>0.20175101497096645</v>
      </c>
      <c r="L503" s="75">
        <v>0.66186822971242509</v>
      </c>
      <c r="M503" s="75">
        <v>8.9599712807838849E-2</v>
      </c>
      <c r="N503" s="75">
        <v>3.1639507442331724E-2</v>
      </c>
      <c r="O503" s="75">
        <v>2.1234209462737637E-2</v>
      </c>
      <c r="P503" s="75">
        <v>0.57985008677210892</v>
      </c>
      <c r="Q503" s="75">
        <v>4.492173457743279</v>
      </c>
      <c r="R503" s="75">
        <v>20.045986484950625</v>
      </c>
      <c r="S503" s="75">
        <v>1.1934529367141553</v>
      </c>
      <c r="T503" s="75">
        <v>19.247975937983878</v>
      </c>
      <c r="U503" s="75">
        <v>0.38940507997784196</v>
      </c>
      <c r="V503" s="75">
        <v>1.5305177116954715E-2</v>
      </c>
      <c r="W503" s="75">
        <v>1.4959575356872825</v>
      </c>
      <c r="X503" s="254">
        <v>0.53721651570149365</v>
      </c>
      <c r="Y503" s="75">
        <v>0.12369483905070416</v>
      </c>
      <c r="Z503" s="75">
        <v>2.7322434769252672E-3</v>
      </c>
      <c r="AA503" s="75">
        <v>8.4856800343359726E-2</v>
      </c>
    </row>
    <row r="504" spans="1:27">
      <c r="A504" s="148"/>
      <c r="B504" s="54" t="s">
        <v>296</v>
      </c>
      <c r="C504" s="5" t="s">
        <v>297</v>
      </c>
      <c r="D504" s="147">
        <v>13678.698484451759</v>
      </c>
      <c r="E504" s="127">
        <v>10019.112070362706</v>
      </c>
      <c r="F504" s="126">
        <v>79.723387518265085</v>
      </c>
      <c r="G504" s="126">
        <v>54.621668626127601</v>
      </c>
      <c r="H504" s="126">
        <v>36.762240456546515</v>
      </c>
      <c r="I504" s="75">
        <v>0.28176024582140352</v>
      </c>
      <c r="J504" s="75">
        <v>5.8889388978054757</v>
      </c>
      <c r="K504" s="75">
        <v>0.14603603893810588</v>
      </c>
      <c r="L504" s="75">
        <v>0.77017748401823904</v>
      </c>
      <c r="M504" s="75">
        <v>1.9796507225565273E-2</v>
      </c>
      <c r="N504" s="75">
        <v>4.2100351018944743E-2</v>
      </c>
      <c r="O504" s="75">
        <v>3.5915638315143737E-2</v>
      </c>
      <c r="P504" s="75">
        <v>1.7819034633115873</v>
      </c>
      <c r="Q504" s="75">
        <v>5.5015010846897772</v>
      </c>
      <c r="R504" s="75">
        <v>6.6941258168702298</v>
      </c>
      <c r="S504" s="75">
        <v>0.1571023969030933</v>
      </c>
      <c r="T504" s="75">
        <v>8.5381707765737165</v>
      </c>
      <c r="U504" s="75">
        <v>0.17665252262547301</v>
      </c>
      <c r="V504" s="75">
        <v>7.480974154296656E-2</v>
      </c>
      <c r="W504" s="75">
        <v>1.1059042504183056</v>
      </c>
      <c r="X504" s="254">
        <v>0.4459154568104024</v>
      </c>
      <c r="Y504" s="75">
        <v>0.17337721467929526</v>
      </c>
      <c r="Z504" s="75">
        <v>2.7326621576998439E-3</v>
      </c>
      <c r="AA504" s="75">
        <v>9.7381869747687061E-2</v>
      </c>
    </row>
    <row r="505" spans="1:27">
      <c r="A505" s="148"/>
      <c r="B505" s="54" t="s">
        <v>298</v>
      </c>
      <c r="C505" s="5" t="s">
        <v>299</v>
      </c>
      <c r="D505" s="147">
        <v>14561.691702938704</v>
      </c>
      <c r="E505" s="127">
        <v>11826.054341185076</v>
      </c>
      <c r="F505" s="126">
        <v>24.313551304691433</v>
      </c>
      <c r="G505" s="126">
        <v>61.02380453415406</v>
      </c>
      <c r="H505" s="126">
        <v>30.030953736513517</v>
      </c>
      <c r="I505" s="75">
        <v>0.17542266680618168</v>
      </c>
      <c r="J505" s="126">
        <v>17.922916096764371</v>
      </c>
      <c r="K505" s="75">
        <v>0.12528410844587812</v>
      </c>
      <c r="L505" s="75">
        <v>1.1524793390762871</v>
      </c>
      <c r="M505" s="75">
        <v>1.854409064436064E-2</v>
      </c>
      <c r="N505" s="75">
        <v>3.0105615049216421E-2</v>
      </c>
      <c r="O505" s="75">
        <v>2.3949303511076128E-2</v>
      </c>
      <c r="P505" s="75">
        <v>0.73645242231826313</v>
      </c>
      <c r="Q505" s="75">
        <v>3.5873464010215934</v>
      </c>
      <c r="R505" s="75">
        <v>8.2771413488801606</v>
      </c>
      <c r="S505" s="75">
        <v>0.14865576813762296</v>
      </c>
      <c r="T505" s="75">
        <v>23.114027776937469</v>
      </c>
      <c r="U505" s="75">
        <v>1.1820427682062593</v>
      </c>
      <c r="V505" s="75">
        <v>7.0652236136530211E-2</v>
      </c>
      <c r="W505" s="75">
        <v>0.52885137821596861</v>
      </c>
      <c r="X505" s="254">
        <v>1.0150614922529493</v>
      </c>
      <c r="Y505" s="75">
        <v>0.17794781763838985</v>
      </c>
      <c r="Z505" s="75">
        <v>1.8352593824651517E-3</v>
      </c>
      <c r="AA505" s="75">
        <v>6.6819867679042091E-2</v>
      </c>
    </row>
    <row r="506" spans="1:27">
      <c r="A506" s="148"/>
      <c r="B506" s="54" t="s">
        <v>300</v>
      </c>
      <c r="C506" s="5" t="s">
        <v>301</v>
      </c>
      <c r="D506" s="147">
        <v>15002.78463840949</v>
      </c>
      <c r="E506" s="127">
        <v>12336.336930703983</v>
      </c>
      <c r="F506" s="126">
        <v>55.383924178525419</v>
      </c>
      <c r="G506" s="126">
        <v>46.630942377834224</v>
      </c>
      <c r="H506" s="126">
        <v>37.512401141351809</v>
      </c>
      <c r="I506" s="75">
        <v>3.2815818580070176E-2</v>
      </c>
      <c r="J506" s="75">
        <v>7.3977538439120494</v>
      </c>
      <c r="K506" s="75">
        <v>0.11025399951880421</v>
      </c>
      <c r="L506" s="75">
        <v>1.3937777744351441</v>
      </c>
      <c r="M506" s="75">
        <v>5.8895919420536944E-2</v>
      </c>
      <c r="N506" s="75">
        <v>3.6443593215998042E-2</v>
      </c>
      <c r="O506" s="75">
        <v>1.3324844012460839E-2</v>
      </c>
      <c r="P506" s="75">
        <v>0.39612869846965471</v>
      </c>
      <c r="Q506" s="75">
        <v>0.93265609814331785</v>
      </c>
      <c r="R506" s="75">
        <v>6.0591952399145255</v>
      </c>
      <c r="S506" s="75">
        <v>0.23893194388731265</v>
      </c>
      <c r="T506" s="75">
        <v>5.7283260319610187</v>
      </c>
      <c r="U506" s="75">
        <v>0.22076498644010217</v>
      </c>
      <c r="V506" s="75">
        <v>9.0899351316332047E-2</v>
      </c>
      <c r="W506" s="75">
        <v>0.49497096571875032</v>
      </c>
      <c r="X506" s="254">
        <v>0.52996456741911879</v>
      </c>
      <c r="Y506" s="75">
        <v>5.3360764594699454E-2</v>
      </c>
      <c r="Z506" s="75">
        <v>1.8673253834529209E-3</v>
      </c>
      <c r="AA506" s="75">
        <v>7.455283042918287E-2</v>
      </c>
    </row>
    <row r="507" spans="1:27">
      <c r="A507" s="148"/>
      <c r="B507" s="54" t="s">
        <v>302</v>
      </c>
      <c r="C507" s="5" t="s">
        <v>303</v>
      </c>
      <c r="D507" s="147">
        <v>15118.067201191794</v>
      </c>
      <c r="E507" s="127">
        <v>12221.873194393875</v>
      </c>
      <c r="F507" s="126">
        <v>27.069241374522129</v>
      </c>
      <c r="G507" s="126">
        <v>15.971255201973058</v>
      </c>
      <c r="H507" s="126">
        <v>33.548152220322748</v>
      </c>
      <c r="I507" s="75">
        <v>3.7933790863818082E-2</v>
      </c>
      <c r="J507" s="75">
        <v>5.237631805431807</v>
      </c>
      <c r="K507" s="75">
        <v>7.4223414087413425E-2</v>
      </c>
      <c r="L507" s="75">
        <v>1.5314585256020763</v>
      </c>
      <c r="M507" s="75">
        <v>5.9644893703377014E-2</v>
      </c>
      <c r="N507" s="75">
        <v>2.8960918917178394E-2</v>
      </c>
      <c r="O507" s="75">
        <v>1.3175798600986291E-2</v>
      </c>
      <c r="P507" s="75">
        <v>0.31911812715453131</v>
      </c>
      <c r="Q507" s="75">
        <v>0.49600496936109234</v>
      </c>
      <c r="R507" s="75">
        <v>5.8551394226322673</v>
      </c>
      <c r="S507" s="75">
        <v>0.16506301645277943</v>
      </c>
      <c r="T507" s="75">
        <v>3.4501583132231408</v>
      </c>
      <c r="U507" s="75">
        <v>0.14611580052371137</v>
      </c>
      <c r="V507" s="75">
        <v>6.0272964962879989E-2</v>
      </c>
      <c r="W507" s="75">
        <v>0.75897391846510898</v>
      </c>
      <c r="X507" s="254">
        <v>0.34233178307828832</v>
      </c>
      <c r="Y507" s="75">
        <v>4.9513058660414562E-2</v>
      </c>
      <c r="Z507" s="75">
        <v>1.9528475180561851E-3</v>
      </c>
      <c r="AA507" s="75">
        <v>2.5808282334499218E-2</v>
      </c>
    </row>
    <row r="508" spans="1:27">
      <c r="A508" s="148"/>
      <c r="B508" s="54" t="s">
        <v>304</v>
      </c>
      <c r="C508" s="5" t="s">
        <v>305</v>
      </c>
      <c r="D508" s="147">
        <v>13468.410117876589</v>
      </c>
      <c r="E508" s="127">
        <v>11820.39392984907</v>
      </c>
      <c r="F508" s="126">
        <v>39.942417225536715</v>
      </c>
      <c r="G508" s="126">
        <v>38.346861747547322</v>
      </c>
      <c r="H508" s="126">
        <v>28.229813144567384</v>
      </c>
      <c r="I508" s="75">
        <v>4.0851317161503441E-2</v>
      </c>
      <c r="J508" s="75">
        <v>4.2443829517168128</v>
      </c>
      <c r="K508" s="75">
        <v>8.4270214200980534E-2</v>
      </c>
      <c r="L508" s="75">
        <v>0.97270126108221189</v>
      </c>
      <c r="M508" s="75">
        <v>2.812731684565721E-2</v>
      </c>
      <c r="N508" s="75">
        <v>2.8890368399618633E-2</v>
      </c>
      <c r="O508" s="75">
        <v>1.5045967809379437E-2</v>
      </c>
      <c r="P508" s="75">
        <v>0.26170069202782481</v>
      </c>
      <c r="Q508" s="75">
        <v>1.2341280804979027</v>
      </c>
      <c r="R508" s="75">
        <v>8.9264183332399902</v>
      </c>
      <c r="S508" s="75">
        <v>0.30279935977019901</v>
      </c>
      <c r="T508" s="75">
        <v>6.8632826894140058</v>
      </c>
      <c r="U508" s="75">
        <v>0.18462747056951659</v>
      </c>
      <c r="V508" s="75">
        <v>1.7883859488528057E-2</v>
      </c>
      <c r="W508" s="75">
        <v>0.30850669324262653</v>
      </c>
      <c r="X508" s="254">
        <v>0.14383470155579042</v>
      </c>
      <c r="Y508" s="75">
        <v>2.1654150117515709E-2</v>
      </c>
      <c r="Z508" s="75">
        <v>1.867619240613102E-3</v>
      </c>
      <c r="AA508" s="75">
        <v>3.5055947712275069E-2</v>
      </c>
    </row>
    <row r="509" spans="1:27">
      <c r="A509" s="148"/>
      <c r="B509" s="54" t="s">
        <v>306</v>
      </c>
      <c r="C509" s="5" t="s">
        <v>307</v>
      </c>
      <c r="D509" s="147">
        <v>12668.320031356259</v>
      </c>
      <c r="E509" s="127">
        <v>10299.258065093896</v>
      </c>
      <c r="F509" s="126">
        <v>42.633731960287697</v>
      </c>
      <c r="G509" s="126">
        <v>21.976120520266971</v>
      </c>
      <c r="H509" s="126">
        <v>21.808513908957149</v>
      </c>
      <c r="I509" s="75">
        <v>0.13934353056862922</v>
      </c>
      <c r="J509" s="126">
        <v>13.687670211799828</v>
      </c>
      <c r="K509" s="75">
        <v>0.11892226354420739</v>
      </c>
      <c r="L509" s="75">
        <v>0.66619873032480292</v>
      </c>
      <c r="M509" s="75">
        <v>7.8714501196812406E-2</v>
      </c>
      <c r="N509" s="75">
        <v>2.7547179305892244E-2</v>
      </c>
      <c r="O509" s="75">
        <v>2.4082906952634021E-2</v>
      </c>
      <c r="P509" s="75">
        <v>0.39970705644234367</v>
      </c>
      <c r="Q509" s="75">
        <v>5.4504190379156006</v>
      </c>
      <c r="R509" s="75">
        <v>1.2630787053541337</v>
      </c>
      <c r="S509" s="75">
        <v>0.14348956436196422</v>
      </c>
      <c r="T509" s="75">
        <v>7.7596064924008248</v>
      </c>
      <c r="U509" s="75">
        <v>0.73722744053874079</v>
      </c>
      <c r="V509" s="75">
        <v>4.3677977621415967E-2</v>
      </c>
      <c r="W509" s="75">
        <v>2.5422557866522846</v>
      </c>
      <c r="X509" s="254">
        <v>1.3701090870631667</v>
      </c>
      <c r="Y509" s="75">
        <v>0.13636487901702693</v>
      </c>
      <c r="Z509" s="75">
        <v>2.0325914011032689E-3</v>
      </c>
      <c r="AA509" s="75">
        <v>5.7098337459170624E-2</v>
      </c>
    </row>
    <row r="510" spans="1:27">
      <c r="A510" s="148"/>
      <c r="B510" s="54" t="s">
        <v>308</v>
      </c>
      <c r="C510" s="5" t="s">
        <v>309</v>
      </c>
      <c r="D510" s="147">
        <v>13502.335243679365</v>
      </c>
      <c r="E510" s="127">
        <v>11428.547268684633</v>
      </c>
      <c r="F510" s="126">
        <v>212.85956810132518</v>
      </c>
      <c r="G510" s="126">
        <v>6.4647238285405209</v>
      </c>
      <c r="H510" s="126">
        <v>22.769249830248853</v>
      </c>
      <c r="I510" s="75">
        <v>6.528719327172329E-2</v>
      </c>
      <c r="J510" s="75">
        <v>5.3479553193164824</v>
      </c>
      <c r="K510" s="75">
        <v>7.2382610832813526E-2</v>
      </c>
      <c r="L510" s="75">
        <v>1.0223187111388783</v>
      </c>
      <c r="M510" s="75">
        <v>1.3887692723061396E-2</v>
      </c>
      <c r="N510" s="75">
        <v>2.8050841160694982E-2</v>
      </c>
      <c r="O510" s="75">
        <v>1.2372222471052297E-2</v>
      </c>
      <c r="P510" s="75">
        <v>0.22410298033073606</v>
      </c>
      <c r="Q510" s="75">
        <v>0.50451591833227427</v>
      </c>
      <c r="R510" s="75">
        <v>4.4208383223151593</v>
      </c>
      <c r="S510" s="75">
        <v>0.10880853897441106</v>
      </c>
      <c r="T510" s="75">
        <v>5.4902141537322615</v>
      </c>
      <c r="U510" s="75">
        <v>0.68898917351408018</v>
      </c>
      <c r="V510" s="75">
        <v>0.10406425213492144</v>
      </c>
      <c r="W510" s="75">
        <v>0.6385519377863289</v>
      </c>
      <c r="X510" s="254">
        <v>0.90632542499713009</v>
      </c>
      <c r="Y510" s="75">
        <v>0.11099062803696651</v>
      </c>
      <c r="Z510" s="75">
        <v>1.701479236129482E-3</v>
      </c>
      <c r="AA510" s="75">
        <v>4.3019953713317328E-2</v>
      </c>
    </row>
    <row r="511" spans="1:27">
      <c r="A511" s="148"/>
      <c r="B511" s="54" t="s">
        <v>310</v>
      </c>
      <c r="C511" s="5" t="s">
        <v>311</v>
      </c>
      <c r="D511" s="147">
        <v>15626.364352619064</v>
      </c>
      <c r="E511" s="127">
        <v>11902.40131179042</v>
      </c>
      <c r="F511" s="126">
        <v>34.875108512830785</v>
      </c>
      <c r="G511" s="126">
        <v>17.685249488584901</v>
      </c>
      <c r="H511" s="126">
        <v>51.337731359168956</v>
      </c>
      <c r="I511" s="75">
        <v>4.1357262496735513E-2</v>
      </c>
      <c r="J511" s="75">
        <v>7.5430174748409184</v>
      </c>
      <c r="K511" s="75">
        <v>7.9769858017292194E-2</v>
      </c>
      <c r="L511" s="75">
        <v>1.0242483714187163</v>
      </c>
      <c r="M511" s="75">
        <v>3.8447697248079803E-2</v>
      </c>
      <c r="N511" s="75">
        <v>2.9414421538579986E-2</v>
      </c>
      <c r="O511" s="75">
        <v>1.1143379734170735E-2</v>
      </c>
      <c r="P511" s="75">
        <v>0.20637673800026118</v>
      </c>
      <c r="Q511" s="75">
        <v>0.29160150441494204</v>
      </c>
      <c r="R511" s="75">
        <v>12.195080136357362</v>
      </c>
      <c r="S511" s="75">
        <v>9.6982802431733434E-2</v>
      </c>
      <c r="T511" s="75">
        <v>3.3898529599199194</v>
      </c>
      <c r="U511" s="75">
        <v>0.12975590644505269</v>
      </c>
      <c r="V511" s="75">
        <v>6.0011721506487765E-2</v>
      </c>
      <c r="W511" s="75">
        <v>0.65807691141424329</v>
      </c>
      <c r="X511" s="254">
        <v>0.38662658830640195</v>
      </c>
      <c r="Y511" s="75">
        <v>0.33425995436739686</v>
      </c>
      <c r="Z511" s="75">
        <v>1.2360165903629093E-3</v>
      </c>
      <c r="AA511" s="75">
        <v>6.6495468759173781E-2</v>
      </c>
    </row>
    <row r="512" spans="1:27">
      <c r="A512" s="148"/>
      <c r="B512" s="54" t="s">
        <v>312</v>
      </c>
      <c r="C512" s="5" t="s">
        <v>313</v>
      </c>
      <c r="D512" s="147">
        <v>15167.360405070771</v>
      </c>
      <c r="E512" s="127">
        <v>14369.160096988928</v>
      </c>
      <c r="F512" s="126">
        <v>107.72144136752615</v>
      </c>
      <c r="G512" s="126">
        <v>5.7351606342572632</v>
      </c>
      <c r="H512" s="126">
        <v>50.976434398435607</v>
      </c>
      <c r="I512" s="75">
        <v>8.9356455884819011E-2</v>
      </c>
      <c r="J512" s="75">
        <v>7.297578607998779</v>
      </c>
      <c r="K512" s="75">
        <v>8.9337668737195952E-2</v>
      </c>
      <c r="L512" s="75">
        <v>2.0459608461192897</v>
      </c>
      <c r="M512" s="75">
        <v>6.5677624444734878E-2</v>
      </c>
      <c r="N512" s="75">
        <v>3.3023276929127751E-2</v>
      </c>
      <c r="O512" s="75">
        <v>1.4354816258527343E-2</v>
      </c>
      <c r="P512" s="75">
        <v>0.23751096505830396</v>
      </c>
      <c r="Q512" s="75">
        <v>3.1178055016684998</v>
      </c>
      <c r="R512" s="75">
        <v>14.36951579289439</v>
      </c>
      <c r="S512" s="75">
        <v>7.9192957525749827E-2</v>
      </c>
      <c r="T512" s="75">
        <v>4.4540340734633039</v>
      </c>
      <c r="U512" s="75">
        <v>2.1216049299952904E-2</v>
      </c>
      <c r="V512" s="75">
        <v>8.5396829816238792E-2</v>
      </c>
      <c r="W512" s="75">
        <v>10.832397890492276</v>
      </c>
      <c r="X512" s="254">
        <v>0.94742553745527469</v>
      </c>
      <c r="Y512" s="75">
        <v>0.91769559312569193</v>
      </c>
      <c r="Z512" s="75">
        <v>5.9881918651603239E-3</v>
      </c>
      <c r="AA512" s="75">
        <v>9.3446884779499612E-2</v>
      </c>
    </row>
    <row r="513" spans="1:27">
      <c r="A513" s="148"/>
      <c r="B513" s="54" t="s">
        <v>314</v>
      </c>
      <c r="C513" s="5" t="s">
        <v>315</v>
      </c>
      <c r="D513" s="147">
        <v>13241.11939551973</v>
      </c>
      <c r="E513" s="127">
        <v>10580.280785742965</v>
      </c>
      <c r="F513" s="126">
        <v>72.236678803810435</v>
      </c>
      <c r="G513" s="126">
        <v>110.5370396293425</v>
      </c>
      <c r="H513" s="126">
        <v>54.220536323000807</v>
      </c>
      <c r="I513" s="75">
        <v>9.8825311676553257E-2</v>
      </c>
      <c r="J513" s="75">
        <v>6.3416964472163775</v>
      </c>
      <c r="K513" s="75">
        <v>0.11718427484206434</v>
      </c>
      <c r="L513" s="75">
        <v>1.1502010779690854</v>
      </c>
      <c r="M513" s="75">
        <v>3.8690734191471531E-2</v>
      </c>
      <c r="N513" s="75">
        <v>3.0819502848142277E-2</v>
      </c>
      <c r="O513" s="75">
        <v>1.9367571440549517E-2</v>
      </c>
      <c r="P513" s="75">
        <v>0.53826797831632034</v>
      </c>
      <c r="Q513" s="75">
        <v>4.3965775593039833</v>
      </c>
      <c r="R513" s="75">
        <v>11.226694445998284</v>
      </c>
      <c r="S513" s="75">
        <v>0.23461623363453432</v>
      </c>
      <c r="T513" s="75">
        <v>5.5689770396439986</v>
      </c>
      <c r="U513" s="75">
        <v>0.39681376430654058</v>
      </c>
      <c r="V513" s="75">
        <v>5.2888326897519815E-2</v>
      </c>
      <c r="W513" s="75">
        <v>3.5732420259591691</v>
      </c>
      <c r="X513" s="254">
        <v>0.44438269589591484</v>
      </c>
      <c r="Y513" s="75">
        <v>2.3194423697904105E-2</v>
      </c>
      <c r="Z513" s="75">
        <v>3.6952593926697364E-3</v>
      </c>
      <c r="AA513" s="75">
        <v>7.0199792026406874E-2</v>
      </c>
    </row>
    <row r="514" spans="1:27">
      <c r="A514" s="148"/>
      <c r="B514" s="54" t="s">
        <v>316</v>
      </c>
      <c r="C514" s="5" t="s">
        <v>317</v>
      </c>
      <c r="D514" s="147">
        <v>18909.261358001608</v>
      </c>
      <c r="E514" s="127">
        <v>15935.256082235323</v>
      </c>
      <c r="F514" s="126">
        <v>299.0247928611077</v>
      </c>
      <c r="G514" s="126">
        <v>64.268126029444218</v>
      </c>
      <c r="H514" s="126">
        <v>62.111867820418837</v>
      </c>
      <c r="I514" s="75">
        <v>6.5645741320568579E-2</v>
      </c>
      <c r="J514" s="126">
        <v>31.696140756593618</v>
      </c>
      <c r="K514" s="75">
        <v>0.2890760674977782</v>
      </c>
      <c r="L514" s="75">
        <v>2.7571052764508619</v>
      </c>
      <c r="M514" s="75">
        <v>0.16041383374678708</v>
      </c>
      <c r="N514" s="75">
        <v>3.8736939620550706E-2</v>
      </c>
      <c r="O514" s="75">
        <v>1.5583279277848498E-2</v>
      </c>
      <c r="P514" s="75">
        <v>0.30430544198699538</v>
      </c>
      <c r="Q514" s="75">
        <v>0.2969217622873711</v>
      </c>
      <c r="R514" s="75">
        <v>24.579719427526424</v>
      </c>
      <c r="S514" s="75">
        <v>0.79209316437257438</v>
      </c>
      <c r="T514" s="75">
        <v>9.2728384263567332</v>
      </c>
      <c r="U514" s="75">
        <v>8.69577605908715E-2</v>
      </c>
      <c r="V514" s="75">
        <v>0.19835433254444571</v>
      </c>
      <c r="W514" s="75">
        <v>3.6446428472681029</v>
      </c>
      <c r="X514" s="254">
        <v>2.8204674027919632</v>
      </c>
      <c r="Y514" s="75">
        <v>5.3841694752749213E-2</v>
      </c>
      <c r="Z514" s="75">
        <v>2.5885579064430344E-3</v>
      </c>
      <c r="AA514" s="75">
        <v>6.1790988256052316E-2</v>
      </c>
    </row>
    <row r="515" spans="1:27">
      <c r="A515" s="148"/>
      <c r="B515" s="54" t="s">
        <v>318</v>
      </c>
      <c r="C515" s="5" t="s">
        <v>319</v>
      </c>
      <c r="D515" s="147">
        <v>19949.146073782478</v>
      </c>
      <c r="E515" s="127">
        <v>15105.568830707402</v>
      </c>
      <c r="F515" s="126">
        <v>240.62669858480552</v>
      </c>
      <c r="G515" s="126">
        <v>48.562365171192539</v>
      </c>
      <c r="H515" s="126">
        <v>95.758400393846173</v>
      </c>
      <c r="I515" s="82">
        <v>0.25980487073959552</v>
      </c>
      <c r="J515" s="82">
        <v>9.3448623756738218</v>
      </c>
      <c r="K515" s="82">
        <v>0.16467882608483686</v>
      </c>
      <c r="L515" s="82">
        <v>1.8203307387234764</v>
      </c>
      <c r="M515" s="82">
        <v>3.0303618618515021E-2</v>
      </c>
      <c r="N515" s="82">
        <v>6.1458746650177129E-2</v>
      </c>
      <c r="O515" s="82">
        <v>6.8577692935399365E-2</v>
      </c>
      <c r="P515" s="82">
        <v>6.400787587369388</v>
      </c>
      <c r="Q515" s="82">
        <v>37.857652398976363</v>
      </c>
      <c r="R515" s="82">
        <v>34.068019785517002</v>
      </c>
      <c r="S515" s="82">
        <v>0.28795560756411592</v>
      </c>
      <c r="T515" s="82">
        <v>18.094382448688904</v>
      </c>
      <c r="U515" s="82">
        <v>0.70861465371085863</v>
      </c>
      <c r="V515" s="82">
        <v>0.30771749743709881</v>
      </c>
      <c r="W515" s="82">
        <v>4.5333266482382877</v>
      </c>
      <c r="X515" s="146">
        <v>0.22819814997169377</v>
      </c>
      <c r="Y515" s="82">
        <v>0.85144865711309481</v>
      </c>
      <c r="Z515" s="82">
        <v>2.5487704974963962E-3</v>
      </c>
      <c r="AA515" s="82">
        <v>0</v>
      </c>
    </row>
    <row r="516" spans="1:27">
      <c r="A516" s="148"/>
      <c r="B516" s="54" t="s">
        <v>320</v>
      </c>
      <c r="C516" s="5" t="s">
        <v>321</v>
      </c>
      <c r="D516" s="147">
        <v>9103.0899964485398</v>
      </c>
      <c r="E516" s="127">
        <v>11282.271033129879</v>
      </c>
      <c r="F516" s="126">
        <v>221.24571457572316</v>
      </c>
      <c r="G516" s="126">
        <v>51.654854611919177</v>
      </c>
      <c r="H516" s="126">
        <v>23.611419732310047</v>
      </c>
      <c r="I516" s="82">
        <v>0.19415052444364758</v>
      </c>
      <c r="J516" s="82">
        <v>4.6063119355383098</v>
      </c>
      <c r="K516" s="82">
        <v>9.7879990202978273E-2</v>
      </c>
      <c r="L516" s="82">
        <v>0.45354421918544613</v>
      </c>
      <c r="M516" s="82">
        <v>1.2819852127032495E-2</v>
      </c>
      <c r="N516" s="82">
        <v>4.5024750249955961E-2</v>
      </c>
      <c r="O516" s="82">
        <v>3.7634385891917026E-2</v>
      </c>
      <c r="P516" s="82">
        <v>1.4185006783415737</v>
      </c>
      <c r="Q516" s="82">
        <v>7.5427340035596879</v>
      </c>
      <c r="R516" s="82">
        <v>3.6730224326468739</v>
      </c>
      <c r="S516" s="82">
        <v>0.20012722790987789</v>
      </c>
      <c r="T516" s="82">
        <v>4.462770436227002</v>
      </c>
      <c r="U516" s="82">
        <v>0.48520629618587324</v>
      </c>
      <c r="V516" s="82">
        <v>6.3100493166664065E-2</v>
      </c>
      <c r="W516" s="82">
        <v>0.68591327615637987</v>
      </c>
      <c r="X516" s="146">
        <v>9.3485032542864013E-2</v>
      </c>
      <c r="Y516" s="82">
        <v>0.10927569665003821</v>
      </c>
      <c r="Z516" s="82">
        <v>2.5907448757277029E-3</v>
      </c>
      <c r="AA516" s="82">
        <v>3.3482180429554462E-2</v>
      </c>
    </row>
    <row r="517" spans="1:27">
      <c r="A517" s="148"/>
      <c r="B517" s="54" t="s">
        <v>322</v>
      </c>
      <c r="C517" s="5" t="s">
        <v>323</v>
      </c>
      <c r="D517" s="147">
        <v>10893.996120460986</v>
      </c>
      <c r="E517" s="127">
        <v>9722.0411292625686</v>
      </c>
      <c r="F517" s="126">
        <v>32.003761216129853</v>
      </c>
      <c r="G517" s="126">
        <v>119.96450130541314</v>
      </c>
      <c r="H517" s="126">
        <v>21.146163095777087</v>
      </c>
      <c r="I517" s="82">
        <v>0.12063857562218026</v>
      </c>
      <c r="J517" s="126">
        <v>10.151614248869084</v>
      </c>
      <c r="K517" s="82">
        <v>7.1418963727214332E-2</v>
      </c>
      <c r="L517" s="82">
        <v>0.25748791078562827</v>
      </c>
      <c r="M517" s="82">
        <v>7.7884979749090442E-3</v>
      </c>
      <c r="N517" s="82">
        <v>3.6228662982559202E-2</v>
      </c>
      <c r="O517" s="82">
        <v>2.5824608994554413E-2</v>
      </c>
      <c r="P517" s="82">
        <v>1.0655746865977729</v>
      </c>
      <c r="Q517" s="82">
        <v>3.9835486215246396</v>
      </c>
      <c r="R517" s="82">
        <v>21.969153586303065</v>
      </c>
      <c r="S517" s="82">
        <v>0.14808901358368504</v>
      </c>
      <c r="T517" s="82">
        <v>16.905978902259875</v>
      </c>
      <c r="U517" s="82">
        <v>2.7511514259963992</v>
      </c>
      <c r="V517" s="82">
        <v>1.8424239297184928E-2</v>
      </c>
      <c r="W517" s="82">
        <v>1.1423974010482087</v>
      </c>
      <c r="X517" s="146">
        <v>7.4607864187283601E-2</v>
      </c>
      <c r="Y517" s="82">
        <v>1.5684597539152589E-2</v>
      </c>
      <c r="Z517" s="82">
        <v>2.2322837931570932E-3</v>
      </c>
      <c r="AA517" s="82">
        <v>3.0564429482026569E-2</v>
      </c>
    </row>
    <row r="518" spans="1:27">
      <c r="A518" s="148"/>
      <c r="B518" s="54" t="s">
        <v>324</v>
      </c>
      <c r="C518" s="5" t="s">
        <v>325</v>
      </c>
      <c r="D518" s="147">
        <v>9391.8734888134077</v>
      </c>
      <c r="E518" s="127">
        <v>8518.1214385344047</v>
      </c>
      <c r="F518" s="126">
        <v>42.787475758340015</v>
      </c>
      <c r="G518" s="126">
        <v>82.679440987534434</v>
      </c>
      <c r="H518" s="126">
        <v>12.352918428596361</v>
      </c>
      <c r="I518" s="82">
        <v>0.16113400277515541</v>
      </c>
      <c r="J518" s="82">
        <v>7.077172952839657</v>
      </c>
      <c r="K518" s="82">
        <v>6.6109648698723433E-2</v>
      </c>
      <c r="L518" s="82">
        <v>0.41851118013256439</v>
      </c>
      <c r="M518" s="82">
        <v>2.180710101134406E-2</v>
      </c>
      <c r="N518" s="82">
        <v>4.7484262979592226E-2</v>
      </c>
      <c r="O518" s="82">
        <v>3.124335916108708E-2</v>
      </c>
      <c r="P518" s="82">
        <v>0.71293375181118768</v>
      </c>
      <c r="Q518" s="82">
        <v>1.9750908158625271</v>
      </c>
      <c r="R518" s="82">
        <v>12.53222291810218</v>
      </c>
      <c r="S518" s="82">
        <v>0.21415946498272601</v>
      </c>
      <c r="T518" s="82">
        <v>16.209317647848231</v>
      </c>
      <c r="U518" s="82">
        <v>1.7245195366107782</v>
      </c>
      <c r="V518" s="82">
        <v>2.5233521086878517E-2</v>
      </c>
      <c r="W518" s="82">
        <v>4.0360694437373388</v>
      </c>
      <c r="X518" s="146">
        <v>6.9736029123898133E-2</v>
      </c>
      <c r="Y518" s="82">
        <v>8.9531959382981849E-2</v>
      </c>
      <c r="Z518" s="82">
        <v>2.9665174095015252E-3</v>
      </c>
      <c r="AA518" s="82">
        <v>0</v>
      </c>
    </row>
    <row r="519" spans="1:27">
      <c r="A519" s="148"/>
      <c r="B519" s="54" t="s">
        <v>326</v>
      </c>
      <c r="C519" s="5" t="s">
        <v>327</v>
      </c>
      <c r="D519" s="147">
        <v>13115.129222186577</v>
      </c>
      <c r="E519" s="127">
        <v>14471.78033168229</v>
      </c>
      <c r="F519" s="126">
        <v>23.569872712623745</v>
      </c>
      <c r="G519" s="126">
        <v>80.253240021566214</v>
      </c>
      <c r="H519" s="126">
        <v>4.8304466982714391</v>
      </c>
      <c r="I519" s="82">
        <v>8.9318827425457006E-2</v>
      </c>
      <c r="J519" s="126">
        <v>11.798152612490746</v>
      </c>
      <c r="K519" s="82">
        <v>0.12184964556183313</v>
      </c>
      <c r="L519" s="82">
        <v>0.459938653018101</v>
      </c>
      <c r="M519" s="82">
        <v>1.2412385356249792E-2</v>
      </c>
      <c r="N519" s="82">
        <v>4.7258707817094257E-2</v>
      </c>
      <c r="O519" s="82">
        <v>2.3937708092268185E-2</v>
      </c>
      <c r="P519" s="82">
        <v>2.9665444302298951</v>
      </c>
      <c r="Q519" s="82">
        <v>5.4895744890346148</v>
      </c>
      <c r="R519" s="82">
        <v>15.135754840002372</v>
      </c>
      <c r="S519" s="82">
        <v>0.32337671402167018</v>
      </c>
      <c r="T519" s="82">
        <v>30.163919764815994</v>
      </c>
      <c r="U519" s="82">
        <v>0.25480497866965213</v>
      </c>
      <c r="V519" s="82">
        <v>1.6819608975552042E-2</v>
      </c>
      <c r="W519" s="82">
        <v>0.42710014604028784</v>
      </c>
      <c r="X519" s="146">
        <v>0.12203454748849206</v>
      </c>
      <c r="Y519" s="82">
        <v>1.2243889975261673E-2</v>
      </c>
      <c r="Z519" s="82">
        <v>2.7793154811849865E-3</v>
      </c>
      <c r="AA519" s="82">
        <v>7.3271000281876358E-2</v>
      </c>
    </row>
    <row r="520" spans="1:27">
      <c r="A520" s="148"/>
      <c r="B520" s="54" t="s">
        <v>328</v>
      </c>
      <c r="C520" s="5" t="s">
        <v>329</v>
      </c>
      <c r="D520" s="147">
        <v>15074.900733322233</v>
      </c>
      <c r="E520" s="127">
        <v>17930.680035423065</v>
      </c>
      <c r="F520" s="126">
        <v>38.782133801057114</v>
      </c>
      <c r="G520" s="126">
        <v>50.748905089884545</v>
      </c>
      <c r="H520" s="126">
        <v>40.197337954230647</v>
      </c>
      <c r="I520" s="82">
        <v>0.2744004048567249</v>
      </c>
      <c r="J520" s="82">
        <v>5.5000378431747929</v>
      </c>
      <c r="K520" s="82">
        <v>0.10684838271263575</v>
      </c>
      <c r="L520" s="82">
        <v>0.58150340143534374</v>
      </c>
      <c r="M520" s="82">
        <v>1.6113082901553246E-2</v>
      </c>
      <c r="N520" s="82">
        <v>5.5619995183476739E-2</v>
      </c>
      <c r="O520" s="82">
        <v>4.2873294385069018E-2</v>
      </c>
      <c r="P520" s="82">
        <v>1.8882111956176919</v>
      </c>
      <c r="Q520" s="82">
        <v>23.08972274203181</v>
      </c>
      <c r="R520" s="82">
        <v>2.2256456824508937</v>
      </c>
      <c r="S520" s="82">
        <v>0.18898675948777935</v>
      </c>
      <c r="T520" s="82">
        <v>9.2022758366793695</v>
      </c>
      <c r="U520" s="82">
        <v>0.38668381032794313</v>
      </c>
      <c r="V520" s="82">
        <v>3.9263776354771275E-2</v>
      </c>
      <c r="W520" s="82">
        <v>2.1663142425375468</v>
      </c>
      <c r="X520" s="146">
        <v>0.17073141037236528</v>
      </c>
      <c r="Y520" s="82">
        <v>0.1121859260965453</v>
      </c>
      <c r="Z520" s="82">
        <v>2.7078161713257284E-3</v>
      </c>
      <c r="AA520" s="82">
        <v>7.5410609615551433E-2</v>
      </c>
    </row>
    <row r="521" spans="1:27">
      <c r="A521" s="148"/>
      <c r="B521" s="54" t="s">
        <v>330</v>
      </c>
      <c r="C521" s="5" t="s">
        <v>331</v>
      </c>
      <c r="D521" s="147">
        <v>26371.353469740436</v>
      </c>
      <c r="E521" s="127">
        <v>14959.221722530714</v>
      </c>
      <c r="F521" s="126">
        <v>327.82862425784231</v>
      </c>
      <c r="G521" s="126">
        <v>289.00759290135522</v>
      </c>
      <c r="H521" s="126">
        <v>30.598268345838758</v>
      </c>
      <c r="I521" s="82">
        <v>0.30988914113918165</v>
      </c>
      <c r="J521" s="126">
        <v>16.543973833869703</v>
      </c>
      <c r="K521" s="82">
        <v>0.22561869446930355</v>
      </c>
      <c r="L521" s="82">
        <v>0.91997320758336854</v>
      </c>
      <c r="M521" s="82">
        <v>6.1209359556264435E-2</v>
      </c>
      <c r="N521" s="82">
        <v>7.4099679054612927E-2</v>
      </c>
      <c r="O521" s="82">
        <v>4.897790017792384E-2</v>
      </c>
      <c r="P521" s="82">
        <v>2.4674216062914582</v>
      </c>
      <c r="Q521" s="82">
        <v>22.6213037211221</v>
      </c>
      <c r="R521" s="82">
        <v>18.195867643940687</v>
      </c>
      <c r="S521" s="82">
        <v>0.46718625537063646</v>
      </c>
      <c r="T521" s="82">
        <v>32.72618564769158</v>
      </c>
      <c r="U521" s="82">
        <v>1.8063325962601158</v>
      </c>
      <c r="V521" s="82">
        <v>0.11880468390248375</v>
      </c>
      <c r="W521" s="82">
        <v>3.1629111549337869</v>
      </c>
      <c r="X521" s="146">
        <v>0.28193090329045806</v>
      </c>
      <c r="Y521" s="82">
        <v>2.51979697791701</v>
      </c>
      <c r="Z521" s="82">
        <v>5.1795310059764921E-3</v>
      </c>
      <c r="AA521" s="82">
        <v>9.9263465590746836E-2</v>
      </c>
    </row>
    <row r="522" spans="1:27">
      <c r="A522" s="148"/>
      <c r="B522" s="54" t="s">
        <v>332</v>
      </c>
      <c r="C522" s="5" t="s">
        <v>333</v>
      </c>
      <c r="D522" s="147">
        <v>13404.985660941647</v>
      </c>
      <c r="E522" s="127">
        <v>12784.64559472371</v>
      </c>
      <c r="F522" s="126">
        <v>122.56979389808114</v>
      </c>
      <c r="G522" s="126">
        <v>145.16088433599879</v>
      </c>
      <c r="H522" s="126">
        <v>48.571109632618771</v>
      </c>
      <c r="I522" s="82">
        <v>0.22965940943516155</v>
      </c>
      <c r="J522" s="82">
        <v>8.7805888259390308</v>
      </c>
      <c r="K522" s="82">
        <v>0.14648917459824742</v>
      </c>
      <c r="L522" s="82">
        <v>0.78902962578747349</v>
      </c>
      <c r="M522" s="82">
        <v>3.2714420635321297E-2</v>
      </c>
      <c r="N522" s="82">
        <v>6.7212442526552993E-2</v>
      </c>
      <c r="O522" s="82">
        <v>4.5287381088903754E-2</v>
      </c>
      <c r="P522" s="82">
        <v>2.5939295642465972</v>
      </c>
      <c r="Q522" s="82">
        <v>14.550549738094329</v>
      </c>
      <c r="R522" s="82">
        <v>39.662316013445519</v>
      </c>
      <c r="S522" s="82">
        <v>0.33880230600314781</v>
      </c>
      <c r="T522" s="82">
        <v>16.094746702956574</v>
      </c>
      <c r="U522" s="82">
        <v>0.70535635234772576</v>
      </c>
      <c r="V522" s="82">
        <v>2.5624083793848857E-2</v>
      </c>
      <c r="W522" s="82">
        <v>3.1856868875101818</v>
      </c>
      <c r="X522" s="146">
        <v>0.21690726478931688</v>
      </c>
      <c r="Y522" s="82">
        <v>9.6602406907634053E-2</v>
      </c>
      <c r="Z522" s="82">
        <v>5.6143793414464441E-3</v>
      </c>
      <c r="AA522" s="82">
        <v>8.9718448580885554E-2</v>
      </c>
    </row>
    <row r="523" spans="1:27">
      <c r="A523" s="156" t="s">
        <v>334</v>
      </c>
      <c r="B523" s="54"/>
      <c r="C523" s="54"/>
      <c r="D523" s="259"/>
      <c r="E523" s="259"/>
      <c r="F523" s="268"/>
      <c r="G523" s="268"/>
      <c r="H523" s="268"/>
      <c r="I523" s="259"/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59"/>
      <c r="V523" s="259"/>
      <c r="W523" s="259"/>
      <c r="X523" s="259"/>
      <c r="Y523" s="259"/>
      <c r="Z523" s="259"/>
      <c r="AA523" s="259"/>
    </row>
    <row r="524" spans="1:27" s="255" customFormat="1">
      <c r="A524" s="148"/>
      <c r="B524" s="148" t="s">
        <v>335</v>
      </c>
      <c r="C524" s="255" t="s">
        <v>336</v>
      </c>
      <c r="D524" s="248">
        <v>20025.243314308711</v>
      </c>
      <c r="E524" s="248">
        <v>15751.717002656645</v>
      </c>
      <c r="F524" s="216">
        <v>154.55767498838864</v>
      </c>
      <c r="G524" s="216">
        <v>46.880083335416955</v>
      </c>
      <c r="H524" s="216">
        <v>329.06543236348546</v>
      </c>
      <c r="I524" s="250">
        <v>7.4481929632299049E-2</v>
      </c>
      <c r="J524" s="251">
        <v>83.933525977290529</v>
      </c>
      <c r="K524" s="249">
        <v>1.5115263394224669</v>
      </c>
      <c r="L524" s="249">
        <v>1.9857439980503042</v>
      </c>
      <c r="M524" s="249">
        <v>1.9153436782712727E-2</v>
      </c>
      <c r="N524" s="249">
        <v>2.4284500634277211E-2</v>
      </c>
      <c r="O524" s="249">
        <v>8.0907228682333368E-2</v>
      </c>
      <c r="P524" s="249">
        <v>1.0851417477043435</v>
      </c>
      <c r="Q524" s="249">
        <v>0.64445564169984793</v>
      </c>
      <c r="R524" s="249">
        <v>20.711208284236665</v>
      </c>
      <c r="S524" s="249">
        <v>0.11495323455082954</v>
      </c>
      <c r="T524" s="249">
        <v>23.001236276816964</v>
      </c>
      <c r="U524" s="249">
        <v>6.0934129686959972E-2</v>
      </c>
      <c r="V524" s="249">
        <v>2.2370684295145812E-2</v>
      </c>
      <c r="W524" s="249">
        <v>0.3423517437950454</v>
      </c>
      <c r="X524" s="249">
        <v>1.2175018846038048</v>
      </c>
      <c r="Y524" s="249">
        <v>2.0640718743500725E-2</v>
      </c>
      <c r="Z524" s="249">
        <v>1.5560957427191633E-3</v>
      </c>
      <c r="AA524" s="249">
        <v>1.0609363235601505E-2</v>
      </c>
    </row>
    <row r="525" spans="1:27" s="255" customFormat="1">
      <c r="A525" s="148"/>
      <c r="B525" s="148" t="s">
        <v>337</v>
      </c>
      <c r="C525" s="255" t="s">
        <v>338</v>
      </c>
      <c r="D525" s="248">
        <v>20070.422389776602</v>
      </c>
      <c r="E525" s="248">
        <v>13344.451154023413</v>
      </c>
      <c r="F525" s="216">
        <v>136.02213441423754</v>
      </c>
      <c r="G525" s="216">
        <v>4.222032593311785</v>
      </c>
      <c r="H525" s="216">
        <v>341.82510246551118</v>
      </c>
      <c r="I525" s="250">
        <v>0.13568408131923168</v>
      </c>
      <c r="J525" s="249">
        <v>6.1681249561941867</v>
      </c>
      <c r="K525" s="249">
        <v>0.37961349463287569</v>
      </c>
      <c r="L525" s="249">
        <v>1.4833557028613131</v>
      </c>
      <c r="M525" s="249">
        <v>6.469084275158128E-3</v>
      </c>
      <c r="N525" s="249">
        <v>2.5188289096438408E-2</v>
      </c>
      <c r="O525" s="249">
        <v>6.1812786979528876E-2</v>
      </c>
      <c r="P525" s="249">
        <v>3.3735292671295229</v>
      </c>
      <c r="Q525" s="249">
        <v>1.156138493758778</v>
      </c>
      <c r="R525" s="249">
        <v>1.7380193178274481</v>
      </c>
      <c r="S525" s="249">
        <v>0.11548058432824311</v>
      </c>
      <c r="T525" s="249">
        <v>4.3469499543400651</v>
      </c>
      <c r="U525" s="249">
        <v>2.3711023505557833E-2</v>
      </c>
      <c r="V525" s="249">
        <v>4.9965591112468517E-2</v>
      </c>
      <c r="W525" s="249">
        <v>1.4519174325194031</v>
      </c>
      <c r="X525" s="249">
        <v>7.249240883598955E-2</v>
      </c>
      <c r="Y525" s="249">
        <v>1.6764850624384597</v>
      </c>
      <c r="Z525" s="249">
        <v>1.2747765879608359E-3</v>
      </c>
      <c r="AA525" s="249">
        <v>1.5308987008030114E-2</v>
      </c>
    </row>
    <row r="526" spans="1:27" s="255" customFormat="1">
      <c r="A526" s="148"/>
      <c r="B526" s="148" t="s">
        <v>339</v>
      </c>
      <c r="C526" s="255" t="s">
        <v>340</v>
      </c>
      <c r="D526" s="248">
        <v>13728.685369174793</v>
      </c>
      <c r="E526" s="248">
        <v>9351.8305562123005</v>
      </c>
      <c r="F526" s="216">
        <v>119.82917987662981</v>
      </c>
      <c r="G526" s="216">
        <v>12.323859808486464</v>
      </c>
      <c r="H526" s="216">
        <v>215.7658693806662</v>
      </c>
      <c r="I526" s="250">
        <v>0.10197041310615847</v>
      </c>
      <c r="J526" s="249">
        <v>4.3840837065784557</v>
      </c>
      <c r="K526" s="249">
        <v>0.3967091451342144</v>
      </c>
      <c r="L526" s="249">
        <v>1.1100114456238717</v>
      </c>
      <c r="M526" s="249">
        <v>7.8149714992266587E-3</v>
      </c>
      <c r="N526" s="249">
        <v>2.2227045601718069E-2</v>
      </c>
      <c r="O526" s="249">
        <v>4.3338466083979482E-2</v>
      </c>
      <c r="P526" s="249">
        <v>2.0388004690515111</v>
      </c>
      <c r="Q526" s="249">
        <v>1.6227688147366237</v>
      </c>
      <c r="R526" s="249">
        <v>1.1862122261985808</v>
      </c>
      <c r="S526" s="249">
        <v>9.0727998269912236E-2</v>
      </c>
      <c r="T526" s="249">
        <v>3.0566084611723592</v>
      </c>
      <c r="U526" s="249">
        <v>1.4954768511575003E-2</v>
      </c>
      <c r="V526" s="249">
        <v>5.1176215513133574E-2</v>
      </c>
      <c r="W526" s="249">
        <v>1.2851481650734931</v>
      </c>
      <c r="X526" s="249">
        <v>3.6125657066517776E-2</v>
      </c>
      <c r="Y526" s="249">
        <v>6.7874319775465759</v>
      </c>
      <c r="Z526" s="249">
        <v>1.3339023785253099E-3</v>
      </c>
      <c r="AA526" s="249">
        <v>2.5011322562615294E-2</v>
      </c>
    </row>
    <row r="527" spans="1:27" s="255" customFormat="1">
      <c r="A527" s="148"/>
      <c r="B527" s="148" t="s">
        <v>341</v>
      </c>
      <c r="C527" s="255" t="s">
        <v>342</v>
      </c>
      <c r="D527" s="248">
        <v>13055.88039053942</v>
      </c>
      <c r="E527" s="248">
        <v>10428.923206194722</v>
      </c>
      <c r="F527" s="216">
        <v>80.894229584864505</v>
      </c>
      <c r="G527" s="216">
        <v>15.090826737370222</v>
      </c>
      <c r="H527" s="216">
        <v>161.5412418388332</v>
      </c>
      <c r="I527" s="250">
        <v>5.4983914870199727E-2</v>
      </c>
      <c r="J527" s="251">
        <v>51.922224036614352</v>
      </c>
      <c r="K527" s="249">
        <v>1.2039086147665483</v>
      </c>
      <c r="L527" s="249">
        <v>1.0624698976403886</v>
      </c>
      <c r="M527" s="249">
        <v>9.6169964541298527E-3</v>
      </c>
      <c r="N527" s="249">
        <v>1.9844569627142178E-2</v>
      </c>
      <c r="O527" s="249">
        <v>6.3602645495318785E-2</v>
      </c>
      <c r="P527" s="249">
        <v>0.81268576902762268</v>
      </c>
      <c r="Q527" s="249">
        <v>1.7819751221697571</v>
      </c>
      <c r="R527" s="249">
        <v>0.75782182667422393</v>
      </c>
      <c r="S527" s="249">
        <v>0.10514954307508999</v>
      </c>
      <c r="T527" s="249">
        <v>12.93153145552164</v>
      </c>
      <c r="U527" s="249">
        <v>1.3289227067227278E-2</v>
      </c>
      <c r="V527" s="249">
        <v>1.6305986238829E-2</v>
      </c>
      <c r="W527" s="249">
        <v>0.67858073038961375</v>
      </c>
      <c r="X527" s="249">
        <v>3.2269758519795765E-2</v>
      </c>
      <c r="Y527" s="249">
        <v>3.2115387470793906E-2</v>
      </c>
      <c r="Z527" s="249">
        <v>1.2674363284734802E-3</v>
      </c>
      <c r="AA527" s="249">
        <v>9.7997033575856086E-3</v>
      </c>
    </row>
    <row r="528" spans="1:27" s="255" customFormat="1">
      <c r="A528" s="148"/>
      <c r="B528" s="148" t="s">
        <v>343</v>
      </c>
      <c r="C528" s="255" t="s">
        <v>344</v>
      </c>
      <c r="D528" s="248">
        <v>13172.624778976224</v>
      </c>
      <c r="E528" s="248">
        <v>12805.396010632177</v>
      </c>
      <c r="F528" s="216">
        <v>373.00351190372669</v>
      </c>
      <c r="G528" s="216">
        <v>120.1225090373741</v>
      </c>
      <c r="H528" s="216">
        <v>155.9215614933243</v>
      </c>
      <c r="I528" s="250">
        <v>0.64704148165269015</v>
      </c>
      <c r="J528" s="249">
        <v>5.8180533286894995</v>
      </c>
      <c r="K528" s="249">
        <v>0.37662901111800218</v>
      </c>
      <c r="L528" s="249">
        <v>1.3134469515327054</v>
      </c>
      <c r="M528" s="249">
        <v>0.11362873881369384</v>
      </c>
      <c r="N528" s="249">
        <v>3.9526789716623968E-2</v>
      </c>
      <c r="O528" s="249">
        <v>2.4276197307928984E-2</v>
      </c>
      <c r="P528" s="249">
        <v>2.2865285815895193</v>
      </c>
      <c r="Q528" s="249">
        <v>10.76543546179613</v>
      </c>
      <c r="R528" s="249">
        <v>1.8342531777974052</v>
      </c>
      <c r="S528" s="249">
        <v>0.25449835768902673</v>
      </c>
      <c r="T528" s="249">
        <v>3.721919212078896</v>
      </c>
      <c r="U528" s="249">
        <v>7.1338966602214504E-2</v>
      </c>
      <c r="V528" s="249">
        <v>0.11324713304252644</v>
      </c>
      <c r="W528" s="249">
        <v>2.5046535664743814</v>
      </c>
      <c r="X528" s="249">
        <v>0.64791815800116537</v>
      </c>
      <c r="Y528" s="249">
        <v>2.3701916861099179</v>
      </c>
      <c r="Z528" s="249">
        <v>3.3658119530314769E-3</v>
      </c>
      <c r="AA528" s="249">
        <v>4.0867850743878088E-2</v>
      </c>
    </row>
    <row r="529" spans="1:27" s="255" customFormat="1">
      <c r="A529" s="148"/>
      <c r="B529" s="148" t="s">
        <v>345</v>
      </c>
      <c r="C529" s="255" t="s">
        <v>346</v>
      </c>
      <c r="D529" s="248">
        <v>18176.033383251513</v>
      </c>
      <c r="E529" s="248">
        <v>11579.677497291326</v>
      </c>
      <c r="F529" s="216">
        <v>94.143719254860315</v>
      </c>
      <c r="G529" s="216">
        <v>277.67605646151048</v>
      </c>
      <c r="H529" s="216">
        <v>320.62515928784433</v>
      </c>
      <c r="I529" s="250">
        <v>8.2037289456931631E-2</v>
      </c>
      <c r="J529" s="249">
        <v>8.0028404117643639</v>
      </c>
      <c r="K529" s="249">
        <v>0.31419971954519105</v>
      </c>
      <c r="L529" s="249">
        <v>0.62851051938146119</v>
      </c>
      <c r="M529" s="249">
        <v>1.4175286598579211E-2</v>
      </c>
      <c r="N529" s="249">
        <v>4.1167073710114833E-2</v>
      </c>
      <c r="O529" s="249">
        <v>3.744661934214169E-2</v>
      </c>
      <c r="P529" s="249">
        <v>1.3820467306540842</v>
      </c>
      <c r="Q529" s="249">
        <v>0.69878194828507201</v>
      </c>
      <c r="R529" s="249">
        <v>2.1301022786589257</v>
      </c>
      <c r="S529" s="249">
        <v>0.40734757124983689</v>
      </c>
      <c r="T529" s="249">
        <v>10.34845147411243</v>
      </c>
      <c r="U529" s="249">
        <v>0.58904585991105851</v>
      </c>
      <c r="V529" s="249">
        <v>2.8597428398169922E-2</v>
      </c>
      <c r="W529" s="249">
        <v>0.41572704494038915</v>
      </c>
      <c r="X529" s="249">
        <v>8.4967451733808264E-2</v>
      </c>
      <c r="Y529" s="249">
        <v>7.0188424829792317E-2</v>
      </c>
      <c r="Z529" s="249">
        <v>1.1682164975311061E-3</v>
      </c>
      <c r="AA529" s="249">
        <v>2.3497023631115339E-2</v>
      </c>
    </row>
    <row r="530" spans="1:27" s="255" customFormat="1">
      <c r="A530" s="148"/>
      <c r="B530" s="148" t="s">
        <v>347</v>
      </c>
      <c r="C530" s="255" t="s">
        <v>348</v>
      </c>
      <c r="D530" s="248">
        <v>11277.44344290049</v>
      </c>
      <c r="E530" s="248">
        <v>10059.487066363788</v>
      </c>
      <c r="F530" s="216">
        <v>30.077962773833196</v>
      </c>
      <c r="G530" s="216">
        <v>457.08833146907028</v>
      </c>
      <c r="H530" s="216">
        <v>33.058737626640038</v>
      </c>
      <c r="I530" s="250">
        <v>9.9339831464027695E-2</v>
      </c>
      <c r="J530" s="251">
        <v>12.130757407350341</v>
      </c>
      <c r="K530" s="249">
        <v>0.13928168905378729</v>
      </c>
      <c r="L530" s="249">
        <v>0.29680838887286315</v>
      </c>
      <c r="M530" s="249">
        <v>1.3797653069249023E-2</v>
      </c>
      <c r="N530" s="249">
        <v>3.0895593731269773E-2</v>
      </c>
      <c r="O530" s="249">
        <v>2.4658408251632076E-2</v>
      </c>
      <c r="P530" s="249">
        <v>0.45266067106857977</v>
      </c>
      <c r="Q530" s="249">
        <v>1.0602704172275643</v>
      </c>
      <c r="R530" s="249">
        <v>8.1032879300585687</v>
      </c>
      <c r="S530" s="249">
        <v>0.58475213293291106</v>
      </c>
      <c r="T530" s="249">
        <v>8.9671836767438364</v>
      </c>
      <c r="U530" s="249">
        <v>1.0883426457587679</v>
      </c>
      <c r="V530" s="249">
        <v>1.9551687090193323E-2</v>
      </c>
      <c r="W530" s="249">
        <v>0.41375165821580889</v>
      </c>
      <c r="X530" s="249">
        <v>7.1330467915310114E-2</v>
      </c>
      <c r="Y530" s="249">
        <v>2.7653829657219572E-2</v>
      </c>
      <c r="Z530" s="249">
        <v>1.0682171929044003E-3</v>
      </c>
      <c r="AA530" s="249">
        <v>2.0040545720410079E-2</v>
      </c>
    </row>
    <row r="531" spans="1:27" s="255" customFormat="1">
      <c r="A531" s="148"/>
      <c r="B531" s="148" t="s">
        <v>349</v>
      </c>
      <c r="C531" s="255" t="s">
        <v>350</v>
      </c>
      <c r="D531" s="248">
        <v>15270.538044990664</v>
      </c>
      <c r="E531" s="248">
        <v>17028.178809858164</v>
      </c>
      <c r="F531" s="216">
        <v>895.20867591552576</v>
      </c>
      <c r="G531" s="216">
        <v>363.75649156859367</v>
      </c>
      <c r="H531" s="216">
        <v>214.20365952513939</v>
      </c>
      <c r="I531" s="250">
        <v>0.9628968845436674</v>
      </c>
      <c r="J531" s="251">
        <v>13.977286459670246</v>
      </c>
      <c r="K531" s="249">
        <v>0.67335511738031162</v>
      </c>
      <c r="L531" s="249">
        <v>1.4708827594345688</v>
      </c>
      <c r="M531" s="249">
        <v>0.10877313712098628</v>
      </c>
      <c r="N531" s="249">
        <v>5.4424496189970167E-2</v>
      </c>
      <c r="O531" s="249">
        <v>6.3495753917771888E-2</v>
      </c>
      <c r="P531" s="249">
        <v>1.9571906103805932</v>
      </c>
      <c r="Q531" s="249">
        <v>31.611652152209835</v>
      </c>
      <c r="R531" s="249">
        <v>4.3195899566489819</v>
      </c>
      <c r="S531" s="249">
        <v>0.71115543362463252</v>
      </c>
      <c r="T531" s="249">
        <v>3.446160322504022</v>
      </c>
      <c r="U531" s="249">
        <v>0.10740959725026457</v>
      </c>
      <c r="V531" s="249">
        <v>0.18458472767770631</v>
      </c>
      <c r="W531" s="249">
        <v>3.2482206085326193</v>
      </c>
      <c r="X531" s="249">
        <v>0.71942108496790957</v>
      </c>
      <c r="Y531" s="249">
        <v>3.5376949793818326</v>
      </c>
      <c r="Z531" s="249">
        <v>6.752173607870989E-3</v>
      </c>
      <c r="AA531" s="249">
        <v>2.0376304888645978E-2</v>
      </c>
    </row>
    <row r="532" spans="1:27" s="255" customFormat="1">
      <c r="A532" s="148"/>
      <c r="B532" s="148" t="s">
        <v>351</v>
      </c>
      <c r="C532" s="255" t="s">
        <v>352</v>
      </c>
      <c r="D532" s="248">
        <v>7852.359577964934</v>
      </c>
      <c r="E532" s="248">
        <v>11277.414686586379</v>
      </c>
      <c r="F532" s="216">
        <v>40.986371733806884</v>
      </c>
      <c r="G532" s="216">
        <v>218.11534102109923</v>
      </c>
      <c r="H532" s="216">
        <v>5.0468050392374497</v>
      </c>
      <c r="I532" s="250">
        <v>0.14956385265046832</v>
      </c>
      <c r="J532" s="249">
        <v>5.9445455443993094</v>
      </c>
      <c r="K532" s="249">
        <v>0.10318529976258524</v>
      </c>
      <c r="L532" s="249">
        <v>0.29263062825941949</v>
      </c>
      <c r="M532" s="249">
        <v>9.2273688662120375E-3</v>
      </c>
      <c r="N532" s="249">
        <v>3.139577014439128E-2</v>
      </c>
      <c r="O532" s="249">
        <v>1.7469664270489283E-2</v>
      </c>
      <c r="P532" s="249">
        <v>0.26769030336354788</v>
      </c>
      <c r="Q532" s="249">
        <v>0.46204389824758202</v>
      </c>
      <c r="R532" s="249">
        <v>1.6181535533334195</v>
      </c>
      <c r="S532" s="249">
        <v>0.34269760901969548</v>
      </c>
      <c r="T532" s="249">
        <v>14.496684597555397</v>
      </c>
      <c r="U532" s="249">
        <v>2.4355512037076847</v>
      </c>
      <c r="V532" s="249">
        <v>1.3068631398667013E-2</v>
      </c>
      <c r="W532" s="249">
        <v>1.0353472371842465</v>
      </c>
      <c r="X532" s="249">
        <v>5.6624693334223583E-2</v>
      </c>
      <c r="Y532" s="249">
        <v>0.21797212475043209</v>
      </c>
      <c r="Z532" s="249">
        <v>1.0787795577734396E-3</v>
      </c>
      <c r="AA532" s="249">
        <v>6.5258324171390769E-2</v>
      </c>
    </row>
    <row r="533" spans="1:27">
      <c r="A533" s="156" t="s">
        <v>353</v>
      </c>
      <c r="B533" s="54"/>
      <c r="C533" s="54"/>
      <c r="D533" s="147"/>
      <c r="E533" s="127"/>
      <c r="F533" s="126"/>
      <c r="G533" s="126"/>
      <c r="H533" s="126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148"/>
      <c r="Y533" s="54"/>
      <c r="Z533" s="54"/>
      <c r="AA533" s="54"/>
    </row>
    <row r="534" spans="1:27">
      <c r="A534" s="148"/>
      <c r="B534" s="54" t="s">
        <v>354</v>
      </c>
      <c r="C534" s="5" t="s">
        <v>355</v>
      </c>
      <c r="D534" s="147">
        <v>16804.25353797575</v>
      </c>
      <c r="E534" s="127">
        <v>14366.215911124214</v>
      </c>
      <c r="F534" s="126">
        <v>48.231092495220359</v>
      </c>
      <c r="G534" s="82">
        <v>1.2510924242385888</v>
      </c>
      <c r="H534" s="126">
        <v>63.862742029457827</v>
      </c>
      <c r="I534" s="82">
        <v>2.6553728133638106E-2</v>
      </c>
      <c r="J534" s="126">
        <v>14.757356765674499</v>
      </c>
      <c r="K534" s="82">
        <v>8.5924185904052958E-2</v>
      </c>
      <c r="L534" s="82">
        <v>1.7291650544429804</v>
      </c>
      <c r="M534" s="82">
        <v>4.5035462605306352E-2</v>
      </c>
      <c r="N534" s="82">
        <v>3.9761097884944259E-2</v>
      </c>
      <c r="O534" s="82">
        <v>7.8935289136071035E-3</v>
      </c>
      <c r="P534" s="82">
        <v>8.2827623753126273E-2</v>
      </c>
      <c r="Q534" s="82">
        <v>5.8211313282264317E-2</v>
      </c>
      <c r="R534" s="82">
        <v>3.3844075273689511</v>
      </c>
      <c r="S534" s="82">
        <v>5.0919813524424616E-2</v>
      </c>
      <c r="T534" s="82">
        <v>0.58757434429944766</v>
      </c>
      <c r="U534" s="82">
        <v>2.916159159415806E-2</v>
      </c>
      <c r="V534" s="82">
        <v>1.1826862998553388E-2</v>
      </c>
      <c r="W534" s="82">
        <v>8.9175560856645616E-2</v>
      </c>
      <c r="X534" s="146">
        <v>0.1289824341109177</v>
      </c>
      <c r="Y534" s="82">
        <v>3.0461402007076852E-2</v>
      </c>
      <c r="Z534" s="82">
        <v>1.852606799967568E-3</v>
      </c>
      <c r="AA534" s="82">
        <v>7.0710252816677657E-2</v>
      </c>
    </row>
    <row r="535" spans="1:27">
      <c r="A535" s="148"/>
      <c r="B535" s="54" t="s">
        <v>356</v>
      </c>
      <c r="C535" s="5" t="s">
        <v>357</v>
      </c>
      <c r="D535" s="147">
        <v>16672.222252140993</v>
      </c>
      <c r="E535" s="127">
        <v>13910.362331469898</v>
      </c>
      <c r="F535" s="126">
        <v>16.563555498214892</v>
      </c>
      <c r="G535" s="82">
        <v>2.7702050883460445</v>
      </c>
      <c r="H535" s="126">
        <v>41.770942442868581</v>
      </c>
      <c r="I535" s="82">
        <v>7.265861727926301E-2</v>
      </c>
      <c r="J535" s="126">
        <v>22.791803172345865</v>
      </c>
      <c r="K535" s="82">
        <v>0.11949227702867163</v>
      </c>
      <c r="L535" s="82">
        <v>0.84929511855292827</v>
      </c>
      <c r="M535" s="82">
        <v>2.0656288655048524E-2</v>
      </c>
      <c r="N535" s="82">
        <v>3.4159962746009291E-2</v>
      </c>
      <c r="O535" s="82">
        <v>2.394101632315589E-2</v>
      </c>
      <c r="P535" s="82">
        <v>0.36788031811847488</v>
      </c>
      <c r="Q535" s="82">
        <v>1.1871404756214909</v>
      </c>
      <c r="R535" s="82">
        <v>1.0175581383624877</v>
      </c>
      <c r="S535" s="82">
        <v>8.7889856449302514E-2</v>
      </c>
      <c r="T535" s="82">
        <v>3.6181636015178409</v>
      </c>
      <c r="U535" s="82">
        <v>5.3140843311498549E-2</v>
      </c>
      <c r="V535" s="82">
        <v>4.9687410308767539E-3</v>
      </c>
      <c r="W535" s="82">
        <v>0.14451253785838414</v>
      </c>
      <c r="X535" s="146">
        <v>4.2195994898792839E-2</v>
      </c>
      <c r="Y535" s="82">
        <v>8.8000930436507627E-2</v>
      </c>
      <c r="Z535" s="82">
        <v>2.2595827124822221E-3</v>
      </c>
      <c r="AA535" s="82">
        <v>6.1845659031503727E-2</v>
      </c>
    </row>
    <row r="536" spans="1:27">
      <c r="A536" s="148"/>
      <c r="B536" s="54" t="s">
        <v>358</v>
      </c>
      <c r="C536" s="5" t="s">
        <v>359</v>
      </c>
      <c r="D536" s="147">
        <v>12527.708950944167</v>
      </c>
      <c r="E536" s="127">
        <v>10777.06344120925</v>
      </c>
      <c r="F536" s="126">
        <v>118.61697084052203</v>
      </c>
      <c r="G536" s="126">
        <v>22.321213236150179</v>
      </c>
      <c r="H536" s="126">
        <v>54.842878098878366</v>
      </c>
      <c r="I536" s="82">
        <v>7.7801947312293646E-2</v>
      </c>
      <c r="J536" s="82">
        <v>8.8827221282973703</v>
      </c>
      <c r="K536" s="82">
        <v>0.13144712403835612</v>
      </c>
      <c r="L536" s="82">
        <v>2.4556533059337773</v>
      </c>
      <c r="M536" s="82">
        <v>0.20699284742472887</v>
      </c>
      <c r="N536" s="82">
        <v>4.4479549055530712E-2</v>
      </c>
      <c r="O536" s="82">
        <v>1.4318955850211248E-2</v>
      </c>
      <c r="P536" s="82">
        <v>0.18015554918661705</v>
      </c>
      <c r="Q536" s="82">
        <v>2.1742519781865579</v>
      </c>
      <c r="R536" s="82">
        <v>2.9645298452168904</v>
      </c>
      <c r="S536" s="82">
        <v>0.14242772976476531</v>
      </c>
      <c r="T536" s="82">
        <v>3.4280460220243585</v>
      </c>
      <c r="U536" s="82">
        <v>0.13042938253518158</v>
      </c>
      <c r="V536" s="82">
        <v>9.8101568218375013E-3</v>
      </c>
      <c r="W536" s="82">
        <v>2.2275172537986778</v>
      </c>
      <c r="X536" s="146">
        <v>0.24981781688633503</v>
      </c>
      <c r="Y536" s="82">
        <v>9.0086781101784263E-3</v>
      </c>
      <c r="Z536" s="82">
        <v>3.9714890282176564E-3</v>
      </c>
      <c r="AA536" s="82">
        <v>6.5440363517362335E-2</v>
      </c>
    </row>
    <row r="537" spans="1:27">
      <c r="A537" s="148"/>
      <c r="B537" s="54" t="s">
        <v>360</v>
      </c>
      <c r="C537" s="5" t="s">
        <v>361</v>
      </c>
      <c r="D537" s="147">
        <v>18349.551254619535</v>
      </c>
      <c r="E537" s="127">
        <v>13995.97632262058</v>
      </c>
      <c r="F537" s="126">
        <v>5.1887888732891119</v>
      </c>
      <c r="G537" s="82">
        <v>0.17054016428822438</v>
      </c>
      <c r="H537" s="126">
        <v>415.07268260979339</v>
      </c>
      <c r="I537" s="82">
        <v>3.1922876795644352E-2</v>
      </c>
      <c r="J537" s="126">
        <v>11.506310990169037</v>
      </c>
      <c r="K537" s="82">
        <v>0.16019386362894655</v>
      </c>
      <c r="L537" s="82">
        <v>4.637591856458009</v>
      </c>
      <c r="M537" s="82">
        <v>3.2509961778408674E-3</v>
      </c>
      <c r="N537" s="82">
        <v>3.6234642137063754E-2</v>
      </c>
      <c r="O537" s="82">
        <v>7.6003104806381932E-3</v>
      </c>
      <c r="P537" s="82">
        <v>6.5693950459344952E-2</v>
      </c>
      <c r="Q537" s="82">
        <v>5.6513074079227191E-2</v>
      </c>
      <c r="R537" s="82">
        <v>0.64290857187244466</v>
      </c>
      <c r="S537" s="82">
        <v>3.8300691630239039E-2</v>
      </c>
      <c r="T537" s="82">
        <v>0.29025228027570643</v>
      </c>
      <c r="U537" s="82">
        <v>3.283359102682272E-3</v>
      </c>
      <c r="V537" s="82">
        <v>1.7103911424717906E-2</v>
      </c>
      <c r="W537" s="82">
        <v>0.14080541243525507</v>
      </c>
      <c r="X537" s="146">
        <v>2.7205034465733115E-2</v>
      </c>
      <c r="Y537" s="82">
        <v>2.7309016356447755E-2</v>
      </c>
      <c r="Z537" s="82">
        <v>3.1339162843199309E-3</v>
      </c>
      <c r="AA537" s="82">
        <v>8.1474297198171161E-2</v>
      </c>
    </row>
    <row r="538" spans="1:27">
      <c r="A538" s="148"/>
      <c r="B538" s="54" t="s">
        <v>362</v>
      </c>
      <c r="C538" s="5" t="s">
        <v>363</v>
      </c>
      <c r="D538" s="147">
        <v>19242.972590017624</v>
      </c>
      <c r="E538" s="127">
        <v>16876.219945725508</v>
      </c>
      <c r="F538" s="126">
        <v>5.533205824946104</v>
      </c>
      <c r="G538" s="82">
        <v>0.11800060679132571</v>
      </c>
      <c r="H538" s="126">
        <v>188.59944396050321</v>
      </c>
      <c r="I538" s="82">
        <v>4.6396008951790517E-2</v>
      </c>
      <c r="J538" s="126">
        <v>22.24338179884786</v>
      </c>
      <c r="K538" s="82">
        <v>0.15912289446545239</v>
      </c>
      <c r="L538" s="82">
        <v>2.671129578159122</v>
      </c>
      <c r="M538" s="82">
        <v>2.4087992460538844E-3</v>
      </c>
      <c r="N538" s="82">
        <v>4.1612852033400358E-2</v>
      </c>
      <c r="O538" s="82">
        <v>9.8753736707762295E-3</v>
      </c>
      <c r="P538" s="82">
        <v>2.3224450450430631E-2</v>
      </c>
      <c r="Q538" s="82">
        <v>4.639551455527257E-2</v>
      </c>
      <c r="R538" s="82">
        <v>0.76265627399495473</v>
      </c>
      <c r="S538" s="82">
        <v>3.3611034551817423E-2</v>
      </c>
      <c r="T538" s="82">
        <v>0.14960437965531939</v>
      </c>
      <c r="U538" s="82">
        <v>4.1422745480037331E-3</v>
      </c>
      <c r="V538" s="82">
        <v>5.1021754569228767E-3</v>
      </c>
      <c r="W538" s="82">
        <v>9.5314402000870629E-2</v>
      </c>
      <c r="X538" s="146">
        <v>2.8873537345097136E-2</v>
      </c>
      <c r="Y538" s="82">
        <v>2.0917305270257672E-3</v>
      </c>
      <c r="Z538" s="82">
        <v>2.0870366803143574E-3</v>
      </c>
      <c r="AA538" s="82">
        <v>7.538891480450656E-2</v>
      </c>
    </row>
    <row r="539" spans="1:27">
      <c r="A539" s="148"/>
      <c r="B539" s="54" t="s">
        <v>364</v>
      </c>
      <c r="C539" s="5" t="s">
        <v>365</v>
      </c>
      <c r="D539" s="147">
        <v>14775.905961097511</v>
      </c>
      <c r="E539" s="127">
        <v>11869.767893801119</v>
      </c>
      <c r="F539" s="126">
        <v>23.516820398855359</v>
      </c>
      <c r="G539" s="82">
        <v>23.01523822444587</v>
      </c>
      <c r="H539" s="126">
        <v>11.373974143222178</v>
      </c>
      <c r="I539" s="82">
        <v>0.12522889493141781</v>
      </c>
      <c r="J539" s="126">
        <v>17.9797968735244</v>
      </c>
      <c r="K539" s="82">
        <v>0.13435239972124505</v>
      </c>
      <c r="L539" s="82">
        <v>0.553377189422949</v>
      </c>
      <c r="M539" s="82">
        <v>6.021728966953516E-3</v>
      </c>
      <c r="N539" s="82">
        <v>4.4921973044141653E-2</v>
      </c>
      <c r="O539" s="82">
        <v>2.5015449329010533E-2</v>
      </c>
      <c r="P539" s="82">
        <v>0.25925223899753891</v>
      </c>
      <c r="Q539" s="82">
        <v>9.6772028628196409</v>
      </c>
      <c r="R539" s="82">
        <v>1.300400679231474</v>
      </c>
      <c r="S539" s="82">
        <v>0.18333074641345359</v>
      </c>
      <c r="T539" s="82">
        <v>19.009969314622268</v>
      </c>
      <c r="U539" s="82">
        <v>0.19566891537471787</v>
      </c>
      <c r="V539" s="82">
        <v>1.852533834234343E-2</v>
      </c>
      <c r="W539" s="82">
        <v>0.17890597136063532</v>
      </c>
      <c r="X539" s="146">
        <v>6.1399718342248881E-2</v>
      </c>
      <c r="Y539" s="82">
        <v>3.0696893745627597E-2</v>
      </c>
      <c r="Z539" s="82">
        <v>3.9119119448999895E-3</v>
      </c>
      <c r="AA539" s="82">
        <v>7.0033001046173507E-2</v>
      </c>
    </row>
    <row r="540" spans="1:27">
      <c r="A540" s="148"/>
      <c r="B540" s="54" t="s">
        <v>366</v>
      </c>
      <c r="C540" s="5" t="s">
        <v>367</v>
      </c>
      <c r="D540" s="147">
        <v>15244.582025885611</v>
      </c>
      <c r="E540" s="127">
        <v>15717.246150063946</v>
      </c>
      <c r="F540" s="126">
        <v>35.474825601792368</v>
      </c>
      <c r="G540" s="82">
        <v>24.124355745353991</v>
      </c>
      <c r="H540" s="126">
        <v>59.374957997532483</v>
      </c>
      <c r="I540" s="82">
        <v>7.6410850608286174E-2</v>
      </c>
      <c r="J540" s="126">
        <v>38.135125110296038</v>
      </c>
      <c r="K540" s="82">
        <v>9.9948858774833171E-2</v>
      </c>
      <c r="L540" s="82">
        <v>0.9754474847809933</v>
      </c>
      <c r="M540" s="82">
        <v>2.6724643292370964E-2</v>
      </c>
      <c r="N540" s="82">
        <v>3.8996827286518883E-2</v>
      </c>
      <c r="O540" s="82">
        <v>1.3715140833693434E-2</v>
      </c>
      <c r="P540" s="82">
        <v>0.15685280609213226</v>
      </c>
      <c r="Q540" s="82">
        <v>1.2082596477767995</v>
      </c>
      <c r="R540" s="82">
        <v>25.981516368789155</v>
      </c>
      <c r="S540" s="82">
        <v>0.12994430015308481</v>
      </c>
      <c r="T540" s="82">
        <v>2.0123935289492469</v>
      </c>
      <c r="U540" s="82">
        <v>7.0159880759009668E-2</v>
      </c>
      <c r="V540" s="82">
        <v>3.9519054836775314E-2</v>
      </c>
      <c r="W540" s="82">
        <v>0.85107646579045815</v>
      </c>
      <c r="X540" s="146">
        <v>0.28047579532725936</v>
      </c>
      <c r="Y540" s="82">
        <v>1.3699054274188268E-2</v>
      </c>
      <c r="Z540" s="82">
        <v>1.5592430030303801E-3</v>
      </c>
      <c r="AA540" s="82">
        <v>2.3990262883087084E-2</v>
      </c>
    </row>
    <row r="541" spans="1:27">
      <c r="A541" s="148"/>
      <c r="B541" s="54" t="s">
        <v>368</v>
      </c>
      <c r="C541" s="5" t="s">
        <v>369</v>
      </c>
      <c r="D541" s="147">
        <v>16053.657604622746</v>
      </c>
      <c r="E541" s="127">
        <v>14430.162528681134</v>
      </c>
      <c r="F541" s="126">
        <v>13.4499020717011</v>
      </c>
      <c r="G541" s="127">
        <v>552.15824660236865</v>
      </c>
      <c r="H541" s="126">
        <v>71.121155423003572</v>
      </c>
      <c r="I541" s="82">
        <v>9.7905383497360221E-2</v>
      </c>
      <c r="J541" s="82">
        <v>9.0113219559213515</v>
      </c>
      <c r="K541" s="82">
        <v>9.8877880178688871E-2</v>
      </c>
      <c r="L541" s="82">
        <v>1.4257476315425601</v>
      </c>
      <c r="M541" s="82">
        <v>8.4059638758700789E-2</v>
      </c>
      <c r="N541" s="82">
        <v>5.0655051597188937E-2</v>
      </c>
      <c r="O541" s="82">
        <v>1.7281826610606375E-2</v>
      </c>
      <c r="P541" s="82">
        <v>0.22104776123126962</v>
      </c>
      <c r="Q541" s="82">
        <v>3.0976472564374209</v>
      </c>
      <c r="R541" s="82">
        <v>1.2747600204944716</v>
      </c>
      <c r="S541" s="82">
        <v>2.7780153181358531</v>
      </c>
      <c r="T541" s="82">
        <v>5.8833174626219993</v>
      </c>
      <c r="U541" s="82">
        <v>0.50013145604997766</v>
      </c>
      <c r="V541" s="82">
        <v>2.0988405282630369E-2</v>
      </c>
      <c r="W541" s="82">
        <v>0.89538754262379161</v>
      </c>
      <c r="X541" s="146">
        <v>0.10599371044345</v>
      </c>
      <c r="Y541" s="82">
        <v>6.4845541801535778E-3</v>
      </c>
      <c r="Z541" s="82">
        <v>2.3115614421375984E-3</v>
      </c>
      <c r="AA541" s="82">
        <v>8.2399650531445198E-2</v>
      </c>
    </row>
    <row r="542" spans="1:27">
      <c r="A542" s="148"/>
      <c r="B542" s="54" t="s">
        <v>370</v>
      </c>
      <c r="C542" s="5" t="s">
        <v>371</v>
      </c>
      <c r="D542" s="147">
        <v>19196.714682827609</v>
      </c>
      <c r="E542" s="127">
        <v>16439.310134943047</v>
      </c>
      <c r="F542" s="126">
        <v>6.5719951345347347</v>
      </c>
      <c r="G542" s="82">
        <v>0.61395720609561377</v>
      </c>
      <c r="H542" s="126">
        <v>85.347951312672251</v>
      </c>
      <c r="I542" s="82">
        <v>3.8972838139602235E-2</v>
      </c>
      <c r="J542" s="126">
        <v>39.371764081912744</v>
      </c>
      <c r="K542" s="82">
        <v>5.954214295992754E-2</v>
      </c>
      <c r="L542" s="82">
        <v>2.2771459402399588</v>
      </c>
      <c r="M542" s="82">
        <v>6.7680538835803959E-3</v>
      </c>
      <c r="N542" s="82">
        <v>3.9425038123736121E-2</v>
      </c>
      <c r="O542" s="82">
        <v>9.7270823198183261E-3</v>
      </c>
      <c r="P542" s="82">
        <v>5.5571261958989204E-2</v>
      </c>
      <c r="Q542" s="82">
        <v>5.1974544861704358E-2</v>
      </c>
      <c r="R542" s="82">
        <v>1.5300393615216616</v>
      </c>
      <c r="S542" s="82">
        <v>3.5692388325949793E-2</v>
      </c>
      <c r="T542" s="82">
        <v>0.86300945721535394</v>
      </c>
      <c r="U542" s="82">
        <v>4.6534017028634026E-3</v>
      </c>
      <c r="V542" s="82">
        <v>9.2608936523962283E-3</v>
      </c>
      <c r="W542" s="82">
        <v>0.18418042853492106</v>
      </c>
      <c r="X542" s="146">
        <v>6.7764799999568998E-2</v>
      </c>
      <c r="Y542" s="82">
        <v>3.0297769895713421E-3</v>
      </c>
      <c r="Z542" s="82">
        <v>1.1540946800546439E-3</v>
      </c>
      <c r="AA542" s="82">
        <v>5.8300798017968808E-2</v>
      </c>
    </row>
    <row r="543" spans="1:27">
      <c r="A543" s="148"/>
      <c r="B543" s="54" t="s">
        <v>372</v>
      </c>
      <c r="C543" s="5" t="s">
        <v>373</v>
      </c>
      <c r="D543" s="147">
        <v>14659.342226081921</v>
      </c>
      <c r="E543" s="127">
        <v>13108.418990402814</v>
      </c>
      <c r="F543" s="126">
        <v>142.92523841562468</v>
      </c>
      <c r="G543" s="82">
        <v>1.5513290471897931</v>
      </c>
      <c r="H543" s="126">
        <v>81.012985195317142</v>
      </c>
      <c r="I543" s="82">
        <v>3.0710988799258973E-2</v>
      </c>
      <c r="J543" s="126">
        <v>15.870027685320515</v>
      </c>
      <c r="K543" s="82">
        <v>8.3252404243433858E-2</v>
      </c>
      <c r="L543" s="82">
        <v>2.1485100979339973</v>
      </c>
      <c r="M543" s="82">
        <v>0.12633146597687073</v>
      </c>
      <c r="N543" s="82">
        <v>4.3704996295865245E-2</v>
      </c>
      <c r="O543" s="82">
        <v>1.0985568389972512E-2</v>
      </c>
      <c r="P543" s="82">
        <v>0.18488891785106784</v>
      </c>
      <c r="Q543" s="82">
        <v>4.7432899039264217E-2</v>
      </c>
      <c r="R543" s="82">
        <v>1.9885826544315437</v>
      </c>
      <c r="S543" s="82">
        <v>6.9148431393631915E-2</v>
      </c>
      <c r="T543" s="82">
        <v>1.061054691333317</v>
      </c>
      <c r="U543" s="82">
        <v>3.6265119005747496E-3</v>
      </c>
      <c r="V543" s="82">
        <v>5.0961410067794789E-2</v>
      </c>
      <c r="W543" s="82">
        <v>0.19129571709213755</v>
      </c>
      <c r="X543" s="146">
        <v>0.23278683335110004</v>
      </c>
      <c r="Y543" s="82">
        <v>2.8077930060905754E-2</v>
      </c>
      <c r="Z543" s="82">
        <v>1.8973684665272899E-3</v>
      </c>
      <c r="AA543" s="82">
        <v>8.028252251889921E-2</v>
      </c>
    </row>
    <row r="544" spans="1:27">
      <c r="A544" s="148"/>
      <c r="B544" s="54" t="s">
        <v>374</v>
      </c>
      <c r="C544" s="5" t="s">
        <v>375</v>
      </c>
      <c r="D544" s="147">
        <v>19165.324603804464</v>
      </c>
      <c r="E544" s="127">
        <v>15113.415444827553</v>
      </c>
      <c r="F544" s="126">
        <v>73.062887015606762</v>
      </c>
      <c r="G544" s="82">
        <v>0.36841118256841282</v>
      </c>
      <c r="H544" s="126">
        <v>37.505383513964183</v>
      </c>
      <c r="I544" s="82">
        <v>2.9480592720659102E-2</v>
      </c>
      <c r="J544" s="126">
        <v>13.722440356877561</v>
      </c>
      <c r="K544" s="82">
        <v>3.6397374664215797E-2</v>
      </c>
      <c r="L544" s="82">
        <v>4.1478984148612872</v>
      </c>
      <c r="M544" s="82">
        <v>2.5402806826711376E-2</v>
      </c>
      <c r="N544" s="82">
        <v>3.9808101987656219E-2</v>
      </c>
      <c r="O544" s="82">
        <v>7.2059845580908456E-3</v>
      </c>
      <c r="P544" s="82">
        <v>4.7289253758539374E-2</v>
      </c>
      <c r="Q544" s="82">
        <v>5.8055302489711719E-2</v>
      </c>
      <c r="R544" s="82">
        <v>1.6550924644048446</v>
      </c>
      <c r="S544" s="82">
        <v>4.711825316006632E-2</v>
      </c>
      <c r="T544" s="82">
        <v>0.14588110503715687</v>
      </c>
      <c r="U544" s="82">
        <v>2.9409704571489617E-3</v>
      </c>
      <c r="V544" s="82">
        <v>2.6073604992491943E-2</v>
      </c>
      <c r="W544" s="82">
        <v>0.10803982730236378</v>
      </c>
      <c r="X544" s="146">
        <v>3.510929755686415E-2</v>
      </c>
      <c r="Y544" s="82">
        <v>1.8388014882304274E-3</v>
      </c>
      <c r="Z544" s="82">
        <v>2.5909968923161029E-3</v>
      </c>
      <c r="AA544" s="82">
        <v>0</v>
      </c>
    </row>
    <row r="545" spans="1:27">
      <c r="A545" s="148"/>
      <c r="B545" s="54" t="s">
        <v>376</v>
      </c>
      <c r="C545" s="5" t="s">
        <v>377</v>
      </c>
      <c r="D545" s="147">
        <v>18537.335549255862</v>
      </c>
      <c r="E545" s="127">
        <v>15278.493585242106</v>
      </c>
      <c r="F545" s="126">
        <v>5.0129300645734958</v>
      </c>
      <c r="G545" s="82">
        <v>0.20066623016772697</v>
      </c>
      <c r="H545" s="126">
        <v>247.03854360237759</v>
      </c>
      <c r="I545" s="82">
        <v>4.058145348205499E-2</v>
      </c>
      <c r="J545" s="126">
        <v>18.838645161731435</v>
      </c>
      <c r="K545" s="82">
        <v>0.12935995511151396</v>
      </c>
      <c r="L545" s="82">
        <v>4.8744670489177233</v>
      </c>
      <c r="M545" s="82">
        <v>2.2908635334466477E-3</v>
      </c>
      <c r="N545" s="82">
        <v>3.5860153608733437E-2</v>
      </c>
      <c r="O545" s="82">
        <v>8.5029751714001747E-3</v>
      </c>
      <c r="P545" s="82">
        <v>2.814735514024503E-2</v>
      </c>
      <c r="Q545" s="82">
        <v>5.5740845356899119E-2</v>
      </c>
      <c r="R545" s="82">
        <v>0.42263652132457935</v>
      </c>
      <c r="S545" s="82">
        <v>5.0780751326719616E-2</v>
      </c>
      <c r="T545" s="82">
        <v>0.18112283234313245</v>
      </c>
      <c r="U545" s="82">
        <v>6.1848999110251622E-3</v>
      </c>
      <c r="V545" s="82">
        <v>1.4083985647830475E-2</v>
      </c>
      <c r="W545" s="82">
        <v>0.13716085376724024</v>
      </c>
      <c r="X545" s="146">
        <v>2.3347734666754161E-2</v>
      </c>
      <c r="Y545" s="82">
        <v>3.7871567527669858E-3</v>
      </c>
      <c r="Z545" s="82">
        <v>2.6943086230455365E-3</v>
      </c>
      <c r="AA545" s="82">
        <v>4.2780632346116503E-2</v>
      </c>
    </row>
    <row r="546" spans="1:27">
      <c r="A546" s="148"/>
      <c r="B546" s="54" t="s">
        <v>378</v>
      </c>
      <c r="C546" s="5" t="s">
        <v>379</v>
      </c>
      <c r="D546" s="147">
        <v>17694.886475817726</v>
      </c>
      <c r="E546" s="127">
        <v>15887.20211933395</v>
      </c>
      <c r="F546" s="126">
        <v>28.262621845052209</v>
      </c>
      <c r="G546" s="82">
        <v>0.77321095700976394</v>
      </c>
      <c r="H546" s="126">
        <v>185.70625139782572</v>
      </c>
      <c r="I546" s="82">
        <v>3.25709665731738E-2</v>
      </c>
      <c r="J546" s="126">
        <v>21.365151909491917</v>
      </c>
      <c r="K546" s="82">
        <v>9.7318680346204972E-2</v>
      </c>
      <c r="L546" s="82">
        <v>3.1133287208528597</v>
      </c>
      <c r="M546" s="82">
        <v>1.946359416734416E-2</v>
      </c>
      <c r="N546" s="82">
        <v>3.233536496631511E-2</v>
      </c>
      <c r="O546" s="82">
        <v>6.8162646922486142E-3</v>
      </c>
      <c r="P546" s="82">
        <v>7.6068232096537694E-2</v>
      </c>
      <c r="Q546" s="82">
        <v>5.0717129898816452E-2</v>
      </c>
      <c r="R546" s="82">
        <v>3.2334067810239984</v>
      </c>
      <c r="S546" s="82">
        <v>4.9693804349949695E-2</v>
      </c>
      <c r="T546" s="82">
        <v>0.47421674673263992</v>
      </c>
      <c r="U546" s="82">
        <v>4.5297134953225932E-3</v>
      </c>
      <c r="V546" s="82">
        <v>1.8064482606905092E-2</v>
      </c>
      <c r="W546" s="82">
        <v>0.16232484879851478</v>
      </c>
      <c r="X546" s="146">
        <v>2.8369645761653645E-2</v>
      </c>
      <c r="Y546" s="82">
        <v>1.5956937594210168E-2</v>
      </c>
      <c r="Z546" s="82">
        <v>2.4193387050675864E-3</v>
      </c>
      <c r="AA546" s="82">
        <v>4.8700662647495251E-2</v>
      </c>
    </row>
    <row r="547" spans="1:27">
      <c r="A547" s="148"/>
      <c r="B547" s="54" t="s">
        <v>380</v>
      </c>
      <c r="C547" s="5" t="s">
        <v>381</v>
      </c>
      <c r="D547" s="147">
        <v>17480.613212812292</v>
      </c>
      <c r="E547" s="127">
        <v>11963.406255085934</v>
      </c>
      <c r="F547" s="126">
        <v>9.4025048954150474</v>
      </c>
      <c r="G547" s="82">
        <v>0.30567583359941153</v>
      </c>
      <c r="H547" s="126">
        <v>238.70577937793328</v>
      </c>
      <c r="I547" s="82">
        <v>3.943133922452137E-2</v>
      </c>
      <c r="J547" s="126">
        <v>28.419297277208059</v>
      </c>
      <c r="K547" s="82">
        <v>0.21788815595950167</v>
      </c>
      <c r="L547" s="82">
        <v>3.3590756826426276</v>
      </c>
      <c r="M547" s="82">
        <v>1.1129146347985208E-2</v>
      </c>
      <c r="N547" s="82">
        <v>2.9205548383407706E-2</v>
      </c>
      <c r="O547" s="82">
        <v>8.8671337885029376E-3</v>
      </c>
      <c r="P547" s="82">
        <v>0.12513225157986552</v>
      </c>
      <c r="Q547" s="82">
        <v>0.34234624359200055</v>
      </c>
      <c r="R547" s="82">
        <v>10.264969631964892</v>
      </c>
      <c r="S547" s="82">
        <v>5.5010314272681576E-2</v>
      </c>
      <c r="T547" s="82">
        <v>2.1005816971051869</v>
      </c>
      <c r="U547" s="82">
        <v>8.802875577844765E-3</v>
      </c>
      <c r="V547" s="82">
        <v>2.2928671270538593E-2</v>
      </c>
      <c r="W547" s="82">
        <v>0.29783636357359078</v>
      </c>
      <c r="X547" s="146">
        <v>0.27647764188659602</v>
      </c>
      <c r="Y547" s="82">
        <v>3.6068967712415745E-2</v>
      </c>
      <c r="Z547" s="82">
        <v>2.1403795418945292E-3</v>
      </c>
      <c r="AA547" s="82">
        <v>4.1518924956457509E-2</v>
      </c>
    </row>
    <row r="548" spans="1:27">
      <c r="A548" s="148"/>
      <c r="B548" s="54" t="s">
        <v>382</v>
      </c>
      <c r="C548" s="5" t="s">
        <v>383</v>
      </c>
      <c r="D548" s="147">
        <v>17893.699354056531</v>
      </c>
      <c r="E548" s="127">
        <v>15489.387572125037</v>
      </c>
      <c r="F548" s="126">
        <v>13.315718408050387</v>
      </c>
      <c r="G548" s="82">
        <v>0.88591109217021224</v>
      </c>
      <c r="H548" s="126">
        <v>173.22736148052149</v>
      </c>
      <c r="I548" s="82">
        <v>3.7826082188690685E-2</v>
      </c>
      <c r="J548" s="126">
        <v>17.024579041415667</v>
      </c>
      <c r="K548" s="82">
        <v>0.11441915335103069</v>
      </c>
      <c r="L548" s="82">
        <v>2.8654793599391706</v>
      </c>
      <c r="M548" s="82">
        <v>8.9165558464826405E-3</v>
      </c>
      <c r="N548" s="82">
        <v>3.6181525515495069E-2</v>
      </c>
      <c r="O548" s="82">
        <v>7.1920518380544527E-3</v>
      </c>
      <c r="P548" s="82">
        <v>0.1417439514020567</v>
      </c>
      <c r="Q548" s="82">
        <v>5.3862161051596504E-2</v>
      </c>
      <c r="R548" s="82">
        <v>2.4991930765165882</v>
      </c>
      <c r="S548" s="82">
        <v>3.9768197896088632E-2</v>
      </c>
      <c r="T548" s="82">
        <v>0.10981601092171069</v>
      </c>
      <c r="U548" s="82">
        <v>3.9006405151602876E-3</v>
      </c>
      <c r="V548" s="82">
        <v>1.3088656317908643E-2</v>
      </c>
      <c r="W548" s="82">
        <v>0.13207415525416932</v>
      </c>
      <c r="X548" s="146">
        <v>1.9227570216981616E-2</v>
      </c>
      <c r="Y548" s="82">
        <v>1.9433514489627445E-2</v>
      </c>
      <c r="Z548" s="82">
        <v>3.3230590360290623E-3</v>
      </c>
      <c r="AA548" s="82">
        <v>0.11836121143173678</v>
      </c>
    </row>
    <row r="549" spans="1:27">
      <c r="A549" s="148"/>
      <c r="B549" s="54" t="s">
        <v>384</v>
      </c>
      <c r="C549" s="5" t="s">
        <v>385</v>
      </c>
      <c r="D549" s="147">
        <v>16396.764336205302</v>
      </c>
      <c r="E549" s="127">
        <v>14477.78486946826</v>
      </c>
      <c r="F549" s="126">
        <v>3.6347467921349694</v>
      </c>
      <c r="G549" s="82">
        <v>0.1500461093111656</v>
      </c>
      <c r="H549" s="126">
        <v>201.74155147416192</v>
      </c>
      <c r="I549" s="82">
        <v>3.5352852328966566E-2</v>
      </c>
      <c r="J549" s="126">
        <v>24.567794150437681</v>
      </c>
      <c r="K549" s="82">
        <v>0.15494542334639005</v>
      </c>
      <c r="L549" s="82">
        <v>3.1649246104777466</v>
      </c>
      <c r="M549" s="82">
        <v>1.7431950103706474E-3</v>
      </c>
      <c r="N549" s="82">
        <v>2.8175240476033585E-2</v>
      </c>
      <c r="O549" s="82">
        <v>5.5222747265033416E-3</v>
      </c>
      <c r="P549" s="82">
        <v>8.7625181008790451E-3</v>
      </c>
      <c r="Q549" s="82">
        <v>4.0152493141334157E-2</v>
      </c>
      <c r="R549" s="82">
        <v>0.87164792630247578</v>
      </c>
      <c r="S549" s="82">
        <v>3.3790809724705419E-2</v>
      </c>
      <c r="T549" s="82">
        <v>7.1130271466696329E-2</v>
      </c>
      <c r="U549" s="82">
        <v>3.64965018895296E-3</v>
      </c>
      <c r="V549" s="82">
        <v>1.1888328524643435E-2</v>
      </c>
      <c r="W549" s="82">
        <v>0.10200938071452077</v>
      </c>
      <c r="X549" s="146">
        <v>2.5819210281174891E-2</v>
      </c>
      <c r="Y549" s="82">
        <v>3.6517713639285456E-3</v>
      </c>
      <c r="Z549" s="82">
        <v>2.5315581778186428E-3</v>
      </c>
      <c r="AA549" s="82">
        <v>8.6624548250992681E-2</v>
      </c>
    </row>
    <row r="550" spans="1:27">
      <c r="A550" s="148"/>
      <c r="B550" s="54" t="s">
        <v>386</v>
      </c>
      <c r="C550" s="5" t="s">
        <v>387</v>
      </c>
      <c r="D550" s="147">
        <v>16083.332138995012</v>
      </c>
      <c r="E550" s="127">
        <v>13014.125658306524</v>
      </c>
      <c r="F550" s="126">
        <v>9.8288336215095953</v>
      </c>
      <c r="G550" s="82">
        <v>0.11135454703482567</v>
      </c>
      <c r="H550" s="126">
        <v>258.89091677869567</v>
      </c>
      <c r="I550" s="82">
        <v>2.5183117537647716E-2</v>
      </c>
      <c r="J550" s="126">
        <v>23.96377493587347</v>
      </c>
      <c r="K550" s="82">
        <v>0.2749874579117596</v>
      </c>
      <c r="L550" s="82">
        <v>2.7775795329732187</v>
      </c>
      <c r="M550" s="82">
        <v>4.2175484965084878E-3</v>
      </c>
      <c r="N550" s="82">
        <v>2.9064053448890171E-2</v>
      </c>
      <c r="O550" s="82">
        <v>9.9791959531946323E-3</v>
      </c>
      <c r="P550" s="82">
        <v>0.10709172142696406</v>
      </c>
      <c r="Q550" s="82">
        <v>3.8402495986535216E-2</v>
      </c>
      <c r="R550" s="82">
        <v>1.553863325630048</v>
      </c>
      <c r="S550" s="82">
        <v>3.3369600838627007E-2</v>
      </c>
      <c r="T550" s="82">
        <v>0.44693332333451163</v>
      </c>
      <c r="U550" s="82">
        <v>3.0457854005165323E-3</v>
      </c>
      <c r="V550" s="82">
        <v>9.8033472072826273E-3</v>
      </c>
      <c r="W550" s="82">
        <v>0.12010466611855805</v>
      </c>
      <c r="X550" s="146">
        <v>1.5574865025186542E-2</v>
      </c>
      <c r="Y550" s="82">
        <v>3.1947885799634909E-3</v>
      </c>
      <c r="Z550" s="82">
        <v>3.1250986246766058E-3</v>
      </c>
      <c r="AA550" s="82">
        <v>4.4121002909317857E-2</v>
      </c>
    </row>
    <row r="551" spans="1:27">
      <c r="A551" s="148"/>
      <c r="B551" s="54" t="s">
        <v>388</v>
      </c>
      <c r="C551" s="5" t="s">
        <v>389</v>
      </c>
      <c r="D551" s="147">
        <v>15169.970123364441</v>
      </c>
      <c r="E551" s="127">
        <v>11613.363582476253</v>
      </c>
      <c r="F551" s="126">
        <v>5.8440892076108311</v>
      </c>
      <c r="G551" s="82">
        <v>0.16042167767184379</v>
      </c>
      <c r="H551" s="126">
        <v>276.18611253460057</v>
      </c>
      <c r="I551" s="82">
        <v>3.0949481163238875E-2</v>
      </c>
      <c r="J551" s="126">
        <v>15.186238055128474</v>
      </c>
      <c r="K551" s="82">
        <v>0.23319941943339345</v>
      </c>
      <c r="L551" s="82">
        <v>4.2568358429329303</v>
      </c>
      <c r="M551" s="82">
        <v>2.3765549222107673E-3</v>
      </c>
      <c r="N551" s="82">
        <v>3.0756326479642881E-2</v>
      </c>
      <c r="O551" s="82">
        <v>7.1219077706864559E-3</v>
      </c>
      <c r="P551" s="82">
        <v>2.043878010023472E-2</v>
      </c>
      <c r="Q551" s="82">
        <v>4.4402707317209279E-2</v>
      </c>
      <c r="R551" s="82">
        <v>1.0404952794411313</v>
      </c>
      <c r="S551" s="82">
        <v>1.2178758910470185E-2</v>
      </c>
      <c r="T551" s="82">
        <v>5.2959847336899922E-2</v>
      </c>
      <c r="U551" s="82">
        <v>3.3718509111403338E-3</v>
      </c>
      <c r="V551" s="82">
        <v>1.2660818319304335E-2</v>
      </c>
      <c r="W551" s="82">
        <v>8.6816538447616776E-2</v>
      </c>
      <c r="X551" s="146">
        <v>2.3757213753940572E-2</v>
      </c>
      <c r="Y551" s="82">
        <v>9.7450468119417307E-4</v>
      </c>
      <c r="Z551" s="82">
        <v>1.5567692176632166E-3</v>
      </c>
      <c r="AA551" s="82">
        <v>9.0535435663976205E-2</v>
      </c>
    </row>
    <row r="552" spans="1:27">
      <c r="A552" s="148"/>
      <c r="B552" s="54" t="s">
        <v>390</v>
      </c>
      <c r="C552" s="5" t="s">
        <v>391</v>
      </c>
      <c r="D552" s="147">
        <v>17317.195280768934</v>
      </c>
      <c r="E552" s="127">
        <v>13060.947213795245</v>
      </c>
      <c r="F552" s="126">
        <v>94.568220371234858</v>
      </c>
      <c r="G552" s="82">
        <v>0.40575328584864534</v>
      </c>
      <c r="H552" s="126">
        <v>85.456368981181768</v>
      </c>
      <c r="I552" s="82">
        <v>3.3595649312387975E-2</v>
      </c>
      <c r="J552" s="126">
        <v>15.348978567736999</v>
      </c>
      <c r="K552" s="82">
        <v>9.032131843763623E-2</v>
      </c>
      <c r="L552" s="82">
        <v>2.7648344246729217</v>
      </c>
      <c r="M552" s="82">
        <v>9.7583506738668474E-2</v>
      </c>
      <c r="N552" s="82">
        <v>4.317639958133665E-2</v>
      </c>
      <c r="O552" s="82">
        <v>8.5223773178075782E-3</v>
      </c>
      <c r="P552" s="82">
        <v>0.11820026179851578</v>
      </c>
      <c r="Q552" s="82">
        <v>4.0133625441190666E-2</v>
      </c>
      <c r="R552" s="82">
        <v>3.5072786830150595</v>
      </c>
      <c r="S552" s="82">
        <v>5.1898990067103315E-2</v>
      </c>
      <c r="T552" s="82">
        <v>0.66507731068203624</v>
      </c>
      <c r="U552" s="82">
        <v>5.9489854783209917E-3</v>
      </c>
      <c r="V552" s="82">
        <v>8.6527892105743107E-3</v>
      </c>
      <c r="W552" s="82">
        <v>9.7238579779244674E-2</v>
      </c>
      <c r="X552" s="146">
        <v>5.1208635616417815E-2</v>
      </c>
      <c r="Y552" s="82">
        <v>9.7955817329160844E-4</v>
      </c>
      <c r="Z552" s="82">
        <v>1.564258202995907E-3</v>
      </c>
      <c r="AA552" s="82">
        <v>5.7388410540426933E-2</v>
      </c>
    </row>
    <row r="553" spans="1:27">
      <c r="A553" s="148"/>
      <c r="B553" s="54" t="s">
        <v>392</v>
      </c>
      <c r="C553" s="5" t="s">
        <v>393</v>
      </c>
      <c r="D553" s="147">
        <v>16101.659093568216</v>
      </c>
      <c r="E553" s="127">
        <v>13794.328018296763</v>
      </c>
      <c r="F553" s="126">
        <v>73.741827465435449</v>
      </c>
      <c r="G553" s="82">
        <v>0.42646671735861802</v>
      </c>
      <c r="H553" s="126">
        <v>236.83231702196545</v>
      </c>
      <c r="I553" s="82">
        <v>3.4264504925884093E-2</v>
      </c>
      <c r="J553" s="82">
        <v>7.9921569642521453</v>
      </c>
      <c r="K553" s="82">
        <v>6.0758093925895644E-2</v>
      </c>
      <c r="L553" s="82">
        <v>4.2005762590431184</v>
      </c>
      <c r="M553" s="82">
        <v>1.3124132904579361E-2</v>
      </c>
      <c r="N553" s="82">
        <v>3.5105025093491712E-2</v>
      </c>
      <c r="O553" s="82">
        <v>3.8265376791560167E-3</v>
      </c>
      <c r="P553" s="82">
        <v>3.2184370153143724E-2</v>
      </c>
      <c r="Q553" s="82">
        <v>4.718058652463241E-2</v>
      </c>
      <c r="R553" s="82">
        <v>1.7611148980865716</v>
      </c>
      <c r="S553" s="82">
        <v>3.6152120847317296E-2</v>
      </c>
      <c r="T553" s="82">
        <v>0.15992615749287536</v>
      </c>
      <c r="U553" s="82">
        <v>3.0355993521058414E-3</v>
      </c>
      <c r="V553" s="82">
        <v>1.4322784714911826E-2</v>
      </c>
      <c r="W553" s="82">
        <v>0.13515377027281592</v>
      </c>
      <c r="X553" s="146">
        <v>4.8325845717628636E-2</v>
      </c>
      <c r="Y553" s="82">
        <v>7.5373373297775811E-2</v>
      </c>
      <c r="Z553" s="82">
        <v>1.7394094238940394E-3</v>
      </c>
      <c r="AA553" s="82">
        <v>0.10806750802645068</v>
      </c>
    </row>
    <row r="554" spans="1:27">
      <c r="A554" s="148"/>
      <c r="B554" s="54" t="s">
        <v>394</v>
      </c>
      <c r="C554" s="5" t="s">
        <v>395</v>
      </c>
      <c r="D554" s="147">
        <v>17061.636196482927</v>
      </c>
      <c r="E554" s="127">
        <v>15181.595290043129</v>
      </c>
      <c r="F554" s="126">
        <v>4.5536896718111599</v>
      </c>
      <c r="G554" s="82">
        <v>0.39853024107125823</v>
      </c>
      <c r="H554" s="126">
        <v>146.88219402158413</v>
      </c>
      <c r="I554" s="82">
        <v>2.7062881230448563E-2</v>
      </c>
      <c r="J554" s="126">
        <v>28.101740593659962</v>
      </c>
      <c r="K554" s="82">
        <v>3.648183060296404E-2</v>
      </c>
      <c r="L554" s="82">
        <v>4.6095117027910186</v>
      </c>
      <c r="M554" s="82">
        <v>5.705310755559182E-3</v>
      </c>
      <c r="N554" s="82">
        <v>2.8204902288409415E-2</v>
      </c>
      <c r="O554" s="82">
        <v>4.2199478085602369E-3</v>
      </c>
      <c r="P554" s="82">
        <v>1.2323537778741107E-2</v>
      </c>
      <c r="Q554" s="82">
        <v>5.0520161063580836E-2</v>
      </c>
      <c r="R554" s="82">
        <v>2.5564958132755247</v>
      </c>
      <c r="S554" s="82">
        <v>4.7551646016151E-2</v>
      </c>
      <c r="T554" s="82">
        <v>5.4420562480479079E-2</v>
      </c>
      <c r="U554" s="82">
        <v>3.8553279692764117E-3</v>
      </c>
      <c r="V554" s="82">
        <v>4.4521009963365372E-3</v>
      </c>
      <c r="W554" s="82">
        <v>0.12864857865833301</v>
      </c>
      <c r="X554" s="146">
        <v>5.9548345855544589E-2</v>
      </c>
      <c r="Y554" s="82">
        <v>3.3546999126804582E-2</v>
      </c>
      <c r="Z554" s="82">
        <v>2.2725702503505378E-3</v>
      </c>
      <c r="AA554" s="82">
        <v>0</v>
      </c>
    </row>
    <row r="555" spans="1:27">
      <c r="A555" s="148"/>
      <c r="B555" s="54" t="s">
        <v>396</v>
      </c>
      <c r="C555" s="5" t="s">
        <v>397</v>
      </c>
      <c r="D555" s="147">
        <v>14187.60830360235</v>
      </c>
      <c r="E555" s="127">
        <v>14568.225549766876</v>
      </c>
      <c r="F555" s="126">
        <v>7.6281859397389429</v>
      </c>
      <c r="G555" s="82">
        <v>0.78653879332804932</v>
      </c>
      <c r="H555" s="126">
        <v>70.257844935630047</v>
      </c>
      <c r="I555" s="82">
        <v>3.2411511928431405E-2</v>
      </c>
      <c r="J555" s="126">
        <v>21.165870121803117</v>
      </c>
      <c r="K555" s="82">
        <v>8.1805002889768649E-2</v>
      </c>
      <c r="L555" s="82">
        <v>1.0842093272779734</v>
      </c>
      <c r="M555" s="82">
        <v>4.2768458875708237E-3</v>
      </c>
      <c r="N555" s="82">
        <v>2.8551449582418311E-2</v>
      </c>
      <c r="O555" s="82">
        <v>6.4197163762137197E-3</v>
      </c>
      <c r="P555" s="82">
        <v>3.8357290146246031E-2</v>
      </c>
      <c r="Q555" s="82">
        <v>0.443069605315703</v>
      </c>
      <c r="R555" s="82">
        <v>1.775596011882332</v>
      </c>
      <c r="S555" s="82">
        <v>3.4954732451571345E-2</v>
      </c>
      <c r="T555" s="82">
        <v>0.93095253088055607</v>
      </c>
      <c r="U555" s="82">
        <v>2.19048558687675E-2</v>
      </c>
      <c r="V555" s="82">
        <v>1.1774907576712325E-2</v>
      </c>
      <c r="W555" s="82">
        <v>0.50658534095923324</v>
      </c>
      <c r="X555" s="146">
        <v>6.0466043426597914E-2</v>
      </c>
      <c r="Y555" s="82">
        <v>8.2549983705028484E-3</v>
      </c>
      <c r="Z555" s="82">
        <v>2.0957498997556945E-3</v>
      </c>
      <c r="AA555" s="82">
        <v>7.6048433038643615E-2</v>
      </c>
    </row>
    <row r="556" spans="1:27">
      <c r="A556" s="148"/>
      <c r="B556" s="54" t="s">
        <v>398</v>
      </c>
      <c r="C556" s="5" t="s">
        <v>399</v>
      </c>
      <c r="D556" s="147">
        <v>15959.699072441123</v>
      </c>
      <c r="E556" s="127">
        <v>11713.914105933278</v>
      </c>
      <c r="F556" s="126">
        <v>100.67796469305017</v>
      </c>
      <c r="G556" s="126">
        <v>13.492754602414486</v>
      </c>
      <c r="H556" s="126">
        <v>66.937752728318088</v>
      </c>
      <c r="I556" s="82">
        <v>3.621843567198646E-2</v>
      </c>
      <c r="J556" s="126">
        <v>8.2932228311756422</v>
      </c>
      <c r="K556" s="82">
        <v>4.1115625194024306E-2</v>
      </c>
      <c r="L556" s="82">
        <v>2.9754238888413131</v>
      </c>
      <c r="M556" s="82">
        <v>6.0639779078419651E-2</v>
      </c>
      <c r="N556" s="82">
        <v>3.2464347827144059E-2</v>
      </c>
      <c r="O556" s="82">
        <v>8.2962463907742499E-3</v>
      </c>
      <c r="P556" s="82">
        <v>9.130207681334232E-2</v>
      </c>
      <c r="Q556" s="82">
        <v>4.5661908460046433E-2</v>
      </c>
      <c r="R556" s="82">
        <v>5.6468679774271724</v>
      </c>
      <c r="S556" s="82">
        <v>6.6652751600956739E-2</v>
      </c>
      <c r="T556" s="82">
        <v>0.77179844611504589</v>
      </c>
      <c r="U556" s="82">
        <v>7.7935823270607199E-3</v>
      </c>
      <c r="V556" s="82">
        <v>4.3271419318346528E-2</v>
      </c>
      <c r="W556" s="82">
        <v>0.41160544864429155</v>
      </c>
      <c r="X556" s="146">
        <v>0.36613194608309613</v>
      </c>
      <c r="Y556" s="82">
        <v>1.5837641128421492E-2</v>
      </c>
      <c r="Z556" s="82">
        <v>3.1243692114144026E-3</v>
      </c>
      <c r="AA556" s="82">
        <v>5.6566306299178706E-2</v>
      </c>
    </row>
    <row r="557" spans="1:27">
      <c r="A557" s="148"/>
      <c r="B557" s="54" t="s">
        <v>400</v>
      </c>
      <c r="C557" s="5" t="s">
        <v>401</v>
      </c>
      <c r="D557" s="147">
        <v>18676.904736330067</v>
      </c>
      <c r="E557" s="127">
        <v>14097.920923435107</v>
      </c>
      <c r="F557" s="126">
        <v>8.0706853622566275</v>
      </c>
      <c r="G557" s="82">
        <v>9.4362354758979555E-2</v>
      </c>
      <c r="H557" s="126">
        <v>36.607083308756991</v>
      </c>
      <c r="I557" s="82">
        <v>2.5008838733051986E-2</v>
      </c>
      <c r="J557" s="126">
        <v>38.610777588871066</v>
      </c>
      <c r="K557" s="82">
        <v>6.4888947397914745E-2</v>
      </c>
      <c r="L557" s="82">
        <v>1.4860366733947303</v>
      </c>
      <c r="M557" s="82">
        <v>2.893439258143355E-3</v>
      </c>
      <c r="N557" s="82">
        <v>2.631953463475064E-2</v>
      </c>
      <c r="O557" s="82">
        <v>6.3613496294103273E-3</v>
      </c>
      <c r="P557" s="82">
        <v>2.1752739612509047E-2</v>
      </c>
      <c r="Q557" s="82">
        <v>4.8892692116901622E-2</v>
      </c>
      <c r="R557" s="82">
        <v>3.3335169687962827</v>
      </c>
      <c r="S557" s="82">
        <v>2.2330241334709455E-2</v>
      </c>
      <c r="T557" s="82">
        <v>0.11540246410129448</v>
      </c>
      <c r="U557" s="82">
        <v>4.99717183278592E-3</v>
      </c>
      <c r="V557" s="82">
        <v>1.3044095512217415E-2</v>
      </c>
      <c r="W557" s="82">
        <v>9.7405635353595116E-2</v>
      </c>
      <c r="X557" s="146">
        <v>3.2665607368698592E-2</v>
      </c>
      <c r="Y557" s="82">
        <v>3.6917061782902219E-3</v>
      </c>
      <c r="Z557" s="82">
        <v>1.5976911609360722E-3</v>
      </c>
      <c r="AA557" s="82">
        <v>4.9205092848001945E-2</v>
      </c>
    </row>
    <row r="558" spans="1:27">
      <c r="A558" s="148"/>
      <c r="B558" s="54" t="s">
        <v>402</v>
      </c>
      <c r="C558" s="5" t="s">
        <v>403</v>
      </c>
      <c r="D558" s="147">
        <v>16498.986938941027</v>
      </c>
      <c r="E558" s="127">
        <v>14216.078217138209</v>
      </c>
      <c r="F558" s="126">
        <v>13.024673304698668</v>
      </c>
      <c r="G558" s="82">
        <v>0.28162112122732064</v>
      </c>
      <c r="H558" s="126">
        <v>97.569341757764718</v>
      </c>
      <c r="I558" s="82">
        <v>3.0807378168271556E-2</v>
      </c>
      <c r="J558" s="126">
        <v>22.318863433883461</v>
      </c>
      <c r="K558" s="82">
        <v>0.18253712385784213</v>
      </c>
      <c r="L558" s="82">
        <v>2.2146641066421702</v>
      </c>
      <c r="M558" s="82">
        <v>6.3911889765882858E-3</v>
      </c>
      <c r="N558" s="82">
        <v>2.4754131605492984E-2</v>
      </c>
      <c r="O558" s="82">
        <v>8.737867567193254E-3</v>
      </c>
      <c r="P558" s="82">
        <v>7.1808190183330942E-2</v>
      </c>
      <c r="Q558" s="82">
        <v>1.3668266539108131</v>
      </c>
      <c r="R558" s="82">
        <v>2.4470984520962098</v>
      </c>
      <c r="S558" s="82">
        <v>4.9607936784383515E-2</v>
      </c>
      <c r="T558" s="82">
        <v>0.23375476283798732</v>
      </c>
      <c r="U558" s="82">
        <v>1.0661207791222486E-2</v>
      </c>
      <c r="V558" s="82">
        <v>2.4919661698540575E-2</v>
      </c>
      <c r="W558" s="82">
        <v>0.17779707584472076</v>
      </c>
      <c r="X558" s="146">
        <v>4.5607690755085417E-2</v>
      </c>
      <c r="Y558" s="82">
        <v>1.6776946596106932E-2</v>
      </c>
      <c r="Z558" s="82">
        <v>2.4328751330054293E-3</v>
      </c>
      <c r="AA558" s="82">
        <v>7.0705550405989095E-2</v>
      </c>
    </row>
    <row r="559" spans="1:27">
      <c r="A559" s="148"/>
      <c r="B559" s="54" t="s">
        <v>404</v>
      </c>
      <c r="C559" s="5" t="s">
        <v>405</v>
      </c>
      <c r="D559" s="147">
        <v>17271.265399028325</v>
      </c>
      <c r="E559" s="127">
        <v>13755.093645677434</v>
      </c>
      <c r="F559" s="126">
        <v>10.924383734215292</v>
      </c>
      <c r="G559" s="82">
        <v>9.4977876101666039E-2</v>
      </c>
      <c r="H559" s="126">
        <v>44.83933318088549</v>
      </c>
      <c r="I559" s="82">
        <v>2.3835748637638082E-2</v>
      </c>
      <c r="J559" s="126">
        <v>46.985151663179771</v>
      </c>
      <c r="K559" s="82">
        <v>9.4649679666687858E-2</v>
      </c>
      <c r="L559" s="82">
        <v>1.205877410378934</v>
      </c>
      <c r="M559" s="82">
        <v>2.2005349216702237E-3</v>
      </c>
      <c r="N559" s="82">
        <v>3.3424899732587242E-2</v>
      </c>
      <c r="O559" s="82">
        <v>1.2407776950828158E-2</v>
      </c>
      <c r="P559" s="82">
        <v>1.9853933748446444E-2</v>
      </c>
      <c r="Q559" s="82">
        <v>4.2386965364466088E-2</v>
      </c>
      <c r="R559" s="82">
        <v>2.2381977772864663</v>
      </c>
      <c r="S559" s="82">
        <v>2.5979982573814626E-2</v>
      </c>
      <c r="T559" s="82">
        <v>0.54462769668989341</v>
      </c>
      <c r="U559" s="82">
        <v>3.3972434577612277E-3</v>
      </c>
      <c r="V559" s="82">
        <v>5.5815600516948239E-3</v>
      </c>
      <c r="W559" s="82">
        <v>7.2269755592471618E-2</v>
      </c>
      <c r="X559" s="146">
        <v>9.5693017812227152E-2</v>
      </c>
      <c r="Y559" s="82">
        <v>1.3385498288882973E-3</v>
      </c>
      <c r="Z559" s="82">
        <v>1.5906776536448713E-3</v>
      </c>
      <c r="AA559" s="82">
        <v>5.2028295623805142E-2</v>
      </c>
    </row>
    <row r="560" spans="1:27">
      <c r="A560" s="148"/>
      <c r="B560" s="54" t="s">
        <v>406</v>
      </c>
      <c r="C560" s="5" t="s">
        <v>407</v>
      </c>
      <c r="D560" s="147">
        <v>16455.296981182906</v>
      </c>
      <c r="E560" s="127">
        <v>13480.567659963583</v>
      </c>
      <c r="F560" s="126">
        <v>12.568904145409967</v>
      </c>
      <c r="G560" s="82">
        <v>0.1504542189432041</v>
      </c>
      <c r="H560" s="126">
        <v>50.544701999136784</v>
      </c>
      <c r="I560" s="82">
        <v>2.6835102465519706E-2</v>
      </c>
      <c r="J560" s="126">
        <v>29.549125336539085</v>
      </c>
      <c r="K560" s="82">
        <v>8.5782883934307219E-2</v>
      </c>
      <c r="L560" s="82">
        <v>1.7049139541733318</v>
      </c>
      <c r="M560" s="82">
        <v>4.0163777992518598E-3</v>
      </c>
      <c r="N560" s="82">
        <v>3.1045102525950725E-2</v>
      </c>
      <c r="O560" s="82">
        <v>5.8933563370264291E-3</v>
      </c>
      <c r="P560" s="82">
        <v>3.0453894946303069E-2</v>
      </c>
      <c r="Q560" s="82">
        <v>4.7047116572977221E-2</v>
      </c>
      <c r="R560" s="82">
        <v>4.0336769701145228</v>
      </c>
      <c r="S560" s="82">
        <v>2.531808006241848E-2</v>
      </c>
      <c r="T560" s="82">
        <v>0.11121999071297345</v>
      </c>
      <c r="U560" s="82">
        <v>3.4238306058230767E-3</v>
      </c>
      <c r="V560" s="82">
        <v>9.6843152237983711E-3</v>
      </c>
      <c r="W560" s="82">
        <v>9.2279176900288543E-2</v>
      </c>
      <c r="X560" s="146">
        <v>2.679464918304136E-2</v>
      </c>
      <c r="Y560" s="82">
        <v>3.3973224277699721E-2</v>
      </c>
      <c r="Z560" s="82">
        <v>1.6202621820088992E-3</v>
      </c>
      <c r="AA560" s="82">
        <v>1.9384898666612714E-2</v>
      </c>
    </row>
    <row r="561" spans="1:27">
      <c r="A561" s="148"/>
      <c r="B561" s="54" t="s">
        <v>408</v>
      </c>
      <c r="C561" s="5" t="s">
        <v>409</v>
      </c>
      <c r="D561" s="147">
        <v>15354.542357215605</v>
      </c>
      <c r="E561" s="127">
        <v>14424.307413437076</v>
      </c>
      <c r="F561" s="126">
        <v>5.8662511651702864</v>
      </c>
      <c r="G561" s="82">
        <v>0.11078169020664617</v>
      </c>
      <c r="H561" s="126">
        <v>97.875491940902648</v>
      </c>
      <c r="I561" s="82">
        <v>2.4031640434594E-2</v>
      </c>
      <c r="J561" s="126">
        <v>24.222911733348145</v>
      </c>
      <c r="K561" s="82">
        <v>9.3755332253785947E-2</v>
      </c>
      <c r="L561" s="82">
        <v>3.389718571337188</v>
      </c>
      <c r="M561" s="82">
        <v>2.2917035028456501E-3</v>
      </c>
      <c r="N561" s="82">
        <v>2.9528747870346875E-2</v>
      </c>
      <c r="O561" s="82">
        <v>6.9789156741166328E-3</v>
      </c>
      <c r="P561" s="82">
        <v>2.207471602702012E-2</v>
      </c>
      <c r="Q561" s="82">
        <v>3.8208647604365119E-2</v>
      </c>
      <c r="R561" s="82">
        <v>1.1320312098508694</v>
      </c>
      <c r="S561" s="82">
        <v>3.8414429018969583E-2</v>
      </c>
      <c r="T561" s="82">
        <v>0.10997525986485823</v>
      </c>
      <c r="U561" s="82">
        <v>3.5530346267305737E-3</v>
      </c>
      <c r="V561" s="82">
        <v>2.8321590265266748E-3</v>
      </c>
      <c r="W561" s="82">
        <v>8.6376591260168598E-2</v>
      </c>
      <c r="X561" s="146">
        <v>2.8115371919608199E-2</v>
      </c>
      <c r="Y561" s="82">
        <v>2.5587089946438944E-3</v>
      </c>
      <c r="Z561" s="82">
        <v>1.9428647891392482E-3</v>
      </c>
      <c r="AA561" s="82">
        <v>9.5814353828330756E-2</v>
      </c>
    </row>
    <row r="562" spans="1:27">
      <c r="A562" s="148"/>
      <c r="B562" s="54" t="s">
        <v>410</v>
      </c>
      <c r="C562" s="5" t="s">
        <v>411</v>
      </c>
      <c r="D562" s="147">
        <v>15846.582564630418</v>
      </c>
      <c r="E562" s="127">
        <v>14448.042648517147</v>
      </c>
      <c r="F562" s="126">
        <v>8.8002995967703157</v>
      </c>
      <c r="G562" s="82">
        <v>0.10792749454252827</v>
      </c>
      <c r="H562" s="126">
        <v>91.938157817618276</v>
      </c>
      <c r="I562" s="82">
        <v>2.6662518118653816E-2</v>
      </c>
      <c r="J562" s="126">
        <v>25.360273884266149</v>
      </c>
      <c r="K562" s="82">
        <v>0.11699471909189003</v>
      </c>
      <c r="L562" s="82">
        <v>1.5633650786809969</v>
      </c>
      <c r="M562" s="82">
        <v>2.3934498563567917E-3</v>
      </c>
      <c r="N562" s="82">
        <v>3.2346852768928437E-2</v>
      </c>
      <c r="O562" s="82">
        <v>8.3572475474927386E-3</v>
      </c>
      <c r="P562" s="82">
        <v>2.785404278798146E-2</v>
      </c>
      <c r="Q562" s="82">
        <v>4.6037359457145745E-2</v>
      </c>
      <c r="R562" s="82">
        <v>1.254488358696207</v>
      </c>
      <c r="S562" s="82">
        <v>3.6758047436126526E-2</v>
      </c>
      <c r="T562" s="82">
        <v>0.10929051431977789</v>
      </c>
      <c r="U562" s="82">
        <v>3.146933818629823E-3</v>
      </c>
      <c r="V562" s="82">
        <v>6.9266027799789161E-3</v>
      </c>
      <c r="W562" s="82">
        <v>0.11371481651316863</v>
      </c>
      <c r="X562" s="146">
        <v>1.4987770750850952E-2</v>
      </c>
      <c r="Y562" s="82">
        <v>2.1020413709167962E-2</v>
      </c>
      <c r="Z562" s="82">
        <v>1.1145775744952023E-3</v>
      </c>
      <c r="AA562" s="82">
        <v>5.1869402833464431E-2</v>
      </c>
    </row>
    <row r="563" spans="1:27">
      <c r="A563" s="148"/>
      <c r="B563" s="54" t="s">
        <v>412</v>
      </c>
      <c r="C563" s="5" t="s">
        <v>413</v>
      </c>
      <c r="D563" s="147">
        <v>19629.810408576603</v>
      </c>
      <c r="E563" s="127">
        <v>17542.699934758235</v>
      </c>
      <c r="F563" s="126">
        <v>10.062590419843151</v>
      </c>
      <c r="G563" s="82">
        <v>0.11298076430999796</v>
      </c>
      <c r="H563" s="126">
        <v>259.320010881104</v>
      </c>
      <c r="I563" s="82">
        <v>2.8436344816316954E-2</v>
      </c>
      <c r="J563" s="126">
        <v>30.143972847690367</v>
      </c>
      <c r="K563" s="82">
        <v>0.43406628423690807</v>
      </c>
      <c r="L563" s="82">
        <v>2.8951164797762949</v>
      </c>
      <c r="M563" s="82">
        <v>2.4224560307516533E-3</v>
      </c>
      <c r="N563" s="82">
        <v>3.4005771140619617E-2</v>
      </c>
      <c r="O563" s="82">
        <v>1.0634855366013973E-2</v>
      </c>
      <c r="P563" s="82">
        <v>1.5437993167674835E-2</v>
      </c>
      <c r="Q563" s="82">
        <v>4.6470653598924314E-2</v>
      </c>
      <c r="R563" s="82">
        <v>0.58641430162623487</v>
      </c>
      <c r="S563" s="82">
        <v>1.7600248261162972E-2</v>
      </c>
      <c r="T563" s="82">
        <v>2.5747887629619864E-2</v>
      </c>
      <c r="U563" s="82">
        <v>3.1435670783501752E-3</v>
      </c>
      <c r="V563" s="82">
        <v>6.6802930819800767E-3</v>
      </c>
      <c r="W563" s="82">
        <v>8.5660662887614647E-2</v>
      </c>
      <c r="X563" s="146">
        <v>1.354712325069465E-2</v>
      </c>
      <c r="Y563" s="82">
        <v>1.0865909129657105E-3</v>
      </c>
      <c r="Z563" s="82">
        <v>1.6691865435478669E-3</v>
      </c>
      <c r="AA563" s="82">
        <v>2.0846114149170925E-2</v>
      </c>
    </row>
    <row r="564" spans="1:27">
      <c r="A564" s="255"/>
      <c r="B564" s="5" t="s">
        <v>414</v>
      </c>
      <c r="C564" s="5" t="s">
        <v>415</v>
      </c>
      <c r="D564" s="256">
        <v>17898.460993174562</v>
      </c>
      <c r="E564" s="164">
        <v>12044.733953571107</v>
      </c>
      <c r="F564" s="173">
        <v>30.408396315231972</v>
      </c>
      <c r="G564" s="11">
        <v>0.69902119361466519</v>
      </c>
      <c r="H564" s="173">
        <v>18.928907373228114</v>
      </c>
      <c r="I564" s="11">
        <v>2.6542295980361192E-2</v>
      </c>
      <c r="J564" s="173">
        <v>15.601222959642547</v>
      </c>
      <c r="K564" s="11">
        <v>2.3745078664748731E-2</v>
      </c>
      <c r="L564" s="11">
        <v>6.9404656425490954</v>
      </c>
      <c r="M564" s="11">
        <v>1.1737659839431381E-2</v>
      </c>
      <c r="N564" s="11">
        <v>2.7655205341687757E-2</v>
      </c>
      <c r="O564" s="11">
        <v>1.6904427149646963E-3</v>
      </c>
      <c r="P564" s="11">
        <v>3.2935512087378181E-2</v>
      </c>
      <c r="Q564" s="11">
        <v>7.2408058446700466E-2</v>
      </c>
      <c r="R564" s="11">
        <v>1.1373568895150585</v>
      </c>
      <c r="S564" s="11">
        <v>1.5243590636542481E-2</v>
      </c>
      <c r="T564" s="11">
        <v>0.37079872165963795</v>
      </c>
      <c r="U564" s="11">
        <v>1.0827898813236243E-3</v>
      </c>
      <c r="V564" s="11">
        <v>0</v>
      </c>
      <c r="W564" s="11">
        <v>5.3545546577592328E-2</v>
      </c>
      <c r="X564" s="217">
        <v>2.7977129831794428E-2</v>
      </c>
      <c r="Y564" s="11">
        <v>3.077666946014682E-4</v>
      </c>
      <c r="Z564" s="11">
        <v>1.5000159894138488E-3</v>
      </c>
      <c r="AA564" s="11">
        <v>1.4208976008109782E-2</v>
      </c>
    </row>
    <row r="565" spans="1:27">
      <c r="A565" s="255"/>
      <c r="B565" s="5" t="s">
        <v>416</v>
      </c>
      <c r="C565" s="5" t="s">
        <v>417</v>
      </c>
      <c r="D565" s="256">
        <v>19187.164501399573</v>
      </c>
      <c r="E565" s="164">
        <v>10034.510350969096</v>
      </c>
      <c r="F565" s="173">
        <v>518.91315344303462</v>
      </c>
      <c r="G565" s="11">
        <v>1.1393745403126825</v>
      </c>
      <c r="H565" s="173">
        <v>74.500992335287009</v>
      </c>
      <c r="I565" s="11">
        <v>7.1043535146918912E-2</v>
      </c>
      <c r="J565" s="11">
        <v>7.9599596094994256</v>
      </c>
      <c r="K565" s="11">
        <v>2.3109468052596779E-2</v>
      </c>
      <c r="L565" s="11">
        <v>6.5992505441164546</v>
      </c>
      <c r="M565" s="11">
        <v>4.7333428094943911E-2</v>
      </c>
      <c r="N565" s="11">
        <v>2.841714556129497E-2</v>
      </c>
      <c r="O565" s="11">
        <v>3.4659475371136262E-3</v>
      </c>
      <c r="P565" s="11">
        <v>0.10132563880792032</v>
      </c>
      <c r="Q565" s="11">
        <v>0.10573598267628398</v>
      </c>
      <c r="R565" s="11">
        <v>0.34661007900819163</v>
      </c>
      <c r="S565" s="11">
        <v>3.0931412687723581E-2</v>
      </c>
      <c r="T565" s="11">
        <v>0.42319747917294509</v>
      </c>
      <c r="U565" s="11">
        <v>1.7504190570232438E-3</v>
      </c>
      <c r="V565" s="11">
        <v>2.119102085483944E-2</v>
      </c>
      <c r="W565" s="11">
        <v>0.19877508278754427</v>
      </c>
      <c r="X565" s="217">
        <v>0.18312718263780509</v>
      </c>
      <c r="Y565" s="11">
        <v>4.508011106853569E-2</v>
      </c>
      <c r="Z565" s="11">
        <v>1.3726128007562054E-2</v>
      </c>
      <c r="AA565" s="11">
        <v>2.8891178413357602E-2</v>
      </c>
    </row>
    <row r="566" spans="1:27">
      <c r="A566" s="255"/>
      <c r="B566" s="5" t="s">
        <v>418</v>
      </c>
      <c r="C566" s="5" t="s">
        <v>419</v>
      </c>
      <c r="D566" s="256">
        <v>20200.854672076348</v>
      </c>
      <c r="E566" s="164">
        <v>20869.30699703236</v>
      </c>
      <c r="F566" s="173">
        <v>743.26684170915257</v>
      </c>
      <c r="G566" s="11">
        <v>3.2843310410313711</v>
      </c>
      <c r="H566" s="173">
        <v>17.564552577183751</v>
      </c>
      <c r="I566" s="11">
        <v>0.10955141501179372</v>
      </c>
      <c r="J566" s="173">
        <v>26.089499468441979</v>
      </c>
      <c r="K566" s="11">
        <v>6.1747993000022136E-2</v>
      </c>
      <c r="L566" s="11">
        <v>13.193303672091835</v>
      </c>
      <c r="M566" s="11">
        <v>8.4719392153244269E-2</v>
      </c>
      <c r="N566" s="11">
        <v>5.0400003278890576E-2</v>
      </c>
      <c r="O566" s="11">
        <v>7.2974884675001076E-3</v>
      </c>
      <c r="P566" s="11">
        <v>0.34983956018638607</v>
      </c>
      <c r="Q566" s="11">
        <v>9.124519986366382E-2</v>
      </c>
      <c r="R566" s="11">
        <v>0.33946259603870477</v>
      </c>
      <c r="S566" s="11">
        <v>5.2267665167877203E-2</v>
      </c>
      <c r="T566" s="11">
        <v>0.88385717831754362</v>
      </c>
      <c r="U566" s="11">
        <v>3.7012470121287003E-3</v>
      </c>
      <c r="V566" s="11">
        <v>3.4334471785983672E-2</v>
      </c>
      <c r="W566" s="11">
        <v>0.78562883424685204</v>
      </c>
      <c r="X566" s="217">
        <v>0.13689884896533064</v>
      </c>
      <c r="Y566" s="11">
        <v>0.87679546172851996</v>
      </c>
      <c r="Z566" s="11">
        <v>4.193739221326845E-3</v>
      </c>
      <c r="AA566" s="11">
        <v>5.4964785932825652E-2</v>
      </c>
    </row>
    <row r="567" spans="1:27">
      <c r="A567" s="255"/>
      <c r="B567" s="5" t="s">
        <v>420</v>
      </c>
      <c r="C567" s="5" t="s">
        <v>421</v>
      </c>
      <c r="D567" s="256">
        <v>15846.472004548707</v>
      </c>
      <c r="E567" s="164">
        <v>16802.502582669866</v>
      </c>
      <c r="F567" s="173">
        <v>535.98010123629172</v>
      </c>
      <c r="G567" s="11">
        <v>7.4596341263041044</v>
      </c>
      <c r="H567" s="173">
        <v>17.520131877903751</v>
      </c>
      <c r="I567" s="11">
        <v>5.4143889905354764E-2</v>
      </c>
      <c r="J567" s="11">
        <v>6.3226777128625393</v>
      </c>
      <c r="K567" s="11">
        <v>2.0063815972403819E-2</v>
      </c>
      <c r="L567" s="11">
        <v>8.2258883509691909</v>
      </c>
      <c r="M567" s="11">
        <v>4.394107248972566E-2</v>
      </c>
      <c r="N567" s="11">
        <v>2.7121903894343269E-2</v>
      </c>
      <c r="O567" s="11">
        <v>4.0365968507938355E-3</v>
      </c>
      <c r="P567" s="11">
        <v>0.2209059117240556</v>
      </c>
      <c r="Q567" s="11">
        <v>0.29774927668217532</v>
      </c>
      <c r="R567" s="11">
        <v>0.27606166837529217</v>
      </c>
      <c r="S567" s="11">
        <v>5.0053673093479897E-2</v>
      </c>
      <c r="T567" s="11">
        <v>0.50457772411733182</v>
      </c>
      <c r="U567" s="11">
        <v>7.2589440172663149E-3</v>
      </c>
      <c r="V567" s="11">
        <v>1.8410907027115609E-2</v>
      </c>
      <c r="W567" s="11">
        <v>0.77676521777781349</v>
      </c>
      <c r="X567" s="217">
        <v>0.16887279762103236</v>
      </c>
      <c r="Y567" s="11">
        <v>0.11242078007889965</v>
      </c>
      <c r="Z567" s="11">
        <v>6.5870623195922315E-3</v>
      </c>
      <c r="AA567" s="11">
        <v>3.581783175479885E-2</v>
      </c>
    </row>
    <row r="568" spans="1:27">
      <c r="A568" s="255"/>
      <c r="B568" s="5" t="s">
        <v>422</v>
      </c>
      <c r="C568" s="5" t="s">
        <v>423</v>
      </c>
      <c r="D568" s="256">
        <v>14935.992586391454</v>
      </c>
      <c r="E568" s="164">
        <v>14054.869336327554</v>
      </c>
      <c r="F568" s="173">
        <v>148.9665789739237</v>
      </c>
      <c r="G568" s="11">
        <v>0.92078336661622684</v>
      </c>
      <c r="H568" s="173">
        <v>38.24080029490797</v>
      </c>
      <c r="I568" s="11">
        <v>2.6495776268185042E-2</v>
      </c>
      <c r="J568" s="173">
        <v>15.162854300509446</v>
      </c>
      <c r="K568" s="11">
        <v>3.5514776865647857E-2</v>
      </c>
      <c r="L568" s="11">
        <v>6.1256474061658768</v>
      </c>
      <c r="M568" s="11">
        <v>3.037835918375573E-2</v>
      </c>
      <c r="N568" s="11">
        <v>2.5244905284730817E-2</v>
      </c>
      <c r="O568" s="11">
        <v>4.5778525802755892E-3</v>
      </c>
      <c r="P568" s="11">
        <v>0.13166331074110935</v>
      </c>
      <c r="Q568" s="11">
        <v>6.3506995351613721E-2</v>
      </c>
      <c r="R568" s="11">
        <v>0.28163224158944783</v>
      </c>
      <c r="S568" s="11">
        <v>2.2024917964341161E-2</v>
      </c>
      <c r="T568" s="11">
        <v>0.27020722231727734</v>
      </c>
      <c r="U568" s="11">
        <v>1.5469903265149978E-3</v>
      </c>
      <c r="V568" s="11">
        <v>1.2286914278136841E-2</v>
      </c>
      <c r="W568" s="11">
        <v>0.20757167701812365</v>
      </c>
      <c r="X568" s="217">
        <v>1.4661411723670624E-2</v>
      </c>
      <c r="Y568" s="11">
        <v>5.4050647338069004E-2</v>
      </c>
      <c r="Z568" s="11">
        <v>2.012519208760504E-3</v>
      </c>
      <c r="AA568" s="11">
        <v>2.3782982444596312E-2</v>
      </c>
    </row>
    <row r="569" spans="1:27">
      <c r="A569" s="255"/>
      <c r="B569" s="5" t="s">
        <v>424</v>
      </c>
      <c r="C569" s="5" t="s">
        <v>425</v>
      </c>
      <c r="D569" s="256">
        <v>14902.916220644451</v>
      </c>
      <c r="E569" s="164">
        <v>14467.929007453695</v>
      </c>
      <c r="F569" s="173">
        <v>59.962680630699808</v>
      </c>
      <c r="G569" s="11">
        <v>1.3970257104021542</v>
      </c>
      <c r="H569" s="173">
        <v>34.280151432043752</v>
      </c>
      <c r="I569" s="11">
        <v>3.312727103670151E-2</v>
      </c>
      <c r="J569" s="173">
        <v>19.05141783677584</v>
      </c>
      <c r="K569" s="11">
        <v>2.0967030065805033E-2</v>
      </c>
      <c r="L569" s="11">
        <v>5.4044991810411069</v>
      </c>
      <c r="M569" s="11">
        <v>1.2898683892787321E-2</v>
      </c>
      <c r="N569" s="11">
        <v>2.3107213301861992E-2</v>
      </c>
      <c r="O569" s="11">
        <v>2.9644357745801826E-3</v>
      </c>
      <c r="P569" s="11">
        <v>9.6646223217313504E-2</v>
      </c>
      <c r="Q569" s="11">
        <v>8.8768993125339049E-2</v>
      </c>
      <c r="R569" s="11">
        <v>0.44700341445652908</v>
      </c>
      <c r="S569" s="11">
        <v>0.18718786413352634</v>
      </c>
      <c r="T569" s="11">
        <v>0.39807996890407699</v>
      </c>
      <c r="U569" s="11">
        <v>8.4494190427563398E-3</v>
      </c>
      <c r="V569" s="11">
        <v>1.7849983662756902E-3</v>
      </c>
      <c r="W569" s="11">
        <v>0.29730104928136242</v>
      </c>
      <c r="X569" s="217">
        <v>2.0012087298864403E-2</v>
      </c>
      <c r="Y569" s="11">
        <v>1.8472630051005263E-2</v>
      </c>
      <c r="Z569" s="11">
        <v>5.0851521228153307E-3</v>
      </c>
      <c r="AA569" s="11">
        <v>3.3753498800007734E-2</v>
      </c>
    </row>
    <row r="570" spans="1:27">
      <c r="A570" s="255"/>
      <c r="B570" s="5" t="s">
        <v>426</v>
      </c>
      <c r="C570" s="5" t="s">
        <v>427</v>
      </c>
      <c r="D570" s="256">
        <v>12931.27010193651</v>
      </c>
      <c r="E570" s="164">
        <v>14806.966510380091</v>
      </c>
      <c r="F570" s="173">
        <v>67.373663814231534</v>
      </c>
      <c r="G570" s="173">
        <v>16.382932081621636</v>
      </c>
      <c r="H570" s="173">
        <v>25.609958612910845</v>
      </c>
      <c r="I570" s="11">
        <v>8.2411746405362959E-2</v>
      </c>
      <c r="J570" s="11">
        <v>3.3156648706998095</v>
      </c>
      <c r="K570" s="11">
        <v>4.3695586471171735E-2</v>
      </c>
      <c r="L570" s="11">
        <v>7.7102645342428371</v>
      </c>
      <c r="M570" s="11">
        <v>1.7048084902238806E-2</v>
      </c>
      <c r="N570" s="11">
        <v>2.3290609227626526E-2</v>
      </c>
      <c r="O570" s="11">
        <v>7.2458394695232645E-3</v>
      </c>
      <c r="P570" s="11">
        <v>8.2080477923438838E-2</v>
      </c>
      <c r="Q570" s="11">
        <v>0.69965853962852831</v>
      </c>
      <c r="R570" s="11">
        <v>0.92263139183033527</v>
      </c>
      <c r="S570" s="11">
        <v>8.9641967695351543E-2</v>
      </c>
      <c r="T570" s="11">
        <v>0.85864673268133962</v>
      </c>
      <c r="U570" s="11">
        <v>5.2570543911715319E-2</v>
      </c>
      <c r="V570" s="11">
        <v>2.5886153700030268E-3</v>
      </c>
      <c r="W570" s="11">
        <v>0.23453161189773444</v>
      </c>
      <c r="X570" s="217">
        <v>3.8531785044786805E-2</v>
      </c>
      <c r="Y570" s="11">
        <v>1.1432573556164814E-2</v>
      </c>
      <c r="Z570" s="11">
        <v>1.8729645016770862E-2</v>
      </c>
      <c r="AA570" s="11">
        <v>4.0991451694015239E-2</v>
      </c>
    </row>
    <row r="571" spans="1:27">
      <c r="A571" s="255"/>
      <c r="B571" s="5" t="s">
        <v>428</v>
      </c>
      <c r="C571" s="5" t="s">
        <v>429</v>
      </c>
      <c r="D571" s="256">
        <v>15788.619090369442</v>
      </c>
      <c r="E571" s="164">
        <v>15537.030473746874</v>
      </c>
      <c r="F571" s="173">
        <v>90.770354955512829</v>
      </c>
      <c r="G571" s="11">
        <v>0.34016535633211015</v>
      </c>
      <c r="H571" s="173">
        <v>29.332466961497868</v>
      </c>
      <c r="I571" s="11">
        <v>1.9104330966093645E-2</v>
      </c>
      <c r="J571" s="173">
        <v>33.861368374505588</v>
      </c>
      <c r="K571" s="11">
        <v>2.9630229606659758E-2</v>
      </c>
      <c r="L571" s="11">
        <v>8.0286808059441714</v>
      </c>
      <c r="M571" s="11">
        <v>1.360011768381318E-2</v>
      </c>
      <c r="N571" s="11">
        <v>2.2557705426116084E-2</v>
      </c>
      <c r="O571" s="11">
        <v>4.1033893514418216E-3</v>
      </c>
      <c r="P571" s="11">
        <v>3.4386337699185567E-2</v>
      </c>
      <c r="Q571" s="11">
        <v>5.8541665632831523E-2</v>
      </c>
      <c r="R571" s="11">
        <v>2.9409181551637738E-2</v>
      </c>
      <c r="S571" s="11">
        <v>9.9842051113105609E-3</v>
      </c>
      <c r="T571" s="11">
        <v>0.27906982386591367</v>
      </c>
      <c r="U571" s="11">
        <v>7.0343955493189919E-4</v>
      </c>
      <c r="V571" s="11">
        <v>3.3541844822447629E-3</v>
      </c>
      <c r="W571" s="11">
        <v>3.0895979833820874E-2</v>
      </c>
      <c r="X571" s="217">
        <v>1.246637103061328E-2</v>
      </c>
      <c r="Y571" s="11">
        <v>9.470110567061622E-3</v>
      </c>
      <c r="Z571" s="11">
        <v>1.0303950409035047E-3</v>
      </c>
      <c r="AA571" s="11">
        <v>1.9203054921553574E-2</v>
      </c>
    </row>
    <row r="572" spans="1:27">
      <c r="A572" s="255"/>
      <c r="B572" s="5" t="s">
        <v>430</v>
      </c>
      <c r="C572" s="5" t="s">
        <v>431</v>
      </c>
      <c r="D572" s="256">
        <v>14216.881460222445</v>
      </c>
      <c r="E572" s="164">
        <v>16046.454818499285</v>
      </c>
      <c r="F572" s="173">
        <v>33.846086457658842</v>
      </c>
      <c r="G572" s="11">
        <v>3.6295261781782258</v>
      </c>
      <c r="H572" s="173">
        <v>15.628983880974429</v>
      </c>
      <c r="I572" s="11">
        <v>2.2708177232693805E-2</v>
      </c>
      <c r="J572" s="173">
        <v>18.899213469427657</v>
      </c>
      <c r="K572" s="11">
        <v>2.7719390460703919E-2</v>
      </c>
      <c r="L572" s="11">
        <v>7.6047048727976003</v>
      </c>
      <c r="M572" s="11">
        <v>0.10184787937729654</v>
      </c>
      <c r="N572" s="11">
        <v>2.7669638191039007E-2</v>
      </c>
      <c r="O572" s="11">
        <v>3.2575211966077459E-3</v>
      </c>
      <c r="P572" s="11">
        <v>3.2747652756308449E-2</v>
      </c>
      <c r="Q572" s="11">
        <v>9.4734558598662824E-2</v>
      </c>
      <c r="R572" s="11">
        <v>6.6826626736052538E-2</v>
      </c>
      <c r="S572" s="11">
        <v>3.6830815888638152E-2</v>
      </c>
      <c r="T572" s="11">
        <v>0.2275847542829374</v>
      </c>
      <c r="U572" s="11">
        <v>1.2646069416889509E-3</v>
      </c>
      <c r="V572" s="11">
        <v>4.1579743227652581E-3</v>
      </c>
      <c r="W572" s="11">
        <v>6.5039157398718808E-2</v>
      </c>
      <c r="X572" s="217">
        <v>2.3006831909661782E-2</v>
      </c>
      <c r="Y572" s="11">
        <v>3.6561791703719267E-2</v>
      </c>
      <c r="Z572" s="11">
        <v>1.7497840204859433E-3</v>
      </c>
      <c r="AA572" s="11">
        <v>2.2221318668308669E-2</v>
      </c>
    </row>
    <row r="573" spans="1:27">
      <c r="A573" s="255"/>
      <c r="B573" s="5" t="s">
        <v>432</v>
      </c>
      <c r="C573" s="5" t="s">
        <v>433</v>
      </c>
      <c r="D573" s="256">
        <v>13455.814121104584</v>
      </c>
      <c r="E573" s="164">
        <v>13614.369575437922</v>
      </c>
      <c r="F573" s="173">
        <v>14.787202517321983</v>
      </c>
      <c r="G573" s="173">
        <v>44.219851756035141</v>
      </c>
      <c r="H573" s="173">
        <v>50.876605974679627</v>
      </c>
      <c r="I573" s="11">
        <v>3.7629934796666875E-2</v>
      </c>
      <c r="J573" s="173">
        <v>18.779966344314438</v>
      </c>
      <c r="K573" s="11">
        <v>0.21930101096435972</v>
      </c>
      <c r="L573" s="11">
        <v>2.0349628612933883</v>
      </c>
      <c r="M573" s="11">
        <v>4.231426074101409E-3</v>
      </c>
      <c r="N573" s="11">
        <v>2.7039304517290561E-2</v>
      </c>
      <c r="O573" s="11">
        <v>3.0257691601152877E-2</v>
      </c>
      <c r="P573" s="11">
        <v>0.39993758436164867</v>
      </c>
      <c r="Q573" s="11">
        <v>1.9915523729809248</v>
      </c>
      <c r="R573" s="11">
        <v>2.3223346680698569</v>
      </c>
      <c r="S573" s="11">
        <v>0.2256862423426727</v>
      </c>
      <c r="T573" s="11">
        <v>4.5603220989005067</v>
      </c>
      <c r="U573" s="11">
        <v>9.831195111687889E-3</v>
      </c>
      <c r="V573" s="11">
        <v>6.5374385851046657E-3</v>
      </c>
      <c r="W573" s="11">
        <v>1.6637673403237381</v>
      </c>
      <c r="X573" s="217">
        <v>9.7647909494487484E-2</v>
      </c>
      <c r="Y573" s="11">
        <v>1.708373859174131E-2</v>
      </c>
      <c r="Z573" s="11">
        <v>1.0406640372284115E-3</v>
      </c>
      <c r="AA573" s="11">
        <v>3.2575436144949066E-2</v>
      </c>
    </row>
    <row r="574" spans="1:27">
      <c r="A574" s="255"/>
      <c r="B574" s="5" t="s">
        <v>434</v>
      </c>
      <c r="C574" s="5" t="s">
        <v>435</v>
      </c>
      <c r="D574" s="256">
        <v>16549.630616612034</v>
      </c>
      <c r="E574" s="164">
        <v>15622.340458867544</v>
      </c>
      <c r="F574" s="173">
        <v>202.64781750232038</v>
      </c>
      <c r="G574" s="11">
        <v>7.5993237880100937</v>
      </c>
      <c r="H574" s="173">
        <v>69.222313364440652</v>
      </c>
      <c r="I574" s="11">
        <v>8.2921034659691459E-2</v>
      </c>
      <c r="J574" s="11">
        <v>7.476732182241836</v>
      </c>
      <c r="K574" s="11">
        <v>2.1181732874018495E-2</v>
      </c>
      <c r="L574" s="11">
        <v>10.385435463590614</v>
      </c>
      <c r="M574" s="11">
        <v>1.7565705674437795E-2</v>
      </c>
      <c r="N574" s="11">
        <v>2.6213021484147343E-2</v>
      </c>
      <c r="O574" s="11">
        <v>4.4437990162367611E-3</v>
      </c>
      <c r="P574" s="11">
        <v>0.20048358291937196</v>
      </c>
      <c r="Q574" s="11">
        <v>2.0578284807099707</v>
      </c>
      <c r="R574" s="11">
        <v>0.3891048304859962</v>
      </c>
      <c r="S574" s="11">
        <v>2.9176031490040642E-2</v>
      </c>
      <c r="T574" s="11">
        <v>1.5990376405584712</v>
      </c>
      <c r="U574" s="11">
        <v>6.3715169307474701E-2</v>
      </c>
      <c r="V574" s="11">
        <v>0.25540700448105402</v>
      </c>
      <c r="W574" s="11">
        <v>2.2850332796740793</v>
      </c>
      <c r="X574" s="217">
        <v>5.4153639629466607E-2</v>
      </c>
      <c r="Y574" s="11">
        <v>2.7115381926353281</v>
      </c>
      <c r="Z574" s="11">
        <v>2.6991896331706754E-2</v>
      </c>
      <c r="AA574" s="11">
        <v>6.4483559414496253E-2</v>
      </c>
    </row>
    <row r="575" spans="1:27">
      <c r="A575" s="255"/>
      <c r="B575" s="5" t="s">
        <v>436</v>
      </c>
      <c r="C575" s="5" t="s">
        <v>437</v>
      </c>
      <c r="D575" s="256">
        <v>16042.834127300874</v>
      </c>
      <c r="E575" s="164">
        <v>18317.344666440276</v>
      </c>
      <c r="F575" s="173">
        <v>505.12463384108685</v>
      </c>
      <c r="G575" s="11">
        <v>1.5363421051551007</v>
      </c>
      <c r="H575" s="173">
        <v>61.419015264727605</v>
      </c>
      <c r="I575" s="11">
        <v>4.0228229401968366E-2</v>
      </c>
      <c r="J575" s="173">
        <v>12.613161567056915</v>
      </c>
      <c r="K575" s="11">
        <v>1.6700993733127247E-2</v>
      </c>
      <c r="L575" s="11">
        <v>7.7541015931833988</v>
      </c>
      <c r="M575" s="11">
        <v>2.9493143488069719E-2</v>
      </c>
      <c r="N575" s="11">
        <v>2.6423961899833971E-2</v>
      </c>
      <c r="O575" s="11">
        <v>5.1559443258609762E-3</v>
      </c>
      <c r="P575" s="11">
        <v>0.45154431068489581</v>
      </c>
      <c r="Q575" s="11">
        <v>8.8176937188657323E-2</v>
      </c>
      <c r="R575" s="11">
        <v>0.34591419708298821</v>
      </c>
      <c r="S575" s="11">
        <v>5.7023201213075483E-2</v>
      </c>
      <c r="T575" s="11">
        <v>0.36083120173296396</v>
      </c>
      <c r="U575" s="11">
        <v>2.6439795247232326E-3</v>
      </c>
      <c r="V575" s="11">
        <v>1.5382371977472947E-2</v>
      </c>
      <c r="W575" s="11">
        <v>0.9070643803775218</v>
      </c>
      <c r="X575" s="217">
        <v>0.10182137515962029</v>
      </c>
      <c r="Y575" s="11">
        <v>0.23249435167138083</v>
      </c>
      <c r="Z575" s="11">
        <v>4.6406524784202144E-3</v>
      </c>
      <c r="AA575" s="11">
        <v>5.7372658445844278E-2</v>
      </c>
    </row>
    <row r="576" spans="1:27">
      <c r="A576" s="255"/>
      <c r="B576" s="5" t="s">
        <v>438</v>
      </c>
      <c r="C576" s="5" t="s">
        <v>439</v>
      </c>
      <c r="D576" s="256">
        <v>15342.756814606255</v>
      </c>
      <c r="E576" s="164">
        <v>15167.733421411454</v>
      </c>
      <c r="F576" s="173">
        <v>18.197510756681179</v>
      </c>
      <c r="G576" s="11">
        <v>3.4773685153546241</v>
      </c>
      <c r="H576" s="173">
        <v>16.702472262274608</v>
      </c>
      <c r="I576" s="11">
        <v>2.6927783329671127E-2</v>
      </c>
      <c r="J576" s="173">
        <v>19.371456407974456</v>
      </c>
      <c r="K576" s="11">
        <v>1.813118963662293E-2</v>
      </c>
      <c r="L576" s="11">
        <v>5.7045328268889941</v>
      </c>
      <c r="M576" s="11">
        <v>8.1858955748091766E-2</v>
      </c>
      <c r="N576" s="11">
        <v>2.5050272641629408E-2</v>
      </c>
      <c r="O576" s="11">
        <v>2.2436008639033765E-3</v>
      </c>
      <c r="P576" s="11">
        <v>4.4976202763775189E-2</v>
      </c>
      <c r="Q576" s="11">
        <v>6.2341877724363032E-2</v>
      </c>
      <c r="R576" s="11">
        <v>0.20981717835812655</v>
      </c>
      <c r="S576" s="11">
        <v>1.2699640296620374E-2</v>
      </c>
      <c r="T576" s="11">
        <v>0.30492260944147626</v>
      </c>
      <c r="U576" s="11">
        <v>8.4075273516344938E-4</v>
      </c>
      <c r="V576" s="11">
        <v>2.5364662434185564E-3</v>
      </c>
      <c r="W576" s="11">
        <v>0.1162259877294281</v>
      </c>
      <c r="X576" s="217">
        <v>1.649369396897675E-2</v>
      </c>
      <c r="Y576" s="11">
        <v>6.617029886526374E-3</v>
      </c>
      <c r="Z576" s="11">
        <v>2.1386516710648232E-3</v>
      </c>
      <c r="AA576" s="11">
        <v>2.7814525498618327E-2</v>
      </c>
    </row>
    <row r="577" spans="1:27">
      <c r="A577" s="255"/>
      <c r="B577" s="5" t="s">
        <v>440</v>
      </c>
      <c r="C577" s="5" t="s">
        <v>441</v>
      </c>
      <c r="D577" s="256">
        <v>9665.2638154579508</v>
      </c>
      <c r="E577" s="164">
        <v>10163.696425576702</v>
      </c>
      <c r="F577" s="173">
        <v>77.255974160139104</v>
      </c>
      <c r="G577" s="11">
        <v>1.4559395005320983</v>
      </c>
      <c r="H577" s="173">
        <v>31.639356445414741</v>
      </c>
      <c r="I577" s="11">
        <v>7.2168430894664348E-2</v>
      </c>
      <c r="J577" s="173">
        <v>12.798964890077766</v>
      </c>
      <c r="K577" s="11">
        <v>7.0086252367923915E-2</v>
      </c>
      <c r="L577" s="11">
        <v>1.0108717274919641</v>
      </c>
      <c r="M577" s="11">
        <v>1.2012571429955727E-2</v>
      </c>
      <c r="N577" s="11">
        <v>2.6229043595816074E-2</v>
      </c>
      <c r="O577" s="11">
        <v>6.1835928231267654E-3</v>
      </c>
      <c r="P577" s="11">
        <v>4.0254640394834576E-2</v>
      </c>
      <c r="Q577" s="11">
        <v>2.6199764685196452</v>
      </c>
      <c r="R577" s="11">
        <v>1.4589621235592249</v>
      </c>
      <c r="S577" s="11">
        <v>2.4651083126079814E-2</v>
      </c>
      <c r="T577" s="11">
        <v>11.568290161960197</v>
      </c>
      <c r="U577" s="11">
        <v>9.3359983180456491E-2</v>
      </c>
      <c r="V577" s="11">
        <v>6.4077534645305472E-3</v>
      </c>
      <c r="W577" s="11">
        <v>0.2150658142787942</v>
      </c>
      <c r="X577" s="217">
        <v>0.24226531472510371</v>
      </c>
      <c r="Y577" s="11">
        <v>1.467033017595298E-2</v>
      </c>
      <c r="Z577" s="11">
        <v>1.667988143254705E-3</v>
      </c>
      <c r="AA577" s="11">
        <v>2.9595451120406836E-2</v>
      </c>
    </row>
    <row r="578" spans="1:27">
      <c r="A578" s="255"/>
      <c r="B578" s="5" t="s">
        <v>442</v>
      </c>
      <c r="C578" s="5" t="s">
        <v>443</v>
      </c>
      <c r="D578" s="256">
        <v>9311.6285642369876</v>
      </c>
      <c r="E578" s="164">
        <v>8477.9397977223671</v>
      </c>
      <c r="F578" s="173">
        <v>10.250321804799816</v>
      </c>
      <c r="G578" s="164">
        <v>398.92640230075409</v>
      </c>
      <c r="H578" s="173">
        <v>11.210699444283147</v>
      </c>
      <c r="I578" s="11">
        <v>7.3370580548747372E-2</v>
      </c>
      <c r="J578" s="173">
        <v>23.321600934528671</v>
      </c>
      <c r="K578" s="11">
        <v>0.18810250731281</v>
      </c>
      <c r="L578" s="11">
        <v>0.33794045974466386</v>
      </c>
      <c r="M578" s="11">
        <v>3.3573088638399941E-3</v>
      </c>
      <c r="N578" s="11">
        <v>2.396161710792663E-2</v>
      </c>
      <c r="O578" s="11">
        <v>3.472273975934359E-2</v>
      </c>
      <c r="P578" s="11">
        <v>0.29191247007757098</v>
      </c>
      <c r="Q578" s="11">
        <v>2.6222628756509136</v>
      </c>
      <c r="R578" s="11">
        <v>1.3967591849613556</v>
      </c>
      <c r="S578" s="11">
        <v>0.18538296291633902</v>
      </c>
      <c r="T578" s="11">
        <v>11.660079377111733</v>
      </c>
      <c r="U578" s="11">
        <v>0.14051047838810712</v>
      </c>
      <c r="V578" s="11">
        <v>1.2873387181178692E-2</v>
      </c>
      <c r="W578" s="11">
        <v>0.22068361072584319</v>
      </c>
      <c r="X578" s="217">
        <v>5.4021941485156016E-2</v>
      </c>
      <c r="Y578" s="11">
        <v>1.7228798944611216E-2</v>
      </c>
      <c r="Z578" s="11">
        <v>8.614654296688676E-4</v>
      </c>
      <c r="AA578" s="11">
        <v>1.308561721676928E-2</v>
      </c>
    </row>
    <row r="579" spans="1:27">
      <c r="A579" s="255"/>
      <c r="B579" s="5" t="s">
        <v>444</v>
      </c>
      <c r="C579" s="5" t="s">
        <v>445</v>
      </c>
      <c r="D579" s="256">
        <v>14978.332320653451</v>
      </c>
      <c r="E579" s="164">
        <v>14454.12016751336</v>
      </c>
      <c r="F579" s="173">
        <v>94.006038023116417</v>
      </c>
      <c r="G579" s="11">
        <v>0.20275332521182918</v>
      </c>
      <c r="H579" s="173">
        <v>9.3745325618246831</v>
      </c>
      <c r="I579" s="11">
        <v>2.8149745425766141E-2</v>
      </c>
      <c r="J579" s="173">
        <v>10.138266465319395</v>
      </c>
      <c r="K579" s="11">
        <v>2.1455386961305722E-2</v>
      </c>
      <c r="L579" s="11">
        <v>6.8119392849634091</v>
      </c>
      <c r="M579" s="11">
        <v>9.9956526936000167E-3</v>
      </c>
      <c r="N579" s="11">
        <v>2.0713118137507956E-2</v>
      </c>
      <c r="O579" s="11">
        <v>1.2905632872072022E-3</v>
      </c>
      <c r="P579" s="11">
        <v>2.8489921885179632E-2</v>
      </c>
      <c r="Q579" s="11">
        <v>5.5723253285538225E-2</v>
      </c>
      <c r="R579" s="11">
        <v>7.9539451590628543E-2</v>
      </c>
      <c r="S579" s="11">
        <v>1.1318662413807629E-2</v>
      </c>
      <c r="T579" s="11">
        <v>0.14979162131811172</v>
      </c>
      <c r="U579" s="11">
        <v>1.0421387538595518E-3</v>
      </c>
      <c r="V579" s="11">
        <v>8.3316016686549293E-3</v>
      </c>
      <c r="W579" s="11">
        <v>6.4514395870914537E-2</v>
      </c>
      <c r="X579" s="217">
        <v>1.9481254692601223E-2</v>
      </c>
      <c r="Y579" s="11">
        <v>1.0604917214960912E-3</v>
      </c>
      <c r="Z579" s="11">
        <v>3.4083950883879418E-3</v>
      </c>
      <c r="AA579" s="11">
        <v>2.3737031035948038E-2</v>
      </c>
    </row>
    <row r="580" spans="1:27">
      <c r="A580" s="255"/>
      <c r="B580" s="5" t="s">
        <v>446</v>
      </c>
      <c r="C580" s="5" t="s">
        <v>447</v>
      </c>
      <c r="D580" s="256">
        <v>13455.738758056981</v>
      </c>
      <c r="E580" s="164">
        <v>14896.829541118268</v>
      </c>
      <c r="F580" s="173">
        <v>152.8379989921076</v>
      </c>
      <c r="G580" s="164">
        <v>215.6618097204483</v>
      </c>
      <c r="H580" s="173">
        <v>18.118358061419325</v>
      </c>
      <c r="I580" s="11">
        <v>6.4534531883810808E-2</v>
      </c>
      <c r="J580" s="11">
        <v>6.3712610237709653</v>
      </c>
      <c r="K580" s="11">
        <v>0.15260732634476895</v>
      </c>
      <c r="L580" s="11">
        <v>0.52555527862135998</v>
      </c>
      <c r="M580" s="11">
        <v>8.8922599049072425E-3</v>
      </c>
      <c r="N580" s="11">
        <v>2.4504624849230494E-2</v>
      </c>
      <c r="O580" s="11">
        <v>1.601191199763026E-2</v>
      </c>
      <c r="P580" s="11">
        <v>0.41122456786399092</v>
      </c>
      <c r="Q580" s="11">
        <v>5.0212364902093611</v>
      </c>
      <c r="R580" s="11">
        <v>1.6348469822216354</v>
      </c>
      <c r="S580" s="11">
        <v>0.24309670363554928</v>
      </c>
      <c r="T580" s="11">
        <v>11.41749305860486</v>
      </c>
      <c r="U580" s="11">
        <v>0.31073499737291904</v>
      </c>
      <c r="V580" s="11">
        <v>1.7961711330195227E-2</v>
      </c>
      <c r="W580" s="11">
        <v>0.76608258193996859</v>
      </c>
      <c r="X580" s="217">
        <v>0.77219312928741513</v>
      </c>
      <c r="Y580" s="11">
        <v>1.3896016402905722E-2</v>
      </c>
      <c r="Z580" s="11">
        <v>7.3725118863885381E-3</v>
      </c>
      <c r="AA580" s="11">
        <v>3.5262302835373321E-2</v>
      </c>
    </row>
    <row r="581" spans="1:27">
      <c r="A581" s="148"/>
      <c r="B581" s="54" t="s">
        <v>448</v>
      </c>
      <c r="C581" s="5" t="s">
        <v>449</v>
      </c>
      <c r="D581" s="147">
        <v>19241.53612404667</v>
      </c>
      <c r="E581" s="127">
        <v>16382.087332890211</v>
      </c>
      <c r="F581" s="126">
        <v>30.10974202994894</v>
      </c>
      <c r="G581" s="82">
        <v>0.13111622726579891</v>
      </c>
      <c r="H581" s="126">
        <v>21.414508418729145</v>
      </c>
      <c r="I581" s="82">
        <v>2.8338655513035098E-2</v>
      </c>
      <c r="J581" s="82">
        <v>5.214171572863445</v>
      </c>
      <c r="K581" s="82">
        <v>1.6550173567134081E-2</v>
      </c>
      <c r="L581" s="82">
        <v>5.7849789835449918</v>
      </c>
      <c r="M581" s="82">
        <v>5.5270710855555806E-3</v>
      </c>
      <c r="N581" s="82">
        <v>4.4083563481248748E-2</v>
      </c>
      <c r="O581" s="82">
        <v>2.1652735755958688E-3</v>
      </c>
      <c r="P581" s="82">
        <v>1.9251775224881747E-2</v>
      </c>
      <c r="Q581" s="82">
        <v>5.8259909816236501E-2</v>
      </c>
      <c r="R581" s="82">
        <v>0.55967972388999798</v>
      </c>
      <c r="S581" s="82">
        <v>5.028416828202277E-2</v>
      </c>
      <c r="T581" s="82">
        <v>0.10281614058708109</v>
      </c>
      <c r="U581" s="82">
        <v>4.2001315783933594E-3</v>
      </c>
      <c r="V581" s="82">
        <v>5.5098584621799864E-3</v>
      </c>
      <c r="W581" s="82">
        <v>6.2002485877268483E-2</v>
      </c>
      <c r="X581" s="146">
        <v>3.9894816733156056E-2</v>
      </c>
      <c r="Y581" s="82">
        <v>1.1001312549798355E-3</v>
      </c>
      <c r="Z581" s="82">
        <v>2.7265103864120644E-3</v>
      </c>
      <c r="AA581" s="82">
        <v>2.2978758043385922E-2</v>
      </c>
    </row>
    <row r="582" spans="1:27">
      <c r="A582" s="148"/>
      <c r="B582" s="54" t="s">
        <v>450</v>
      </c>
      <c r="C582" s="5" t="s">
        <v>451</v>
      </c>
      <c r="D582" s="147">
        <v>19573.802738551909</v>
      </c>
      <c r="E582" s="127">
        <v>15376.240481944722</v>
      </c>
      <c r="F582" s="126">
        <v>77.453244898114022</v>
      </c>
      <c r="G582" s="82">
        <v>0.22871015524100413</v>
      </c>
      <c r="H582" s="126">
        <v>49.943511344367344</v>
      </c>
      <c r="I582" s="82">
        <v>2.7872532798062448E-2</v>
      </c>
      <c r="J582" s="82">
        <v>4.4574026091645456</v>
      </c>
      <c r="K582" s="82">
        <v>1.661939344635013E-2</v>
      </c>
      <c r="L582" s="82">
        <v>4.6484065300138333</v>
      </c>
      <c r="M582" s="82">
        <v>1.1538108516466947E-2</v>
      </c>
      <c r="N582" s="82">
        <v>3.9212044066322026E-2</v>
      </c>
      <c r="O582" s="82">
        <v>2.3770227700025178E-3</v>
      </c>
      <c r="P582" s="82">
        <v>3.8154593405844928E-2</v>
      </c>
      <c r="Q582" s="82">
        <v>5.9903765328642132E-2</v>
      </c>
      <c r="R582" s="82">
        <v>0.34051359841327389</v>
      </c>
      <c r="S582" s="82">
        <v>4.021886450280994E-2</v>
      </c>
      <c r="T582" s="82">
        <v>0.22937554237915078</v>
      </c>
      <c r="U582" s="82">
        <v>5.7462314034939493E-3</v>
      </c>
      <c r="V582" s="82">
        <v>3.7806592516518339E-3</v>
      </c>
      <c r="W582" s="82">
        <v>9.5818553723716712E-2</v>
      </c>
      <c r="X582" s="146">
        <v>2.7278492291183891E-2</v>
      </c>
      <c r="Y582" s="82">
        <v>3.2690165003811361E-2</v>
      </c>
      <c r="Z582" s="82">
        <v>1.6196845588933846E-3</v>
      </c>
      <c r="AA582" s="82">
        <v>3.5012431897489413E-2</v>
      </c>
    </row>
    <row r="583" spans="1:27">
      <c r="A583" s="148"/>
      <c r="B583" s="54" t="s">
        <v>452</v>
      </c>
      <c r="C583" s="5" t="s">
        <v>453</v>
      </c>
      <c r="D583" s="147">
        <v>21601.177469624086</v>
      </c>
      <c r="E583" s="127">
        <v>18677.153630711717</v>
      </c>
      <c r="F583" s="126">
        <v>0.3464821368087454</v>
      </c>
      <c r="G583" s="82">
        <v>8.4989544254791646E-2</v>
      </c>
      <c r="H583" s="126">
        <v>6.8719072495491691</v>
      </c>
      <c r="I583" s="82">
        <v>2.9875888102105615E-2</v>
      </c>
      <c r="J583" s="82">
        <v>7.7106464947684801</v>
      </c>
      <c r="K583" s="82">
        <v>1.2068852041326418E-2</v>
      </c>
      <c r="L583" s="82">
        <v>6.7701868390747828</v>
      </c>
      <c r="M583" s="82">
        <v>1.5503918457553997E-3</v>
      </c>
      <c r="N583" s="82">
        <v>3.7777176310046359E-2</v>
      </c>
      <c r="O583" s="82">
        <v>8.5557239196663816E-4</v>
      </c>
      <c r="P583" s="82">
        <v>7.8238111977890108E-3</v>
      </c>
      <c r="Q583" s="82">
        <v>4.8270763369309133E-2</v>
      </c>
      <c r="R583" s="82">
        <v>0.58580596386879746</v>
      </c>
      <c r="S583" s="82">
        <v>2.0944609581709493E-2</v>
      </c>
      <c r="T583" s="82">
        <v>3.9546761012087171E-2</v>
      </c>
      <c r="U583" s="82">
        <v>3.8053003021703115E-3</v>
      </c>
      <c r="V583" s="82">
        <v>5.9699799396871495E-3</v>
      </c>
      <c r="W583" s="82">
        <v>7.7715672467102995E-2</v>
      </c>
      <c r="X583" s="146">
        <v>2.7686122735812984E-2</v>
      </c>
      <c r="Y583" s="82">
        <v>4.7486883958144899E-4</v>
      </c>
      <c r="Z583" s="82">
        <v>1.530175423099139E-3</v>
      </c>
      <c r="AA583" s="82">
        <v>3.0956678263477162E-2</v>
      </c>
    </row>
    <row r="584" spans="1:27">
      <c r="A584" s="148"/>
      <c r="B584" s="54" t="s">
        <v>454</v>
      </c>
      <c r="C584" s="5" t="s">
        <v>455</v>
      </c>
      <c r="D584" s="147">
        <v>20979.868106091624</v>
      </c>
      <c r="E584" s="127">
        <v>15863.676848406159</v>
      </c>
      <c r="F584" s="126">
        <v>189.92775250074197</v>
      </c>
      <c r="G584" s="82">
        <v>0.28063190199852489</v>
      </c>
      <c r="H584" s="126">
        <v>16.50899258709595</v>
      </c>
      <c r="I584" s="82">
        <v>3.4714546467722623E-2</v>
      </c>
      <c r="J584" s="82">
        <v>9.3878337772074349</v>
      </c>
      <c r="K584" s="82">
        <v>1.6803186613588334E-2</v>
      </c>
      <c r="L584" s="82">
        <v>4.7627015026353545</v>
      </c>
      <c r="M584" s="82">
        <v>1.4312617940204777E-2</v>
      </c>
      <c r="N584" s="82">
        <v>4.3272801465050602E-2</v>
      </c>
      <c r="O584" s="82">
        <v>3.9385656761974615E-3</v>
      </c>
      <c r="P584" s="82">
        <v>5.8609241005411074E-2</v>
      </c>
      <c r="Q584" s="82">
        <v>5.056037784037689E-2</v>
      </c>
      <c r="R584" s="82">
        <v>0.66437871233228896</v>
      </c>
      <c r="S584" s="82">
        <v>3.6679923054676156E-2</v>
      </c>
      <c r="T584" s="82">
        <v>0.23680035461221693</v>
      </c>
      <c r="U584" s="82">
        <v>4.5171207614029497E-3</v>
      </c>
      <c r="V584" s="82">
        <v>1.3708561390323485E-2</v>
      </c>
      <c r="W584" s="82">
        <v>7.914199545671928E-2</v>
      </c>
      <c r="X584" s="146">
        <v>3.4513626476118851E-2</v>
      </c>
      <c r="Y584" s="82">
        <v>1.5276072903033332E-2</v>
      </c>
      <c r="Z584" s="82">
        <v>2.5441124931986701E-3</v>
      </c>
      <c r="AA584" s="82">
        <v>3.6705480441381416E-2</v>
      </c>
    </row>
    <row r="585" spans="1:27">
      <c r="A585" s="148"/>
      <c r="B585" s="54" t="s">
        <v>456</v>
      </c>
      <c r="C585" s="5" t="s">
        <v>457</v>
      </c>
      <c r="D585" s="147">
        <v>16707.931364253338</v>
      </c>
      <c r="E585" s="127">
        <v>14622.602665924391</v>
      </c>
      <c r="F585" s="126">
        <v>50.874476038467222</v>
      </c>
      <c r="G585" s="82">
        <v>0.44110991444329817</v>
      </c>
      <c r="H585" s="126">
        <v>46.105729284816249</v>
      </c>
      <c r="I585" s="82">
        <v>4.4345173386911588E-2</v>
      </c>
      <c r="J585" s="82">
        <v>5.1214735231680937</v>
      </c>
      <c r="K585" s="82">
        <v>1.744897795543365E-2</v>
      </c>
      <c r="L585" s="82">
        <v>5.1777711823463557</v>
      </c>
      <c r="M585" s="82">
        <v>1.6089720136827627E-2</v>
      </c>
      <c r="N585" s="82">
        <v>3.5160370587078348E-2</v>
      </c>
      <c r="O585" s="82">
        <v>3.8988985626779364E-3</v>
      </c>
      <c r="P585" s="82">
        <v>4.7196928234573818E-2</v>
      </c>
      <c r="Q585" s="82">
        <v>0.21592796748366719</v>
      </c>
      <c r="R585" s="82">
        <v>0.56827064350176626</v>
      </c>
      <c r="S585" s="82">
        <v>3.7241971152353004E-2</v>
      </c>
      <c r="T585" s="82">
        <v>0.4669101851874658</v>
      </c>
      <c r="U585" s="82">
        <v>1.2103344924443347E-2</v>
      </c>
      <c r="V585" s="82">
        <v>7.2257542409203514E-3</v>
      </c>
      <c r="W585" s="82">
        <v>0.29806648703850191</v>
      </c>
      <c r="X585" s="82">
        <v>3.1428547563728614E-2</v>
      </c>
      <c r="Y585" s="82">
        <v>1.5415671457591925E-3</v>
      </c>
      <c r="Z585" s="82">
        <v>2.2341686381148486E-3</v>
      </c>
      <c r="AA585" s="82">
        <v>5.0987107889965536E-2</v>
      </c>
    </row>
    <row r="586" spans="1:27">
      <c r="A586" s="148"/>
      <c r="B586" s="54" t="s">
        <v>458</v>
      </c>
      <c r="C586" s="5" t="s">
        <v>459</v>
      </c>
      <c r="D586" s="147">
        <v>20350.164334134148</v>
      </c>
      <c r="E586" s="127">
        <v>14236.72103051967</v>
      </c>
      <c r="F586" s="126">
        <v>82.105336409960785</v>
      </c>
      <c r="G586" s="127">
        <v>118.77383699212481</v>
      </c>
      <c r="H586" s="126">
        <v>30.114210767901206</v>
      </c>
      <c r="I586" s="82">
        <v>3.5933039738738751E-2</v>
      </c>
      <c r="J586" s="82">
        <v>8.0611566999504305</v>
      </c>
      <c r="K586" s="82">
        <v>0.17071833526821123</v>
      </c>
      <c r="L586" s="82">
        <v>4.8441189692505588</v>
      </c>
      <c r="M586" s="82">
        <v>6.0918614479108624E-2</v>
      </c>
      <c r="N586" s="82">
        <v>3.9315831467035996E-2</v>
      </c>
      <c r="O586" s="82">
        <v>1.0639945897772068E-2</v>
      </c>
      <c r="P586" s="82">
        <v>2.0833222495597705</v>
      </c>
      <c r="Q586" s="82">
        <v>2.2233697132843484</v>
      </c>
      <c r="R586" s="82">
        <v>7.9068013738020699</v>
      </c>
      <c r="S586" s="82">
        <v>0.17396271930363241</v>
      </c>
      <c r="T586" s="82">
        <v>18.119370361975736</v>
      </c>
      <c r="U586" s="82">
        <v>7.0876637528592065E-2</v>
      </c>
      <c r="V586" s="82">
        <v>6.292425912594257E-3</v>
      </c>
      <c r="W586" s="82">
        <v>0.14980077425877703</v>
      </c>
      <c r="X586" s="82">
        <v>3.6222278194436554E-2</v>
      </c>
      <c r="Y586" s="82">
        <v>2.3803028017298092E-3</v>
      </c>
      <c r="Z586" s="82">
        <v>1.9800274920804598E-3</v>
      </c>
      <c r="AA586" s="82">
        <v>3.4288340325618248E-2</v>
      </c>
    </row>
    <row r="587" spans="1:27">
      <c r="A587" s="148"/>
      <c r="B587" s="54" t="s">
        <v>460</v>
      </c>
      <c r="C587" s="5" t="s">
        <v>461</v>
      </c>
      <c r="D587" s="147">
        <v>18142.590738299201</v>
      </c>
      <c r="E587" s="127">
        <v>15439.134428771342</v>
      </c>
      <c r="F587" s="126">
        <v>45.48544780524054</v>
      </c>
      <c r="G587" s="82">
        <v>0.22061505430499082</v>
      </c>
      <c r="H587" s="126">
        <v>39.29708201631302</v>
      </c>
      <c r="I587" s="82">
        <v>4.9879209272734801E-2</v>
      </c>
      <c r="J587" s="82">
        <v>4.7115756898338006</v>
      </c>
      <c r="K587" s="82">
        <v>2.0207442512738809E-2</v>
      </c>
      <c r="L587" s="82">
        <v>4.7373176792068081</v>
      </c>
      <c r="M587" s="82">
        <v>1.3674951653730338E-2</v>
      </c>
      <c r="N587" s="82">
        <v>3.806190218832288E-2</v>
      </c>
      <c r="O587" s="82">
        <v>3.3114741032666895E-3</v>
      </c>
      <c r="P587" s="82">
        <v>5.6657292089485715E-2</v>
      </c>
      <c r="Q587" s="82">
        <v>4.6593307131374759E-2</v>
      </c>
      <c r="R587" s="82">
        <v>0.2923787497020327</v>
      </c>
      <c r="S587" s="82">
        <v>3.73428344067794E-2</v>
      </c>
      <c r="T587" s="82">
        <v>0.1837379164168485</v>
      </c>
      <c r="U587" s="82">
        <v>7.2515814381588798E-3</v>
      </c>
      <c r="V587" s="82">
        <v>7.2428347616942971E-3</v>
      </c>
      <c r="W587" s="82">
        <v>0.12627283732721722</v>
      </c>
      <c r="X587" s="82">
        <v>2.6489889368145034E-2</v>
      </c>
      <c r="Y587" s="82">
        <v>3.065275083307947E-3</v>
      </c>
      <c r="Z587" s="82">
        <v>1.9745327330957371E-3</v>
      </c>
      <c r="AA587" s="82">
        <v>4.9154976463638735E-2</v>
      </c>
    </row>
    <row r="588" spans="1:27">
      <c r="A588" s="148"/>
      <c r="B588" s="54" t="s">
        <v>462</v>
      </c>
      <c r="C588" s="5" t="s">
        <v>463</v>
      </c>
      <c r="D588" s="147">
        <v>18064.8827040346</v>
      </c>
      <c r="E588" s="127">
        <v>13152.140935453594</v>
      </c>
      <c r="F588" s="126">
        <v>10.189501801098563</v>
      </c>
      <c r="G588" s="82">
        <v>0.22157884608021405</v>
      </c>
      <c r="H588" s="126">
        <v>56.931960008729682</v>
      </c>
      <c r="I588" s="82">
        <v>4.3105977522489312E-2</v>
      </c>
      <c r="J588" s="82">
        <v>8.7592725595222571</v>
      </c>
      <c r="K588" s="82">
        <v>2.0067119687013957E-2</v>
      </c>
      <c r="L588" s="82">
        <v>3.8308203627303836</v>
      </c>
      <c r="M588" s="82">
        <v>2.7282771348532656E-3</v>
      </c>
      <c r="N588" s="82">
        <v>4.4841821971071033E-2</v>
      </c>
      <c r="O588" s="82">
        <v>4.0167727795120955E-3</v>
      </c>
      <c r="P588" s="82">
        <v>6.8189417037437472E-2</v>
      </c>
      <c r="Q588" s="82">
        <v>4.8657775062747793E-2</v>
      </c>
      <c r="R588" s="82">
        <v>0.21355197101227866</v>
      </c>
      <c r="S588" s="82">
        <v>2.5912670408327492E-2</v>
      </c>
      <c r="T588" s="82">
        <v>5.4165999086243893E-2</v>
      </c>
      <c r="U588" s="82">
        <v>6.0040919233386968E-3</v>
      </c>
      <c r="V588" s="82">
        <v>9.422115133569324E-3</v>
      </c>
      <c r="W588" s="82">
        <v>0.10731036298600148</v>
      </c>
      <c r="X588" s="82">
        <v>3.355070370024537E-2</v>
      </c>
      <c r="Y588" s="82">
        <v>1.6346361376046758E-3</v>
      </c>
      <c r="Z588" s="82">
        <v>2.2440389368163691E-3</v>
      </c>
      <c r="AA588" s="82">
        <v>4.4180898252786586E-2</v>
      </c>
    </row>
    <row r="589" spans="1:27">
      <c r="A589" s="148"/>
      <c r="B589" s="54" t="s">
        <v>464</v>
      </c>
      <c r="C589" s="5" t="s">
        <v>465</v>
      </c>
      <c r="D589" s="147">
        <v>20289.85462912852</v>
      </c>
      <c r="E589" s="127">
        <v>14465.217718594329</v>
      </c>
      <c r="F589" s="126">
        <v>46.851743547002627</v>
      </c>
      <c r="G589" s="82">
        <v>0.12948241091385015</v>
      </c>
      <c r="H589" s="126">
        <v>35.327357847868427</v>
      </c>
      <c r="I589" s="82">
        <v>0.24920911752357933</v>
      </c>
      <c r="J589" s="82">
        <v>9.4603059175777027</v>
      </c>
      <c r="K589" s="82">
        <v>2.0590857885697405E-2</v>
      </c>
      <c r="L589" s="82">
        <v>4.2517364411787133</v>
      </c>
      <c r="M589" s="82">
        <v>9.6926672945347059E-3</v>
      </c>
      <c r="N589" s="82">
        <v>4.1990097372978596E-2</v>
      </c>
      <c r="O589" s="82">
        <v>4.2164375995123442E-3</v>
      </c>
      <c r="P589" s="82">
        <v>2.6993319973629908E-2</v>
      </c>
      <c r="Q589" s="82">
        <v>4.6804869527573012E-2</v>
      </c>
      <c r="R589" s="82">
        <v>0.2245221597019674</v>
      </c>
      <c r="S589" s="82">
        <v>5.3981446126912851E-2</v>
      </c>
      <c r="T589" s="82">
        <v>9.4203463880889973E-2</v>
      </c>
      <c r="U589" s="82">
        <v>4.425431657703852E-3</v>
      </c>
      <c r="V589" s="82">
        <v>7.8862191179719047E-3</v>
      </c>
      <c r="W589" s="82">
        <v>0.10121849529212179</v>
      </c>
      <c r="X589" s="82">
        <v>3.4761613513431454E-2</v>
      </c>
      <c r="Y589" s="82">
        <v>1.3041544550661806E-3</v>
      </c>
      <c r="Z589" s="82">
        <v>2.256994210804907E-3</v>
      </c>
      <c r="AA589" s="82">
        <v>2.5659290573685427E-2</v>
      </c>
    </row>
    <row r="590" spans="1:27">
      <c r="A590" s="148"/>
      <c r="B590" s="54" t="s">
        <v>466</v>
      </c>
      <c r="C590" s="5" t="s">
        <v>467</v>
      </c>
      <c r="D590" s="147">
        <v>15985.413807388617</v>
      </c>
      <c r="E590" s="127">
        <v>11700.87523144767</v>
      </c>
      <c r="F590" s="126">
        <v>70.890650350302678</v>
      </c>
      <c r="G590" s="126">
        <v>48.856911149716133</v>
      </c>
      <c r="H590" s="126">
        <v>32.083639997201914</v>
      </c>
      <c r="I590" s="82">
        <v>9.4137449446866153E-2</v>
      </c>
      <c r="J590" s="82">
        <v>9.4430530666077672</v>
      </c>
      <c r="K590" s="82">
        <v>6.0571476584285647E-2</v>
      </c>
      <c r="L590" s="82">
        <v>3.0253425254940383</v>
      </c>
      <c r="M590" s="82">
        <v>1.8525339721710311E-2</v>
      </c>
      <c r="N590" s="82">
        <v>4.3640160581267198E-2</v>
      </c>
      <c r="O590" s="82">
        <v>1.6011237157252632E-2</v>
      </c>
      <c r="P590" s="82">
        <v>1.2598805573627843</v>
      </c>
      <c r="Q590" s="82">
        <v>3.4909375265023983</v>
      </c>
      <c r="R590" s="82">
        <v>5.2781463585010551</v>
      </c>
      <c r="S590" s="82">
        <v>0.24090025093528555</v>
      </c>
      <c r="T590" s="82">
        <v>122.88503007190306</v>
      </c>
      <c r="U590" s="82">
        <v>0.30357246813258965</v>
      </c>
      <c r="V590" s="82">
        <v>4.7641606080245806E-2</v>
      </c>
      <c r="W590" s="82">
        <v>0.41044058573503139</v>
      </c>
      <c r="X590" s="82">
        <v>0.13669549109808654</v>
      </c>
      <c r="Y590" s="82">
        <v>2.3571439495934821E-2</v>
      </c>
      <c r="Z590" s="82">
        <v>9.9087875105213011E-3</v>
      </c>
      <c r="AA590" s="82">
        <v>3.3702408609822883E-2</v>
      </c>
    </row>
    <row r="591" spans="1:27">
      <c r="A591" s="148"/>
      <c r="B591" s="54" t="s">
        <v>468</v>
      </c>
      <c r="C591" s="5" t="s">
        <v>469</v>
      </c>
      <c r="D591" s="147">
        <v>19603.639314202097</v>
      </c>
      <c r="E591" s="127">
        <v>15091.850330164267</v>
      </c>
      <c r="F591" s="126">
        <v>97.91322192714459</v>
      </c>
      <c r="G591" s="82">
        <v>0.13820006161256723</v>
      </c>
      <c r="H591" s="126">
        <v>27.500435505749252</v>
      </c>
      <c r="I591" s="82">
        <v>4.1003928257117225E-2</v>
      </c>
      <c r="J591" s="82">
        <v>9.0759656211174864</v>
      </c>
      <c r="K591" s="82">
        <v>1.4131284173181007E-2</v>
      </c>
      <c r="L591" s="82">
        <v>3.924856660684731</v>
      </c>
      <c r="M591" s="82">
        <v>7.7035663958379781E-3</v>
      </c>
      <c r="N591" s="82">
        <v>4.1995154297687472E-2</v>
      </c>
      <c r="O591" s="82">
        <v>2.7354938156392101E-3</v>
      </c>
      <c r="P591" s="82">
        <v>2.922593394563535E-2</v>
      </c>
      <c r="Q591" s="82">
        <v>4.8467930213432375E-2</v>
      </c>
      <c r="R591" s="82">
        <v>0.27940591566299888</v>
      </c>
      <c r="S591" s="82">
        <v>3.7104402885696594E-2</v>
      </c>
      <c r="T591" s="82">
        <v>0.16622809607946587</v>
      </c>
      <c r="U591" s="82">
        <v>4.4761079182057658E-3</v>
      </c>
      <c r="V591" s="82">
        <v>6.6081391386967718E-3</v>
      </c>
      <c r="W591" s="82">
        <v>6.5094774098673217E-2</v>
      </c>
      <c r="X591" s="82">
        <v>2.9011686041401787E-2</v>
      </c>
      <c r="Y591" s="82">
        <v>8.4378966885582701E-4</v>
      </c>
      <c r="Z591" s="82">
        <v>2.311309875644501E-3</v>
      </c>
      <c r="AA591" s="82">
        <v>4.8309691588237752E-2</v>
      </c>
    </row>
    <row r="592" spans="1:27">
      <c r="A592" s="148"/>
      <c r="B592" s="54" t="s">
        <v>470</v>
      </c>
      <c r="C592" s="5" t="s">
        <v>471</v>
      </c>
      <c r="D592" s="147">
        <v>18947.157789892965</v>
      </c>
      <c r="E592" s="127">
        <v>13961.858690570416</v>
      </c>
      <c r="F592" s="126">
        <v>76.520831217754093</v>
      </c>
      <c r="G592" s="82">
        <v>1.6763254537715389</v>
      </c>
      <c r="H592" s="126">
        <v>35.801223492232459</v>
      </c>
      <c r="I592" s="82">
        <v>3.5936143232112576E-2</v>
      </c>
      <c r="J592" s="126">
        <v>17.313772139077948</v>
      </c>
      <c r="K592" s="82">
        <v>2.3838325727170612E-2</v>
      </c>
      <c r="L592" s="82">
        <v>3.9437541518006105</v>
      </c>
      <c r="M592" s="82">
        <v>7.7607948604623772E-3</v>
      </c>
      <c r="N592" s="82">
        <v>4.1678158274304523E-2</v>
      </c>
      <c r="O592" s="82">
        <v>3.8965422249009137E-3</v>
      </c>
      <c r="P592" s="82">
        <v>6.7770686816981243E-2</v>
      </c>
      <c r="Q592" s="82">
        <v>0.21126925784195638</v>
      </c>
      <c r="R592" s="82">
        <v>0.29305741264592616</v>
      </c>
      <c r="S592" s="82">
        <v>4.0294687502346944E-2</v>
      </c>
      <c r="T592" s="82">
        <v>0.24746448622581507</v>
      </c>
      <c r="U592" s="82">
        <v>8.7933933883604359E-3</v>
      </c>
      <c r="V592" s="82">
        <v>6.6580352669740588E-3</v>
      </c>
      <c r="W592" s="82">
        <v>0.13127160246639499</v>
      </c>
      <c r="X592" s="82">
        <v>3.006761172050158E-2</v>
      </c>
      <c r="Y592" s="82">
        <v>1.4822604060913034E-3</v>
      </c>
      <c r="Z592" s="82">
        <v>1.541278697597062E-3</v>
      </c>
      <c r="AA592" s="82">
        <v>2.8559521392604908E-2</v>
      </c>
    </row>
    <row r="593" spans="1:27">
      <c r="A593" s="148"/>
      <c r="B593" s="54" t="s">
        <v>472</v>
      </c>
      <c r="C593" s="5" t="s">
        <v>473</v>
      </c>
      <c r="D593" s="147">
        <v>19793.537732493754</v>
      </c>
      <c r="E593" s="127">
        <v>14597.886753143175</v>
      </c>
      <c r="F593" s="126">
        <v>43.084973479248077</v>
      </c>
      <c r="G593" s="82">
        <v>0.20763332257511266</v>
      </c>
      <c r="H593" s="126">
        <v>17.935185717253134</v>
      </c>
      <c r="I593" s="82">
        <v>3.6898064532418055E-2</v>
      </c>
      <c r="J593" s="82">
        <v>9.2092361062672659</v>
      </c>
      <c r="K593" s="82">
        <v>1.4603608539980835E-2</v>
      </c>
      <c r="L593" s="82">
        <v>4.1322778723384772</v>
      </c>
      <c r="M593" s="82">
        <v>7.5429862848506056E-3</v>
      </c>
      <c r="N593" s="82">
        <v>3.9477954058050171E-2</v>
      </c>
      <c r="O593" s="82">
        <v>4.3323012726713076E-3</v>
      </c>
      <c r="P593" s="82">
        <v>2.1891065271139879E-2</v>
      </c>
      <c r="Q593" s="82">
        <v>4.3462753533001247E-2</v>
      </c>
      <c r="R593" s="82">
        <v>0.29117054342580639</v>
      </c>
      <c r="S593" s="82">
        <v>3.5597398668480114E-2</v>
      </c>
      <c r="T593" s="82">
        <v>0.14495416013839371</v>
      </c>
      <c r="U593" s="82">
        <v>5.6853733493693621E-3</v>
      </c>
      <c r="V593" s="82">
        <v>1.1709741348633972E-2</v>
      </c>
      <c r="W593" s="82">
        <v>0.10849507737124292</v>
      </c>
      <c r="X593" s="82">
        <v>3.7209102225675937E-2</v>
      </c>
      <c r="Y593" s="82">
        <v>1.272741308713834E-2</v>
      </c>
      <c r="Z593" s="82">
        <v>2.283375575038504E-3</v>
      </c>
      <c r="AA593" s="82">
        <v>1.7666412345580734E-2</v>
      </c>
    </row>
    <row r="594" spans="1:27">
      <c r="A594" s="148"/>
      <c r="B594" s="54" t="s">
        <v>474</v>
      </c>
      <c r="C594" s="5" t="s">
        <v>475</v>
      </c>
      <c r="D594" s="147">
        <v>18291.976539184881</v>
      </c>
      <c r="E594" s="127">
        <v>15840.903612466651</v>
      </c>
      <c r="F594" s="126">
        <v>59.982687957351644</v>
      </c>
      <c r="G594" s="82">
        <v>0.18664346056445386</v>
      </c>
      <c r="H594" s="126">
        <v>6.3874770552333873</v>
      </c>
      <c r="I594" s="82">
        <v>2.4073579217849955E-2</v>
      </c>
      <c r="J594" s="82">
        <v>9.702461255138159</v>
      </c>
      <c r="K594" s="82">
        <v>1.3755826939498207E-2</v>
      </c>
      <c r="L594" s="82">
        <v>5.3369220987630994</v>
      </c>
      <c r="M594" s="82">
        <v>6.5928366734948887E-3</v>
      </c>
      <c r="N594" s="82">
        <v>3.2851128629403356E-2</v>
      </c>
      <c r="O594" s="82">
        <v>3.8945194364699339E-3</v>
      </c>
      <c r="P594" s="82">
        <v>2.9851003994969233E-2</v>
      </c>
      <c r="Q594" s="82">
        <v>5.1424727656863567E-2</v>
      </c>
      <c r="R594" s="82">
        <v>0.57931266337525278</v>
      </c>
      <c r="S594" s="82">
        <v>2.8306201656632245E-2</v>
      </c>
      <c r="T594" s="82">
        <v>0.10509887880098706</v>
      </c>
      <c r="U594" s="82">
        <v>3.7513191023562818E-3</v>
      </c>
      <c r="V594" s="82">
        <v>0</v>
      </c>
      <c r="W594" s="82">
        <v>6.9397966795192945E-2</v>
      </c>
      <c r="X594" s="82">
        <v>2.8579123541971254E-2</v>
      </c>
      <c r="Y594" s="82">
        <v>5.7124140685477619E-3</v>
      </c>
      <c r="Z594" s="82">
        <v>7.5838600458911207E-2</v>
      </c>
      <c r="AA594" s="82">
        <v>5.031968031080173E-2</v>
      </c>
    </row>
    <row r="595" spans="1:27">
      <c r="A595" s="148"/>
      <c r="B595" s="54" t="s">
        <v>476</v>
      </c>
      <c r="C595" s="5" t="s">
        <v>477</v>
      </c>
      <c r="D595" s="147">
        <v>19744.501728139705</v>
      </c>
      <c r="E595" s="127">
        <v>15375.680134650855</v>
      </c>
      <c r="F595" s="126">
        <v>36.829933680484345</v>
      </c>
      <c r="G595" s="82">
        <v>0.15422118810811106</v>
      </c>
      <c r="H595" s="126">
        <v>55.114893924387992</v>
      </c>
      <c r="I595" s="82">
        <v>2.57542664345436E-2</v>
      </c>
      <c r="J595" s="126">
        <v>21.071302749709936</v>
      </c>
      <c r="K595" s="82">
        <v>1.8403047454513672E-2</v>
      </c>
      <c r="L595" s="82">
        <v>3.0010747112609346</v>
      </c>
      <c r="M595" s="82">
        <v>5.6906389677389823E-3</v>
      </c>
      <c r="N595" s="82">
        <v>3.8891563298928455E-2</v>
      </c>
      <c r="O595" s="82">
        <v>3.9645243358418895E-3</v>
      </c>
      <c r="P595" s="82">
        <v>2.5122738324068167E-2</v>
      </c>
      <c r="Q595" s="82">
        <v>4.8801906901708478E-2</v>
      </c>
      <c r="R595" s="82">
        <v>0.3054841635083424</v>
      </c>
      <c r="S595" s="82">
        <v>3.0347558578497948E-2</v>
      </c>
      <c r="T595" s="82">
        <v>0.25969585755476482</v>
      </c>
      <c r="U595" s="82">
        <v>4.6040644297286196E-3</v>
      </c>
      <c r="V595" s="82">
        <v>6.1986152330869024E-3</v>
      </c>
      <c r="W595" s="82">
        <v>8.0476940179486339E-2</v>
      </c>
      <c r="X595" s="82">
        <v>3.7697089430101319E-2</v>
      </c>
      <c r="Y595" s="82">
        <v>1.7243504935439006E-3</v>
      </c>
      <c r="Z595" s="82">
        <v>1.7407644959596567E-3</v>
      </c>
      <c r="AA595" s="82">
        <v>6.2514873405435031E-2</v>
      </c>
    </row>
    <row r="596" spans="1:27">
      <c r="A596" s="156" t="s">
        <v>478</v>
      </c>
      <c r="B596" s="54"/>
      <c r="C596" s="54"/>
      <c r="D596" s="147"/>
      <c r="E596" s="127"/>
      <c r="F596" s="127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</row>
    <row r="597" spans="1:27">
      <c r="A597" s="148"/>
      <c r="B597" s="54" t="s">
        <v>479</v>
      </c>
      <c r="C597" s="5" t="s">
        <v>480</v>
      </c>
      <c r="D597" s="147">
        <v>28115.25485657675</v>
      </c>
      <c r="E597" s="127">
        <v>12334.457105606873</v>
      </c>
      <c r="F597" s="127">
        <v>13633.44665638116</v>
      </c>
      <c r="G597" s="126">
        <v>19.855120463214615</v>
      </c>
      <c r="H597" s="82">
        <v>8.0939482427490717</v>
      </c>
      <c r="I597" s="82">
        <v>0.12935816116787419</v>
      </c>
      <c r="J597" s="126">
        <v>33.728096784038009</v>
      </c>
      <c r="K597" s="82">
        <v>0.15252323347645591</v>
      </c>
      <c r="L597" s="82">
        <v>10.221177805499162</v>
      </c>
      <c r="M597" s="82">
        <v>0.37136389721653862</v>
      </c>
      <c r="N597" s="82">
        <v>0.28341079600190816</v>
      </c>
      <c r="O597" s="82">
        <v>0</v>
      </c>
      <c r="P597" s="82">
        <v>1.3746035975206286</v>
      </c>
      <c r="Q597" s="82">
        <v>0.49965268145481478</v>
      </c>
      <c r="R597" s="82">
        <v>0.60304331045221582</v>
      </c>
      <c r="S597" s="82">
        <v>0.42721132923897687</v>
      </c>
      <c r="T597" s="82">
        <v>6.3430835590191386</v>
      </c>
      <c r="U597" s="82">
        <v>1.6064999980937595E-2</v>
      </c>
      <c r="V597" s="82">
        <v>5.5272658983767077E-2</v>
      </c>
      <c r="W597" s="82">
        <v>0.7566069879179439</v>
      </c>
      <c r="X597" s="82">
        <v>6.1972411843062652E-2</v>
      </c>
      <c r="Y597" s="82">
        <v>1.3162266004246796</v>
      </c>
      <c r="Z597" s="82">
        <v>1.1206242764750048E-2</v>
      </c>
      <c r="AA597" s="82">
        <v>0.2317316012184259</v>
      </c>
    </row>
    <row r="598" spans="1:27">
      <c r="A598" s="148"/>
      <c r="B598" s="54" t="s">
        <v>481</v>
      </c>
      <c r="C598" s="5" t="s">
        <v>482</v>
      </c>
      <c r="D598" s="147">
        <v>10139.854062306418</v>
      </c>
      <c r="E598" s="127">
        <v>10534.557881995901</v>
      </c>
      <c r="F598" s="127">
        <v>9708.0426028687416</v>
      </c>
      <c r="G598" s="126">
        <v>14.127944211237336</v>
      </c>
      <c r="H598" s="82">
        <v>7.444044715015613E-2</v>
      </c>
      <c r="I598" s="82">
        <v>4.0001784697218157E-2</v>
      </c>
      <c r="J598" s="82">
        <v>0.37390082087654208</v>
      </c>
      <c r="K598" s="82">
        <v>4.7815619044387886E-2</v>
      </c>
      <c r="L598" s="82">
        <v>7.0759822545587552</v>
      </c>
      <c r="M598" s="82">
        <v>0.27684078299696346</v>
      </c>
      <c r="N598" s="82">
        <v>0.10540259786270552</v>
      </c>
      <c r="O598" s="82">
        <v>3.6411048742490734E-3</v>
      </c>
      <c r="P598" s="82">
        <v>1.5446994789234954</v>
      </c>
      <c r="Q598" s="82">
        <v>0.42281515500543848</v>
      </c>
      <c r="R598" s="82">
        <v>1.6670598116489507E-2</v>
      </c>
      <c r="S598" s="82">
        <v>0.22006742552270864</v>
      </c>
      <c r="T598" s="82">
        <v>2.266463315692099E-2</v>
      </c>
      <c r="U598" s="82">
        <v>4.6798075081746285E-3</v>
      </c>
      <c r="V598" s="82">
        <v>2.5099169391547098E-2</v>
      </c>
      <c r="W598" s="82">
        <v>0.11710493183879093</v>
      </c>
      <c r="X598" s="82">
        <v>1.8965742254463756E-2</v>
      </c>
      <c r="Y598" s="82">
        <v>2.1104597216347071E-2</v>
      </c>
      <c r="Z598" s="82">
        <v>3.3389134184670403E-3</v>
      </c>
      <c r="AA598" s="82">
        <v>5.8066469676981751E-2</v>
      </c>
    </row>
    <row r="599" spans="1:27">
      <c r="A599" s="148"/>
      <c r="B599" s="54" t="s">
        <v>483</v>
      </c>
      <c r="C599" s="5" t="s">
        <v>484</v>
      </c>
      <c r="D599" s="147">
        <v>6454.2713125169475</v>
      </c>
      <c r="E599" s="127">
        <v>5511.206569101998</v>
      </c>
      <c r="F599" s="127">
        <v>6464.0969458286536</v>
      </c>
      <c r="G599" s="126">
        <v>9.360421412591684</v>
      </c>
      <c r="H599" s="82">
        <v>0.92776785916917492</v>
      </c>
      <c r="I599" s="82">
        <v>5.7401402686306571E-2</v>
      </c>
      <c r="J599" s="82">
        <v>0.36253724076760813</v>
      </c>
      <c r="K599" s="82">
        <v>3.7986853018309612E-2</v>
      </c>
      <c r="L599" s="82">
        <v>3.1597124313620779</v>
      </c>
      <c r="M599" s="82">
        <v>0.23523018287065051</v>
      </c>
      <c r="N599" s="82">
        <v>0.1233498833373383</v>
      </c>
      <c r="O599" s="82">
        <v>4.3460657099333644E-3</v>
      </c>
      <c r="P599" s="82">
        <v>1.1341382095703132</v>
      </c>
      <c r="Q599" s="82">
        <v>0.21951104594240958</v>
      </c>
      <c r="R599" s="82">
        <v>1.722408656495654</v>
      </c>
      <c r="S599" s="82">
        <v>0.24221884699916896</v>
      </c>
      <c r="T599" s="82">
        <v>0.10432830205838985</v>
      </c>
      <c r="U599" s="82">
        <v>4.0935000525501673E-3</v>
      </c>
      <c r="V599" s="82">
        <v>2.2582177801844079E-2</v>
      </c>
      <c r="W599" s="82">
        <v>2.8145990972800754</v>
      </c>
      <c r="X599" s="82">
        <v>6.0011722365168149E-2</v>
      </c>
      <c r="Y599" s="82">
        <v>0.79627464936351855</v>
      </c>
      <c r="Z599" s="82">
        <v>3.9973440491494058E-3</v>
      </c>
      <c r="AA599" s="82">
        <v>4.943350690900062E-2</v>
      </c>
    </row>
    <row r="600" spans="1:27">
      <c r="A600" s="148"/>
      <c r="B600" s="54" t="s">
        <v>485</v>
      </c>
      <c r="C600" s="5" t="s">
        <v>486</v>
      </c>
      <c r="D600" s="147">
        <v>7810.0894890575037</v>
      </c>
      <c r="E600" s="127">
        <v>5569.9218310315155</v>
      </c>
      <c r="F600" s="127">
        <v>8749.9939062396716</v>
      </c>
      <c r="G600" s="126">
        <v>9.8216148357489779</v>
      </c>
      <c r="H600" s="82">
        <v>1.0456224445075015</v>
      </c>
      <c r="I600" s="82">
        <v>5.8894582858564158E-2</v>
      </c>
      <c r="J600" s="82">
        <v>0.35075600471048762</v>
      </c>
      <c r="K600" s="82">
        <v>5.5795472244077014E-2</v>
      </c>
      <c r="L600" s="82">
        <v>3.4134222585609044</v>
      </c>
      <c r="M600" s="82">
        <v>0.34189099158427755</v>
      </c>
      <c r="N600" s="82">
        <v>0.10945579232484005</v>
      </c>
      <c r="O600" s="82">
        <v>5.4349067230346267E-3</v>
      </c>
      <c r="P600" s="82">
        <v>1.6287054605877112</v>
      </c>
      <c r="Q600" s="82">
        <v>0.20184500092969779</v>
      </c>
      <c r="R600" s="82">
        <v>2.2973323769654024</v>
      </c>
      <c r="S600" s="82">
        <v>0.22439089924845904</v>
      </c>
      <c r="T600" s="82">
        <v>0.26224107793722362</v>
      </c>
      <c r="U600" s="82">
        <v>4.0323430737923879E-3</v>
      </c>
      <c r="V600" s="82">
        <v>8.3381492836475807E-3</v>
      </c>
      <c r="W600" s="82">
        <v>2.2895778596738809</v>
      </c>
      <c r="X600" s="82">
        <v>2.2415327395955021E-2</v>
      </c>
      <c r="Y600" s="82">
        <v>7.0162112493375881E-2</v>
      </c>
      <c r="Z600" s="82">
        <v>3.0822928405605981E-3</v>
      </c>
      <c r="AA600" s="82">
        <v>6.7561858443271658E-2</v>
      </c>
    </row>
    <row r="601" spans="1:27">
      <c r="A601" s="148"/>
      <c r="B601" s="54" t="s">
        <v>487</v>
      </c>
      <c r="C601" s="5" t="s">
        <v>488</v>
      </c>
      <c r="D601" s="147">
        <v>6716.8060885606556</v>
      </c>
      <c r="E601" s="127">
        <v>5344.1658899429131</v>
      </c>
      <c r="F601" s="127">
        <v>7315.534966609498</v>
      </c>
      <c r="G601" s="126">
        <v>23.866463451901474</v>
      </c>
      <c r="H601" s="82">
        <v>0.60848024259594047</v>
      </c>
      <c r="I601" s="82">
        <v>4.953271976771436E-2</v>
      </c>
      <c r="J601" s="82">
        <v>0.32464859042234945</v>
      </c>
      <c r="K601" s="82">
        <v>3.8641709711877095E-2</v>
      </c>
      <c r="L601" s="82">
        <v>4.0765562492042369</v>
      </c>
      <c r="M601" s="82">
        <v>0.24994831478012111</v>
      </c>
      <c r="N601" s="82">
        <v>0.11024448031302034</v>
      </c>
      <c r="O601" s="82">
        <v>7.0485368388235343E-3</v>
      </c>
      <c r="P601" s="82">
        <v>1.1200282347850141</v>
      </c>
      <c r="Q601" s="82">
        <v>0.16833853543948629</v>
      </c>
      <c r="R601" s="82">
        <v>0.9203829530684513</v>
      </c>
      <c r="S601" s="82">
        <v>0.2228104046597621</v>
      </c>
      <c r="T601" s="82">
        <v>0.12666949273598635</v>
      </c>
      <c r="U601" s="82">
        <v>6.0080537143049678E-3</v>
      </c>
      <c r="V601" s="82">
        <v>2.1083147130303018E-2</v>
      </c>
      <c r="W601" s="82">
        <v>1.0892192380524801</v>
      </c>
      <c r="X601" s="82">
        <v>4.2927542376787163E-2</v>
      </c>
      <c r="Y601" s="82">
        <v>0.22198918069282617</v>
      </c>
      <c r="Z601" s="82">
        <v>2.694292507298988E-3</v>
      </c>
      <c r="AA601" s="82">
        <v>0</v>
      </c>
    </row>
    <row r="602" spans="1:27">
      <c r="A602" s="148"/>
      <c r="B602" s="54" t="s">
        <v>489</v>
      </c>
      <c r="C602" s="5" t="s">
        <v>490</v>
      </c>
      <c r="D602" s="147">
        <v>8767.5316951367367</v>
      </c>
      <c r="E602" s="127">
        <v>6853.8921412329964</v>
      </c>
      <c r="F602" s="127">
        <v>10491.364308140253</v>
      </c>
      <c r="G602" s="126">
        <v>16.498813681277973</v>
      </c>
      <c r="H602" s="82">
        <v>0.80429384473854415</v>
      </c>
      <c r="I602" s="82">
        <v>6.7302368287953662E-2</v>
      </c>
      <c r="J602" s="82">
        <v>0.35219128425398999</v>
      </c>
      <c r="K602" s="82">
        <v>4.9644085117502151E-2</v>
      </c>
      <c r="L602" s="82">
        <v>2.3373929595727074</v>
      </c>
      <c r="M602" s="82">
        <v>0.70325482235888515</v>
      </c>
      <c r="N602" s="82">
        <v>0.19235718697950246</v>
      </c>
      <c r="O602" s="82">
        <v>5.4460485301550295E-3</v>
      </c>
      <c r="P602" s="82">
        <v>1.2996866810203478</v>
      </c>
      <c r="Q602" s="82">
        <v>0.26761673352282667</v>
      </c>
      <c r="R602" s="82">
        <v>1.421674065846724</v>
      </c>
      <c r="S602" s="82">
        <v>0.2220747702984073</v>
      </c>
      <c r="T602" s="82">
        <v>6.0992184371850736E-2</v>
      </c>
      <c r="U602" s="82">
        <v>5.6884497584086631E-3</v>
      </c>
      <c r="V602" s="82">
        <v>1.7364291520043377E-2</v>
      </c>
      <c r="W602" s="82">
        <v>0.72854797928678516</v>
      </c>
      <c r="X602" s="82">
        <v>0.13917674873489225</v>
      </c>
      <c r="Y602" s="82">
        <v>6.4567450292039058E-2</v>
      </c>
      <c r="Z602" s="82">
        <v>4.2361061813459E-3</v>
      </c>
      <c r="AA602" s="82">
        <v>5.1681320296255127E-2</v>
      </c>
    </row>
    <row r="603" spans="1:27">
      <c r="A603" s="148"/>
      <c r="B603" s="54" t="s">
        <v>491</v>
      </c>
      <c r="C603" s="5" t="s">
        <v>492</v>
      </c>
      <c r="D603" s="147">
        <v>7424.5435751755649</v>
      </c>
      <c r="E603" s="127">
        <v>5186.5349748058397</v>
      </c>
      <c r="F603" s="127">
        <v>9824.5848701516406</v>
      </c>
      <c r="G603" s="126">
        <v>17.386103830869711</v>
      </c>
      <c r="H603" s="82">
        <v>1.0040173925120484</v>
      </c>
      <c r="I603" s="82">
        <v>3.4987217612713714E-2</v>
      </c>
      <c r="J603" s="82">
        <v>0.24891171842994855</v>
      </c>
      <c r="K603" s="82">
        <v>2.6901447637682267E-2</v>
      </c>
      <c r="L603" s="82">
        <v>5.1330278662516609</v>
      </c>
      <c r="M603" s="82">
        <v>0.29058592803382316</v>
      </c>
      <c r="N603" s="82">
        <v>8.0257296718361987E-2</v>
      </c>
      <c r="O603" s="82">
        <v>3.5715282185722146E-3</v>
      </c>
      <c r="P603" s="82">
        <v>0.86708996282969653</v>
      </c>
      <c r="Q603" s="82">
        <v>0.16064776446226364</v>
      </c>
      <c r="R603" s="82">
        <v>1.8149738488900766E-2</v>
      </c>
      <c r="S603" s="82">
        <v>0.15706587038347822</v>
      </c>
      <c r="T603" s="82">
        <v>1.2411863304411814E-2</v>
      </c>
      <c r="U603" s="82">
        <v>3.8776625102708447E-3</v>
      </c>
      <c r="V603" s="82">
        <v>6.5461820673540314E-3</v>
      </c>
      <c r="W603" s="82">
        <v>0.15151233271607439</v>
      </c>
      <c r="X603" s="82">
        <v>1.4146777947377356E-2</v>
      </c>
      <c r="Y603" s="82">
        <v>3.9886435221280093E-3</v>
      </c>
      <c r="Z603" s="82">
        <v>2.3941051648468941E-3</v>
      </c>
      <c r="AA603" s="82">
        <v>2.9821627558701297E-2</v>
      </c>
    </row>
    <row r="604" spans="1:27">
      <c r="A604" s="148"/>
      <c r="B604" s="54" t="s">
        <v>493</v>
      </c>
      <c r="C604" s="5" t="s">
        <v>494</v>
      </c>
      <c r="D604" s="147">
        <v>8639.5009391567128</v>
      </c>
      <c r="E604" s="127">
        <v>5695.141776841162</v>
      </c>
      <c r="F604" s="127">
        <v>8482.6630620729811</v>
      </c>
      <c r="G604" s="126">
        <v>22.917589096651973</v>
      </c>
      <c r="H604" s="82">
        <v>1.2199903001341079</v>
      </c>
      <c r="I604" s="82">
        <v>0.26535650395947519</v>
      </c>
      <c r="J604" s="82">
        <v>0.47017804733146101</v>
      </c>
      <c r="K604" s="82">
        <v>0.46005325607977543</v>
      </c>
      <c r="L604" s="82">
        <v>3.5660853159434245</v>
      </c>
      <c r="M604" s="82">
        <v>0.57177511677258142</v>
      </c>
      <c r="N604" s="82">
        <v>0.11234867336929871</v>
      </c>
      <c r="O604" s="82">
        <v>1.5932702028427532E-3</v>
      </c>
      <c r="P604" s="82">
        <v>0.85138298382240607</v>
      </c>
      <c r="Q604" s="82">
        <v>0.44357085513232514</v>
      </c>
      <c r="R604" s="82">
        <v>2.2307414158364343</v>
      </c>
      <c r="S604" s="82">
        <v>0.41292076878244927</v>
      </c>
      <c r="T604" s="82">
        <v>0.26897405966182941</v>
      </c>
      <c r="U604" s="82">
        <v>7.3395204900253627E-3</v>
      </c>
      <c r="V604" s="82">
        <v>0.16736652021022613</v>
      </c>
      <c r="W604" s="82">
        <v>3.0333167426841166</v>
      </c>
      <c r="X604" s="82">
        <v>7.9550925718633328E-2</v>
      </c>
      <c r="Y604" s="82">
        <v>7.6259424463170893</v>
      </c>
      <c r="Z604" s="82">
        <v>3.4318226024906552E-3</v>
      </c>
      <c r="AA604" s="82">
        <v>1.6762723034692843E-2</v>
      </c>
    </row>
    <row r="605" spans="1:27">
      <c r="A605" s="148"/>
      <c r="B605" s="54" t="s">
        <v>495</v>
      </c>
      <c r="C605" s="5" t="s">
        <v>496</v>
      </c>
      <c r="D605" s="147">
        <v>9352.4558545164946</v>
      </c>
      <c r="E605" s="127">
        <v>6113.7931836279831</v>
      </c>
      <c r="F605" s="127">
        <v>10104.177233783877</v>
      </c>
      <c r="G605" s="126">
        <v>21.331908943978021</v>
      </c>
      <c r="H605" s="82">
        <v>1.7625982739832262</v>
      </c>
      <c r="I605" s="82">
        <v>0.55417524220011027</v>
      </c>
      <c r="J605" s="82">
        <v>0.52319800384355297</v>
      </c>
      <c r="K605" s="82">
        <v>7.1311015444146128E-2</v>
      </c>
      <c r="L605" s="82">
        <v>6.744894491462019</v>
      </c>
      <c r="M605" s="82">
        <v>0.31660949797368865</v>
      </c>
      <c r="N605" s="82">
        <v>0.1167751982858287</v>
      </c>
      <c r="O605" s="82">
        <v>7.2640621909638714E-3</v>
      </c>
      <c r="P605" s="82">
        <v>1.7307785709878241</v>
      </c>
      <c r="Q605" s="82">
        <v>0.47750216732027762</v>
      </c>
      <c r="R605" s="82">
        <v>6.1620128491915773</v>
      </c>
      <c r="S605" s="82">
        <v>0.29616400076957705</v>
      </c>
      <c r="T605" s="82">
        <v>0.63384152155543672</v>
      </c>
      <c r="U605" s="82">
        <v>1.667224826693723E-2</v>
      </c>
      <c r="V605" s="82">
        <v>0.10670999369767402</v>
      </c>
      <c r="W605" s="82">
        <v>7.0958588552555089</v>
      </c>
      <c r="X605" s="82">
        <v>0.33151727656032409</v>
      </c>
      <c r="Y605" s="82">
        <v>1.9577063268348176</v>
      </c>
      <c r="Z605" s="82">
        <v>4.4275324681776283E-3</v>
      </c>
      <c r="AA605" s="82">
        <v>7.2032119489226651E-2</v>
      </c>
    </row>
    <row r="606" spans="1:27">
      <c r="A606" s="148"/>
      <c r="B606" s="54" t="s">
        <v>497</v>
      </c>
      <c r="C606" s="5" t="s">
        <v>498</v>
      </c>
      <c r="D606" s="147">
        <v>7156.350238066555</v>
      </c>
      <c r="E606" s="127">
        <v>5041.3512826799606</v>
      </c>
      <c r="F606" s="127">
        <v>7861.6341412756992</v>
      </c>
      <c r="G606" s="126">
        <v>17.165462966876838</v>
      </c>
      <c r="H606" s="82">
        <v>5.6062761312644342</v>
      </c>
      <c r="I606" s="82">
        <v>0.2361169718147984</v>
      </c>
      <c r="J606" s="82">
        <v>0.34603468820420114</v>
      </c>
      <c r="K606" s="82">
        <v>4.5594705166103158E-2</v>
      </c>
      <c r="L606" s="82">
        <v>3.6817167416061198</v>
      </c>
      <c r="M606" s="82">
        <v>0.37443556030749237</v>
      </c>
      <c r="N606" s="82">
        <v>9.9156423166424298E-2</v>
      </c>
      <c r="O606" s="82">
        <v>7.2834954765301921E-3</v>
      </c>
      <c r="P606" s="82">
        <v>1.1906114175788487</v>
      </c>
      <c r="Q606" s="82">
        <v>0.24866726031111988</v>
      </c>
      <c r="R606" s="82">
        <v>10.758257509298172</v>
      </c>
      <c r="S606" s="82">
        <v>0.25493307818528882</v>
      </c>
      <c r="T606" s="82">
        <v>0.26555247729005343</v>
      </c>
      <c r="U606" s="82">
        <v>1.9799671438909205E-2</v>
      </c>
      <c r="V606" s="82">
        <v>4.9977582028930913E-2</v>
      </c>
      <c r="W606" s="82">
        <v>2.116729376160889</v>
      </c>
      <c r="X606" s="82">
        <v>0.37082889229770594</v>
      </c>
      <c r="Y606" s="82">
        <v>0.22715360146653679</v>
      </c>
      <c r="Z606" s="82">
        <v>4.6292749772166627E-3</v>
      </c>
      <c r="AA606" s="82">
        <v>4.7685057563215102E-2</v>
      </c>
    </row>
    <row r="607" spans="1:27">
      <c r="A607" s="148"/>
      <c r="B607" s="54" t="s">
        <v>499</v>
      </c>
      <c r="C607" s="5" t="s">
        <v>500</v>
      </c>
      <c r="D607" s="147">
        <v>6716.4289244426673</v>
      </c>
      <c r="E607" s="127">
        <v>5306.1448928535583</v>
      </c>
      <c r="F607" s="127">
        <v>11154.922189925319</v>
      </c>
      <c r="G607" s="126">
        <v>10.681062858653528</v>
      </c>
      <c r="H607" s="82">
        <v>0.70154523554163539</v>
      </c>
      <c r="I607" s="82">
        <v>6.1135051196049103E-2</v>
      </c>
      <c r="J607" s="82">
        <v>0.27397549935594884</v>
      </c>
      <c r="K607" s="82">
        <v>2.5797373381225813E-2</v>
      </c>
      <c r="L607" s="82">
        <v>4.858121231749192</v>
      </c>
      <c r="M607" s="82">
        <v>0.17055588580754419</v>
      </c>
      <c r="N607" s="82">
        <v>6.9073084374176211E-2</v>
      </c>
      <c r="O607" s="82">
        <v>3.0219959370179905E-3</v>
      </c>
      <c r="P607" s="82">
        <v>1.0162661184708008</v>
      </c>
      <c r="Q607" s="82">
        <v>0.17563598122261492</v>
      </c>
      <c r="R607" s="82">
        <v>0.9910132959779353</v>
      </c>
      <c r="S607" s="82">
        <v>0.19349200796276891</v>
      </c>
      <c r="T607" s="82">
        <v>2.378338112250929E-2</v>
      </c>
      <c r="U607" s="82">
        <v>5.2572317066898397E-3</v>
      </c>
      <c r="V607" s="82">
        <v>1.1442105220260219E-2</v>
      </c>
      <c r="W607" s="82">
        <v>0.61520470764324364</v>
      </c>
      <c r="X607" s="82">
        <v>2.2097324981302739E-2</v>
      </c>
      <c r="Y607" s="82">
        <v>8.6977593726596414E-2</v>
      </c>
      <c r="Z607" s="82">
        <v>3.0235687339034141E-3</v>
      </c>
      <c r="AA607" s="82">
        <v>3.2032741693120231E-2</v>
      </c>
    </row>
    <row r="608" spans="1:27">
      <c r="A608" s="148"/>
      <c r="B608" s="54" t="s">
        <v>501</v>
      </c>
      <c r="C608" s="5" t="s">
        <v>502</v>
      </c>
      <c r="D608" s="147">
        <v>8307.2552642873761</v>
      </c>
      <c r="E608" s="127">
        <v>8652.9363313185422</v>
      </c>
      <c r="F608" s="127">
        <v>9264.2060804171542</v>
      </c>
      <c r="G608" s="126">
        <v>11.415687384175662</v>
      </c>
      <c r="H608" s="82">
        <v>1.3224223518025195</v>
      </c>
      <c r="I608" s="82">
        <v>5.3217806825794828E-2</v>
      </c>
      <c r="J608" s="82">
        <v>0.27770849765264283</v>
      </c>
      <c r="K608" s="82">
        <v>2.9248461275402225E-2</v>
      </c>
      <c r="L608" s="82">
        <v>4.7054468795354447</v>
      </c>
      <c r="M608" s="82">
        <v>0.4168948514697523</v>
      </c>
      <c r="N608" s="82">
        <v>0.12393326845648694</v>
      </c>
      <c r="O608" s="82">
        <v>1.8214569447629334E-3</v>
      </c>
      <c r="P608" s="82">
        <v>1.2723660182982586</v>
      </c>
      <c r="Q608" s="82">
        <v>0.73376940448091754</v>
      </c>
      <c r="R608" s="82">
        <v>7.1576474101685841E-2</v>
      </c>
      <c r="S608" s="82">
        <v>0.19749162322037045</v>
      </c>
      <c r="T608" s="82">
        <v>1.105254692167062E-2</v>
      </c>
      <c r="U608" s="82">
        <v>3.827139896626394E-3</v>
      </c>
      <c r="V608" s="82">
        <v>0</v>
      </c>
      <c r="W608" s="82">
        <v>0.15272554385208192</v>
      </c>
      <c r="X608" s="82">
        <v>1.7859523306614271E-2</v>
      </c>
      <c r="Y608" s="82">
        <v>3.0217292813665684E-3</v>
      </c>
      <c r="Z608" s="82">
        <v>3.7439917768339547E-3</v>
      </c>
      <c r="AA608" s="82">
        <v>5.160604734381969E-2</v>
      </c>
    </row>
    <row r="609" spans="1:27">
      <c r="A609" s="148"/>
      <c r="B609" s="54" t="s">
        <v>503</v>
      </c>
      <c r="C609" s="5" t="s">
        <v>504</v>
      </c>
      <c r="D609" s="147">
        <v>6805.7097546948389</v>
      </c>
      <c r="E609" s="127">
        <v>5853.0153388718027</v>
      </c>
      <c r="F609" s="127">
        <v>5271.2492207690948</v>
      </c>
      <c r="G609" s="126">
        <v>8.3410397065731612</v>
      </c>
      <c r="H609" s="82">
        <v>0.8445338056656303</v>
      </c>
      <c r="I609" s="82">
        <v>5.423608135270503E-2</v>
      </c>
      <c r="J609" s="82">
        <v>0.28887481385590064</v>
      </c>
      <c r="K609" s="82">
        <v>2.557543031866873E-2</v>
      </c>
      <c r="L609" s="82">
        <v>3.9133531311341168</v>
      </c>
      <c r="M609" s="82">
        <v>0.19969240749053674</v>
      </c>
      <c r="N609" s="82">
        <v>0.10117254923446108</v>
      </c>
      <c r="O609" s="82">
        <v>2.4416175652711017E-3</v>
      </c>
      <c r="P609" s="82">
        <v>0.65551396981477505</v>
      </c>
      <c r="Q609" s="82">
        <v>0.21597363318589738</v>
      </c>
      <c r="R609" s="82">
        <v>4.0735333843657462E-2</v>
      </c>
      <c r="S609" s="82">
        <v>0.20731827020544055</v>
      </c>
      <c r="T609" s="82">
        <v>9.8463374558402494E-3</v>
      </c>
      <c r="U609" s="82">
        <v>2.5896474921448388E-3</v>
      </c>
      <c r="V609" s="82">
        <v>0</v>
      </c>
      <c r="W609" s="82">
        <v>7.6300631478797246E-2</v>
      </c>
      <c r="X609" s="82">
        <v>1.7548900127594688E-2</v>
      </c>
      <c r="Y609" s="82">
        <v>2.5424171591573639E-3</v>
      </c>
      <c r="Z609" s="82">
        <v>1.9911785878337636E-3</v>
      </c>
      <c r="AA609" s="82">
        <v>2.6722271536848249E-2</v>
      </c>
    </row>
    <row r="610" spans="1:27">
      <c r="A610" s="148"/>
      <c r="B610" s="54" t="s">
        <v>505</v>
      </c>
      <c r="C610" s="5" t="s">
        <v>506</v>
      </c>
      <c r="D610" s="147">
        <v>7719.3439245559603</v>
      </c>
      <c r="E610" s="127">
        <v>5106.6373376055599</v>
      </c>
      <c r="F610" s="127">
        <v>6986.7295805546155</v>
      </c>
      <c r="G610" s="126">
        <v>11.4024802388961</v>
      </c>
      <c r="H610" s="82">
        <v>1.9069403049556359</v>
      </c>
      <c r="I610" s="82">
        <v>7.7138167864871779E-2</v>
      </c>
      <c r="J610" s="82">
        <v>1.0068629570246479</v>
      </c>
      <c r="K610" s="82">
        <v>3.7420289327595023E-2</v>
      </c>
      <c r="L610" s="82">
        <v>6.2862858461620261</v>
      </c>
      <c r="M610" s="82">
        <v>0.19047135593382855</v>
      </c>
      <c r="N610" s="82">
        <v>9.7847417942595091E-2</v>
      </c>
      <c r="O610" s="82">
        <v>4.1634051835345897E-3</v>
      </c>
      <c r="P610" s="82">
        <v>0.82157916245302542</v>
      </c>
      <c r="Q610" s="82">
        <v>0.25469859275105045</v>
      </c>
      <c r="R610" s="82">
        <v>0.96127798863049052</v>
      </c>
      <c r="S610" s="82">
        <v>0.2700156551226679</v>
      </c>
      <c r="T610" s="82">
        <v>1.1024750808602524</v>
      </c>
      <c r="U610" s="82">
        <v>4.3390564277822723E-3</v>
      </c>
      <c r="V610" s="82">
        <v>2.7175076130881867E-2</v>
      </c>
      <c r="W610" s="82">
        <v>2.9712612816819215</v>
      </c>
      <c r="X610" s="82">
        <v>1.8844044193354274E-2</v>
      </c>
      <c r="Y610" s="82">
        <v>1.9879614640065324E-2</v>
      </c>
      <c r="Z610" s="82">
        <v>3.5804140939515142E-3</v>
      </c>
      <c r="AA610" s="82">
        <v>7.2851474999125282E-2</v>
      </c>
    </row>
    <row r="611" spans="1:27">
      <c r="A611" s="148"/>
      <c r="B611" s="54" t="s">
        <v>507</v>
      </c>
      <c r="C611" s="5" t="s">
        <v>508</v>
      </c>
      <c r="D611" s="147">
        <v>7561.3531919030656</v>
      </c>
      <c r="E611" s="127">
        <v>6560.0525550510965</v>
      </c>
      <c r="F611" s="127">
        <v>6730.2066508408152</v>
      </c>
      <c r="G611" s="126">
        <v>10.019348998309097</v>
      </c>
      <c r="H611" s="82">
        <v>0.82913545315229142</v>
      </c>
      <c r="I611" s="82">
        <v>4.6132352921678083E-2</v>
      </c>
      <c r="J611" s="82">
        <v>0.30865086493947919</v>
      </c>
      <c r="K611" s="82">
        <v>2.5854744611469135E-2</v>
      </c>
      <c r="L611" s="82">
        <v>4.0213382402192765</v>
      </c>
      <c r="M611" s="82">
        <v>0.37858205950460971</v>
      </c>
      <c r="N611" s="82">
        <v>0.11929891910198602</v>
      </c>
      <c r="O611" s="82">
        <v>1.7482584126291298E-3</v>
      </c>
      <c r="P611" s="82">
        <v>1.1587420697809216</v>
      </c>
      <c r="Q611" s="82">
        <v>0.18672843637035913</v>
      </c>
      <c r="R611" s="82">
        <v>6.349434928313627E-2</v>
      </c>
      <c r="S611" s="82">
        <v>0.19636215022567222</v>
      </c>
      <c r="T611" s="82">
        <v>4.6369498487058416E-2</v>
      </c>
      <c r="U611" s="82">
        <v>4.3989330848224232E-3</v>
      </c>
      <c r="V611" s="82">
        <v>7.641324619006554E-3</v>
      </c>
      <c r="W611" s="82">
        <v>0.70554118310386993</v>
      </c>
      <c r="X611" s="82">
        <v>2.1531507457735913E-2</v>
      </c>
      <c r="Y611" s="82">
        <v>0.244751535231436</v>
      </c>
      <c r="Z611" s="82">
        <v>2.9910502563842119E-3</v>
      </c>
      <c r="AA611" s="82">
        <v>3.3289893663554913E-2</v>
      </c>
    </row>
    <row r="612" spans="1:27">
      <c r="A612" s="156" t="s">
        <v>509</v>
      </c>
      <c r="B612" s="54"/>
      <c r="C612" s="54"/>
      <c r="D612" s="147"/>
      <c r="E612" s="127"/>
      <c r="F612" s="127"/>
      <c r="G612" s="126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</row>
    <row r="613" spans="1:27">
      <c r="A613" s="148"/>
      <c r="B613" s="54" t="s">
        <v>510</v>
      </c>
      <c r="C613" s="5" t="s">
        <v>511</v>
      </c>
      <c r="D613" s="147">
        <v>10321.919515192614</v>
      </c>
      <c r="E613" s="127">
        <v>10437.386439124868</v>
      </c>
      <c r="F613" s="127">
        <v>8264.587161000858</v>
      </c>
      <c r="G613" s="126">
        <v>19.719127270704817</v>
      </c>
      <c r="H613" s="82">
        <v>1.6804420716511228</v>
      </c>
      <c r="I613" s="82">
        <v>4.1722251232866811E-2</v>
      </c>
      <c r="J613" s="82">
        <v>0.44108925958902928</v>
      </c>
      <c r="K613" s="82">
        <v>3.7455860211074193E-2</v>
      </c>
      <c r="L613" s="82">
        <v>5.5780117956089166</v>
      </c>
      <c r="M613" s="82">
        <v>0.74268540299239727</v>
      </c>
      <c r="N613" s="82">
        <v>0.11846152130695323</v>
      </c>
      <c r="O613" s="82">
        <v>0</v>
      </c>
      <c r="P613" s="82">
        <v>2.925575901389176</v>
      </c>
      <c r="Q613" s="82">
        <v>0.28560592862296591</v>
      </c>
      <c r="R613" s="82">
        <v>6.545640847727581E-2</v>
      </c>
      <c r="S613" s="82">
        <v>0.27741786578159799</v>
      </c>
      <c r="T613" s="82">
        <v>2.793867157774723E-2</v>
      </c>
      <c r="U613" s="82">
        <v>4.685527153525112E-3</v>
      </c>
      <c r="V613" s="82">
        <v>1.1863715633474502E-2</v>
      </c>
      <c r="W613" s="82">
        <v>0.21563412720102573</v>
      </c>
      <c r="X613" s="82">
        <v>2.3724170596523399E-2</v>
      </c>
      <c r="Y613" s="82">
        <v>1.7564021938268053E-2</v>
      </c>
      <c r="Z613" s="82">
        <v>4.2591768183093941E-3</v>
      </c>
      <c r="AA613" s="82">
        <v>6.0585872816690561E-2</v>
      </c>
    </row>
    <row r="614" spans="1:27">
      <c r="A614" s="148"/>
      <c r="B614" s="54" t="s">
        <v>512</v>
      </c>
      <c r="C614" s="5" t="s">
        <v>513</v>
      </c>
      <c r="D614" s="147">
        <v>10916.119338703751</v>
      </c>
      <c r="E614" s="127">
        <v>7673.784237769587</v>
      </c>
      <c r="F614" s="127">
        <v>8773.8909536546325</v>
      </c>
      <c r="G614" s="126">
        <v>17.034974642982373</v>
      </c>
      <c r="H614" s="82">
        <v>2.2549724554902832</v>
      </c>
      <c r="I614" s="82">
        <v>4.351584754160507E-2</v>
      </c>
      <c r="J614" s="82">
        <v>0.33389031020134785</v>
      </c>
      <c r="K614" s="82">
        <v>2.481448065030005E-2</v>
      </c>
      <c r="L614" s="82">
        <v>9.5545407455668165</v>
      </c>
      <c r="M614" s="82">
        <v>0.29771375557833957</v>
      </c>
      <c r="N614" s="82">
        <v>0.11398239065449986</v>
      </c>
      <c r="O614" s="82">
        <v>1.989732054185333E-3</v>
      </c>
      <c r="P614" s="82">
        <v>2.2860746614858227</v>
      </c>
      <c r="Q614" s="82">
        <v>0.23608174294096276</v>
      </c>
      <c r="R614" s="82">
        <v>2.5915723559741418E-2</v>
      </c>
      <c r="S614" s="82">
        <v>0.21459012245830009</v>
      </c>
      <c r="T614" s="82">
        <v>7.301649726305659E-2</v>
      </c>
      <c r="U614" s="82">
        <v>4.2245333938371304E-3</v>
      </c>
      <c r="V614" s="82">
        <v>2.0460239778197057E-2</v>
      </c>
      <c r="W614" s="82">
        <v>0.43101624031282382</v>
      </c>
      <c r="X614" s="82">
        <v>1.865435004149409E-2</v>
      </c>
      <c r="Y614" s="82">
        <v>0.23219948475913627</v>
      </c>
      <c r="Z614" s="82">
        <v>4.2142762800248292E-3</v>
      </c>
      <c r="AA614" s="82">
        <v>7.0043714910971111E-2</v>
      </c>
    </row>
    <row r="615" spans="1:27">
      <c r="A615" s="148"/>
      <c r="B615" s="54" t="s">
        <v>514</v>
      </c>
      <c r="C615" s="5" t="s">
        <v>515</v>
      </c>
      <c r="D615" s="147">
        <v>8422.7930518236699</v>
      </c>
      <c r="E615" s="127">
        <v>9805.0861751177508</v>
      </c>
      <c r="F615" s="127">
        <v>7553.266489793682</v>
      </c>
      <c r="G615" s="126">
        <v>11.440616755019681</v>
      </c>
      <c r="H615" s="82">
        <v>2.2771968590167173</v>
      </c>
      <c r="I615" s="82">
        <v>3.7571612545962058E-2</v>
      </c>
      <c r="J615" s="82">
        <v>0.32780270104147302</v>
      </c>
      <c r="K615" s="82">
        <v>2.0273147388924068E-2</v>
      </c>
      <c r="L615" s="82">
        <v>6.9844613529599249</v>
      </c>
      <c r="M615" s="82">
        <v>0.33029134147384021</v>
      </c>
      <c r="N615" s="82">
        <v>9.2409639232641921E-2</v>
      </c>
      <c r="O615" s="82">
        <v>1.9339142667412052E-3</v>
      </c>
      <c r="P615" s="82">
        <v>3.1173108315724991</v>
      </c>
      <c r="Q615" s="82">
        <v>0.25810233340034477</v>
      </c>
      <c r="R615" s="82">
        <v>2.025140375155688E-2</v>
      </c>
      <c r="S615" s="82">
        <v>0.17796081763513566</v>
      </c>
      <c r="T615" s="82">
        <v>7.9724101241517714E-3</v>
      </c>
      <c r="U615" s="82">
        <v>3.6720778248956884E-3</v>
      </c>
      <c r="V615" s="82">
        <v>1.3654845197501771E-2</v>
      </c>
      <c r="W615" s="82">
        <v>9.131584897823429E-2</v>
      </c>
      <c r="X615" s="82">
        <v>1.9101558957475791E-2</v>
      </c>
      <c r="Y615" s="82">
        <v>2.0534705450330889E-3</v>
      </c>
      <c r="Z615" s="82">
        <v>9.4813101191170718E-3</v>
      </c>
      <c r="AA615" s="82">
        <v>8.5934533855182529E-2</v>
      </c>
    </row>
    <row r="616" spans="1:27">
      <c r="A616" s="148"/>
      <c r="B616" s="54" t="s">
        <v>516</v>
      </c>
      <c r="C616" s="5" t="s">
        <v>517</v>
      </c>
      <c r="D616" s="147">
        <v>9035.6956197384297</v>
      </c>
      <c r="E616" s="127">
        <v>9685.7632365755398</v>
      </c>
      <c r="F616" s="127">
        <v>8503.4289977131066</v>
      </c>
      <c r="G616" s="126">
        <v>10.45218126838391</v>
      </c>
      <c r="H616" s="82">
        <v>2.6480635581061951</v>
      </c>
      <c r="I616" s="82">
        <v>4.9076395786745393E-2</v>
      </c>
      <c r="J616" s="82">
        <v>0.31901514618429905</v>
      </c>
      <c r="K616" s="82">
        <v>2.3373772677172524E-2</v>
      </c>
      <c r="L616" s="82">
        <v>5.8264220295604181</v>
      </c>
      <c r="M616" s="82">
        <v>0.30149427290262476</v>
      </c>
      <c r="N616" s="82">
        <v>8.0199411800234696E-2</v>
      </c>
      <c r="O616" s="82">
        <v>7.5909467289544163E-3</v>
      </c>
      <c r="P616" s="82">
        <v>2.8544427517709594</v>
      </c>
      <c r="Q616" s="82">
        <v>0.29135564623909282</v>
      </c>
      <c r="R616" s="82">
        <v>1.2549529937265351E-2</v>
      </c>
      <c r="S616" s="82">
        <v>0.19524412359275414</v>
      </c>
      <c r="T616" s="82">
        <v>6.9494523018136193E-3</v>
      </c>
      <c r="U616" s="82">
        <v>3.159241795363366E-3</v>
      </c>
      <c r="V616" s="82">
        <v>5.7960934689219651E-3</v>
      </c>
      <c r="W616" s="82">
        <v>0.15643876730170306</v>
      </c>
      <c r="X616" s="82">
        <v>1.8565655833744921E-2</v>
      </c>
      <c r="Y616" s="82">
        <v>9.3990599028481708E-3</v>
      </c>
      <c r="Z616" s="82">
        <v>3.0157115340644792E-3</v>
      </c>
      <c r="AA616" s="82">
        <v>2.0493622612578286E-2</v>
      </c>
    </row>
    <row r="617" spans="1:27">
      <c r="A617" s="148"/>
      <c r="B617" s="54" t="s">
        <v>518</v>
      </c>
      <c r="C617" s="5" t="s">
        <v>519</v>
      </c>
      <c r="D617" s="147">
        <v>8835.5088857949449</v>
      </c>
      <c r="E617" s="127">
        <v>8677.0519461076874</v>
      </c>
      <c r="F617" s="127">
        <v>8644.4815988797545</v>
      </c>
      <c r="G617" s="126">
        <v>13.786824766089309</v>
      </c>
      <c r="H617" s="82">
        <v>2.9688621020128569</v>
      </c>
      <c r="I617" s="82">
        <v>3.5912869109409572E-2</v>
      </c>
      <c r="J617" s="82">
        <v>0.23287703414954772</v>
      </c>
      <c r="K617" s="82">
        <v>2.441537667059461E-2</v>
      </c>
      <c r="L617" s="82">
        <v>7.7512679351904232</v>
      </c>
      <c r="M617" s="82">
        <v>0.20733239497603501</v>
      </c>
      <c r="N617" s="82">
        <v>8.1987426506699684E-2</v>
      </c>
      <c r="O617" s="82">
        <v>7.4361529185963142E-3</v>
      </c>
      <c r="P617" s="82">
        <v>2.8058289952462498</v>
      </c>
      <c r="Q617" s="82">
        <v>0.23669168813785826</v>
      </c>
      <c r="R617" s="82">
        <v>2.1029390079516437E-2</v>
      </c>
      <c r="S617" s="82">
        <v>0.20277683962524901</v>
      </c>
      <c r="T617" s="82">
        <v>1.4435340325399381E-2</v>
      </c>
      <c r="U617" s="82">
        <v>2.746537245592737E-3</v>
      </c>
      <c r="V617" s="82">
        <v>1.1892408185420806E-2</v>
      </c>
      <c r="W617" s="82">
        <v>0.15544522771201755</v>
      </c>
      <c r="X617" s="82">
        <v>1.6434082199774082E-2</v>
      </c>
      <c r="Y617" s="82">
        <v>3.6422888157644972E-3</v>
      </c>
      <c r="Z617" s="82">
        <v>3.9764330907308375E-3</v>
      </c>
      <c r="AA617" s="82">
        <v>3.2244772779892669E-2</v>
      </c>
    </row>
    <row r="618" spans="1:27">
      <c r="A618" s="148"/>
      <c r="B618" s="54" t="s">
        <v>520</v>
      </c>
      <c r="C618" s="5" t="s">
        <v>521</v>
      </c>
      <c r="D618" s="147">
        <v>9140.70283930197</v>
      </c>
      <c r="E618" s="127">
        <v>10080.73269982067</v>
      </c>
      <c r="F618" s="127">
        <v>10660.943466968307</v>
      </c>
      <c r="G618" s="126">
        <v>12.436527302836934</v>
      </c>
      <c r="H618" s="82">
        <v>2.5652554370232923</v>
      </c>
      <c r="I618" s="82">
        <v>5.6211962621232556E-2</v>
      </c>
      <c r="J618" s="82">
        <v>0.27180649285554825</v>
      </c>
      <c r="K618" s="82">
        <v>2.662217305834778E-2</v>
      </c>
      <c r="L618" s="82">
        <v>7.5603695326239571</v>
      </c>
      <c r="M618" s="82">
        <v>0.23713831469576152</v>
      </c>
      <c r="N618" s="82">
        <v>8.1037533288248365E-2</v>
      </c>
      <c r="O618" s="82">
        <v>2.9501051531819174E-3</v>
      </c>
      <c r="P618" s="82">
        <v>3.2590467745031946</v>
      </c>
      <c r="Q618" s="82">
        <v>0.23404832029817907</v>
      </c>
      <c r="R618" s="82">
        <v>0.14278589120771445</v>
      </c>
      <c r="S618" s="82">
        <v>0.16861382877470288</v>
      </c>
      <c r="T618" s="82">
        <v>2.3273240794274275E-2</v>
      </c>
      <c r="U618" s="82">
        <v>2.5217206050314528E-3</v>
      </c>
      <c r="V618" s="82">
        <v>7.7938429851074457E-3</v>
      </c>
      <c r="W618" s="82">
        <v>0.24781385872302286</v>
      </c>
      <c r="X618" s="82">
        <v>2.0707641341098461E-2</v>
      </c>
      <c r="Y618" s="82">
        <v>4.9961609365997327E-2</v>
      </c>
      <c r="Z618" s="82">
        <v>2.946860739188656E-3</v>
      </c>
      <c r="AA618" s="82">
        <v>5.7803484114187308E-2</v>
      </c>
    </row>
    <row r="619" spans="1:27">
      <c r="A619" s="148"/>
      <c r="B619" s="54" t="s">
        <v>522</v>
      </c>
      <c r="C619" s="5" t="s">
        <v>523</v>
      </c>
      <c r="D619" s="147">
        <v>9071.2280032467588</v>
      </c>
      <c r="E619" s="127">
        <v>9458.6898522123138</v>
      </c>
      <c r="F619" s="127">
        <v>10685.300939832088</v>
      </c>
      <c r="G619" s="126">
        <v>22.305595669588413</v>
      </c>
      <c r="H619" s="82">
        <v>1.7922945859716732</v>
      </c>
      <c r="I619" s="82">
        <v>5.0564996867849092E-2</v>
      </c>
      <c r="J619" s="82">
        <v>0.28474574419906368</v>
      </c>
      <c r="K619" s="82">
        <v>1.9656537107312633E-2</v>
      </c>
      <c r="L619" s="82">
        <v>4.9935675785246358</v>
      </c>
      <c r="M619" s="82">
        <v>0.69040170740417006</v>
      </c>
      <c r="N619" s="82">
        <v>0.16399071736124768</v>
      </c>
      <c r="O619" s="82">
        <v>2.7929847448540939E-3</v>
      </c>
      <c r="P619" s="82">
        <v>3.3822574605025082</v>
      </c>
      <c r="Q619" s="82">
        <v>0.20757885788627106</v>
      </c>
      <c r="R619" s="82">
        <v>6.1331321705728567E-2</v>
      </c>
      <c r="S619" s="82">
        <v>0.21747512339211514</v>
      </c>
      <c r="T619" s="82">
        <v>0.13319076761239076</v>
      </c>
      <c r="U619" s="82">
        <v>4.0886758903374469E-3</v>
      </c>
      <c r="V619" s="82">
        <v>3.2415116293766595E-2</v>
      </c>
      <c r="W619" s="82">
        <v>0.73702794122982174</v>
      </c>
      <c r="X619" s="82">
        <v>1.7248196810493898E-2</v>
      </c>
      <c r="Y619" s="82">
        <v>8.4551859400411947E-2</v>
      </c>
      <c r="Z619" s="82">
        <v>2.7321831638278575E-3</v>
      </c>
      <c r="AA619" s="82">
        <v>1.7793778662202147E-2</v>
      </c>
    </row>
    <row r="620" spans="1:27">
      <c r="A620" s="148"/>
      <c r="B620" s="54" t="s">
        <v>524</v>
      </c>
      <c r="C620" s="5" t="s">
        <v>525</v>
      </c>
      <c r="D620" s="147">
        <v>7271.6307858121008</v>
      </c>
      <c r="E620" s="127">
        <v>7669.527067545986</v>
      </c>
      <c r="F620" s="127">
        <v>7111.9087435215388</v>
      </c>
      <c r="G620" s="126">
        <v>14.011936533759005</v>
      </c>
      <c r="H620" s="82">
        <v>2.2051309190485937</v>
      </c>
      <c r="I620" s="82">
        <v>3.9458120709582017E-2</v>
      </c>
      <c r="J620" s="82">
        <v>0.28736046173125246</v>
      </c>
      <c r="K620" s="82">
        <v>2.7139862322129091E-2</v>
      </c>
      <c r="L620" s="82">
        <v>5.288108378308805</v>
      </c>
      <c r="M620" s="82">
        <v>0.42582017441799352</v>
      </c>
      <c r="N620" s="82">
        <v>9.2227913619252269E-2</v>
      </c>
      <c r="O620" s="82">
        <v>1.8155281231042747E-3</v>
      </c>
      <c r="P620" s="82">
        <v>2.6795032453159453</v>
      </c>
      <c r="Q620" s="82">
        <v>0.26972550146240892</v>
      </c>
      <c r="R620" s="82">
        <v>1.7625050388283027E-2</v>
      </c>
      <c r="S620" s="82">
        <v>0.158755667915775</v>
      </c>
      <c r="T620" s="82">
        <v>1.3912972998086961E-2</v>
      </c>
      <c r="U620" s="82">
        <v>3.7987505021675845E-3</v>
      </c>
      <c r="V620" s="82">
        <v>7.9864863458764968E-3</v>
      </c>
      <c r="W620" s="82">
        <v>0.14671607160206354</v>
      </c>
      <c r="X620" s="82">
        <v>1.5207434922410657E-2</v>
      </c>
      <c r="Y620" s="82">
        <v>3.4604072931267507E-2</v>
      </c>
      <c r="Z620" s="82">
        <v>3.0645945194898612E-3</v>
      </c>
      <c r="AA620" s="82">
        <v>5.1091535480774775E-2</v>
      </c>
    </row>
    <row r="621" spans="1:27">
      <c r="A621" s="148"/>
      <c r="B621" s="54" t="s">
        <v>526</v>
      </c>
      <c r="C621" s="5" t="s">
        <v>527</v>
      </c>
      <c r="D621" s="147">
        <v>10677.92323811437</v>
      </c>
      <c r="E621" s="127">
        <v>9210.5256185771523</v>
      </c>
      <c r="F621" s="127">
        <v>9531.7708009794333</v>
      </c>
      <c r="G621" s="126">
        <v>13.422691431786607</v>
      </c>
      <c r="H621" s="82">
        <v>1.4789083509438739</v>
      </c>
      <c r="I621" s="82">
        <v>6.2484511804893235E-2</v>
      </c>
      <c r="J621" s="82">
        <v>0.27171214289043355</v>
      </c>
      <c r="K621" s="82">
        <v>2.217909179721711E-2</v>
      </c>
      <c r="L621" s="82">
        <v>6.9344144243201526</v>
      </c>
      <c r="M621" s="82">
        <v>0.28407268158437121</v>
      </c>
      <c r="N621" s="82">
        <v>8.6539793066624168E-2</v>
      </c>
      <c r="O621" s="82">
        <v>6.6286836884529229E-3</v>
      </c>
      <c r="P621" s="82">
        <v>2.7003873232692772</v>
      </c>
      <c r="Q621" s="82">
        <v>0.18521689595928972</v>
      </c>
      <c r="R621" s="82">
        <v>0.15625206326974292</v>
      </c>
      <c r="S621" s="82">
        <v>0.2383329867239474</v>
      </c>
      <c r="T621" s="82">
        <v>0.18478568161465714</v>
      </c>
      <c r="U621" s="82">
        <v>2.5410160819152763E-3</v>
      </c>
      <c r="V621" s="82">
        <v>1.4734746635406798E-2</v>
      </c>
      <c r="W621" s="82">
        <v>0.48273571468665716</v>
      </c>
      <c r="X621" s="82">
        <v>2.0135158752601336E-2</v>
      </c>
      <c r="Y621" s="82">
        <v>0.11811418638895753</v>
      </c>
      <c r="Z621" s="82">
        <v>4.1920209181342226E-3</v>
      </c>
      <c r="AA621" s="82">
        <v>5.6336455847206521E-2</v>
      </c>
    </row>
    <row r="622" spans="1:27">
      <c r="A622" s="148"/>
      <c r="B622" s="54" t="s">
        <v>528</v>
      </c>
      <c r="C622" s="5" t="s">
        <v>529</v>
      </c>
      <c r="D622" s="147">
        <v>7002.9303078645526</v>
      </c>
      <c r="E622" s="127">
        <v>9765.1063128147835</v>
      </c>
      <c r="F622" s="127">
        <v>7436.8909975784718</v>
      </c>
      <c r="G622" s="126">
        <v>10.533631398208582</v>
      </c>
      <c r="H622" s="82">
        <v>1.454783740620597</v>
      </c>
      <c r="I622" s="82">
        <v>4.9054571420239924E-2</v>
      </c>
      <c r="J622" s="82">
        <v>0.26328851122066194</v>
      </c>
      <c r="K622" s="82">
        <v>3.2660395780649693E-2</v>
      </c>
      <c r="L622" s="82">
        <v>7.363432157616991</v>
      </c>
      <c r="M622" s="82">
        <v>0.2422145273195947</v>
      </c>
      <c r="N622" s="82">
        <v>7.6047109226375531E-2</v>
      </c>
      <c r="O622" s="82">
        <v>4.7970043803333053E-3</v>
      </c>
      <c r="P622" s="82">
        <v>2.5910966910156774</v>
      </c>
      <c r="Q622" s="82">
        <v>0.18600041608568627</v>
      </c>
      <c r="R622" s="82">
        <v>1.2569221752508269E-2</v>
      </c>
      <c r="S622" s="82">
        <v>0.16779930064160883</v>
      </c>
      <c r="T622" s="82">
        <v>8.8173210379009492E-3</v>
      </c>
      <c r="U622" s="82">
        <v>3.191527537745631E-3</v>
      </c>
      <c r="V622" s="82">
        <v>0</v>
      </c>
      <c r="W622" s="82">
        <v>0.10011372001306967</v>
      </c>
      <c r="X622" s="82">
        <v>3.3923771705682913E-2</v>
      </c>
      <c r="Y622" s="82">
        <v>1.7024909363218775E-3</v>
      </c>
      <c r="Z622" s="82">
        <v>2.3909837783398303E-3</v>
      </c>
      <c r="AA622" s="82">
        <v>4.7822038794443467E-2</v>
      </c>
    </row>
    <row r="623" spans="1:27">
      <c r="A623" s="148"/>
      <c r="B623" s="54" t="s">
        <v>530</v>
      </c>
      <c r="C623" s="5" t="s">
        <v>531</v>
      </c>
      <c r="D623" s="147">
        <v>9059.7834171360646</v>
      </c>
      <c r="E623" s="127">
        <v>9018.4725922128473</v>
      </c>
      <c r="F623" s="127">
        <v>12257.024640880212</v>
      </c>
      <c r="G623" s="126">
        <v>14.636348632366255</v>
      </c>
      <c r="H623" s="82">
        <v>2.3369201328859481</v>
      </c>
      <c r="I623" s="82">
        <v>3.9877914252001316E-2</v>
      </c>
      <c r="J623" s="82">
        <v>0.23841465702691772</v>
      </c>
      <c r="K623" s="82">
        <v>2.2646150655285816E-2</v>
      </c>
      <c r="L623" s="82">
        <v>3.8040696381249726</v>
      </c>
      <c r="M623" s="82">
        <v>0.2768235478658142</v>
      </c>
      <c r="N623" s="82">
        <v>7.450970140245379E-2</v>
      </c>
      <c r="O623" s="82">
        <v>6.6435394448115595E-3</v>
      </c>
      <c r="P623" s="82">
        <v>2.2819986191786295</v>
      </c>
      <c r="Q623" s="82">
        <v>0.18902936730969858</v>
      </c>
      <c r="R623" s="82">
        <v>5.50037728102463E-2</v>
      </c>
      <c r="S623" s="82">
        <v>0.23678907802139182</v>
      </c>
      <c r="T623" s="82">
        <v>0.3780975949811396</v>
      </c>
      <c r="U623" s="82">
        <v>3.2719371361608477E-3</v>
      </c>
      <c r="V623" s="82">
        <v>4.8302337133776171E-3</v>
      </c>
      <c r="W623" s="82">
        <v>0.40815629841903101</v>
      </c>
      <c r="X623" s="82">
        <v>1.5441207925500288E-2</v>
      </c>
      <c r="Y623" s="82">
        <v>1.6596877103371013E-2</v>
      </c>
      <c r="Z623" s="82">
        <v>3.9623290189997034E-3</v>
      </c>
      <c r="AA623" s="82">
        <v>3.6124249065778276E-2</v>
      </c>
    </row>
    <row r="624" spans="1:27">
      <c r="A624" s="148"/>
      <c r="B624" s="54" t="s">
        <v>532</v>
      </c>
      <c r="C624" s="5" t="s">
        <v>533</v>
      </c>
      <c r="D624" s="147">
        <v>9039.3464756534831</v>
      </c>
      <c r="E624" s="127">
        <v>9508.3178275310511</v>
      </c>
      <c r="F624" s="127">
        <v>9680.6240935837286</v>
      </c>
      <c r="G624" s="126">
        <v>19.783951213753156</v>
      </c>
      <c r="H624" s="82">
        <v>1.4212104587787961</v>
      </c>
      <c r="I624" s="82">
        <v>3.1760988302498586E-2</v>
      </c>
      <c r="J624" s="82">
        <v>0.25896695502146816</v>
      </c>
      <c r="K624" s="82">
        <v>1.4898694987748304E-2</v>
      </c>
      <c r="L624" s="82">
        <v>6.9143878883008947</v>
      </c>
      <c r="M624" s="82">
        <v>0.60258508509142306</v>
      </c>
      <c r="N624" s="82">
        <v>0.10036529375331728</v>
      </c>
      <c r="O624" s="82">
        <v>4.0695544717400433E-3</v>
      </c>
      <c r="P624" s="82">
        <v>3.2391356251116368</v>
      </c>
      <c r="Q624" s="82">
        <v>0.23959104500827424</v>
      </c>
      <c r="R624" s="82">
        <v>0</v>
      </c>
      <c r="S624" s="82">
        <v>0.18798682619882814</v>
      </c>
      <c r="T624" s="82">
        <v>3.2483590816976507E-2</v>
      </c>
      <c r="U624" s="82">
        <v>2.6440466983426135E-3</v>
      </c>
      <c r="V624" s="82">
        <v>5.004290550890609E-3</v>
      </c>
      <c r="W624" s="82">
        <v>7.3183442182672351E-2</v>
      </c>
      <c r="X624" s="82">
        <v>1.4091515428193887E-2</v>
      </c>
      <c r="Y624" s="82">
        <v>1.6163906311391662E-3</v>
      </c>
      <c r="Z624" s="82">
        <v>2.3757401959409886E-3</v>
      </c>
      <c r="AA624" s="82">
        <v>5.110378083905516E-2</v>
      </c>
    </row>
    <row r="625" spans="1:33">
      <c r="A625" s="148"/>
      <c r="B625" s="54" t="s">
        <v>534</v>
      </c>
      <c r="C625" s="5" t="s">
        <v>535</v>
      </c>
      <c r="D625" s="147">
        <v>5274.0428260190711</v>
      </c>
      <c r="E625" s="127">
        <v>9932.2150428614605</v>
      </c>
      <c r="F625" s="127">
        <v>5427.515893560324</v>
      </c>
      <c r="G625" s="82">
        <v>6.9023897485109513</v>
      </c>
      <c r="H625" s="82">
        <v>0.67835221214646702</v>
      </c>
      <c r="I625" s="82">
        <v>8.3204395304611475E-2</v>
      </c>
      <c r="J625" s="82">
        <v>0.36810272727103116</v>
      </c>
      <c r="K625" s="82">
        <v>2.4611899116823877E-2</v>
      </c>
      <c r="L625" s="82">
        <v>4.2568240575083225</v>
      </c>
      <c r="M625" s="82">
        <v>0.2451233102910727</v>
      </c>
      <c r="N625" s="82">
        <v>8.4154994636245026E-2</v>
      </c>
      <c r="O625" s="82">
        <v>7.5288168449547475E-3</v>
      </c>
      <c r="P625" s="82">
        <v>0.7843498630953829</v>
      </c>
      <c r="Q625" s="82">
        <v>0.10667940022061737</v>
      </c>
      <c r="R625" s="82">
        <v>2.1797389146740558E-2</v>
      </c>
      <c r="S625" s="82">
        <v>0.24840071565991151</v>
      </c>
      <c r="T625" s="82">
        <v>3.0369945193658914E-2</v>
      </c>
      <c r="U625" s="82">
        <v>8.9680830903662717E-3</v>
      </c>
      <c r="V625" s="82">
        <v>8.3703221940054973E-2</v>
      </c>
      <c r="W625" s="82">
        <v>0.83285243147045962</v>
      </c>
      <c r="X625" s="82">
        <v>2.9132832924798027E-2</v>
      </c>
      <c r="Y625" s="82">
        <v>1.0707458811305748E-2</v>
      </c>
      <c r="Z625" s="82">
        <v>6.2571164945552466E-3</v>
      </c>
      <c r="AA625" s="82">
        <v>0.12792847150410175</v>
      </c>
    </row>
    <row r="626" spans="1:33">
      <c r="A626" s="148"/>
      <c r="B626" s="54" t="s">
        <v>536</v>
      </c>
      <c r="C626" s="5" t="s">
        <v>537</v>
      </c>
      <c r="D626" s="147">
        <v>4337.3350373982103</v>
      </c>
      <c r="E626" s="127">
        <v>8577.5772212693846</v>
      </c>
      <c r="F626" s="127">
        <v>5555.5034602086153</v>
      </c>
      <c r="G626" s="82">
        <v>8.8999758378553402</v>
      </c>
      <c r="H626" s="82">
        <v>0.6603225204368941</v>
      </c>
      <c r="I626" s="82">
        <v>6.3151392796699235E-2</v>
      </c>
      <c r="J626" s="82">
        <v>0.28822861733427929</v>
      </c>
      <c r="K626" s="82">
        <v>2.0572653643811955E-2</v>
      </c>
      <c r="L626" s="82">
        <v>3.8235866489696413</v>
      </c>
      <c r="M626" s="82">
        <v>0.25301930846654902</v>
      </c>
      <c r="N626" s="82">
        <v>9.2538795318764092E-2</v>
      </c>
      <c r="O626" s="82">
        <v>7.5355724171947986E-3</v>
      </c>
      <c r="P626" s="82">
        <v>0.75860377886762675</v>
      </c>
      <c r="Q626" s="82">
        <v>0.13075929481479306</v>
      </c>
      <c r="R626" s="82">
        <v>0.33026207339569202</v>
      </c>
      <c r="S626" s="82">
        <v>0.24752061788889304</v>
      </c>
      <c r="T626" s="82">
        <v>3.33770213254026E-2</v>
      </c>
      <c r="U626" s="82">
        <v>1.0194772070326596E-2</v>
      </c>
      <c r="V626" s="82">
        <v>3.0449227226138343E-2</v>
      </c>
      <c r="W626" s="82">
        <v>0.35195526960339552</v>
      </c>
      <c r="X626" s="82">
        <v>2.9227032463966872E-2</v>
      </c>
      <c r="Y626" s="82">
        <v>0.19222306286766078</v>
      </c>
      <c r="Z626" s="82">
        <v>5.3833180817797442E-3</v>
      </c>
      <c r="AA626" s="82">
        <v>5.7250114994431736E-2</v>
      </c>
    </row>
    <row r="627" spans="1:33">
      <c r="A627" s="148"/>
      <c r="B627" s="54" t="s">
        <v>538</v>
      </c>
      <c r="C627" s="5" t="s">
        <v>539</v>
      </c>
      <c r="D627" s="147">
        <v>5376.3735492498463</v>
      </c>
      <c r="E627" s="127">
        <v>9145.8971149948466</v>
      </c>
      <c r="F627" s="127">
        <v>6079.3426782788947</v>
      </c>
      <c r="G627" s="82">
        <v>4.3467507409853789</v>
      </c>
      <c r="H627" s="82">
        <v>1.216014537462212</v>
      </c>
      <c r="I627" s="82">
        <v>4.0563367633721363E-2</v>
      </c>
      <c r="J627" s="82">
        <v>0.32467408328221792</v>
      </c>
      <c r="K627" s="82">
        <v>1.6494702759180094E-2</v>
      </c>
      <c r="L627" s="82">
        <v>3.7019439944430403</v>
      </c>
      <c r="M627" s="82">
        <v>0.17165796075262313</v>
      </c>
      <c r="N627" s="82">
        <v>7.7957263735669011E-2</v>
      </c>
      <c r="O627" s="82">
        <v>4.4083025127794632E-3</v>
      </c>
      <c r="P627" s="82">
        <v>0.90201085793704361</v>
      </c>
      <c r="Q627" s="82">
        <v>0.1134529248652949</v>
      </c>
      <c r="R627" s="82">
        <v>1.3441118565925354E-2</v>
      </c>
      <c r="S627" s="82">
        <v>0.2225762647528314</v>
      </c>
      <c r="T627" s="82">
        <v>1.1301686746270053E-2</v>
      </c>
      <c r="U627" s="82">
        <v>1.1647128538100911E-2</v>
      </c>
      <c r="V627" s="82">
        <v>2.5109398948380237E-2</v>
      </c>
      <c r="W627" s="82">
        <v>0.20700671945288762</v>
      </c>
      <c r="X627" s="82">
        <v>2.6773356268700525E-2</v>
      </c>
      <c r="Y627" s="82">
        <v>2.4935472721607033E-3</v>
      </c>
      <c r="Z627" s="82">
        <v>4.955419152573119E-3</v>
      </c>
      <c r="AA627" s="82">
        <v>9.2272099682442529E-2</v>
      </c>
    </row>
    <row r="628" spans="1:33">
      <c r="A628" s="148"/>
      <c r="B628" s="54" t="s">
        <v>540</v>
      </c>
      <c r="C628" s="5" t="s">
        <v>541</v>
      </c>
      <c r="D628" s="147">
        <v>5770.356132668865</v>
      </c>
      <c r="E628" s="127">
        <v>8727.9902976873527</v>
      </c>
      <c r="F628" s="127">
        <v>5871.8911888364119</v>
      </c>
      <c r="G628" s="82">
        <v>6.269686777070171</v>
      </c>
      <c r="H628" s="82">
        <v>1.261675055620147</v>
      </c>
      <c r="I628" s="82">
        <v>4.7208812964927661E-2</v>
      </c>
      <c r="J628" s="82">
        <v>0.3117577695334689</v>
      </c>
      <c r="K628" s="82">
        <v>1.9598022132226212E-2</v>
      </c>
      <c r="L628" s="82">
        <v>3.0749879189893763</v>
      </c>
      <c r="M628" s="82">
        <v>0.37278120107972779</v>
      </c>
      <c r="N628" s="82">
        <v>0.18528244933936078</v>
      </c>
      <c r="O628" s="82">
        <v>9.0171750128731822E-3</v>
      </c>
      <c r="P628" s="82">
        <v>0.63538265827420704</v>
      </c>
      <c r="Q628" s="82">
        <v>0.1119546945265507</v>
      </c>
      <c r="R628" s="82">
        <v>2.1279003781841825E-2</v>
      </c>
      <c r="S628" s="82">
        <v>0.23920142110787374</v>
      </c>
      <c r="T628" s="82">
        <v>1.4523014345884053E-2</v>
      </c>
      <c r="U628" s="82">
        <v>9.0505021304517243E-3</v>
      </c>
      <c r="V628" s="82">
        <v>2.0898803556536789E-2</v>
      </c>
      <c r="W628" s="82">
        <v>0.23354369663975069</v>
      </c>
      <c r="X628" s="82">
        <v>2.6540978874921101E-2</v>
      </c>
      <c r="Y628" s="82">
        <v>3.260593255452571E-3</v>
      </c>
      <c r="Z628" s="82">
        <v>5.8700388498007889E-3</v>
      </c>
      <c r="AA628" s="82">
        <v>6.9078290002320603E-2</v>
      </c>
    </row>
    <row r="629" spans="1:33">
      <c r="A629" s="148"/>
      <c r="B629" s="54" t="s">
        <v>542</v>
      </c>
      <c r="C629" s="5" t="s">
        <v>543</v>
      </c>
      <c r="D629" s="147">
        <v>8843.0769179457966</v>
      </c>
      <c r="E629" s="127">
        <v>9903.2051578484461</v>
      </c>
      <c r="F629" s="127">
        <v>7096.5044306883974</v>
      </c>
      <c r="G629" s="82">
        <v>4.622237008279007</v>
      </c>
      <c r="H629" s="82">
        <v>0.9460258451706588</v>
      </c>
      <c r="I629" s="82">
        <v>5.3547824126757314E-2</v>
      </c>
      <c r="J629" s="82">
        <v>0.33517923019718793</v>
      </c>
      <c r="K629" s="82">
        <v>2.4980851493908461E-2</v>
      </c>
      <c r="L629" s="82">
        <v>4.8934396580084476</v>
      </c>
      <c r="M629" s="82">
        <v>0.3109083174246951</v>
      </c>
      <c r="N629" s="82">
        <v>0.1002906540116458</v>
      </c>
      <c r="O629" s="82">
        <v>7.4602212487722514E-3</v>
      </c>
      <c r="P629" s="82">
        <v>0.96473332038431903</v>
      </c>
      <c r="Q629" s="82">
        <v>0.11935838047412986</v>
      </c>
      <c r="R629" s="82">
        <v>0.23388608486393037</v>
      </c>
      <c r="S629" s="82">
        <v>0.28439202263588365</v>
      </c>
      <c r="T629" s="82">
        <v>3.8115972698523667E-2</v>
      </c>
      <c r="U629" s="82">
        <v>1.3034389279817517E-2</v>
      </c>
      <c r="V629" s="82">
        <v>1.3488809689399365E-2</v>
      </c>
      <c r="W629" s="82">
        <v>0.27831200465099265</v>
      </c>
      <c r="X629" s="82">
        <v>3.1070650319803574E-2</v>
      </c>
      <c r="Y629" s="82">
        <v>2.7354478470077607E-2</v>
      </c>
      <c r="Z629" s="82">
        <v>6.6863643873184128E-3</v>
      </c>
      <c r="AA629" s="82">
        <v>8.928120174486634E-2</v>
      </c>
    </row>
    <row r="630" spans="1:33">
      <c r="A630" s="148"/>
      <c r="B630" s="54" t="s">
        <v>544</v>
      </c>
      <c r="C630" s="5" t="s">
        <v>545</v>
      </c>
      <c r="D630" s="147">
        <v>5276.562987249692</v>
      </c>
      <c r="E630" s="127">
        <v>9260.8524515597073</v>
      </c>
      <c r="F630" s="127">
        <v>5466.7343687116263</v>
      </c>
      <c r="G630" s="82">
        <v>3.122046230029532</v>
      </c>
      <c r="H630" s="82">
        <v>0.68644904767624626</v>
      </c>
      <c r="I630" s="82">
        <v>5.5561750524212292E-2</v>
      </c>
      <c r="J630" s="82">
        <v>0.2933040219261448</v>
      </c>
      <c r="K630" s="82">
        <v>2.1585125373430783E-2</v>
      </c>
      <c r="L630" s="82">
        <v>4.1963952740068908</v>
      </c>
      <c r="M630" s="82">
        <v>0.23359337496285329</v>
      </c>
      <c r="N630" s="82">
        <v>9.4862712434009969E-2</v>
      </c>
      <c r="O630" s="82">
        <v>5.0719032860853932E-3</v>
      </c>
      <c r="P630" s="82">
        <v>0.73187247632488051</v>
      </c>
      <c r="Q630" s="82">
        <v>0.10484231809957902</v>
      </c>
      <c r="R630" s="82">
        <v>1.8304966308918227E-2</v>
      </c>
      <c r="S630" s="82">
        <v>0.24211311429747137</v>
      </c>
      <c r="T630" s="82">
        <v>6.6895266521656708E-3</v>
      </c>
      <c r="U630" s="82">
        <v>9.884617096512156E-3</v>
      </c>
      <c r="V630" s="82">
        <v>2.2467811559955933E-2</v>
      </c>
      <c r="W630" s="82">
        <v>0.17683509315432436</v>
      </c>
      <c r="X630" s="82">
        <v>2.2388269004495722E-2</v>
      </c>
      <c r="Y630" s="82">
        <v>2.1565917863711798E-3</v>
      </c>
      <c r="Z630" s="82">
        <v>4.5613211290552735E-3</v>
      </c>
      <c r="AA630" s="82">
        <v>5.6277495057860588E-2</v>
      </c>
    </row>
    <row r="631" spans="1:33">
      <c r="A631" s="148"/>
      <c r="B631" s="54" t="s">
        <v>546</v>
      </c>
      <c r="C631" s="5" t="s">
        <v>547</v>
      </c>
      <c r="D631" s="147">
        <v>5282.9371668718613</v>
      </c>
      <c r="E631" s="127">
        <v>9067.5183669328544</v>
      </c>
      <c r="F631" s="127">
        <v>6378.1301455863777</v>
      </c>
      <c r="G631" s="82">
        <v>4.3600384625064752</v>
      </c>
      <c r="H631" s="82">
        <v>1.0422339087489991</v>
      </c>
      <c r="I631" s="82">
        <v>3.7484067947213782E-2</v>
      </c>
      <c r="J631" s="82">
        <v>0.27068902338429607</v>
      </c>
      <c r="K631" s="82">
        <v>1.9339387494816972E-2</v>
      </c>
      <c r="L631" s="82">
        <v>2.8172391461550887</v>
      </c>
      <c r="M631" s="82">
        <v>0.19796811087744035</v>
      </c>
      <c r="N631" s="82">
        <v>8.4691632597022351E-2</v>
      </c>
      <c r="O631" s="82">
        <v>2.7197538030355691E-3</v>
      </c>
      <c r="P631" s="82">
        <v>0.80764293293714229</v>
      </c>
      <c r="Q631" s="82">
        <v>10.82265713331806</v>
      </c>
      <c r="R631" s="82">
        <v>0.13109475307536686</v>
      </c>
      <c r="S631" s="82">
        <v>0.23541515100905874</v>
      </c>
      <c r="T631" s="82">
        <v>0.25960488304351986</v>
      </c>
      <c r="U631" s="82">
        <v>9.6276382358432971E-3</v>
      </c>
      <c r="V631" s="82">
        <v>8.4374057257482794E-3</v>
      </c>
      <c r="W631" s="82">
        <v>0.14103889690262456</v>
      </c>
      <c r="X631" s="82">
        <v>2.5471958595339662E-2</v>
      </c>
      <c r="Y631" s="82">
        <v>1.0843635657359521E-3</v>
      </c>
      <c r="Z631" s="82">
        <v>5.0934088393876503E-3</v>
      </c>
      <c r="AA631" s="82">
        <v>7.8299358994035242E-2</v>
      </c>
    </row>
    <row r="632" spans="1:33">
      <c r="A632" s="148"/>
      <c r="B632" s="54" t="s">
        <v>548</v>
      </c>
      <c r="C632" s="5" t="s">
        <v>549</v>
      </c>
      <c r="D632" s="147">
        <v>5190.6167747871859</v>
      </c>
      <c r="E632" s="127">
        <v>6433.8081448923285</v>
      </c>
      <c r="F632" s="127">
        <v>5586.5041728302749</v>
      </c>
      <c r="G632" s="82">
        <v>3.1299256619468871</v>
      </c>
      <c r="H632" s="82">
        <v>0.96590862954545342</v>
      </c>
      <c r="I632" s="82">
        <v>6.7720761242433689E-2</v>
      </c>
      <c r="J632" s="82">
        <v>0.2559959012707988</v>
      </c>
      <c r="K632" s="82">
        <v>2.2191374531949196E-2</v>
      </c>
      <c r="L632" s="82">
        <v>2.9739518815044645</v>
      </c>
      <c r="M632" s="82">
        <v>0.24263684135710409</v>
      </c>
      <c r="N632" s="82">
        <v>0.10970278768526966</v>
      </c>
      <c r="O632" s="82">
        <v>9.3546255581084137E-3</v>
      </c>
      <c r="P632" s="82">
        <v>0.93999964504956579</v>
      </c>
      <c r="Q632" s="82">
        <v>0.10981255143129008</v>
      </c>
      <c r="R632" s="82">
        <v>2.4475988180351179E-2</v>
      </c>
      <c r="S632" s="82">
        <v>0.25639458850998648</v>
      </c>
      <c r="T632" s="82">
        <v>9.3703391338736935E-3</v>
      </c>
      <c r="U632" s="82">
        <v>8.3226759252238297E-3</v>
      </c>
      <c r="V632" s="82">
        <v>2.2152280835592311E-2</v>
      </c>
      <c r="W632" s="82">
        <v>0.17329100253649604</v>
      </c>
      <c r="X632" s="82">
        <v>2.865800623749842E-2</v>
      </c>
      <c r="Y632" s="82">
        <v>7.9233127598230656E-3</v>
      </c>
      <c r="Z632" s="82">
        <v>5.6569870879955323E-3</v>
      </c>
      <c r="AA632" s="82">
        <v>0.10425658676506377</v>
      </c>
    </row>
    <row r="633" spans="1:33">
      <c r="A633" s="148"/>
      <c r="B633" s="54" t="s">
        <v>550</v>
      </c>
      <c r="C633" s="5" t="s">
        <v>551</v>
      </c>
      <c r="D633" s="147">
        <v>5308.8001494150822</v>
      </c>
      <c r="E633" s="127">
        <v>8299.5676181498893</v>
      </c>
      <c r="F633" s="127">
        <v>5546.5584003974782</v>
      </c>
      <c r="G633" s="82">
        <v>6.8225132696690087</v>
      </c>
      <c r="H633" s="82">
        <v>1.6989307026434228</v>
      </c>
      <c r="I633" s="82">
        <v>6.8563858836152264E-2</v>
      </c>
      <c r="J633" s="82">
        <v>0.45121665741583472</v>
      </c>
      <c r="K633" s="82">
        <v>2.9712263221777575E-2</v>
      </c>
      <c r="L633" s="82">
        <v>3.0046254792534213</v>
      </c>
      <c r="M633" s="82">
        <v>0.14364047172653405</v>
      </c>
      <c r="N633" s="82">
        <v>0.1090757150491284</v>
      </c>
      <c r="O633" s="82">
        <v>1.0623439657390802E-2</v>
      </c>
      <c r="P633" s="82">
        <v>0.8738736662520149</v>
      </c>
      <c r="Q633" s="82">
        <v>0.13494846129173146</v>
      </c>
      <c r="R633" s="82">
        <v>0.46355856084296004</v>
      </c>
      <c r="S633" s="82">
        <v>0.41885528929920651</v>
      </c>
      <c r="T633" s="82">
        <v>1.3327749952521159E-2</v>
      </c>
      <c r="U633" s="82">
        <v>1.3656645059245159E-2</v>
      </c>
      <c r="V633" s="82">
        <v>3.0837755160312428E-2</v>
      </c>
      <c r="W633" s="82">
        <v>1.6327239468731662</v>
      </c>
      <c r="X633" s="82">
        <v>4.1303160927399177E-2</v>
      </c>
      <c r="Y633" s="82">
        <v>2.2312848074161944E-2</v>
      </c>
      <c r="Z633" s="82">
        <v>6.1074027997096263E-3</v>
      </c>
      <c r="AA633" s="82">
        <v>0.17585558783634361</v>
      </c>
    </row>
    <row r="634" spans="1:33">
      <c r="A634" s="148"/>
      <c r="B634" s="54" t="s">
        <v>552</v>
      </c>
      <c r="C634" s="5" t="s">
        <v>553</v>
      </c>
      <c r="D634" s="147">
        <v>5398.2111395216243</v>
      </c>
      <c r="E634" s="127">
        <v>8208.6931919328035</v>
      </c>
      <c r="F634" s="127">
        <v>6264.5260481507721</v>
      </c>
      <c r="G634" s="82">
        <v>4.1674374802072123</v>
      </c>
      <c r="H634" s="82">
        <v>0.77848837164646578</v>
      </c>
      <c r="I634" s="82">
        <v>5.6740633835180528E-2</v>
      </c>
      <c r="J634" s="82">
        <v>0.34169969374420894</v>
      </c>
      <c r="K634" s="82">
        <v>3.3473856170358036E-2</v>
      </c>
      <c r="L634" s="82">
        <v>3.2360693822146729</v>
      </c>
      <c r="M634" s="82">
        <v>0.23548307354334011</v>
      </c>
      <c r="N634" s="82">
        <v>0.10037453294493788</v>
      </c>
      <c r="O634" s="82">
        <v>4.046583888878949E-3</v>
      </c>
      <c r="P634" s="82">
        <v>1.0396818352036512</v>
      </c>
      <c r="Q634" s="82">
        <v>0.11196217716618111</v>
      </c>
      <c r="R634" s="82">
        <v>1.9105402739898417E-2</v>
      </c>
      <c r="S634" s="82">
        <v>0.28183252635721273</v>
      </c>
      <c r="T634" s="82">
        <v>1.351771590119899E-2</v>
      </c>
      <c r="U634" s="82">
        <v>1.1602019135029833E-2</v>
      </c>
      <c r="V634" s="82">
        <v>7.3069947627162832E-3</v>
      </c>
      <c r="W634" s="82">
        <v>0.25583178972398007</v>
      </c>
      <c r="X634" s="82">
        <v>2.8232411021608859E-2</v>
      </c>
      <c r="Y634" s="82">
        <v>4.5268121345189861E-3</v>
      </c>
      <c r="Z634" s="82">
        <v>4.6409223485192903E-3</v>
      </c>
      <c r="AA634" s="82">
        <v>0.19386272577427177</v>
      </c>
    </row>
    <row r="635" spans="1:33" s="54" customFormat="1">
      <c r="A635" s="163" t="s">
        <v>137</v>
      </c>
      <c r="B635" s="148"/>
      <c r="C635" s="148"/>
      <c r="D635" s="127"/>
      <c r="E635" s="127"/>
      <c r="F635" s="127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125"/>
      <c r="AC635" s="125"/>
      <c r="AD635" s="125"/>
      <c r="AE635" s="125"/>
      <c r="AF635" s="125"/>
      <c r="AG635" s="125"/>
    </row>
    <row r="636" spans="1:33" s="54" customFormat="1">
      <c r="A636" s="131" t="s">
        <v>554</v>
      </c>
      <c r="B636" s="54" t="s">
        <v>555</v>
      </c>
      <c r="C636" s="54" t="s">
        <v>645</v>
      </c>
      <c r="D636" s="246">
        <v>13334.430444696971</v>
      </c>
      <c r="E636" s="246">
        <v>9069.3964262581721</v>
      </c>
      <c r="F636" s="46">
        <v>2.2824473244008243</v>
      </c>
      <c r="G636" s="242">
        <v>32.054140218952142</v>
      </c>
      <c r="H636" s="46">
        <v>5.3229126299904634E-3</v>
      </c>
      <c r="I636" s="46">
        <v>0.17750343466320678</v>
      </c>
      <c r="J636" s="46">
        <v>1.1800566741734204</v>
      </c>
      <c r="K636" s="46">
        <v>0.29515815157103853</v>
      </c>
      <c r="L636" s="46">
        <v>0.44488903616040548</v>
      </c>
      <c r="M636" s="46">
        <v>2.5312625901475322E-3</v>
      </c>
      <c r="N636" s="46">
        <v>5.9012306218631259E-2</v>
      </c>
      <c r="O636" s="46">
        <v>1.2492533746776679E-2</v>
      </c>
      <c r="P636" s="46">
        <v>3.6925673337997268E-2</v>
      </c>
      <c r="Q636" s="46">
        <v>15.399664623764945</v>
      </c>
      <c r="R636" s="46">
        <v>1.8324202772295441</v>
      </c>
      <c r="S636" s="46">
        <v>7.4152095436426799E-2</v>
      </c>
      <c r="T636" s="46">
        <v>2.616467866822346</v>
      </c>
      <c r="U636" s="46">
        <v>0.14245663691883767</v>
      </c>
      <c r="V636" s="46">
        <v>1.1324722235777509E-2</v>
      </c>
      <c r="W636" s="46">
        <v>0.47544921421947756</v>
      </c>
      <c r="X636" s="46">
        <v>0.10152260928549442</v>
      </c>
      <c r="Y636" s="46">
        <v>8.2434658067551778E-2</v>
      </c>
      <c r="Z636" s="46">
        <v>2.85018935978566E-3</v>
      </c>
      <c r="AA636" s="46">
        <v>0</v>
      </c>
      <c r="AB636" s="125"/>
      <c r="AC636" s="125"/>
      <c r="AD636" s="125"/>
      <c r="AE636" s="125"/>
      <c r="AF636" s="125"/>
      <c r="AG636" s="125"/>
    </row>
    <row r="637" spans="1:33" s="54" customFormat="1">
      <c r="B637" s="54" t="s">
        <v>557</v>
      </c>
      <c r="C637" s="54" t="s">
        <v>646</v>
      </c>
      <c r="D637" s="246">
        <v>12268.841466203439</v>
      </c>
      <c r="E637" s="246">
        <v>10352.388405975276</v>
      </c>
      <c r="F637" s="46">
        <v>1.745565197840959</v>
      </c>
      <c r="G637" s="46">
        <v>2.8361705977231635</v>
      </c>
      <c r="H637" s="46">
        <v>9.0295906690952034E-3</v>
      </c>
      <c r="I637" s="46">
        <v>0.21375327578139497</v>
      </c>
      <c r="J637" s="46">
        <v>0.62710174027350074</v>
      </c>
      <c r="K637" s="46">
        <v>0.21543064574434925</v>
      </c>
      <c r="L637" s="46">
        <v>0.3628549341462789</v>
      </c>
      <c r="M637" s="46">
        <v>4.1263029103841432E-3</v>
      </c>
      <c r="N637" s="46">
        <v>4.1102722012279255E-2</v>
      </c>
      <c r="O637" s="46">
        <v>1.2132793625364352E-2</v>
      </c>
      <c r="P637" s="46">
        <v>4.8818203877938809E-2</v>
      </c>
      <c r="Q637" s="46">
        <v>15.070780863664453</v>
      </c>
      <c r="R637" s="46">
        <v>2.1533265772319696</v>
      </c>
      <c r="S637" s="46">
        <v>9.1797393869679028E-2</v>
      </c>
      <c r="T637" s="46">
        <v>1.0184465268963088</v>
      </c>
      <c r="U637" s="46">
        <v>0.20020399647808818</v>
      </c>
      <c r="V637" s="46">
        <v>1.5683879632714885E-2</v>
      </c>
      <c r="W637" s="46">
        <v>0.55692684146060456</v>
      </c>
      <c r="X637" s="46">
        <v>0.12466896496987995</v>
      </c>
      <c r="Y637" s="46">
        <v>2.89374605517029E-2</v>
      </c>
      <c r="Z637" s="46">
        <v>2.177388941801914E-3</v>
      </c>
      <c r="AA637" s="46">
        <v>2.3376737882810462E-2</v>
      </c>
      <c r="AB637" s="125"/>
      <c r="AC637" s="125"/>
      <c r="AD637" s="125"/>
      <c r="AE637" s="125"/>
      <c r="AF637" s="125"/>
      <c r="AG637" s="125"/>
    </row>
    <row r="638" spans="1:33" s="54" customFormat="1">
      <c r="B638" s="54" t="s">
        <v>559</v>
      </c>
      <c r="C638" s="54" t="s">
        <v>647</v>
      </c>
      <c r="D638" s="246">
        <v>9868.5527702984964</v>
      </c>
      <c r="E638" s="246">
        <v>10912.041159854765</v>
      </c>
      <c r="F638" s="46">
        <v>2.6631160553397866</v>
      </c>
      <c r="G638" s="46">
        <v>2.8505769433795258</v>
      </c>
      <c r="H638" s="46">
        <v>1.3167894315783944E-2</v>
      </c>
      <c r="I638" s="46">
        <v>0.28119603040050412</v>
      </c>
      <c r="J638" s="46">
        <v>0.74222140457840469</v>
      </c>
      <c r="K638" s="46">
        <v>0.2276366037033962</v>
      </c>
      <c r="L638" s="46">
        <v>0.32164877226221017</v>
      </c>
      <c r="M638" s="46">
        <v>3.9575473313782812E-3</v>
      </c>
      <c r="N638" s="46">
        <v>4.6981783545483984E-2</v>
      </c>
      <c r="O638" s="46">
        <v>1.1560451270954324E-2</v>
      </c>
      <c r="P638" s="46">
        <v>5.6318559845999788E-2</v>
      </c>
      <c r="Q638" s="46">
        <v>25.513075428870209</v>
      </c>
      <c r="R638" s="46">
        <v>2.4696903591502992</v>
      </c>
      <c r="S638" s="46">
        <v>0.10226012655577291</v>
      </c>
      <c r="T638" s="46">
        <v>1.1926060406565093</v>
      </c>
      <c r="U638" s="46">
        <v>0.24764137207139753</v>
      </c>
      <c r="V638" s="46">
        <v>7.7931171312979218E-3</v>
      </c>
      <c r="W638" s="46">
        <v>0.49405960511287245</v>
      </c>
      <c r="X638" s="46">
        <v>0.10296558932376806</v>
      </c>
      <c r="Y638" s="46">
        <v>5.9079672114658373E-2</v>
      </c>
      <c r="Z638" s="46">
        <v>2.5877788701965617E-3</v>
      </c>
      <c r="AA638" s="46">
        <v>3.9948252394577166E-2</v>
      </c>
      <c r="AB638" s="125"/>
      <c r="AC638" s="125"/>
      <c r="AD638" s="125"/>
      <c r="AE638" s="125"/>
      <c r="AF638" s="125"/>
      <c r="AG638" s="125"/>
    </row>
    <row r="639" spans="1:33" s="54" customFormat="1">
      <c r="B639" s="54" t="s">
        <v>561</v>
      </c>
      <c r="C639" s="54" t="s">
        <v>648</v>
      </c>
      <c r="D639" s="246">
        <v>11051.982090672664</v>
      </c>
      <c r="E639" s="246">
        <v>8865.376530260357</v>
      </c>
      <c r="F639" s="46">
        <v>0.8114489701480222</v>
      </c>
      <c r="G639" s="46">
        <v>0.52363885549630618</v>
      </c>
      <c r="H639" s="46">
        <v>6.945481203692613E-3</v>
      </c>
      <c r="I639" s="46">
        <v>5.2955281086779715E-2</v>
      </c>
      <c r="J639" s="46">
        <v>4.1882903842438539</v>
      </c>
      <c r="K639" s="46">
        <v>1.6459424287943349</v>
      </c>
      <c r="L639" s="46">
        <v>0.38964191362088152</v>
      </c>
      <c r="M639" s="46">
        <v>3.0050442041383253E-3</v>
      </c>
      <c r="N639" s="46">
        <v>5.2568245678805268E-2</v>
      </c>
      <c r="O639" s="46">
        <v>1.043703563229369E-2</v>
      </c>
      <c r="P639" s="46">
        <v>3.1344833586739611E-2</v>
      </c>
      <c r="Q639" s="46">
        <v>0.41557763976562451</v>
      </c>
      <c r="R639" s="46">
        <v>0.34898284811893432</v>
      </c>
      <c r="S639" s="46">
        <v>1.8206424071762619E-2</v>
      </c>
      <c r="T639" s="46">
        <v>3.6042515999802713</v>
      </c>
      <c r="U639" s="46">
        <v>3.5839182514838266E-2</v>
      </c>
      <c r="V639" s="46">
        <v>7.8915876961850734E-3</v>
      </c>
      <c r="W639" s="46">
        <v>0.25614178826142614</v>
      </c>
      <c r="X639" s="46">
        <v>5.3355478568780229E-2</v>
      </c>
      <c r="Y639" s="46">
        <v>1.3905917840749391E-2</v>
      </c>
      <c r="Z639" s="46">
        <v>1.9965865330704418E-3</v>
      </c>
      <c r="AA639" s="46">
        <v>0</v>
      </c>
      <c r="AB639" s="125"/>
      <c r="AC639" s="125"/>
      <c r="AD639" s="125"/>
      <c r="AE639" s="125"/>
      <c r="AF639" s="125"/>
      <c r="AG639" s="125"/>
    </row>
    <row r="640" spans="1:33" s="54" customFormat="1">
      <c r="B640" s="54" t="s">
        <v>563</v>
      </c>
      <c r="C640" s="54" t="s">
        <v>649</v>
      </c>
      <c r="D640" s="246">
        <v>13367.260620070971</v>
      </c>
      <c r="E640" s="246">
        <v>11855.323611402917</v>
      </c>
      <c r="F640" s="46">
        <v>1.2436410366373341</v>
      </c>
      <c r="G640" s="46">
        <v>2.8134406046861815</v>
      </c>
      <c r="H640" s="46">
        <v>8.325064419283202E-3</v>
      </c>
      <c r="I640" s="46">
        <v>0.12312778226455094</v>
      </c>
      <c r="J640" s="46">
        <v>1.9379793723233261</v>
      </c>
      <c r="K640" s="46">
        <v>2.2642681617782414</v>
      </c>
      <c r="L640" s="46">
        <v>0.55376237734896439</v>
      </c>
      <c r="M640" s="46">
        <v>1.9091134996799036E-3</v>
      </c>
      <c r="N640" s="46">
        <v>8.86061977827442E-2</v>
      </c>
      <c r="O640" s="46">
        <v>0</v>
      </c>
      <c r="P640" s="46">
        <v>4.4857719614834646E-2</v>
      </c>
      <c r="Q640" s="46">
        <v>12.37944881482837</v>
      </c>
      <c r="R640" s="46">
        <v>1.2481353273148104</v>
      </c>
      <c r="S640" s="46">
        <v>2.1863817056647871E-2</v>
      </c>
      <c r="T640" s="46">
        <v>3.3884063962511282</v>
      </c>
      <c r="U640" s="46">
        <v>5.0976234963966922E-2</v>
      </c>
      <c r="V640" s="46">
        <v>0</v>
      </c>
      <c r="W640" s="46">
        <v>0.63957187735800636</v>
      </c>
      <c r="X640" s="46">
        <v>0.1345710463317884</v>
      </c>
      <c r="Y640" s="46">
        <v>1.2991442821539766E-2</v>
      </c>
      <c r="Z640" s="46">
        <v>2.1463008564662836E-3</v>
      </c>
      <c r="AA640" s="46">
        <v>5.5224707249548047E-2</v>
      </c>
      <c r="AB640" s="125"/>
      <c r="AC640" s="125"/>
      <c r="AD640" s="125"/>
      <c r="AE640" s="125"/>
      <c r="AF640" s="125"/>
      <c r="AG640" s="125"/>
    </row>
    <row r="641" spans="1:33" s="54" customFormat="1">
      <c r="B641" s="54" t="s">
        <v>565</v>
      </c>
      <c r="C641" s="54" t="s">
        <v>650</v>
      </c>
      <c r="D641" s="246">
        <v>11961.417547341443</v>
      </c>
      <c r="E641" s="246">
        <v>12205.028482025853</v>
      </c>
      <c r="F641" s="46">
        <v>2.0987859122975179</v>
      </c>
      <c r="G641" s="242">
        <v>17.910113995052246</v>
      </c>
      <c r="H641" s="46">
        <v>0.32997386040491183</v>
      </c>
      <c r="I641" s="46">
        <v>5.6070487872410354E-2</v>
      </c>
      <c r="J641" s="46">
        <v>0.81474223877812335</v>
      </c>
      <c r="K641" s="46">
        <v>0.59889909765664251</v>
      </c>
      <c r="L641" s="46">
        <v>0.31016142830703824</v>
      </c>
      <c r="M641" s="46">
        <v>3.0875992329434669E-3</v>
      </c>
      <c r="N641" s="46">
        <v>5.3157599955883234E-2</v>
      </c>
      <c r="O641" s="46">
        <v>1.0047217843124651E-2</v>
      </c>
      <c r="P641" s="46">
        <v>3.322845748303855E-2</v>
      </c>
      <c r="Q641" s="46">
        <v>0.72292913257400859</v>
      </c>
      <c r="R641" s="46">
        <v>0.65950650847008596</v>
      </c>
      <c r="S641" s="46">
        <v>3.499127167022606E-2</v>
      </c>
      <c r="T641" s="46">
        <v>2.736736866805801</v>
      </c>
      <c r="U641" s="46">
        <v>8.6582775253261357E-2</v>
      </c>
      <c r="V641" s="46">
        <v>1.1166715632377974E-2</v>
      </c>
      <c r="W641" s="46">
        <v>0.43313829768766743</v>
      </c>
      <c r="X641" s="46">
        <v>8.8255886049587465E-2</v>
      </c>
      <c r="Y641" s="46">
        <v>6.8752955203509073E-3</v>
      </c>
      <c r="Z641" s="46">
        <v>2.719561969214134E-3</v>
      </c>
      <c r="AA641" s="46">
        <v>4.632730213070347E-2</v>
      </c>
      <c r="AB641" s="125"/>
      <c r="AC641" s="125"/>
      <c r="AD641" s="125"/>
      <c r="AE641" s="125"/>
      <c r="AF641" s="125"/>
      <c r="AG641" s="125"/>
    </row>
    <row r="642" spans="1:33" s="54" customFormat="1">
      <c r="B642" s="54" t="s">
        <v>567</v>
      </c>
      <c r="C642" s="54" t="s">
        <v>651</v>
      </c>
      <c r="D642" s="246">
        <v>12831.536541053629</v>
      </c>
      <c r="E642" s="246">
        <v>11289.086062338747</v>
      </c>
      <c r="F642" s="46">
        <v>3.9170378401943284</v>
      </c>
      <c r="G642" s="46">
        <v>2.2276946724922464</v>
      </c>
      <c r="H642" s="46">
        <v>1.0108445963978096E-2</v>
      </c>
      <c r="I642" s="46">
        <v>5.7154439588909915E-2</v>
      </c>
      <c r="J642" s="46">
        <v>3.2888724266226945</v>
      </c>
      <c r="K642" s="46">
        <v>3.9034464820431682</v>
      </c>
      <c r="L642" s="46">
        <v>0.26689269166672347</v>
      </c>
      <c r="M642" s="46">
        <v>1.7453692880807573E-3</v>
      </c>
      <c r="N642" s="46">
        <v>4.0209322171500993E-2</v>
      </c>
      <c r="O642" s="46">
        <v>1.7030127071889199E-2</v>
      </c>
      <c r="P642" s="46">
        <v>3.1749142696660973E-2</v>
      </c>
      <c r="Q642" s="46">
        <v>2.9919946371728403</v>
      </c>
      <c r="R642" s="46">
        <v>0.45080283452389852</v>
      </c>
      <c r="S642" s="46">
        <v>2.504200289381369E-2</v>
      </c>
      <c r="T642" s="46">
        <v>10.804853212463284</v>
      </c>
      <c r="U642" s="46">
        <v>0.25512080664636194</v>
      </c>
      <c r="V642" s="46">
        <v>0</v>
      </c>
      <c r="W642" s="46">
        <v>0.3044571039573265</v>
      </c>
      <c r="X642" s="46">
        <v>7.4002174926489556E-2</v>
      </c>
      <c r="Y642" s="46">
        <v>5.4766142131625018E-3</v>
      </c>
      <c r="Z642" s="46">
        <v>1.4124481454684855E-3</v>
      </c>
      <c r="AA642" s="46">
        <v>0</v>
      </c>
      <c r="AB642" s="125"/>
      <c r="AC642" s="125"/>
      <c r="AD642" s="125"/>
      <c r="AE642" s="125"/>
      <c r="AF642" s="125"/>
      <c r="AG642" s="125"/>
    </row>
    <row r="643" spans="1:33" s="54" customFormat="1">
      <c r="B643" s="54" t="s">
        <v>569</v>
      </c>
      <c r="C643" s="54" t="s">
        <v>652</v>
      </c>
      <c r="D643" s="246">
        <v>14346.247837157904</v>
      </c>
      <c r="E643" s="246">
        <v>14273.308685972679</v>
      </c>
      <c r="F643" s="46">
        <v>7.8905359183302943</v>
      </c>
      <c r="G643" s="46">
        <v>0.74175416066211386</v>
      </c>
      <c r="H643" s="46">
        <v>7.5543999365624811E-3</v>
      </c>
      <c r="I643" s="46">
        <v>0.10448694582650186</v>
      </c>
      <c r="J643" s="46">
        <v>9.57148581176207</v>
      </c>
      <c r="K643" s="46">
        <v>0.76473789818549187</v>
      </c>
      <c r="L643" s="46">
        <v>0.39184585118352772</v>
      </c>
      <c r="M643" s="46">
        <v>4.3313293954909465E-3</v>
      </c>
      <c r="N643" s="46">
        <v>5.5272607124519847E-2</v>
      </c>
      <c r="O643" s="46">
        <v>1.5592708714300707E-2</v>
      </c>
      <c r="P643" s="46">
        <v>2.7766305657933785E-2</v>
      </c>
      <c r="Q643" s="46">
        <v>3.8165030665010611</v>
      </c>
      <c r="R643" s="46">
        <v>0.88056683315397843</v>
      </c>
      <c r="S643" s="46">
        <v>2.8487336659590246E-2</v>
      </c>
      <c r="T643" s="46">
        <v>3.2841101261771719</v>
      </c>
      <c r="U643" s="46">
        <v>9.612410143091861E-2</v>
      </c>
      <c r="V643" s="46">
        <v>3.2170728165256374E-2</v>
      </c>
      <c r="W643" s="46">
        <v>1.9672455465840821</v>
      </c>
      <c r="X643" s="46">
        <v>0.10156008708695666</v>
      </c>
      <c r="Y643" s="46">
        <v>2.2284732704107961E-3</v>
      </c>
      <c r="Z643" s="46">
        <v>1.971998521144405E-3</v>
      </c>
      <c r="AA643" s="46">
        <v>2.2643883823091477E-2</v>
      </c>
      <c r="AB643" s="125"/>
      <c r="AC643" s="125"/>
      <c r="AD643" s="125"/>
      <c r="AE643" s="125"/>
      <c r="AF643" s="125"/>
      <c r="AG643" s="125"/>
    </row>
    <row r="644" spans="1:33" s="54" customFormat="1">
      <c r="B644" s="54" t="s">
        <v>571</v>
      </c>
      <c r="C644" s="54" t="s">
        <v>653</v>
      </c>
      <c r="D644" s="246">
        <v>12276.607933252482</v>
      </c>
      <c r="E644" s="246">
        <v>9884.1532807250187</v>
      </c>
      <c r="F644" s="46">
        <v>6.8730772869692007</v>
      </c>
      <c r="G644" s="46">
        <v>0.99918147119787526</v>
      </c>
      <c r="H644" s="46">
        <v>9.6823391226804022E-3</v>
      </c>
      <c r="I644" s="46">
        <v>0.11051964232297504</v>
      </c>
      <c r="J644" s="46">
        <v>9.0203630283887808</v>
      </c>
      <c r="K644" s="46">
        <v>1.4977714851963102</v>
      </c>
      <c r="L644" s="46">
        <v>0.46915015478849831</v>
      </c>
      <c r="M644" s="46">
        <v>2.9243256926802098E-3</v>
      </c>
      <c r="N644" s="46">
        <v>5.0394940672748287E-2</v>
      </c>
      <c r="O644" s="46">
        <v>1.4114238629685777E-2</v>
      </c>
      <c r="P644" s="46">
        <v>3.1465054505019061E-2</v>
      </c>
      <c r="Q644" s="46">
        <v>5.2830348280426058</v>
      </c>
      <c r="R644" s="46">
        <v>2.1290526281578224</v>
      </c>
      <c r="S644" s="46">
        <v>3.0543798575858719E-2</v>
      </c>
      <c r="T644" s="46">
        <v>4.0651172535870437</v>
      </c>
      <c r="U644" s="46">
        <v>0.11032082235461425</v>
      </c>
      <c r="V644" s="46">
        <v>2.8891695458015312E-2</v>
      </c>
      <c r="W644" s="46">
        <v>0.45064821752154249</v>
      </c>
      <c r="X644" s="46">
        <v>8.1803553102290635E-2</v>
      </c>
      <c r="Y644" s="46">
        <v>2.4345011239458648E-3</v>
      </c>
      <c r="Z644" s="46">
        <v>3.5194756897661077E-3</v>
      </c>
      <c r="AA644" s="46">
        <v>2.3639158023205764E-2</v>
      </c>
      <c r="AB644" s="125"/>
      <c r="AC644" s="125"/>
      <c r="AD644" s="125"/>
      <c r="AE644" s="125"/>
      <c r="AF644" s="125"/>
      <c r="AG644" s="125"/>
    </row>
    <row r="645" spans="1:33" s="54" customFormat="1">
      <c r="B645" s="54" t="s">
        <v>573</v>
      </c>
      <c r="C645" s="54" t="s">
        <v>654</v>
      </c>
      <c r="D645" s="246">
        <v>11448.447046053765</v>
      </c>
      <c r="E645" s="246">
        <v>9908.6068555786551</v>
      </c>
      <c r="F645" s="46">
        <v>4.468000461805401</v>
      </c>
      <c r="G645" s="46">
        <v>0.91910317501578398</v>
      </c>
      <c r="H645" s="46">
        <v>8.0241930254310659E-3</v>
      </c>
      <c r="I645" s="46">
        <v>4.1638554774354936E-2</v>
      </c>
      <c r="J645" s="46">
        <v>7.0831654067696519</v>
      </c>
      <c r="K645" s="46">
        <v>1.1777788189140139</v>
      </c>
      <c r="L645" s="46">
        <v>0.42533397371463572</v>
      </c>
      <c r="M645" s="46">
        <v>3.3563515039208812E-3</v>
      </c>
      <c r="N645" s="46">
        <v>4.152665509351313E-2</v>
      </c>
      <c r="O645" s="46">
        <v>1.2717576932827546E-2</v>
      </c>
      <c r="P645" s="46">
        <v>3.7870964234553585E-2</v>
      </c>
      <c r="Q645" s="46">
        <v>4.0586046760604297</v>
      </c>
      <c r="R645" s="46">
        <v>2.1885000246574631</v>
      </c>
      <c r="S645" s="46">
        <v>2.1667796133686121E-2</v>
      </c>
      <c r="T645" s="46">
        <v>4.432298358831785</v>
      </c>
      <c r="U645" s="46">
        <v>8.6308682823361432E-2</v>
      </c>
      <c r="V645" s="46">
        <v>0</v>
      </c>
      <c r="W645" s="46">
        <v>0.26267940562400799</v>
      </c>
      <c r="X645" s="46">
        <v>7.0774424650567588E-2</v>
      </c>
      <c r="Y645" s="46">
        <v>2.6100510718437275E-3</v>
      </c>
      <c r="Z645" s="46">
        <v>2.1256155737010745E-3</v>
      </c>
      <c r="AA645" s="46">
        <v>3.194451191615829E-2</v>
      </c>
      <c r="AB645" s="125"/>
      <c r="AC645" s="125"/>
      <c r="AD645" s="125"/>
      <c r="AE645" s="125"/>
      <c r="AF645" s="125"/>
      <c r="AG645" s="125"/>
    </row>
    <row r="646" spans="1:33" s="54" customFormat="1">
      <c r="A646" s="131" t="s">
        <v>578</v>
      </c>
      <c r="B646" s="148"/>
      <c r="C646" s="148"/>
      <c r="D646" s="246"/>
      <c r="E646" s="2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125"/>
      <c r="AC646" s="125"/>
      <c r="AD646" s="125"/>
      <c r="AE646" s="125"/>
      <c r="AF646" s="125"/>
      <c r="AG646" s="125"/>
    </row>
    <row r="647" spans="1:33" s="54" customFormat="1">
      <c r="A647" s="131"/>
      <c r="B647" s="54" t="s">
        <v>579</v>
      </c>
      <c r="C647" s="54" t="s">
        <v>657</v>
      </c>
      <c r="D647" s="246">
        <v>12474.671255963531</v>
      </c>
      <c r="E647" s="246">
        <v>7945.2127283860391</v>
      </c>
      <c r="F647" s="46">
        <v>0.74509436990803102</v>
      </c>
      <c r="G647" s="46">
        <v>0.55485715596910923</v>
      </c>
      <c r="H647" s="46">
        <v>6.8969781447033923E-3</v>
      </c>
      <c r="I647" s="46">
        <v>4.3283459664510159E-2</v>
      </c>
      <c r="J647" s="46">
        <v>2.6572287002645587</v>
      </c>
      <c r="K647" s="46">
        <v>0.60436945549970544</v>
      </c>
      <c r="L647" s="46">
        <v>0.26708151762674159</v>
      </c>
      <c r="M647" s="46">
        <v>2.4499146739649668E-3</v>
      </c>
      <c r="N647" s="46">
        <v>4.8459010324667033E-2</v>
      </c>
      <c r="O647" s="46">
        <v>2.1521710782991123E-2</v>
      </c>
      <c r="P647" s="46">
        <v>3.7769538503723429E-2</v>
      </c>
      <c r="Q647" s="46">
        <v>0.14801767960314624</v>
      </c>
      <c r="R647" s="46">
        <v>0.15039769665043165</v>
      </c>
      <c r="S647" s="46">
        <v>2.6080733456292044E-2</v>
      </c>
      <c r="T647" s="46">
        <v>5.5377616148818802</v>
      </c>
      <c r="U647" s="46">
        <v>0.34830855109871317</v>
      </c>
      <c r="V647" s="46">
        <v>7.2649731638960314E-3</v>
      </c>
      <c r="W647" s="46">
        <v>0.2187232759710532</v>
      </c>
      <c r="X647" s="46">
        <v>3.8328136987816216E-2</v>
      </c>
      <c r="Y647" s="46">
        <v>4.3480052547137321E-3</v>
      </c>
      <c r="Z647" s="46">
        <v>2.7521777878595668E-3</v>
      </c>
      <c r="AA647" s="46">
        <v>4.6776079172794555E-2</v>
      </c>
      <c r="AB647" s="125"/>
      <c r="AC647" s="125"/>
      <c r="AD647" s="125"/>
      <c r="AE647" s="125"/>
      <c r="AF647" s="125"/>
      <c r="AG647" s="125"/>
    </row>
    <row r="648" spans="1:33" s="54" customFormat="1">
      <c r="A648" s="131"/>
      <c r="B648" s="54" t="s">
        <v>581</v>
      </c>
      <c r="C648" s="54" t="s">
        <v>658</v>
      </c>
      <c r="D648" s="246">
        <v>10128.734585703703</v>
      </c>
      <c r="E648" s="246">
        <v>7601.5131811788451</v>
      </c>
      <c r="F648" s="46">
        <v>0.44553057940826241</v>
      </c>
      <c r="G648" s="46">
        <v>0.66874048543317277</v>
      </c>
      <c r="H648" s="46">
        <v>9.6112094411130375E-3</v>
      </c>
      <c r="I648" s="46">
        <v>4.9009947340579181E-2</v>
      </c>
      <c r="J648" s="46">
        <v>0.55741771288649578</v>
      </c>
      <c r="K648" s="46">
        <v>0.20204287816695862</v>
      </c>
      <c r="L648" s="46">
        <v>0.41332834424338033</v>
      </c>
      <c r="M648" s="46">
        <v>2.3298101850007364E-3</v>
      </c>
      <c r="N648" s="46">
        <v>4.6656601699785742E-2</v>
      </c>
      <c r="O648" s="46">
        <v>1.4621974657121201E-2</v>
      </c>
      <c r="P648" s="46">
        <v>3.3900431429988061E-2</v>
      </c>
      <c r="Q648" s="46">
        <v>0.27914981467182348</v>
      </c>
      <c r="R648" s="46">
        <v>0.28110994784172394</v>
      </c>
      <c r="S648" s="46">
        <v>2.2940781445386235E-2</v>
      </c>
      <c r="T648" s="46">
        <v>2.9516388683822692</v>
      </c>
      <c r="U648" s="46">
        <v>3.6999085085095293E-2</v>
      </c>
      <c r="V648" s="46">
        <v>0</v>
      </c>
      <c r="W648" s="46">
        <v>0.26216455397552701</v>
      </c>
      <c r="X648" s="46">
        <v>4.9505134991039368E-2</v>
      </c>
      <c r="Y648" s="46">
        <v>6.1436962618528004E-3</v>
      </c>
      <c r="Z648" s="46">
        <v>1.6204011968590009E-3</v>
      </c>
      <c r="AA648" s="46">
        <v>4.4227268854044516E-2</v>
      </c>
      <c r="AB648" s="125"/>
      <c r="AC648" s="125"/>
      <c r="AD648" s="125"/>
      <c r="AE648" s="125"/>
      <c r="AF648" s="125"/>
      <c r="AG648" s="125"/>
    </row>
    <row r="649" spans="1:33" s="54" customFormat="1">
      <c r="A649" s="131"/>
      <c r="B649" s="54" t="s">
        <v>583</v>
      </c>
      <c r="C649" s="54" t="s">
        <v>659</v>
      </c>
      <c r="D649" s="246">
        <v>11372.264333651905</v>
      </c>
      <c r="E649" s="246">
        <v>11905.577250556724</v>
      </c>
      <c r="F649" s="46">
        <v>0.62169793793617001</v>
      </c>
      <c r="G649" s="46">
        <v>0.22127217110541189</v>
      </c>
      <c r="H649" s="46">
        <v>5.8536968168591526E-3</v>
      </c>
      <c r="I649" s="46">
        <v>5.6897387179852252E-2</v>
      </c>
      <c r="J649" s="46">
        <v>0.8439544992124377</v>
      </c>
      <c r="K649" s="46">
        <v>0.12532122153992567</v>
      </c>
      <c r="L649" s="46">
        <v>0.32484120754450135</v>
      </c>
      <c r="M649" s="46">
        <v>2.7357483426977461E-3</v>
      </c>
      <c r="N649" s="46">
        <v>4.291135901405501E-2</v>
      </c>
      <c r="O649" s="46">
        <v>8.7155365488108434E-3</v>
      </c>
      <c r="P649" s="46">
        <v>3.074740194636633E-2</v>
      </c>
      <c r="Q649" s="46">
        <v>0.10283319383952616</v>
      </c>
      <c r="R649" s="46">
        <v>0.12313523371186066</v>
      </c>
      <c r="S649" s="46">
        <v>5.0473892649062636E-2</v>
      </c>
      <c r="T649" s="46">
        <v>1.1513276421026553</v>
      </c>
      <c r="U649" s="46">
        <v>1.7742776140262213E-2</v>
      </c>
      <c r="V649" s="46">
        <v>0</v>
      </c>
      <c r="W649" s="46">
        <v>0.28625979233769538</v>
      </c>
      <c r="X649" s="46">
        <v>5.0954302030588039E-2</v>
      </c>
      <c r="Y649" s="46">
        <v>2.0843913193502209E-3</v>
      </c>
      <c r="Z649" s="46">
        <v>1.0436122813551891E-3</v>
      </c>
      <c r="AA649" s="46">
        <v>0</v>
      </c>
      <c r="AB649" s="125"/>
      <c r="AC649" s="125"/>
      <c r="AD649" s="125"/>
      <c r="AE649" s="125"/>
      <c r="AF649" s="125"/>
      <c r="AG649" s="125"/>
    </row>
    <row r="650" spans="1:33" s="148" customFormat="1">
      <c r="A650" s="163"/>
      <c r="B650" s="148" t="s">
        <v>585</v>
      </c>
      <c r="C650" s="148" t="s">
        <v>660</v>
      </c>
      <c r="D650" s="248">
        <v>12348.536660495931</v>
      </c>
      <c r="E650" s="248">
        <v>6911.6832089661066</v>
      </c>
      <c r="F650" s="249">
        <v>1.178087110324133</v>
      </c>
      <c r="G650" s="249">
        <v>0.87739544576084316</v>
      </c>
      <c r="H650" s="249">
        <v>6.2836238257020904E-3</v>
      </c>
      <c r="I650" s="249">
        <v>8.1178035602009715E-2</v>
      </c>
      <c r="J650" s="249">
        <v>2.6368020585215897</v>
      </c>
      <c r="K650" s="249">
        <v>0.55089816241242318</v>
      </c>
      <c r="L650" s="249">
        <v>0.36668728809008211</v>
      </c>
      <c r="M650" s="249">
        <v>2.6558585488264852E-3</v>
      </c>
      <c r="N650" s="249">
        <v>4.9577548868853162E-2</v>
      </c>
      <c r="O650" s="249">
        <v>2.2805508597628119E-2</v>
      </c>
      <c r="P650" s="249">
        <v>2.8497279893306877E-2</v>
      </c>
      <c r="Q650" s="249">
        <v>1.9053309928447399</v>
      </c>
      <c r="R650" s="249">
        <v>0.46900379470993903</v>
      </c>
      <c r="S650" s="249">
        <v>1.9012178885123986E-2</v>
      </c>
      <c r="T650" s="249">
        <v>5.4794015939656839</v>
      </c>
      <c r="U650" s="249">
        <v>0.10512224115652206</v>
      </c>
      <c r="V650" s="249">
        <v>2.9719831084357554E-2</v>
      </c>
      <c r="W650" s="249">
        <v>0.25243713988863969</v>
      </c>
      <c r="X650" s="249">
        <v>6.2383286250070391E-2</v>
      </c>
      <c r="Y650" s="249">
        <v>6.2316743364931038E-3</v>
      </c>
      <c r="Z650" s="249">
        <v>1.7885829243308303E-3</v>
      </c>
      <c r="AA650" s="249">
        <v>0.13842870428101986</v>
      </c>
      <c r="AB650" s="218"/>
      <c r="AC650" s="218"/>
      <c r="AD650" s="218"/>
      <c r="AE650" s="218"/>
      <c r="AF650" s="218"/>
      <c r="AG650" s="218"/>
    </row>
    <row r="651" spans="1:33" s="148" customFormat="1">
      <c r="A651" s="163"/>
      <c r="B651" s="148" t="s">
        <v>587</v>
      </c>
      <c r="C651" s="148" t="s">
        <v>661</v>
      </c>
      <c r="D651" s="248">
        <v>9621.326766316779</v>
      </c>
      <c r="E651" s="248">
        <v>8994.1556071878131</v>
      </c>
      <c r="F651" s="249">
        <v>0.62231403849378442</v>
      </c>
      <c r="G651" s="249">
        <v>1.0396417972544267</v>
      </c>
      <c r="H651" s="249">
        <v>2.7509935670211303E-3</v>
      </c>
      <c r="I651" s="249">
        <v>6.8708143748962586E-2</v>
      </c>
      <c r="J651" s="249">
        <v>3.8689211515034443</v>
      </c>
      <c r="K651" s="249">
        <v>0.58502204381518719</v>
      </c>
      <c r="L651" s="249">
        <v>0.29260279942645862</v>
      </c>
      <c r="M651" s="249">
        <v>1.9735307740270133E-3</v>
      </c>
      <c r="N651" s="249">
        <v>4.7812839886197854E-2</v>
      </c>
      <c r="O651" s="249">
        <v>2.3539761144693076E-2</v>
      </c>
      <c r="P651" s="249">
        <v>5.4276765543430874E-2</v>
      </c>
      <c r="Q651" s="249">
        <v>0.27208440832508202</v>
      </c>
      <c r="R651" s="249">
        <v>4.6095601384417997E-2</v>
      </c>
      <c r="S651" s="249">
        <v>1.9282060953942141E-2</v>
      </c>
      <c r="T651" s="249">
        <v>4.309208057350852</v>
      </c>
      <c r="U651" s="249">
        <v>3.6517279158009945E-2</v>
      </c>
      <c r="V651" s="249">
        <v>1.281323101735682E-2</v>
      </c>
      <c r="W651" s="249">
        <v>0.20693295916410981</v>
      </c>
      <c r="X651" s="249">
        <v>6.9024474324212673E-2</v>
      </c>
      <c r="Y651" s="249">
        <v>7.8023788208567823E-3</v>
      </c>
      <c r="Z651" s="249">
        <v>2.2601835772807699E-3</v>
      </c>
      <c r="AA651" s="249">
        <v>0</v>
      </c>
      <c r="AB651" s="218"/>
      <c r="AC651" s="218"/>
      <c r="AD651" s="218"/>
      <c r="AE651" s="218"/>
      <c r="AF651" s="218"/>
      <c r="AG651" s="218"/>
    </row>
    <row r="652" spans="1:33" s="148" customFormat="1">
      <c r="A652" s="163"/>
      <c r="B652" s="148" t="s">
        <v>589</v>
      </c>
      <c r="C652" s="148" t="s">
        <v>662</v>
      </c>
      <c r="D652" s="248">
        <v>11063.276018408025</v>
      </c>
      <c r="E652" s="248">
        <v>10197.276704388181</v>
      </c>
      <c r="F652" s="249">
        <v>2.7459722382207223</v>
      </c>
      <c r="G652" s="249">
        <v>0.64372221312127242</v>
      </c>
      <c r="H652" s="249">
        <v>5.4073415917313501E-3</v>
      </c>
      <c r="I652" s="249">
        <v>8.7130393932376982E-2</v>
      </c>
      <c r="J652" s="249">
        <v>14.039654911252539</v>
      </c>
      <c r="K652" s="249">
        <v>3.1883772680977858</v>
      </c>
      <c r="L652" s="249">
        <v>0.30252045013607953</v>
      </c>
      <c r="M652" s="249">
        <v>3.2913656300113565E-3</v>
      </c>
      <c r="N652" s="249">
        <v>5.1215428334613615E-2</v>
      </c>
      <c r="O652" s="249">
        <v>4.038770510761644E-2</v>
      </c>
      <c r="P652" s="249">
        <v>0.16616500996719002</v>
      </c>
      <c r="Q652" s="249">
        <v>3.9218467405284483</v>
      </c>
      <c r="R652" s="249">
        <v>0.29753051392566721</v>
      </c>
      <c r="S652" s="249">
        <v>3.7381705486298822E-2</v>
      </c>
      <c r="T652" s="249">
        <v>13.231040094586273</v>
      </c>
      <c r="U652" s="249">
        <v>5.8596108587611606E-2</v>
      </c>
      <c r="V652" s="249">
        <v>2.824179508063749E-2</v>
      </c>
      <c r="W652" s="249">
        <v>0.17923373655731198</v>
      </c>
      <c r="X652" s="249">
        <v>5.3978910418982541E-2</v>
      </c>
      <c r="Y652" s="249">
        <v>1.2161435885219118E-2</v>
      </c>
      <c r="Z652" s="249">
        <v>1.7974240979665046E-3</v>
      </c>
      <c r="AA652" s="249">
        <v>0</v>
      </c>
      <c r="AB652" s="218"/>
      <c r="AC652" s="218"/>
      <c r="AD652" s="218"/>
      <c r="AE652" s="218"/>
      <c r="AF652" s="218"/>
      <c r="AG652" s="218"/>
    </row>
    <row r="653" spans="1:33" s="148" customFormat="1">
      <c r="A653" s="163"/>
      <c r="B653" s="148" t="s">
        <v>591</v>
      </c>
      <c r="C653" s="148" t="s">
        <v>663</v>
      </c>
      <c r="D653" s="248">
        <v>8994.0876493753385</v>
      </c>
      <c r="E653" s="248">
        <v>8286.4126954504354</v>
      </c>
      <c r="F653" s="249">
        <v>1.5603976016642382</v>
      </c>
      <c r="G653" s="249">
        <v>0.83911328030907051</v>
      </c>
      <c r="H653" s="249">
        <v>7.3621534773372676E-3</v>
      </c>
      <c r="I653" s="249">
        <v>7.2371124572090259E-2</v>
      </c>
      <c r="J653" s="249">
        <v>4.7522777716300935</v>
      </c>
      <c r="K653" s="249">
        <v>0.7462629993253479</v>
      </c>
      <c r="L653" s="249">
        <v>0.28234048601869915</v>
      </c>
      <c r="M653" s="249">
        <v>2.5795967802356265E-3</v>
      </c>
      <c r="N653" s="249">
        <v>4.6594463657919465E-2</v>
      </c>
      <c r="O653" s="249">
        <v>2.252768706325254E-2</v>
      </c>
      <c r="P653" s="249">
        <v>3.1159635430402847E-2</v>
      </c>
      <c r="Q653" s="249">
        <v>2.0402577639028463</v>
      </c>
      <c r="R653" s="249">
        <v>0.16618758764927813</v>
      </c>
      <c r="S653" s="249">
        <v>4.6382778563107026E-2</v>
      </c>
      <c r="T653" s="249">
        <v>9.2195950435949694</v>
      </c>
      <c r="U653" s="249">
        <v>7.5439715205089644E-2</v>
      </c>
      <c r="V653" s="249">
        <v>7.53480809860418E-3</v>
      </c>
      <c r="W653" s="249">
        <v>0.13766084549997357</v>
      </c>
      <c r="X653" s="249">
        <v>6.3375489477689881E-2</v>
      </c>
      <c r="Y653" s="249">
        <v>9.30935293238715E-3</v>
      </c>
      <c r="Z653" s="249">
        <v>2.3622660184681524E-3</v>
      </c>
      <c r="AA653" s="249">
        <v>0</v>
      </c>
      <c r="AB653" s="218"/>
      <c r="AC653" s="218"/>
      <c r="AD653" s="218"/>
      <c r="AE653" s="218"/>
      <c r="AF653" s="218"/>
      <c r="AG653" s="218"/>
    </row>
    <row r="654" spans="1:33" s="54" customFormat="1">
      <c r="A654" s="131"/>
      <c r="B654" s="54" t="s">
        <v>593</v>
      </c>
      <c r="C654" s="54" t="s">
        <v>664</v>
      </c>
      <c r="D654" s="246">
        <v>12338.557727543717</v>
      </c>
      <c r="E654" s="246">
        <v>10433.025037305304</v>
      </c>
      <c r="F654" s="46">
        <v>1.3494467563917449</v>
      </c>
      <c r="G654" s="46">
        <v>1.3028831934673435</v>
      </c>
      <c r="H654" s="46">
        <v>4.3706985880153986E-3</v>
      </c>
      <c r="I654" s="46">
        <v>6.9844882962672022E-2</v>
      </c>
      <c r="J654" s="46">
        <v>7.3382384361375861</v>
      </c>
      <c r="K654" s="46">
        <v>0.38951996347771822</v>
      </c>
      <c r="L654" s="46">
        <v>0.43960220207845663</v>
      </c>
      <c r="M654" s="46">
        <v>2.7056385243094771E-3</v>
      </c>
      <c r="N654" s="46">
        <v>4.1929966840246996E-2</v>
      </c>
      <c r="O654" s="46">
        <v>1.3678389402571964E-2</v>
      </c>
      <c r="P654" s="46">
        <v>3.6125619239065328E-2</v>
      </c>
      <c r="Q654" s="46">
        <v>1.615316403219518</v>
      </c>
      <c r="R654" s="46">
        <v>1.0692456873057974</v>
      </c>
      <c r="S654" s="46">
        <v>1.4818627117811912E-2</v>
      </c>
      <c r="T654" s="46">
        <v>4.4079685919937877</v>
      </c>
      <c r="U654" s="46">
        <v>8.8800011910044996E-2</v>
      </c>
      <c r="V654" s="46">
        <v>1.2743616038658796E-2</v>
      </c>
      <c r="W654" s="46">
        <v>0.18745721647960745</v>
      </c>
      <c r="X654" s="46">
        <v>6.3159957802943881E-2</v>
      </c>
      <c r="Y654" s="46">
        <v>1.053328431345771E-3</v>
      </c>
      <c r="Z654" s="46">
        <v>1.343059045254652E-3</v>
      </c>
      <c r="AA654" s="46">
        <v>3.0354858509242043E-2</v>
      </c>
      <c r="AB654" s="125"/>
      <c r="AC654" s="125"/>
      <c r="AD654" s="125"/>
      <c r="AE654" s="125"/>
      <c r="AF654" s="125"/>
      <c r="AG654" s="125"/>
    </row>
    <row r="655" spans="1:33" s="54" customFormat="1">
      <c r="A655" s="131"/>
      <c r="B655" s="54" t="s">
        <v>595</v>
      </c>
      <c r="C655" s="54" t="s">
        <v>665</v>
      </c>
      <c r="D655" s="246">
        <v>12640.673196979582</v>
      </c>
      <c r="E655" s="246">
        <v>8040.5886376523385</v>
      </c>
      <c r="F655" s="46">
        <v>3.4100859693083572</v>
      </c>
      <c r="G655" s="46">
        <v>2.2512111182113315</v>
      </c>
      <c r="H655" s="46">
        <v>6.1198404646373361E-3</v>
      </c>
      <c r="I655" s="46">
        <v>6.758424066959616E-2</v>
      </c>
      <c r="J655" s="46">
        <v>8.4529346422661593</v>
      </c>
      <c r="K655" s="46">
        <v>0.89750227866138321</v>
      </c>
      <c r="L655" s="46">
        <v>0.38100681621574611</v>
      </c>
      <c r="M655" s="46">
        <v>2.6875132038523234E-3</v>
      </c>
      <c r="N655" s="46">
        <v>4.0202725453092315E-2</v>
      </c>
      <c r="O655" s="46">
        <v>1.4476843463699918E-2</v>
      </c>
      <c r="P655" s="46">
        <v>3.5921530104903239E-2</v>
      </c>
      <c r="Q655" s="46">
        <v>6.1504055139512577</v>
      </c>
      <c r="R655" s="46">
        <v>1.5395454904909898</v>
      </c>
      <c r="S655" s="46">
        <v>4.2840787202723211E-2</v>
      </c>
      <c r="T655" s="46">
        <v>3.9938686336153744</v>
      </c>
      <c r="U655" s="46">
        <v>0.1231330091586051</v>
      </c>
      <c r="V655" s="46">
        <v>1.816084704235793E-2</v>
      </c>
      <c r="W655" s="46">
        <v>0.22410854274205266</v>
      </c>
      <c r="X655" s="46">
        <v>6.4591009660563248E-2</v>
      </c>
      <c r="Y655" s="46">
        <v>2.3437620525550893E-3</v>
      </c>
      <c r="Z655" s="46">
        <v>2.5501938849674314E-3</v>
      </c>
      <c r="AA655" s="46">
        <v>7.6945749425909024E-2</v>
      </c>
      <c r="AB655" s="125"/>
      <c r="AC655" s="125"/>
      <c r="AD655" s="125"/>
      <c r="AE655" s="125"/>
      <c r="AF655" s="125"/>
      <c r="AG655" s="125"/>
    </row>
    <row r="656" spans="1:33" s="54" customFormat="1">
      <c r="A656" s="131"/>
      <c r="B656" s="54" t="s">
        <v>597</v>
      </c>
      <c r="C656" s="54" t="s">
        <v>666</v>
      </c>
      <c r="D656" s="246">
        <v>12511.960037719744</v>
      </c>
      <c r="E656" s="246">
        <v>10425.669763560096</v>
      </c>
      <c r="F656" s="46">
        <v>3.7910250502092286</v>
      </c>
      <c r="G656" s="46">
        <v>2.3463623015359976</v>
      </c>
      <c r="H656" s="46">
        <v>6.9975261220612548E-3</v>
      </c>
      <c r="I656" s="46">
        <v>6.3126740416754701E-2</v>
      </c>
      <c r="J656" s="46">
        <v>7.6044531676045546</v>
      </c>
      <c r="K656" s="46">
        <v>2.0272008284026963</v>
      </c>
      <c r="L656" s="46">
        <v>0.31773936926709401</v>
      </c>
      <c r="M656" s="46">
        <v>2.9874980356759955E-3</v>
      </c>
      <c r="N656" s="46">
        <v>4.1222955946302361E-2</v>
      </c>
      <c r="O656" s="46">
        <v>1.7165441481114128E-2</v>
      </c>
      <c r="P656" s="46">
        <v>3.734152854538049E-2</v>
      </c>
      <c r="Q656" s="46">
        <v>9.1715165256404472</v>
      </c>
      <c r="R656" s="46">
        <v>0.96669428254419354</v>
      </c>
      <c r="S656" s="46">
        <v>3.070768996330802E-2</v>
      </c>
      <c r="T656" s="46">
        <v>7.004294567749608</v>
      </c>
      <c r="U656" s="46">
        <v>0.11748940090706528</v>
      </c>
      <c r="V656" s="46">
        <v>2.2452839657456081E-2</v>
      </c>
      <c r="W656" s="46">
        <v>0.25369654430880256</v>
      </c>
      <c r="X656" s="46">
        <v>6.4041569729492362E-2</v>
      </c>
      <c r="Y656" s="46">
        <v>1.9689495681097955E-3</v>
      </c>
      <c r="Z656" s="46">
        <v>9.9556665281441345E-4</v>
      </c>
      <c r="AA656" s="46">
        <v>5.0797665393072462E-2</v>
      </c>
      <c r="AB656" s="125"/>
      <c r="AC656" s="125"/>
      <c r="AD656" s="125"/>
      <c r="AE656" s="125"/>
      <c r="AF656" s="125"/>
      <c r="AG656" s="125"/>
    </row>
    <row r="657" spans="1:33" s="148" customFormat="1">
      <c r="A657" s="163" t="s">
        <v>599</v>
      </c>
      <c r="D657" s="147"/>
      <c r="E657" s="147"/>
      <c r="F657" s="147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</row>
    <row r="658" spans="1:33" s="54" customFormat="1">
      <c r="B658" s="54" t="s">
        <v>600</v>
      </c>
      <c r="C658" s="54" t="s">
        <v>601</v>
      </c>
      <c r="D658" s="246">
        <v>5405.4933360791647</v>
      </c>
      <c r="E658" s="246">
        <v>8285.3317328102094</v>
      </c>
      <c r="F658" s="246">
        <v>7464.5328019642038</v>
      </c>
      <c r="G658" s="46">
        <v>2.465104952412676</v>
      </c>
      <c r="H658" s="46">
        <v>2.1510076131164423E-2</v>
      </c>
      <c r="I658" s="46">
        <v>9.6467194806253473E-2</v>
      </c>
      <c r="J658" s="46">
        <v>0.54966717738050563</v>
      </c>
      <c r="K658" s="46">
        <v>7.6408776324322886E-2</v>
      </c>
      <c r="L658" s="46">
        <v>6.0191534811159606</v>
      </c>
      <c r="M658" s="46">
        <v>0.38978002238312026</v>
      </c>
      <c r="N658" s="46">
        <v>0.70000813021360364</v>
      </c>
      <c r="O658" s="46">
        <v>7.4647841699225191E-3</v>
      </c>
      <c r="P658" s="46">
        <v>0.24666316818697981</v>
      </c>
      <c r="Q658" s="46">
        <v>0.25453161764857496</v>
      </c>
      <c r="R658" s="46">
        <v>3.1483183494810059E-2</v>
      </c>
      <c r="S658" s="46">
        <v>0.17626719350550041</v>
      </c>
      <c r="T658" s="46">
        <v>2.4021394866393635E-2</v>
      </c>
      <c r="U658" s="46">
        <v>2.9429791198938928E-2</v>
      </c>
      <c r="V658" s="46">
        <v>0</v>
      </c>
      <c r="W658" s="46">
        <v>0.66420397616875171</v>
      </c>
      <c r="X658" s="46">
        <v>4.0595964012026024E-2</v>
      </c>
      <c r="Y658" s="46">
        <v>7.8512516546129105E-2</v>
      </c>
      <c r="Z658" s="46">
        <v>8.3984548288873317E-3</v>
      </c>
      <c r="AA658" s="46">
        <v>0.15581740930105778</v>
      </c>
    </row>
    <row r="659" spans="1:33" s="54" customFormat="1">
      <c r="B659" s="54" t="s">
        <v>602</v>
      </c>
      <c r="C659" s="54" t="s">
        <v>603</v>
      </c>
      <c r="D659" s="246">
        <v>6270.553391814391</v>
      </c>
      <c r="E659" s="246">
        <v>10346.910606157566</v>
      </c>
      <c r="F659" s="246">
        <v>10407.528397665301</v>
      </c>
      <c r="G659" s="46">
        <v>1.9481209355972935</v>
      </c>
      <c r="H659" s="46">
        <v>1.8209825378942387E-2</v>
      </c>
      <c r="I659" s="46">
        <v>0.1698817908726091</v>
      </c>
      <c r="J659" s="46">
        <v>0.52037248013282245</v>
      </c>
      <c r="K659" s="46">
        <v>7.7159465014678158E-2</v>
      </c>
      <c r="L659" s="46">
        <v>15.54994811121054</v>
      </c>
      <c r="M659" s="46">
        <v>0.50924849751230272</v>
      </c>
      <c r="N659" s="46">
        <v>2.3243961318187631</v>
      </c>
      <c r="O659" s="46">
        <v>1.1392299459475376E-2</v>
      </c>
      <c r="P659" s="46">
        <v>0.27661933192895682</v>
      </c>
      <c r="Q659" s="46">
        <v>0.26803818385796535</v>
      </c>
      <c r="R659" s="46">
        <v>0</v>
      </c>
      <c r="S659" s="46">
        <v>0.10817806456491272</v>
      </c>
      <c r="T659" s="46">
        <v>1.3435224403193547E-2</v>
      </c>
      <c r="U659" s="46">
        <v>3.0440070849043887E-2</v>
      </c>
      <c r="V659" s="46">
        <v>0</v>
      </c>
      <c r="W659" s="46">
        <v>0.46562984506449195</v>
      </c>
      <c r="X659" s="46">
        <v>5.0708922068841228E-2</v>
      </c>
      <c r="Y659" s="46">
        <v>2.5442290335196942E-3</v>
      </c>
      <c r="Z659" s="46">
        <v>1.0229365739814146E-2</v>
      </c>
      <c r="AA659" s="46">
        <v>7.5648684339774383E-2</v>
      </c>
    </row>
    <row r="660" spans="1:33" s="54" customFormat="1">
      <c r="B660" s="54" t="s">
        <v>604</v>
      </c>
      <c r="C660" s="54" t="s">
        <v>605</v>
      </c>
      <c r="D660" s="246">
        <v>6831.6722969249386</v>
      </c>
      <c r="E660" s="246">
        <v>8633.2377761831212</v>
      </c>
      <c r="F660" s="246">
        <v>9645.3507599992554</v>
      </c>
      <c r="G660" s="46">
        <v>1.891817459251887</v>
      </c>
      <c r="H660" s="46">
        <v>2.075063201051373E-2</v>
      </c>
      <c r="I660" s="46">
        <v>0.19295459932008979</v>
      </c>
      <c r="J660" s="46">
        <v>0.50173771940060707</v>
      </c>
      <c r="K660" s="46">
        <v>7.3686152473548136E-2</v>
      </c>
      <c r="L660" s="46">
        <v>7.9419777949466317</v>
      </c>
      <c r="M660" s="46">
        <v>0.55279080895817667</v>
      </c>
      <c r="N660" s="46">
        <v>1.4762883558399704</v>
      </c>
      <c r="O660" s="46">
        <v>1.8305773118263306E-2</v>
      </c>
      <c r="P660" s="46">
        <v>0.54102472160245063</v>
      </c>
      <c r="Q660" s="46">
        <v>0.36899684953358464</v>
      </c>
      <c r="R660" s="46">
        <v>0</v>
      </c>
      <c r="S660" s="46">
        <v>0.11641806707058933</v>
      </c>
      <c r="T660" s="46">
        <v>1.7402449278279226E-2</v>
      </c>
      <c r="U660" s="46">
        <v>3.2723931433124201E-2</v>
      </c>
      <c r="V660" s="46">
        <v>3.8892934290823786E-2</v>
      </c>
      <c r="W660" s="46">
        <v>0.56276138223825967</v>
      </c>
      <c r="X660" s="46">
        <v>4.9048865623459413E-2</v>
      </c>
      <c r="Y660" s="46">
        <v>1.8335935873538313E-3</v>
      </c>
      <c r="Z660" s="46">
        <v>3.8256583211842671E-3</v>
      </c>
      <c r="AA660" s="46">
        <v>0.1500793392389331</v>
      </c>
    </row>
    <row r="661" spans="1:33" s="54" customFormat="1">
      <c r="B661" s="54" t="s">
        <v>606</v>
      </c>
      <c r="C661" s="54" t="s">
        <v>607</v>
      </c>
      <c r="D661" s="246">
        <v>6400.9198605919219</v>
      </c>
      <c r="E661" s="246">
        <v>9156.0556863199818</v>
      </c>
      <c r="F661" s="246">
        <v>8963.7823276866275</v>
      </c>
      <c r="G661" s="46">
        <v>1.7837564835774449</v>
      </c>
      <c r="H661" s="46">
        <v>1.5759613650761617E-2</v>
      </c>
      <c r="I661" s="46">
        <v>0.13808064817362795</v>
      </c>
      <c r="J661" s="46">
        <v>0.43771348266567395</v>
      </c>
      <c r="K661" s="46">
        <v>0.16433704037466162</v>
      </c>
      <c r="L661" s="46">
        <v>7.1622168979257337</v>
      </c>
      <c r="M661" s="46">
        <v>0.51924133710981135</v>
      </c>
      <c r="N661" s="46">
        <v>1.5290352598540469</v>
      </c>
      <c r="O661" s="46">
        <v>1.0510252706756941E-2</v>
      </c>
      <c r="P661" s="46">
        <v>0.25839009821058573</v>
      </c>
      <c r="Q661" s="46">
        <v>0.26943841019847398</v>
      </c>
      <c r="R661" s="46">
        <v>0</v>
      </c>
      <c r="S661" s="46">
        <v>0.18314410330595945</v>
      </c>
      <c r="T661" s="46">
        <v>1.642079623199269E-2</v>
      </c>
      <c r="U661" s="46">
        <v>3.2729359778722183E-2</v>
      </c>
      <c r="V661" s="46">
        <v>2.4970508762878364E-2</v>
      </c>
      <c r="W661" s="46">
        <v>5.4023856774575583</v>
      </c>
      <c r="X661" s="46">
        <v>4.5206152810812181E-2</v>
      </c>
      <c r="Y661" s="46">
        <v>0</v>
      </c>
      <c r="Z661" s="46">
        <v>6.9426260179281428E-3</v>
      </c>
      <c r="AA661" s="46">
        <v>0.16761852315607897</v>
      </c>
    </row>
    <row r="662" spans="1:33" s="54" customFormat="1">
      <c r="B662" s="54" t="s">
        <v>608</v>
      </c>
      <c r="C662" s="54" t="s">
        <v>609</v>
      </c>
      <c r="D662" s="246">
        <v>7555.3945565448048</v>
      </c>
      <c r="E662" s="246">
        <v>9087.309395452512</v>
      </c>
      <c r="F662" s="246">
        <v>8667.4790408179124</v>
      </c>
      <c r="G662" s="46">
        <v>1.6570399639082107</v>
      </c>
      <c r="H662" s="46">
        <v>0</v>
      </c>
      <c r="I662" s="46">
        <v>0.167200041575264</v>
      </c>
      <c r="J662" s="46">
        <v>0.56553863166140506</v>
      </c>
      <c r="K662" s="46">
        <v>7.9174566866982765E-2</v>
      </c>
      <c r="L662" s="46">
        <v>8.7361163877690924</v>
      </c>
      <c r="M662" s="46">
        <v>0.6431967172526929</v>
      </c>
      <c r="N662" s="46">
        <v>2.1673746016530044</v>
      </c>
      <c r="O662" s="46">
        <v>1.6754802996210648E-2</v>
      </c>
      <c r="P662" s="46">
        <v>0.38503796242719934</v>
      </c>
      <c r="Q662" s="46">
        <v>0.23591938498335924</v>
      </c>
      <c r="R662" s="46">
        <v>5.0204220689802417E-2</v>
      </c>
      <c r="S662" s="46">
        <v>0.1733887525184919</v>
      </c>
      <c r="T662" s="46">
        <v>4.4443295645663891E-2</v>
      </c>
      <c r="U662" s="46">
        <v>2.7235307317110432E-2</v>
      </c>
      <c r="V662" s="46">
        <v>3.5666045875580955E-2</v>
      </c>
      <c r="W662" s="46">
        <v>0.65303046841225365</v>
      </c>
      <c r="X662" s="46">
        <v>4.5842297499161348E-2</v>
      </c>
      <c r="Y662" s="46">
        <v>2.3658389551273872E-3</v>
      </c>
      <c r="Z662" s="46">
        <v>4.4997116784920048E-3</v>
      </c>
      <c r="AA662" s="46">
        <v>0.30458625947453305</v>
      </c>
    </row>
    <row r="663" spans="1:33" s="54" customFormat="1">
      <c r="B663" s="54" t="s">
        <v>610</v>
      </c>
      <c r="C663" s="54" t="s">
        <v>611</v>
      </c>
      <c r="D663" s="246">
        <v>5547.4170713234653</v>
      </c>
      <c r="E663" s="246">
        <v>7279.9182181262613</v>
      </c>
      <c r="F663" s="246">
        <v>5202.0824709536928</v>
      </c>
      <c r="G663" s="242">
        <v>14.883173224911888</v>
      </c>
      <c r="H663" s="46">
        <v>1.6776939335032572E-2</v>
      </c>
      <c r="I663" s="46">
        <v>0.1250423018376686</v>
      </c>
      <c r="J663" s="46">
        <v>0.47091160389116909</v>
      </c>
      <c r="K663" s="46">
        <v>6.1599325002349541E-2</v>
      </c>
      <c r="L663" s="46">
        <v>5.3729577939157256</v>
      </c>
      <c r="M663" s="46">
        <v>1.7234265739024592</v>
      </c>
      <c r="N663" s="46">
        <v>0.47494523541835182</v>
      </c>
      <c r="O663" s="46">
        <v>9.0118845766653678E-3</v>
      </c>
      <c r="P663" s="46">
        <v>0.21687097448426396</v>
      </c>
      <c r="Q663" s="46">
        <v>0.24062516407809978</v>
      </c>
      <c r="R663" s="46">
        <v>0.14939823681337172</v>
      </c>
      <c r="S663" s="46">
        <v>0.16322831583967257</v>
      </c>
      <c r="T663" s="46">
        <v>2.4669235429883817E-2</v>
      </c>
      <c r="U663" s="46">
        <v>2.7007669061611075E-2</v>
      </c>
      <c r="V663" s="46">
        <v>2.1157706157278609E-2</v>
      </c>
      <c r="W663" s="46">
        <v>0.6138826066370604</v>
      </c>
      <c r="X663" s="46">
        <v>5.0075548027608045E-2</v>
      </c>
      <c r="Y663" s="46">
        <v>1.3990178292535283E-3</v>
      </c>
      <c r="Z663" s="46">
        <v>2.9379023270116791E-3</v>
      </c>
      <c r="AA663" s="46">
        <v>0.11774541000245345</v>
      </c>
    </row>
    <row r="664" spans="1:33" s="54" customFormat="1">
      <c r="B664" s="54" t="s">
        <v>612</v>
      </c>
      <c r="C664" s="54" t="s">
        <v>613</v>
      </c>
      <c r="D664" s="246">
        <v>6571.13209770916</v>
      </c>
      <c r="E664" s="246">
        <v>8771.5486092848714</v>
      </c>
      <c r="F664" s="246">
        <v>7943.7310555339036</v>
      </c>
      <c r="G664" s="46">
        <v>1.8141254457224953</v>
      </c>
      <c r="H664" s="46">
        <v>1.7226445044237412E-2</v>
      </c>
      <c r="I664" s="46">
        <v>0.10273545247455168</v>
      </c>
      <c r="J664" s="46">
        <v>0.45374916254155351</v>
      </c>
      <c r="K664" s="46">
        <v>5.7664252829998736E-2</v>
      </c>
      <c r="L664" s="46">
        <v>8.3048061722600632</v>
      </c>
      <c r="M664" s="46">
        <v>1.6044243159807523</v>
      </c>
      <c r="N664" s="46">
        <v>3.7155407561101037</v>
      </c>
      <c r="O664" s="46">
        <v>2.0396789367824755E-2</v>
      </c>
      <c r="P664" s="46">
        <v>0.24899139547185756</v>
      </c>
      <c r="Q664" s="46">
        <v>0.2219489001489395</v>
      </c>
      <c r="R664" s="46">
        <v>8.4171489070176686E-2</v>
      </c>
      <c r="S664" s="46">
        <v>0.16877805192740888</v>
      </c>
      <c r="T664" s="46">
        <v>1.1426757501530181E-2</v>
      </c>
      <c r="U664" s="46">
        <v>2.6596295738695555E-2</v>
      </c>
      <c r="V664" s="46">
        <v>2.2653123572975258E-2</v>
      </c>
      <c r="W664" s="46">
        <v>0.45334465308999244</v>
      </c>
      <c r="X664" s="46">
        <v>4.5248113879444517E-2</v>
      </c>
      <c r="Y664" s="46">
        <v>0</v>
      </c>
      <c r="Z664" s="46">
        <v>6.6103849458535114E-3</v>
      </c>
      <c r="AA664" s="46">
        <v>0.47106090201328515</v>
      </c>
    </row>
    <row r="665" spans="1:33" s="155" customFormat="1" ht="15.6" thickBot="1">
      <c r="A665" s="260"/>
      <c r="B665" s="260" t="s">
        <v>614</v>
      </c>
      <c r="C665" s="260" t="s">
        <v>615</v>
      </c>
      <c r="D665" s="261">
        <v>5562.1326125258656</v>
      </c>
      <c r="E665" s="261">
        <v>7569.4033983079617</v>
      </c>
      <c r="F665" s="261">
        <v>5701.6392855768845</v>
      </c>
      <c r="G665" s="262">
        <v>1.829830504178277</v>
      </c>
      <c r="H665" s="262">
        <v>1.5630360320600219E-2</v>
      </c>
      <c r="I665" s="262">
        <v>0.14357547208717528</v>
      </c>
      <c r="J665" s="262">
        <v>0.41107181049046754</v>
      </c>
      <c r="K665" s="262">
        <v>7.2144019647605195E-2</v>
      </c>
      <c r="L665" s="262">
        <v>8.5114945661788823</v>
      </c>
      <c r="M665" s="262">
        <v>1.272531023145187</v>
      </c>
      <c r="N665" s="262">
        <v>2.6612213937606501</v>
      </c>
      <c r="O665" s="262">
        <v>0</v>
      </c>
      <c r="P665" s="262">
        <v>0.22518224774661827</v>
      </c>
      <c r="Q665" s="262">
        <v>0.20610759682648691</v>
      </c>
      <c r="R665" s="262">
        <v>1.920884701054346E-2</v>
      </c>
      <c r="S665" s="262">
        <v>0.16223569023452966</v>
      </c>
      <c r="T665" s="262">
        <v>1.7269562289488678E-2</v>
      </c>
      <c r="U665" s="262">
        <v>2.7357092328321512E-2</v>
      </c>
      <c r="V665" s="262">
        <v>8.7618796298995064E-2</v>
      </c>
      <c r="W665" s="262">
        <v>0.60913398496062576</v>
      </c>
      <c r="X665" s="262">
        <v>4.0854695730216731E-2</v>
      </c>
      <c r="Y665" s="262">
        <v>3.7489250054770348E-3</v>
      </c>
      <c r="Z665" s="262">
        <v>5.9761876973634335E-3</v>
      </c>
      <c r="AA665" s="262">
        <v>0.39627935766956868</v>
      </c>
      <c r="AB665" s="260"/>
      <c r="AC665" s="260"/>
      <c r="AD665" s="260"/>
      <c r="AE665" s="260"/>
      <c r="AF665" s="260"/>
      <c r="AG665" s="260"/>
    </row>
    <row r="666" spans="1:33" ht="15.6" thickTop="1"/>
  </sheetData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411C-D0BF-443E-A320-50AC400944DD}">
  <dimension ref="A1:IV68"/>
  <sheetViews>
    <sheetView workbookViewId="0">
      <pane ySplit="2" topLeftCell="A3" activePane="bottomLeft" state="frozen"/>
      <selection pane="bottomLeft" activeCell="M1" sqref="M1"/>
    </sheetView>
  </sheetViews>
  <sheetFormatPr defaultColWidth="9" defaultRowHeight="11.45"/>
  <cols>
    <col min="1" max="1" width="24.33203125" style="115" customWidth="1"/>
    <col min="2" max="2" width="17.33203125" style="115" customWidth="1"/>
    <col min="3" max="3" width="15.33203125" style="115" customWidth="1"/>
    <col min="4" max="4" width="16.6640625" style="115" customWidth="1"/>
    <col min="5" max="5" width="16" style="115" customWidth="1"/>
    <col min="6" max="7" width="16.1640625" style="115" bestFit="1" customWidth="1"/>
    <col min="8" max="9" width="16" style="115" bestFit="1" customWidth="1"/>
    <col min="10" max="11" width="14.5" style="115" bestFit="1" customWidth="1"/>
    <col min="12" max="14" width="13.33203125" style="115" bestFit="1" customWidth="1"/>
    <col min="15" max="15" width="16.1640625" style="115" bestFit="1" customWidth="1"/>
    <col min="16" max="16" width="13.33203125" style="115" bestFit="1" customWidth="1"/>
    <col min="17" max="17" width="16" style="115" bestFit="1" customWidth="1"/>
    <col min="18" max="19" width="16.1640625" style="115" bestFit="1" customWidth="1"/>
    <col min="20" max="21" width="16" style="115" bestFit="1" customWidth="1"/>
    <col min="22" max="40" width="13.33203125" style="115" bestFit="1" customWidth="1"/>
    <col min="41" max="41" width="12" style="115" bestFit="1" customWidth="1"/>
    <col min="42" max="43" width="13.33203125" style="115" bestFit="1" customWidth="1"/>
    <col min="44" max="16384" width="9" style="115"/>
  </cols>
  <sheetData>
    <row r="1" spans="1:254" ht="21.4" customHeight="1">
      <c r="A1" s="123" t="s">
        <v>667</v>
      </c>
    </row>
    <row r="2" spans="1:254" ht="15.4">
      <c r="A2" s="12" t="s">
        <v>668</v>
      </c>
      <c r="B2" s="12"/>
      <c r="C2" s="51" t="s">
        <v>669</v>
      </c>
      <c r="D2" s="51" t="s">
        <v>637</v>
      </c>
      <c r="E2" s="51" t="s">
        <v>670</v>
      </c>
      <c r="F2" s="51" t="s">
        <v>671</v>
      </c>
      <c r="G2" s="51" t="s">
        <v>619</v>
      </c>
      <c r="H2" s="51" t="s">
        <v>672</v>
      </c>
      <c r="I2" s="51" t="s">
        <v>673</v>
      </c>
      <c r="J2" s="51" t="s">
        <v>674</v>
      </c>
      <c r="K2" s="51" t="s">
        <v>675</v>
      </c>
      <c r="L2" s="51" t="s">
        <v>638</v>
      </c>
      <c r="M2" s="51" t="s">
        <v>676</v>
      </c>
      <c r="N2" s="51" t="s">
        <v>631</v>
      </c>
      <c r="O2" s="51" t="s">
        <v>618</v>
      </c>
      <c r="P2" s="51" t="s">
        <v>622</v>
      </c>
      <c r="Q2" s="51" t="s">
        <v>623</v>
      </c>
      <c r="R2" s="51" t="s">
        <v>620</v>
      </c>
      <c r="S2" s="51" t="s">
        <v>621</v>
      </c>
      <c r="T2" s="51" t="s">
        <v>677</v>
      </c>
      <c r="U2" s="51" t="s">
        <v>678</v>
      </c>
      <c r="V2" s="51" t="s">
        <v>624</v>
      </c>
      <c r="W2" s="51" t="s">
        <v>626</v>
      </c>
      <c r="X2" s="51" t="s">
        <v>679</v>
      </c>
      <c r="Y2" s="51" t="s">
        <v>680</v>
      </c>
      <c r="Z2" s="51" t="s">
        <v>681</v>
      </c>
      <c r="AA2" s="51" t="s">
        <v>632</v>
      </c>
      <c r="AB2" s="51" t="s">
        <v>630</v>
      </c>
      <c r="AC2" s="51" t="s">
        <v>633</v>
      </c>
      <c r="AD2" s="51" t="s">
        <v>627</v>
      </c>
      <c r="AE2" s="51" t="s">
        <v>628</v>
      </c>
      <c r="AF2" s="51" t="s">
        <v>625</v>
      </c>
      <c r="AG2" s="51" t="s">
        <v>641</v>
      </c>
      <c r="AH2" s="51" t="s">
        <v>636</v>
      </c>
      <c r="AI2" s="51" t="s">
        <v>682</v>
      </c>
      <c r="AJ2" s="51" t="s">
        <v>629</v>
      </c>
      <c r="AK2" s="51" t="s">
        <v>635</v>
      </c>
      <c r="AL2" s="51" t="s">
        <v>640</v>
      </c>
      <c r="AM2" s="51" t="s">
        <v>634</v>
      </c>
      <c r="AN2" s="51" t="s">
        <v>683</v>
      </c>
      <c r="AO2" s="51" t="s">
        <v>639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</row>
    <row r="3" spans="1:254" ht="15.4">
      <c r="A3" s="12" t="s">
        <v>684</v>
      </c>
      <c r="B3" s="12" t="s">
        <v>685</v>
      </c>
      <c r="C3" s="121">
        <v>29683.707896148699</v>
      </c>
      <c r="D3" s="52">
        <v>57.206263913827399</v>
      </c>
      <c r="E3" s="52">
        <v>9.4233860356028707</v>
      </c>
      <c r="F3" s="52">
        <v>232.14539766916201</v>
      </c>
      <c r="G3" s="121">
        <v>417944.30837010802</v>
      </c>
      <c r="H3" s="52">
        <v>105.059397626715</v>
      </c>
      <c r="I3" s="52">
        <v>0</v>
      </c>
      <c r="J3" s="52">
        <v>0.20641648069431201</v>
      </c>
      <c r="K3" s="52">
        <v>2.8314840952579399</v>
      </c>
      <c r="L3" s="52">
        <v>38.240752612017801</v>
      </c>
      <c r="M3" s="52">
        <v>38.651159650623299</v>
      </c>
      <c r="N3" s="121">
        <v>274.15680805578199</v>
      </c>
      <c r="O3" s="121">
        <v>103076.63268718901</v>
      </c>
      <c r="P3" s="52">
        <v>62.615626611006498</v>
      </c>
      <c r="Q3" s="52">
        <v>94.692703309953501</v>
      </c>
      <c r="R3" s="52">
        <v>103962.986938605</v>
      </c>
      <c r="S3" s="121">
        <v>145804.50268090601</v>
      </c>
      <c r="T3" s="52">
        <v>39.603966159797203</v>
      </c>
      <c r="U3" s="52">
        <v>39.132709972590902</v>
      </c>
      <c r="V3" s="52">
        <v>36.382134922264697</v>
      </c>
      <c r="W3" s="52">
        <v>11.5402784868586</v>
      </c>
      <c r="X3" s="52">
        <v>0.12335654405516699</v>
      </c>
      <c r="Y3" s="52">
        <v>0.33402889689430598</v>
      </c>
      <c r="Z3" s="52">
        <v>5.9966843796006003E-2</v>
      </c>
      <c r="AA3" s="52">
        <v>41.394320635044899</v>
      </c>
      <c r="AB3" s="52">
        <v>45.0598149363326</v>
      </c>
      <c r="AC3" s="52">
        <v>41.718011244138403</v>
      </c>
      <c r="AD3" s="52">
        <v>40.530872052055102</v>
      </c>
      <c r="AE3" s="52">
        <v>36.170331169098297</v>
      </c>
      <c r="AF3" s="52">
        <v>54.176834101962598</v>
      </c>
      <c r="AG3" s="52">
        <v>14.3955032592485</v>
      </c>
      <c r="AH3" s="52">
        <v>0.59679798399148398</v>
      </c>
      <c r="AI3" s="52">
        <v>13.4630750378223</v>
      </c>
      <c r="AJ3" s="52">
        <v>34.666885996675497</v>
      </c>
      <c r="AK3" s="52">
        <v>43.743522654132398</v>
      </c>
      <c r="AL3" s="52">
        <v>45.287049965068498</v>
      </c>
      <c r="AM3" s="52">
        <v>50.671377447415502</v>
      </c>
      <c r="AN3" s="52">
        <v>0</v>
      </c>
      <c r="AO3" s="52">
        <v>23.581192673082999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</row>
    <row r="4" spans="1:254" ht="15.4">
      <c r="A4" s="12" t="s">
        <v>684</v>
      </c>
      <c r="B4" s="12" t="s">
        <v>686</v>
      </c>
      <c r="C4" s="121">
        <v>32262.3017308866</v>
      </c>
      <c r="D4" s="52">
        <v>38.7454512208704</v>
      </c>
      <c r="E4" s="52">
        <v>10.563551683939901</v>
      </c>
      <c r="F4" s="52">
        <v>335.14173923524601</v>
      </c>
      <c r="G4" s="121">
        <v>404555.94620208198</v>
      </c>
      <c r="H4" s="52">
        <v>98.596825255954997</v>
      </c>
      <c r="I4" s="52">
        <v>123.662826064714</v>
      </c>
      <c r="J4" s="52">
        <v>0</v>
      </c>
      <c r="K4" s="52">
        <v>1.5263779173597201</v>
      </c>
      <c r="L4" s="52">
        <v>42.592920002788802</v>
      </c>
      <c r="M4" s="52">
        <v>47.579550934946901</v>
      </c>
      <c r="N4" s="121">
        <v>216.41614373708501</v>
      </c>
      <c r="O4" s="121">
        <v>108599.698936694</v>
      </c>
      <c r="P4" s="52">
        <v>56.532784652397702</v>
      </c>
      <c r="Q4" s="52">
        <v>77.2397789868009</v>
      </c>
      <c r="R4" s="52">
        <v>124400.08446488999</v>
      </c>
      <c r="S4" s="121">
        <v>130464.192065522</v>
      </c>
      <c r="T4" s="52">
        <v>44.0044549974996</v>
      </c>
      <c r="U4" s="52">
        <v>42.454429331263199</v>
      </c>
      <c r="V4" s="52">
        <v>38.352614811441597</v>
      </c>
      <c r="W4" s="52">
        <v>15.879614304098901</v>
      </c>
      <c r="X4" s="52">
        <v>0.28986251136879798</v>
      </c>
      <c r="Y4" s="52">
        <v>0.346414712676411</v>
      </c>
      <c r="Z4" s="52">
        <v>8.5969055481394992E-3</v>
      </c>
      <c r="AA4" s="52">
        <v>47.731489361202001</v>
      </c>
      <c r="AB4" s="52">
        <v>52.504887251177003</v>
      </c>
      <c r="AC4" s="52">
        <v>39.151639097352501</v>
      </c>
      <c r="AD4" s="52">
        <v>46.132314691375697</v>
      </c>
      <c r="AE4" s="52">
        <v>37.734687489343699</v>
      </c>
      <c r="AF4" s="52">
        <v>60.717030220247104</v>
      </c>
      <c r="AG4" s="52">
        <v>14.0403665882725</v>
      </c>
      <c r="AH4" s="52">
        <v>0.81073802108423698</v>
      </c>
      <c r="AI4" s="52">
        <v>13.3619328935011</v>
      </c>
      <c r="AJ4" s="52">
        <v>36.708133904385797</v>
      </c>
      <c r="AK4" s="52">
        <v>55.088358133769802</v>
      </c>
      <c r="AL4" s="52">
        <v>58.351625814209797</v>
      </c>
      <c r="AM4" s="52">
        <v>65.507214522538206</v>
      </c>
      <c r="AN4" s="52">
        <v>1.81182463588403E-3</v>
      </c>
      <c r="AO4" s="52">
        <v>4.3284554999262198E-4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</row>
    <row r="5" spans="1:254" ht="15.4">
      <c r="A5" s="12" t="s">
        <v>684</v>
      </c>
      <c r="B5" s="12" t="s">
        <v>687</v>
      </c>
      <c r="C5" s="121">
        <v>33772.1997449095</v>
      </c>
      <c r="D5" s="52">
        <v>61.5249157395629</v>
      </c>
      <c r="E5" s="52">
        <v>9.6616310828379692</v>
      </c>
      <c r="F5" s="52">
        <v>127.081227004654</v>
      </c>
      <c r="G5" s="121">
        <v>434974.01064994698</v>
      </c>
      <c r="H5" s="52">
        <v>132.31891987469001</v>
      </c>
      <c r="I5" s="52">
        <v>0</v>
      </c>
      <c r="J5" s="52">
        <v>7.8742558647416097E-2</v>
      </c>
      <c r="K5" s="52">
        <v>2.0173135737299499</v>
      </c>
      <c r="L5" s="52">
        <v>39.086998366837598</v>
      </c>
      <c r="M5" s="52">
        <v>45.223724566214301</v>
      </c>
      <c r="N5" s="121">
        <v>211.34374332598401</v>
      </c>
      <c r="O5" s="121">
        <v>105146.01772178301</v>
      </c>
      <c r="P5" s="52">
        <v>76.214085760454495</v>
      </c>
      <c r="Q5" s="52">
        <v>100.68309827572401</v>
      </c>
      <c r="R5" s="52">
        <v>87914.225484570707</v>
      </c>
      <c r="S5" s="121">
        <v>138818.11227938399</v>
      </c>
      <c r="T5" s="52">
        <v>37.5091770838877</v>
      </c>
      <c r="U5" s="52">
        <v>39.863993390188</v>
      </c>
      <c r="V5" s="52">
        <v>44.393996605610297</v>
      </c>
      <c r="W5" s="52">
        <v>12.348793874103499</v>
      </c>
      <c r="X5" s="52">
        <v>0.374571242061288</v>
      </c>
      <c r="Y5" s="52">
        <v>0.30704620259417198</v>
      </c>
      <c r="Z5" s="52">
        <v>1.01120111007524E-2</v>
      </c>
      <c r="AA5" s="52">
        <v>43.286455098899999</v>
      </c>
      <c r="AB5" s="52">
        <v>42.142699673619603</v>
      </c>
      <c r="AC5" s="52">
        <v>20.3876501621017</v>
      </c>
      <c r="AD5" s="52">
        <v>39.210118108731798</v>
      </c>
      <c r="AE5" s="52">
        <v>35.344628349198203</v>
      </c>
      <c r="AF5" s="52">
        <v>59.3760211808371</v>
      </c>
      <c r="AG5" s="52">
        <v>12.3532874756068</v>
      </c>
      <c r="AH5" s="52">
        <v>0.66532070183609104</v>
      </c>
      <c r="AI5" s="52">
        <v>13.2337024264259</v>
      </c>
      <c r="AJ5" s="52">
        <v>31.944337081297501</v>
      </c>
      <c r="AK5" s="52">
        <v>42.472736040461903</v>
      </c>
      <c r="AL5" s="52">
        <v>44.753696575087197</v>
      </c>
      <c r="AM5" s="52">
        <v>50.2044150121353</v>
      </c>
      <c r="AN5" s="52">
        <v>3.2186749927084202E-3</v>
      </c>
      <c r="AO5" s="52">
        <v>1.37423050173257E-2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</row>
    <row r="6" spans="1:254" ht="15.4">
      <c r="A6" s="12" t="s">
        <v>684</v>
      </c>
      <c r="B6" s="12" t="s">
        <v>688</v>
      </c>
      <c r="C6" s="121">
        <v>33531.850447903103</v>
      </c>
      <c r="D6" s="52">
        <v>58.428318611785201</v>
      </c>
      <c r="E6" s="52">
        <v>12.218580594923999</v>
      </c>
      <c r="F6" s="52">
        <v>373.53483084301701</v>
      </c>
      <c r="G6" s="121">
        <v>416291.639263855</v>
      </c>
      <c r="H6" s="52">
        <v>114.25619157443801</v>
      </c>
      <c r="I6" s="52">
        <v>0</v>
      </c>
      <c r="J6" s="52">
        <v>8.5900083449073593E-3</v>
      </c>
      <c r="K6" s="52">
        <v>0.96114444991316605</v>
      </c>
      <c r="L6" s="52">
        <v>38.335313245956002</v>
      </c>
      <c r="M6" s="52">
        <v>42.221890723004002</v>
      </c>
      <c r="N6" s="121">
        <v>195.53107974930899</v>
      </c>
      <c r="O6" s="121">
        <v>104929.45219557099</v>
      </c>
      <c r="P6" s="52">
        <v>70.034556698359395</v>
      </c>
      <c r="Q6" s="52">
        <v>100.714535120356</v>
      </c>
      <c r="R6" s="52">
        <v>86519.981766739205</v>
      </c>
      <c r="S6" s="121">
        <v>159163.71158334601</v>
      </c>
      <c r="T6" s="52">
        <v>39.016228144882398</v>
      </c>
      <c r="U6" s="52">
        <v>36.1093607712709</v>
      </c>
      <c r="V6" s="52">
        <v>37.305828705322099</v>
      </c>
      <c r="W6" s="52">
        <v>13.8724267074056</v>
      </c>
      <c r="X6" s="52">
        <v>0.172225394029387</v>
      </c>
      <c r="Y6" s="52">
        <v>0.31010100700648502</v>
      </c>
      <c r="Z6" s="52">
        <v>7.01255562870934E-3</v>
      </c>
      <c r="AA6" s="52">
        <v>40.119706524936603</v>
      </c>
      <c r="AB6" s="52">
        <v>45.5124690089282</v>
      </c>
      <c r="AC6" s="52">
        <v>22.970930665044499</v>
      </c>
      <c r="AD6" s="52">
        <v>36.271791928891403</v>
      </c>
      <c r="AE6" s="52">
        <v>33.398990293986301</v>
      </c>
      <c r="AF6" s="52">
        <v>53.440807015646797</v>
      </c>
      <c r="AG6" s="52">
        <v>13.951429340302701</v>
      </c>
      <c r="AH6" s="52">
        <v>4.1566905313046103</v>
      </c>
      <c r="AI6" s="52">
        <v>12.191221492147999</v>
      </c>
      <c r="AJ6" s="52">
        <v>30.6804429625323</v>
      </c>
      <c r="AK6" s="52">
        <v>43.4767052950574</v>
      </c>
      <c r="AL6" s="52">
        <v>42.516245417273403</v>
      </c>
      <c r="AM6" s="52">
        <v>51.630752890792003</v>
      </c>
      <c r="AN6" s="52">
        <v>8.3443140944829495E-3</v>
      </c>
      <c r="AO6" s="52">
        <v>0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</row>
    <row r="7" spans="1:254" ht="15.4">
      <c r="A7" s="12" t="s">
        <v>684</v>
      </c>
      <c r="B7" s="12" t="s">
        <v>689</v>
      </c>
      <c r="C7" s="121">
        <v>32193.178180424198</v>
      </c>
      <c r="D7" s="52">
        <v>40.946969922765902</v>
      </c>
      <c r="E7" s="52">
        <v>15.5081762088779</v>
      </c>
      <c r="F7" s="52">
        <v>271.57206847446599</v>
      </c>
      <c r="G7" s="121">
        <v>451220.606489086</v>
      </c>
      <c r="H7" s="52">
        <v>108.780538177841</v>
      </c>
      <c r="I7" s="52">
        <v>0</v>
      </c>
      <c r="J7" s="52">
        <v>5.6794261807347701E-2</v>
      </c>
      <c r="K7" s="52">
        <v>1.9889069480294099</v>
      </c>
      <c r="L7" s="52">
        <v>37.3793356618677</v>
      </c>
      <c r="M7" s="52">
        <v>41.267485583524298</v>
      </c>
      <c r="N7" s="121">
        <v>204.291811305197</v>
      </c>
      <c r="O7" s="121">
        <v>103771.707015202</v>
      </c>
      <c r="P7" s="52">
        <v>60.594842652201002</v>
      </c>
      <c r="Q7" s="52">
        <v>81.9834885296615</v>
      </c>
      <c r="R7" s="52">
        <v>83634.959446018605</v>
      </c>
      <c r="S7" s="121">
        <v>129748.76387885</v>
      </c>
      <c r="T7" s="52">
        <v>39.461257924131097</v>
      </c>
      <c r="U7" s="52">
        <v>39.654141441299899</v>
      </c>
      <c r="V7" s="52">
        <v>33.8301232187371</v>
      </c>
      <c r="W7" s="52">
        <v>12.5960161369931</v>
      </c>
      <c r="X7" s="52">
        <v>0.21145611878776199</v>
      </c>
      <c r="Y7" s="52">
        <v>0.38136116140726301</v>
      </c>
      <c r="Z7" s="52">
        <v>0</v>
      </c>
      <c r="AA7" s="52">
        <v>40.915120567420999</v>
      </c>
      <c r="AB7" s="52">
        <v>40.998812949218099</v>
      </c>
      <c r="AC7" s="52">
        <v>30.901742274961499</v>
      </c>
      <c r="AD7" s="52">
        <v>40.759981108147898</v>
      </c>
      <c r="AE7" s="52">
        <v>36.108567260548497</v>
      </c>
      <c r="AF7" s="52">
        <v>55.4003690662921</v>
      </c>
      <c r="AG7" s="52">
        <v>11.168666666479799</v>
      </c>
      <c r="AH7" s="52">
        <v>6.3152930151581197</v>
      </c>
      <c r="AI7" s="52">
        <v>12.5305284050635</v>
      </c>
      <c r="AJ7" s="52">
        <v>29.5992113420686</v>
      </c>
      <c r="AK7" s="52">
        <v>42.514425482738098</v>
      </c>
      <c r="AL7" s="52">
        <v>43.284837696672597</v>
      </c>
      <c r="AM7" s="52">
        <v>49.7739313988764</v>
      </c>
      <c r="AN7" s="52">
        <v>0</v>
      </c>
      <c r="AO7" s="52">
        <v>8.7294578486531698E-3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</row>
    <row r="8" spans="1:254" ht="15.4">
      <c r="A8" s="12" t="s">
        <v>684</v>
      </c>
      <c r="B8" s="12" t="s">
        <v>690</v>
      </c>
      <c r="C8" s="121">
        <v>30900.745320294402</v>
      </c>
      <c r="D8" s="52">
        <v>45.096523569010898</v>
      </c>
      <c r="E8" s="52">
        <v>25.704973617214598</v>
      </c>
      <c r="F8" s="52">
        <v>524.08889511386803</v>
      </c>
      <c r="G8" s="121">
        <v>420932.36310233898</v>
      </c>
      <c r="H8" s="52">
        <v>84.225037350997994</v>
      </c>
      <c r="I8" s="52">
        <v>69.306772961815099</v>
      </c>
      <c r="J8" s="52">
        <v>0</v>
      </c>
      <c r="K8" s="52">
        <v>2.5983324354467499</v>
      </c>
      <c r="L8" s="52">
        <v>41.684984506934597</v>
      </c>
      <c r="M8" s="52">
        <v>44.382986009685702</v>
      </c>
      <c r="N8" s="121">
        <v>239.352950545082</v>
      </c>
      <c r="O8" s="121">
        <v>105275.017438065</v>
      </c>
      <c r="P8" s="52">
        <v>62.106089826736998</v>
      </c>
      <c r="Q8" s="52">
        <v>81.793685060643</v>
      </c>
      <c r="R8" s="52">
        <v>89814.903610499896</v>
      </c>
      <c r="S8" s="121">
        <v>153242.84045471501</v>
      </c>
      <c r="T8" s="52">
        <v>40.712400835436803</v>
      </c>
      <c r="U8" s="52">
        <v>42.637331094437101</v>
      </c>
      <c r="V8" s="52">
        <v>37.545600494067699</v>
      </c>
      <c r="W8" s="52">
        <v>12.7060700391875</v>
      </c>
      <c r="X8" s="52">
        <v>0.16093241463341801</v>
      </c>
      <c r="Y8" s="52">
        <v>0.53203300376348195</v>
      </c>
      <c r="Z8" s="52">
        <v>0.120794059003833</v>
      </c>
      <c r="AA8" s="52">
        <v>43.6931322524755</v>
      </c>
      <c r="AB8" s="52">
        <v>42.768421651495402</v>
      </c>
      <c r="AC8" s="52">
        <v>41.898326890220098</v>
      </c>
      <c r="AD8" s="52">
        <v>43.726937312529003</v>
      </c>
      <c r="AE8" s="52">
        <v>38.052986794511</v>
      </c>
      <c r="AF8" s="52">
        <v>56.312054885591898</v>
      </c>
      <c r="AG8" s="52">
        <v>14.8565503535731</v>
      </c>
      <c r="AH8" s="52">
        <v>14.071951996213301</v>
      </c>
      <c r="AI8" s="52">
        <v>13.802669730935399</v>
      </c>
      <c r="AJ8" s="52">
        <v>31.050616356585198</v>
      </c>
      <c r="AK8" s="52">
        <v>43.119432729083698</v>
      </c>
      <c r="AL8" s="52">
        <v>44.9808353559823</v>
      </c>
      <c r="AM8" s="52">
        <v>51.024437071651199</v>
      </c>
      <c r="AN8" s="52">
        <v>6.55879160425199E-3</v>
      </c>
      <c r="AO8" s="52">
        <v>8.7689764674870798E-3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</row>
    <row r="9" spans="1:254" ht="15.4">
      <c r="A9" s="12" t="s">
        <v>684</v>
      </c>
      <c r="B9" s="12" t="s">
        <v>691</v>
      </c>
      <c r="C9" s="121">
        <v>37873.543537100602</v>
      </c>
      <c r="D9" s="52">
        <v>60.433654653003998</v>
      </c>
      <c r="E9" s="52">
        <v>10.5523526944758</v>
      </c>
      <c r="F9" s="52">
        <v>352.01044612230402</v>
      </c>
      <c r="G9" s="121">
        <v>432645.96808377601</v>
      </c>
      <c r="H9" s="52">
        <v>115.021640596729</v>
      </c>
      <c r="I9" s="52">
        <v>20.342015221260301</v>
      </c>
      <c r="J9" s="52">
        <v>0.10759237458351199</v>
      </c>
      <c r="K9" s="52">
        <v>3.1371502146956298</v>
      </c>
      <c r="L9" s="52">
        <v>39.142766872654597</v>
      </c>
      <c r="M9" s="52">
        <v>42.1130041933421</v>
      </c>
      <c r="N9" s="121">
        <v>229.41547977271199</v>
      </c>
      <c r="O9" s="121">
        <v>103327.129560541</v>
      </c>
      <c r="P9" s="52">
        <v>82.259039212088197</v>
      </c>
      <c r="Q9" s="52">
        <v>99.385016396723003</v>
      </c>
      <c r="R9" s="52">
        <v>88091.128327902901</v>
      </c>
      <c r="S9" s="121">
        <v>138446.27376343301</v>
      </c>
      <c r="T9" s="52">
        <v>39.894676224717998</v>
      </c>
      <c r="U9" s="52">
        <v>38.545976632632303</v>
      </c>
      <c r="V9" s="52">
        <v>37.805864465242401</v>
      </c>
      <c r="W9" s="52">
        <v>14.377637487529601</v>
      </c>
      <c r="X9" s="52">
        <v>0.23859459411637801</v>
      </c>
      <c r="Y9" s="52">
        <v>0.35867571645933999</v>
      </c>
      <c r="Z9" s="52">
        <v>1.1609968423550701E-3</v>
      </c>
      <c r="AA9" s="52">
        <v>42.584890040079898</v>
      </c>
      <c r="AB9" s="52">
        <v>41.696304714758</v>
      </c>
      <c r="AC9" s="52">
        <v>21.809774662376402</v>
      </c>
      <c r="AD9" s="52">
        <v>39.5813183342988</v>
      </c>
      <c r="AE9" s="52">
        <v>34.155966546141897</v>
      </c>
      <c r="AF9" s="52">
        <v>54.299672528639199</v>
      </c>
      <c r="AG9" s="52">
        <v>12.815091221587201</v>
      </c>
      <c r="AH9" s="52">
        <v>0.64522972553381697</v>
      </c>
      <c r="AI9" s="52">
        <v>13.2177024411126</v>
      </c>
      <c r="AJ9" s="52">
        <v>31.187799168466299</v>
      </c>
      <c r="AK9" s="52">
        <v>43.495879165229603</v>
      </c>
      <c r="AL9" s="52">
        <v>44.300408137056003</v>
      </c>
      <c r="AM9" s="52">
        <v>51.011927902499401</v>
      </c>
      <c r="AN9" s="52">
        <v>8.4703506572260598E-3</v>
      </c>
      <c r="AO9" s="52">
        <v>3.54786482014504E-3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</row>
    <row r="10" spans="1:254" ht="15.4">
      <c r="A10" s="12" t="s">
        <v>684</v>
      </c>
      <c r="B10" s="12" t="s">
        <v>692</v>
      </c>
      <c r="C10" s="122">
        <v>36913.690786434199</v>
      </c>
      <c r="D10" s="53">
        <v>58.948179322485899</v>
      </c>
      <c r="E10" s="53">
        <v>10.234893689012001</v>
      </c>
      <c r="F10" s="53">
        <v>337.59528428808898</v>
      </c>
      <c r="G10" s="122">
        <v>421978.19965774601</v>
      </c>
      <c r="H10" s="53">
        <v>112.115387052156</v>
      </c>
      <c r="I10" s="53">
        <v>21.3342571168204</v>
      </c>
      <c r="J10" s="53">
        <v>0.10462131661117199</v>
      </c>
      <c r="K10" s="53">
        <v>3.0327035577268902</v>
      </c>
      <c r="L10" s="53">
        <v>37.987154846982001</v>
      </c>
      <c r="M10" s="53">
        <v>41.252672038198199</v>
      </c>
      <c r="N10" s="122">
        <v>225.40890835081299</v>
      </c>
      <c r="O10" s="122">
        <v>101056.16623174401</v>
      </c>
      <c r="P10" s="53">
        <v>81.315800723993306</v>
      </c>
      <c r="Q10" s="53">
        <v>97.959119484207307</v>
      </c>
      <c r="R10" s="53">
        <v>85699.366327365598</v>
      </c>
      <c r="S10" s="122">
        <v>154780.14586461801</v>
      </c>
      <c r="T10" s="53">
        <v>38.903922936772197</v>
      </c>
      <c r="U10" s="53">
        <v>37.565258188498902</v>
      </c>
      <c r="V10" s="53">
        <v>36.500150566207402</v>
      </c>
      <c r="W10" s="53">
        <v>13.502227130727601</v>
      </c>
      <c r="X10" s="53">
        <v>0.23569306382639699</v>
      </c>
      <c r="Y10" s="53">
        <v>0.34823460610118701</v>
      </c>
      <c r="Z10" s="53">
        <v>2.68211685058055E-3</v>
      </c>
      <c r="AA10" s="53">
        <v>41.375021061808802</v>
      </c>
      <c r="AB10" s="53">
        <v>40.377119991573402</v>
      </c>
      <c r="AC10" s="53">
        <v>22.4141534881384</v>
      </c>
      <c r="AD10" s="53">
        <v>38.5536786492898</v>
      </c>
      <c r="AE10" s="53">
        <v>33.153518867909199</v>
      </c>
      <c r="AF10" s="53">
        <v>52.776388725510003</v>
      </c>
      <c r="AG10" s="53">
        <v>12.4350950101952</v>
      </c>
      <c r="AH10" s="53">
        <v>0.63091376612835304</v>
      </c>
      <c r="AI10" s="53">
        <v>12.8912833167808</v>
      </c>
      <c r="AJ10" s="53">
        <v>30.524705633775302</v>
      </c>
      <c r="AK10" s="53">
        <v>40.660544125900302</v>
      </c>
      <c r="AL10" s="53">
        <v>42.9516314620072</v>
      </c>
      <c r="AM10" s="53">
        <v>49.328323052223602</v>
      </c>
      <c r="AN10" s="53">
        <v>8.2377010739719796E-3</v>
      </c>
      <c r="AO10" s="53">
        <v>3.3668436127978298E-3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</row>
    <row r="11" spans="1:254" ht="15.4">
      <c r="A11" s="12" t="s">
        <v>684</v>
      </c>
      <c r="B11" s="12" t="s">
        <v>693</v>
      </c>
      <c r="C11" s="122">
        <v>38417.036023907502</v>
      </c>
      <c r="D11" s="53">
        <v>57.272916738474798</v>
      </c>
      <c r="E11" s="53">
        <v>9.0091973136833801</v>
      </c>
      <c r="F11" s="53">
        <v>221.86963311794301</v>
      </c>
      <c r="G11" s="122">
        <v>409514.48217792</v>
      </c>
      <c r="H11" s="53">
        <v>126.785719030693</v>
      </c>
      <c r="I11" s="53">
        <v>15.4954199453028</v>
      </c>
      <c r="J11" s="53">
        <v>0.105295435723022</v>
      </c>
      <c r="K11" s="53">
        <v>2.64762137425324</v>
      </c>
      <c r="L11" s="53">
        <v>37.813803864560597</v>
      </c>
      <c r="M11" s="53">
        <v>42.553597833610397</v>
      </c>
      <c r="N11" s="122">
        <v>188.28054837320801</v>
      </c>
      <c r="O11" s="122">
        <v>106427.29808582</v>
      </c>
      <c r="P11" s="53">
        <v>70.676910166048998</v>
      </c>
      <c r="Q11" s="53">
        <v>98.736139927131205</v>
      </c>
      <c r="R11" s="53">
        <v>85240.898263382507</v>
      </c>
      <c r="S11" s="122">
        <v>160946.98344409099</v>
      </c>
      <c r="T11" s="53">
        <v>41.852285433465902</v>
      </c>
      <c r="U11" s="53">
        <v>41.741327670040597</v>
      </c>
      <c r="V11" s="53">
        <v>35.3438597561859</v>
      </c>
      <c r="W11" s="53">
        <v>10.580344039870299</v>
      </c>
      <c r="X11" s="53">
        <v>0.28341136262915201</v>
      </c>
      <c r="Y11" s="53">
        <v>0.30360997919101401</v>
      </c>
      <c r="Z11" s="53">
        <v>9.4726609939742197E-3</v>
      </c>
      <c r="AA11" s="53">
        <v>43.7432388525758</v>
      </c>
      <c r="AB11" s="53">
        <v>40.867677460845897</v>
      </c>
      <c r="AC11" s="53">
        <v>29.2806061379165</v>
      </c>
      <c r="AD11" s="53">
        <v>39.718629653454997</v>
      </c>
      <c r="AE11" s="53">
        <v>38.992534431467597</v>
      </c>
      <c r="AF11" s="53">
        <v>53.894261285310201</v>
      </c>
      <c r="AG11" s="53">
        <v>15.768618957144501</v>
      </c>
      <c r="AH11" s="53">
        <v>0.62234613120761495</v>
      </c>
      <c r="AI11" s="53">
        <v>12.5412621959275</v>
      </c>
      <c r="AJ11" s="53">
        <v>29.0655650344763</v>
      </c>
      <c r="AK11" s="53">
        <v>46.322426135898603</v>
      </c>
      <c r="AL11" s="53">
        <v>45.7734329127736</v>
      </c>
      <c r="AM11" s="53">
        <v>54.664435000985399</v>
      </c>
      <c r="AN11" s="53">
        <v>6.5883985100266404E-3</v>
      </c>
      <c r="AO11" s="53">
        <v>0.67926826621717695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</row>
    <row r="12" spans="1:254" ht="15.4">
      <c r="A12" s="12" t="s">
        <v>684</v>
      </c>
      <c r="B12" s="12" t="s">
        <v>694</v>
      </c>
      <c r="C12" s="122">
        <v>34269.491859953603</v>
      </c>
      <c r="D12" s="53">
        <v>38.184040164650099</v>
      </c>
      <c r="E12" s="53">
        <v>9.62991862843419</v>
      </c>
      <c r="F12" s="53">
        <v>204.023486564477</v>
      </c>
      <c r="G12" s="122">
        <v>409419.820989842</v>
      </c>
      <c r="H12" s="53">
        <v>75.471070154907196</v>
      </c>
      <c r="I12" s="53">
        <v>49.305646701603798</v>
      </c>
      <c r="J12" s="53">
        <v>4.7714631019538802E-2</v>
      </c>
      <c r="K12" s="53">
        <v>2.12607077554788</v>
      </c>
      <c r="L12" s="53">
        <v>41.226117435772402</v>
      </c>
      <c r="M12" s="53">
        <v>46.6078953923234</v>
      </c>
      <c r="N12" s="122">
        <v>206.15818612891201</v>
      </c>
      <c r="O12" s="122">
        <v>109834.237089488</v>
      </c>
      <c r="P12" s="53">
        <v>50.627601228425803</v>
      </c>
      <c r="Q12" s="53">
        <v>76.295400036600199</v>
      </c>
      <c r="R12" s="53">
        <v>100767.128555558</v>
      </c>
      <c r="S12" s="122">
        <v>146262.89638137599</v>
      </c>
      <c r="T12" s="53">
        <v>40.858278869296598</v>
      </c>
      <c r="U12" s="53">
        <v>40.415307867182598</v>
      </c>
      <c r="V12" s="53">
        <v>38.124628504846697</v>
      </c>
      <c r="W12" s="53">
        <v>14.484126540738901</v>
      </c>
      <c r="X12" s="53">
        <v>0.29781290409113398</v>
      </c>
      <c r="Y12" s="53">
        <v>0.30362313600114499</v>
      </c>
      <c r="Z12" s="53">
        <v>0</v>
      </c>
      <c r="AA12" s="53">
        <v>44.731737770406397</v>
      </c>
      <c r="AB12" s="53">
        <v>51.741254806895597</v>
      </c>
      <c r="AC12" s="53">
        <v>37.887151960927298</v>
      </c>
      <c r="AD12" s="53">
        <v>44.571531280842102</v>
      </c>
      <c r="AE12" s="53">
        <v>38.233833029244302</v>
      </c>
      <c r="AF12" s="53">
        <v>63.348133759870102</v>
      </c>
      <c r="AG12" s="53">
        <v>15.9125643621484</v>
      </c>
      <c r="AH12" s="53">
        <v>0.53753060140806397</v>
      </c>
      <c r="AI12" s="53">
        <v>14.879787597581201</v>
      </c>
      <c r="AJ12" s="53">
        <v>35.006149002919003</v>
      </c>
      <c r="AK12" s="53">
        <v>48.029460445317604</v>
      </c>
      <c r="AL12" s="53">
        <v>53.545054131927998</v>
      </c>
      <c r="AM12" s="53">
        <v>63.783681077083799</v>
      </c>
      <c r="AN12" s="53">
        <v>5.8670456180913502E-3</v>
      </c>
      <c r="AO12" s="53">
        <v>2.44612456390342E-2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</row>
    <row r="13" spans="1:254" ht="15.4">
      <c r="A13" s="12" t="s">
        <v>684</v>
      </c>
      <c r="B13" s="12" t="s">
        <v>695</v>
      </c>
      <c r="C13" s="122">
        <v>31427.555140629898</v>
      </c>
      <c r="D13" s="53">
        <v>39.338963233744103</v>
      </c>
      <c r="E13" s="53">
        <v>9.9890640324193907</v>
      </c>
      <c r="F13" s="53">
        <v>295.38861324393702</v>
      </c>
      <c r="G13" s="122">
        <v>422347.28787659103</v>
      </c>
      <c r="H13" s="53">
        <v>91.447599854289095</v>
      </c>
      <c r="I13" s="53">
        <v>11.4167250649585</v>
      </c>
      <c r="J13" s="53">
        <v>0</v>
      </c>
      <c r="K13" s="53">
        <v>2.84678853113649</v>
      </c>
      <c r="L13" s="53">
        <v>45.3452754291446</v>
      </c>
      <c r="M13" s="53">
        <v>49.8322885403825</v>
      </c>
      <c r="N13" s="122">
        <v>229.367417221528</v>
      </c>
      <c r="O13" s="122">
        <v>110650.950946953</v>
      </c>
      <c r="P13" s="53">
        <v>60.786340892092603</v>
      </c>
      <c r="Q13" s="53">
        <v>84.310229368812102</v>
      </c>
      <c r="R13" s="53">
        <v>95727.608654419993</v>
      </c>
      <c r="S13" s="122">
        <v>140316.57215780899</v>
      </c>
      <c r="T13" s="53">
        <v>45.662308777932601</v>
      </c>
      <c r="U13" s="53">
        <v>41.501900384286699</v>
      </c>
      <c r="V13" s="53">
        <v>40.415342231317403</v>
      </c>
      <c r="W13" s="53">
        <v>12.4594096873528</v>
      </c>
      <c r="X13" s="53">
        <v>0.134742466886629</v>
      </c>
      <c r="Y13" s="53">
        <v>0.37895819717913498</v>
      </c>
      <c r="Z13" s="53">
        <v>7.3861733479629902E-3</v>
      </c>
      <c r="AA13" s="53">
        <v>42.800847343467602</v>
      </c>
      <c r="AB13" s="53">
        <v>43.3962646369054</v>
      </c>
      <c r="AC13" s="53">
        <v>26.2347039233624</v>
      </c>
      <c r="AD13" s="53">
        <v>42.129235328219401</v>
      </c>
      <c r="AE13" s="53">
        <v>36.451699066649802</v>
      </c>
      <c r="AF13" s="53">
        <v>61.083724975619802</v>
      </c>
      <c r="AG13" s="53">
        <v>13.8220463015388</v>
      </c>
      <c r="AH13" s="53">
        <v>0.60239550768811401</v>
      </c>
      <c r="AI13" s="53">
        <v>16.058585643145801</v>
      </c>
      <c r="AJ13" s="53">
        <v>33.0003225794933</v>
      </c>
      <c r="AK13" s="53">
        <v>44.611480121360302</v>
      </c>
      <c r="AL13" s="53">
        <v>48.679771175191298</v>
      </c>
      <c r="AM13" s="53">
        <v>60.511999752855999</v>
      </c>
      <c r="AN13" s="53">
        <v>9.0714725540891692E-3</v>
      </c>
      <c r="AO13" s="53">
        <v>3.72243868919925E-3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</row>
    <row r="14" spans="1:254" ht="15.4">
      <c r="A14" s="12" t="s">
        <v>684</v>
      </c>
      <c r="B14" s="12" t="s">
        <v>696</v>
      </c>
      <c r="C14" s="122">
        <v>28785.592534056999</v>
      </c>
      <c r="D14" s="53">
        <v>41.570147851608098</v>
      </c>
      <c r="E14" s="53">
        <v>8.9208816656753793</v>
      </c>
      <c r="F14" s="53">
        <v>274.31138711620002</v>
      </c>
      <c r="G14" s="122">
        <v>414799.43683903501</v>
      </c>
      <c r="H14" s="53">
        <v>74.413124353060795</v>
      </c>
      <c r="I14" s="53">
        <v>0</v>
      </c>
      <c r="J14" s="53">
        <v>2.3884919453938599E-2</v>
      </c>
      <c r="K14" s="53">
        <v>3.6871018157165198</v>
      </c>
      <c r="L14" s="53">
        <v>38.153784423467997</v>
      </c>
      <c r="M14" s="53">
        <v>44.276434647880798</v>
      </c>
      <c r="N14" s="122">
        <v>217.158362813753</v>
      </c>
      <c r="O14" s="122">
        <v>105966.61410761499</v>
      </c>
      <c r="P14" s="53">
        <v>61.168042020898703</v>
      </c>
      <c r="Q14" s="53">
        <v>85.223468195322496</v>
      </c>
      <c r="R14" s="53">
        <v>99783.740259721904</v>
      </c>
      <c r="S14" s="122">
        <v>151201.675681769</v>
      </c>
      <c r="T14" s="53">
        <v>41.0848989506081</v>
      </c>
      <c r="U14" s="53">
        <v>42.543859150357797</v>
      </c>
      <c r="V14" s="53">
        <v>37.229841950030298</v>
      </c>
      <c r="W14" s="53">
        <v>14.1451292527757</v>
      </c>
      <c r="X14" s="53">
        <v>0.119568553818815</v>
      </c>
      <c r="Y14" s="53">
        <v>0.28232862701386102</v>
      </c>
      <c r="Z14" s="53">
        <v>4.5083891749403901E-2</v>
      </c>
      <c r="AA14" s="53">
        <v>44.434827712127998</v>
      </c>
      <c r="AB14" s="53">
        <v>47.5624188111235</v>
      </c>
      <c r="AC14" s="53">
        <v>25.316264790536401</v>
      </c>
      <c r="AD14" s="53">
        <v>40.401289365449003</v>
      </c>
      <c r="AE14" s="53">
        <v>41.628612592114102</v>
      </c>
      <c r="AF14" s="53">
        <v>63.973396913024402</v>
      </c>
      <c r="AG14" s="53">
        <v>14.3994847008811</v>
      </c>
      <c r="AH14" s="53">
        <v>0.76676299479464705</v>
      </c>
      <c r="AI14" s="53">
        <v>14.488749546428201</v>
      </c>
      <c r="AJ14" s="53">
        <v>35.947519085850601</v>
      </c>
      <c r="AK14" s="53">
        <v>45.480006795918797</v>
      </c>
      <c r="AL14" s="53">
        <v>48.332493690321698</v>
      </c>
      <c r="AM14" s="53">
        <v>55.762654387175402</v>
      </c>
      <c r="AN14" s="53">
        <v>7.9277665098185596E-2</v>
      </c>
      <c r="AO14" s="53">
        <v>9.4885516429275701E-3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</row>
    <row r="15" spans="1:254" ht="15.4">
      <c r="A15" s="12" t="s">
        <v>684</v>
      </c>
      <c r="B15" s="12" t="s">
        <v>697</v>
      </c>
      <c r="C15" s="122">
        <v>29736.5473422988</v>
      </c>
      <c r="D15" s="53">
        <v>37.890419598074097</v>
      </c>
      <c r="E15" s="53">
        <v>12.9421711357941</v>
      </c>
      <c r="F15" s="53">
        <v>509.10832782040899</v>
      </c>
      <c r="G15" s="122">
        <v>424396.47379655502</v>
      </c>
      <c r="H15" s="53">
        <v>57.087660608609397</v>
      </c>
      <c r="I15" s="53">
        <v>0</v>
      </c>
      <c r="J15" s="53">
        <v>8.7543681616361904E-2</v>
      </c>
      <c r="K15" s="53">
        <v>2.2539159187711402</v>
      </c>
      <c r="L15" s="53">
        <v>42.1537403188374</v>
      </c>
      <c r="M15" s="53">
        <v>48.0345330795828</v>
      </c>
      <c r="N15" s="122">
        <v>247.487933765832</v>
      </c>
      <c r="O15" s="122">
        <v>110491.486257557</v>
      </c>
      <c r="P15" s="53">
        <v>55.834068258316201</v>
      </c>
      <c r="Q15" s="53">
        <v>86.032173122303902</v>
      </c>
      <c r="R15" s="53">
        <v>92232.288535312502</v>
      </c>
      <c r="S15" s="122">
        <v>143421.86662102499</v>
      </c>
      <c r="T15" s="53">
        <v>44.583040638211699</v>
      </c>
      <c r="U15" s="53">
        <v>39.041717351879299</v>
      </c>
      <c r="V15" s="53">
        <v>40.812717219668798</v>
      </c>
      <c r="W15" s="53">
        <v>12.287398110122</v>
      </c>
      <c r="X15" s="53">
        <v>0.12705635006865301</v>
      </c>
      <c r="Y15" s="53">
        <v>0.38603969061391402</v>
      </c>
      <c r="Z15" s="53">
        <v>1.38056562161963E-2</v>
      </c>
      <c r="AA15" s="53">
        <v>41.4742024288186</v>
      </c>
      <c r="AB15" s="53">
        <v>45.870972575080401</v>
      </c>
      <c r="AC15" s="53">
        <v>27.4900462833725</v>
      </c>
      <c r="AD15" s="53">
        <v>45.133028018193102</v>
      </c>
      <c r="AE15" s="53">
        <v>39.2821541726031</v>
      </c>
      <c r="AF15" s="53">
        <v>56.6595912349297</v>
      </c>
      <c r="AG15" s="53">
        <v>14.329764127933601</v>
      </c>
      <c r="AH15" s="53">
        <v>3.07452928058609</v>
      </c>
      <c r="AI15" s="53">
        <v>15.1751027121798</v>
      </c>
      <c r="AJ15" s="53">
        <v>34.396666016047902</v>
      </c>
      <c r="AK15" s="53">
        <v>47.887306479070801</v>
      </c>
      <c r="AL15" s="53">
        <v>51.926674334920897</v>
      </c>
      <c r="AM15" s="53">
        <v>62.459539255915502</v>
      </c>
      <c r="AN15" s="53">
        <v>0</v>
      </c>
      <c r="AO15" s="53">
        <v>1.3608007027361599E-2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</row>
    <row r="16" spans="1:254" ht="15.4">
      <c r="A16" s="12" t="s">
        <v>684</v>
      </c>
      <c r="B16" s="12" t="s">
        <v>698</v>
      </c>
      <c r="C16" s="122">
        <v>28957.138133391902</v>
      </c>
      <c r="D16" s="53">
        <v>41.239776453304103</v>
      </c>
      <c r="E16" s="53">
        <v>11.770540816310399</v>
      </c>
      <c r="F16" s="53">
        <v>344.98728020436999</v>
      </c>
      <c r="G16" s="122">
        <v>425674.20852637303</v>
      </c>
      <c r="H16" s="53">
        <v>43.589486873561597</v>
      </c>
      <c r="I16" s="53">
        <v>1.66272915542535</v>
      </c>
      <c r="J16" s="53">
        <v>0</v>
      </c>
      <c r="K16" s="53">
        <v>3.2978158267108402</v>
      </c>
      <c r="L16" s="53">
        <v>45.546327831135798</v>
      </c>
      <c r="M16" s="53">
        <v>47.221682326143302</v>
      </c>
      <c r="N16" s="122">
        <v>263.24932868480198</v>
      </c>
      <c r="O16" s="122">
        <v>110279.362213017</v>
      </c>
      <c r="P16" s="53">
        <v>62.558011601239699</v>
      </c>
      <c r="Q16" s="53">
        <v>85.348108979976104</v>
      </c>
      <c r="R16" s="53">
        <v>94593.370321988201</v>
      </c>
      <c r="S16" s="122">
        <v>140907.596441626</v>
      </c>
      <c r="T16" s="53">
        <v>44.979612686436496</v>
      </c>
      <c r="U16" s="53">
        <v>45.587276934744203</v>
      </c>
      <c r="V16" s="53">
        <v>41.605020285370003</v>
      </c>
      <c r="W16" s="53">
        <v>13.6176568532243</v>
      </c>
      <c r="X16" s="53">
        <v>0.114722880572105</v>
      </c>
      <c r="Y16" s="53">
        <v>0.39215001052100901</v>
      </c>
      <c r="Z16" s="53">
        <v>6.5039240987995002E-3</v>
      </c>
      <c r="AA16" s="53">
        <v>50.004244202422399</v>
      </c>
      <c r="AB16" s="53">
        <v>49.149038724527301</v>
      </c>
      <c r="AC16" s="53">
        <v>21.0579057596829</v>
      </c>
      <c r="AD16" s="53">
        <v>44.755768965208702</v>
      </c>
      <c r="AE16" s="53">
        <v>40.370781135568102</v>
      </c>
      <c r="AF16" s="53">
        <v>66.140694570601894</v>
      </c>
      <c r="AG16" s="53">
        <v>13.9877067214383</v>
      </c>
      <c r="AH16" s="53">
        <v>1.95254999441278</v>
      </c>
      <c r="AI16" s="53">
        <v>15.023214364413301</v>
      </c>
      <c r="AJ16" s="53">
        <v>32.193836328095102</v>
      </c>
      <c r="AK16" s="53">
        <v>44.953153009114502</v>
      </c>
      <c r="AL16" s="53">
        <v>50.385639360007303</v>
      </c>
      <c r="AM16" s="53">
        <v>61.5718343769013</v>
      </c>
      <c r="AN16" s="53">
        <v>3.1724319031834398E-3</v>
      </c>
      <c r="AO16" s="53">
        <v>7.9133248014397303E-4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</row>
    <row r="17" spans="1:254" ht="15.4">
      <c r="A17" s="12" t="s">
        <v>684</v>
      </c>
      <c r="B17" s="12" t="s">
        <v>699</v>
      </c>
      <c r="C17" s="122">
        <v>29675.626582328801</v>
      </c>
      <c r="D17" s="53">
        <v>35.572496669229999</v>
      </c>
      <c r="E17" s="53">
        <v>9.4930666428786807</v>
      </c>
      <c r="F17" s="53">
        <v>128.31166773963301</v>
      </c>
      <c r="G17" s="122">
        <v>428983.47009606898</v>
      </c>
      <c r="H17" s="53">
        <v>62.374258000799699</v>
      </c>
      <c r="I17" s="53">
        <v>11.565102688190301</v>
      </c>
      <c r="J17" s="53">
        <v>0.15744477729106801</v>
      </c>
      <c r="K17" s="53">
        <v>2.6732775591485201</v>
      </c>
      <c r="L17" s="53">
        <v>41.392098420406697</v>
      </c>
      <c r="M17" s="53">
        <v>46.420509642298498</v>
      </c>
      <c r="N17" s="122">
        <v>214.33483177272601</v>
      </c>
      <c r="O17" s="122">
        <v>107444.82114403301</v>
      </c>
      <c r="P17" s="53">
        <v>51.589112346437403</v>
      </c>
      <c r="Q17" s="53">
        <v>71.695159724744599</v>
      </c>
      <c r="R17" s="53">
        <v>90686.053833718004</v>
      </c>
      <c r="S17" s="122">
        <v>143890.89833311201</v>
      </c>
      <c r="T17" s="53">
        <v>44.478944818898498</v>
      </c>
      <c r="U17" s="53">
        <v>42.731294382692198</v>
      </c>
      <c r="V17" s="53">
        <v>42.678862486060702</v>
      </c>
      <c r="W17" s="53">
        <v>12.4026442134438</v>
      </c>
      <c r="X17" s="53">
        <v>8.8856209737846803E-2</v>
      </c>
      <c r="Y17" s="53">
        <v>0.33515653221951602</v>
      </c>
      <c r="Z17" s="53">
        <v>1.45411470751116E-2</v>
      </c>
      <c r="AA17" s="53">
        <v>46.044887187038398</v>
      </c>
      <c r="AB17" s="53">
        <v>45.9291556501881</v>
      </c>
      <c r="AC17" s="53">
        <v>35.394688593294298</v>
      </c>
      <c r="AD17" s="53">
        <v>44.941855246543597</v>
      </c>
      <c r="AE17" s="53">
        <v>38.744215127561098</v>
      </c>
      <c r="AF17" s="53">
        <v>62.039575646798497</v>
      </c>
      <c r="AG17" s="53">
        <v>15.494165001611</v>
      </c>
      <c r="AH17" s="53">
        <v>0.58444777866285003</v>
      </c>
      <c r="AI17" s="53">
        <v>14.399174829344201</v>
      </c>
      <c r="AJ17" s="53">
        <v>31.452516153542899</v>
      </c>
      <c r="AK17" s="53">
        <v>49.349292651560702</v>
      </c>
      <c r="AL17" s="53">
        <v>52.7835504315821</v>
      </c>
      <c r="AM17" s="53">
        <v>63.660417491845003</v>
      </c>
      <c r="AN17" s="53">
        <v>0</v>
      </c>
      <c r="AO17" s="53">
        <v>2.7431764778887801E-3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</row>
    <row r="18" spans="1:254" ht="15.4">
      <c r="A18" s="12" t="s">
        <v>684</v>
      </c>
      <c r="B18" s="12" t="s">
        <v>700</v>
      </c>
      <c r="C18" s="122">
        <v>32908.705387393296</v>
      </c>
      <c r="D18" s="53">
        <v>41.232821940952597</v>
      </c>
      <c r="E18" s="53">
        <v>9.8462821210041902</v>
      </c>
      <c r="F18" s="53">
        <v>231.65114351051901</v>
      </c>
      <c r="G18" s="122">
        <v>420304.75280511798</v>
      </c>
      <c r="H18" s="53">
        <v>88.489764314362404</v>
      </c>
      <c r="I18" s="53">
        <v>0</v>
      </c>
      <c r="J18" s="53">
        <v>0</v>
      </c>
      <c r="K18" s="53">
        <v>2.3336175087107098</v>
      </c>
      <c r="L18" s="53">
        <v>42.471091845936698</v>
      </c>
      <c r="M18" s="53">
        <v>49.6623099651177</v>
      </c>
      <c r="N18" s="122">
        <v>220.177312950295</v>
      </c>
      <c r="O18" s="122">
        <v>113744.062232282</v>
      </c>
      <c r="P18" s="53">
        <v>57.356064065287001</v>
      </c>
      <c r="Q18" s="53">
        <v>89.328614951099397</v>
      </c>
      <c r="R18" s="53">
        <v>95218.838516128904</v>
      </c>
      <c r="S18" s="122">
        <v>138360.76861008399</v>
      </c>
      <c r="T18" s="53">
        <v>46.036399309288598</v>
      </c>
      <c r="U18" s="53">
        <v>39.610422471996799</v>
      </c>
      <c r="V18" s="53">
        <v>43.4920240289158</v>
      </c>
      <c r="W18" s="53">
        <v>14.174843780984901</v>
      </c>
      <c r="X18" s="53">
        <v>0.104935303948063</v>
      </c>
      <c r="Y18" s="53">
        <v>0.35203113100644101</v>
      </c>
      <c r="Z18" s="53">
        <v>1.10106049006321E-2</v>
      </c>
      <c r="AA18" s="53">
        <v>46.746076743357101</v>
      </c>
      <c r="AB18" s="53">
        <v>48.478652238678002</v>
      </c>
      <c r="AC18" s="53">
        <v>24.663382234324001</v>
      </c>
      <c r="AD18" s="53">
        <v>45.266568346481698</v>
      </c>
      <c r="AE18" s="53">
        <v>42.343709989236103</v>
      </c>
      <c r="AF18" s="53">
        <v>58.938307668937597</v>
      </c>
      <c r="AG18" s="53">
        <v>14.316633377217901</v>
      </c>
      <c r="AH18" s="53">
        <v>0.98911903983987604</v>
      </c>
      <c r="AI18" s="53">
        <v>14.6612391160933</v>
      </c>
      <c r="AJ18" s="53">
        <v>33.329418290605901</v>
      </c>
      <c r="AK18" s="53">
        <v>49.360253633757203</v>
      </c>
      <c r="AL18" s="53">
        <v>48.594382267796803</v>
      </c>
      <c r="AM18" s="53">
        <v>58.836701355776597</v>
      </c>
      <c r="AN18" s="53">
        <v>9.6195240955398199E-3</v>
      </c>
      <c r="AO18" s="53">
        <v>7.6953628291127098E-3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</row>
    <row r="19" spans="1:254" ht="15.4">
      <c r="A19" s="12" t="s">
        <v>684</v>
      </c>
      <c r="B19" s="12" t="s">
        <v>701</v>
      </c>
      <c r="C19" s="121">
        <v>24699.969189680301</v>
      </c>
      <c r="D19" s="52">
        <v>43.151719848934</v>
      </c>
      <c r="E19" s="52">
        <v>56.699138797885098</v>
      </c>
      <c r="F19" s="52">
        <v>442.16956842805098</v>
      </c>
      <c r="G19" s="121">
        <v>304607.35867000598</v>
      </c>
      <c r="H19" s="52">
        <v>2926.3316859700399</v>
      </c>
      <c r="I19" s="52">
        <v>101.717343617157</v>
      </c>
      <c r="J19" s="52">
        <v>0</v>
      </c>
      <c r="K19" s="52">
        <v>9.6886144251317408</v>
      </c>
      <c r="L19" s="52">
        <v>48.3011535186833</v>
      </c>
      <c r="M19" s="52">
        <v>57.634618074847701</v>
      </c>
      <c r="N19" s="121">
        <v>114.947194438297</v>
      </c>
      <c r="O19" s="121">
        <v>133013.36861838601</v>
      </c>
      <c r="P19" s="52">
        <v>34.429779380193999</v>
      </c>
      <c r="Q19" s="52">
        <v>116.47877778851699</v>
      </c>
      <c r="R19" s="52">
        <v>136848.84780965</v>
      </c>
      <c r="S19" s="121">
        <v>197973.78128198301</v>
      </c>
      <c r="T19" s="52">
        <v>54.371517083601901</v>
      </c>
      <c r="U19" s="52">
        <v>62.993942250704897</v>
      </c>
      <c r="V19" s="52">
        <v>56.275655543827398</v>
      </c>
      <c r="W19" s="52">
        <v>28.655841901753501</v>
      </c>
      <c r="X19" s="52">
        <v>2.8258189722078302</v>
      </c>
      <c r="Y19" s="52">
        <v>1.15445060041742</v>
      </c>
      <c r="Z19" s="52">
        <v>3.9121280914557299E-2</v>
      </c>
      <c r="AA19" s="52">
        <v>64.933801809683104</v>
      </c>
      <c r="AB19" s="52">
        <v>66.031513365532504</v>
      </c>
      <c r="AC19" s="52">
        <v>57.185453198353798</v>
      </c>
      <c r="AD19" s="52">
        <v>55.491211137833098</v>
      </c>
      <c r="AE19" s="52">
        <v>59.795866530281302</v>
      </c>
      <c r="AF19" s="52">
        <v>85.793657477026798</v>
      </c>
      <c r="AG19" s="52">
        <v>25.170625360172899</v>
      </c>
      <c r="AH19" s="52">
        <v>2.2661235324095199</v>
      </c>
      <c r="AI19" s="52">
        <v>21.485543954207099</v>
      </c>
      <c r="AJ19" s="52">
        <v>41.243455985272597</v>
      </c>
      <c r="AK19" s="52">
        <v>63.9374769155934</v>
      </c>
      <c r="AL19" s="52">
        <v>70.730303802714204</v>
      </c>
      <c r="AM19" s="52">
        <v>84.720714728039894</v>
      </c>
      <c r="AN19" s="52">
        <v>1.03110862042399E-2</v>
      </c>
      <c r="AO19" s="52">
        <v>1.2429491122752399E-2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</row>
    <row r="20" spans="1:254" ht="15.4">
      <c r="A20" s="12" t="s">
        <v>684</v>
      </c>
      <c r="B20" s="12" t="s">
        <v>702</v>
      </c>
      <c r="C20" s="121">
        <v>26483.701892155001</v>
      </c>
      <c r="D20" s="52">
        <v>39.619529268503001</v>
      </c>
      <c r="E20" s="52">
        <v>29.6873289719606</v>
      </c>
      <c r="F20" s="52">
        <v>274.76872228005698</v>
      </c>
      <c r="G20" s="121">
        <v>350336.81727111101</v>
      </c>
      <c r="H20" s="52">
        <v>2231.0705155976102</v>
      </c>
      <c r="I20" s="52">
        <v>531.75466324304</v>
      </c>
      <c r="J20" s="52">
        <v>4.4669197672457799E-2</v>
      </c>
      <c r="K20" s="52">
        <v>6.1125913159213496</v>
      </c>
      <c r="L20" s="52">
        <v>47.489634247982501</v>
      </c>
      <c r="M20" s="52">
        <v>48.855466623771598</v>
      </c>
      <c r="N20" s="121">
        <v>95.293764666765696</v>
      </c>
      <c r="O20" s="121">
        <v>115427.42139109899</v>
      </c>
      <c r="P20" s="52">
        <v>33.094182638932701</v>
      </c>
      <c r="Q20" s="52">
        <v>101.27301562308899</v>
      </c>
      <c r="R20" s="52">
        <v>103325.527315798</v>
      </c>
      <c r="S20" s="121">
        <v>202121.821408127</v>
      </c>
      <c r="T20" s="52">
        <v>56.874203288944102</v>
      </c>
      <c r="U20" s="52">
        <v>62.728369499764497</v>
      </c>
      <c r="V20" s="52">
        <v>53.328539059851401</v>
      </c>
      <c r="W20" s="52">
        <v>30.977564576007101</v>
      </c>
      <c r="X20" s="52">
        <v>2.1053216036503799</v>
      </c>
      <c r="Y20" s="52">
        <v>1.2936992385609301</v>
      </c>
      <c r="Z20" s="52">
        <v>2.7723405370565699E-2</v>
      </c>
      <c r="AA20" s="52">
        <v>62.039158224690702</v>
      </c>
      <c r="AB20" s="52">
        <v>57.677715268052303</v>
      </c>
      <c r="AC20" s="52">
        <v>57.018003529232601</v>
      </c>
      <c r="AD20" s="52">
        <v>52.132002723488597</v>
      </c>
      <c r="AE20" s="52">
        <v>57.960132733107898</v>
      </c>
      <c r="AF20" s="52">
        <v>81.658160856061301</v>
      </c>
      <c r="AG20" s="52">
        <v>19.750780897298</v>
      </c>
      <c r="AH20" s="52">
        <v>1.7892219872134301</v>
      </c>
      <c r="AI20" s="52">
        <v>19.2616582006426</v>
      </c>
      <c r="AJ20" s="52">
        <v>42.536238859016201</v>
      </c>
      <c r="AK20" s="52">
        <v>58.489458841551503</v>
      </c>
      <c r="AL20" s="52">
        <v>68.402006431713204</v>
      </c>
      <c r="AM20" s="52">
        <v>79.576187483737996</v>
      </c>
      <c r="AN20" s="52">
        <v>1.3613488859498099E-2</v>
      </c>
      <c r="AO20" s="52">
        <v>6.8778375465746002E-3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</row>
    <row r="21" spans="1:254" ht="15.4">
      <c r="A21" s="12" t="s">
        <v>684</v>
      </c>
      <c r="B21" s="12" t="s">
        <v>703</v>
      </c>
      <c r="C21" s="121">
        <v>22864.596189821299</v>
      </c>
      <c r="D21" s="52">
        <v>44.392614449822098</v>
      </c>
      <c r="E21" s="52">
        <v>39.4539692104957</v>
      </c>
      <c r="F21" s="52">
        <v>290.58743109430901</v>
      </c>
      <c r="G21" s="121">
        <v>334730.28841817199</v>
      </c>
      <c r="H21" s="52">
        <v>3138.7645394974902</v>
      </c>
      <c r="I21" s="52">
        <v>190.68700529431399</v>
      </c>
      <c r="J21" s="52">
        <v>6.2116082160899602E-2</v>
      </c>
      <c r="K21" s="52">
        <v>6.4897159433908396</v>
      </c>
      <c r="L21" s="52">
        <v>50.408573740847601</v>
      </c>
      <c r="M21" s="52">
        <v>58.264958413982903</v>
      </c>
      <c r="N21" s="121">
        <v>99.253661419388095</v>
      </c>
      <c r="O21" s="121">
        <v>127310.308406032</v>
      </c>
      <c r="P21" s="52">
        <v>29.3069197367778</v>
      </c>
      <c r="Q21" s="52">
        <v>128.41417269864499</v>
      </c>
      <c r="R21" s="52">
        <v>105004.991447072</v>
      </c>
      <c r="S21" s="121">
        <v>207110.20673698801</v>
      </c>
      <c r="T21" s="52">
        <v>54.617056748596198</v>
      </c>
      <c r="U21" s="52">
        <v>64.043252090141095</v>
      </c>
      <c r="V21" s="52">
        <v>59.724729107804997</v>
      </c>
      <c r="W21" s="52">
        <v>34.409074797146303</v>
      </c>
      <c r="X21" s="52">
        <v>2.70683493187776</v>
      </c>
      <c r="Y21" s="52">
        <v>1.5281463124205601</v>
      </c>
      <c r="Z21" s="52">
        <v>2.3684744693346301E-2</v>
      </c>
      <c r="AA21" s="52">
        <v>68.812186579288706</v>
      </c>
      <c r="AB21" s="52">
        <v>63.618472159124501</v>
      </c>
      <c r="AC21" s="52">
        <v>54.784402845924603</v>
      </c>
      <c r="AD21" s="52">
        <v>62.829629710590297</v>
      </c>
      <c r="AE21" s="52">
        <v>52.826050660774897</v>
      </c>
      <c r="AF21" s="52">
        <v>84.958540178452793</v>
      </c>
      <c r="AG21" s="52">
        <v>21.235031138860801</v>
      </c>
      <c r="AH21" s="52">
        <v>2.4502279298878702</v>
      </c>
      <c r="AI21" s="52">
        <v>20.110709513180801</v>
      </c>
      <c r="AJ21" s="52">
        <v>39.940157740021803</v>
      </c>
      <c r="AK21" s="52">
        <v>57.117644354835797</v>
      </c>
      <c r="AL21" s="52">
        <v>74.898266670117096</v>
      </c>
      <c r="AM21" s="52">
        <v>82.877385736513901</v>
      </c>
      <c r="AN21" s="52">
        <v>3.5646272522729E-3</v>
      </c>
      <c r="AO21" s="52">
        <v>8.0757546531091302E-3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</row>
    <row r="22" spans="1:254" ht="15.4">
      <c r="A22" s="12" t="s">
        <v>684</v>
      </c>
      <c r="B22" s="12" t="s">
        <v>704</v>
      </c>
      <c r="C22" s="121">
        <v>25420.516425876602</v>
      </c>
      <c r="D22" s="52">
        <v>33.932584640527701</v>
      </c>
      <c r="E22" s="52">
        <v>36.222050300323303</v>
      </c>
      <c r="F22" s="52">
        <v>26.160835829306301</v>
      </c>
      <c r="G22" s="121">
        <v>334641.58175641001</v>
      </c>
      <c r="H22" s="52">
        <v>2548.4666486934698</v>
      </c>
      <c r="I22" s="52">
        <v>231.938661916424</v>
      </c>
      <c r="J22" s="52">
        <v>0</v>
      </c>
      <c r="K22" s="52">
        <v>2.7988081428111098</v>
      </c>
      <c r="L22" s="52">
        <v>52.681289414461602</v>
      </c>
      <c r="M22" s="52">
        <v>54.5119932893803</v>
      </c>
      <c r="N22" s="121">
        <v>108.72501945925799</v>
      </c>
      <c r="O22" s="121">
        <v>137295.24146632099</v>
      </c>
      <c r="P22" s="52">
        <v>28.814923399648102</v>
      </c>
      <c r="Q22" s="52">
        <v>85.957224039043197</v>
      </c>
      <c r="R22" s="52">
        <v>118546.577936313</v>
      </c>
      <c r="S22" s="121">
        <v>181992.43152876999</v>
      </c>
      <c r="T22" s="52">
        <v>58.139216630507697</v>
      </c>
      <c r="U22" s="52">
        <v>62.087889647852201</v>
      </c>
      <c r="V22" s="52">
        <v>53.828081143617602</v>
      </c>
      <c r="W22" s="52">
        <v>27.861361312489699</v>
      </c>
      <c r="X22" s="52">
        <v>2.2402227114875202</v>
      </c>
      <c r="Y22" s="52">
        <v>1.6717067586715599</v>
      </c>
      <c r="Z22" s="52">
        <v>5.4392797305318097E-2</v>
      </c>
      <c r="AA22" s="52">
        <v>65.397536227286196</v>
      </c>
      <c r="AB22" s="52">
        <v>63.064986127429002</v>
      </c>
      <c r="AC22" s="52">
        <v>56.438175971382101</v>
      </c>
      <c r="AD22" s="52">
        <v>60.6880642881246</v>
      </c>
      <c r="AE22" s="52">
        <v>55.262385565297201</v>
      </c>
      <c r="AF22" s="52">
        <v>89.966486253195001</v>
      </c>
      <c r="AG22" s="52">
        <v>18.6259077152082</v>
      </c>
      <c r="AH22" s="52">
        <v>1.4976048937272799</v>
      </c>
      <c r="AI22" s="52">
        <v>20.821863054278101</v>
      </c>
      <c r="AJ22" s="52">
        <v>42.9054290547476</v>
      </c>
      <c r="AK22" s="52">
        <v>62.278816585342199</v>
      </c>
      <c r="AL22" s="52">
        <v>69.715981669955895</v>
      </c>
      <c r="AM22" s="52">
        <v>80.874107479849698</v>
      </c>
      <c r="AN22" s="52">
        <v>1.13010301269015E-2</v>
      </c>
      <c r="AO22" s="52">
        <v>9.3302671330765703E-3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</row>
    <row r="23" spans="1:254" ht="15.4">
      <c r="A23" s="12" t="s">
        <v>684</v>
      </c>
      <c r="B23" s="12" t="s">
        <v>705</v>
      </c>
      <c r="C23" s="121">
        <v>25004.458204632501</v>
      </c>
      <c r="D23" s="52">
        <v>30.582872205318299</v>
      </c>
      <c r="E23" s="52">
        <v>33.201216535147303</v>
      </c>
      <c r="F23" s="52">
        <v>173.846561649959</v>
      </c>
      <c r="G23" s="121">
        <v>341732.69000628998</v>
      </c>
      <c r="H23" s="52">
        <v>2286.62099730923</v>
      </c>
      <c r="I23" s="52">
        <v>208.19429815805799</v>
      </c>
      <c r="J23" s="52">
        <v>7.3711474801721397E-3</v>
      </c>
      <c r="K23" s="52">
        <v>3.9550708190304</v>
      </c>
      <c r="L23" s="52">
        <v>49.891408275782702</v>
      </c>
      <c r="M23" s="52">
        <v>52.390632497986097</v>
      </c>
      <c r="N23" s="121">
        <v>97.927274414437505</v>
      </c>
      <c r="O23" s="121">
        <v>132464.46344566401</v>
      </c>
      <c r="P23" s="52">
        <v>29.794237201827499</v>
      </c>
      <c r="Q23" s="52">
        <v>83.312614701213604</v>
      </c>
      <c r="R23" s="52">
        <v>121368.714586007</v>
      </c>
      <c r="S23" s="121">
        <v>177398.27343613299</v>
      </c>
      <c r="T23" s="52">
        <v>63.490752222327302</v>
      </c>
      <c r="U23" s="52">
        <v>66.129428270269898</v>
      </c>
      <c r="V23" s="52">
        <v>57.377820530426398</v>
      </c>
      <c r="W23" s="52">
        <v>35.683748377003297</v>
      </c>
      <c r="X23" s="52">
        <v>2.2253562893019398</v>
      </c>
      <c r="Y23" s="52">
        <v>2.09190929495858</v>
      </c>
      <c r="Z23" s="52">
        <v>3.8514336343214099E-2</v>
      </c>
      <c r="AA23" s="52">
        <v>65.7401679740654</v>
      </c>
      <c r="AB23" s="52">
        <v>69.421976312145901</v>
      </c>
      <c r="AC23" s="52">
        <v>76.221094060477199</v>
      </c>
      <c r="AD23" s="52">
        <v>66.229012837292402</v>
      </c>
      <c r="AE23" s="52">
        <v>59.0975130480522</v>
      </c>
      <c r="AF23" s="52">
        <v>89.7944533802183</v>
      </c>
      <c r="AG23" s="52">
        <v>24.1631869356201</v>
      </c>
      <c r="AH23" s="52">
        <v>1.4955879588295</v>
      </c>
      <c r="AI23" s="52">
        <v>22.39469153236</v>
      </c>
      <c r="AJ23" s="52">
        <v>48.329667623230101</v>
      </c>
      <c r="AK23" s="52">
        <v>60.0574696408991</v>
      </c>
      <c r="AL23" s="52">
        <v>78.664770456581905</v>
      </c>
      <c r="AM23" s="52">
        <v>93.007661255107394</v>
      </c>
      <c r="AN23" s="52">
        <v>6.5564928790313197E-3</v>
      </c>
      <c r="AO23" s="52">
        <v>1.44275294925858E-2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</row>
    <row r="24" spans="1:254" ht="15.4">
      <c r="A24" s="12" t="s">
        <v>706</v>
      </c>
      <c r="B24" s="12" t="s">
        <v>707</v>
      </c>
      <c r="C24" s="121">
        <v>28789.372399364202</v>
      </c>
      <c r="D24" s="121">
        <v>20847.476565056801</v>
      </c>
      <c r="E24" s="121">
        <v>68300.304175043304</v>
      </c>
      <c r="F24" s="121">
        <v>249176.98180139399</v>
      </c>
      <c r="G24" s="121">
        <v>13906.791048610001</v>
      </c>
      <c r="H24" s="121">
        <v>21840.213544345301</v>
      </c>
      <c r="I24" s="121">
        <v>52615.059902286303</v>
      </c>
      <c r="J24" s="121">
        <v>526.15059902286305</v>
      </c>
      <c r="K24" s="121">
        <v>446.731640679789</v>
      </c>
      <c r="L24" s="121">
        <v>439.74712318589798</v>
      </c>
      <c r="M24" s="121">
        <v>387.55471217179797</v>
      </c>
      <c r="N24" s="121">
        <v>553.04428837867295</v>
      </c>
      <c r="O24" s="121">
        <v>97983.139855767193</v>
      </c>
      <c r="P24" s="121">
        <v>364.299952839029</v>
      </c>
      <c r="Q24" s="121">
        <v>419.10202178216701</v>
      </c>
      <c r="R24" s="121">
        <v>388.33418475578497</v>
      </c>
      <c r="S24" s="121">
        <v>285.01635583099198</v>
      </c>
      <c r="T24" s="121">
        <v>481.50029979871101</v>
      </c>
      <c r="U24" s="121">
        <v>312.94764270133498</v>
      </c>
      <c r="V24" s="121">
        <v>264.71726360553998</v>
      </c>
      <c r="W24" s="121">
        <v>19.854739585768399</v>
      </c>
      <c r="X24" s="121">
        <v>353.41436462667798</v>
      </c>
      <c r="Y24" s="121">
        <v>443.75342974192398</v>
      </c>
      <c r="Z24" s="121">
        <v>407.02216150825302</v>
      </c>
      <c r="AA24" s="121">
        <v>385.633077518677</v>
      </c>
      <c r="AB24" s="121">
        <v>199.39952460976701</v>
      </c>
      <c r="AC24" s="121">
        <v>193.01096301776499</v>
      </c>
      <c r="AD24" s="121">
        <v>361.92256705278498</v>
      </c>
      <c r="AE24" s="121">
        <v>279.11129183970297</v>
      </c>
      <c r="AF24" s="121">
        <v>435.23271355111598</v>
      </c>
      <c r="AG24" s="121">
        <v>248.184244822105</v>
      </c>
      <c r="AH24" s="121">
        <v>423.89869015615602</v>
      </c>
      <c r="AI24" s="121">
        <v>426.87690109402098</v>
      </c>
      <c r="AJ24" s="52">
        <v>8.95730821183556</v>
      </c>
      <c r="AK24" s="52">
        <v>1.82279359977421</v>
      </c>
      <c r="AL24" s="121">
        <v>315.80332857705798</v>
      </c>
      <c r="AM24" s="121">
        <v>373.42694043647799</v>
      </c>
      <c r="AN24" s="121">
        <v>377.24005212959997</v>
      </c>
      <c r="AO24" s="121">
        <v>416.94953130113697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</row>
    <row r="25" spans="1:254" ht="15.4">
      <c r="A25" s="12" t="s">
        <v>706</v>
      </c>
      <c r="B25" s="12" t="s">
        <v>708</v>
      </c>
      <c r="C25" s="121">
        <v>29161.562727282999</v>
      </c>
      <c r="D25" s="121">
        <v>21116.993699066999</v>
      </c>
      <c r="E25" s="121">
        <v>69183.293642657605</v>
      </c>
      <c r="F25" s="121">
        <v>252398.35326027701</v>
      </c>
      <c r="G25" s="121">
        <v>6794.6360631326497</v>
      </c>
      <c r="H25" s="121">
        <v>22122.564827594</v>
      </c>
      <c r="I25" s="121">
        <v>53295.269811931103</v>
      </c>
      <c r="J25" s="121">
        <v>532.95269811930996</v>
      </c>
      <c r="K25" s="121">
        <v>452.50700783715001</v>
      </c>
      <c r="L25" s="121">
        <v>445.43219418048199</v>
      </c>
      <c r="M25" s="121">
        <v>392.56503728096499</v>
      </c>
      <c r="N25" s="121">
        <v>560.19407032563299</v>
      </c>
      <c r="O25" s="121">
        <v>99249.870385614995</v>
      </c>
      <c r="P25" s="121">
        <v>369.00963935206198</v>
      </c>
      <c r="Q25" s="121">
        <v>424.52019195811698</v>
      </c>
      <c r="R25" s="121">
        <v>393.35458692229901</v>
      </c>
      <c r="S25" s="121">
        <v>288.70106036249098</v>
      </c>
      <c r="T25" s="121">
        <v>487.72515777717302</v>
      </c>
      <c r="U25" s="121">
        <v>316.99344419164402</v>
      </c>
      <c r="V25" s="121">
        <v>268.13954054094398</v>
      </c>
      <c r="W25" s="121">
        <v>20.11142257054</v>
      </c>
      <c r="X25" s="121">
        <v>357.983321755612</v>
      </c>
      <c r="Y25" s="121">
        <v>449.49029445156901</v>
      </c>
      <c r="Z25" s="121">
        <v>412.28416269606998</v>
      </c>
      <c r="AA25" s="121">
        <v>390.618559646839</v>
      </c>
      <c r="AB25" s="121">
        <v>201.977370817105</v>
      </c>
      <c r="AC25" s="121">
        <v>195.50621760758401</v>
      </c>
      <c r="AD25" s="121">
        <v>366.60151861324198</v>
      </c>
      <c r="AE25" s="121">
        <v>282.71965543285899</v>
      </c>
      <c r="AF25" s="121">
        <v>440.85942205071399</v>
      </c>
      <c r="AG25" s="121">
        <v>251.39278213175001</v>
      </c>
      <c r="AH25" s="121">
        <v>429.378871881029</v>
      </c>
      <c r="AI25" s="121">
        <v>432.39558526661</v>
      </c>
      <c r="AJ25" s="52">
        <v>9.5978375223779899</v>
      </c>
      <c r="AK25" s="52">
        <v>1.84635875910513</v>
      </c>
      <c r="AL25" s="121">
        <v>319.88604850545602</v>
      </c>
      <c r="AM25" s="121">
        <v>378.25462106413403</v>
      </c>
      <c r="AN25" s="121">
        <v>382.11702884025999</v>
      </c>
      <c r="AO25" s="121">
        <v>422.33987398134002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</row>
    <row r="26" spans="1:254" ht="15.4">
      <c r="A26" s="12" t="s">
        <v>706</v>
      </c>
      <c r="B26" s="12" t="s">
        <v>709</v>
      </c>
      <c r="C26" s="121">
        <v>29166.896903971701</v>
      </c>
      <c r="D26" s="121">
        <v>21120.856378738201</v>
      </c>
      <c r="E26" s="121">
        <v>69195.948517008801</v>
      </c>
      <c r="F26" s="121">
        <v>252444.52147920401</v>
      </c>
      <c r="G26" s="121">
        <v>6692.4058775307903</v>
      </c>
      <c r="H26" s="121">
        <v>22126.611444392402</v>
      </c>
      <c r="I26" s="121">
        <v>53305.018479672501</v>
      </c>
      <c r="J26" s="121">
        <v>533.05018479672503</v>
      </c>
      <c r="K26" s="121">
        <v>452.58977954438899</v>
      </c>
      <c r="L26" s="121">
        <v>445.513671776482</v>
      </c>
      <c r="M26" s="121">
        <v>392.63684451880999</v>
      </c>
      <c r="N26" s="121">
        <v>560.29653994219802</v>
      </c>
      <c r="O26" s="121">
        <v>99268.0249800694</v>
      </c>
      <c r="P26" s="121">
        <v>369.07713788204597</v>
      </c>
      <c r="Q26" s="121">
        <v>424.59784437108999</v>
      </c>
      <c r="R26" s="121">
        <v>393.42653858303697</v>
      </c>
      <c r="S26" s="121">
        <v>288.75386900243302</v>
      </c>
      <c r="T26" s="121">
        <v>487.81437152032697</v>
      </c>
      <c r="U26" s="121">
        <v>317.05142801975097</v>
      </c>
      <c r="V26" s="121">
        <v>268.18858810742302</v>
      </c>
      <c r="W26" s="121">
        <v>20.115101313084001</v>
      </c>
      <c r="X26" s="121">
        <v>358.04880337289501</v>
      </c>
      <c r="Y26" s="121">
        <v>449.57251434742699</v>
      </c>
      <c r="Z26" s="121">
        <v>412.35957691822102</v>
      </c>
      <c r="AA26" s="121">
        <v>390.69001083875702</v>
      </c>
      <c r="AB26" s="121">
        <v>202.01431612738</v>
      </c>
      <c r="AC26" s="121">
        <v>195.54197922702201</v>
      </c>
      <c r="AD26" s="121">
        <v>366.66857665443598</v>
      </c>
      <c r="AE26" s="121">
        <v>282.77136996577201</v>
      </c>
      <c r="AF26" s="121">
        <v>440.94006320407402</v>
      </c>
      <c r="AG26" s="121">
        <v>251.43876641355001</v>
      </c>
      <c r="AH26" s="121">
        <v>429.45741303434301</v>
      </c>
      <c r="AI26" s="121">
        <v>432.47467823130501</v>
      </c>
      <c r="AJ26" s="52">
        <v>9.9068505732027798</v>
      </c>
      <c r="AK26" s="52">
        <v>1.8466964914805799</v>
      </c>
      <c r="AL26" s="121">
        <v>319.944561443152</v>
      </c>
      <c r="AM26" s="121">
        <v>378.32381066830402</v>
      </c>
      <c r="AN26" s="121">
        <v>382.18692494859499</v>
      </c>
      <c r="AO26" s="121">
        <v>422.41712757476301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</row>
    <row r="27" spans="1:254" ht="15.4">
      <c r="A27" s="12" t="s">
        <v>706</v>
      </c>
      <c r="B27" s="12" t="s">
        <v>710</v>
      </c>
      <c r="C27" s="121">
        <v>28874.380104654101</v>
      </c>
      <c r="D27" s="121">
        <v>20909.0338688874</v>
      </c>
      <c r="E27" s="121">
        <v>68501.977627593107</v>
      </c>
      <c r="F27" s="121">
        <v>249912.738147178</v>
      </c>
      <c r="G27" s="121">
        <v>12283.4037326175</v>
      </c>
      <c r="H27" s="121">
        <v>21904.702148358301</v>
      </c>
      <c r="I27" s="121">
        <v>52770.418811953998</v>
      </c>
      <c r="J27" s="121">
        <v>527.70418811954005</v>
      </c>
      <c r="K27" s="121">
        <v>448.05072576187399</v>
      </c>
      <c r="L27" s="121">
        <v>441.04558476162401</v>
      </c>
      <c r="M27" s="121">
        <v>388.69906281268698</v>
      </c>
      <c r="N27" s="121">
        <v>554.67728771004397</v>
      </c>
      <c r="O27" s="121">
        <v>98272.459183771003</v>
      </c>
      <c r="P27" s="121">
        <v>365.37563808143199</v>
      </c>
      <c r="Q27" s="121">
        <v>420.33952361651899</v>
      </c>
      <c r="R27" s="121">
        <v>389.48083698125799</v>
      </c>
      <c r="S27" s="121">
        <v>285.85793674644799</v>
      </c>
      <c r="T27" s="121">
        <v>482.92204790125697</v>
      </c>
      <c r="U27" s="121">
        <v>313.871697613435</v>
      </c>
      <c r="V27" s="121">
        <v>265.49890645685201</v>
      </c>
      <c r="W27" s="121">
        <v>19.9133655894166</v>
      </c>
      <c r="X27" s="121">
        <v>354.45790749161603</v>
      </c>
      <c r="Y27" s="121">
        <v>445.06372092346101</v>
      </c>
      <c r="Z27" s="121">
        <v>408.22399458304</v>
      </c>
      <c r="AA27" s="121">
        <v>386.771754060457</v>
      </c>
      <c r="AB27" s="121">
        <v>199.988300766045</v>
      </c>
      <c r="AC27" s="121">
        <v>193.58087537411399</v>
      </c>
      <c r="AD27" s="121">
        <v>362.991232478727</v>
      </c>
      <c r="AE27" s="121">
        <v>279.93543660085498</v>
      </c>
      <c r="AF27" s="121">
        <v>436.51784522167901</v>
      </c>
      <c r="AG27" s="121">
        <v>248.91706986770799</v>
      </c>
      <c r="AH27" s="121">
        <v>425.15035533404398</v>
      </c>
      <c r="AI27" s="121">
        <v>428.13736017245702</v>
      </c>
      <c r="AJ27" s="52">
        <v>8.0855295772914104</v>
      </c>
      <c r="AK27" s="52">
        <v>1.8281758463541</v>
      </c>
      <c r="AL27" s="121">
        <v>316.73581560431398</v>
      </c>
      <c r="AM27" s="121">
        <v>374.52957535534898</v>
      </c>
      <c r="AN27" s="121">
        <v>378.35394619891503</v>
      </c>
      <c r="AO27" s="121">
        <v>418.18067737774902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</row>
    <row r="28" spans="1:254" ht="15.4">
      <c r="A28" s="12" t="s">
        <v>706</v>
      </c>
      <c r="B28" s="12" t="s">
        <v>711</v>
      </c>
      <c r="C28" s="121">
        <v>28837.9401844395</v>
      </c>
      <c r="D28" s="121">
        <v>20882.646340456198</v>
      </c>
      <c r="E28" s="121">
        <v>68415.527058256499</v>
      </c>
      <c r="F28" s="121">
        <v>249597.34435497699</v>
      </c>
      <c r="G28" s="121">
        <v>12982.846093603999</v>
      </c>
      <c r="H28" s="121">
        <v>21877.058070954099</v>
      </c>
      <c r="I28" s="121">
        <v>52703.821716389502</v>
      </c>
      <c r="J28" s="121">
        <v>527.03821716389496</v>
      </c>
      <c r="K28" s="121">
        <v>447.48527872406203</v>
      </c>
      <c r="L28" s="121">
        <v>440.48897832154</v>
      </c>
      <c r="M28" s="121">
        <v>388.20851850368302</v>
      </c>
      <c r="N28" s="121">
        <v>553.97727627998995</v>
      </c>
      <c r="O28" s="121">
        <v>98148.437800144195</v>
      </c>
      <c r="P28" s="121">
        <v>364.91452829996598</v>
      </c>
      <c r="Q28" s="121">
        <v>419.80904855010698</v>
      </c>
      <c r="R28" s="121">
        <v>388.989306061001</v>
      </c>
      <c r="S28" s="121">
        <v>285.497179550277</v>
      </c>
      <c r="T28" s="121">
        <v>482.31259270839797</v>
      </c>
      <c r="U28" s="121">
        <v>313.47558661201498</v>
      </c>
      <c r="V28" s="121">
        <v>265.16384267597499</v>
      </c>
      <c r="W28" s="121">
        <v>19.8882346099583</v>
      </c>
      <c r="X28" s="121">
        <v>354.01057605725799</v>
      </c>
      <c r="Y28" s="121">
        <v>444.502043532568</v>
      </c>
      <c r="Z28" s="121">
        <v>407.70880950414499</v>
      </c>
      <c r="AA28" s="121">
        <v>386.28364204530402</v>
      </c>
      <c r="AB28" s="121">
        <v>199.73591239624</v>
      </c>
      <c r="AC28" s="121">
        <v>193.336573275571</v>
      </c>
      <c r="AD28" s="121">
        <v>362.53313185450003</v>
      </c>
      <c r="AE28" s="121">
        <v>279.58215369268601</v>
      </c>
      <c r="AF28" s="121">
        <v>435.96695285985402</v>
      </c>
      <c r="AG28" s="121">
        <v>248.602932624479</v>
      </c>
      <c r="AH28" s="121">
        <v>424.61380892261002</v>
      </c>
      <c r="AI28" s="121">
        <v>427.59704411410303</v>
      </c>
      <c r="AJ28" s="52">
        <v>4.9079555784174902</v>
      </c>
      <c r="AK28" s="52">
        <v>1.8258686597846301</v>
      </c>
      <c r="AL28" s="121">
        <v>316.33609004110201</v>
      </c>
      <c r="AM28" s="121">
        <v>374.05691316158197</v>
      </c>
      <c r="AN28" s="121">
        <v>377.87645758920797</v>
      </c>
      <c r="AO28" s="121">
        <v>417.65292680912398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</row>
    <row r="29" spans="1:254" ht="15.4">
      <c r="A29" s="12" t="s">
        <v>706</v>
      </c>
      <c r="B29" s="12" t="s">
        <v>712</v>
      </c>
      <c r="C29" s="121">
        <v>29045.811191290399</v>
      </c>
      <c r="D29" s="121">
        <v>21033.173621279198</v>
      </c>
      <c r="E29" s="121">
        <v>68908.683102095805</v>
      </c>
      <c r="F29" s="121">
        <v>251396.50375909999</v>
      </c>
      <c r="G29" s="121">
        <v>9009.0541349281993</v>
      </c>
      <c r="H29" s="121">
        <v>22034.753317530602</v>
      </c>
      <c r="I29" s="121">
        <v>53083.7239013238</v>
      </c>
      <c r="J29" s="121">
        <v>530.83723901323799</v>
      </c>
      <c r="K29" s="121">
        <v>450.71086331312699</v>
      </c>
      <c r="L29" s="121">
        <v>443.66413184654101</v>
      </c>
      <c r="M29" s="121">
        <v>391.00682154104697</v>
      </c>
      <c r="N29" s="121">
        <v>557.97048153169305</v>
      </c>
      <c r="O29" s="121">
        <v>98855.916020012504</v>
      </c>
      <c r="P29" s="121">
        <v>367.544922493417</v>
      </c>
      <c r="Q29" s="121">
        <v>422.83513602546401</v>
      </c>
      <c r="R29" s="121">
        <v>391.79323720823101</v>
      </c>
      <c r="S29" s="121">
        <v>287.55511384747803</v>
      </c>
      <c r="T29" s="121">
        <v>485.78922119232902</v>
      </c>
      <c r="U29" s="121">
        <v>315.73519618868499</v>
      </c>
      <c r="V29" s="121">
        <v>267.07520925087499</v>
      </c>
      <c r="W29" s="121">
        <v>20.031593925027899</v>
      </c>
      <c r="X29" s="121">
        <v>356.562371865496</v>
      </c>
      <c r="Y29" s="121">
        <v>447.70612422437301</v>
      </c>
      <c r="Z29" s="121">
        <v>410.64767546307098</v>
      </c>
      <c r="AA29" s="121">
        <v>389.06807009697502</v>
      </c>
      <c r="AB29" s="121">
        <v>201.17565826395901</v>
      </c>
      <c r="AC29" s="121">
        <v>194.730191123824</v>
      </c>
      <c r="AD29" s="121">
        <v>365.146360353256</v>
      </c>
      <c r="AE29" s="121">
        <v>281.59745102023197</v>
      </c>
      <c r="AF29" s="121">
        <v>439.10951050665801</v>
      </c>
      <c r="AG29" s="121">
        <v>250.39492406284799</v>
      </c>
      <c r="AH29" s="121">
        <v>427.67453029934501</v>
      </c>
      <c r="AI29" s="121">
        <v>430.67926938809899</v>
      </c>
      <c r="AJ29" s="52">
        <v>6.8673346598761196</v>
      </c>
      <c r="AK29" s="52">
        <v>1.8390299727722901</v>
      </c>
      <c r="AL29" s="121">
        <v>318.61631883412798</v>
      </c>
      <c r="AM29" s="121">
        <v>376.75320792678099</v>
      </c>
      <c r="AN29" s="121">
        <v>380.60028457552897</v>
      </c>
      <c r="AO29" s="121">
        <v>420.66347242558498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</row>
    <row r="30" spans="1:254" ht="15.4">
      <c r="A30" s="12" t="s">
        <v>706</v>
      </c>
      <c r="B30" s="12" t="s">
        <v>713</v>
      </c>
      <c r="C30" s="121">
        <v>28833.850472362501</v>
      </c>
      <c r="D30" s="121">
        <v>20879.684824814201</v>
      </c>
      <c r="E30" s="121">
        <v>68405.824568915195</v>
      </c>
      <c r="F30" s="121">
        <v>249561.947191827</v>
      </c>
      <c r="G30" s="121">
        <v>13059.3474326165</v>
      </c>
      <c r="H30" s="121">
        <v>21873.955530757801</v>
      </c>
      <c r="I30" s="121">
        <v>52696.347415007403</v>
      </c>
      <c r="J30" s="121">
        <v>526.96347415007403</v>
      </c>
      <c r="K30" s="121">
        <v>447.42181767459101</v>
      </c>
      <c r="L30" s="121">
        <v>440.42650946686803</v>
      </c>
      <c r="M30" s="121">
        <v>388.15346391045</v>
      </c>
      <c r="N30" s="121">
        <v>553.89871284783396</v>
      </c>
      <c r="O30" s="121">
        <v>98134.518676627005</v>
      </c>
      <c r="P30" s="121">
        <v>364.862777192088</v>
      </c>
      <c r="Q30" s="121">
        <v>419.74951246240801</v>
      </c>
      <c r="R30" s="121">
        <v>388.93414073876698</v>
      </c>
      <c r="S30" s="121">
        <v>285.45669117781699</v>
      </c>
      <c r="T30" s="121">
        <v>482.244192551428</v>
      </c>
      <c r="U30" s="121">
        <v>313.43113042394401</v>
      </c>
      <c r="V30" s="121">
        <v>265.1262379177</v>
      </c>
      <c r="W30" s="121">
        <v>19.885414118870699</v>
      </c>
      <c r="X30" s="121">
        <v>353.96037131589901</v>
      </c>
      <c r="Y30" s="121">
        <v>444.43900555675998</v>
      </c>
      <c r="Z30" s="121">
        <v>407.65098943685001</v>
      </c>
      <c r="AA30" s="121">
        <v>386.22886043240402</v>
      </c>
      <c r="AB30" s="121">
        <v>199.707586435096</v>
      </c>
      <c r="AC30" s="121">
        <v>193.30915484992801</v>
      </c>
      <c r="AD30" s="121">
        <v>362.48171846928</v>
      </c>
      <c r="AE30" s="121">
        <v>279.54250417184102</v>
      </c>
      <c r="AF30" s="121">
        <v>435.90512530556703</v>
      </c>
      <c r="AG30" s="121">
        <v>248.56767648588399</v>
      </c>
      <c r="AH30" s="121">
        <v>424.55359143789002</v>
      </c>
      <c r="AI30" s="121">
        <v>427.53640355572003</v>
      </c>
      <c r="AJ30" s="52">
        <v>6.5495568183479698</v>
      </c>
      <c r="AK30" s="52">
        <v>1.82560972044773</v>
      </c>
      <c r="AL30" s="121">
        <v>316.29122818482699</v>
      </c>
      <c r="AM30" s="121">
        <v>374.00386550750301</v>
      </c>
      <c r="AN30" s="121">
        <v>377.82286825854402</v>
      </c>
      <c r="AO30" s="121">
        <v>417.59369649628502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</row>
    <row r="31" spans="1:254" ht="15.4">
      <c r="A31" s="12" t="s">
        <v>706</v>
      </c>
      <c r="B31" s="12" t="s">
        <v>714</v>
      </c>
      <c r="C31" s="122">
        <v>28833.023614051701</v>
      </c>
      <c r="D31" s="122">
        <v>20879.086065347801</v>
      </c>
      <c r="E31" s="122">
        <v>68403.862918853702</v>
      </c>
      <c r="F31" s="122">
        <v>249554.790590586</v>
      </c>
      <c r="G31" s="122">
        <v>13024.4821662134</v>
      </c>
      <c r="H31" s="122">
        <v>21873.328258935799</v>
      </c>
      <c r="I31" s="122">
        <v>52694.836260163502</v>
      </c>
      <c r="J31" s="122">
        <v>526.94836260163504</v>
      </c>
      <c r="K31" s="122">
        <v>447.40898711459602</v>
      </c>
      <c r="L31" s="122">
        <v>439.94727775466299</v>
      </c>
      <c r="M31" s="122">
        <v>387.66166225330699</v>
      </c>
      <c r="N31" s="122">
        <v>557.80239926237005</v>
      </c>
      <c r="O31" s="122">
        <v>98131.704507134593</v>
      </c>
      <c r="P31" s="122">
        <v>368.63412758310199</v>
      </c>
      <c r="Q31" s="122">
        <v>422.91811501995198</v>
      </c>
      <c r="R31" s="122">
        <v>387.00748611170297</v>
      </c>
      <c r="S31" s="122">
        <v>325.42198309118203</v>
      </c>
      <c r="T31" s="122">
        <v>481.16890415992202</v>
      </c>
      <c r="U31" s="122">
        <v>313.37981830669997</v>
      </c>
      <c r="V31" s="122">
        <v>264.57809026250999</v>
      </c>
      <c r="W31" s="122">
        <v>19.884843871759799</v>
      </c>
      <c r="X31" s="122">
        <v>353.950220917325</v>
      </c>
      <c r="Y31" s="122">
        <v>444.42626053383202</v>
      </c>
      <c r="Z31" s="122">
        <v>407.63929937107599</v>
      </c>
      <c r="AA31" s="122">
        <v>385.96336592836599</v>
      </c>
      <c r="AB31" s="122">
        <v>199.63677679930001</v>
      </c>
      <c r="AC31" s="122">
        <v>205.222228658663</v>
      </c>
      <c r="AD31" s="122">
        <v>362.08151244020002</v>
      </c>
      <c r="AE31" s="122">
        <v>277.99245221736697</v>
      </c>
      <c r="AF31" s="122">
        <v>435.33347098235402</v>
      </c>
      <c r="AG31" s="122">
        <v>248.560548396998</v>
      </c>
      <c r="AH31" s="122">
        <v>424.54141666207198</v>
      </c>
      <c r="AI31" s="122">
        <v>427.52414324283598</v>
      </c>
      <c r="AJ31" s="53">
        <v>6.5544125435395202</v>
      </c>
      <c r="AK31" s="53">
        <v>1.7323963544529399</v>
      </c>
      <c r="AL31" s="122">
        <v>314.94832802879898</v>
      </c>
      <c r="AM31" s="122">
        <v>370.62297337301601</v>
      </c>
      <c r="AN31" s="122">
        <v>377.81203356343599</v>
      </c>
      <c r="AO31" s="122">
        <v>417.58172130695601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</row>
    <row r="32" spans="1:254" ht="15.4">
      <c r="A32" s="12" t="s">
        <v>706</v>
      </c>
      <c r="B32" s="12" t="s">
        <v>715</v>
      </c>
      <c r="C32" s="122">
        <v>28972.698744781199</v>
      </c>
      <c r="D32" s="122">
        <v>20980.230125531201</v>
      </c>
      <c r="E32" s="122">
        <v>68735.230125549904</v>
      </c>
      <c r="F32" s="122">
        <v>250763.70292896801</v>
      </c>
      <c r="G32" s="122">
        <v>10354.4933454857</v>
      </c>
      <c r="H32" s="122">
        <v>21979.288702937502</v>
      </c>
      <c r="I32" s="122">
        <v>52950.104602531203</v>
      </c>
      <c r="J32" s="122">
        <v>529.50104602531201</v>
      </c>
      <c r="K32" s="122">
        <v>449.57635983281199</v>
      </c>
      <c r="L32" s="122">
        <v>442.078503891644</v>
      </c>
      <c r="M32" s="122">
        <v>389.53960242631302</v>
      </c>
      <c r="N32" s="122">
        <v>560.50454816222498</v>
      </c>
      <c r="O32" s="122">
        <v>98607.081589996698</v>
      </c>
      <c r="P32" s="122">
        <v>370.419893122323</v>
      </c>
      <c r="Q32" s="122">
        <v>424.96684718880101</v>
      </c>
      <c r="R32" s="122">
        <v>388.88225727477999</v>
      </c>
      <c r="S32" s="122">
        <v>326.99841706629701</v>
      </c>
      <c r="T32" s="122">
        <v>483.49981924156901</v>
      </c>
      <c r="U32" s="122">
        <v>314.89791670927701</v>
      </c>
      <c r="V32" s="122">
        <v>265.85977961428398</v>
      </c>
      <c r="W32" s="122">
        <v>19.981171548125001</v>
      </c>
      <c r="X32" s="122">
        <v>355.66485355662502</v>
      </c>
      <c r="Y32" s="122">
        <v>446.57918410059301</v>
      </c>
      <c r="Z32" s="122">
        <v>409.61401673656201</v>
      </c>
      <c r="AA32" s="122">
        <v>387.83307908486501</v>
      </c>
      <c r="AB32" s="122">
        <v>200.60387249037601</v>
      </c>
      <c r="AC32" s="122">
        <v>206.21638182137599</v>
      </c>
      <c r="AD32" s="122">
        <v>363.83553530168598</v>
      </c>
      <c r="AE32" s="122">
        <v>279.33912444380502</v>
      </c>
      <c r="AF32" s="122">
        <v>437.44234656488999</v>
      </c>
      <c r="AG32" s="122">
        <v>249.764644351562</v>
      </c>
      <c r="AH32" s="122">
        <v>426.59801255246799</v>
      </c>
      <c r="AI32" s="122">
        <v>429.59518828468703</v>
      </c>
      <c r="AJ32" s="53">
        <v>7.4973841828161598</v>
      </c>
      <c r="AK32" s="53">
        <v>1.7407885609215501</v>
      </c>
      <c r="AL32" s="122">
        <v>316.47402472572799</v>
      </c>
      <c r="AM32" s="122">
        <v>372.41837343060803</v>
      </c>
      <c r="AN32" s="122">
        <v>379.642259414374</v>
      </c>
      <c r="AO32" s="122">
        <v>419.60460251062398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</row>
    <row r="33" spans="1:254" ht="15.4">
      <c r="A33" s="12" t="s">
        <v>706</v>
      </c>
      <c r="B33" s="12" t="s">
        <v>716</v>
      </c>
      <c r="C33" s="122">
        <v>28897.043582779701</v>
      </c>
      <c r="D33" s="122">
        <v>20925.445353047398</v>
      </c>
      <c r="E33" s="122">
        <v>68555.744775698098</v>
      </c>
      <c r="F33" s="122">
        <v>250108.894457852</v>
      </c>
      <c r="G33" s="122">
        <v>11801.225985396301</v>
      </c>
      <c r="H33" s="122">
        <v>21921.8951317639</v>
      </c>
      <c r="I33" s="122">
        <v>52811.838271976703</v>
      </c>
      <c r="J33" s="122">
        <v>528.11838271976706</v>
      </c>
      <c r="K33" s="122">
        <v>448.40240042244398</v>
      </c>
      <c r="L33" s="122">
        <v>440.92412330998297</v>
      </c>
      <c r="M33" s="122">
        <v>388.52241441814101</v>
      </c>
      <c r="N33" s="122">
        <v>559.04092674513402</v>
      </c>
      <c r="O33" s="122">
        <v>98349.593159322598</v>
      </c>
      <c r="P33" s="122">
        <v>369.45263158864299</v>
      </c>
      <c r="Q33" s="122">
        <v>423.85714954024797</v>
      </c>
      <c r="R33" s="122">
        <v>387.86678576372799</v>
      </c>
      <c r="S33" s="122">
        <v>326.14454016531198</v>
      </c>
      <c r="T33" s="122">
        <v>482.23727696083</v>
      </c>
      <c r="U33" s="122">
        <v>314.07563732438302</v>
      </c>
      <c r="V33" s="122">
        <v>265.16555140746198</v>
      </c>
      <c r="W33" s="122">
        <v>19.928995574330798</v>
      </c>
      <c r="X33" s="122">
        <v>354.73612122308901</v>
      </c>
      <c r="Y33" s="122">
        <v>445.41305108629399</v>
      </c>
      <c r="Z33" s="122">
        <v>408.54440927378198</v>
      </c>
      <c r="AA33" s="122">
        <v>386.82034724768999</v>
      </c>
      <c r="AB33" s="122">
        <v>200.08004422691101</v>
      </c>
      <c r="AC33" s="122">
        <v>205.67789785371099</v>
      </c>
      <c r="AD33" s="122">
        <v>362.885467218364</v>
      </c>
      <c r="AE33" s="122">
        <v>278.60969820362902</v>
      </c>
      <c r="AF33" s="122">
        <v>436.30007218143697</v>
      </c>
      <c r="AG33" s="122">
        <v>249.11244467913599</v>
      </c>
      <c r="AH33" s="122">
        <v>425.48405551196299</v>
      </c>
      <c r="AI33" s="122">
        <v>428.47340484811298</v>
      </c>
      <c r="AJ33" s="53">
        <v>6.4558637117198501</v>
      </c>
      <c r="AK33" s="53">
        <v>1.73624291463064</v>
      </c>
      <c r="AL33" s="122">
        <v>315.64762971776599</v>
      </c>
      <c r="AM33" s="122">
        <v>371.44589335126102</v>
      </c>
      <c r="AN33" s="122">
        <v>378.650915912286</v>
      </c>
      <c r="AO33" s="122">
        <v>418.50890706094799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</row>
    <row r="34" spans="1:254" ht="15.4">
      <c r="A34" s="12" t="s">
        <v>706</v>
      </c>
      <c r="B34" s="12" t="s">
        <v>717</v>
      </c>
      <c r="C34" s="122">
        <v>29069.7545586696</v>
      </c>
      <c r="D34" s="122">
        <v>21050.511921795201</v>
      </c>
      <c r="E34" s="122">
        <v>68965.486677119596</v>
      </c>
      <c r="F34" s="122">
        <v>251603.737731934</v>
      </c>
      <c r="G34" s="122">
        <v>8500.8574816548808</v>
      </c>
      <c r="H34" s="122">
        <v>22052.917251404499</v>
      </c>
      <c r="I34" s="122">
        <v>53127.482469292801</v>
      </c>
      <c r="J34" s="122">
        <v>531.27482469292704</v>
      </c>
      <c r="K34" s="122">
        <v>451.082398324184</v>
      </c>
      <c r="L34" s="122">
        <v>443.55942527130998</v>
      </c>
      <c r="M34" s="122">
        <v>390.84452343102402</v>
      </c>
      <c r="N34" s="122">
        <v>562.38218564395402</v>
      </c>
      <c r="O34" s="122">
        <v>98937.406032437604</v>
      </c>
      <c r="P34" s="122">
        <v>371.660764900412</v>
      </c>
      <c r="Q34" s="122">
        <v>426.39044612906002</v>
      </c>
      <c r="R34" s="122">
        <v>390.18497623510399</v>
      </c>
      <c r="S34" s="122">
        <v>328.09383098642098</v>
      </c>
      <c r="T34" s="122">
        <v>485.11949812908898</v>
      </c>
      <c r="U34" s="122">
        <v>315.95279509210201</v>
      </c>
      <c r="V34" s="122">
        <v>266.75038485330498</v>
      </c>
      <c r="W34" s="122">
        <v>20.048106592185899</v>
      </c>
      <c r="X34" s="122">
        <v>356.85629734090998</v>
      </c>
      <c r="Y34" s="122">
        <v>448.07518233535598</v>
      </c>
      <c r="Z34" s="122">
        <v>410.98618513981199</v>
      </c>
      <c r="AA34" s="122">
        <v>389.132283397001</v>
      </c>
      <c r="AB34" s="122">
        <v>201.27587658240901</v>
      </c>
      <c r="AC34" s="122">
        <v>206.90718729141901</v>
      </c>
      <c r="AD34" s="122">
        <v>365.05435010079401</v>
      </c>
      <c r="AE34" s="122">
        <v>280.27488421932998</v>
      </c>
      <c r="AF34" s="122">
        <v>438.907737253866</v>
      </c>
      <c r="AG34" s="122">
        <v>250.601332402324</v>
      </c>
      <c r="AH34" s="122">
        <v>428.02707574316997</v>
      </c>
      <c r="AI34" s="122">
        <v>431.034291731998</v>
      </c>
      <c r="AJ34" s="53">
        <v>6.4980252948581798</v>
      </c>
      <c r="AK34" s="53">
        <v>1.7466200387578401</v>
      </c>
      <c r="AL34" s="122">
        <v>317.53418292206601</v>
      </c>
      <c r="AM34" s="122">
        <v>373.66593992963197</v>
      </c>
      <c r="AN34" s="122">
        <v>380.91402525153302</v>
      </c>
      <c r="AO34" s="122">
        <v>421.01023843590502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</row>
    <row r="35" spans="1:254" ht="15.4">
      <c r="A35" s="12" t="s">
        <v>706</v>
      </c>
      <c r="B35" s="12" t="s">
        <v>718</v>
      </c>
      <c r="C35" s="122">
        <v>28764.687059408301</v>
      </c>
      <c r="D35" s="122">
        <v>20829.600974054301</v>
      </c>
      <c r="E35" s="122">
        <v>68241.740334044502</v>
      </c>
      <c r="F35" s="122">
        <v>248963.32592798199</v>
      </c>
      <c r="G35" s="122">
        <v>14331.2777321922</v>
      </c>
      <c r="H35" s="122">
        <v>21821.486734723501</v>
      </c>
      <c r="I35" s="122">
        <v>52569.945315470301</v>
      </c>
      <c r="J35" s="122">
        <v>525.69945315470295</v>
      </c>
      <c r="K35" s="122">
        <v>446.34859230116302</v>
      </c>
      <c r="L35" s="122">
        <v>438.90456778470099</v>
      </c>
      <c r="M35" s="122">
        <v>386.742873342358</v>
      </c>
      <c r="N35" s="122">
        <v>556.48036329945296</v>
      </c>
      <c r="O35" s="122">
        <v>97899.124578055096</v>
      </c>
      <c r="P35" s="122">
        <v>367.76043543966898</v>
      </c>
      <c r="Q35" s="122">
        <v>421.91576551739598</v>
      </c>
      <c r="R35" s="122">
        <v>386.09024765013601</v>
      </c>
      <c r="S35" s="122">
        <v>324.650707160244</v>
      </c>
      <c r="T35" s="122">
        <v>480.02849566333202</v>
      </c>
      <c r="U35" s="122">
        <v>312.63708326217102</v>
      </c>
      <c r="V35" s="122">
        <v>263.95101918718001</v>
      </c>
      <c r="W35" s="122">
        <v>19.837715213385</v>
      </c>
      <c r="X35" s="122">
        <v>353.11133079825402</v>
      </c>
      <c r="Y35" s="122">
        <v>443.37293501915502</v>
      </c>
      <c r="Z35" s="122">
        <v>406.67316187439297</v>
      </c>
      <c r="AA35" s="122">
        <v>385.04860211451199</v>
      </c>
      <c r="AB35" s="122">
        <v>199.16362179172299</v>
      </c>
      <c r="AC35" s="122">
        <v>204.73583568682301</v>
      </c>
      <c r="AD35" s="122">
        <v>361.22335051478302</v>
      </c>
      <c r="AE35" s="122">
        <v>277.33358803941201</v>
      </c>
      <c r="AF35" s="122">
        <v>434.30169610067202</v>
      </c>
      <c r="AG35" s="122">
        <v>247.97144016731301</v>
      </c>
      <c r="AH35" s="122">
        <v>423.53521980577102</v>
      </c>
      <c r="AI35" s="122">
        <v>426.510877087778</v>
      </c>
      <c r="AJ35" s="53">
        <v>5.5990241212918201</v>
      </c>
      <c r="AK35" s="53">
        <v>1.7282904375804999</v>
      </c>
      <c r="AL35" s="122">
        <v>314.20187549172601</v>
      </c>
      <c r="AM35" s="122">
        <v>369.74456750719298</v>
      </c>
      <c r="AN35" s="122">
        <v>376.91658905431598</v>
      </c>
      <c r="AO35" s="122">
        <v>416.59201948108603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</row>
    <row r="36" spans="1:254" ht="15.4">
      <c r="A36" s="12" t="s">
        <v>706</v>
      </c>
      <c r="B36" s="12" t="s">
        <v>719</v>
      </c>
      <c r="C36" s="122">
        <v>28861.206929299002</v>
      </c>
      <c r="D36" s="122">
        <v>20899.494672940698</v>
      </c>
      <c r="E36" s="122">
        <v>68470.725404681798</v>
      </c>
      <c r="F36" s="122">
        <v>249798.722043243</v>
      </c>
      <c r="G36" s="122">
        <v>12485.8227946309</v>
      </c>
      <c r="H36" s="122">
        <v>21894.708704985402</v>
      </c>
      <c r="I36" s="122">
        <v>52746.343698374003</v>
      </c>
      <c r="J36" s="122">
        <v>527.46343698374005</v>
      </c>
      <c r="K36" s="122">
        <v>447.846314420157</v>
      </c>
      <c r="L36" s="122">
        <v>440.37731148914401</v>
      </c>
      <c r="M36" s="122">
        <v>388.040588549169</v>
      </c>
      <c r="N36" s="122">
        <v>558.34763243231203</v>
      </c>
      <c r="O36" s="122">
        <v>98227.624962821006</v>
      </c>
      <c r="P36" s="122">
        <v>368.99445510087003</v>
      </c>
      <c r="Q36" s="122">
        <v>423.33150331799999</v>
      </c>
      <c r="R36" s="122">
        <v>387.38577297228898</v>
      </c>
      <c r="S36" s="122">
        <v>325.740072184459</v>
      </c>
      <c r="T36" s="122">
        <v>481.63923065410597</v>
      </c>
      <c r="U36" s="122">
        <v>313.686136587075</v>
      </c>
      <c r="V36" s="122">
        <v>264.83670648761398</v>
      </c>
      <c r="W36" s="122">
        <v>19.904280640895902</v>
      </c>
      <c r="X36" s="122">
        <v>354.29619540794602</v>
      </c>
      <c r="Y36" s="122">
        <v>444.860672324022</v>
      </c>
      <c r="Z36" s="122">
        <v>408.03775313836502</v>
      </c>
      <c r="AA36" s="122">
        <v>386.340632196429</v>
      </c>
      <c r="AB36" s="122">
        <v>199.83191506474199</v>
      </c>
      <c r="AC36" s="122">
        <v>205.422826516295</v>
      </c>
      <c r="AD36" s="122">
        <v>362.43543499604903</v>
      </c>
      <c r="AE36" s="122">
        <v>278.26418053216599</v>
      </c>
      <c r="AF36" s="122">
        <v>435.75899487518598</v>
      </c>
      <c r="AG36" s="122">
        <v>248.80350801119801</v>
      </c>
      <c r="AH36" s="122">
        <v>424.95639168312698</v>
      </c>
      <c r="AI36" s="122">
        <v>427.94203377926101</v>
      </c>
      <c r="AJ36" s="53">
        <v>6.6600689339125401</v>
      </c>
      <c r="AK36" s="53">
        <v>1.7340897138884299</v>
      </c>
      <c r="AL36" s="122">
        <v>315.25617947491298</v>
      </c>
      <c r="AM36" s="122">
        <v>370.98524492095601</v>
      </c>
      <c r="AN36" s="122">
        <v>378.18133217702098</v>
      </c>
      <c r="AO36" s="122">
        <v>417.98989345881301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</row>
    <row r="37" spans="1:254" ht="15.4">
      <c r="A37" s="12" t="s">
        <v>706</v>
      </c>
      <c r="B37" s="12" t="s">
        <v>720</v>
      </c>
      <c r="C37" s="122">
        <v>28883.2631905165</v>
      </c>
      <c r="D37" s="122">
        <v>20915.466448305</v>
      </c>
      <c r="E37" s="122">
        <v>68523.051983018304</v>
      </c>
      <c r="F37" s="122">
        <v>249989.62278688399</v>
      </c>
      <c r="G37" s="122">
        <v>12064.9518752282</v>
      </c>
      <c r="H37" s="122">
        <v>21911.4410410815</v>
      </c>
      <c r="I37" s="122">
        <v>52786.653417150803</v>
      </c>
      <c r="J37" s="122">
        <v>527.86653417150796</v>
      </c>
      <c r="K37" s="122">
        <v>448.18856674939298</v>
      </c>
      <c r="L37" s="122">
        <v>440.713855869989</v>
      </c>
      <c r="M37" s="122">
        <v>388.33713625089803</v>
      </c>
      <c r="N37" s="122">
        <v>558.77433188605505</v>
      </c>
      <c r="O37" s="122">
        <v>98302.692307033503</v>
      </c>
      <c r="P37" s="122">
        <v>369.27644739971697</v>
      </c>
      <c r="Q37" s="122">
        <v>423.65502098105702</v>
      </c>
      <c r="R37" s="122">
        <v>387.68182025200002</v>
      </c>
      <c r="S37" s="122">
        <v>325.98900869424199</v>
      </c>
      <c r="T37" s="122">
        <v>482.00730814684198</v>
      </c>
      <c r="U37" s="122">
        <v>313.92586125922099</v>
      </c>
      <c r="V37" s="122">
        <v>265.03909953349603</v>
      </c>
      <c r="W37" s="122">
        <v>19.919491855528602</v>
      </c>
      <c r="X37" s="122">
        <v>354.56695502840898</v>
      </c>
      <c r="Y37" s="122">
        <v>445.20064297106398</v>
      </c>
      <c r="Z37" s="122">
        <v>408.34958303833599</v>
      </c>
      <c r="AA37" s="122">
        <v>386.63588076048001</v>
      </c>
      <c r="AB37" s="122">
        <v>199.984630262309</v>
      </c>
      <c r="AC37" s="122">
        <v>205.579814390461</v>
      </c>
      <c r="AD37" s="122">
        <v>362.71241477199197</v>
      </c>
      <c r="AE37" s="122">
        <v>278.47683509884098</v>
      </c>
      <c r="AF37" s="122">
        <v>436.09200985416402</v>
      </c>
      <c r="AG37" s="122">
        <v>248.99364819410701</v>
      </c>
      <c r="AH37" s="122">
        <v>425.28115111553598</v>
      </c>
      <c r="AI37" s="122">
        <v>428.26907489386502</v>
      </c>
      <c r="AJ37" s="53">
        <v>6.0588755746179199</v>
      </c>
      <c r="AK37" s="53">
        <v>1.7354149369048399</v>
      </c>
      <c r="AL37" s="122">
        <v>315.49710400249597</v>
      </c>
      <c r="AM37" s="122">
        <v>371.26875861772697</v>
      </c>
      <c r="AN37" s="122">
        <v>378.47034525504301</v>
      </c>
      <c r="AO37" s="122">
        <v>418.3093289661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</row>
    <row r="38" spans="1:254" ht="15.4">
      <c r="A38" s="12" t="s">
        <v>706</v>
      </c>
      <c r="B38" s="12" t="s">
        <v>721</v>
      </c>
      <c r="C38" s="122">
        <v>28943.281375004899</v>
      </c>
      <c r="D38" s="122">
        <v>20958.927892244901</v>
      </c>
      <c r="E38" s="122">
        <v>68665.439951735694</v>
      </c>
      <c r="F38" s="122">
        <v>250509.09052159399</v>
      </c>
      <c r="G38" s="122">
        <v>10917.7045296714</v>
      </c>
      <c r="H38" s="122">
        <v>21956.9720775899</v>
      </c>
      <c r="I38" s="122">
        <v>52896.341823284798</v>
      </c>
      <c r="J38" s="122">
        <v>528.96341823284797</v>
      </c>
      <c r="K38" s="122">
        <v>449.119883405248</v>
      </c>
      <c r="L38" s="122">
        <v>441.62964039661</v>
      </c>
      <c r="M38" s="122">
        <v>389.14408419627</v>
      </c>
      <c r="N38" s="122">
        <v>559.93544102795897</v>
      </c>
      <c r="O38" s="122">
        <v>98506.961093550999</v>
      </c>
      <c r="P38" s="122">
        <v>370.04378804959703</v>
      </c>
      <c r="Q38" s="122">
        <v>424.535357979026</v>
      </c>
      <c r="R38" s="122">
        <v>388.48740647877798</v>
      </c>
      <c r="S38" s="122">
        <v>326.66639989952102</v>
      </c>
      <c r="T38" s="122">
        <v>483.00889869962401</v>
      </c>
      <c r="U38" s="122">
        <v>314.57818576052301</v>
      </c>
      <c r="V38" s="122">
        <v>265.58983943665498</v>
      </c>
      <c r="W38" s="122">
        <v>19.960883706899899</v>
      </c>
      <c r="X38" s="122">
        <v>355.30372998281899</v>
      </c>
      <c r="Y38" s="122">
        <v>446.12575084921298</v>
      </c>
      <c r="Z38" s="122">
        <v>409.19811599144799</v>
      </c>
      <c r="AA38" s="122">
        <v>387.43929356976901</v>
      </c>
      <c r="AB38" s="122">
        <v>200.400189763144</v>
      </c>
      <c r="AC38" s="122">
        <v>206.00700044439799</v>
      </c>
      <c r="AD38" s="122">
        <v>363.46611564306198</v>
      </c>
      <c r="AE38" s="122">
        <v>279.05549804126798</v>
      </c>
      <c r="AF38" s="122">
        <v>436.99819038261398</v>
      </c>
      <c r="AG38" s="122">
        <v>249.511046336249</v>
      </c>
      <c r="AH38" s="122">
        <v>426.16486714231303</v>
      </c>
      <c r="AI38" s="122">
        <v>429.158999698348</v>
      </c>
      <c r="AJ38" s="53">
        <v>6.4214081942462196</v>
      </c>
      <c r="AK38" s="53">
        <v>1.7390210548548799</v>
      </c>
      <c r="AL38" s="122">
        <v>316.15269347895799</v>
      </c>
      <c r="AM38" s="122">
        <v>372.04023920503198</v>
      </c>
      <c r="AN38" s="122">
        <v>379.25679043109898</v>
      </c>
      <c r="AO38" s="122">
        <v>419.17855784489802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</row>
    <row r="39" spans="1:254" ht="15.4">
      <c r="A39" s="12" t="s">
        <v>706</v>
      </c>
      <c r="B39" s="12" t="s">
        <v>722</v>
      </c>
      <c r="C39" s="122">
        <v>28908.6944137881</v>
      </c>
      <c r="D39" s="122">
        <v>20933.8821617086</v>
      </c>
      <c r="E39" s="122">
        <v>68583.3853678835</v>
      </c>
      <c r="F39" s="122">
        <v>250209.734408994</v>
      </c>
      <c r="G39" s="122">
        <v>11575.7726666414</v>
      </c>
      <c r="H39" s="122">
        <v>21930.733693218601</v>
      </c>
      <c r="I39" s="122">
        <v>52833.131170026601</v>
      </c>
      <c r="J39" s="122">
        <v>528.33131170026604</v>
      </c>
      <c r="K39" s="122">
        <v>448.58318917947099</v>
      </c>
      <c r="L39" s="122">
        <v>441.10189694393603</v>
      </c>
      <c r="M39" s="122">
        <v>388.67906051172503</v>
      </c>
      <c r="N39" s="122">
        <v>559.26632320638896</v>
      </c>
      <c r="O39" s="122">
        <v>98389.246160030598</v>
      </c>
      <c r="P39" s="122">
        <v>369.60158904734999</v>
      </c>
      <c r="Q39" s="122">
        <v>424.02804204026597</v>
      </c>
      <c r="R39" s="122">
        <v>388.02316751820598</v>
      </c>
      <c r="S39" s="122">
        <v>326.27603648641099</v>
      </c>
      <c r="T39" s="122">
        <v>482.43170740502899</v>
      </c>
      <c r="U39" s="122">
        <v>314.20226765470898</v>
      </c>
      <c r="V39" s="122">
        <v>265.27246196458702</v>
      </c>
      <c r="W39" s="122">
        <v>19.937030630198699</v>
      </c>
      <c r="X39" s="122">
        <v>354.87914521753697</v>
      </c>
      <c r="Y39" s="122">
        <v>445.59263458494098</v>
      </c>
      <c r="Z39" s="122">
        <v>408.70912791907301</v>
      </c>
      <c r="AA39" s="122">
        <v>386.97630709470701</v>
      </c>
      <c r="AB39" s="122">
        <v>200.16071333677201</v>
      </c>
      <c r="AC39" s="122">
        <v>205.76082392963301</v>
      </c>
      <c r="AD39" s="122">
        <v>363.031776900247</v>
      </c>
      <c r="AE39" s="122">
        <v>278.72202922814301</v>
      </c>
      <c r="AF39" s="122">
        <v>436.47598147109801</v>
      </c>
      <c r="AG39" s="122">
        <v>249.21288287748399</v>
      </c>
      <c r="AH39" s="122">
        <v>425.65560395474301</v>
      </c>
      <c r="AI39" s="122">
        <v>428.646158549272</v>
      </c>
      <c r="AJ39" s="53">
        <v>9.2739718960665503</v>
      </c>
      <c r="AK39" s="53">
        <v>1.7369429403176899</v>
      </c>
      <c r="AL39" s="122">
        <v>315.774893850566</v>
      </c>
      <c r="AM39" s="122">
        <v>371.59565446159098</v>
      </c>
      <c r="AN39" s="122">
        <v>378.80358197377501</v>
      </c>
      <c r="AO39" s="122">
        <v>418.67764323417299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</row>
    <row r="40" spans="1:254" ht="15.4">
      <c r="A40" s="12" t="s">
        <v>706</v>
      </c>
      <c r="B40" s="12" t="s">
        <v>723</v>
      </c>
      <c r="C40" s="121">
        <v>28279.119145955399</v>
      </c>
      <c r="D40" s="121">
        <v>20897.747195270498</v>
      </c>
      <c r="E40" s="121">
        <v>68465.000334981494</v>
      </c>
      <c r="F40" s="121">
        <v>249777.83552442401</v>
      </c>
      <c r="G40" s="121">
        <v>12398.909369294201</v>
      </c>
      <c r="H40" s="121">
        <v>21892.878014092901</v>
      </c>
      <c r="I40" s="121">
        <v>52741.933397587498</v>
      </c>
      <c r="J40" s="121">
        <v>527.41933397587502</v>
      </c>
      <c r="K40" s="121">
        <v>447.80886847008298</v>
      </c>
      <c r="L40" s="121">
        <v>440.83940965399103</v>
      </c>
      <c r="M40" s="121">
        <v>387.95715563754197</v>
      </c>
      <c r="N40" s="121">
        <v>881.79236823426697</v>
      </c>
      <c r="O40" s="121">
        <v>98219.411817771397</v>
      </c>
      <c r="P40" s="121">
        <v>423.25824262957002</v>
      </c>
      <c r="Q40" s="121">
        <v>427.71011937453898</v>
      </c>
      <c r="R40" s="121">
        <v>359.45739553355202</v>
      </c>
      <c r="S40" s="121">
        <v>777.48262429622605</v>
      </c>
      <c r="T40" s="121">
        <v>479.97955598859602</v>
      </c>
      <c r="U40" s="121">
        <v>308.406862741476</v>
      </c>
      <c r="V40" s="121">
        <v>258.28399490875699</v>
      </c>
      <c r="W40" s="121">
        <v>19.902616376448101</v>
      </c>
      <c r="X40" s="121">
        <v>354.26657150077699</v>
      </c>
      <c r="Y40" s="121">
        <v>444.82347601361602</v>
      </c>
      <c r="Z40" s="121">
        <v>408.003635717186</v>
      </c>
      <c r="AA40" s="121">
        <v>381.24964814111502</v>
      </c>
      <c r="AB40" s="121">
        <v>195.12231887466501</v>
      </c>
      <c r="AC40" s="121">
        <v>158.694609283207</v>
      </c>
      <c r="AD40" s="121">
        <v>359.71989406531401</v>
      </c>
      <c r="AE40" s="121">
        <v>272.00902848679902</v>
      </c>
      <c r="AF40" s="121">
        <v>432.481982539282</v>
      </c>
      <c r="AG40" s="121">
        <v>248.78270470560099</v>
      </c>
      <c r="AH40" s="121">
        <v>424.92085963716698</v>
      </c>
      <c r="AI40" s="121">
        <v>427.90625209363401</v>
      </c>
      <c r="AJ40" s="52">
        <v>6.4378793143566799</v>
      </c>
      <c r="AK40" s="52">
        <v>1.49885361649301</v>
      </c>
      <c r="AL40" s="121">
        <v>309.799654281568</v>
      </c>
      <c r="AM40" s="121">
        <v>365.04462947302699</v>
      </c>
      <c r="AN40" s="121">
        <v>378.14971115251399</v>
      </c>
      <c r="AO40" s="121">
        <v>417.95494390541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</row>
    <row r="41" spans="1:254" ht="15.4">
      <c r="A41" s="12" t="s">
        <v>706</v>
      </c>
      <c r="B41" s="12" t="s">
        <v>724</v>
      </c>
      <c r="C41" s="121">
        <v>28169.048135470701</v>
      </c>
      <c r="D41" s="121">
        <v>20816.406749736601</v>
      </c>
      <c r="E41" s="121">
        <v>68198.513541994296</v>
      </c>
      <c r="F41" s="121">
        <v>248805.623532567</v>
      </c>
      <c r="G41" s="121">
        <v>14546.5985683859</v>
      </c>
      <c r="H41" s="121">
        <v>21807.664214009801</v>
      </c>
      <c r="I41" s="121">
        <v>52536.645606478203</v>
      </c>
      <c r="J41" s="121">
        <v>525.36645606478203</v>
      </c>
      <c r="K41" s="121">
        <v>446.06585892292799</v>
      </c>
      <c r="L41" s="121">
        <v>439.12352737945201</v>
      </c>
      <c r="M41" s="121">
        <v>386.447107325025</v>
      </c>
      <c r="N41" s="121">
        <v>878.36016171792198</v>
      </c>
      <c r="O41" s="121">
        <v>97837.111723762195</v>
      </c>
      <c r="P41" s="121">
        <v>421.61079165269302</v>
      </c>
      <c r="Q41" s="121">
        <v>426.04534032710399</v>
      </c>
      <c r="R41" s="121">
        <v>358.05827703384301</v>
      </c>
      <c r="S41" s="121">
        <v>774.45642331560396</v>
      </c>
      <c r="T41" s="121">
        <v>478.111328252541</v>
      </c>
      <c r="U41" s="121">
        <v>307.20644858263398</v>
      </c>
      <c r="V41" s="121">
        <v>257.278674334063</v>
      </c>
      <c r="W41" s="121">
        <v>19.8251492854635</v>
      </c>
      <c r="X41" s="121">
        <v>352.88765728124997</v>
      </c>
      <c r="Y41" s="121">
        <v>443.09208653010899</v>
      </c>
      <c r="Z41" s="121">
        <v>406.41556035200102</v>
      </c>
      <c r="AA41" s="121">
        <v>379.76570750628701</v>
      </c>
      <c r="AB41" s="121">
        <v>194.362842927207</v>
      </c>
      <c r="AC41" s="121">
        <v>158.07692116102299</v>
      </c>
      <c r="AD41" s="121">
        <v>358.31975384075997</v>
      </c>
      <c r="AE41" s="121">
        <v>270.95028586925298</v>
      </c>
      <c r="AF41" s="121">
        <v>430.79862993594099</v>
      </c>
      <c r="AG41" s="121">
        <v>247.814366068293</v>
      </c>
      <c r="AH41" s="121">
        <v>423.26693724464502</v>
      </c>
      <c r="AI41" s="121">
        <v>426.24070963746499</v>
      </c>
      <c r="AJ41" s="52">
        <v>5.7243513157025596</v>
      </c>
      <c r="AK41" s="52">
        <v>1.49301961822438</v>
      </c>
      <c r="AL41" s="121">
        <v>308.59381895060898</v>
      </c>
      <c r="AM41" s="121">
        <v>363.62376374412202</v>
      </c>
      <c r="AN41" s="121">
        <v>376.67783642380601</v>
      </c>
      <c r="AO41" s="121">
        <v>416.32813499473298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</row>
    <row r="42" spans="1:254" ht="15.4">
      <c r="A42" s="12" t="s">
        <v>706</v>
      </c>
      <c r="B42" s="12" t="s">
        <v>725</v>
      </c>
      <c r="C42" s="121">
        <v>28267.0876437642</v>
      </c>
      <c r="D42" s="121">
        <v>20888.856137176601</v>
      </c>
      <c r="E42" s="121">
        <v>68435.871535130893</v>
      </c>
      <c r="F42" s="121">
        <v>249671.56621101499</v>
      </c>
      <c r="G42" s="121">
        <v>12633.709058934101</v>
      </c>
      <c r="H42" s="121">
        <v>21883.5635722802</v>
      </c>
      <c r="I42" s="121">
        <v>52719.4940604933</v>
      </c>
      <c r="J42" s="121">
        <v>527.19494060493298</v>
      </c>
      <c r="K42" s="121">
        <v>447.61834579664099</v>
      </c>
      <c r="L42" s="121">
        <v>440.65185217400398</v>
      </c>
      <c r="M42" s="121">
        <v>387.79209719480599</v>
      </c>
      <c r="N42" s="121">
        <v>881.417204964299</v>
      </c>
      <c r="O42" s="121">
        <v>98177.623844729897</v>
      </c>
      <c r="P42" s="121">
        <v>423.07816515093998</v>
      </c>
      <c r="Q42" s="121">
        <v>427.52814782118497</v>
      </c>
      <c r="R42" s="121">
        <v>359.30446246588099</v>
      </c>
      <c r="S42" s="121">
        <v>777.15184016360797</v>
      </c>
      <c r="T42" s="121">
        <v>479.77534612442702</v>
      </c>
      <c r="U42" s="121">
        <v>308.27564939548301</v>
      </c>
      <c r="V42" s="121">
        <v>258.17410660443301</v>
      </c>
      <c r="W42" s="121">
        <v>19.894148702072901</v>
      </c>
      <c r="X42" s="121">
        <v>354.11584689689801</v>
      </c>
      <c r="Y42" s="121">
        <v>444.63422349132998</v>
      </c>
      <c r="Z42" s="121">
        <v>407.83004839249497</v>
      </c>
      <c r="AA42" s="121">
        <v>381.08744344324799</v>
      </c>
      <c r="AB42" s="121">
        <v>195.03930304255999</v>
      </c>
      <c r="AC42" s="121">
        <v>158.627091814594</v>
      </c>
      <c r="AD42" s="121">
        <v>359.56684931624198</v>
      </c>
      <c r="AE42" s="121">
        <v>271.89330079367801</v>
      </c>
      <c r="AF42" s="121">
        <v>432.29798077127299</v>
      </c>
      <c r="AG42" s="121">
        <v>248.676858775912</v>
      </c>
      <c r="AH42" s="121">
        <v>424.74007478925699</v>
      </c>
      <c r="AI42" s="121">
        <v>427.72419709456801</v>
      </c>
      <c r="AJ42" s="52">
        <v>6.3170790345542303</v>
      </c>
      <c r="AK42" s="52">
        <v>1.4982159212211701</v>
      </c>
      <c r="AL42" s="121">
        <v>309.66784836497902</v>
      </c>
      <c r="AM42" s="121">
        <v>364.88931928685298</v>
      </c>
      <c r="AN42" s="121">
        <v>377.98882533938598</v>
      </c>
      <c r="AO42" s="121">
        <v>417.777122743532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</row>
    <row r="43" spans="1:254" ht="15.4">
      <c r="A43" s="12" t="s">
        <v>706</v>
      </c>
      <c r="B43" s="12" t="s">
        <v>726</v>
      </c>
      <c r="C43" s="121">
        <v>28216.2790541338</v>
      </c>
      <c r="D43" s="121">
        <v>20851.309527044799</v>
      </c>
      <c r="E43" s="121">
        <v>68312.861688603894</v>
      </c>
      <c r="F43" s="121">
        <v>249222.79482325001</v>
      </c>
      <c r="G43" s="121">
        <v>13624.008562339801</v>
      </c>
      <c r="H43" s="121">
        <v>21844.229028332698</v>
      </c>
      <c r="I43" s="121">
        <v>52624.733568255899</v>
      </c>
      <c r="J43" s="121">
        <v>526.24733568255897</v>
      </c>
      <c r="K43" s="121">
        <v>446.81377557953101</v>
      </c>
      <c r="L43" s="121">
        <v>439.85980385940201</v>
      </c>
      <c r="M43" s="121">
        <v>387.09506148399697</v>
      </c>
      <c r="N43" s="121">
        <v>879.83290432375998</v>
      </c>
      <c r="O43" s="121">
        <v>98001.154777110598</v>
      </c>
      <c r="P43" s="121">
        <v>422.31770460595499</v>
      </c>
      <c r="Q43" s="121">
        <v>426.75968866855402</v>
      </c>
      <c r="R43" s="121">
        <v>358.65863176638197</v>
      </c>
      <c r="S43" s="121">
        <v>775.75495098192198</v>
      </c>
      <c r="T43" s="121">
        <v>478.91297540611203</v>
      </c>
      <c r="U43" s="121">
        <v>307.721540278882</v>
      </c>
      <c r="V43" s="121">
        <v>257.71005235162301</v>
      </c>
      <c r="W43" s="121">
        <v>19.858390025757</v>
      </c>
      <c r="X43" s="121">
        <v>353.47934245847398</v>
      </c>
      <c r="Y43" s="121">
        <v>443.83501707566802</v>
      </c>
      <c r="Z43" s="121">
        <v>407.096995528018</v>
      </c>
      <c r="AA43" s="121">
        <v>380.40245899167599</v>
      </c>
      <c r="AB43" s="121">
        <v>194.68873024797401</v>
      </c>
      <c r="AC43" s="121">
        <v>158.34196803693999</v>
      </c>
      <c r="AD43" s="121">
        <v>358.92054699030598</v>
      </c>
      <c r="AE43" s="121">
        <v>271.404587017523</v>
      </c>
      <c r="AF43" s="121">
        <v>431.52094809709502</v>
      </c>
      <c r="AG43" s="121">
        <v>248.229875321962</v>
      </c>
      <c r="AH43" s="121">
        <v>423.97662704991097</v>
      </c>
      <c r="AI43" s="121">
        <v>426.95538555377499</v>
      </c>
      <c r="AJ43" s="52">
        <v>7.0578626086982403</v>
      </c>
      <c r="AK43" s="52">
        <v>1.4955229576276701</v>
      </c>
      <c r="AL43" s="121">
        <v>309.11123684462802</v>
      </c>
      <c r="AM43" s="121">
        <v>364.23345010366</v>
      </c>
      <c r="AN43" s="121">
        <v>377.309410489382</v>
      </c>
      <c r="AO43" s="121">
        <v>417.02619054089598</v>
      </c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</row>
    <row r="44" spans="1:254" ht="15.4">
      <c r="A44" s="12" t="s">
        <v>706</v>
      </c>
      <c r="B44" s="12" t="s">
        <v>727</v>
      </c>
      <c r="C44" s="121">
        <v>28161.132474354701</v>
      </c>
      <c r="D44" s="121">
        <v>20810.557222244901</v>
      </c>
      <c r="E44" s="121">
        <v>68179.349375735706</v>
      </c>
      <c r="F44" s="121">
        <v>248735.70775159399</v>
      </c>
      <c r="G44" s="121">
        <v>14700.409179602801</v>
      </c>
      <c r="H44" s="121">
        <v>21801.536137589901</v>
      </c>
      <c r="I44" s="121">
        <v>52521.8825132848</v>
      </c>
      <c r="J44" s="121">
        <v>525.218825132848</v>
      </c>
      <c r="K44" s="121">
        <v>445.940511905248</v>
      </c>
      <c r="L44" s="121">
        <v>439.00013119602102</v>
      </c>
      <c r="M44" s="121">
        <v>386.33851351219403</v>
      </c>
      <c r="N44" s="121">
        <v>878.11333756736803</v>
      </c>
      <c r="O44" s="121">
        <v>97809.618944551097</v>
      </c>
      <c r="P44" s="121">
        <v>421.49231664659601</v>
      </c>
      <c r="Q44" s="121">
        <v>425.92561918786402</v>
      </c>
      <c r="R44" s="121">
        <v>357.95766064215098</v>
      </c>
      <c r="S44" s="121">
        <v>774.23879670051201</v>
      </c>
      <c r="T44" s="121">
        <v>477.976976277566</v>
      </c>
      <c r="U44" s="121">
        <v>307.12012184103003</v>
      </c>
      <c r="V44" s="121">
        <v>257.20637757811301</v>
      </c>
      <c r="W44" s="121">
        <v>19.819578306899899</v>
      </c>
      <c r="X44" s="121">
        <v>352.788493862819</v>
      </c>
      <c r="Y44" s="121">
        <v>442.96757515921303</v>
      </c>
      <c r="Z44" s="121">
        <v>406.30135529144798</v>
      </c>
      <c r="AA44" s="121">
        <v>379.658991204421</v>
      </c>
      <c r="AB44" s="121">
        <v>194.30822587409401</v>
      </c>
      <c r="AC44" s="121">
        <v>158.03250065621299</v>
      </c>
      <c r="AD44" s="121">
        <v>358.21906397261301</v>
      </c>
      <c r="AE44" s="121">
        <v>270.87414731349099</v>
      </c>
      <c r="AF44" s="121">
        <v>430.67757309555998</v>
      </c>
      <c r="AG44" s="121">
        <v>247.74472883624901</v>
      </c>
      <c r="AH44" s="121">
        <v>423.14799685231299</v>
      </c>
      <c r="AI44" s="121">
        <v>426.12093359834898</v>
      </c>
      <c r="AJ44" s="52">
        <v>6.31163071393616</v>
      </c>
      <c r="AK44" s="52">
        <v>1.4926000713060501</v>
      </c>
      <c r="AL44" s="121">
        <v>308.50710235012002</v>
      </c>
      <c r="AM44" s="121">
        <v>363.52158341933102</v>
      </c>
      <c r="AN44" s="121">
        <v>376.57198783109902</v>
      </c>
      <c r="AO44" s="121">
        <v>416.21114444489803</v>
      </c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</row>
    <row r="45" spans="1:254" ht="15.4">
      <c r="A45" s="12" t="s">
        <v>728</v>
      </c>
      <c r="B45" s="12" t="s">
        <v>729</v>
      </c>
      <c r="C45" s="52">
        <v>2.2687298405782901</v>
      </c>
      <c r="D45" s="52">
        <v>5.0970900523374198E-2</v>
      </c>
      <c r="E45" s="52">
        <v>0.220828455741237</v>
      </c>
      <c r="F45" s="52">
        <v>43.484409897973499</v>
      </c>
      <c r="G45" s="121">
        <v>529242.54264663905</v>
      </c>
      <c r="H45" s="52">
        <v>1.57574860104744</v>
      </c>
      <c r="I45" s="52">
        <v>34.717852552657597</v>
      </c>
      <c r="J45" s="52">
        <v>5.6105346838523397E-2</v>
      </c>
      <c r="K45" s="52">
        <v>0.12935647061882399</v>
      </c>
      <c r="L45" s="52">
        <v>0.33240004464233402</v>
      </c>
      <c r="M45" s="52">
        <v>0.21918549228662401</v>
      </c>
      <c r="N45" s="52">
        <v>0.67141305532123596</v>
      </c>
      <c r="O45" s="121">
        <v>470207.90863234701</v>
      </c>
      <c r="P45" s="52">
        <v>256.12192325954601</v>
      </c>
      <c r="Q45" s="52">
        <v>172.07178837113801</v>
      </c>
      <c r="R45" s="52">
        <v>6.4545336869679795E-2</v>
      </c>
      <c r="S45" s="52">
        <v>0.59242017458588503</v>
      </c>
      <c r="T45" s="52">
        <v>2.2598476700378699E-2</v>
      </c>
      <c r="U45" s="52">
        <v>2.8353358024800599</v>
      </c>
      <c r="V45" s="52">
        <v>30.8168797192257</v>
      </c>
      <c r="W45" s="52">
        <v>3.0886770259585798</v>
      </c>
      <c r="X45" s="52">
        <v>0</v>
      </c>
      <c r="Y45" s="52">
        <v>4.3456617031478696E-3</v>
      </c>
      <c r="Z45" s="52">
        <v>0</v>
      </c>
      <c r="AA45" s="52">
        <v>4.8889271500282497E-3</v>
      </c>
      <c r="AB45" s="52">
        <v>1.19961269482309E-3</v>
      </c>
      <c r="AC45" s="52">
        <v>0.100079749231965</v>
      </c>
      <c r="AD45" s="52">
        <v>5.8192472805144897E-3</v>
      </c>
      <c r="AE45" s="52">
        <v>1.7539436574012E-2</v>
      </c>
      <c r="AF45" s="52">
        <v>0</v>
      </c>
      <c r="AG45" s="52">
        <v>0</v>
      </c>
      <c r="AH45" s="52">
        <v>7.7076209382711505E-4</v>
      </c>
      <c r="AI45" s="52">
        <v>0</v>
      </c>
      <c r="AJ45" s="52">
        <v>0</v>
      </c>
      <c r="AK45" s="52">
        <v>0</v>
      </c>
      <c r="AL45" s="52">
        <v>2.5576939742504599E-2</v>
      </c>
      <c r="AM45" s="52">
        <v>4.4522469458921597E-2</v>
      </c>
      <c r="AN45" s="52">
        <v>0</v>
      </c>
      <c r="AO45" s="52">
        <v>2.8093828292053702E-3</v>
      </c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</row>
    <row r="46" spans="1:254" ht="15.4">
      <c r="A46" s="12" t="s">
        <v>728</v>
      </c>
      <c r="B46" s="12" t="s">
        <v>730</v>
      </c>
      <c r="C46" s="52">
        <v>1.6218738793068399</v>
      </c>
      <c r="D46" s="52">
        <v>4.47431559277792E-2</v>
      </c>
      <c r="E46" s="52">
        <v>0.25243809131137501</v>
      </c>
      <c r="F46" s="52">
        <v>59.248337325598897</v>
      </c>
      <c r="G46" s="121">
        <v>515273.90384521201</v>
      </c>
      <c r="H46" s="52">
        <v>2.2214236325089001</v>
      </c>
      <c r="I46" s="52">
        <v>5.5197662663438098</v>
      </c>
      <c r="J46" s="52">
        <v>1.81385145844279E-2</v>
      </c>
      <c r="K46" s="52">
        <v>0.160984261670121</v>
      </c>
      <c r="L46" s="52">
        <v>0.241517201529592</v>
      </c>
      <c r="M46" s="52">
        <v>0.32972008071230602</v>
      </c>
      <c r="N46" s="52">
        <v>0.46075804562575401</v>
      </c>
      <c r="O46" s="121">
        <v>483880.07347476698</v>
      </c>
      <c r="P46" s="52">
        <v>510.54460909350502</v>
      </c>
      <c r="Q46" s="52">
        <v>224.28673794696999</v>
      </c>
      <c r="R46" s="52">
        <v>6.8976698345497703E-2</v>
      </c>
      <c r="S46" s="52">
        <v>0.61528574001468095</v>
      </c>
      <c r="T46" s="52">
        <v>1.76555818462436E-2</v>
      </c>
      <c r="U46" s="52">
        <v>2.34303934899763</v>
      </c>
      <c r="V46" s="52">
        <v>34.577063582356203</v>
      </c>
      <c r="W46" s="52">
        <v>3.32393465212497</v>
      </c>
      <c r="X46" s="52">
        <v>1.53113412538445E-2</v>
      </c>
      <c r="Y46" s="52">
        <v>3.2305579505710899E-3</v>
      </c>
      <c r="Z46" s="52">
        <v>0</v>
      </c>
      <c r="AA46" s="52">
        <v>0</v>
      </c>
      <c r="AB46" s="52">
        <v>1.4993194355963999E-2</v>
      </c>
      <c r="AC46" s="52">
        <v>3.4273282403156802E-4</v>
      </c>
      <c r="AD46" s="52">
        <v>0</v>
      </c>
      <c r="AE46" s="52">
        <v>3.3907353315248398E-2</v>
      </c>
      <c r="AF46" s="52">
        <v>1.8909265418317799E-2</v>
      </c>
      <c r="AG46" s="52">
        <v>0</v>
      </c>
      <c r="AH46" s="52">
        <v>1.1556977132235999E-2</v>
      </c>
      <c r="AI46" s="52">
        <v>0</v>
      </c>
      <c r="AJ46" s="52">
        <v>4.4522214460936699E-3</v>
      </c>
      <c r="AK46" s="52">
        <v>0</v>
      </c>
      <c r="AL46" s="52">
        <v>5.9165059191069302E-3</v>
      </c>
      <c r="AM46" s="52">
        <v>1.1952001986496E-2</v>
      </c>
      <c r="AN46" s="52">
        <v>1.5715283446485801E-3</v>
      </c>
      <c r="AO46" s="52">
        <v>3.5332422825090702E-3</v>
      </c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</row>
    <row r="47" spans="1:254" ht="15.4">
      <c r="A47" s="12" t="s">
        <v>728</v>
      </c>
      <c r="B47" s="12" t="s">
        <v>731</v>
      </c>
      <c r="C47" s="52">
        <v>1.8105070610606</v>
      </c>
      <c r="D47" s="52">
        <v>1.47522797919172E-2</v>
      </c>
      <c r="E47" s="52">
        <v>6.3413314601397097E-2</v>
      </c>
      <c r="F47" s="52">
        <v>122.77692123612999</v>
      </c>
      <c r="G47" s="121">
        <v>539073.08026644005</v>
      </c>
      <c r="H47" s="52">
        <v>1.44784866808337</v>
      </c>
      <c r="I47" s="52">
        <v>44.6526133017585</v>
      </c>
      <c r="J47" s="52">
        <v>0</v>
      </c>
      <c r="K47" s="52">
        <v>0.32770145796428901</v>
      </c>
      <c r="L47" s="52">
        <v>0.19414644324673</v>
      </c>
      <c r="M47" s="52">
        <v>0.25862485636995602</v>
      </c>
      <c r="N47" s="52">
        <v>0.49661313482752001</v>
      </c>
      <c r="O47" s="121">
        <v>460226.72318060201</v>
      </c>
      <c r="P47" s="52">
        <v>323.11906895927001</v>
      </c>
      <c r="Q47" s="52">
        <v>171.84106258348601</v>
      </c>
      <c r="R47" s="52">
        <v>4.2052775162727103E-2</v>
      </c>
      <c r="S47" s="52">
        <v>0.57358702046038001</v>
      </c>
      <c r="T47" s="52">
        <v>1.02073543710512E-2</v>
      </c>
      <c r="U47" s="52">
        <v>2.0822640532371599</v>
      </c>
      <c r="V47" s="52">
        <v>27.874865818220801</v>
      </c>
      <c r="W47" s="52">
        <v>2.41842326585801</v>
      </c>
      <c r="X47" s="52">
        <v>2.18894914261334E-2</v>
      </c>
      <c r="Y47" s="52">
        <v>4.5448280401722196E-3</v>
      </c>
      <c r="Z47" s="52">
        <v>1.4668999035023799E-3</v>
      </c>
      <c r="AA47" s="52">
        <v>1.16323366958241E-2</v>
      </c>
      <c r="AB47" s="52">
        <v>6.1733472102871298E-3</v>
      </c>
      <c r="AC47" s="52">
        <v>2.6657562567779899E-2</v>
      </c>
      <c r="AD47" s="52">
        <v>3.7886879224514203E-4</v>
      </c>
      <c r="AE47" s="52">
        <v>0</v>
      </c>
      <c r="AF47" s="52">
        <v>2.97006616225504E-2</v>
      </c>
      <c r="AG47" s="52">
        <v>5.8913667317136202E-2</v>
      </c>
      <c r="AH47" s="52">
        <v>2.6190469741432701E-2</v>
      </c>
      <c r="AI47" s="52">
        <v>0</v>
      </c>
      <c r="AJ47" s="52">
        <v>1.0345381869491901E-3</v>
      </c>
      <c r="AK47" s="52">
        <v>0</v>
      </c>
      <c r="AL47" s="52">
        <v>0</v>
      </c>
      <c r="AM47" s="52">
        <v>2.4176986006697201E-4</v>
      </c>
      <c r="AN47" s="52">
        <v>1.31893046658093E-3</v>
      </c>
      <c r="AO47" s="52">
        <v>1.7360028416344301E-3</v>
      </c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</row>
    <row r="48" spans="1:254" ht="15.4">
      <c r="A48" s="12" t="s">
        <v>728</v>
      </c>
      <c r="B48" s="12" t="s">
        <v>732</v>
      </c>
      <c r="C48" s="52">
        <v>1.18531329074402</v>
      </c>
      <c r="D48" s="52">
        <v>1.1149897418205801</v>
      </c>
      <c r="E48" s="52">
        <v>0.76153069672258999</v>
      </c>
      <c r="F48" s="52">
        <v>49.552812474526199</v>
      </c>
      <c r="G48" s="121">
        <v>533126.68121847697</v>
      </c>
      <c r="H48" s="52">
        <v>1.297071579454</v>
      </c>
      <c r="I48" s="52">
        <v>0</v>
      </c>
      <c r="J48" s="52">
        <v>0</v>
      </c>
      <c r="K48" s="52">
        <v>0.63556525968947697</v>
      </c>
      <c r="L48" s="52">
        <v>0.145782470597108</v>
      </c>
      <c r="M48" s="52">
        <v>0.38242518660873498</v>
      </c>
      <c r="N48" s="52">
        <v>0.471453459892197</v>
      </c>
      <c r="O48" s="121">
        <v>466291.00927181198</v>
      </c>
      <c r="P48" s="52">
        <v>318.095394708784</v>
      </c>
      <c r="Q48" s="52">
        <v>177.90606130482499</v>
      </c>
      <c r="R48" s="52">
        <v>0.116331985210767</v>
      </c>
      <c r="S48" s="52">
        <v>0.65382851651958396</v>
      </c>
      <c r="T48" s="52">
        <v>0</v>
      </c>
      <c r="U48" s="52">
        <v>2.1794866394671399</v>
      </c>
      <c r="V48" s="52">
        <v>24.866247823487502</v>
      </c>
      <c r="W48" s="52">
        <v>2.76099806388777</v>
      </c>
      <c r="X48" s="52">
        <v>0</v>
      </c>
      <c r="Y48" s="52">
        <v>2.9036366148649101E-3</v>
      </c>
      <c r="Z48" s="52">
        <v>1.2392411250834599E-3</v>
      </c>
      <c r="AA48" s="52">
        <v>2.8243513784365001E-2</v>
      </c>
      <c r="AB48" s="52">
        <v>0</v>
      </c>
      <c r="AC48" s="52">
        <v>0</v>
      </c>
      <c r="AD48" s="52">
        <v>0</v>
      </c>
      <c r="AE48" s="52">
        <v>4.0773735386231698E-2</v>
      </c>
      <c r="AF48" s="52">
        <v>2.8138495037389501E-3</v>
      </c>
      <c r="AG48" s="52">
        <v>0</v>
      </c>
      <c r="AH48" s="52">
        <v>2.9778919819336998E-2</v>
      </c>
      <c r="AI48" s="52">
        <v>4.0069014319761903E-3</v>
      </c>
      <c r="AJ48" s="52">
        <v>5.67815597341187E-3</v>
      </c>
      <c r="AK48" s="52">
        <v>0</v>
      </c>
      <c r="AL48" s="52">
        <v>3.5624992179372497E-2</v>
      </c>
      <c r="AM48" s="52">
        <v>3.14784530476609E-2</v>
      </c>
      <c r="AN48" s="52">
        <v>0</v>
      </c>
      <c r="AO48" s="52">
        <v>1.6751096447820001E-3</v>
      </c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</row>
    <row r="49" spans="1:256" ht="15.4">
      <c r="A49" s="12" t="s">
        <v>728</v>
      </c>
      <c r="B49" s="12" t="s">
        <v>733</v>
      </c>
      <c r="C49" s="52">
        <v>2.1211569023397998</v>
      </c>
      <c r="D49" s="52">
        <v>34.021248664942597</v>
      </c>
      <c r="E49" s="52">
        <v>19.348037013595199</v>
      </c>
      <c r="F49" s="52">
        <v>104.386405934462</v>
      </c>
      <c r="G49" s="121">
        <v>544657.70042518503</v>
      </c>
      <c r="H49" s="52">
        <v>22.080368805463799</v>
      </c>
      <c r="I49" s="52">
        <v>42.273232150085398</v>
      </c>
      <c r="J49" s="52">
        <v>0</v>
      </c>
      <c r="K49" s="52">
        <v>1.3292385656323999</v>
      </c>
      <c r="L49" s="52">
        <v>0.19269896102053199</v>
      </c>
      <c r="M49" s="52">
        <v>0.333846398110557</v>
      </c>
      <c r="N49" s="52">
        <v>0.68403465772048899</v>
      </c>
      <c r="O49" s="121">
        <v>453321.32124092901</v>
      </c>
      <c r="P49" s="52">
        <v>1520.08335375107</v>
      </c>
      <c r="Q49" s="52">
        <v>206.19949848204001</v>
      </c>
      <c r="R49" s="52">
        <v>0.67314968973566403</v>
      </c>
      <c r="S49" s="52">
        <v>0.67797096511069999</v>
      </c>
      <c r="T49" s="52">
        <v>1.7027613882063201E-2</v>
      </c>
      <c r="U49" s="52">
        <v>2.1637397698369401</v>
      </c>
      <c r="V49" s="52">
        <v>59.536306779784802</v>
      </c>
      <c r="W49" s="52">
        <v>3.0319426948912098</v>
      </c>
      <c r="X49" s="52">
        <v>8.3136092442905304E-2</v>
      </c>
      <c r="Y49" s="52">
        <v>9.0956153506594195E-3</v>
      </c>
      <c r="Z49" s="52">
        <v>3.3734821205676298E-3</v>
      </c>
      <c r="AA49" s="52">
        <v>0</v>
      </c>
      <c r="AB49" s="52">
        <v>6.8597882650075197E-3</v>
      </c>
      <c r="AC49" s="52">
        <v>8.2710138396177094E-2</v>
      </c>
      <c r="AD49" s="52">
        <v>0</v>
      </c>
      <c r="AE49" s="52">
        <v>0</v>
      </c>
      <c r="AF49" s="52">
        <v>2.5043146461676099E-2</v>
      </c>
      <c r="AG49" s="52">
        <v>0.14602216211205701</v>
      </c>
      <c r="AH49" s="52">
        <v>0.42052503783953499</v>
      </c>
      <c r="AI49" s="52">
        <v>0</v>
      </c>
      <c r="AJ49" s="52">
        <v>0</v>
      </c>
      <c r="AK49" s="52">
        <v>0</v>
      </c>
      <c r="AL49" s="52">
        <v>0.61448807501767699</v>
      </c>
      <c r="AM49" s="52">
        <v>0.432631383640179</v>
      </c>
      <c r="AN49" s="52">
        <v>0</v>
      </c>
      <c r="AO49" s="52">
        <v>1.1911650045650199E-3</v>
      </c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</row>
    <row r="50" spans="1:256" ht="15.4">
      <c r="A50" s="12" t="s">
        <v>728</v>
      </c>
      <c r="B50" s="12" t="s">
        <v>734</v>
      </c>
      <c r="C50" s="52">
        <v>4.6101653599450199</v>
      </c>
      <c r="D50" s="52">
        <v>59.1099569519181</v>
      </c>
      <c r="E50" s="52">
        <v>30.526081729536401</v>
      </c>
      <c r="F50" s="52">
        <v>224.87823108691799</v>
      </c>
      <c r="G50" s="121">
        <v>557516.66528122302</v>
      </c>
      <c r="H50" s="52">
        <v>55.352677388374403</v>
      </c>
      <c r="I50" s="52">
        <v>21.303095629682801</v>
      </c>
      <c r="J50" s="52">
        <v>5.2333801179026097E-3</v>
      </c>
      <c r="K50" s="52">
        <v>4.2670383741450602</v>
      </c>
      <c r="L50" s="52">
        <v>0.198481243995213</v>
      </c>
      <c r="M50" s="52">
        <v>2.3739373771546899</v>
      </c>
      <c r="N50" s="52">
        <v>0.91591128332081795</v>
      </c>
      <c r="O50" s="121">
        <v>441415.89393406198</v>
      </c>
      <c r="P50" s="52">
        <v>395.38002269793901</v>
      </c>
      <c r="Q50" s="52">
        <v>221.66116663796501</v>
      </c>
      <c r="R50" s="52">
        <v>1.3988154564084301</v>
      </c>
      <c r="S50" s="52">
        <v>0.89277991010628499</v>
      </c>
      <c r="T50" s="52">
        <v>3.9666874737764403E-2</v>
      </c>
      <c r="U50" s="52">
        <v>2.2158602652116199</v>
      </c>
      <c r="V50" s="52">
        <v>37.086895827346801</v>
      </c>
      <c r="W50" s="52">
        <v>3.0187325729091001</v>
      </c>
      <c r="X50" s="52">
        <v>0.22549229630602999</v>
      </c>
      <c r="Y50" s="52">
        <v>1.36257054813808E-2</v>
      </c>
      <c r="Z50" s="52">
        <v>0</v>
      </c>
      <c r="AA50" s="52">
        <v>1.6725306207508801E-2</v>
      </c>
      <c r="AB50" s="52">
        <v>8.0128291675765108E-3</v>
      </c>
      <c r="AC50" s="52">
        <v>1.44806883246579E-2</v>
      </c>
      <c r="AD50" s="52">
        <v>1.1356991972648599E-4</v>
      </c>
      <c r="AE50" s="52">
        <v>2.6082065536729201E-2</v>
      </c>
      <c r="AF50" s="52">
        <v>2.5262494709557499E-2</v>
      </c>
      <c r="AG50" s="52">
        <v>0</v>
      </c>
      <c r="AH50" s="52">
        <v>0.99514090196014005</v>
      </c>
      <c r="AI50" s="52">
        <v>0</v>
      </c>
      <c r="AJ50" s="52">
        <v>1.1217042574971101E-3</v>
      </c>
      <c r="AK50" s="52">
        <v>1.43761188400223E-2</v>
      </c>
      <c r="AL50" s="52">
        <v>0.42855208992488197</v>
      </c>
      <c r="AM50" s="52">
        <v>0.43237919051095902</v>
      </c>
      <c r="AN50" s="52">
        <v>2.0046902407029801E-3</v>
      </c>
      <c r="AO50" s="52">
        <v>2.66501587634524E-3</v>
      </c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</row>
    <row r="51" spans="1:256" ht="15.4">
      <c r="A51" s="12" t="s">
        <v>728</v>
      </c>
      <c r="B51" s="12" t="s">
        <v>735</v>
      </c>
      <c r="C51" s="52">
        <v>0.42372668168058902</v>
      </c>
      <c r="D51" s="52">
        <v>6.3140768334578698E-2</v>
      </c>
      <c r="E51" s="52">
        <v>0.19692669832742299</v>
      </c>
      <c r="F51" s="52">
        <v>107.79186453642301</v>
      </c>
      <c r="G51" s="121">
        <v>536783.64992242504</v>
      </c>
      <c r="H51" s="52">
        <v>2.2233775534841298</v>
      </c>
      <c r="I51" s="52">
        <v>56.643647192962298</v>
      </c>
      <c r="J51" s="52">
        <v>4.1138380692136101E-2</v>
      </c>
      <c r="K51" s="52">
        <v>1.32351832621425</v>
      </c>
      <c r="L51" s="52">
        <v>0.10124798006848799</v>
      </c>
      <c r="M51" s="52">
        <v>4.7020960426585899E-2</v>
      </c>
      <c r="N51" s="52">
        <v>0.48621105503919498</v>
      </c>
      <c r="O51" s="121">
        <v>462601.40940386901</v>
      </c>
      <c r="P51" s="52">
        <v>204.15491391214701</v>
      </c>
      <c r="Q51" s="52">
        <v>209.48331084960299</v>
      </c>
      <c r="R51" s="52">
        <v>0.46465070375669798</v>
      </c>
      <c r="S51" s="52">
        <v>0.90294052795715196</v>
      </c>
      <c r="T51" s="52">
        <v>7.3690545771497003E-3</v>
      </c>
      <c r="U51" s="52">
        <v>1.7791696268387001</v>
      </c>
      <c r="V51" s="52">
        <v>25.532124006273001</v>
      </c>
      <c r="W51" s="52">
        <v>3.0853377096188299</v>
      </c>
      <c r="X51" s="52">
        <v>4.7212198109122701E-2</v>
      </c>
      <c r="Y51" s="52">
        <v>1.2227224651795801E-3</v>
      </c>
      <c r="Z51" s="52">
        <v>4.9822668945031104E-3</v>
      </c>
      <c r="AA51" s="52">
        <v>0</v>
      </c>
      <c r="AB51" s="52">
        <v>3.9444823532240499E-3</v>
      </c>
      <c r="AC51" s="52">
        <v>2.36411873363108E-2</v>
      </c>
      <c r="AD51" s="52">
        <v>0</v>
      </c>
      <c r="AE51" s="52">
        <v>7.2463094191740296E-2</v>
      </c>
      <c r="AF51" s="52">
        <v>0</v>
      </c>
      <c r="AG51" s="52">
        <v>2.3864211549781699E-2</v>
      </c>
      <c r="AH51" s="52">
        <v>0</v>
      </c>
      <c r="AI51" s="52">
        <v>0</v>
      </c>
      <c r="AJ51" s="52">
        <v>0</v>
      </c>
      <c r="AK51" s="52">
        <v>4.3508897652426703E-4</v>
      </c>
      <c r="AL51" s="52">
        <v>6.0226104897307901E-3</v>
      </c>
      <c r="AM51" s="52">
        <v>5.0020408471188804E-3</v>
      </c>
      <c r="AN51" s="52">
        <v>2.4727842690413799E-4</v>
      </c>
      <c r="AO51" s="52">
        <v>0</v>
      </c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</row>
    <row r="52" spans="1:256" ht="15.4">
      <c r="A52" s="12" t="s">
        <v>728</v>
      </c>
      <c r="B52" s="12" t="s">
        <v>736</v>
      </c>
      <c r="C52" s="53">
        <v>0.33191776724010602</v>
      </c>
      <c r="D52" s="53">
        <v>5.1219536690605597E-2</v>
      </c>
      <c r="E52" s="53">
        <v>0.213806248057927</v>
      </c>
      <c r="F52" s="53">
        <v>110.468774029795</v>
      </c>
      <c r="G52" s="122">
        <v>536105.53233927302</v>
      </c>
      <c r="H52" s="53">
        <v>2.1235997904144002</v>
      </c>
      <c r="I52" s="53">
        <v>53.047800778745298</v>
      </c>
      <c r="J52" s="53">
        <v>3.79502924027319E-2</v>
      </c>
      <c r="K52" s="53">
        <v>1.3107532214525299</v>
      </c>
      <c r="L52" s="53">
        <v>0.104040333032705</v>
      </c>
      <c r="M52" s="53">
        <v>8.7354260342679992E-3</v>
      </c>
      <c r="N52" s="53">
        <v>0.488104843209475</v>
      </c>
      <c r="O52" s="122">
        <v>463276.312753351</v>
      </c>
      <c r="P52" s="53">
        <v>206.61510626552399</v>
      </c>
      <c r="Q52" s="53">
        <v>211.376382617198</v>
      </c>
      <c r="R52" s="53">
        <v>0.45026555676653501</v>
      </c>
      <c r="S52" s="53">
        <v>1.03162921460322</v>
      </c>
      <c r="T52" s="53">
        <v>7.28265501341477E-3</v>
      </c>
      <c r="U52" s="53">
        <v>1.8134312631995999</v>
      </c>
      <c r="V52" s="53">
        <v>25.422625371858601</v>
      </c>
      <c r="W52" s="53">
        <v>3.05344461618777</v>
      </c>
      <c r="X52" s="53">
        <v>4.9539426142852901E-2</v>
      </c>
      <c r="Y52" s="53">
        <v>2.2276778431022199E-3</v>
      </c>
      <c r="Z52" s="53">
        <v>4.9837815450354296E-3</v>
      </c>
      <c r="AA52" s="53">
        <v>5.26099439263303E-3</v>
      </c>
      <c r="AB52" s="53">
        <v>7.0540824651514301E-3</v>
      </c>
      <c r="AC52" s="53">
        <v>2.44257580029375E-2</v>
      </c>
      <c r="AD52" s="53">
        <v>0</v>
      </c>
      <c r="AE52" s="53">
        <v>7.02145772341599E-2</v>
      </c>
      <c r="AF52" s="53">
        <v>0</v>
      </c>
      <c r="AG52" s="53">
        <v>2.2426692112077502E-2</v>
      </c>
      <c r="AH52" s="53">
        <v>0</v>
      </c>
      <c r="AI52" s="53">
        <v>0</v>
      </c>
      <c r="AJ52" s="53">
        <v>0</v>
      </c>
      <c r="AK52" s="53">
        <v>6.5747650580643996E-5</v>
      </c>
      <c r="AL52" s="53">
        <v>6.9775727953156801E-3</v>
      </c>
      <c r="AM52" s="53">
        <v>4.6699761077044202E-3</v>
      </c>
      <c r="AN52" s="53">
        <v>1.9126227833782101E-4</v>
      </c>
      <c r="AO52" s="53">
        <v>0</v>
      </c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</row>
    <row r="53" spans="1:256" ht="15.4">
      <c r="A53" s="12" t="s">
        <v>728</v>
      </c>
      <c r="B53" s="12" t="s">
        <v>737</v>
      </c>
      <c r="C53" s="53">
        <v>0.64852983502066897</v>
      </c>
      <c r="D53" s="53">
        <v>0.112620082760004</v>
      </c>
      <c r="E53" s="53">
        <v>0.19320323828646599</v>
      </c>
      <c r="F53" s="53">
        <v>85.166924165980404</v>
      </c>
      <c r="G53" s="122">
        <v>532331.65456091799</v>
      </c>
      <c r="H53" s="53">
        <v>0.17780116527241399</v>
      </c>
      <c r="I53" s="53">
        <v>10.3176015351407</v>
      </c>
      <c r="J53" s="53">
        <v>0</v>
      </c>
      <c r="K53" s="53">
        <v>1.45752943455645</v>
      </c>
      <c r="L53" s="53">
        <v>6.8385371691675301E-2</v>
      </c>
      <c r="M53" s="53">
        <v>0.39634928299916</v>
      </c>
      <c r="N53" s="53">
        <v>0.49284240143937302</v>
      </c>
      <c r="O53" s="122">
        <v>467307.37840490602</v>
      </c>
      <c r="P53" s="53">
        <v>109.08759832252601</v>
      </c>
      <c r="Q53" s="53">
        <v>124.668947707024</v>
      </c>
      <c r="R53" s="53">
        <v>0.12420866883743301</v>
      </c>
      <c r="S53" s="53">
        <v>0.73939013002951304</v>
      </c>
      <c r="T53" s="53">
        <v>4.8300740572318904E-3</v>
      </c>
      <c r="U53" s="53">
        <v>1.85964880232629</v>
      </c>
      <c r="V53" s="53">
        <v>22.685003857622601</v>
      </c>
      <c r="W53" s="53">
        <v>2.6479881300197698</v>
      </c>
      <c r="X53" s="53">
        <v>1.6584657295229999E-2</v>
      </c>
      <c r="Y53" s="53">
        <v>5.1239629532322398E-3</v>
      </c>
      <c r="Z53" s="53">
        <v>0</v>
      </c>
      <c r="AA53" s="53">
        <v>1.13976871139254E-2</v>
      </c>
      <c r="AB53" s="53">
        <v>6.8635292399504104E-3</v>
      </c>
      <c r="AC53" s="53">
        <v>1.8519724708887401E-2</v>
      </c>
      <c r="AD53" s="53">
        <v>0</v>
      </c>
      <c r="AE53" s="53">
        <v>3.8779806566885497E-2</v>
      </c>
      <c r="AF53" s="53">
        <v>0</v>
      </c>
      <c r="AG53" s="53">
        <v>0</v>
      </c>
      <c r="AH53" s="53">
        <v>1.26502556757257E-2</v>
      </c>
      <c r="AI53" s="53">
        <v>2.5723591424026801E-3</v>
      </c>
      <c r="AJ53" s="53">
        <v>0</v>
      </c>
      <c r="AK53" s="53">
        <v>0</v>
      </c>
      <c r="AL53" s="53">
        <v>3.4879938086786301E-3</v>
      </c>
      <c r="AM53" s="53">
        <v>0</v>
      </c>
      <c r="AN53" s="53">
        <v>0</v>
      </c>
      <c r="AO53" s="53">
        <v>1.65199367115761E-3</v>
      </c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</row>
    <row r="54" spans="1:256" ht="15.4">
      <c r="A54" s="12" t="s">
        <v>728</v>
      </c>
      <c r="B54" s="12" t="s">
        <v>738</v>
      </c>
      <c r="C54" s="53">
        <v>0.43029677628892499</v>
      </c>
      <c r="D54" s="53">
        <v>3.9676478276774398</v>
      </c>
      <c r="E54" s="53">
        <v>1.7128654740082101</v>
      </c>
      <c r="F54" s="53">
        <v>122.18230641167</v>
      </c>
      <c r="G54" s="122">
        <v>550407.32725400501</v>
      </c>
      <c r="H54" s="53">
        <v>5.5999189774431004</v>
      </c>
      <c r="I54" s="53">
        <v>8.98582212838547</v>
      </c>
      <c r="J54" s="53">
        <v>7.18490478291295E-2</v>
      </c>
      <c r="K54" s="53">
        <v>1.52269256973532</v>
      </c>
      <c r="L54" s="53">
        <v>9.1167677102970399E-2</v>
      </c>
      <c r="M54" s="53">
        <v>0.301477506133707</v>
      </c>
      <c r="N54" s="53">
        <v>0.56853901145996899</v>
      </c>
      <c r="O54" s="122">
        <v>448835.29251336999</v>
      </c>
      <c r="P54" s="53">
        <v>318.59294488981902</v>
      </c>
      <c r="Q54" s="53">
        <v>242.35537000718401</v>
      </c>
      <c r="R54" s="53">
        <v>0</v>
      </c>
      <c r="S54" s="53">
        <v>0.96231675615071999</v>
      </c>
      <c r="T54" s="53">
        <v>0</v>
      </c>
      <c r="U54" s="53">
        <v>1.6363792751278501</v>
      </c>
      <c r="V54" s="53">
        <v>44.197936679437902</v>
      </c>
      <c r="W54" s="53">
        <v>3.2650176190007798</v>
      </c>
      <c r="X54" s="53">
        <v>3.0926676008237598E-2</v>
      </c>
      <c r="Y54" s="53">
        <v>6.2753154843883498E-3</v>
      </c>
      <c r="Z54" s="53">
        <v>0</v>
      </c>
      <c r="AA54" s="53">
        <v>1.7756505028115701E-3</v>
      </c>
      <c r="AB54" s="53">
        <v>1.0388390668336101E-2</v>
      </c>
      <c r="AC54" s="53">
        <v>4.5328405929115197E-2</v>
      </c>
      <c r="AD54" s="53">
        <v>1.83945472786454E-3</v>
      </c>
      <c r="AE54" s="53">
        <v>4.9899627436536198E-2</v>
      </c>
      <c r="AF54" s="53">
        <v>0</v>
      </c>
      <c r="AG54" s="53">
        <v>0.137164494427438</v>
      </c>
      <c r="AH54" s="53">
        <v>4.0463643352583102E-2</v>
      </c>
      <c r="AI54" s="53">
        <v>4.1532126898469798E-3</v>
      </c>
      <c r="AJ54" s="53">
        <v>0</v>
      </c>
      <c r="AK54" s="53">
        <v>6.2785627452451101E-3</v>
      </c>
      <c r="AL54" s="53">
        <v>0.32398249150485903</v>
      </c>
      <c r="AM54" s="53">
        <v>0.273971264233141</v>
      </c>
      <c r="AN54" s="53">
        <v>3.2368005033545999E-3</v>
      </c>
      <c r="AO54" s="53">
        <v>0</v>
      </c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</row>
    <row r="55" spans="1:256" ht="15.4">
      <c r="A55" s="12" t="s">
        <v>728</v>
      </c>
      <c r="B55" s="12" t="s">
        <v>739</v>
      </c>
      <c r="C55" s="53">
        <v>1.49517602627226</v>
      </c>
      <c r="D55" s="53">
        <v>0</v>
      </c>
      <c r="E55" s="53">
        <v>3.5652291949708002E-2</v>
      </c>
      <c r="F55" s="53">
        <v>101.44845988302001</v>
      </c>
      <c r="G55" s="122">
        <v>530416.17191292695</v>
      </c>
      <c r="H55" s="53">
        <v>2.8339557067001899</v>
      </c>
      <c r="I55" s="53">
        <v>0</v>
      </c>
      <c r="J55" s="53">
        <v>1.3175604066279401E-2</v>
      </c>
      <c r="K55" s="53">
        <v>1.40017649183963</v>
      </c>
      <c r="L55" s="53">
        <v>6.50003573605029E-2</v>
      </c>
      <c r="M55" s="53">
        <v>0.78920339258167505</v>
      </c>
      <c r="N55" s="53">
        <v>0.52595681697438901</v>
      </c>
      <c r="O55" s="122">
        <v>468358.59985011199</v>
      </c>
      <c r="P55" s="53">
        <v>853.69098431881605</v>
      </c>
      <c r="Q55" s="53">
        <v>217.048493165677</v>
      </c>
      <c r="R55" s="53">
        <v>0.176336272135002</v>
      </c>
      <c r="S55" s="53">
        <v>1.0333847291448801</v>
      </c>
      <c r="T55" s="53">
        <v>6.7460015166708803E-3</v>
      </c>
      <c r="U55" s="53">
        <v>1.6385796819668701</v>
      </c>
      <c r="V55" s="53">
        <v>39.830281804717998</v>
      </c>
      <c r="W55" s="53">
        <v>3.1104460988945402</v>
      </c>
      <c r="X55" s="53">
        <v>0</v>
      </c>
      <c r="Y55" s="53">
        <v>3.4156929268233799E-3</v>
      </c>
      <c r="Z55" s="53">
        <v>1.7441952190060399E-3</v>
      </c>
      <c r="AA55" s="53">
        <v>9.0512613237963505E-3</v>
      </c>
      <c r="AB55" s="53">
        <v>0</v>
      </c>
      <c r="AC55" s="53">
        <v>0</v>
      </c>
      <c r="AD55" s="53">
        <v>0</v>
      </c>
      <c r="AE55" s="53">
        <v>4.1895242057941602E-2</v>
      </c>
      <c r="AF55" s="53">
        <v>1.1276454678144201E-2</v>
      </c>
      <c r="AG55" s="53">
        <v>0</v>
      </c>
      <c r="AH55" s="53">
        <v>0</v>
      </c>
      <c r="AI55" s="53">
        <v>1.30903171783678E-3</v>
      </c>
      <c r="AJ55" s="53">
        <v>4.1018355110849702E-3</v>
      </c>
      <c r="AK55" s="53">
        <v>0</v>
      </c>
      <c r="AL55" s="53">
        <v>6.2233281987321702E-4</v>
      </c>
      <c r="AM55" s="53">
        <v>9.6458569977623705E-3</v>
      </c>
      <c r="AN55" s="53">
        <v>2.5776458857668799E-3</v>
      </c>
      <c r="AO55" s="53">
        <v>5.8876885344848401E-4</v>
      </c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</row>
    <row r="56" spans="1:256" ht="15.4">
      <c r="A56" s="12" t="s">
        <v>728</v>
      </c>
      <c r="B56" s="12" t="s">
        <v>740</v>
      </c>
      <c r="C56" s="53">
        <v>1.82049845874331</v>
      </c>
      <c r="D56" s="53">
        <v>0.137907819994355</v>
      </c>
      <c r="E56" s="53">
        <v>0.232741054276246</v>
      </c>
      <c r="F56" s="53">
        <v>71.030453143348296</v>
      </c>
      <c r="G56" s="122">
        <v>556590.97422593704</v>
      </c>
      <c r="H56" s="53">
        <v>1.4171817969150999</v>
      </c>
      <c r="I56" s="53">
        <v>0</v>
      </c>
      <c r="J56" s="53">
        <v>4.3454264750487699E-2</v>
      </c>
      <c r="K56" s="53">
        <v>1.52782540523663</v>
      </c>
      <c r="L56" s="53">
        <v>7.6424608850754902E-2</v>
      </c>
      <c r="M56" s="53">
        <v>0.60065150219136298</v>
      </c>
      <c r="N56" s="53">
        <v>0.32878360430583198</v>
      </c>
      <c r="O56" s="122">
        <v>442747.97082985903</v>
      </c>
      <c r="P56" s="53">
        <v>362.57425799338301</v>
      </c>
      <c r="Q56" s="53">
        <v>187.99671689481201</v>
      </c>
      <c r="R56" s="53">
        <v>2.75603773626567E-2</v>
      </c>
      <c r="S56" s="53">
        <v>0.66321079614390299</v>
      </c>
      <c r="T56" s="53">
        <v>0</v>
      </c>
      <c r="U56" s="53">
        <v>1.5842602530930801</v>
      </c>
      <c r="V56" s="53">
        <v>28.5215867361993</v>
      </c>
      <c r="W56" s="53">
        <v>2.3749610316024099</v>
      </c>
      <c r="X56" s="53">
        <v>0</v>
      </c>
      <c r="Y56" s="53">
        <v>9.83698441912597E-3</v>
      </c>
      <c r="Z56" s="53">
        <v>0</v>
      </c>
      <c r="AA56" s="53">
        <v>0</v>
      </c>
      <c r="AB56" s="53">
        <v>1.74627012267887E-3</v>
      </c>
      <c r="AC56" s="53">
        <v>3.2544260239352599E-2</v>
      </c>
      <c r="AD56" s="53">
        <v>2.9677624476211698E-3</v>
      </c>
      <c r="AE56" s="53">
        <v>1.75352270164073E-2</v>
      </c>
      <c r="AF56" s="53">
        <v>0</v>
      </c>
      <c r="AG56" s="53">
        <v>0</v>
      </c>
      <c r="AH56" s="53">
        <v>5.0932528857076101E-3</v>
      </c>
      <c r="AI56" s="53">
        <v>0</v>
      </c>
      <c r="AJ56" s="53">
        <v>9.7270913655616697E-3</v>
      </c>
      <c r="AK56" s="53">
        <v>0</v>
      </c>
      <c r="AL56" s="53">
        <v>0</v>
      </c>
      <c r="AM56" s="53">
        <v>1.70176139790265E-2</v>
      </c>
      <c r="AN56" s="53">
        <v>0</v>
      </c>
      <c r="AO56" s="53">
        <v>0</v>
      </c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</row>
    <row r="57" spans="1:256" ht="15.4">
      <c r="A57" s="12" t="s">
        <v>728</v>
      </c>
      <c r="B57" s="12" t="s">
        <v>741</v>
      </c>
      <c r="C57" s="53">
        <v>0.74482526971632901</v>
      </c>
      <c r="D57" s="53">
        <v>12.971699782123901</v>
      </c>
      <c r="E57" s="53">
        <v>8.3487258769462596</v>
      </c>
      <c r="F57" s="53">
        <v>67.5334993033903</v>
      </c>
      <c r="G57" s="122">
        <v>557701.85871867405</v>
      </c>
      <c r="H57" s="53">
        <v>1.0641821473116599</v>
      </c>
      <c r="I57" s="53">
        <v>3.2942649022160402</v>
      </c>
      <c r="J57" s="53">
        <v>6.0989004782379197E-3</v>
      </c>
      <c r="K57" s="53">
        <v>1.34898440871257</v>
      </c>
      <c r="L57" s="53">
        <v>5.5468857234191503E-2</v>
      </c>
      <c r="M57" s="53">
        <v>0.14934004347492999</v>
      </c>
      <c r="N57" s="53">
        <v>0.55005105848550495</v>
      </c>
      <c r="O57" s="122">
        <v>441511.26905990101</v>
      </c>
      <c r="P57" s="53">
        <v>467.69200803335599</v>
      </c>
      <c r="Q57" s="53">
        <v>183.63911878175199</v>
      </c>
      <c r="R57" s="53">
        <v>2.6450670353829899</v>
      </c>
      <c r="S57" s="53">
        <v>0.79302988627160997</v>
      </c>
      <c r="T57" s="53">
        <v>1.9610112395032499E-2</v>
      </c>
      <c r="U57" s="53">
        <v>1.4588009178552801</v>
      </c>
      <c r="V57" s="53">
        <v>31.611842089229501</v>
      </c>
      <c r="W57" s="53">
        <v>2.6598128612599199</v>
      </c>
      <c r="X57" s="53">
        <v>1.6443061886475201E-2</v>
      </c>
      <c r="Y57" s="53">
        <v>2.1001731365039E-5</v>
      </c>
      <c r="Z57" s="53">
        <v>1.2062590792658999E-3</v>
      </c>
      <c r="AA57" s="53">
        <v>2.5918608572609901E-3</v>
      </c>
      <c r="AB57" s="53">
        <v>8.5132341027574195E-4</v>
      </c>
      <c r="AC57" s="53">
        <v>1.7298697841138501E-2</v>
      </c>
      <c r="AD57" s="53">
        <v>3.8504628237339702E-3</v>
      </c>
      <c r="AE57" s="53">
        <v>0</v>
      </c>
      <c r="AF57" s="53">
        <v>2.36546141784214E-2</v>
      </c>
      <c r="AG57" s="53">
        <v>4.8174187825925703E-2</v>
      </c>
      <c r="AH57" s="53">
        <v>3.0371387378628201E-2</v>
      </c>
      <c r="AI57" s="53">
        <v>0</v>
      </c>
      <c r="AJ57" s="53">
        <v>4.4898345970914003E-5</v>
      </c>
      <c r="AK57" s="53">
        <v>0</v>
      </c>
      <c r="AL57" s="53">
        <v>7.6046203041655505E-2</v>
      </c>
      <c r="AM57" s="53">
        <v>6.2461469860369601E-2</v>
      </c>
      <c r="AN57" s="53">
        <v>2.77572918587245E-3</v>
      </c>
      <c r="AO57" s="53">
        <v>0</v>
      </c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</row>
    <row r="58" spans="1:256" ht="15.4">
      <c r="A58" s="12" t="s">
        <v>728</v>
      </c>
      <c r="B58" s="12" t="s">
        <v>742</v>
      </c>
      <c r="C58" s="53">
        <v>1.3443745038705099</v>
      </c>
      <c r="D58" s="53">
        <v>0.122022674636125</v>
      </c>
      <c r="E58" s="53">
        <v>0.15059531220483799</v>
      </c>
      <c r="F58" s="53">
        <v>67.982849411080906</v>
      </c>
      <c r="G58" s="122">
        <v>560220.925622846</v>
      </c>
      <c r="H58" s="53">
        <v>2.06327666616829</v>
      </c>
      <c r="I58" s="53">
        <v>0</v>
      </c>
      <c r="J58" s="53">
        <v>0</v>
      </c>
      <c r="K58" s="53">
        <v>1.4913694119687499</v>
      </c>
      <c r="L58" s="53">
        <v>3.8862140125807999E-2</v>
      </c>
      <c r="M58" s="53">
        <v>0.208203551691474</v>
      </c>
      <c r="N58" s="53">
        <v>0.552710767294053</v>
      </c>
      <c r="O58" s="122">
        <v>439122.28964884899</v>
      </c>
      <c r="P58" s="53">
        <v>407.34325926541197</v>
      </c>
      <c r="Q58" s="53">
        <v>144.003163637478</v>
      </c>
      <c r="R58" s="53">
        <v>6.8666766809459795E-2</v>
      </c>
      <c r="S58" s="53">
        <v>0.72496825935021603</v>
      </c>
      <c r="T58" s="53">
        <v>1.2069622261774699E-2</v>
      </c>
      <c r="U58" s="53">
        <v>1.50659595267348</v>
      </c>
      <c r="V58" s="53">
        <v>26.078450814522501</v>
      </c>
      <c r="W58" s="53">
        <v>2.8503506791034701</v>
      </c>
      <c r="X58" s="53">
        <v>2.4585111981719299E-2</v>
      </c>
      <c r="Y58" s="53">
        <v>1.58333867773018E-3</v>
      </c>
      <c r="Z58" s="53">
        <v>0</v>
      </c>
      <c r="AA58" s="53">
        <v>0</v>
      </c>
      <c r="AB58" s="53">
        <v>0</v>
      </c>
      <c r="AC58" s="53">
        <v>0</v>
      </c>
      <c r="AD58" s="53">
        <v>7.6916030894513196E-3</v>
      </c>
      <c r="AE58" s="53">
        <v>2.725068825601E-2</v>
      </c>
      <c r="AF58" s="53">
        <v>0</v>
      </c>
      <c r="AG58" s="53">
        <v>0.10415898631970601</v>
      </c>
      <c r="AH58" s="53">
        <v>5.5075688323826401E-2</v>
      </c>
      <c r="AI58" s="53">
        <v>0</v>
      </c>
      <c r="AJ58" s="53">
        <v>0</v>
      </c>
      <c r="AK58" s="53">
        <v>4.9146105388574498E-3</v>
      </c>
      <c r="AL58" s="53">
        <v>4.9091279314303696E-3</v>
      </c>
      <c r="AM58" s="53">
        <v>9.3874173347948797E-3</v>
      </c>
      <c r="AN58" s="53">
        <v>1.43667415253004E-3</v>
      </c>
      <c r="AO58" s="53">
        <v>1.94562172653188E-3</v>
      </c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</row>
    <row r="59" spans="1:256" ht="15.4">
      <c r="A59" s="12" t="s">
        <v>728</v>
      </c>
      <c r="B59" s="12" t="s">
        <v>743</v>
      </c>
      <c r="C59" s="53">
        <v>1.3924617007667901</v>
      </c>
      <c r="D59" s="53">
        <v>0.112229504084138</v>
      </c>
      <c r="E59" s="53">
        <v>9.9311874757636601E-2</v>
      </c>
      <c r="F59" s="53">
        <v>78.508284070667202</v>
      </c>
      <c r="G59" s="122">
        <v>553997.61499858496</v>
      </c>
      <c r="H59" s="53">
        <v>0.51677895713004496</v>
      </c>
      <c r="I59" s="53">
        <v>0</v>
      </c>
      <c r="J59" s="53">
        <v>0</v>
      </c>
      <c r="K59" s="53">
        <v>1.6905913736871401</v>
      </c>
      <c r="L59" s="53">
        <v>5.2541500232033501E-2</v>
      </c>
      <c r="M59" s="53">
        <v>0.463714506331666</v>
      </c>
      <c r="N59" s="53">
        <v>0.43483197786712602</v>
      </c>
      <c r="O59" s="122">
        <v>445543.53973255301</v>
      </c>
      <c r="P59" s="53">
        <v>211.96832024018099</v>
      </c>
      <c r="Q59" s="53">
        <v>130.95588672000699</v>
      </c>
      <c r="R59" s="53">
        <v>0.16990271564885501</v>
      </c>
      <c r="S59" s="53">
        <v>1.64234138453048</v>
      </c>
      <c r="T59" s="53">
        <v>5.1445668352492605E-4</v>
      </c>
      <c r="U59" s="53">
        <v>1.6410892611862</v>
      </c>
      <c r="V59" s="53">
        <v>26.222263802038999</v>
      </c>
      <c r="W59" s="53">
        <v>2.7948020898711698</v>
      </c>
      <c r="X59" s="53">
        <v>0</v>
      </c>
      <c r="Y59" s="53">
        <v>1.09220877975873E-2</v>
      </c>
      <c r="Z59" s="53">
        <v>9.1714987140685203E-5</v>
      </c>
      <c r="AA59" s="53">
        <v>2.9587956771363801E-2</v>
      </c>
      <c r="AB59" s="53">
        <v>3.1263339755717E-4</v>
      </c>
      <c r="AC59" s="53">
        <v>2.2246671946317E-2</v>
      </c>
      <c r="AD59" s="53">
        <v>5.2208133872587198E-4</v>
      </c>
      <c r="AE59" s="53">
        <v>8.1561802974068107E-2</v>
      </c>
      <c r="AF59" s="53">
        <v>0</v>
      </c>
      <c r="AG59" s="53">
        <v>0</v>
      </c>
      <c r="AH59" s="53">
        <v>1.4893249269532101E-2</v>
      </c>
      <c r="AI59" s="53">
        <v>0</v>
      </c>
      <c r="AJ59" s="53">
        <v>0</v>
      </c>
      <c r="AK59" s="53">
        <v>5.0073241281112504E-3</v>
      </c>
      <c r="AL59" s="53">
        <v>6.5648814515983202E-3</v>
      </c>
      <c r="AM59" s="53">
        <v>1.0155593990417999E-3</v>
      </c>
      <c r="AN59" s="53">
        <v>2.8576108221560498E-3</v>
      </c>
      <c r="AO59" s="53">
        <v>3.81915231885115E-3</v>
      </c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</row>
    <row r="60" spans="1:256" ht="15.4">
      <c r="A60" s="12" t="s">
        <v>728</v>
      </c>
      <c r="B60" s="12" t="s">
        <v>744</v>
      </c>
      <c r="C60" s="53">
        <v>1.2185930745920801</v>
      </c>
      <c r="D60" s="53">
        <v>0</v>
      </c>
      <c r="E60" s="53">
        <v>0</v>
      </c>
      <c r="F60" s="53">
        <v>125.920534571858</v>
      </c>
      <c r="G60" s="122">
        <v>562441.94379784795</v>
      </c>
      <c r="H60" s="53">
        <v>0.43860355533228002</v>
      </c>
      <c r="I60" s="53">
        <v>0</v>
      </c>
      <c r="J60" s="53">
        <v>1.7492514203419001E-2</v>
      </c>
      <c r="K60" s="53">
        <v>2.2061032730964301</v>
      </c>
      <c r="L60" s="53">
        <v>9.5713534003218997E-2</v>
      </c>
      <c r="M60" s="53">
        <v>7.40447103187164E-2</v>
      </c>
      <c r="N60" s="53">
        <v>0.42175691923511399</v>
      </c>
      <c r="O60" s="122">
        <v>437048.96933383401</v>
      </c>
      <c r="P60" s="53">
        <v>188.70505208667501</v>
      </c>
      <c r="Q60" s="53">
        <v>150.77520659385399</v>
      </c>
      <c r="R60" s="53">
        <v>6.9189243079352796</v>
      </c>
      <c r="S60" s="53">
        <v>0.54059898402385498</v>
      </c>
      <c r="T60" s="53">
        <v>8.7461374830409208E-3</v>
      </c>
      <c r="U60" s="53">
        <v>1.49632256871765</v>
      </c>
      <c r="V60" s="53">
        <v>28.2074021409273</v>
      </c>
      <c r="W60" s="53">
        <v>1.93914346338498</v>
      </c>
      <c r="X60" s="53">
        <v>2.3514942981776799E-2</v>
      </c>
      <c r="Y60" s="53">
        <v>5.3425304365935502E-3</v>
      </c>
      <c r="Z60" s="53">
        <v>1.75251199116855E-3</v>
      </c>
      <c r="AA60" s="53">
        <v>0</v>
      </c>
      <c r="AB60" s="53">
        <v>2.9545551279316902E-3</v>
      </c>
      <c r="AC60" s="53">
        <v>0</v>
      </c>
      <c r="AD60" s="53">
        <v>0</v>
      </c>
      <c r="AE60" s="53">
        <v>1.7311576377898999E-2</v>
      </c>
      <c r="AF60" s="53">
        <v>1.6679947500968101E-2</v>
      </c>
      <c r="AG60" s="53">
        <v>4.5302263430171104E-3</v>
      </c>
      <c r="AH60" s="53">
        <v>0</v>
      </c>
      <c r="AI60" s="53">
        <v>1.97094583538614E-3</v>
      </c>
      <c r="AJ60" s="53">
        <v>3.2401353441319199E-3</v>
      </c>
      <c r="AK60" s="53">
        <v>6.1475132792677004E-3</v>
      </c>
      <c r="AL60" s="53">
        <v>2.3589852503164599E-3</v>
      </c>
      <c r="AM60" s="53">
        <v>6.9806412407178503E-3</v>
      </c>
      <c r="AN60" s="53">
        <v>9.3675662049715804E-3</v>
      </c>
      <c r="AO60" s="53">
        <v>4.7780420900020898E-4</v>
      </c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</row>
    <row r="61" spans="1:256" ht="15.6" customHeight="1">
      <c r="A61" s="313" t="s">
        <v>745</v>
      </c>
      <c r="B61" s="313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</row>
    <row r="62" spans="1:256" s="2" customFormat="1" ht="15.4">
      <c r="A62" s="117" t="s">
        <v>706</v>
      </c>
      <c r="B62" s="117"/>
      <c r="C62" s="118">
        <v>29000</v>
      </c>
      <c r="D62" s="118">
        <v>21000</v>
      </c>
      <c r="E62" s="118">
        <v>68800</v>
      </c>
      <c r="F62" s="118">
        <v>251000</v>
      </c>
      <c r="G62" s="118" t="e">
        <v>#VALUE!</v>
      </c>
      <c r="H62" s="118">
        <v>22000</v>
      </c>
      <c r="I62" s="118">
        <v>53000</v>
      </c>
      <c r="J62" s="118">
        <v>530</v>
      </c>
      <c r="K62" s="118">
        <v>450</v>
      </c>
      <c r="L62" s="118">
        <v>440</v>
      </c>
      <c r="M62" s="118">
        <v>400</v>
      </c>
      <c r="N62" s="118">
        <v>590</v>
      </c>
      <c r="O62" s="118">
        <v>98700</v>
      </c>
      <c r="P62" s="118">
        <v>380</v>
      </c>
      <c r="Q62" s="118">
        <v>440</v>
      </c>
      <c r="R62" s="118">
        <v>380</v>
      </c>
      <c r="S62" s="118">
        <v>460</v>
      </c>
      <c r="T62" s="118">
        <v>490</v>
      </c>
      <c r="U62" s="118">
        <v>320</v>
      </c>
      <c r="V62" s="118">
        <v>260</v>
      </c>
      <c r="W62" s="118">
        <v>20</v>
      </c>
      <c r="X62" s="118">
        <v>356</v>
      </c>
      <c r="Y62" s="118">
        <v>447</v>
      </c>
      <c r="Z62" s="118">
        <v>410</v>
      </c>
      <c r="AA62" s="118">
        <v>390</v>
      </c>
      <c r="AB62" s="118">
        <v>200</v>
      </c>
      <c r="AC62" s="118">
        <v>160</v>
      </c>
      <c r="AD62" s="118">
        <v>370</v>
      </c>
      <c r="AE62" s="118">
        <v>280</v>
      </c>
      <c r="AF62" s="118">
        <v>450</v>
      </c>
      <c r="AG62" s="118">
        <v>250</v>
      </c>
      <c r="AH62" s="118">
        <v>427</v>
      </c>
      <c r="AI62" s="118">
        <v>430</v>
      </c>
      <c r="AJ62" s="118">
        <v>7</v>
      </c>
      <c r="AK62" s="118">
        <v>2</v>
      </c>
      <c r="AL62" s="118">
        <v>320</v>
      </c>
      <c r="AN62" s="118">
        <v>380</v>
      </c>
      <c r="AO62" s="118">
        <v>420</v>
      </c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  <c r="BE62" s="117"/>
      <c r="BF62" s="11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117"/>
      <c r="BS62" s="117"/>
      <c r="BT62" s="117"/>
      <c r="BU62" s="117"/>
      <c r="BV62" s="117"/>
      <c r="BW62" s="117"/>
      <c r="BX62" s="117"/>
      <c r="BY62" s="117"/>
      <c r="BZ62" s="117"/>
      <c r="CA62" s="117"/>
      <c r="CB62" s="117"/>
      <c r="CC62" s="117"/>
      <c r="CD62" s="117"/>
      <c r="CE62" s="117"/>
      <c r="CF62" s="117"/>
      <c r="CG62" s="117"/>
      <c r="CH62" s="117"/>
      <c r="CI62" s="117"/>
      <c r="CJ62" s="117"/>
      <c r="CK62" s="117"/>
      <c r="CL62" s="117"/>
      <c r="CM62" s="117"/>
      <c r="CN62" s="117"/>
      <c r="CO62" s="117"/>
      <c r="CP62" s="117"/>
      <c r="CQ62" s="117"/>
      <c r="CR62" s="117"/>
      <c r="CS62" s="117"/>
      <c r="CT62" s="117"/>
      <c r="CU62" s="117"/>
      <c r="CV62" s="117"/>
      <c r="CW62" s="117"/>
      <c r="CX62" s="117"/>
      <c r="CY62" s="117"/>
      <c r="CZ62" s="117"/>
      <c r="DA62" s="117"/>
      <c r="DB62" s="117"/>
      <c r="DC62" s="117"/>
      <c r="DD62" s="117"/>
      <c r="DE62" s="117"/>
      <c r="DF62" s="117"/>
      <c r="DG62" s="117"/>
      <c r="DH62" s="117"/>
      <c r="DI62" s="117"/>
      <c r="DJ62" s="117"/>
      <c r="DK62" s="117"/>
      <c r="DL62" s="117"/>
      <c r="DM62" s="117"/>
      <c r="DN62" s="117"/>
      <c r="DO62" s="117"/>
      <c r="DP62" s="117"/>
      <c r="DQ62" s="117"/>
      <c r="DR62" s="117"/>
      <c r="DS62" s="117"/>
      <c r="DT62" s="117"/>
      <c r="DU62" s="117"/>
      <c r="DV62" s="117"/>
      <c r="DW62" s="117"/>
      <c r="DX62" s="117"/>
      <c r="DY62" s="117"/>
      <c r="DZ62" s="117"/>
      <c r="EA62" s="117"/>
      <c r="EB62" s="117"/>
      <c r="EC62" s="117"/>
      <c r="ED62" s="117"/>
      <c r="EE62" s="117"/>
      <c r="EF62" s="117"/>
      <c r="EG62" s="117"/>
      <c r="EH62" s="117"/>
      <c r="EI62" s="117"/>
      <c r="EJ62" s="117"/>
      <c r="EK62" s="117"/>
      <c r="EL62" s="117"/>
      <c r="EM62" s="117"/>
      <c r="EN62" s="117"/>
      <c r="EO62" s="117"/>
      <c r="EP62" s="117"/>
      <c r="EQ62" s="117"/>
      <c r="ER62" s="117"/>
      <c r="ES62" s="117"/>
      <c r="ET62" s="117"/>
      <c r="EU62" s="117"/>
      <c r="EV62" s="117"/>
      <c r="EW62" s="117"/>
      <c r="EX62" s="117"/>
      <c r="EY62" s="117"/>
      <c r="EZ62" s="117"/>
      <c r="FA62" s="117"/>
      <c r="FB62" s="117"/>
      <c r="FC62" s="117"/>
      <c r="FD62" s="117"/>
      <c r="FE62" s="117"/>
      <c r="FF62" s="117"/>
      <c r="FG62" s="117"/>
      <c r="FH62" s="117"/>
      <c r="FI62" s="117"/>
      <c r="FJ62" s="117"/>
      <c r="FK62" s="117"/>
      <c r="FL62" s="117"/>
      <c r="FM62" s="117"/>
      <c r="FN62" s="117"/>
      <c r="FO62" s="117"/>
      <c r="FP62" s="117"/>
      <c r="FQ62" s="117"/>
      <c r="FR62" s="117"/>
      <c r="FS62" s="117"/>
      <c r="FT62" s="117"/>
      <c r="FU62" s="117"/>
      <c r="FV62" s="117"/>
      <c r="FW62" s="117"/>
      <c r="FX62" s="117"/>
      <c r="FY62" s="117"/>
      <c r="FZ62" s="117"/>
      <c r="GA62" s="117"/>
      <c r="GB62" s="117"/>
      <c r="GC62" s="117"/>
      <c r="GD62" s="117"/>
      <c r="GE62" s="117"/>
      <c r="GF62" s="117"/>
      <c r="GG62" s="117"/>
      <c r="GH62" s="117"/>
      <c r="GI62" s="117"/>
      <c r="GJ62" s="117"/>
      <c r="GK62" s="117"/>
      <c r="GL62" s="117"/>
      <c r="GM62" s="117"/>
      <c r="GN62" s="117"/>
      <c r="GO62" s="117"/>
      <c r="GP62" s="117"/>
      <c r="GQ62" s="117"/>
      <c r="GR62" s="117"/>
      <c r="GS62" s="117"/>
      <c r="GT62" s="117"/>
      <c r="GU62" s="117"/>
      <c r="GV62" s="117"/>
      <c r="GW62" s="117"/>
      <c r="GX62" s="117"/>
      <c r="GY62" s="117"/>
      <c r="GZ62" s="117"/>
      <c r="HA62" s="117"/>
      <c r="HB62" s="117"/>
      <c r="HC62" s="117"/>
      <c r="HD62" s="117"/>
      <c r="HE62" s="117"/>
      <c r="HF62" s="117"/>
      <c r="HG62" s="117"/>
      <c r="HH62" s="117"/>
      <c r="HI62" s="117"/>
      <c r="HJ62" s="117"/>
      <c r="HK62" s="117"/>
      <c r="HL62" s="117"/>
      <c r="HM62" s="117"/>
      <c r="HN62" s="117"/>
      <c r="HO62" s="117"/>
      <c r="HP62" s="117"/>
      <c r="HQ62" s="117"/>
      <c r="HR62" s="117"/>
      <c r="HS62" s="117"/>
      <c r="HT62" s="117"/>
      <c r="HU62" s="117"/>
      <c r="HV62" s="117"/>
      <c r="HW62" s="117"/>
      <c r="HX62" s="117"/>
      <c r="HY62" s="117"/>
      <c r="HZ62" s="117"/>
      <c r="IA62" s="117"/>
      <c r="IB62" s="117"/>
      <c r="IC62" s="117"/>
      <c r="ID62" s="117"/>
      <c r="IE62" s="117"/>
      <c r="IF62" s="117"/>
      <c r="IG62" s="117"/>
      <c r="IH62" s="117"/>
      <c r="II62" s="117"/>
      <c r="IJ62" s="117"/>
      <c r="IK62" s="117"/>
      <c r="IL62" s="117"/>
      <c r="IM62" s="117"/>
      <c r="IN62" s="117"/>
      <c r="IO62" s="117"/>
      <c r="IP62" s="117"/>
      <c r="IQ62" s="117"/>
      <c r="IR62" s="117"/>
      <c r="IS62" s="117"/>
      <c r="IT62" s="117"/>
      <c r="IU62" s="117"/>
      <c r="IV62" s="117"/>
    </row>
    <row r="63" spans="1:256" s="2" customFormat="1" ht="15.4">
      <c r="A63" s="117" t="s">
        <v>684</v>
      </c>
      <c r="B63" s="117"/>
      <c r="C63" s="118">
        <v>24480.71</v>
      </c>
      <c r="D63" s="118" t="e">
        <v>#VALUE!</v>
      </c>
      <c r="E63" s="118" t="e">
        <v>#VALUE!</v>
      </c>
      <c r="F63" s="118" t="e">
        <v>#VALUE!</v>
      </c>
      <c r="G63" s="118">
        <v>276000</v>
      </c>
      <c r="H63" s="118" t="e">
        <v>#VALUE!</v>
      </c>
      <c r="I63" s="118" t="e">
        <v>#VALUE!</v>
      </c>
      <c r="J63" s="118" t="e">
        <v>#VALUE!</v>
      </c>
      <c r="K63" s="118" t="e">
        <v>#VALUE!</v>
      </c>
      <c r="L63" s="118">
        <v>63</v>
      </c>
      <c r="M63" s="118">
        <v>37</v>
      </c>
      <c r="N63" s="118">
        <v>260</v>
      </c>
      <c r="O63" s="118">
        <v>156000</v>
      </c>
      <c r="P63" s="118">
        <v>67</v>
      </c>
      <c r="Q63" s="118">
        <v>90</v>
      </c>
      <c r="R63" s="118">
        <v>134000</v>
      </c>
      <c r="S63" s="118">
        <v>210000</v>
      </c>
      <c r="T63" s="118">
        <v>50</v>
      </c>
      <c r="U63" s="118">
        <v>50</v>
      </c>
      <c r="V63" s="118">
        <v>65</v>
      </c>
      <c r="W63" s="118">
        <v>53</v>
      </c>
      <c r="X63" s="118" t="e">
        <v>#VALUE!</v>
      </c>
      <c r="Y63" s="118" t="e">
        <v>#VALUE!</v>
      </c>
      <c r="Z63" s="118" t="e">
        <v>#VALUE!</v>
      </c>
      <c r="AA63" s="118">
        <v>61</v>
      </c>
      <c r="AB63" s="118">
        <v>67</v>
      </c>
      <c r="AC63" s="118">
        <v>70</v>
      </c>
      <c r="AD63" s="118">
        <v>50</v>
      </c>
      <c r="AE63" s="118">
        <v>55</v>
      </c>
      <c r="AF63" s="118">
        <v>55</v>
      </c>
      <c r="AG63" s="118" t="e">
        <v>#VALUE!</v>
      </c>
      <c r="AH63" s="118" t="e">
        <v>#VALUE!</v>
      </c>
      <c r="AI63" s="118" t="e">
        <v>#VALUE!</v>
      </c>
      <c r="AJ63" s="118">
        <v>47</v>
      </c>
      <c r="AK63" s="118">
        <v>66</v>
      </c>
      <c r="AL63" s="118">
        <v>65</v>
      </c>
      <c r="AN63" s="118" t="e">
        <v>#VALUE!</v>
      </c>
      <c r="AO63" s="118" t="e">
        <v>#VALUE!</v>
      </c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17"/>
      <c r="BF63" s="11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117"/>
      <c r="BS63" s="117"/>
      <c r="BT63" s="117"/>
      <c r="BU63" s="117"/>
      <c r="BV63" s="117"/>
      <c r="BW63" s="117"/>
      <c r="BX63" s="117"/>
      <c r="BY63" s="117"/>
      <c r="BZ63" s="117"/>
      <c r="CA63" s="117"/>
      <c r="CB63" s="117"/>
      <c r="CC63" s="117"/>
      <c r="CD63" s="117"/>
      <c r="CE63" s="117"/>
      <c r="CF63" s="117"/>
      <c r="CG63" s="117"/>
      <c r="CH63" s="117"/>
      <c r="CI63" s="117"/>
      <c r="CJ63" s="117"/>
      <c r="CK63" s="117"/>
      <c r="CL63" s="117"/>
      <c r="CM63" s="117"/>
      <c r="CN63" s="117"/>
      <c r="CO63" s="117"/>
      <c r="CP63" s="117"/>
      <c r="CQ63" s="117"/>
      <c r="CR63" s="117"/>
      <c r="CS63" s="117"/>
      <c r="CT63" s="117"/>
      <c r="CU63" s="117"/>
      <c r="CV63" s="117"/>
      <c r="CW63" s="117"/>
      <c r="CX63" s="117"/>
      <c r="CY63" s="117"/>
      <c r="CZ63" s="117"/>
      <c r="DA63" s="117"/>
      <c r="DB63" s="117"/>
      <c r="DC63" s="117"/>
      <c r="DD63" s="117"/>
      <c r="DE63" s="117"/>
      <c r="DF63" s="117"/>
      <c r="DG63" s="117"/>
      <c r="DH63" s="117"/>
      <c r="DI63" s="117"/>
      <c r="DJ63" s="117"/>
      <c r="DK63" s="117"/>
      <c r="DL63" s="117"/>
      <c r="DM63" s="117"/>
      <c r="DN63" s="117"/>
      <c r="DO63" s="117"/>
      <c r="DP63" s="117"/>
      <c r="DQ63" s="117"/>
      <c r="DR63" s="117"/>
      <c r="DS63" s="117"/>
      <c r="DT63" s="117"/>
      <c r="DU63" s="117"/>
      <c r="DV63" s="117"/>
      <c r="DW63" s="117"/>
      <c r="DX63" s="117"/>
      <c r="DY63" s="117"/>
      <c r="DZ63" s="117"/>
      <c r="EA63" s="117"/>
      <c r="EB63" s="117"/>
      <c r="EC63" s="117"/>
      <c r="ED63" s="117"/>
      <c r="EE63" s="117"/>
      <c r="EF63" s="117"/>
      <c r="EG63" s="117"/>
      <c r="EH63" s="117"/>
      <c r="EI63" s="117"/>
      <c r="EJ63" s="117"/>
      <c r="EK63" s="117"/>
      <c r="EL63" s="117"/>
      <c r="EM63" s="117"/>
      <c r="EN63" s="117"/>
      <c r="EO63" s="117"/>
      <c r="EP63" s="117"/>
      <c r="EQ63" s="117"/>
      <c r="ER63" s="117"/>
      <c r="ES63" s="117"/>
      <c r="ET63" s="117"/>
      <c r="EU63" s="117"/>
      <c r="EV63" s="117"/>
      <c r="EW63" s="117"/>
      <c r="EX63" s="117"/>
      <c r="EY63" s="117"/>
      <c r="EZ63" s="117"/>
      <c r="FA63" s="117"/>
      <c r="FB63" s="117"/>
      <c r="FC63" s="117"/>
      <c r="FD63" s="117"/>
      <c r="FE63" s="117"/>
      <c r="FF63" s="117"/>
      <c r="FG63" s="117"/>
      <c r="FH63" s="117"/>
      <c r="FI63" s="117"/>
      <c r="FJ63" s="117"/>
      <c r="FK63" s="117"/>
      <c r="FL63" s="117"/>
      <c r="FM63" s="117"/>
      <c r="FN63" s="117"/>
      <c r="FO63" s="117"/>
      <c r="FP63" s="117"/>
      <c r="FQ63" s="117"/>
      <c r="FR63" s="117"/>
      <c r="FS63" s="117"/>
      <c r="FT63" s="117"/>
      <c r="FU63" s="117"/>
      <c r="FV63" s="117"/>
      <c r="FW63" s="117"/>
      <c r="FX63" s="117"/>
      <c r="FY63" s="117"/>
      <c r="FZ63" s="117"/>
      <c r="GA63" s="117"/>
      <c r="GB63" s="117"/>
      <c r="GC63" s="117"/>
      <c r="GD63" s="117"/>
      <c r="GE63" s="117"/>
      <c r="GF63" s="117"/>
      <c r="GG63" s="117"/>
      <c r="GH63" s="117"/>
      <c r="GI63" s="117"/>
      <c r="GJ63" s="117"/>
      <c r="GK63" s="117"/>
      <c r="GL63" s="117"/>
      <c r="GM63" s="117"/>
      <c r="GN63" s="117"/>
      <c r="GO63" s="117"/>
      <c r="GP63" s="117"/>
      <c r="GQ63" s="117"/>
      <c r="GR63" s="117"/>
      <c r="GS63" s="117"/>
      <c r="GT63" s="117"/>
      <c r="GU63" s="117"/>
      <c r="GV63" s="117"/>
      <c r="GW63" s="117"/>
      <c r="GX63" s="117"/>
      <c r="GY63" s="117"/>
      <c r="GZ63" s="117"/>
      <c r="HA63" s="117"/>
      <c r="HB63" s="117"/>
      <c r="HC63" s="117"/>
      <c r="HD63" s="117"/>
      <c r="HE63" s="117"/>
      <c r="HF63" s="117"/>
      <c r="HG63" s="117"/>
      <c r="HH63" s="117"/>
      <c r="HI63" s="117"/>
      <c r="HJ63" s="117"/>
      <c r="HK63" s="117"/>
      <c r="HL63" s="117"/>
      <c r="HM63" s="117"/>
      <c r="HN63" s="117"/>
      <c r="HO63" s="117"/>
      <c r="HP63" s="117"/>
      <c r="HQ63" s="117"/>
      <c r="HR63" s="117"/>
      <c r="HS63" s="117"/>
      <c r="HT63" s="117"/>
      <c r="HU63" s="117"/>
      <c r="HV63" s="117"/>
      <c r="HW63" s="117"/>
      <c r="HX63" s="117"/>
      <c r="HY63" s="117"/>
      <c r="HZ63" s="117"/>
      <c r="IA63" s="117"/>
      <c r="IB63" s="117"/>
      <c r="IC63" s="117"/>
      <c r="ID63" s="117"/>
      <c r="IE63" s="117"/>
      <c r="IF63" s="117"/>
      <c r="IG63" s="117"/>
      <c r="IH63" s="117"/>
      <c r="II63" s="117"/>
      <c r="IJ63" s="117"/>
      <c r="IK63" s="117"/>
      <c r="IL63" s="117"/>
      <c r="IM63" s="117"/>
      <c r="IN63" s="117"/>
      <c r="IO63" s="117"/>
      <c r="IP63" s="117"/>
      <c r="IQ63" s="117"/>
      <c r="IR63" s="117"/>
      <c r="IS63" s="117"/>
      <c r="IT63" s="117"/>
      <c r="IU63" s="117"/>
      <c r="IV63" s="117"/>
    </row>
    <row r="64" spans="1:256" s="2" customFormat="1" ht="15.4">
      <c r="A64" s="117" t="s">
        <v>746</v>
      </c>
      <c r="B64" s="117"/>
      <c r="C64" s="118" t="e">
        <v>#VALUE!</v>
      </c>
      <c r="D64" s="118" t="e">
        <v>#VALUE!</v>
      </c>
      <c r="E64" s="118" t="e">
        <v>#VALUE!</v>
      </c>
      <c r="F64" s="118" t="e">
        <v>#VALUE!</v>
      </c>
      <c r="G64" s="118">
        <v>533333</v>
      </c>
      <c r="H64" s="118" t="e">
        <v>#VALUE!</v>
      </c>
      <c r="I64" s="118" t="e">
        <v>#VALUE!</v>
      </c>
      <c r="J64" s="118" t="e">
        <v>#VALUE!</v>
      </c>
      <c r="K64" s="118" t="e">
        <v>#VALUE!</v>
      </c>
      <c r="L64" s="118" t="e">
        <v>#VALUE!</v>
      </c>
      <c r="M64" s="118" t="e">
        <v>#VALUE!</v>
      </c>
      <c r="N64" s="118" t="e">
        <v>#VALUE!</v>
      </c>
      <c r="O64" s="118">
        <v>466667</v>
      </c>
      <c r="P64" s="118" t="e">
        <v>#VALUE!</v>
      </c>
      <c r="Q64" s="118" t="e">
        <v>#VALUE!</v>
      </c>
      <c r="R64" s="118" t="e">
        <v>#VALUE!</v>
      </c>
      <c r="S64" s="118" t="e">
        <v>#VALUE!</v>
      </c>
      <c r="T64" s="118" t="e">
        <v>#VALUE!</v>
      </c>
      <c r="U64" s="118" t="e">
        <v>#VALUE!</v>
      </c>
      <c r="V64" s="118" t="e">
        <v>#VALUE!</v>
      </c>
      <c r="W64" s="118" t="e">
        <v>#VALUE!</v>
      </c>
      <c r="X64" s="118" t="e">
        <v>#VALUE!</v>
      </c>
      <c r="Y64" s="118" t="e">
        <v>#VALUE!</v>
      </c>
      <c r="Z64" s="118" t="e">
        <v>#VALUE!</v>
      </c>
      <c r="AA64" s="118" t="e">
        <v>#VALUE!</v>
      </c>
      <c r="AB64" s="118" t="e">
        <v>#VALUE!</v>
      </c>
      <c r="AC64" s="118" t="e">
        <v>#VALUE!</v>
      </c>
      <c r="AD64" s="118" t="e">
        <v>#VALUE!</v>
      </c>
      <c r="AE64" s="118" t="e">
        <v>#VALUE!</v>
      </c>
      <c r="AF64" s="118" t="e">
        <v>#VALUE!</v>
      </c>
      <c r="AG64" s="118" t="e">
        <v>#VALUE!</v>
      </c>
      <c r="AH64" s="118" t="e">
        <v>#VALUE!</v>
      </c>
      <c r="AI64" s="118" t="e">
        <v>#VALUE!</v>
      </c>
      <c r="AJ64" s="118" t="e">
        <v>#VALUE!</v>
      </c>
      <c r="AK64" s="118" t="e">
        <v>#VALUE!</v>
      </c>
      <c r="AL64" s="118" t="e">
        <v>#VALUE!</v>
      </c>
      <c r="AN64" s="118" t="e">
        <v>#VALUE!</v>
      </c>
      <c r="AO64" s="118" t="e">
        <v>#VALUE!</v>
      </c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  <c r="BE64" s="117"/>
      <c r="BF64" s="11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7"/>
      <c r="BS64" s="117"/>
      <c r="BT64" s="117"/>
      <c r="BU64" s="117"/>
      <c r="BV64" s="117"/>
      <c r="BW64" s="117"/>
      <c r="BX64" s="117"/>
      <c r="BY64" s="117"/>
      <c r="BZ64" s="117"/>
      <c r="CA64" s="117"/>
      <c r="CB64" s="117"/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  <c r="DL64" s="117"/>
      <c r="DM64" s="117"/>
      <c r="DN64" s="117"/>
      <c r="DO64" s="117"/>
      <c r="DP64" s="117"/>
      <c r="DQ64" s="117"/>
      <c r="DR64" s="117"/>
      <c r="DS64" s="117"/>
      <c r="DT64" s="117"/>
      <c r="DU64" s="117"/>
      <c r="DV64" s="117"/>
      <c r="DW64" s="117"/>
      <c r="DX64" s="117"/>
      <c r="DY64" s="117"/>
      <c r="DZ64" s="117"/>
      <c r="EA64" s="117"/>
      <c r="EB64" s="117"/>
      <c r="EC64" s="117"/>
      <c r="ED64" s="117"/>
      <c r="EE64" s="117"/>
      <c r="EF64" s="117"/>
      <c r="EG64" s="117"/>
      <c r="EH64" s="117"/>
      <c r="EI64" s="117"/>
      <c r="EJ64" s="117"/>
      <c r="EK64" s="117"/>
      <c r="EL64" s="117"/>
      <c r="EM64" s="117"/>
      <c r="EN64" s="117"/>
      <c r="EO64" s="117"/>
      <c r="EP64" s="117"/>
      <c r="EQ64" s="117"/>
      <c r="ER64" s="117"/>
      <c r="ES64" s="117"/>
      <c r="ET64" s="117"/>
      <c r="EU64" s="117"/>
      <c r="EV64" s="117"/>
      <c r="EW64" s="117"/>
      <c r="EX64" s="117"/>
      <c r="EY64" s="117"/>
      <c r="EZ64" s="117"/>
      <c r="FA64" s="117"/>
      <c r="FB64" s="117"/>
      <c r="FC64" s="117"/>
      <c r="FD64" s="117"/>
      <c r="FE64" s="117"/>
      <c r="FF64" s="117"/>
      <c r="FG64" s="117"/>
      <c r="FH64" s="117"/>
      <c r="FI64" s="117"/>
      <c r="FJ64" s="117"/>
      <c r="FK64" s="117"/>
      <c r="FL64" s="117"/>
      <c r="FM64" s="117"/>
      <c r="FN64" s="117"/>
      <c r="FO64" s="117"/>
      <c r="FP64" s="117"/>
      <c r="FQ64" s="117"/>
      <c r="FR64" s="117"/>
      <c r="FS64" s="117"/>
      <c r="FT64" s="117"/>
      <c r="FU64" s="117"/>
      <c r="FV64" s="117"/>
      <c r="FW64" s="117"/>
      <c r="FX64" s="117"/>
      <c r="FY64" s="117"/>
      <c r="FZ64" s="117"/>
      <c r="GA64" s="117"/>
      <c r="GB64" s="117"/>
      <c r="GC64" s="117"/>
      <c r="GD64" s="117"/>
      <c r="GE64" s="117"/>
      <c r="GF64" s="117"/>
      <c r="GG64" s="117"/>
      <c r="GH64" s="117"/>
      <c r="GI64" s="117"/>
      <c r="GJ64" s="117"/>
      <c r="GK64" s="117"/>
      <c r="GL64" s="117"/>
      <c r="GM64" s="117"/>
      <c r="GN64" s="117"/>
      <c r="GO64" s="117"/>
      <c r="GP64" s="117"/>
      <c r="GQ64" s="117"/>
      <c r="GR64" s="117"/>
      <c r="GS64" s="117"/>
      <c r="GT64" s="117"/>
      <c r="GU64" s="117"/>
      <c r="GV64" s="117"/>
      <c r="GW64" s="117"/>
      <c r="GX64" s="117"/>
      <c r="GY64" s="117"/>
      <c r="GZ64" s="117"/>
      <c r="HA64" s="117"/>
      <c r="HB64" s="117"/>
      <c r="HC64" s="117"/>
      <c r="HD64" s="117"/>
      <c r="HE64" s="117"/>
      <c r="HF64" s="117"/>
      <c r="HG64" s="117"/>
      <c r="HH64" s="117"/>
      <c r="HI64" s="117"/>
      <c r="HJ64" s="117"/>
      <c r="HK64" s="117"/>
      <c r="HL64" s="117"/>
      <c r="HM64" s="117"/>
      <c r="HN64" s="117"/>
      <c r="HO64" s="117"/>
      <c r="HP64" s="117"/>
      <c r="HQ64" s="117"/>
      <c r="HR64" s="117"/>
      <c r="HS64" s="117"/>
      <c r="HT64" s="117"/>
      <c r="HU64" s="117"/>
      <c r="HV64" s="117"/>
      <c r="HW64" s="117"/>
      <c r="HX64" s="117"/>
      <c r="HY64" s="117"/>
      <c r="HZ64" s="117"/>
      <c r="IA64" s="117"/>
      <c r="IB64" s="117"/>
      <c r="IC64" s="117"/>
      <c r="ID64" s="117"/>
      <c r="IE64" s="117"/>
      <c r="IF64" s="117"/>
      <c r="IG64" s="117"/>
      <c r="IH64" s="117"/>
      <c r="II64" s="117"/>
      <c r="IJ64" s="117"/>
      <c r="IK64" s="117"/>
      <c r="IL64" s="117"/>
      <c r="IM64" s="117"/>
      <c r="IN64" s="117"/>
      <c r="IO64" s="117"/>
      <c r="IP64" s="117"/>
      <c r="IQ64" s="117"/>
      <c r="IR64" s="117"/>
      <c r="IS64" s="117"/>
      <c r="IT64" s="117"/>
      <c r="IU64" s="117"/>
      <c r="IV64" s="117"/>
    </row>
    <row r="66" spans="1:256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  <c r="DM66" s="116"/>
      <c r="DN66" s="116"/>
      <c r="DO66" s="116"/>
      <c r="DP66" s="116"/>
      <c r="DQ66" s="116"/>
      <c r="DR66" s="116"/>
      <c r="DS66" s="116"/>
      <c r="DT66" s="116"/>
      <c r="DU66" s="116"/>
      <c r="DV66" s="116"/>
      <c r="DW66" s="116"/>
      <c r="DX66" s="116"/>
      <c r="DY66" s="116"/>
      <c r="DZ66" s="116"/>
      <c r="EA66" s="116"/>
      <c r="EB66" s="116"/>
      <c r="EC66" s="116"/>
      <c r="ED66" s="116"/>
      <c r="EE66" s="116"/>
      <c r="EF66" s="116"/>
      <c r="EG66" s="116"/>
      <c r="EH66" s="116"/>
      <c r="EI66" s="116"/>
      <c r="EJ66" s="116"/>
      <c r="EK66" s="116"/>
      <c r="EL66" s="116"/>
      <c r="EM66" s="116"/>
      <c r="EN66" s="116"/>
      <c r="EO66" s="116"/>
      <c r="EP66" s="116"/>
      <c r="EQ66" s="116"/>
      <c r="ER66" s="116"/>
      <c r="ES66" s="116"/>
      <c r="ET66" s="116"/>
      <c r="EU66" s="116"/>
      <c r="EV66" s="116"/>
      <c r="EW66" s="116"/>
      <c r="EX66" s="116"/>
      <c r="EY66" s="116"/>
      <c r="EZ66" s="116"/>
      <c r="FA66" s="116"/>
      <c r="FB66" s="116"/>
      <c r="FC66" s="116"/>
      <c r="FD66" s="116"/>
      <c r="FE66" s="116"/>
      <c r="FF66" s="116"/>
      <c r="FG66" s="116"/>
      <c r="FH66" s="116"/>
      <c r="FI66" s="116"/>
      <c r="FJ66" s="116"/>
      <c r="FK66" s="116"/>
      <c r="FL66" s="116"/>
      <c r="FM66" s="116"/>
      <c r="FN66" s="116"/>
      <c r="FO66" s="116"/>
      <c r="FP66" s="116"/>
      <c r="FQ66" s="116"/>
      <c r="FR66" s="116"/>
      <c r="FS66" s="116"/>
      <c r="FT66" s="116"/>
      <c r="FU66" s="116"/>
      <c r="FV66" s="116"/>
      <c r="FW66" s="116"/>
      <c r="FX66" s="116"/>
      <c r="FY66" s="116"/>
      <c r="FZ66" s="116"/>
      <c r="GA66" s="116"/>
      <c r="GB66" s="116"/>
      <c r="GC66" s="116"/>
      <c r="GD66" s="116"/>
      <c r="GE66" s="116"/>
      <c r="GF66" s="116"/>
      <c r="GG66" s="116"/>
      <c r="GH66" s="116"/>
      <c r="GI66" s="116"/>
      <c r="GJ66" s="116"/>
      <c r="GK66" s="116"/>
      <c r="GL66" s="116"/>
      <c r="GM66" s="116"/>
      <c r="GN66" s="116"/>
      <c r="GO66" s="116"/>
      <c r="GP66" s="116"/>
      <c r="GQ66" s="116"/>
      <c r="GR66" s="116"/>
      <c r="GS66" s="116"/>
      <c r="GT66" s="116"/>
      <c r="GU66" s="116"/>
      <c r="GV66" s="116"/>
      <c r="GW66" s="116"/>
      <c r="GX66" s="116"/>
      <c r="GY66" s="116"/>
      <c r="GZ66" s="116"/>
      <c r="HA66" s="116"/>
      <c r="HB66" s="116"/>
      <c r="HC66" s="116"/>
      <c r="HD66" s="116"/>
      <c r="HE66" s="116"/>
      <c r="HF66" s="116"/>
      <c r="HG66" s="116"/>
      <c r="HH66" s="116"/>
      <c r="HI66" s="116"/>
      <c r="HJ66" s="116"/>
      <c r="HK66" s="116"/>
      <c r="HL66" s="116"/>
      <c r="HM66" s="116"/>
      <c r="HN66" s="116"/>
      <c r="HO66" s="116"/>
      <c r="HP66" s="116"/>
      <c r="HQ66" s="116"/>
      <c r="HR66" s="116"/>
      <c r="HS66" s="116"/>
      <c r="HT66" s="116"/>
      <c r="HU66" s="116"/>
      <c r="HV66" s="116"/>
      <c r="HW66" s="116"/>
      <c r="HX66" s="116"/>
      <c r="HY66" s="116"/>
      <c r="HZ66" s="116"/>
      <c r="IA66" s="116"/>
      <c r="IB66" s="116"/>
      <c r="IC66" s="116"/>
      <c r="ID66" s="116"/>
      <c r="IE66" s="116"/>
      <c r="IF66" s="116"/>
      <c r="IG66" s="116"/>
      <c r="IH66" s="116"/>
      <c r="II66" s="116"/>
      <c r="IJ66" s="116"/>
      <c r="IK66" s="116"/>
      <c r="IL66" s="116"/>
      <c r="IM66" s="116"/>
      <c r="IN66" s="116"/>
      <c r="IO66" s="116"/>
      <c r="IP66" s="116"/>
      <c r="IQ66" s="116"/>
      <c r="IR66" s="116"/>
      <c r="IS66" s="116"/>
      <c r="IT66" s="116"/>
      <c r="IU66" s="116"/>
      <c r="IV66" s="116"/>
    </row>
    <row r="67" spans="1:256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  <c r="DM67" s="116"/>
      <c r="DN67" s="116"/>
      <c r="DO67" s="116"/>
      <c r="DP67" s="116"/>
      <c r="DQ67" s="116"/>
      <c r="DR67" s="116"/>
      <c r="DS67" s="116"/>
      <c r="DT67" s="116"/>
      <c r="DU67" s="116"/>
      <c r="DV67" s="116"/>
      <c r="DW67" s="116"/>
      <c r="DX67" s="116"/>
      <c r="DY67" s="116"/>
      <c r="DZ67" s="116"/>
      <c r="EA67" s="116"/>
      <c r="EB67" s="116"/>
      <c r="EC67" s="116"/>
      <c r="ED67" s="116"/>
      <c r="EE67" s="116"/>
      <c r="EF67" s="116"/>
      <c r="EG67" s="116"/>
      <c r="EH67" s="116"/>
      <c r="EI67" s="116"/>
      <c r="EJ67" s="116"/>
      <c r="EK67" s="116"/>
      <c r="EL67" s="116"/>
      <c r="EM67" s="116"/>
      <c r="EN67" s="116"/>
      <c r="EO67" s="116"/>
      <c r="EP67" s="116"/>
      <c r="EQ67" s="116"/>
      <c r="ER67" s="116"/>
      <c r="ES67" s="116"/>
      <c r="ET67" s="116"/>
      <c r="EU67" s="116"/>
      <c r="EV67" s="116"/>
      <c r="EW67" s="116"/>
      <c r="EX67" s="116"/>
      <c r="EY67" s="116"/>
      <c r="EZ67" s="116"/>
      <c r="FA67" s="116"/>
      <c r="FB67" s="116"/>
      <c r="FC67" s="116"/>
      <c r="FD67" s="116"/>
      <c r="FE67" s="116"/>
      <c r="FF67" s="116"/>
      <c r="FG67" s="116"/>
      <c r="FH67" s="116"/>
      <c r="FI67" s="116"/>
      <c r="FJ67" s="116"/>
      <c r="FK67" s="116"/>
      <c r="FL67" s="116"/>
      <c r="FM67" s="116"/>
      <c r="FN67" s="116"/>
      <c r="FO67" s="116"/>
      <c r="FP67" s="116"/>
      <c r="FQ67" s="116"/>
      <c r="FR67" s="116"/>
      <c r="FS67" s="116"/>
      <c r="FT67" s="116"/>
      <c r="FU67" s="116"/>
      <c r="FV67" s="116"/>
      <c r="FW67" s="116"/>
      <c r="FX67" s="116"/>
      <c r="FY67" s="116"/>
      <c r="FZ67" s="116"/>
      <c r="GA67" s="116"/>
      <c r="GB67" s="116"/>
      <c r="GC67" s="116"/>
      <c r="GD67" s="116"/>
      <c r="GE67" s="116"/>
      <c r="GF67" s="116"/>
      <c r="GG67" s="116"/>
      <c r="GH67" s="116"/>
      <c r="GI67" s="116"/>
      <c r="GJ67" s="116"/>
      <c r="GK67" s="116"/>
      <c r="GL67" s="116"/>
      <c r="GM67" s="116"/>
      <c r="GN67" s="116"/>
      <c r="GO67" s="116"/>
      <c r="GP67" s="116"/>
      <c r="GQ67" s="116"/>
      <c r="GR67" s="116"/>
      <c r="GS67" s="116"/>
      <c r="GT67" s="116"/>
      <c r="GU67" s="116"/>
      <c r="GV67" s="116"/>
      <c r="GW67" s="116"/>
      <c r="GX67" s="116"/>
      <c r="GY67" s="116"/>
      <c r="GZ67" s="116"/>
      <c r="HA67" s="116"/>
      <c r="HB67" s="116"/>
      <c r="HC67" s="116"/>
      <c r="HD67" s="116"/>
      <c r="HE67" s="116"/>
      <c r="HF67" s="116"/>
      <c r="HG67" s="116"/>
      <c r="HH67" s="116"/>
      <c r="HI67" s="116"/>
      <c r="HJ67" s="116"/>
      <c r="HK67" s="116"/>
      <c r="HL67" s="116"/>
      <c r="HM67" s="116"/>
      <c r="HN67" s="116"/>
      <c r="HO67" s="116"/>
      <c r="HP67" s="116"/>
      <c r="HQ67" s="116"/>
      <c r="HR67" s="116"/>
      <c r="HS67" s="116"/>
      <c r="HT67" s="116"/>
      <c r="HU67" s="116"/>
      <c r="HV67" s="116"/>
      <c r="HW67" s="116"/>
      <c r="HX67" s="116"/>
      <c r="HY67" s="116"/>
      <c r="HZ67" s="116"/>
      <c r="IA67" s="116"/>
      <c r="IB67" s="116"/>
      <c r="IC67" s="116"/>
      <c r="ID67" s="116"/>
      <c r="IE67" s="116"/>
      <c r="IF67" s="116"/>
      <c r="IG67" s="116"/>
      <c r="IH67" s="116"/>
      <c r="II67" s="116"/>
      <c r="IJ67" s="116"/>
      <c r="IK67" s="116"/>
      <c r="IL67" s="116"/>
      <c r="IM67" s="116"/>
      <c r="IN67" s="116"/>
      <c r="IO67" s="116"/>
      <c r="IP67" s="116"/>
      <c r="IQ67" s="116"/>
      <c r="IR67" s="116"/>
      <c r="IS67" s="116"/>
      <c r="IT67" s="116"/>
      <c r="IU67" s="116"/>
      <c r="IV67" s="116"/>
    </row>
    <row r="68" spans="1:256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  <c r="DM68" s="116"/>
      <c r="DN68" s="116"/>
      <c r="DO68" s="116"/>
      <c r="DP68" s="116"/>
      <c r="DQ68" s="116"/>
      <c r="DR68" s="116"/>
      <c r="DS68" s="116"/>
      <c r="DT68" s="116"/>
      <c r="DU68" s="116"/>
      <c r="DV68" s="116"/>
      <c r="DW68" s="116"/>
      <c r="DX68" s="116"/>
      <c r="DY68" s="116"/>
      <c r="DZ68" s="116"/>
      <c r="EA68" s="116"/>
      <c r="EB68" s="116"/>
      <c r="EC68" s="116"/>
      <c r="ED68" s="116"/>
      <c r="EE68" s="116"/>
      <c r="EF68" s="116"/>
      <c r="EG68" s="116"/>
      <c r="EH68" s="116"/>
      <c r="EI68" s="116"/>
      <c r="EJ68" s="116"/>
      <c r="EK68" s="116"/>
      <c r="EL68" s="116"/>
      <c r="EM68" s="116"/>
      <c r="EN68" s="116"/>
      <c r="EO68" s="116"/>
      <c r="EP68" s="116"/>
      <c r="EQ68" s="116"/>
      <c r="ER68" s="116"/>
      <c r="ES68" s="116"/>
      <c r="ET68" s="116"/>
      <c r="EU68" s="116"/>
      <c r="EV68" s="116"/>
      <c r="EW68" s="116"/>
      <c r="EX68" s="116"/>
      <c r="EY68" s="116"/>
      <c r="EZ68" s="116"/>
      <c r="FA68" s="116"/>
      <c r="FB68" s="116"/>
      <c r="FC68" s="116"/>
      <c r="FD68" s="116"/>
      <c r="FE68" s="116"/>
      <c r="FF68" s="116"/>
      <c r="FG68" s="116"/>
      <c r="FH68" s="116"/>
      <c r="FI68" s="116"/>
      <c r="FJ68" s="116"/>
      <c r="FK68" s="116"/>
      <c r="FL68" s="116"/>
      <c r="FM68" s="116"/>
      <c r="FN68" s="116"/>
      <c r="FO68" s="116"/>
      <c r="FP68" s="116"/>
      <c r="FQ68" s="116"/>
      <c r="FR68" s="116"/>
      <c r="FS68" s="116"/>
      <c r="FT68" s="116"/>
      <c r="FU68" s="116"/>
      <c r="FV68" s="116"/>
      <c r="FW68" s="116"/>
      <c r="FX68" s="116"/>
      <c r="FY68" s="116"/>
      <c r="FZ68" s="116"/>
      <c r="GA68" s="116"/>
      <c r="GB68" s="116"/>
      <c r="GC68" s="116"/>
      <c r="GD68" s="116"/>
      <c r="GE68" s="116"/>
      <c r="GF68" s="116"/>
      <c r="GG68" s="116"/>
      <c r="GH68" s="116"/>
      <c r="GI68" s="116"/>
      <c r="GJ68" s="116"/>
      <c r="GK68" s="116"/>
      <c r="GL68" s="116"/>
      <c r="GM68" s="116"/>
      <c r="GN68" s="116"/>
      <c r="GO68" s="116"/>
      <c r="GP68" s="116"/>
      <c r="GQ68" s="116"/>
      <c r="GR68" s="116"/>
      <c r="GS68" s="116"/>
      <c r="GT68" s="116"/>
      <c r="GU68" s="116"/>
      <c r="GV68" s="116"/>
      <c r="GW68" s="116"/>
      <c r="GX68" s="116"/>
      <c r="GY68" s="116"/>
      <c r="GZ68" s="116"/>
      <c r="HA68" s="116"/>
      <c r="HB68" s="116"/>
      <c r="HC68" s="116"/>
      <c r="HD68" s="116"/>
      <c r="HE68" s="116"/>
      <c r="HF68" s="116"/>
      <c r="HG68" s="116"/>
      <c r="HH68" s="116"/>
      <c r="HI68" s="116"/>
      <c r="HJ68" s="116"/>
      <c r="HK68" s="116"/>
      <c r="HL68" s="116"/>
      <c r="HM68" s="116"/>
      <c r="HN68" s="116"/>
      <c r="HO68" s="116"/>
      <c r="HP68" s="116"/>
      <c r="HQ68" s="116"/>
      <c r="HR68" s="116"/>
      <c r="HS68" s="116"/>
      <c r="HT68" s="116"/>
      <c r="HU68" s="116"/>
      <c r="HV68" s="116"/>
      <c r="HW68" s="116"/>
      <c r="HX68" s="116"/>
      <c r="HY68" s="116"/>
      <c r="HZ68" s="116"/>
      <c r="IA68" s="116"/>
      <c r="IB68" s="116"/>
      <c r="IC68" s="116"/>
      <c r="ID68" s="116"/>
      <c r="IE68" s="116"/>
      <c r="IF68" s="116"/>
      <c r="IG68" s="116"/>
      <c r="IH68" s="116"/>
      <c r="II68" s="116"/>
      <c r="IJ68" s="116"/>
      <c r="IK68" s="116"/>
      <c r="IL68" s="116"/>
      <c r="IM68" s="116"/>
      <c r="IN68" s="116"/>
      <c r="IO68" s="116"/>
      <c r="IP68" s="116"/>
      <c r="IQ68" s="116"/>
      <c r="IR68" s="116"/>
      <c r="IS68" s="116"/>
      <c r="IT68" s="116"/>
      <c r="IU68" s="116"/>
      <c r="IV68" s="116"/>
    </row>
  </sheetData>
  <mergeCells count="1">
    <mergeCell ref="A61:B61"/>
  </mergeCells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Q136"/>
  <sheetViews>
    <sheetView zoomScaleNormal="100" workbookViewId="0">
      <pane ySplit="2" topLeftCell="A3" activePane="bottomLeft" state="frozen"/>
      <selection pane="bottomLeft" activeCell="I10" sqref="I10"/>
    </sheetView>
  </sheetViews>
  <sheetFormatPr defaultColWidth="9" defaultRowHeight="15.4"/>
  <cols>
    <col min="1" max="1" width="26.33203125" style="3" customWidth="1"/>
    <col min="2" max="2" width="18.6640625" style="4" customWidth="1"/>
    <col min="3" max="3" width="16.33203125" style="5" customWidth="1"/>
    <col min="4" max="4" width="19" style="5" customWidth="1"/>
    <col min="5" max="5" width="17.83203125" style="5" customWidth="1"/>
    <col min="6" max="6" width="21.83203125" style="6" customWidth="1"/>
    <col min="7" max="7" width="26" style="27" customWidth="1"/>
    <col min="8" max="8" width="18" style="7" customWidth="1"/>
    <col min="9" max="9" width="21.6640625" style="7" customWidth="1"/>
    <col min="10" max="10" width="17" style="7" customWidth="1"/>
    <col min="11" max="11" width="16.33203125" style="7" customWidth="1"/>
    <col min="12" max="12" width="20.33203125" style="7" customWidth="1"/>
    <col min="13" max="13" width="9" style="7" customWidth="1"/>
    <col min="14" max="14" width="15.33203125" style="7" customWidth="1"/>
    <col min="15" max="16384" width="9" style="7"/>
  </cols>
  <sheetData>
    <row r="1" spans="1:16" ht="15.6" thickBot="1">
      <c r="A1" s="204" t="s">
        <v>747</v>
      </c>
      <c r="B1" s="174"/>
      <c r="C1" s="175"/>
      <c r="D1" s="175"/>
      <c r="E1" s="175"/>
      <c r="F1" s="183"/>
    </row>
    <row r="2" spans="1:16" s="182" customFormat="1" ht="18.600000000000001" thickTop="1" thickBot="1">
      <c r="A2" s="210" t="s">
        <v>8</v>
      </c>
      <c r="B2" s="211" t="s">
        <v>748</v>
      </c>
      <c r="C2" s="211" t="s">
        <v>749</v>
      </c>
      <c r="D2" s="211" t="s">
        <v>750</v>
      </c>
      <c r="E2" s="211" t="s">
        <v>206</v>
      </c>
      <c r="F2" s="210" t="s">
        <v>751</v>
      </c>
      <c r="G2" s="210" t="s">
        <v>752</v>
      </c>
      <c r="H2" s="179"/>
      <c r="I2" s="179"/>
      <c r="J2" s="179"/>
      <c r="K2" s="179"/>
      <c r="L2" s="174"/>
      <c r="M2" s="212"/>
      <c r="N2" s="212"/>
    </row>
    <row r="3" spans="1:16" s="182" customFormat="1" ht="15.6" thickTop="1">
      <c r="A3" s="174" t="s">
        <v>22</v>
      </c>
      <c r="B3" s="174" t="s">
        <v>753</v>
      </c>
      <c r="C3" s="180" t="s">
        <v>754</v>
      </c>
      <c r="D3" s="181">
        <v>2.54</v>
      </c>
      <c r="E3" s="134">
        <v>0.08</v>
      </c>
      <c r="F3" s="134">
        <f>AVERAGE(D3:D6)</f>
        <v>1.8149999999999999</v>
      </c>
      <c r="G3" s="176">
        <f>STDEV(D3:D6)</f>
        <v>0.77380014646332695</v>
      </c>
    </row>
    <row r="4" spans="1:16" s="1" customFormat="1">
      <c r="A4" s="213"/>
      <c r="B4" s="205"/>
      <c r="C4" s="206" t="s">
        <v>755</v>
      </c>
      <c r="D4" s="207">
        <v>1.96</v>
      </c>
      <c r="E4" s="208">
        <v>0.09</v>
      </c>
      <c r="F4" s="213"/>
      <c r="G4" s="209"/>
      <c r="O4" s="17"/>
      <c r="P4" s="17"/>
    </row>
    <row r="5" spans="1:16" s="1" customFormat="1">
      <c r="A5" s="189"/>
      <c r="B5" s="184"/>
      <c r="C5" s="185" t="s">
        <v>756</v>
      </c>
      <c r="D5" s="186">
        <v>0.72</v>
      </c>
      <c r="E5" s="187">
        <v>0.09</v>
      </c>
      <c r="F5" s="189"/>
      <c r="G5" s="188"/>
      <c r="O5" s="17"/>
      <c r="P5" s="17"/>
    </row>
    <row r="6" spans="1:16" s="1" customFormat="1">
      <c r="A6" s="189"/>
      <c r="B6" s="184"/>
      <c r="C6" s="189" t="s">
        <v>757</v>
      </c>
      <c r="D6" s="187">
        <v>2.04</v>
      </c>
      <c r="E6" s="187">
        <v>7.0000000000000007E-2</v>
      </c>
      <c r="F6" s="190"/>
      <c r="G6" s="190"/>
      <c r="O6" s="17"/>
      <c r="P6" s="17"/>
    </row>
    <row r="7" spans="1:16" s="1" customFormat="1">
      <c r="A7" s="189"/>
      <c r="B7" s="184" t="s">
        <v>758</v>
      </c>
      <c r="C7" s="185" t="s">
        <v>759</v>
      </c>
      <c r="D7" s="186">
        <v>3.29</v>
      </c>
      <c r="E7" s="187">
        <v>0.1</v>
      </c>
      <c r="F7" s="187">
        <f>AVERAGE(D7:D9)</f>
        <v>3.0400000000000005</v>
      </c>
      <c r="G7" s="188">
        <f>STDEV(D7:D9)</f>
        <v>0.39887341350357874</v>
      </c>
      <c r="O7" s="17"/>
      <c r="P7" s="17"/>
    </row>
    <row r="8" spans="1:16" s="1" customFormat="1">
      <c r="A8" s="189"/>
      <c r="B8" s="184"/>
      <c r="C8" s="185" t="s">
        <v>760</v>
      </c>
      <c r="D8" s="186">
        <v>2.58</v>
      </c>
      <c r="E8" s="187">
        <v>0.08</v>
      </c>
      <c r="F8" s="189"/>
      <c r="G8" s="188"/>
      <c r="O8" s="17"/>
      <c r="P8" s="17"/>
    </row>
    <row r="9" spans="1:16" s="1" customFormat="1">
      <c r="A9" s="190"/>
      <c r="B9" s="190"/>
      <c r="C9" s="185" t="s">
        <v>761</v>
      </c>
      <c r="D9" s="186">
        <v>3.25</v>
      </c>
      <c r="E9" s="187">
        <v>0.1</v>
      </c>
      <c r="F9" s="190"/>
      <c r="G9" s="190"/>
      <c r="O9" s="17"/>
      <c r="P9" s="17"/>
    </row>
    <row r="10" spans="1:16" s="1" customFormat="1">
      <c r="A10" s="189"/>
      <c r="B10" s="184" t="s">
        <v>762</v>
      </c>
      <c r="C10" s="185" t="s">
        <v>763</v>
      </c>
      <c r="D10" s="186">
        <v>2.96</v>
      </c>
      <c r="E10" s="187">
        <v>0.13</v>
      </c>
      <c r="F10" s="187">
        <f>AVERAGE(D10:D12)</f>
        <v>2.4066666666666667</v>
      </c>
      <c r="G10" s="188">
        <f>STDEV(D10:D12)</f>
        <v>0.51926229723843154</v>
      </c>
      <c r="O10" s="17"/>
      <c r="P10" s="17"/>
    </row>
    <row r="11" spans="1:16" s="1" customFormat="1">
      <c r="A11" s="189"/>
      <c r="B11" s="184"/>
      <c r="C11" s="185" t="s">
        <v>764</v>
      </c>
      <c r="D11" s="186">
        <v>2.33</v>
      </c>
      <c r="E11" s="187">
        <v>0.08</v>
      </c>
      <c r="F11" s="189"/>
      <c r="G11" s="188"/>
      <c r="O11" s="17"/>
      <c r="P11" s="17"/>
    </row>
    <row r="12" spans="1:16" s="1" customFormat="1">
      <c r="A12" s="189"/>
      <c r="B12" s="184"/>
      <c r="C12" s="189" t="s">
        <v>765</v>
      </c>
      <c r="D12" s="187">
        <v>1.93</v>
      </c>
      <c r="E12" s="187">
        <v>7.0000000000000007E-2</v>
      </c>
      <c r="F12" s="190"/>
      <c r="G12" s="190"/>
      <c r="O12" s="17"/>
      <c r="P12" s="17"/>
    </row>
    <row r="13" spans="1:16" s="1" customFormat="1">
      <c r="A13" s="189"/>
      <c r="B13" s="184" t="s">
        <v>766</v>
      </c>
      <c r="C13" s="185" t="s">
        <v>767</v>
      </c>
      <c r="D13" s="186">
        <v>5.87</v>
      </c>
      <c r="E13" s="187">
        <v>0.09</v>
      </c>
      <c r="F13" s="187">
        <f>AVERAGE(D13:D15)</f>
        <v>4.2566666666666668</v>
      </c>
      <c r="G13" s="188">
        <f>STDEV(D13:D15)</f>
        <v>1.9850020990752988</v>
      </c>
      <c r="O13" s="17"/>
      <c r="P13" s="17"/>
    </row>
    <row r="14" spans="1:16" s="1" customFormat="1">
      <c r="A14" s="189"/>
      <c r="B14" s="184"/>
      <c r="C14" s="185" t="s">
        <v>768</v>
      </c>
      <c r="D14" s="186">
        <v>4.8600000000000003</v>
      </c>
      <c r="E14" s="187">
        <v>0.08</v>
      </c>
      <c r="F14" s="189"/>
      <c r="G14" s="188"/>
      <c r="O14" s="17"/>
      <c r="P14" s="17"/>
    </row>
    <row r="15" spans="1:16" s="1" customFormat="1">
      <c r="A15" s="189"/>
      <c r="B15" s="184"/>
      <c r="C15" s="189" t="s">
        <v>769</v>
      </c>
      <c r="D15" s="187">
        <v>2.04</v>
      </c>
      <c r="E15" s="187">
        <v>0.06</v>
      </c>
      <c r="F15" s="190"/>
      <c r="G15" s="190"/>
      <c r="O15" s="17"/>
      <c r="P15" s="17"/>
    </row>
    <row r="16" spans="1:16" s="1" customFormat="1" ht="14.1" customHeight="1">
      <c r="A16" s="189"/>
      <c r="B16" s="184" t="s">
        <v>770</v>
      </c>
      <c r="C16" s="185" t="s">
        <v>771</v>
      </c>
      <c r="D16" s="186">
        <v>4.33</v>
      </c>
      <c r="E16" s="187">
        <v>0.08</v>
      </c>
      <c r="F16" s="187">
        <f>AVERAGE(D16:D22)</f>
        <v>4.0628571428571432</v>
      </c>
      <c r="G16" s="188">
        <f>STDEV(D16:D22)</f>
        <v>0.27457326197296827</v>
      </c>
      <c r="O16" s="17"/>
      <c r="P16" s="17"/>
    </row>
    <row r="17" spans="1:18" s="1" customFormat="1">
      <c r="A17" s="189"/>
      <c r="B17" s="184"/>
      <c r="C17" s="185" t="s">
        <v>772</v>
      </c>
      <c r="D17" s="186">
        <v>4.22</v>
      </c>
      <c r="E17" s="187">
        <v>7.0000000000000007E-2</v>
      </c>
      <c r="F17" s="189"/>
      <c r="G17" s="188"/>
      <c r="O17" s="17"/>
      <c r="P17" s="17"/>
    </row>
    <row r="18" spans="1:18" s="1" customFormat="1">
      <c r="A18" s="189"/>
      <c r="B18" s="184"/>
      <c r="C18" s="185" t="s">
        <v>773</v>
      </c>
      <c r="D18" s="186">
        <v>3.76</v>
      </c>
      <c r="E18" s="187">
        <v>0.08</v>
      </c>
      <c r="F18" s="189"/>
      <c r="G18" s="188"/>
      <c r="O18" s="17"/>
      <c r="P18" s="17"/>
    </row>
    <row r="19" spans="1:18" s="1" customFormat="1">
      <c r="A19" s="189"/>
      <c r="B19" s="184"/>
      <c r="C19" s="189" t="s">
        <v>774</v>
      </c>
      <c r="D19" s="187">
        <v>4.05</v>
      </c>
      <c r="E19" s="187">
        <v>0.06</v>
      </c>
      <c r="F19" s="190"/>
      <c r="G19" s="190"/>
      <c r="O19" s="17"/>
      <c r="P19" s="17"/>
    </row>
    <row r="20" spans="1:18" s="1" customFormat="1">
      <c r="A20" s="189"/>
      <c r="B20" s="184"/>
      <c r="C20" s="189" t="s">
        <v>775</v>
      </c>
      <c r="D20" s="187">
        <v>4.24</v>
      </c>
      <c r="E20" s="187">
        <v>0.06</v>
      </c>
      <c r="F20" s="187"/>
      <c r="G20" s="188"/>
      <c r="O20" s="17"/>
      <c r="P20" s="17"/>
    </row>
    <row r="21" spans="1:18" s="1" customFormat="1">
      <c r="A21" s="189"/>
      <c r="B21" s="184"/>
      <c r="C21" s="185" t="s">
        <v>776</v>
      </c>
      <c r="D21" s="186">
        <v>4.2300000000000004</v>
      </c>
      <c r="E21" s="187">
        <v>0.08</v>
      </c>
      <c r="F21" s="189"/>
      <c r="G21" s="188"/>
      <c r="O21" s="17"/>
      <c r="P21" s="17"/>
    </row>
    <row r="22" spans="1:18" s="1" customFormat="1">
      <c r="A22" s="189"/>
      <c r="B22" s="184"/>
      <c r="C22" s="185" t="s">
        <v>777</v>
      </c>
      <c r="D22" s="186">
        <v>3.61</v>
      </c>
      <c r="E22" s="187">
        <v>0.09</v>
      </c>
      <c r="F22" s="190"/>
      <c r="G22" s="190"/>
      <c r="O22" s="17"/>
      <c r="P22" s="17"/>
    </row>
    <row r="23" spans="1:18">
      <c r="A23" s="191"/>
      <c r="B23" s="184" t="s">
        <v>778</v>
      </c>
      <c r="C23" s="189" t="s">
        <v>779</v>
      </c>
      <c r="D23" s="187">
        <v>6.41</v>
      </c>
      <c r="E23" s="187">
        <v>0.09</v>
      </c>
      <c r="F23" s="187">
        <f>AVERAGE(D23:D28)</f>
        <v>3.8316666666666666</v>
      </c>
      <c r="G23" s="188">
        <f>STDEV(D23:D28)</f>
        <v>1.4536907052969248</v>
      </c>
    </row>
    <row r="24" spans="1:18">
      <c r="A24" s="191"/>
      <c r="B24" s="184"/>
      <c r="C24" s="189" t="s">
        <v>780</v>
      </c>
      <c r="D24" s="187">
        <v>4.6900000000000004</v>
      </c>
      <c r="E24" s="187">
        <v>0.08</v>
      </c>
      <c r="F24" s="192"/>
      <c r="G24" s="188"/>
    </row>
    <row r="25" spans="1:18">
      <c r="A25" s="191"/>
      <c r="B25" s="184"/>
      <c r="C25" s="189" t="s">
        <v>781</v>
      </c>
      <c r="D25" s="187">
        <v>3.03</v>
      </c>
      <c r="E25" s="187">
        <v>0.09</v>
      </c>
      <c r="F25" s="192"/>
      <c r="G25" s="188"/>
    </row>
    <row r="26" spans="1:18">
      <c r="A26" s="191"/>
      <c r="B26" s="184"/>
      <c r="C26" s="189" t="s">
        <v>782</v>
      </c>
      <c r="D26" s="187">
        <v>2.62</v>
      </c>
      <c r="E26" s="187">
        <v>0.08</v>
      </c>
      <c r="F26" s="192"/>
      <c r="G26" s="188"/>
    </row>
    <row r="27" spans="1:18">
      <c r="A27" s="191"/>
      <c r="B27" s="184"/>
      <c r="C27" s="189" t="s">
        <v>783</v>
      </c>
      <c r="D27" s="187">
        <v>3.29</v>
      </c>
      <c r="E27" s="187">
        <v>0.08</v>
      </c>
      <c r="F27" s="192"/>
      <c r="G27" s="188"/>
    </row>
    <row r="28" spans="1:18">
      <c r="A28" s="191"/>
      <c r="B28" s="184"/>
      <c r="C28" s="189" t="s">
        <v>784</v>
      </c>
      <c r="D28" s="187">
        <v>2.95</v>
      </c>
      <c r="E28" s="187">
        <v>7.0000000000000007E-2</v>
      </c>
      <c r="F28" s="192"/>
      <c r="G28" s="193"/>
    </row>
    <row r="29" spans="1:18" s="1" customFormat="1">
      <c r="A29" s="189"/>
      <c r="B29" s="184" t="s">
        <v>785</v>
      </c>
      <c r="C29" s="185" t="s">
        <v>786</v>
      </c>
      <c r="D29" s="186">
        <v>3.41</v>
      </c>
      <c r="E29" s="187">
        <v>0.08</v>
      </c>
      <c r="F29" s="187">
        <f>AVERAGE(D29:D42)</f>
        <v>3.5192857142857146</v>
      </c>
      <c r="G29" s="188">
        <f>STDEV(D29:D42)</f>
        <v>0.49471770172049007</v>
      </c>
      <c r="O29" s="17"/>
      <c r="P29" s="17"/>
      <c r="Q29" s="17"/>
      <c r="R29" s="17"/>
    </row>
    <row r="30" spans="1:18" s="1" customFormat="1">
      <c r="A30" s="189"/>
      <c r="B30" s="184"/>
      <c r="C30" s="185" t="s">
        <v>787</v>
      </c>
      <c r="D30" s="186">
        <v>3.48</v>
      </c>
      <c r="E30" s="187">
        <v>0.09</v>
      </c>
      <c r="F30" s="189"/>
      <c r="G30" s="188"/>
      <c r="O30" s="17"/>
      <c r="P30" s="17"/>
      <c r="Q30" s="17"/>
      <c r="R30" s="17"/>
    </row>
    <row r="31" spans="1:18" s="1" customFormat="1">
      <c r="A31" s="189"/>
      <c r="B31" s="184"/>
      <c r="C31" s="185" t="s">
        <v>788</v>
      </c>
      <c r="D31" s="186">
        <v>3.73</v>
      </c>
      <c r="E31" s="187">
        <v>0.08</v>
      </c>
      <c r="F31" s="189"/>
      <c r="G31" s="188"/>
      <c r="O31" s="17"/>
      <c r="P31" s="17"/>
      <c r="Q31" s="17"/>
      <c r="R31" s="17"/>
    </row>
    <row r="32" spans="1:18" s="1" customFormat="1" ht="16.899999999999999" customHeight="1">
      <c r="A32" s="189"/>
      <c r="B32" s="184"/>
      <c r="C32" s="185" t="s">
        <v>789</v>
      </c>
      <c r="D32" s="186">
        <v>2.93</v>
      </c>
      <c r="E32" s="187">
        <v>0.09</v>
      </c>
      <c r="F32" s="189"/>
      <c r="G32" s="188"/>
      <c r="O32" s="17"/>
      <c r="P32" s="17"/>
    </row>
    <row r="33" spans="1:241" s="1" customFormat="1" ht="20.100000000000001" customHeight="1">
      <c r="A33" s="189"/>
      <c r="B33" s="184"/>
      <c r="C33" s="189" t="s">
        <v>790</v>
      </c>
      <c r="D33" s="187">
        <v>3.18</v>
      </c>
      <c r="E33" s="187">
        <v>0.06</v>
      </c>
      <c r="F33" s="189"/>
      <c r="G33" s="188"/>
    </row>
    <row r="34" spans="1:241" s="1" customFormat="1">
      <c r="A34" s="189"/>
      <c r="B34" s="184"/>
      <c r="C34" s="189" t="s">
        <v>791</v>
      </c>
      <c r="D34" s="187">
        <v>3.28</v>
      </c>
      <c r="E34" s="187">
        <v>0.06</v>
      </c>
      <c r="F34" s="189"/>
      <c r="G34" s="188"/>
      <c r="O34" s="17"/>
      <c r="P34" s="17"/>
    </row>
    <row r="35" spans="1:241" s="1" customFormat="1">
      <c r="A35" s="189"/>
      <c r="B35" s="184"/>
      <c r="C35" s="185" t="s">
        <v>792</v>
      </c>
      <c r="D35" s="186">
        <v>3.53</v>
      </c>
      <c r="E35" s="187">
        <v>0.09</v>
      </c>
      <c r="F35" s="189"/>
      <c r="G35" s="188"/>
      <c r="O35" s="17"/>
      <c r="P35" s="17"/>
    </row>
    <row r="36" spans="1:241" s="1" customFormat="1">
      <c r="A36" s="189"/>
      <c r="B36" s="184"/>
      <c r="C36" s="185" t="s">
        <v>793</v>
      </c>
      <c r="D36" s="186">
        <v>3.35</v>
      </c>
      <c r="E36" s="187">
        <v>0.09</v>
      </c>
      <c r="F36" s="189"/>
      <c r="G36" s="188"/>
      <c r="O36" s="17"/>
      <c r="P36" s="17"/>
    </row>
    <row r="37" spans="1:241" s="1" customFormat="1">
      <c r="A37" s="189"/>
      <c r="B37" s="184"/>
      <c r="C37" s="185" t="s">
        <v>794</v>
      </c>
      <c r="D37" s="186">
        <v>2.96</v>
      </c>
      <c r="E37" s="187">
        <v>0.09</v>
      </c>
      <c r="F37" s="190"/>
      <c r="G37" s="190"/>
      <c r="O37" s="17"/>
      <c r="P37" s="17"/>
    </row>
    <row r="38" spans="1:241" s="1" customFormat="1" ht="20.65" customHeight="1">
      <c r="A38" s="189"/>
      <c r="B38" s="184"/>
      <c r="C38" s="185" t="s">
        <v>795</v>
      </c>
      <c r="D38" s="186">
        <v>2.93</v>
      </c>
      <c r="E38" s="187">
        <v>0.1</v>
      </c>
      <c r="F38" s="187"/>
      <c r="G38" s="188"/>
      <c r="O38" s="17"/>
      <c r="P38" s="17"/>
    </row>
    <row r="39" spans="1:241" s="1" customFormat="1">
      <c r="A39" s="189"/>
      <c r="B39" s="184"/>
      <c r="C39" s="185" t="s">
        <v>796</v>
      </c>
      <c r="D39" s="186">
        <v>4.25</v>
      </c>
      <c r="E39" s="187">
        <v>0.08</v>
      </c>
      <c r="F39" s="189"/>
      <c r="G39" s="188"/>
      <c r="O39" s="17"/>
      <c r="P39" s="17"/>
    </row>
    <row r="40" spans="1:241" s="1" customFormat="1">
      <c r="A40" s="189"/>
      <c r="B40" s="184"/>
      <c r="C40" s="185" t="s">
        <v>797</v>
      </c>
      <c r="D40" s="186">
        <v>3.54</v>
      </c>
      <c r="E40" s="187">
        <v>0.08</v>
      </c>
      <c r="F40" s="190"/>
      <c r="G40" s="190"/>
      <c r="O40" s="18"/>
      <c r="P40" s="18"/>
      <c r="Q40" s="18"/>
      <c r="R40" s="18"/>
    </row>
    <row r="41" spans="1:241" s="1" customFormat="1">
      <c r="A41" s="189"/>
      <c r="B41" s="184"/>
      <c r="C41" s="185" t="s">
        <v>798</v>
      </c>
      <c r="D41" s="186">
        <v>4.37</v>
      </c>
      <c r="E41" s="187">
        <v>0.09</v>
      </c>
      <c r="F41" s="187"/>
      <c r="G41" s="188"/>
      <c r="O41" s="17"/>
      <c r="P41" s="17"/>
      <c r="Q41" s="17"/>
      <c r="R41" s="17"/>
    </row>
    <row r="42" spans="1:241" s="1" customFormat="1">
      <c r="A42" s="189"/>
      <c r="B42" s="184"/>
      <c r="C42" s="185" t="s">
        <v>799</v>
      </c>
      <c r="D42" s="186">
        <v>4.33</v>
      </c>
      <c r="E42" s="187">
        <v>0.1</v>
      </c>
      <c r="F42" s="190"/>
      <c r="G42" s="190"/>
      <c r="O42" s="17"/>
      <c r="P42" s="17"/>
      <c r="Q42" s="17"/>
      <c r="R42" s="17"/>
    </row>
    <row r="43" spans="1:241" s="2" customFormat="1">
      <c r="A43" s="194"/>
      <c r="B43" s="184" t="s">
        <v>800</v>
      </c>
      <c r="C43" s="189" t="s">
        <v>801</v>
      </c>
      <c r="D43" s="187">
        <v>3.77</v>
      </c>
      <c r="E43" s="187">
        <v>0.19</v>
      </c>
      <c r="F43" s="187">
        <f>AVERAGE(D43:D45)</f>
        <v>3.86</v>
      </c>
      <c r="G43" s="188">
        <f>STDEV(D43:D45)</f>
        <v>9.5393920141694524E-2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</row>
    <row r="44" spans="1:241" s="2" customFormat="1">
      <c r="A44" s="194"/>
      <c r="B44" s="184"/>
      <c r="C44" s="189" t="s">
        <v>802</v>
      </c>
      <c r="D44" s="187">
        <v>3.85</v>
      </c>
      <c r="E44" s="187">
        <v>0.16</v>
      </c>
      <c r="F44" s="189"/>
      <c r="G44" s="19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</row>
    <row r="45" spans="1:241" s="2" customFormat="1">
      <c r="A45" s="194"/>
      <c r="B45" s="184"/>
      <c r="C45" s="189" t="s">
        <v>803</v>
      </c>
      <c r="D45" s="187">
        <v>3.96</v>
      </c>
      <c r="E45" s="187">
        <v>0.28000000000000003</v>
      </c>
      <c r="F45" s="196"/>
      <c r="G45" s="19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</row>
    <row r="46" spans="1:241" s="2" customFormat="1">
      <c r="A46" s="194"/>
      <c r="B46" s="184" t="s">
        <v>804</v>
      </c>
      <c r="C46" s="189" t="s">
        <v>805</v>
      </c>
      <c r="D46" s="187">
        <v>3.36</v>
      </c>
      <c r="E46" s="187">
        <v>0.28999999999999998</v>
      </c>
      <c r="F46" s="187">
        <f>AVERAGE(D46:D50)</f>
        <v>3.0919999999999996</v>
      </c>
      <c r="G46" s="188">
        <f>STDEV(D46:D50)</f>
        <v>0.61908803897345754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</row>
    <row r="47" spans="1:241" s="2" customFormat="1">
      <c r="A47" s="194"/>
      <c r="B47" s="184"/>
      <c r="C47" s="189" t="s">
        <v>806</v>
      </c>
      <c r="D47" s="187">
        <v>2.33</v>
      </c>
      <c r="E47" s="187">
        <v>0.28999999999999998</v>
      </c>
      <c r="F47" s="189"/>
      <c r="G47" s="19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</row>
    <row r="48" spans="1:241" s="2" customFormat="1">
      <c r="A48" s="194"/>
      <c r="B48" s="184"/>
      <c r="C48" s="189" t="s">
        <v>807</v>
      </c>
      <c r="D48" s="187">
        <v>2.5299999999999998</v>
      </c>
      <c r="E48" s="187">
        <v>0.27</v>
      </c>
      <c r="F48" s="196"/>
      <c r="G48" s="197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</row>
    <row r="49" spans="1:241" s="2" customFormat="1">
      <c r="A49" s="194"/>
      <c r="B49" s="184"/>
      <c r="C49" s="189" t="s">
        <v>808</v>
      </c>
      <c r="D49" s="187">
        <v>3.68</v>
      </c>
      <c r="E49" s="187">
        <v>0.15</v>
      </c>
      <c r="F49" s="187"/>
      <c r="G49" s="188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</row>
    <row r="50" spans="1:241" s="2" customFormat="1">
      <c r="A50" s="194"/>
      <c r="B50" s="184"/>
      <c r="C50" s="189" t="s">
        <v>809</v>
      </c>
      <c r="D50" s="187">
        <v>3.56</v>
      </c>
      <c r="E50" s="187">
        <v>0.16</v>
      </c>
      <c r="F50" s="187"/>
      <c r="G50" s="188"/>
      <c r="H50" s="9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</row>
    <row r="51" spans="1:241" s="178" customFormat="1">
      <c r="A51" s="273"/>
      <c r="B51" s="274" t="s">
        <v>810</v>
      </c>
      <c r="C51" s="275"/>
      <c r="D51" s="276"/>
      <c r="E51" s="276"/>
      <c r="F51" s="276">
        <f>AVERAGE(D3:D50)</f>
        <v>3.4189583333333355</v>
      </c>
      <c r="G51" s="277">
        <f>STDEV(D3:D50)</f>
        <v>1.0039268422598893</v>
      </c>
      <c r="H51" s="177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  <c r="BK51" s="175"/>
      <c r="BL51" s="175"/>
      <c r="BM51" s="175"/>
      <c r="BN51" s="175"/>
      <c r="BO51" s="175"/>
      <c r="BP51" s="175"/>
      <c r="BQ51" s="175"/>
      <c r="BR51" s="175"/>
      <c r="BS51" s="175"/>
      <c r="BT51" s="175"/>
      <c r="BU51" s="175"/>
      <c r="BV51" s="175"/>
      <c r="BW51" s="175"/>
      <c r="BX51" s="175"/>
      <c r="BY51" s="175"/>
      <c r="BZ51" s="175"/>
      <c r="CA51" s="175"/>
      <c r="CB51" s="175"/>
      <c r="CC51" s="175"/>
      <c r="CD51" s="175"/>
      <c r="CE51" s="175"/>
      <c r="CF51" s="175"/>
      <c r="CG51" s="175"/>
      <c r="CH51" s="175"/>
      <c r="CI51" s="175"/>
      <c r="CJ51" s="175"/>
      <c r="CK51" s="175"/>
      <c r="CL51" s="175"/>
      <c r="CM51" s="175"/>
      <c r="CN51" s="175"/>
      <c r="CO51" s="175"/>
      <c r="CP51" s="175"/>
      <c r="CQ51" s="175"/>
      <c r="CR51" s="175"/>
      <c r="CS51" s="175"/>
      <c r="CT51" s="175"/>
      <c r="CU51" s="175"/>
      <c r="CV51" s="175"/>
      <c r="CW51" s="175"/>
      <c r="CX51" s="175"/>
      <c r="CY51" s="175"/>
      <c r="CZ51" s="175"/>
      <c r="DA51" s="175"/>
      <c r="DB51" s="175"/>
      <c r="DC51" s="175"/>
      <c r="DD51" s="175"/>
      <c r="DE51" s="175"/>
      <c r="DF51" s="175"/>
      <c r="DG51" s="175"/>
      <c r="DH51" s="175"/>
      <c r="DI51" s="175"/>
      <c r="DJ51" s="175"/>
      <c r="DK51" s="175"/>
      <c r="DL51" s="175"/>
      <c r="DM51" s="175"/>
      <c r="DN51" s="175"/>
      <c r="DO51" s="175"/>
      <c r="DP51" s="175"/>
      <c r="DQ51" s="175"/>
      <c r="DR51" s="175"/>
      <c r="DS51" s="175"/>
      <c r="DT51" s="175"/>
      <c r="DU51" s="175"/>
      <c r="DV51" s="175"/>
      <c r="DW51" s="175"/>
      <c r="DX51" s="175"/>
      <c r="DY51" s="175"/>
      <c r="DZ51" s="175"/>
      <c r="EA51" s="175"/>
      <c r="EB51" s="175"/>
      <c r="EC51" s="175"/>
      <c r="ED51" s="175"/>
      <c r="EE51" s="175"/>
      <c r="EF51" s="175"/>
      <c r="EG51" s="175"/>
      <c r="EH51" s="175"/>
      <c r="EI51" s="175"/>
      <c r="EJ51" s="175"/>
      <c r="EK51" s="175"/>
      <c r="EL51" s="175"/>
      <c r="EM51" s="175"/>
      <c r="EN51" s="175"/>
      <c r="EO51" s="175"/>
      <c r="EP51" s="175"/>
      <c r="EQ51" s="175"/>
      <c r="ER51" s="175"/>
      <c r="ES51" s="175"/>
      <c r="ET51" s="175"/>
      <c r="EU51" s="175"/>
      <c r="EV51" s="175"/>
      <c r="EW51" s="175"/>
      <c r="EX51" s="175"/>
      <c r="EY51" s="175"/>
      <c r="EZ51" s="175"/>
      <c r="FA51" s="175"/>
      <c r="FB51" s="175"/>
      <c r="FC51" s="175"/>
      <c r="FD51" s="175"/>
      <c r="FE51" s="175"/>
      <c r="FF51" s="175"/>
      <c r="FG51" s="175"/>
      <c r="FH51" s="175"/>
      <c r="FI51" s="175"/>
      <c r="FJ51" s="175"/>
      <c r="FK51" s="175"/>
      <c r="FL51" s="175"/>
      <c r="FM51" s="175"/>
      <c r="FN51" s="175"/>
      <c r="FO51" s="175"/>
      <c r="FP51" s="175"/>
      <c r="FQ51" s="175"/>
      <c r="FR51" s="175"/>
      <c r="FS51" s="175"/>
      <c r="FT51" s="175"/>
      <c r="FU51" s="175"/>
      <c r="FV51" s="175"/>
      <c r="FW51" s="175"/>
      <c r="FX51" s="175"/>
      <c r="FY51" s="175"/>
      <c r="FZ51" s="175"/>
      <c r="GA51" s="175"/>
      <c r="GB51" s="175"/>
      <c r="GC51" s="175"/>
      <c r="GD51" s="175"/>
      <c r="GE51" s="175"/>
      <c r="GF51" s="175"/>
      <c r="GG51" s="175"/>
      <c r="GH51" s="175"/>
      <c r="GI51" s="175"/>
      <c r="GJ51" s="175"/>
      <c r="GK51" s="175"/>
      <c r="GL51" s="175"/>
      <c r="GM51" s="175"/>
      <c r="GN51" s="175"/>
      <c r="GO51" s="175"/>
      <c r="GP51" s="175"/>
      <c r="GQ51" s="175"/>
      <c r="GR51" s="175"/>
      <c r="GS51" s="175"/>
      <c r="GT51" s="175"/>
      <c r="GU51" s="175"/>
      <c r="GV51" s="175"/>
      <c r="GW51" s="175"/>
      <c r="GX51" s="175"/>
      <c r="GY51" s="175"/>
      <c r="GZ51" s="175"/>
      <c r="HA51" s="175"/>
      <c r="HB51" s="175"/>
      <c r="HC51" s="175"/>
      <c r="HD51" s="175"/>
      <c r="HE51" s="175"/>
      <c r="HF51" s="175"/>
      <c r="HG51" s="175"/>
      <c r="HH51" s="175"/>
      <c r="HI51" s="175"/>
      <c r="HJ51" s="175"/>
      <c r="HK51" s="175"/>
      <c r="HL51" s="175"/>
      <c r="HM51" s="175"/>
      <c r="HN51" s="175"/>
      <c r="HO51" s="175"/>
      <c r="HP51" s="175"/>
      <c r="HQ51" s="175"/>
      <c r="HR51" s="175"/>
      <c r="HS51" s="175"/>
      <c r="HT51" s="175"/>
      <c r="HU51" s="175"/>
      <c r="HV51" s="175"/>
      <c r="HW51" s="175"/>
      <c r="HX51" s="175"/>
      <c r="HY51" s="175"/>
      <c r="HZ51" s="175"/>
      <c r="IA51" s="175"/>
      <c r="IB51" s="175"/>
      <c r="IC51" s="175"/>
      <c r="ID51" s="175"/>
      <c r="IE51" s="175"/>
      <c r="IF51" s="175"/>
      <c r="IG51" s="175"/>
    </row>
    <row r="52" spans="1:241" s="178" customFormat="1">
      <c r="A52" s="205" t="s">
        <v>137</v>
      </c>
      <c r="B52" s="205" t="s">
        <v>811</v>
      </c>
      <c r="C52" s="270" t="s">
        <v>812</v>
      </c>
      <c r="D52" s="271">
        <v>5.45</v>
      </c>
      <c r="E52" s="208">
        <v>0.18</v>
      </c>
      <c r="F52" s="272">
        <f>AVERAGE(D52:D57)</f>
        <v>4.5433333333333339</v>
      </c>
      <c r="G52" s="209">
        <f>STDEV(D52:D57)</f>
        <v>1.2758160786989108</v>
      </c>
      <c r="H52" s="177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  <c r="BK52" s="175"/>
      <c r="BL52" s="175"/>
      <c r="BM52" s="175"/>
      <c r="BN52" s="175"/>
      <c r="BO52" s="175"/>
      <c r="BP52" s="175"/>
      <c r="BQ52" s="175"/>
      <c r="BR52" s="175"/>
      <c r="BS52" s="175"/>
      <c r="BT52" s="175"/>
      <c r="BU52" s="175"/>
      <c r="BV52" s="175"/>
      <c r="BW52" s="175"/>
      <c r="BX52" s="175"/>
      <c r="BY52" s="175"/>
      <c r="BZ52" s="175"/>
      <c r="CA52" s="175"/>
      <c r="CB52" s="175"/>
      <c r="CC52" s="175"/>
      <c r="CD52" s="175"/>
      <c r="CE52" s="175"/>
      <c r="CF52" s="175"/>
      <c r="CG52" s="175"/>
      <c r="CH52" s="175"/>
      <c r="CI52" s="175"/>
      <c r="CJ52" s="175"/>
      <c r="CK52" s="175"/>
      <c r="CL52" s="175"/>
      <c r="CM52" s="175"/>
      <c r="CN52" s="175"/>
      <c r="CO52" s="175"/>
      <c r="CP52" s="175"/>
      <c r="CQ52" s="175"/>
      <c r="CR52" s="175"/>
      <c r="CS52" s="175"/>
      <c r="CT52" s="175"/>
      <c r="CU52" s="175"/>
      <c r="CV52" s="175"/>
      <c r="CW52" s="175"/>
      <c r="CX52" s="175"/>
      <c r="CY52" s="175"/>
      <c r="CZ52" s="175"/>
      <c r="DA52" s="175"/>
      <c r="DB52" s="175"/>
      <c r="DC52" s="175"/>
      <c r="DD52" s="175"/>
      <c r="DE52" s="175"/>
      <c r="DF52" s="175"/>
      <c r="DG52" s="175"/>
      <c r="DH52" s="175"/>
      <c r="DI52" s="175"/>
      <c r="DJ52" s="175"/>
      <c r="DK52" s="175"/>
      <c r="DL52" s="175"/>
      <c r="DM52" s="175"/>
      <c r="DN52" s="175"/>
      <c r="DO52" s="175"/>
      <c r="DP52" s="175"/>
      <c r="DQ52" s="175"/>
      <c r="DR52" s="175"/>
      <c r="DS52" s="175"/>
      <c r="DT52" s="175"/>
      <c r="DU52" s="175"/>
      <c r="DV52" s="175"/>
      <c r="DW52" s="175"/>
      <c r="DX52" s="175"/>
      <c r="DY52" s="175"/>
      <c r="DZ52" s="175"/>
      <c r="EA52" s="175"/>
      <c r="EB52" s="175"/>
      <c r="EC52" s="175"/>
      <c r="ED52" s="175"/>
      <c r="EE52" s="175"/>
      <c r="EF52" s="175"/>
      <c r="EG52" s="175"/>
      <c r="EH52" s="175"/>
      <c r="EI52" s="175"/>
      <c r="EJ52" s="175"/>
      <c r="EK52" s="175"/>
      <c r="EL52" s="175"/>
      <c r="EM52" s="175"/>
      <c r="EN52" s="175"/>
      <c r="EO52" s="175"/>
      <c r="EP52" s="175"/>
      <c r="EQ52" s="175"/>
      <c r="ER52" s="175"/>
      <c r="ES52" s="175"/>
      <c r="ET52" s="175"/>
      <c r="EU52" s="175"/>
      <c r="EV52" s="175"/>
      <c r="EW52" s="175"/>
      <c r="EX52" s="175"/>
      <c r="EY52" s="175"/>
      <c r="EZ52" s="175"/>
      <c r="FA52" s="175"/>
      <c r="FB52" s="175"/>
      <c r="FC52" s="175"/>
      <c r="FD52" s="175"/>
      <c r="FE52" s="175"/>
      <c r="FF52" s="175"/>
      <c r="FG52" s="175"/>
      <c r="FH52" s="175"/>
      <c r="FI52" s="175"/>
      <c r="FJ52" s="175"/>
      <c r="FK52" s="175"/>
      <c r="FL52" s="175"/>
      <c r="FM52" s="175"/>
      <c r="FN52" s="175"/>
      <c r="FO52" s="175"/>
      <c r="FP52" s="175"/>
      <c r="FQ52" s="175"/>
      <c r="FR52" s="175"/>
      <c r="FS52" s="175"/>
      <c r="FT52" s="175"/>
      <c r="FU52" s="175"/>
      <c r="FV52" s="175"/>
      <c r="FW52" s="175"/>
      <c r="FX52" s="175"/>
      <c r="FY52" s="175"/>
      <c r="FZ52" s="175"/>
      <c r="GA52" s="175"/>
      <c r="GB52" s="175"/>
      <c r="GC52" s="175"/>
      <c r="GD52" s="175"/>
      <c r="GE52" s="175"/>
      <c r="GF52" s="175"/>
      <c r="GG52" s="175"/>
      <c r="GH52" s="175"/>
      <c r="GI52" s="175"/>
      <c r="GJ52" s="175"/>
      <c r="GK52" s="175"/>
      <c r="GL52" s="175"/>
      <c r="GM52" s="175"/>
      <c r="GN52" s="175"/>
      <c r="GO52" s="175"/>
      <c r="GP52" s="175"/>
      <c r="GQ52" s="175"/>
      <c r="GR52" s="175"/>
      <c r="GS52" s="175"/>
      <c r="GT52" s="175"/>
      <c r="GU52" s="175"/>
      <c r="GV52" s="175"/>
      <c r="GW52" s="175"/>
      <c r="GX52" s="175"/>
      <c r="GY52" s="175"/>
      <c r="GZ52" s="175"/>
      <c r="HA52" s="175"/>
      <c r="HB52" s="175"/>
      <c r="HC52" s="175"/>
      <c r="HD52" s="175"/>
      <c r="HE52" s="175"/>
      <c r="HF52" s="175"/>
      <c r="HG52" s="175"/>
      <c r="HH52" s="175"/>
      <c r="HI52" s="175"/>
      <c r="HJ52" s="175"/>
      <c r="HK52" s="175"/>
      <c r="HL52" s="175"/>
      <c r="HM52" s="175"/>
      <c r="HN52" s="175"/>
      <c r="HO52" s="175"/>
      <c r="HP52" s="175"/>
      <c r="HQ52" s="175"/>
      <c r="HR52" s="175"/>
      <c r="HS52" s="175"/>
      <c r="HT52" s="175"/>
      <c r="HU52" s="175"/>
      <c r="HV52" s="175"/>
      <c r="HW52" s="175"/>
      <c r="HX52" s="175"/>
      <c r="HY52" s="175"/>
      <c r="HZ52" s="175"/>
      <c r="IA52" s="175"/>
      <c r="IB52" s="175"/>
      <c r="IC52" s="175"/>
      <c r="ID52" s="175"/>
      <c r="IE52" s="175"/>
      <c r="IF52" s="175"/>
      <c r="IG52" s="175"/>
    </row>
    <row r="53" spans="1:241" s="178" customFormat="1">
      <c r="A53" s="184"/>
      <c r="B53" s="184"/>
      <c r="C53" s="214" t="s">
        <v>813</v>
      </c>
      <c r="D53" s="215">
        <v>4.8899999999999997</v>
      </c>
      <c r="E53" s="187">
        <v>0.15</v>
      </c>
      <c r="F53" s="198"/>
      <c r="G53" s="188"/>
      <c r="H53" s="177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  <c r="BK53" s="175"/>
      <c r="BL53" s="175"/>
      <c r="BM53" s="175"/>
      <c r="BN53" s="175"/>
      <c r="BO53" s="175"/>
      <c r="BP53" s="175"/>
      <c r="BQ53" s="175"/>
      <c r="BR53" s="175"/>
      <c r="BS53" s="175"/>
      <c r="BT53" s="175"/>
      <c r="BU53" s="175"/>
      <c r="BV53" s="175"/>
      <c r="BW53" s="175"/>
      <c r="BX53" s="175"/>
      <c r="BY53" s="175"/>
      <c r="BZ53" s="175"/>
      <c r="CA53" s="175"/>
      <c r="CB53" s="175"/>
      <c r="CC53" s="175"/>
      <c r="CD53" s="175"/>
      <c r="CE53" s="175"/>
      <c r="CF53" s="175"/>
      <c r="CG53" s="175"/>
      <c r="CH53" s="175"/>
      <c r="CI53" s="175"/>
      <c r="CJ53" s="175"/>
      <c r="CK53" s="175"/>
      <c r="CL53" s="175"/>
      <c r="CM53" s="175"/>
      <c r="CN53" s="175"/>
      <c r="CO53" s="175"/>
      <c r="CP53" s="175"/>
      <c r="CQ53" s="175"/>
      <c r="CR53" s="175"/>
      <c r="CS53" s="175"/>
      <c r="CT53" s="175"/>
      <c r="CU53" s="175"/>
      <c r="CV53" s="175"/>
      <c r="CW53" s="175"/>
      <c r="CX53" s="175"/>
      <c r="CY53" s="175"/>
      <c r="CZ53" s="175"/>
      <c r="DA53" s="175"/>
      <c r="DB53" s="175"/>
      <c r="DC53" s="175"/>
      <c r="DD53" s="175"/>
      <c r="DE53" s="175"/>
      <c r="DF53" s="175"/>
      <c r="DG53" s="175"/>
      <c r="DH53" s="175"/>
      <c r="DI53" s="175"/>
      <c r="DJ53" s="175"/>
      <c r="DK53" s="175"/>
      <c r="DL53" s="175"/>
      <c r="DM53" s="175"/>
      <c r="DN53" s="175"/>
      <c r="DO53" s="175"/>
      <c r="DP53" s="175"/>
      <c r="DQ53" s="175"/>
      <c r="DR53" s="175"/>
      <c r="DS53" s="175"/>
      <c r="DT53" s="175"/>
      <c r="DU53" s="175"/>
      <c r="DV53" s="175"/>
      <c r="DW53" s="175"/>
      <c r="DX53" s="175"/>
      <c r="DY53" s="175"/>
      <c r="DZ53" s="175"/>
      <c r="EA53" s="175"/>
      <c r="EB53" s="175"/>
      <c r="EC53" s="175"/>
      <c r="ED53" s="175"/>
      <c r="EE53" s="175"/>
      <c r="EF53" s="175"/>
      <c r="EG53" s="175"/>
      <c r="EH53" s="175"/>
      <c r="EI53" s="175"/>
      <c r="EJ53" s="175"/>
      <c r="EK53" s="175"/>
      <c r="EL53" s="175"/>
      <c r="EM53" s="175"/>
      <c r="EN53" s="175"/>
      <c r="EO53" s="175"/>
      <c r="EP53" s="175"/>
      <c r="EQ53" s="175"/>
      <c r="ER53" s="175"/>
      <c r="ES53" s="175"/>
      <c r="ET53" s="175"/>
      <c r="EU53" s="175"/>
      <c r="EV53" s="175"/>
      <c r="EW53" s="175"/>
      <c r="EX53" s="175"/>
      <c r="EY53" s="175"/>
      <c r="EZ53" s="175"/>
      <c r="FA53" s="175"/>
      <c r="FB53" s="175"/>
      <c r="FC53" s="175"/>
      <c r="FD53" s="175"/>
      <c r="FE53" s="175"/>
      <c r="FF53" s="175"/>
      <c r="FG53" s="175"/>
      <c r="FH53" s="175"/>
      <c r="FI53" s="175"/>
      <c r="FJ53" s="175"/>
      <c r="FK53" s="175"/>
      <c r="FL53" s="175"/>
      <c r="FM53" s="175"/>
      <c r="FN53" s="175"/>
      <c r="FO53" s="175"/>
      <c r="FP53" s="175"/>
      <c r="FQ53" s="175"/>
      <c r="FR53" s="175"/>
      <c r="FS53" s="175"/>
      <c r="FT53" s="175"/>
      <c r="FU53" s="175"/>
      <c r="FV53" s="175"/>
      <c r="FW53" s="175"/>
      <c r="FX53" s="175"/>
      <c r="FY53" s="175"/>
      <c r="FZ53" s="175"/>
      <c r="GA53" s="175"/>
      <c r="GB53" s="175"/>
      <c r="GC53" s="175"/>
      <c r="GD53" s="175"/>
      <c r="GE53" s="175"/>
      <c r="GF53" s="175"/>
      <c r="GG53" s="175"/>
      <c r="GH53" s="175"/>
      <c r="GI53" s="175"/>
      <c r="GJ53" s="175"/>
      <c r="GK53" s="175"/>
      <c r="GL53" s="175"/>
      <c r="GM53" s="175"/>
      <c r="GN53" s="175"/>
      <c r="GO53" s="175"/>
      <c r="GP53" s="175"/>
      <c r="GQ53" s="175"/>
      <c r="GR53" s="175"/>
      <c r="GS53" s="175"/>
      <c r="GT53" s="175"/>
      <c r="GU53" s="175"/>
      <c r="GV53" s="175"/>
      <c r="GW53" s="175"/>
      <c r="GX53" s="175"/>
      <c r="GY53" s="175"/>
      <c r="GZ53" s="175"/>
      <c r="HA53" s="175"/>
      <c r="HB53" s="175"/>
      <c r="HC53" s="175"/>
      <c r="HD53" s="175"/>
      <c r="HE53" s="175"/>
      <c r="HF53" s="175"/>
      <c r="HG53" s="175"/>
      <c r="HH53" s="175"/>
      <c r="HI53" s="175"/>
      <c r="HJ53" s="175"/>
      <c r="HK53" s="175"/>
      <c r="HL53" s="175"/>
      <c r="HM53" s="175"/>
      <c r="HN53" s="175"/>
      <c r="HO53" s="175"/>
      <c r="HP53" s="175"/>
      <c r="HQ53" s="175"/>
      <c r="HR53" s="175"/>
      <c r="HS53" s="175"/>
      <c r="HT53" s="175"/>
      <c r="HU53" s="175"/>
      <c r="HV53" s="175"/>
      <c r="HW53" s="175"/>
      <c r="HX53" s="175"/>
      <c r="HY53" s="175"/>
      <c r="HZ53" s="175"/>
      <c r="IA53" s="175"/>
      <c r="IB53" s="175"/>
      <c r="IC53" s="175"/>
      <c r="ID53" s="175"/>
      <c r="IE53" s="175"/>
      <c r="IF53" s="175"/>
      <c r="IG53" s="175"/>
    </row>
    <row r="54" spans="1:241" s="178" customFormat="1">
      <c r="A54" s="184"/>
      <c r="B54" s="184"/>
      <c r="C54" s="214" t="s">
        <v>814</v>
      </c>
      <c r="D54" s="215">
        <v>5.7</v>
      </c>
      <c r="E54" s="187">
        <v>0.09</v>
      </c>
      <c r="F54" s="198"/>
      <c r="G54" s="188"/>
      <c r="H54" s="177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175"/>
      <c r="AZ54" s="175"/>
      <c r="BA54" s="175"/>
      <c r="BB54" s="175"/>
      <c r="BC54" s="175"/>
      <c r="BD54" s="175"/>
      <c r="BE54" s="175"/>
      <c r="BF54" s="175"/>
      <c r="BG54" s="175"/>
      <c r="BH54" s="175"/>
      <c r="BI54" s="175"/>
      <c r="BJ54" s="175"/>
      <c r="BK54" s="175"/>
      <c r="BL54" s="175"/>
      <c r="BM54" s="175"/>
      <c r="BN54" s="175"/>
      <c r="BO54" s="175"/>
      <c r="BP54" s="175"/>
      <c r="BQ54" s="175"/>
      <c r="BR54" s="175"/>
      <c r="BS54" s="175"/>
      <c r="BT54" s="175"/>
      <c r="BU54" s="175"/>
      <c r="BV54" s="175"/>
      <c r="BW54" s="175"/>
      <c r="BX54" s="175"/>
      <c r="BY54" s="175"/>
      <c r="BZ54" s="175"/>
      <c r="CA54" s="175"/>
      <c r="CB54" s="175"/>
      <c r="CC54" s="175"/>
      <c r="CD54" s="175"/>
      <c r="CE54" s="175"/>
      <c r="CF54" s="175"/>
      <c r="CG54" s="175"/>
      <c r="CH54" s="175"/>
      <c r="CI54" s="175"/>
      <c r="CJ54" s="175"/>
      <c r="CK54" s="175"/>
      <c r="CL54" s="175"/>
      <c r="CM54" s="175"/>
      <c r="CN54" s="175"/>
      <c r="CO54" s="175"/>
      <c r="CP54" s="175"/>
      <c r="CQ54" s="175"/>
      <c r="CR54" s="175"/>
      <c r="CS54" s="175"/>
      <c r="CT54" s="175"/>
      <c r="CU54" s="175"/>
      <c r="CV54" s="175"/>
      <c r="CW54" s="175"/>
      <c r="CX54" s="175"/>
      <c r="CY54" s="175"/>
      <c r="CZ54" s="175"/>
      <c r="DA54" s="175"/>
      <c r="DB54" s="175"/>
      <c r="DC54" s="175"/>
      <c r="DD54" s="175"/>
      <c r="DE54" s="175"/>
      <c r="DF54" s="175"/>
      <c r="DG54" s="175"/>
      <c r="DH54" s="175"/>
      <c r="DI54" s="175"/>
      <c r="DJ54" s="175"/>
      <c r="DK54" s="175"/>
      <c r="DL54" s="175"/>
      <c r="DM54" s="175"/>
      <c r="DN54" s="175"/>
      <c r="DO54" s="175"/>
      <c r="DP54" s="175"/>
      <c r="DQ54" s="175"/>
      <c r="DR54" s="175"/>
      <c r="DS54" s="175"/>
      <c r="DT54" s="175"/>
      <c r="DU54" s="175"/>
      <c r="DV54" s="175"/>
      <c r="DW54" s="175"/>
      <c r="DX54" s="175"/>
      <c r="DY54" s="175"/>
      <c r="DZ54" s="175"/>
      <c r="EA54" s="175"/>
      <c r="EB54" s="175"/>
      <c r="EC54" s="175"/>
      <c r="ED54" s="175"/>
      <c r="EE54" s="175"/>
      <c r="EF54" s="175"/>
      <c r="EG54" s="175"/>
      <c r="EH54" s="175"/>
      <c r="EI54" s="175"/>
      <c r="EJ54" s="175"/>
      <c r="EK54" s="175"/>
      <c r="EL54" s="175"/>
      <c r="EM54" s="175"/>
      <c r="EN54" s="175"/>
      <c r="EO54" s="175"/>
      <c r="EP54" s="175"/>
      <c r="EQ54" s="175"/>
      <c r="ER54" s="175"/>
      <c r="ES54" s="175"/>
      <c r="ET54" s="175"/>
      <c r="EU54" s="175"/>
      <c r="EV54" s="175"/>
      <c r="EW54" s="175"/>
      <c r="EX54" s="175"/>
      <c r="EY54" s="175"/>
      <c r="EZ54" s="175"/>
      <c r="FA54" s="175"/>
      <c r="FB54" s="175"/>
      <c r="FC54" s="175"/>
      <c r="FD54" s="175"/>
      <c r="FE54" s="175"/>
      <c r="FF54" s="175"/>
      <c r="FG54" s="175"/>
      <c r="FH54" s="175"/>
      <c r="FI54" s="175"/>
      <c r="FJ54" s="175"/>
      <c r="FK54" s="175"/>
      <c r="FL54" s="175"/>
      <c r="FM54" s="175"/>
      <c r="FN54" s="175"/>
      <c r="FO54" s="175"/>
      <c r="FP54" s="175"/>
      <c r="FQ54" s="175"/>
      <c r="FR54" s="175"/>
      <c r="FS54" s="175"/>
      <c r="FT54" s="175"/>
      <c r="FU54" s="175"/>
      <c r="FV54" s="175"/>
      <c r="FW54" s="175"/>
      <c r="FX54" s="175"/>
      <c r="FY54" s="175"/>
      <c r="FZ54" s="175"/>
      <c r="GA54" s="175"/>
      <c r="GB54" s="175"/>
      <c r="GC54" s="175"/>
      <c r="GD54" s="175"/>
      <c r="GE54" s="175"/>
      <c r="GF54" s="175"/>
      <c r="GG54" s="175"/>
      <c r="GH54" s="175"/>
      <c r="GI54" s="175"/>
      <c r="GJ54" s="175"/>
      <c r="GK54" s="175"/>
      <c r="GL54" s="175"/>
      <c r="GM54" s="175"/>
      <c r="GN54" s="175"/>
      <c r="GO54" s="175"/>
      <c r="GP54" s="175"/>
      <c r="GQ54" s="175"/>
      <c r="GR54" s="175"/>
      <c r="GS54" s="175"/>
      <c r="GT54" s="175"/>
      <c r="GU54" s="175"/>
      <c r="GV54" s="175"/>
      <c r="GW54" s="175"/>
      <c r="GX54" s="175"/>
      <c r="GY54" s="175"/>
      <c r="GZ54" s="175"/>
      <c r="HA54" s="175"/>
      <c r="HB54" s="175"/>
      <c r="HC54" s="175"/>
      <c r="HD54" s="175"/>
      <c r="HE54" s="175"/>
      <c r="HF54" s="175"/>
      <c r="HG54" s="175"/>
      <c r="HH54" s="175"/>
      <c r="HI54" s="175"/>
      <c r="HJ54" s="175"/>
      <c r="HK54" s="175"/>
      <c r="HL54" s="175"/>
      <c r="HM54" s="175"/>
      <c r="HN54" s="175"/>
      <c r="HO54" s="175"/>
      <c r="HP54" s="175"/>
      <c r="HQ54" s="175"/>
      <c r="HR54" s="175"/>
      <c r="HS54" s="175"/>
      <c r="HT54" s="175"/>
      <c r="HU54" s="175"/>
      <c r="HV54" s="175"/>
      <c r="HW54" s="175"/>
      <c r="HX54" s="175"/>
      <c r="HY54" s="175"/>
      <c r="HZ54" s="175"/>
      <c r="IA54" s="175"/>
      <c r="IB54" s="175"/>
      <c r="IC54" s="175"/>
      <c r="ID54" s="175"/>
      <c r="IE54" s="175"/>
      <c r="IF54" s="175"/>
      <c r="IG54" s="175"/>
    </row>
    <row r="55" spans="1:241" s="178" customFormat="1">
      <c r="A55" s="184"/>
      <c r="B55" s="184"/>
      <c r="C55" s="214" t="s">
        <v>815</v>
      </c>
      <c r="D55" s="215">
        <v>2.3199999999999998</v>
      </c>
      <c r="E55" s="187">
        <v>0.12</v>
      </c>
      <c r="F55" s="187"/>
      <c r="G55" s="188"/>
      <c r="H55" s="177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5"/>
      <c r="BL55" s="175"/>
      <c r="BM55" s="175"/>
      <c r="BN55" s="175"/>
      <c r="BO55" s="175"/>
      <c r="BP55" s="175"/>
      <c r="BQ55" s="175"/>
      <c r="BR55" s="175"/>
      <c r="BS55" s="175"/>
      <c r="BT55" s="175"/>
      <c r="BU55" s="175"/>
      <c r="BV55" s="175"/>
      <c r="BW55" s="175"/>
      <c r="BX55" s="175"/>
      <c r="BY55" s="175"/>
      <c r="BZ55" s="175"/>
      <c r="CA55" s="175"/>
      <c r="CB55" s="175"/>
      <c r="CC55" s="175"/>
      <c r="CD55" s="175"/>
      <c r="CE55" s="175"/>
      <c r="CF55" s="175"/>
      <c r="CG55" s="175"/>
      <c r="CH55" s="175"/>
      <c r="CI55" s="175"/>
      <c r="CJ55" s="175"/>
      <c r="CK55" s="175"/>
      <c r="CL55" s="175"/>
      <c r="CM55" s="175"/>
      <c r="CN55" s="175"/>
      <c r="CO55" s="175"/>
      <c r="CP55" s="175"/>
      <c r="CQ55" s="175"/>
      <c r="CR55" s="175"/>
      <c r="CS55" s="175"/>
      <c r="CT55" s="175"/>
      <c r="CU55" s="175"/>
      <c r="CV55" s="175"/>
      <c r="CW55" s="175"/>
      <c r="CX55" s="175"/>
      <c r="CY55" s="175"/>
      <c r="CZ55" s="175"/>
      <c r="DA55" s="175"/>
      <c r="DB55" s="175"/>
      <c r="DC55" s="175"/>
      <c r="DD55" s="175"/>
      <c r="DE55" s="175"/>
      <c r="DF55" s="175"/>
      <c r="DG55" s="175"/>
      <c r="DH55" s="175"/>
      <c r="DI55" s="175"/>
      <c r="DJ55" s="175"/>
      <c r="DK55" s="175"/>
      <c r="DL55" s="175"/>
      <c r="DM55" s="175"/>
      <c r="DN55" s="175"/>
      <c r="DO55" s="175"/>
      <c r="DP55" s="175"/>
      <c r="DQ55" s="175"/>
      <c r="DR55" s="175"/>
      <c r="DS55" s="175"/>
      <c r="DT55" s="175"/>
      <c r="DU55" s="175"/>
      <c r="DV55" s="175"/>
      <c r="DW55" s="175"/>
      <c r="DX55" s="175"/>
      <c r="DY55" s="175"/>
      <c r="DZ55" s="175"/>
      <c r="EA55" s="175"/>
      <c r="EB55" s="175"/>
      <c r="EC55" s="175"/>
      <c r="ED55" s="175"/>
      <c r="EE55" s="175"/>
      <c r="EF55" s="175"/>
      <c r="EG55" s="175"/>
      <c r="EH55" s="175"/>
      <c r="EI55" s="175"/>
      <c r="EJ55" s="175"/>
      <c r="EK55" s="175"/>
      <c r="EL55" s="175"/>
      <c r="EM55" s="175"/>
      <c r="EN55" s="175"/>
      <c r="EO55" s="175"/>
      <c r="EP55" s="175"/>
      <c r="EQ55" s="175"/>
      <c r="ER55" s="175"/>
      <c r="ES55" s="175"/>
      <c r="ET55" s="175"/>
      <c r="EU55" s="175"/>
      <c r="EV55" s="175"/>
      <c r="EW55" s="175"/>
      <c r="EX55" s="175"/>
      <c r="EY55" s="175"/>
      <c r="EZ55" s="175"/>
      <c r="FA55" s="175"/>
      <c r="FB55" s="175"/>
      <c r="FC55" s="175"/>
      <c r="FD55" s="175"/>
      <c r="FE55" s="175"/>
      <c r="FF55" s="175"/>
      <c r="FG55" s="175"/>
      <c r="FH55" s="175"/>
      <c r="FI55" s="175"/>
      <c r="FJ55" s="175"/>
      <c r="FK55" s="175"/>
      <c r="FL55" s="175"/>
      <c r="FM55" s="175"/>
      <c r="FN55" s="175"/>
      <c r="FO55" s="175"/>
      <c r="FP55" s="175"/>
      <c r="FQ55" s="175"/>
      <c r="FR55" s="175"/>
      <c r="FS55" s="175"/>
      <c r="FT55" s="175"/>
      <c r="FU55" s="175"/>
      <c r="FV55" s="175"/>
      <c r="FW55" s="175"/>
      <c r="FX55" s="175"/>
      <c r="FY55" s="175"/>
      <c r="FZ55" s="175"/>
      <c r="GA55" s="175"/>
      <c r="GB55" s="175"/>
      <c r="GC55" s="175"/>
      <c r="GD55" s="175"/>
      <c r="GE55" s="175"/>
      <c r="GF55" s="175"/>
      <c r="GG55" s="175"/>
      <c r="GH55" s="175"/>
      <c r="GI55" s="175"/>
      <c r="GJ55" s="175"/>
      <c r="GK55" s="175"/>
      <c r="GL55" s="175"/>
      <c r="GM55" s="175"/>
      <c r="GN55" s="175"/>
      <c r="GO55" s="175"/>
      <c r="GP55" s="175"/>
      <c r="GQ55" s="175"/>
      <c r="GR55" s="175"/>
      <c r="GS55" s="175"/>
      <c r="GT55" s="175"/>
      <c r="GU55" s="175"/>
      <c r="GV55" s="175"/>
      <c r="GW55" s="175"/>
      <c r="GX55" s="175"/>
      <c r="GY55" s="175"/>
      <c r="GZ55" s="175"/>
      <c r="HA55" s="175"/>
      <c r="HB55" s="175"/>
      <c r="HC55" s="175"/>
      <c r="HD55" s="175"/>
      <c r="HE55" s="175"/>
      <c r="HF55" s="175"/>
      <c r="HG55" s="175"/>
      <c r="HH55" s="175"/>
      <c r="HI55" s="175"/>
      <c r="HJ55" s="175"/>
      <c r="HK55" s="175"/>
      <c r="HL55" s="175"/>
      <c r="HM55" s="175"/>
      <c r="HN55" s="175"/>
      <c r="HO55" s="175"/>
      <c r="HP55" s="175"/>
      <c r="HQ55" s="175"/>
      <c r="HR55" s="175"/>
      <c r="HS55" s="175"/>
      <c r="HT55" s="175"/>
      <c r="HU55" s="175"/>
      <c r="HV55" s="175"/>
      <c r="HW55" s="175"/>
      <c r="HX55" s="175"/>
      <c r="HY55" s="175"/>
      <c r="HZ55" s="175"/>
      <c r="IA55" s="175"/>
      <c r="IB55" s="175"/>
      <c r="IC55" s="175"/>
      <c r="ID55" s="175"/>
      <c r="IE55" s="175"/>
      <c r="IF55" s="175"/>
      <c r="IG55" s="175"/>
    </row>
    <row r="56" spans="1:241" s="178" customFormat="1">
      <c r="A56" s="184"/>
      <c r="B56" s="184"/>
      <c r="C56" s="214" t="s">
        <v>816</v>
      </c>
      <c r="D56" s="215">
        <v>3.78</v>
      </c>
      <c r="E56" s="187">
        <v>0.09</v>
      </c>
      <c r="F56" s="187"/>
      <c r="G56" s="188"/>
      <c r="H56" s="177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175"/>
      <c r="AZ56" s="175"/>
      <c r="BA56" s="175"/>
      <c r="BB56" s="175"/>
      <c r="BC56" s="175"/>
      <c r="BD56" s="175"/>
      <c r="BE56" s="175"/>
      <c r="BF56" s="175"/>
      <c r="BG56" s="175"/>
      <c r="BH56" s="175"/>
      <c r="BI56" s="175"/>
      <c r="BJ56" s="175"/>
      <c r="BK56" s="175"/>
      <c r="BL56" s="175"/>
      <c r="BM56" s="175"/>
      <c r="BN56" s="175"/>
      <c r="BO56" s="175"/>
      <c r="BP56" s="175"/>
      <c r="BQ56" s="175"/>
      <c r="BR56" s="175"/>
      <c r="BS56" s="175"/>
      <c r="BT56" s="175"/>
      <c r="BU56" s="175"/>
      <c r="BV56" s="175"/>
      <c r="BW56" s="175"/>
      <c r="BX56" s="175"/>
      <c r="BY56" s="175"/>
      <c r="BZ56" s="175"/>
      <c r="CA56" s="175"/>
      <c r="CB56" s="175"/>
      <c r="CC56" s="175"/>
      <c r="CD56" s="175"/>
      <c r="CE56" s="175"/>
      <c r="CF56" s="175"/>
      <c r="CG56" s="175"/>
      <c r="CH56" s="175"/>
      <c r="CI56" s="175"/>
      <c r="CJ56" s="175"/>
      <c r="CK56" s="175"/>
      <c r="CL56" s="175"/>
      <c r="CM56" s="175"/>
      <c r="CN56" s="175"/>
      <c r="CO56" s="175"/>
      <c r="CP56" s="175"/>
      <c r="CQ56" s="175"/>
      <c r="CR56" s="175"/>
      <c r="CS56" s="175"/>
      <c r="CT56" s="175"/>
      <c r="CU56" s="175"/>
      <c r="CV56" s="175"/>
      <c r="CW56" s="175"/>
      <c r="CX56" s="175"/>
      <c r="CY56" s="175"/>
      <c r="CZ56" s="175"/>
      <c r="DA56" s="175"/>
      <c r="DB56" s="175"/>
      <c r="DC56" s="175"/>
      <c r="DD56" s="175"/>
      <c r="DE56" s="175"/>
      <c r="DF56" s="175"/>
      <c r="DG56" s="175"/>
      <c r="DH56" s="175"/>
      <c r="DI56" s="175"/>
      <c r="DJ56" s="175"/>
      <c r="DK56" s="175"/>
      <c r="DL56" s="175"/>
      <c r="DM56" s="175"/>
      <c r="DN56" s="175"/>
      <c r="DO56" s="175"/>
      <c r="DP56" s="175"/>
      <c r="DQ56" s="175"/>
      <c r="DR56" s="175"/>
      <c r="DS56" s="175"/>
      <c r="DT56" s="175"/>
      <c r="DU56" s="175"/>
      <c r="DV56" s="175"/>
      <c r="DW56" s="175"/>
      <c r="DX56" s="175"/>
      <c r="DY56" s="175"/>
      <c r="DZ56" s="175"/>
      <c r="EA56" s="175"/>
      <c r="EB56" s="175"/>
      <c r="EC56" s="175"/>
      <c r="ED56" s="175"/>
      <c r="EE56" s="175"/>
      <c r="EF56" s="175"/>
      <c r="EG56" s="175"/>
      <c r="EH56" s="175"/>
      <c r="EI56" s="175"/>
      <c r="EJ56" s="175"/>
      <c r="EK56" s="175"/>
      <c r="EL56" s="175"/>
      <c r="EM56" s="175"/>
      <c r="EN56" s="175"/>
      <c r="EO56" s="175"/>
      <c r="EP56" s="175"/>
      <c r="EQ56" s="175"/>
      <c r="ER56" s="175"/>
      <c r="ES56" s="175"/>
      <c r="ET56" s="175"/>
      <c r="EU56" s="175"/>
      <c r="EV56" s="175"/>
      <c r="EW56" s="175"/>
      <c r="EX56" s="175"/>
      <c r="EY56" s="175"/>
      <c r="EZ56" s="175"/>
      <c r="FA56" s="175"/>
      <c r="FB56" s="175"/>
      <c r="FC56" s="175"/>
      <c r="FD56" s="175"/>
      <c r="FE56" s="175"/>
      <c r="FF56" s="175"/>
      <c r="FG56" s="175"/>
      <c r="FH56" s="175"/>
      <c r="FI56" s="175"/>
      <c r="FJ56" s="175"/>
      <c r="FK56" s="175"/>
      <c r="FL56" s="175"/>
      <c r="FM56" s="175"/>
      <c r="FN56" s="175"/>
      <c r="FO56" s="175"/>
      <c r="FP56" s="175"/>
      <c r="FQ56" s="175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  <c r="HN56" s="175"/>
      <c r="HO56" s="175"/>
      <c r="HP56" s="175"/>
      <c r="HQ56" s="175"/>
      <c r="HR56" s="175"/>
      <c r="HS56" s="175"/>
      <c r="HT56" s="175"/>
      <c r="HU56" s="175"/>
      <c r="HV56" s="175"/>
      <c r="HW56" s="175"/>
      <c r="HX56" s="175"/>
      <c r="HY56" s="175"/>
      <c r="HZ56" s="175"/>
      <c r="IA56" s="175"/>
      <c r="IB56" s="175"/>
      <c r="IC56" s="175"/>
      <c r="ID56" s="175"/>
      <c r="IE56" s="175"/>
      <c r="IF56" s="175"/>
      <c r="IG56" s="175"/>
    </row>
    <row r="57" spans="1:241" s="178" customFormat="1">
      <c r="A57" s="184"/>
      <c r="B57" s="184"/>
      <c r="C57" s="214" t="s">
        <v>817</v>
      </c>
      <c r="D57" s="215">
        <v>5.12</v>
      </c>
      <c r="E57" s="187">
        <v>0.1</v>
      </c>
      <c r="F57" s="187"/>
      <c r="G57" s="188"/>
      <c r="H57" s="177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75"/>
      <c r="CB57" s="175"/>
      <c r="CC57" s="175"/>
      <c r="CD57" s="175"/>
      <c r="CE57" s="175"/>
      <c r="CF57" s="175"/>
      <c r="CG57" s="175"/>
      <c r="CH57" s="175"/>
      <c r="CI57" s="175"/>
      <c r="CJ57" s="175"/>
      <c r="CK57" s="175"/>
      <c r="CL57" s="175"/>
      <c r="CM57" s="175"/>
      <c r="CN57" s="175"/>
      <c r="CO57" s="175"/>
      <c r="CP57" s="175"/>
      <c r="CQ57" s="175"/>
      <c r="CR57" s="175"/>
      <c r="CS57" s="175"/>
      <c r="CT57" s="175"/>
      <c r="CU57" s="175"/>
      <c r="CV57" s="175"/>
      <c r="CW57" s="175"/>
      <c r="CX57" s="175"/>
      <c r="CY57" s="175"/>
      <c r="CZ57" s="175"/>
      <c r="DA57" s="175"/>
      <c r="DB57" s="175"/>
      <c r="DC57" s="175"/>
      <c r="DD57" s="175"/>
      <c r="DE57" s="175"/>
      <c r="DF57" s="175"/>
      <c r="DG57" s="175"/>
      <c r="DH57" s="175"/>
      <c r="DI57" s="175"/>
      <c r="DJ57" s="175"/>
      <c r="DK57" s="175"/>
      <c r="DL57" s="175"/>
      <c r="DM57" s="175"/>
      <c r="DN57" s="175"/>
      <c r="DO57" s="175"/>
      <c r="DP57" s="175"/>
      <c r="DQ57" s="175"/>
      <c r="DR57" s="175"/>
      <c r="DS57" s="175"/>
      <c r="DT57" s="175"/>
      <c r="DU57" s="175"/>
      <c r="DV57" s="175"/>
      <c r="DW57" s="175"/>
      <c r="DX57" s="175"/>
      <c r="DY57" s="175"/>
      <c r="DZ57" s="175"/>
      <c r="EA57" s="175"/>
      <c r="EB57" s="175"/>
      <c r="EC57" s="175"/>
      <c r="ED57" s="175"/>
      <c r="EE57" s="175"/>
      <c r="EF57" s="175"/>
      <c r="EG57" s="175"/>
      <c r="EH57" s="175"/>
      <c r="EI57" s="175"/>
      <c r="EJ57" s="175"/>
      <c r="EK57" s="175"/>
      <c r="EL57" s="175"/>
      <c r="EM57" s="175"/>
      <c r="EN57" s="175"/>
      <c r="EO57" s="175"/>
      <c r="EP57" s="175"/>
      <c r="EQ57" s="175"/>
      <c r="ER57" s="175"/>
      <c r="ES57" s="175"/>
      <c r="ET57" s="175"/>
      <c r="EU57" s="175"/>
      <c r="EV57" s="175"/>
      <c r="EW57" s="175"/>
      <c r="EX57" s="175"/>
      <c r="EY57" s="175"/>
      <c r="EZ57" s="175"/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175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  <c r="HN57" s="175"/>
      <c r="HO57" s="175"/>
      <c r="HP57" s="175"/>
      <c r="HQ57" s="175"/>
      <c r="HR57" s="175"/>
      <c r="HS57" s="175"/>
      <c r="HT57" s="175"/>
      <c r="HU57" s="175"/>
      <c r="HV57" s="175"/>
      <c r="HW57" s="175"/>
      <c r="HX57" s="175"/>
      <c r="HY57" s="175"/>
      <c r="HZ57" s="175"/>
      <c r="IA57" s="175"/>
      <c r="IB57" s="175"/>
      <c r="IC57" s="175"/>
      <c r="ID57" s="175"/>
      <c r="IE57" s="175"/>
      <c r="IF57" s="175"/>
      <c r="IG57" s="175"/>
    </row>
    <row r="58" spans="1:241" s="178" customFormat="1">
      <c r="A58" s="184"/>
      <c r="B58" s="184" t="s">
        <v>818</v>
      </c>
      <c r="C58" s="214" t="s">
        <v>819</v>
      </c>
      <c r="D58" s="215">
        <v>4.08</v>
      </c>
      <c r="E58" s="187">
        <v>0.11</v>
      </c>
      <c r="F58" s="198">
        <f>AVERAGE(D58:D62)</f>
        <v>4.6899999999999995</v>
      </c>
      <c r="G58" s="188">
        <f>STDEV(D58:D62)</f>
        <v>0.3979321550214307</v>
      </c>
      <c r="H58" s="177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75"/>
      <c r="DK58" s="175"/>
      <c r="DL58" s="175"/>
      <c r="DM58" s="175"/>
      <c r="DN58" s="175"/>
      <c r="DO58" s="175"/>
      <c r="DP58" s="175"/>
      <c r="DQ58" s="175"/>
      <c r="DR58" s="175"/>
      <c r="DS58" s="175"/>
      <c r="DT58" s="175"/>
      <c r="DU58" s="175"/>
      <c r="DV58" s="175"/>
      <c r="DW58" s="175"/>
      <c r="DX58" s="175"/>
      <c r="DY58" s="175"/>
      <c r="DZ58" s="175"/>
      <c r="EA58" s="175"/>
      <c r="EB58" s="175"/>
      <c r="EC58" s="175"/>
      <c r="ED58" s="175"/>
      <c r="EE58" s="175"/>
      <c r="EF58" s="175"/>
      <c r="EG58" s="175"/>
      <c r="EH58" s="175"/>
      <c r="EI58" s="175"/>
      <c r="EJ58" s="175"/>
      <c r="EK58" s="175"/>
      <c r="EL58" s="175"/>
      <c r="EM58" s="175"/>
      <c r="EN58" s="175"/>
      <c r="EO58" s="175"/>
      <c r="EP58" s="175"/>
      <c r="EQ58" s="175"/>
      <c r="ER58" s="175"/>
      <c r="ES58" s="175"/>
      <c r="ET58" s="175"/>
      <c r="EU58" s="175"/>
      <c r="EV58" s="175"/>
      <c r="EW58" s="175"/>
      <c r="EX58" s="175"/>
      <c r="EY58" s="175"/>
      <c r="EZ58" s="175"/>
      <c r="FA58" s="175"/>
      <c r="FB58" s="175"/>
      <c r="FC58" s="175"/>
      <c r="FD58" s="175"/>
      <c r="FE58" s="175"/>
      <c r="FF58" s="175"/>
      <c r="FG58" s="175"/>
      <c r="FH58" s="175"/>
      <c r="FI58" s="175"/>
      <c r="FJ58" s="175"/>
      <c r="FK58" s="175"/>
      <c r="FL58" s="175"/>
      <c r="FM58" s="175"/>
      <c r="FN58" s="175"/>
      <c r="FO58" s="175"/>
      <c r="FP58" s="175"/>
      <c r="FQ58" s="175"/>
      <c r="FR58" s="175"/>
      <c r="FS58" s="175"/>
      <c r="FT58" s="175"/>
      <c r="FU58" s="175"/>
      <c r="FV58" s="175"/>
      <c r="FW58" s="175"/>
      <c r="FX58" s="175"/>
      <c r="FY58" s="175"/>
      <c r="FZ58" s="175"/>
      <c r="GA58" s="175"/>
      <c r="GB58" s="175"/>
      <c r="GC58" s="175"/>
      <c r="GD58" s="175"/>
      <c r="GE58" s="175"/>
      <c r="GF58" s="175"/>
      <c r="GG58" s="175"/>
      <c r="GH58" s="175"/>
      <c r="GI58" s="175"/>
      <c r="GJ58" s="175"/>
      <c r="GK58" s="175"/>
      <c r="GL58" s="175"/>
      <c r="GM58" s="175"/>
      <c r="GN58" s="175"/>
      <c r="GO58" s="175"/>
      <c r="GP58" s="175"/>
      <c r="GQ58" s="175"/>
      <c r="GR58" s="175"/>
      <c r="GS58" s="175"/>
      <c r="GT58" s="175"/>
      <c r="GU58" s="175"/>
      <c r="GV58" s="175"/>
      <c r="GW58" s="175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75"/>
      <c r="HM58" s="175"/>
      <c r="HN58" s="175"/>
      <c r="HO58" s="175"/>
      <c r="HP58" s="175"/>
      <c r="HQ58" s="175"/>
      <c r="HR58" s="175"/>
      <c r="HS58" s="175"/>
      <c r="HT58" s="175"/>
      <c r="HU58" s="175"/>
      <c r="HV58" s="175"/>
      <c r="HW58" s="175"/>
      <c r="HX58" s="175"/>
      <c r="HY58" s="175"/>
      <c r="HZ58" s="175"/>
      <c r="IA58" s="175"/>
      <c r="IB58" s="175"/>
      <c r="IC58" s="175"/>
      <c r="ID58" s="175"/>
      <c r="IE58" s="175"/>
      <c r="IF58" s="175"/>
      <c r="IG58" s="175"/>
    </row>
    <row r="59" spans="1:241" s="178" customFormat="1">
      <c r="A59" s="184"/>
      <c r="B59" s="184"/>
      <c r="C59" s="214" t="s">
        <v>820</v>
      </c>
      <c r="D59" s="215">
        <v>4.8899999999999997</v>
      </c>
      <c r="E59" s="187">
        <v>0.12</v>
      </c>
      <c r="F59" s="187"/>
      <c r="G59" s="188"/>
      <c r="H59" s="177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175"/>
      <c r="AZ59" s="175"/>
      <c r="BA59" s="175"/>
      <c r="BB59" s="175"/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M59" s="175"/>
      <c r="BN59" s="175"/>
      <c r="BO59" s="175"/>
      <c r="BP59" s="175"/>
      <c r="BQ59" s="175"/>
      <c r="BR59" s="175"/>
      <c r="BS59" s="175"/>
      <c r="BT59" s="175"/>
      <c r="BU59" s="175"/>
      <c r="BV59" s="175"/>
      <c r="BW59" s="175"/>
      <c r="BX59" s="175"/>
      <c r="BY59" s="175"/>
      <c r="BZ59" s="175"/>
      <c r="CA59" s="175"/>
      <c r="CB59" s="175"/>
      <c r="CC59" s="175"/>
      <c r="CD59" s="175"/>
      <c r="CE59" s="175"/>
      <c r="CF59" s="175"/>
      <c r="CG59" s="175"/>
      <c r="CH59" s="175"/>
      <c r="CI59" s="175"/>
      <c r="CJ59" s="175"/>
      <c r="CK59" s="175"/>
      <c r="CL59" s="175"/>
      <c r="CM59" s="175"/>
      <c r="CN59" s="175"/>
      <c r="CO59" s="175"/>
      <c r="CP59" s="175"/>
      <c r="CQ59" s="175"/>
      <c r="CR59" s="175"/>
      <c r="CS59" s="175"/>
      <c r="CT59" s="175"/>
      <c r="CU59" s="175"/>
      <c r="CV59" s="175"/>
      <c r="CW59" s="175"/>
      <c r="CX59" s="175"/>
      <c r="CY59" s="175"/>
      <c r="CZ59" s="175"/>
      <c r="DA59" s="175"/>
      <c r="DB59" s="175"/>
      <c r="DC59" s="175"/>
      <c r="DD59" s="175"/>
      <c r="DE59" s="175"/>
      <c r="DF59" s="175"/>
      <c r="DG59" s="175"/>
      <c r="DH59" s="175"/>
      <c r="DI59" s="175"/>
      <c r="DJ59" s="175"/>
      <c r="DK59" s="175"/>
      <c r="DL59" s="175"/>
      <c r="DM59" s="175"/>
      <c r="DN59" s="175"/>
      <c r="DO59" s="175"/>
      <c r="DP59" s="175"/>
      <c r="DQ59" s="175"/>
      <c r="DR59" s="175"/>
      <c r="DS59" s="175"/>
      <c r="DT59" s="175"/>
      <c r="DU59" s="175"/>
      <c r="DV59" s="175"/>
      <c r="DW59" s="175"/>
      <c r="DX59" s="175"/>
      <c r="DY59" s="175"/>
      <c r="DZ59" s="175"/>
      <c r="EA59" s="175"/>
      <c r="EB59" s="175"/>
      <c r="EC59" s="175"/>
      <c r="ED59" s="175"/>
      <c r="EE59" s="175"/>
      <c r="EF59" s="175"/>
      <c r="EG59" s="175"/>
      <c r="EH59" s="175"/>
      <c r="EI59" s="175"/>
      <c r="EJ59" s="175"/>
      <c r="EK59" s="175"/>
      <c r="EL59" s="175"/>
      <c r="EM59" s="175"/>
      <c r="EN59" s="175"/>
      <c r="EO59" s="175"/>
      <c r="EP59" s="175"/>
      <c r="EQ59" s="175"/>
      <c r="ER59" s="175"/>
      <c r="ES59" s="175"/>
      <c r="ET59" s="175"/>
      <c r="EU59" s="175"/>
      <c r="EV59" s="175"/>
      <c r="EW59" s="175"/>
      <c r="EX59" s="175"/>
      <c r="EY59" s="175"/>
      <c r="EZ59" s="175"/>
      <c r="FA59" s="175"/>
      <c r="FB59" s="175"/>
      <c r="FC59" s="175"/>
      <c r="FD59" s="175"/>
      <c r="FE59" s="175"/>
      <c r="FF59" s="175"/>
      <c r="FG59" s="175"/>
      <c r="FH59" s="175"/>
      <c r="FI59" s="175"/>
      <c r="FJ59" s="175"/>
      <c r="FK59" s="175"/>
      <c r="FL59" s="175"/>
      <c r="FM59" s="175"/>
      <c r="FN59" s="175"/>
      <c r="FO59" s="175"/>
      <c r="FP59" s="175"/>
      <c r="FQ59" s="175"/>
      <c r="FR59" s="175"/>
      <c r="FS59" s="175"/>
      <c r="FT59" s="175"/>
      <c r="FU59" s="175"/>
      <c r="FV59" s="175"/>
      <c r="FW59" s="175"/>
      <c r="FX59" s="175"/>
      <c r="FY59" s="175"/>
      <c r="FZ59" s="175"/>
      <c r="GA59" s="175"/>
      <c r="GB59" s="175"/>
      <c r="GC59" s="175"/>
      <c r="GD59" s="175"/>
      <c r="GE59" s="175"/>
      <c r="GF59" s="175"/>
      <c r="GG59" s="175"/>
      <c r="GH59" s="175"/>
      <c r="GI59" s="175"/>
      <c r="GJ59" s="175"/>
      <c r="GK59" s="175"/>
      <c r="GL59" s="175"/>
      <c r="GM59" s="175"/>
      <c r="GN59" s="175"/>
      <c r="GO59" s="175"/>
      <c r="GP59" s="175"/>
      <c r="GQ59" s="175"/>
      <c r="GR59" s="175"/>
      <c r="GS59" s="175"/>
      <c r="GT59" s="175"/>
      <c r="GU59" s="175"/>
      <c r="GV59" s="175"/>
      <c r="GW59" s="175"/>
      <c r="GX59" s="175"/>
      <c r="GY59" s="175"/>
      <c r="GZ59" s="175"/>
      <c r="HA59" s="175"/>
      <c r="HB59" s="175"/>
      <c r="HC59" s="175"/>
      <c r="HD59" s="175"/>
      <c r="HE59" s="175"/>
      <c r="HF59" s="175"/>
      <c r="HG59" s="175"/>
      <c r="HH59" s="175"/>
      <c r="HI59" s="175"/>
      <c r="HJ59" s="175"/>
      <c r="HK59" s="175"/>
      <c r="HL59" s="175"/>
      <c r="HM59" s="175"/>
      <c r="HN59" s="175"/>
      <c r="HO59" s="175"/>
      <c r="HP59" s="175"/>
      <c r="HQ59" s="175"/>
      <c r="HR59" s="175"/>
      <c r="HS59" s="175"/>
      <c r="HT59" s="175"/>
      <c r="HU59" s="175"/>
      <c r="HV59" s="175"/>
      <c r="HW59" s="175"/>
      <c r="HX59" s="175"/>
      <c r="HY59" s="175"/>
      <c r="HZ59" s="175"/>
      <c r="IA59" s="175"/>
      <c r="IB59" s="175"/>
      <c r="IC59" s="175"/>
      <c r="ID59" s="175"/>
      <c r="IE59" s="175"/>
      <c r="IF59" s="175"/>
      <c r="IG59" s="175"/>
    </row>
    <row r="60" spans="1:241" s="178" customFormat="1">
      <c r="A60" s="184"/>
      <c r="B60" s="184"/>
      <c r="C60" s="214" t="s">
        <v>821</v>
      </c>
      <c r="D60" s="215">
        <v>4.87</v>
      </c>
      <c r="E60" s="187">
        <v>0.1</v>
      </c>
      <c r="F60" s="187"/>
      <c r="G60" s="188"/>
      <c r="H60" s="177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75"/>
      <c r="DK60" s="175"/>
      <c r="DL60" s="175"/>
      <c r="DM60" s="175"/>
      <c r="DN60" s="175"/>
      <c r="DO60" s="175"/>
      <c r="DP60" s="175"/>
      <c r="DQ60" s="175"/>
      <c r="DR60" s="175"/>
      <c r="DS60" s="175"/>
      <c r="DT60" s="175"/>
      <c r="DU60" s="175"/>
      <c r="DV60" s="175"/>
      <c r="DW60" s="175"/>
      <c r="DX60" s="175"/>
      <c r="DY60" s="175"/>
      <c r="DZ60" s="175"/>
      <c r="EA60" s="175"/>
      <c r="EB60" s="175"/>
      <c r="EC60" s="175"/>
      <c r="ED60" s="175"/>
      <c r="EE60" s="175"/>
      <c r="EF60" s="175"/>
      <c r="EG60" s="175"/>
      <c r="EH60" s="175"/>
      <c r="EI60" s="175"/>
      <c r="EJ60" s="175"/>
      <c r="EK60" s="175"/>
      <c r="EL60" s="175"/>
      <c r="EM60" s="175"/>
      <c r="EN60" s="175"/>
      <c r="EO60" s="175"/>
      <c r="EP60" s="175"/>
      <c r="EQ60" s="175"/>
      <c r="ER60" s="175"/>
      <c r="ES60" s="175"/>
      <c r="ET60" s="175"/>
      <c r="EU60" s="175"/>
      <c r="EV60" s="175"/>
      <c r="EW60" s="175"/>
      <c r="EX60" s="175"/>
      <c r="EY60" s="175"/>
      <c r="EZ60" s="175"/>
      <c r="FA60" s="175"/>
      <c r="FB60" s="175"/>
      <c r="FC60" s="175"/>
      <c r="FD60" s="175"/>
      <c r="FE60" s="175"/>
      <c r="FF60" s="175"/>
      <c r="FG60" s="175"/>
      <c r="FH60" s="175"/>
      <c r="FI60" s="175"/>
      <c r="FJ60" s="175"/>
      <c r="FK60" s="175"/>
      <c r="FL60" s="175"/>
      <c r="FM60" s="175"/>
      <c r="FN60" s="175"/>
      <c r="FO60" s="175"/>
      <c r="FP60" s="175"/>
      <c r="FQ60" s="175"/>
      <c r="FR60" s="175"/>
      <c r="FS60" s="175"/>
      <c r="FT60" s="175"/>
      <c r="FU60" s="175"/>
      <c r="FV60" s="175"/>
      <c r="FW60" s="175"/>
      <c r="FX60" s="175"/>
      <c r="FY60" s="175"/>
      <c r="FZ60" s="175"/>
      <c r="GA60" s="175"/>
      <c r="GB60" s="175"/>
      <c r="GC60" s="175"/>
      <c r="GD60" s="175"/>
      <c r="GE60" s="175"/>
      <c r="GF60" s="175"/>
      <c r="GG60" s="175"/>
      <c r="GH60" s="175"/>
      <c r="GI60" s="175"/>
      <c r="GJ60" s="175"/>
      <c r="GK60" s="175"/>
      <c r="GL60" s="175"/>
      <c r="GM60" s="175"/>
      <c r="GN60" s="175"/>
      <c r="GO60" s="175"/>
      <c r="GP60" s="175"/>
      <c r="GQ60" s="175"/>
      <c r="GR60" s="175"/>
      <c r="GS60" s="175"/>
      <c r="GT60" s="175"/>
      <c r="GU60" s="175"/>
      <c r="GV60" s="175"/>
      <c r="GW60" s="175"/>
      <c r="GX60" s="175"/>
      <c r="GY60" s="175"/>
      <c r="GZ60" s="175"/>
      <c r="HA60" s="175"/>
      <c r="HB60" s="175"/>
      <c r="HC60" s="175"/>
      <c r="HD60" s="175"/>
      <c r="HE60" s="175"/>
      <c r="HF60" s="175"/>
      <c r="HG60" s="175"/>
      <c r="HH60" s="175"/>
      <c r="HI60" s="175"/>
      <c r="HJ60" s="175"/>
      <c r="HK60" s="175"/>
      <c r="HL60" s="175"/>
      <c r="HM60" s="175"/>
      <c r="HN60" s="175"/>
      <c r="HO60" s="175"/>
      <c r="HP60" s="175"/>
      <c r="HQ60" s="175"/>
      <c r="HR60" s="175"/>
      <c r="HS60" s="175"/>
      <c r="HT60" s="175"/>
      <c r="HU60" s="175"/>
      <c r="HV60" s="175"/>
      <c r="HW60" s="175"/>
      <c r="HX60" s="175"/>
      <c r="HY60" s="175"/>
      <c r="HZ60" s="175"/>
      <c r="IA60" s="175"/>
      <c r="IB60" s="175"/>
      <c r="IC60" s="175"/>
      <c r="ID60" s="175"/>
      <c r="IE60" s="175"/>
      <c r="IF60" s="175"/>
      <c r="IG60" s="175"/>
    </row>
    <row r="61" spans="1:241" s="178" customFormat="1">
      <c r="A61" s="184"/>
      <c r="B61" s="184"/>
      <c r="C61" s="214" t="s">
        <v>822</v>
      </c>
      <c r="D61" s="215">
        <v>4.5199999999999996</v>
      </c>
      <c r="E61" s="187">
        <v>0.1</v>
      </c>
      <c r="F61" s="187"/>
      <c r="G61" s="188"/>
      <c r="H61" s="177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5"/>
      <c r="BM61" s="175"/>
      <c r="BN61" s="175"/>
      <c r="BO61" s="175"/>
      <c r="BP61" s="175"/>
      <c r="BQ61" s="175"/>
      <c r="BR61" s="175"/>
      <c r="BS61" s="175"/>
      <c r="BT61" s="175"/>
      <c r="BU61" s="175"/>
      <c r="BV61" s="175"/>
      <c r="BW61" s="175"/>
      <c r="BX61" s="175"/>
      <c r="BY61" s="175"/>
      <c r="BZ61" s="175"/>
      <c r="CA61" s="175"/>
      <c r="CB61" s="175"/>
      <c r="CC61" s="175"/>
      <c r="CD61" s="175"/>
      <c r="CE61" s="175"/>
      <c r="CF61" s="175"/>
      <c r="CG61" s="175"/>
      <c r="CH61" s="175"/>
      <c r="CI61" s="175"/>
      <c r="CJ61" s="175"/>
      <c r="CK61" s="175"/>
      <c r="CL61" s="175"/>
      <c r="CM61" s="175"/>
      <c r="CN61" s="175"/>
      <c r="CO61" s="175"/>
      <c r="CP61" s="175"/>
      <c r="CQ61" s="175"/>
      <c r="CR61" s="175"/>
      <c r="CS61" s="175"/>
      <c r="CT61" s="175"/>
      <c r="CU61" s="175"/>
      <c r="CV61" s="175"/>
      <c r="CW61" s="175"/>
      <c r="CX61" s="175"/>
      <c r="CY61" s="175"/>
      <c r="CZ61" s="175"/>
      <c r="DA61" s="175"/>
      <c r="DB61" s="175"/>
      <c r="DC61" s="175"/>
      <c r="DD61" s="175"/>
      <c r="DE61" s="175"/>
      <c r="DF61" s="175"/>
      <c r="DG61" s="175"/>
      <c r="DH61" s="175"/>
      <c r="DI61" s="175"/>
      <c r="DJ61" s="175"/>
      <c r="DK61" s="175"/>
      <c r="DL61" s="175"/>
      <c r="DM61" s="175"/>
      <c r="DN61" s="175"/>
      <c r="DO61" s="175"/>
      <c r="DP61" s="175"/>
      <c r="DQ61" s="175"/>
      <c r="DR61" s="175"/>
      <c r="DS61" s="175"/>
      <c r="DT61" s="175"/>
      <c r="DU61" s="175"/>
      <c r="DV61" s="175"/>
      <c r="DW61" s="175"/>
      <c r="DX61" s="175"/>
      <c r="DY61" s="175"/>
      <c r="DZ61" s="175"/>
      <c r="EA61" s="175"/>
      <c r="EB61" s="175"/>
      <c r="EC61" s="175"/>
      <c r="ED61" s="175"/>
      <c r="EE61" s="175"/>
      <c r="EF61" s="175"/>
      <c r="EG61" s="175"/>
      <c r="EH61" s="175"/>
      <c r="EI61" s="175"/>
      <c r="EJ61" s="175"/>
      <c r="EK61" s="175"/>
      <c r="EL61" s="175"/>
      <c r="EM61" s="175"/>
      <c r="EN61" s="175"/>
      <c r="EO61" s="175"/>
      <c r="EP61" s="175"/>
      <c r="EQ61" s="175"/>
      <c r="ER61" s="175"/>
      <c r="ES61" s="175"/>
      <c r="ET61" s="175"/>
      <c r="EU61" s="175"/>
      <c r="EV61" s="175"/>
      <c r="EW61" s="175"/>
      <c r="EX61" s="175"/>
      <c r="EY61" s="175"/>
      <c r="EZ61" s="175"/>
      <c r="FA61" s="175"/>
      <c r="FB61" s="175"/>
      <c r="FC61" s="175"/>
      <c r="FD61" s="175"/>
      <c r="FE61" s="175"/>
      <c r="FF61" s="175"/>
      <c r="FG61" s="175"/>
      <c r="FH61" s="175"/>
      <c r="FI61" s="175"/>
      <c r="FJ61" s="175"/>
      <c r="FK61" s="175"/>
      <c r="FL61" s="175"/>
      <c r="FM61" s="175"/>
      <c r="FN61" s="175"/>
      <c r="FO61" s="175"/>
      <c r="FP61" s="175"/>
      <c r="FQ61" s="175"/>
      <c r="FR61" s="175"/>
      <c r="FS61" s="175"/>
      <c r="FT61" s="175"/>
      <c r="FU61" s="175"/>
      <c r="FV61" s="175"/>
      <c r="FW61" s="175"/>
      <c r="FX61" s="175"/>
      <c r="FY61" s="175"/>
      <c r="FZ61" s="175"/>
      <c r="GA61" s="175"/>
      <c r="GB61" s="175"/>
      <c r="GC61" s="175"/>
      <c r="GD61" s="175"/>
      <c r="GE61" s="175"/>
      <c r="GF61" s="175"/>
      <c r="GG61" s="175"/>
      <c r="GH61" s="175"/>
      <c r="GI61" s="175"/>
      <c r="GJ61" s="175"/>
      <c r="GK61" s="175"/>
      <c r="GL61" s="175"/>
      <c r="GM61" s="175"/>
      <c r="GN61" s="175"/>
      <c r="GO61" s="175"/>
      <c r="GP61" s="175"/>
      <c r="GQ61" s="175"/>
      <c r="GR61" s="175"/>
      <c r="GS61" s="175"/>
      <c r="GT61" s="175"/>
      <c r="GU61" s="175"/>
      <c r="GV61" s="175"/>
      <c r="GW61" s="175"/>
      <c r="GX61" s="175"/>
      <c r="GY61" s="175"/>
      <c r="GZ61" s="175"/>
      <c r="HA61" s="175"/>
      <c r="HB61" s="175"/>
      <c r="HC61" s="175"/>
      <c r="HD61" s="175"/>
      <c r="HE61" s="175"/>
      <c r="HF61" s="175"/>
      <c r="HG61" s="175"/>
      <c r="HH61" s="175"/>
      <c r="HI61" s="175"/>
      <c r="HJ61" s="175"/>
      <c r="HK61" s="175"/>
      <c r="HL61" s="175"/>
      <c r="HM61" s="175"/>
      <c r="HN61" s="175"/>
      <c r="HO61" s="175"/>
      <c r="HP61" s="175"/>
      <c r="HQ61" s="175"/>
      <c r="HR61" s="175"/>
      <c r="HS61" s="175"/>
      <c r="HT61" s="175"/>
      <c r="HU61" s="175"/>
      <c r="HV61" s="175"/>
      <c r="HW61" s="175"/>
      <c r="HX61" s="175"/>
      <c r="HY61" s="175"/>
      <c r="HZ61" s="175"/>
      <c r="IA61" s="175"/>
      <c r="IB61" s="175"/>
      <c r="IC61" s="175"/>
      <c r="ID61" s="175"/>
      <c r="IE61" s="175"/>
      <c r="IF61" s="175"/>
      <c r="IG61" s="175"/>
    </row>
    <row r="62" spans="1:241" s="178" customFormat="1">
      <c r="A62" s="184"/>
      <c r="B62" s="184"/>
      <c r="C62" s="214" t="s">
        <v>823</v>
      </c>
      <c r="D62" s="215">
        <v>5.09</v>
      </c>
      <c r="E62" s="187">
        <v>0.11</v>
      </c>
      <c r="F62" s="187"/>
      <c r="G62" s="188"/>
      <c r="H62" s="177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75"/>
      <c r="DK62" s="175"/>
      <c r="DL62" s="175"/>
      <c r="DM62" s="175"/>
      <c r="DN62" s="175"/>
      <c r="DO62" s="175"/>
      <c r="DP62" s="175"/>
      <c r="DQ62" s="175"/>
      <c r="DR62" s="175"/>
      <c r="DS62" s="175"/>
      <c r="DT62" s="175"/>
      <c r="DU62" s="175"/>
      <c r="DV62" s="175"/>
      <c r="DW62" s="175"/>
      <c r="DX62" s="175"/>
      <c r="DY62" s="175"/>
      <c r="DZ62" s="175"/>
      <c r="EA62" s="175"/>
      <c r="EB62" s="175"/>
      <c r="EC62" s="175"/>
      <c r="ED62" s="175"/>
      <c r="EE62" s="175"/>
      <c r="EF62" s="175"/>
      <c r="EG62" s="175"/>
      <c r="EH62" s="175"/>
      <c r="EI62" s="175"/>
      <c r="EJ62" s="175"/>
      <c r="EK62" s="175"/>
      <c r="EL62" s="175"/>
      <c r="EM62" s="175"/>
      <c r="EN62" s="175"/>
      <c r="EO62" s="175"/>
      <c r="EP62" s="175"/>
      <c r="EQ62" s="175"/>
      <c r="ER62" s="175"/>
      <c r="ES62" s="175"/>
      <c r="ET62" s="175"/>
      <c r="EU62" s="175"/>
      <c r="EV62" s="175"/>
      <c r="EW62" s="175"/>
      <c r="EX62" s="175"/>
      <c r="EY62" s="175"/>
      <c r="EZ62" s="175"/>
      <c r="FA62" s="175"/>
      <c r="FB62" s="175"/>
      <c r="FC62" s="175"/>
      <c r="FD62" s="175"/>
      <c r="FE62" s="175"/>
      <c r="FF62" s="175"/>
      <c r="FG62" s="175"/>
      <c r="FH62" s="175"/>
      <c r="FI62" s="175"/>
      <c r="FJ62" s="175"/>
      <c r="FK62" s="175"/>
      <c r="FL62" s="175"/>
      <c r="FM62" s="175"/>
      <c r="FN62" s="175"/>
      <c r="FO62" s="175"/>
      <c r="FP62" s="175"/>
      <c r="FQ62" s="175"/>
      <c r="FR62" s="175"/>
      <c r="FS62" s="175"/>
      <c r="FT62" s="175"/>
      <c r="FU62" s="175"/>
      <c r="FV62" s="175"/>
      <c r="FW62" s="175"/>
      <c r="FX62" s="175"/>
      <c r="FY62" s="175"/>
      <c r="FZ62" s="175"/>
      <c r="GA62" s="175"/>
      <c r="GB62" s="175"/>
      <c r="GC62" s="175"/>
      <c r="GD62" s="175"/>
      <c r="GE62" s="175"/>
      <c r="GF62" s="175"/>
      <c r="GG62" s="175"/>
      <c r="GH62" s="175"/>
      <c r="GI62" s="175"/>
      <c r="GJ62" s="175"/>
      <c r="GK62" s="175"/>
      <c r="GL62" s="175"/>
      <c r="GM62" s="175"/>
      <c r="GN62" s="175"/>
      <c r="GO62" s="175"/>
      <c r="GP62" s="175"/>
      <c r="GQ62" s="175"/>
      <c r="GR62" s="175"/>
      <c r="GS62" s="175"/>
      <c r="GT62" s="175"/>
      <c r="GU62" s="175"/>
      <c r="GV62" s="175"/>
      <c r="GW62" s="175"/>
      <c r="GX62" s="175"/>
      <c r="GY62" s="175"/>
      <c r="GZ62" s="175"/>
      <c r="HA62" s="175"/>
      <c r="HB62" s="175"/>
      <c r="HC62" s="175"/>
      <c r="HD62" s="175"/>
      <c r="HE62" s="175"/>
      <c r="HF62" s="175"/>
      <c r="HG62" s="175"/>
      <c r="HH62" s="175"/>
      <c r="HI62" s="175"/>
      <c r="HJ62" s="175"/>
      <c r="HK62" s="175"/>
      <c r="HL62" s="175"/>
      <c r="HM62" s="175"/>
      <c r="HN62" s="175"/>
      <c r="HO62" s="175"/>
      <c r="HP62" s="175"/>
      <c r="HQ62" s="175"/>
      <c r="HR62" s="175"/>
      <c r="HS62" s="175"/>
      <c r="HT62" s="175"/>
      <c r="HU62" s="175"/>
      <c r="HV62" s="175"/>
      <c r="HW62" s="175"/>
      <c r="HX62" s="175"/>
      <c r="HY62" s="175"/>
      <c r="HZ62" s="175"/>
      <c r="IA62" s="175"/>
      <c r="IB62" s="175"/>
      <c r="IC62" s="175"/>
      <c r="ID62" s="175"/>
      <c r="IE62" s="175"/>
      <c r="IF62" s="175"/>
      <c r="IG62" s="175"/>
    </row>
    <row r="63" spans="1:241" s="178" customFormat="1">
      <c r="A63" s="184"/>
      <c r="B63" s="184" t="s">
        <v>824</v>
      </c>
      <c r="C63" s="214" t="s">
        <v>825</v>
      </c>
      <c r="D63" s="215">
        <v>6.37</v>
      </c>
      <c r="E63" s="187">
        <v>0.23</v>
      </c>
      <c r="F63" s="198">
        <f>AVERAGE(D63:D66)</f>
        <v>6.9149999999999991</v>
      </c>
      <c r="G63" s="188">
        <f>STDEV(D63:D66)</f>
        <v>0.49829710013203976</v>
      </c>
      <c r="H63" s="177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75"/>
      <c r="BU63" s="175"/>
      <c r="BV63" s="175"/>
      <c r="BW63" s="175"/>
      <c r="BX63" s="175"/>
      <c r="BY63" s="175"/>
      <c r="BZ63" s="175"/>
      <c r="CA63" s="175"/>
      <c r="CB63" s="175"/>
      <c r="CC63" s="175"/>
      <c r="CD63" s="175"/>
      <c r="CE63" s="175"/>
      <c r="CF63" s="175"/>
      <c r="CG63" s="175"/>
      <c r="CH63" s="175"/>
      <c r="CI63" s="175"/>
      <c r="CJ63" s="175"/>
      <c r="CK63" s="175"/>
      <c r="CL63" s="175"/>
      <c r="CM63" s="175"/>
      <c r="CN63" s="175"/>
      <c r="CO63" s="175"/>
      <c r="CP63" s="175"/>
      <c r="CQ63" s="175"/>
      <c r="CR63" s="175"/>
      <c r="CS63" s="175"/>
      <c r="CT63" s="175"/>
      <c r="CU63" s="175"/>
      <c r="CV63" s="175"/>
      <c r="CW63" s="175"/>
      <c r="CX63" s="175"/>
      <c r="CY63" s="175"/>
      <c r="CZ63" s="175"/>
      <c r="DA63" s="175"/>
      <c r="DB63" s="175"/>
      <c r="DC63" s="175"/>
      <c r="DD63" s="175"/>
      <c r="DE63" s="175"/>
      <c r="DF63" s="175"/>
      <c r="DG63" s="175"/>
      <c r="DH63" s="175"/>
      <c r="DI63" s="175"/>
      <c r="DJ63" s="175"/>
      <c r="DK63" s="175"/>
      <c r="DL63" s="175"/>
      <c r="DM63" s="175"/>
      <c r="DN63" s="175"/>
      <c r="DO63" s="175"/>
      <c r="DP63" s="175"/>
      <c r="DQ63" s="175"/>
      <c r="DR63" s="175"/>
      <c r="DS63" s="175"/>
      <c r="DT63" s="175"/>
      <c r="DU63" s="175"/>
      <c r="DV63" s="175"/>
      <c r="DW63" s="175"/>
      <c r="DX63" s="175"/>
      <c r="DY63" s="175"/>
      <c r="DZ63" s="175"/>
      <c r="EA63" s="175"/>
      <c r="EB63" s="175"/>
      <c r="EC63" s="175"/>
      <c r="ED63" s="175"/>
      <c r="EE63" s="175"/>
      <c r="EF63" s="175"/>
      <c r="EG63" s="175"/>
      <c r="EH63" s="175"/>
      <c r="EI63" s="175"/>
      <c r="EJ63" s="175"/>
      <c r="EK63" s="175"/>
      <c r="EL63" s="175"/>
      <c r="EM63" s="175"/>
      <c r="EN63" s="175"/>
      <c r="EO63" s="175"/>
      <c r="EP63" s="175"/>
      <c r="EQ63" s="175"/>
      <c r="ER63" s="175"/>
      <c r="ES63" s="175"/>
      <c r="ET63" s="175"/>
      <c r="EU63" s="175"/>
      <c r="EV63" s="175"/>
      <c r="EW63" s="175"/>
      <c r="EX63" s="175"/>
      <c r="EY63" s="175"/>
      <c r="EZ63" s="175"/>
      <c r="FA63" s="175"/>
      <c r="FB63" s="175"/>
      <c r="FC63" s="175"/>
      <c r="FD63" s="175"/>
      <c r="FE63" s="175"/>
      <c r="FF63" s="175"/>
      <c r="FG63" s="175"/>
      <c r="FH63" s="175"/>
      <c r="FI63" s="175"/>
      <c r="FJ63" s="175"/>
      <c r="FK63" s="175"/>
      <c r="FL63" s="175"/>
      <c r="FM63" s="175"/>
      <c r="FN63" s="175"/>
      <c r="FO63" s="175"/>
      <c r="FP63" s="175"/>
      <c r="FQ63" s="175"/>
      <c r="FR63" s="175"/>
      <c r="FS63" s="175"/>
      <c r="FT63" s="175"/>
      <c r="FU63" s="175"/>
      <c r="FV63" s="175"/>
      <c r="FW63" s="175"/>
      <c r="FX63" s="175"/>
      <c r="FY63" s="175"/>
      <c r="FZ63" s="175"/>
      <c r="GA63" s="175"/>
      <c r="GB63" s="175"/>
      <c r="GC63" s="175"/>
      <c r="GD63" s="175"/>
      <c r="GE63" s="175"/>
      <c r="GF63" s="175"/>
      <c r="GG63" s="175"/>
      <c r="GH63" s="175"/>
      <c r="GI63" s="175"/>
      <c r="GJ63" s="175"/>
      <c r="GK63" s="175"/>
      <c r="GL63" s="175"/>
      <c r="GM63" s="175"/>
      <c r="GN63" s="175"/>
      <c r="GO63" s="175"/>
      <c r="GP63" s="175"/>
      <c r="GQ63" s="175"/>
      <c r="GR63" s="175"/>
      <c r="GS63" s="175"/>
      <c r="GT63" s="175"/>
      <c r="GU63" s="175"/>
      <c r="GV63" s="175"/>
      <c r="GW63" s="175"/>
      <c r="GX63" s="175"/>
      <c r="GY63" s="175"/>
      <c r="GZ63" s="175"/>
      <c r="HA63" s="175"/>
      <c r="HB63" s="175"/>
      <c r="HC63" s="175"/>
      <c r="HD63" s="175"/>
      <c r="HE63" s="175"/>
      <c r="HF63" s="175"/>
      <c r="HG63" s="175"/>
      <c r="HH63" s="175"/>
      <c r="HI63" s="175"/>
      <c r="HJ63" s="175"/>
      <c r="HK63" s="175"/>
      <c r="HL63" s="175"/>
      <c r="HM63" s="175"/>
      <c r="HN63" s="175"/>
      <c r="HO63" s="175"/>
      <c r="HP63" s="175"/>
      <c r="HQ63" s="175"/>
      <c r="HR63" s="175"/>
      <c r="HS63" s="175"/>
      <c r="HT63" s="175"/>
      <c r="HU63" s="175"/>
      <c r="HV63" s="175"/>
      <c r="HW63" s="175"/>
      <c r="HX63" s="175"/>
      <c r="HY63" s="175"/>
      <c r="HZ63" s="175"/>
      <c r="IA63" s="175"/>
      <c r="IB63" s="175"/>
      <c r="IC63" s="175"/>
      <c r="ID63" s="175"/>
      <c r="IE63" s="175"/>
      <c r="IF63" s="175"/>
      <c r="IG63" s="175"/>
    </row>
    <row r="64" spans="1:241" s="178" customFormat="1">
      <c r="A64" s="184"/>
      <c r="B64" s="184"/>
      <c r="C64" s="214" t="s">
        <v>826</v>
      </c>
      <c r="D64" s="215">
        <v>6.78</v>
      </c>
      <c r="E64" s="187">
        <v>0.22</v>
      </c>
      <c r="F64" s="187"/>
      <c r="G64" s="188"/>
      <c r="H64" s="177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5"/>
      <c r="BR64" s="175"/>
      <c r="BS64" s="175"/>
      <c r="BT64" s="175"/>
      <c r="BU64" s="175"/>
      <c r="BV64" s="175"/>
      <c r="BW64" s="175"/>
      <c r="BX64" s="175"/>
      <c r="BY64" s="175"/>
      <c r="BZ64" s="175"/>
      <c r="CA64" s="175"/>
      <c r="CB64" s="175"/>
      <c r="CC64" s="175"/>
      <c r="CD64" s="175"/>
      <c r="CE64" s="175"/>
      <c r="CF64" s="175"/>
      <c r="CG64" s="175"/>
      <c r="CH64" s="175"/>
      <c r="CI64" s="175"/>
      <c r="CJ64" s="175"/>
      <c r="CK64" s="175"/>
      <c r="CL64" s="175"/>
      <c r="CM64" s="175"/>
      <c r="CN64" s="175"/>
      <c r="CO64" s="175"/>
      <c r="CP64" s="175"/>
      <c r="CQ64" s="175"/>
      <c r="CR64" s="175"/>
      <c r="CS64" s="175"/>
      <c r="CT64" s="175"/>
      <c r="CU64" s="175"/>
      <c r="CV64" s="175"/>
      <c r="CW64" s="175"/>
      <c r="CX64" s="175"/>
      <c r="CY64" s="175"/>
      <c r="CZ64" s="175"/>
      <c r="DA64" s="175"/>
      <c r="DB64" s="175"/>
      <c r="DC64" s="175"/>
      <c r="DD64" s="175"/>
      <c r="DE64" s="175"/>
      <c r="DF64" s="175"/>
      <c r="DG64" s="175"/>
      <c r="DH64" s="175"/>
      <c r="DI64" s="175"/>
      <c r="DJ64" s="175"/>
      <c r="DK64" s="175"/>
      <c r="DL64" s="175"/>
      <c r="DM64" s="175"/>
      <c r="DN64" s="175"/>
      <c r="DO64" s="175"/>
      <c r="DP64" s="175"/>
      <c r="DQ64" s="175"/>
      <c r="DR64" s="175"/>
      <c r="DS64" s="175"/>
      <c r="DT64" s="175"/>
      <c r="DU64" s="175"/>
      <c r="DV64" s="175"/>
      <c r="DW64" s="175"/>
      <c r="DX64" s="175"/>
      <c r="DY64" s="175"/>
      <c r="DZ64" s="175"/>
      <c r="EA64" s="175"/>
      <c r="EB64" s="175"/>
      <c r="EC64" s="175"/>
      <c r="ED64" s="175"/>
      <c r="EE64" s="175"/>
      <c r="EF64" s="175"/>
      <c r="EG64" s="175"/>
      <c r="EH64" s="175"/>
      <c r="EI64" s="175"/>
      <c r="EJ64" s="175"/>
      <c r="EK64" s="175"/>
      <c r="EL64" s="175"/>
      <c r="EM64" s="175"/>
      <c r="EN64" s="175"/>
      <c r="EO64" s="175"/>
      <c r="EP64" s="175"/>
      <c r="EQ64" s="175"/>
      <c r="ER64" s="175"/>
      <c r="ES64" s="175"/>
      <c r="ET64" s="175"/>
      <c r="EU64" s="175"/>
      <c r="EV64" s="175"/>
      <c r="EW64" s="175"/>
      <c r="EX64" s="175"/>
      <c r="EY64" s="175"/>
      <c r="EZ64" s="175"/>
      <c r="FA64" s="175"/>
      <c r="FB64" s="175"/>
      <c r="FC64" s="175"/>
      <c r="FD64" s="175"/>
      <c r="FE64" s="175"/>
      <c r="FF64" s="175"/>
      <c r="FG64" s="175"/>
      <c r="FH64" s="175"/>
      <c r="FI64" s="175"/>
      <c r="FJ64" s="175"/>
      <c r="FK64" s="175"/>
      <c r="FL64" s="175"/>
      <c r="FM64" s="175"/>
      <c r="FN64" s="175"/>
      <c r="FO64" s="175"/>
      <c r="FP64" s="175"/>
      <c r="FQ64" s="175"/>
      <c r="FR64" s="175"/>
      <c r="FS64" s="175"/>
      <c r="FT64" s="175"/>
      <c r="FU64" s="175"/>
      <c r="FV64" s="175"/>
      <c r="FW64" s="175"/>
      <c r="FX64" s="175"/>
      <c r="FY64" s="175"/>
      <c r="FZ64" s="175"/>
      <c r="GA64" s="175"/>
      <c r="GB64" s="175"/>
      <c r="GC64" s="175"/>
      <c r="GD64" s="175"/>
      <c r="GE64" s="175"/>
      <c r="GF64" s="175"/>
      <c r="GG64" s="175"/>
      <c r="GH64" s="175"/>
      <c r="GI64" s="175"/>
      <c r="GJ64" s="175"/>
      <c r="GK64" s="175"/>
      <c r="GL64" s="175"/>
      <c r="GM64" s="175"/>
      <c r="GN64" s="175"/>
      <c r="GO64" s="175"/>
      <c r="GP64" s="175"/>
      <c r="GQ64" s="175"/>
      <c r="GR64" s="175"/>
      <c r="GS64" s="175"/>
      <c r="GT64" s="175"/>
      <c r="GU64" s="175"/>
      <c r="GV64" s="175"/>
      <c r="GW64" s="175"/>
      <c r="GX64" s="175"/>
      <c r="GY64" s="175"/>
      <c r="GZ64" s="175"/>
      <c r="HA64" s="175"/>
      <c r="HB64" s="175"/>
      <c r="HC64" s="175"/>
      <c r="HD64" s="175"/>
      <c r="HE64" s="175"/>
      <c r="HF64" s="175"/>
      <c r="HG64" s="175"/>
      <c r="HH64" s="175"/>
      <c r="HI64" s="175"/>
      <c r="HJ64" s="175"/>
      <c r="HK64" s="175"/>
      <c r="HL64" s="175"/>
      <c r="HM64" s="175"/>
      <c r="HN64" s="175"/>
      <c r="HO64" s="175"/>
      <c r="HP64" s="175"/>
      <c r="HQ64" s="175"/>
      <c r="HR64" s="175"/>
      <c r="HS64" s="175"/>
      <c r="HT64" s="175"/>
      <c r="HU64" s="175"/>
      <c r="HV64" s="175"/>
      <c r="HW64" s="175"/>
      <c r="HX64" s="175"/>
      <c r="HY64" s="175"/>
      <c r="HZ64" s="175"/>
      <c r="IA64" s="175"/>
      <c r="IB64" s="175"/>
      <c r="IC64" s="175"/>
      <c r="ID64" s="175"/>
      <c r="IE64" s="175"/>
      <c r="IF64" s="175"/>
      <c r="IG64" s="175"/>
    </row>
    <row r="65" spans="1:251" s="178" customFormat="1">
      <c r="A65" s="184"/>
      <c r="B65" s="184"/>
      <c r="C65" s="214" t="s">
        <v>827</v>
      </c>
      <c r="D65" s="215">
        <v>7.57</v>
      </c>
      <c r="E65" s="187">
        <v>0.24</v>
      </c>
      <c r="F65" s="187"/>
      <c r="G65" s="188"/>
      <c r="H65" s="177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75"/>
      <c r="DK65" s="175"/>
      <c r="DL65" s="175"/>
      <c r="DM65" s="175"/>
      <c r="DN65" s="175"/>
      <c r="DO65" s="175"/>
      <c r="DP65" s="175"/>
      <c r="DQ65" s="175"/>
      <c r="DR65" s="175"/>
      <c r="DS65" s="175"/>
      <c r="DT65" s="175"/>
      <c r="DU65" s="175"/>
      <c r="DV65" s="175"/>
      <c r="DW65" s="175"/>
      <c r="DX65" s="175"/>
      <c r="DY65" s="175"/>
      <c r="DZ65" s="175"/>
      <c r="EA65" s="175"/>
      <c r="EB65" s="175"/>
      <c r="EC65" s="175"/>
      <c r="ED65" s="175"/>
      <c r="EE65" s="175"/>
      <c r="EF65" s="175"/>
      <c r="EG65" s="175"/>
      <c r="EH65" s="175"/>
      <c r="EI65" s="175"/>
      <c r="EJ65" s="175"/>
      <c r="EK65" s="175"/>
      <c r="EL65" s="175"/>
      <c r="EM65" s="175"/>
      <c r="EN65" s="175"/>
      <c r="EO65" s="175"/>
      <c r="EP65" s="175"/>
      <c r="EQ65" s="175"/>
      <c r="ER65" s="175"/>
      <c r="ES65" s="175"/>
      <c r="ET65" s="175"/>
      <c r="EU65" s="175"/>
      <c r="EV65" s="175"/>
      <c r="EW65" s="175"/>
      <c r="EX65" s="175"/>
      <c r="EY65" s="175"/>
      <c r="EZ65" s="175"/>
      <c r="FA65" s="175"/>
      <c r="FB65" s="175"/>
      <c r="FC65" s="175"/>
      <c r="FD65" s="175"/>
      <c r="FE65" s="175"/>
      <c r="FF65" s="175"/>
      <c r="FG65" s="175"/>
      <c r="FH65" s="175"/>
      <c r="FI65" s="175"/>
      <c r="FJ65" s="175"/>
      <c r="FK65" s="175"/>
      <c r="FL65" s="175"/>
      <c r="FM65" s="175"/>
      <c r="FN65" s="175"/>
      <c r="FO65" s="175"/>
      <c r="FP65" s="175"/>
      <c r="FQ65" s="175"/>
      <c r="FR65" s="175"/>
      <c r="FS65" s="175"/>
      <c r="FT65" s="175"/>
      <c r="FU65" s="175"/>
      <c r="FV65" s="175"/>
      <c r="FW65" s="175"/>
      <c r="FX65" s="175"/>
      <c r="FY65" s="175"/>
      <c r="FZ65" s="175"/>
      <c r="GA65" s="175"/>
      <c r="GB65" s="175"/>
      <c r="GC65" s="175"/>
      <c r="GD65" s="175"/>
      <c r="GE65" s="175"/>
      <c r="GF65" s="175"/>
      <c r="GG65" s="175"/>
      <c r="GH65" s="175"/>
      <c r="GI65" s="175"/>
      <c r="GJ65" s="175"/>
      <c r="GK65" s="175"/>
      <c r="GL65" s="175"/>
      <c r="GM65" s="175"/>
      <c r="GN65" s="175"/>
      <c r="GO65" s="175"/>
      <c r="GP65" s="175"/>
      <c r="GQ65" s="175"/>
      <c r="GR65" s="175"/>
      <c r="GS65" s="175"/>
      <c r="GT65" s="175"/>
      <c r="GU65" s="175"/>
      <c r="GV65" s="175"/>
      <c r="GW65" s="175"/>
      <c r="GX65" s="175"/>
      <c r="GY65" s="175"/>
      <c r="GZ65" s="175"/>
      <c r="HA65" s="175"/>
      <c r="HB65" s="175"/>
      <c r="HC65" s="175"/>
      <c r="HD65" s="175"/>
      <c r="HE65" s="175"/>
      <c r="HF65" s="175"/>
      <c r="HG65" s="175"/>
      <c r="HH65" s="175"/>
      <c r="HI65" s="175"/>
      <c r="HJ65" s="175"/>
      <c r="HK65" s="175"/>
      <c r="HL65" s="175"/>
      <c r="HM65" s="175"/>
      <c r="HN65" s="175"/>
      <c r="HO65" s="175"/>
      <c r="HP65" s="175"/>
      <c r="HQ65" s="175"/>
      <c r="HR65" s="175"/>
      <c r="HS65" s="175"/>
      <c r="HT65" s="175"/>
      <c r="HU65" s="175"/>
      <c r="HV65" s="175"/>
      <c r="HW65" s="175"/>
      <c r="HX65" s="175"/>
      <c r="HY65" s="175"/>
      <c r="HZ65" s="175"/>
      <c r="IA65" s="175"/>
      <c r="IB65" s="175"/>
      <c r="IC65" s="175"/>
      <c r="ID65" s="175"/>
      <c r="IE65" s="175"/>
      <c r="IF65" s="175"/>
      <c r="IG65" s="175"/>
    </row>
    <row r="66" spans="1:251" s="178" customFormat="1">
      <c r="A66" s="184"/>
      <c r="B66" s="184"/>
      <c r="C66" s="214" t="s">
        <v>828</v>
      </c>
      <c r="D66" s="215">
        <v>6.9399999999999995</v>
      </c>
      <c r="E66" s="187">
        <v>0.26</v>
      </c>
      <c r="F66" s="187"/>
      <c r="G66" s="188"/>
      <c r="H66" s="177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  <c r="BT66" s="175"/>
      <c r="BU66" s="175"/>
      <c r="BV66" s="175"/>
      <c r="BW66" s="175"/>
      <c r="BX66" s="175"/>
      <c r="BY66" s="175"/>
      <c r="BZ66" s="175"/>
      <c r="CA66" s="175"/>
      <c r="CB66" s="175"/>
      <c r="CC66" s="175"/>
      <c r="CD66" s="175"/>
      <c r="CE66" s="175"/>
      <c r="CF66" s="175"/>
      <c r="CG66" s="175"/>
      <c r="CH66" s="175"/>
      <c r="CI66" s="175"/>
      <c r="CJ66" s="175"/>
      <c r="CK66" s="175"/>
      <c r="CL66" s="175"/>
      <c r="CM66" s="175"/>
      <c r="CN66" s="175"/>
      <c r="CO66" s="175"/>
      <c r="CP66" s="175"/>
      <c r="CQ66" s="175"/>
      <c r="CR66" s="175"/>
      <c r="CS66" s="175"/>
      <c r="CT66" s="175"/>
      <c r="CU66" s="175"/>
      <c r="CV66" s="175"/>
      <c r="CW66" s="175"/>
      <c r="CX66" s="175"/>
      <c r="CY66" s="175"/>
      <c r="CZ66" s="175"/>
      <c r="DA66" s="175"/>
      <c r="DB66" s="175"/>
      <c r="DC66" s="175"/>
      <c r="DD66" s="175"/>
      <c r="DE66" s="175"/>
      <c r="DF66" s="175"/>
      <c r="DG66" s="175"/>
      <c r="DH66" s="175"/>
      <c r="DI66" s="175"/>
      <c r="DJ66" s="175"/>
      <c r="DK66" s="175"/>
      <c r="DL66" s="175"/>
      <c r="DM66" s="175"/>
      <c r="DN66" s="175"/>
      <c r="DO66" s="175"/>
      <c r="DP66" s="175"/>
      <c r="DQ66" s="175"/>
      <c r="DR66" s="175"/>
      <c r="DS66" s="175"/>
      <c r="DT66" s="175"/>
      <c r="DU66" s="175"/>
      <c r="DV66" s="175"/>
      <c r="DW66" s="175"/>
      <c r="DX66" s="175"/>
      <c r="DY66" s="175"/>
      <c r="DZ66" s="175"/>
      <c r="EA66" s="175"/>
      <c r="EB66" s="175"/>
      <c r="EC66" s="175"/>
      <c r="ED66" s="175"/>
      <c r="EE66" s="175"/>
      <c r="EF66" s="175"/>
      <c r="EG66" s="175"/>
      <c r="EH66" s="175"/>
      <c r="EI66" s="175"/>
      <c r="EJ66" s="175"/>
      <c r="EK66" s="175"/>
      <c r="EL66" s="175"/>
      <c r="EM66" s="175"/>
      <c r="EN66" s="175"/>
      <c r="EO66" s="175"/>
      <c r="EP66" s="175"/>
      <c r="EQ66" s="175"/>
      <c r="ER66" s="175"/>
      <c r="ES66" s="175"/>
      <c r="ET66" s="175"/>
      <c r="EU66" s="175"/>
      <c r="EV66" s="175"/>
      <c r="EW66" s="175"/>
      <c r="EX66" s="175"/>
      <c r="EY66" s="175"/>
      <c r="EZ66" s="175"/>
      <c r="FA66" s="175"/>
      <c r="FB66" s="175"/>
      <c r="FC66" s="175"/>
      <c r="FD66" s="175"/>
      <c r="FE66" s="175"/>
      <c r="FF66" s="175"/>
      <c r="FG66" s="175"/>
      <c r="FH66" s="175"/>
      <c r="FI66" s="175"/>
      <c r="FJ66" s="175"/>
      <c r="FK66" s="175"/>
      <c r="FL66" s="175"/>
      <c r="FM66" s="175"/>
      <c r="FN66" s="175"/>
      <c r="FO66" s="175"/>
      <c r="FP66" s="175"/>
      <c r="FQ66" s="175"/>
      <c r="FR66" s="175"/>
      <c r="FS66" s="175"/>
      <c r="FT66" s="175"/>
      <c r="FU66" s="175"/>
      <c r="FV66" s="175"/>
      <c r="FW66" s="175"/>
      <c r="FX66" s="175"/>
      <c r="FY66" s="175"/>
      <c r="FZ66" s="175"/>
      <c r="GA66" s="175"/>
      <c r="GB66" s="175"/>
      <c r="GC66" s="175"/>
      <c r="GD66" s="175"/>
      <c r="GE66" s="175"/>
      <c r="GF66" s="175"/>
      <c r="GG66" s="175"/>
      <c r="GH66" s="175"/>
      <c r="GI66" s="175"/>
      <c r="GJ66" s="175"/>
      <c r="GK66" s="175"/>
      <c r="GL66" s="175"/>
      <c r="GM66" s="175"/>
      <c r="GN66" s="175"/>
      <c r="GO66" s="175"/>
      <c r="GP66" s="175"/>
      <c r="GQ66" s="175"/>
      <c r="GR66" s="175"/>
      <c r="GS66" s="175"/>
      <c r="GT66" s="175"/>
      <c r="GU66" s="175"/>
      <c r="GV66" s="175"/>
      <c r="GW66" s="175"/>
      <c r="GX66" s="175"/>
      <c r="GY66" s="175"/>
      <c r="GZ66" s="175"/>
      <c r="HA66" s="175"/>
      <c r="HB66" s="175"/>
      <c r="HC66" s="175"/>
      <c r="HD66" s="175"/>
      <c r="HE66" s="175"/>
      <c r="HF66" s="175"/>
      <c r="HG66" s="175"/>
      <c r="HH66" s="175"/>
      <c r="HI66" s="175"/>
      <c r="HJ66" s="175"/>
      <c r="HK66" s="175"/>
      <c r="HL66" s="175"/>
      <c r="HM66" s="175"/>
      <c r="HN66" s="175"/>
      <c r="HO66" s="175"/>
      <c r="HP66" s="175"/>
      <c r="HQ66" s="175"/>
      <c r="HR66" s="175"/>
      <c r="HS66" s="175"/>
      <c r="HT66" s="175"/>
      <c r="HU66" s="175"/>
      <c r="HV66" s="175"/>
      <c r="HW66" s="175"/>
      <c r="HX66" s="175"/>
      <c r="HY66" s="175"/>
      <c r="HZ66" s="175"/>
      <c r="IA66" s="175"/>
      <c r="IB66" s="175"/>
      <c r="IC66" s="175"/>
      <c r="ID66" s="175"/>
      <c r="IE66" s="175"/>
      <c r="IF66" s="175"/>
      <c r="IG66" s="175"/>
    </row>
    <row r="67" spans="1:251" s="178" customFormat="1" ht="15.6" thickBot="1">
      <c r="A67" s="199"/>
      <c r="B67" s="199" t="s">
        <v>829</v>
      </c>
      <c r="C67" s="200"/>
      <c r="D67" s="201"/>
      <c r="E67" s="201"/>
      <c r="F67" s="202">
        <f>AVERAGE(D52:D66)</f>
        <v>5.2246666666666668</v>
      </c>
      <c r="G67" s="203">
        <f>STDEV(D52:D66)</f>
        <v>1.3405855152915516</v>
      </c>
      <c r="H67" s="177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5"/>
      <c r="AU67" s="175"/>
      <c r="AV67" s="175"/>
      <c r="AW67" s="175"/>
      <c r="AX67" s="175"/>
      <c r="AY67" s="175"/>
      <c r="AZ67" s="175"/>
      <c r="BA67" s="175"/>
      <c r="BB67" s="175"/>
      <c r="BC67" s="175"/>
      <c r="BD67" s="175"/>
      <c r="BE67" s="175"/>
      <c r="BF67" s="175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5"/>
      <c r="BR67" s="175"/>
      <c r="BS67" s="175"/>
      <c r="BT67" s="175"/>
      <c r="BU67" s="175"/>
      <c r="BV67" s="175"/>
      <c r="BW67" s="175"/>
      <c r="BX67" s="175"/>
      <c r="BY67" s="175"/>
      <c r="BZ67" s="175"/>
      <c r="CA67" s="175"/>
      <c r="CB67" s="175"/>
      <c r="CC67" s="175"/>
      <c r="CD67" s="175"/>
      <c r="CE67" s="175"/>
      <c r="CF67" s="175"/>
      <c r="CG67" s="175"/>
      <c r="CH67" s="175"/>
      <c r="CI67" s="175"/>
      <c r="CJ67" s="175"/>
      <c r="CK67" s="175"/>
      <c r="CL67" s="175"/>
      <c r="CM67" s="175"/>
      <c r="CN67" s="175"/>
      <c r="CO67" s="175"/>
      <c r="CP67" s="175"/>
      <c r="CQ67" s="175"/>
      <c r="CR67" s="175"/>
      <c r="CS67" s="175"/>
      <c r="CT67" s="175"/>
      <c r="CU67" s="175"/>
      <c r="CV67" s="175"/>
      <c r="CW67" s="175"/>
      <c r="CX67" s="175"/>
      <c r="CY67" s="175"/>
      <c r="CZ67" s="175"/>
      <c r="DA67" s="175"/>
      <c r="DB67" s="175"/>
      <c r="DC67" s="175"/>
      <c r="DD67" s="175"/>
      <c r="DE67" s="175"/>
      <c r="DF67" s="175"/>
      <c r="DG67" s="175"/>
      <c r="DH67" s="175"/>
      <c r="DI67" s="175"/>
      <c r="DJ67" s="175"/>
      <c r="DK67" s="175"/>
      <c r="DL67" s="175"/>
      <c r="DM67" s="175"/>
      <c r="DN67" s="175"/>
      <c r="DO67" s="175"/>
      <c r="DP67" s="175"/>
      <c r="DQ67" s="175"/>
      <c r="DR67" s="175"/>
      <c r="DS67" s="175"/>
      <c r="DT67" s="175"/>
      <c r="DU67" s="175"/>
      <c r="DV67" s="175"/>
      <c r="DW67" s="175"/>
      <c r="DX67" s="175"/>
      <c r="DY67" s="175"/>
      <c r="DZ67" s="175"/>
      <c r="EA67" s="175"/>
      <c r="EB67" s="175"/>
      <c r="EC67" s="175"/>
      <c r="ED67" s="175"/>
      <c r="EE67" s="175"/>
      <c r="EF67" s="175"/>
      <c r="EG67" s="175"/>
      <c r="EH67" s="175"/>
      <c r="EI67" s="175"/>
      <c r="EJ67" s="175"/>
      <c r="EK67" s="175"/>
      <c r="EL67" s="175"/>
      <c r="EM67" s="175"/>
      <c r="EN67" s="175"/>
      <c r="EO67" s="175"/>
      <c r="EP67" s="175"/>
      <c r="EQ67" s="175"/>
      <c r="ER67" s="175"/>
      <c r="ES67" s="175"/>
      <c r="ET67" s="175"/>
      <c r="EU67" s="175"/>
      <c r="EV67" s="175"/>
      <c r="EW67" s="175"/>
      <c r="EX67" s="175"/>
      <c r="EY67" s="175"/>
      <c r="EZ67" s="175"/>
      <c r="FA67" s="175"/>
      <c r="FB67" s="175"/>
      <c r="FC67" s="175"/>
      <c r="FD67" s="175"/>
      <c r="FE67" s="175"/>
      <c r="FF67" s="175"/>
      <c r="FG67" s="175"/>
      <c r="FH67" s="175"/>
      <c r="FI67" s="175"/>
      <c r="FJ67" s="175"/>
      <c r="FK67" s="175"/>
      <c r="FL67" s="175"/>
      <c r="FM67" s="175"/>
      <c r="FN67" s="175"/>
      <c r="FO67" s="175"/>
      <c r="FP67" s="175"/>
      <c r="FQ67" s="175"/>
      <c r="FR67" s="175"/>
      <c r="FS67" s="175"/>
      <c r="FT67" s="175"/>
      <c r="FU67" s="175"/>
      <c r="FV67" s="175"/>
      <c r="FW67" s="175"/>
      <c r="FX67" s="175"/>
      <c r="FY67" s="175"/>
      <c r="FZ67" s="175"/>
      <c r="GA67" s="175"/>
      <c r="GB67" s="175"/>
      <c r="GC67" s="175"/>
      <c r="GD67" s="175"/>
      <c r="GE67" s="175"/>
      <c r="GF67" s="175"/>
      <c r="GG67" s="175"/>
      <c r="GH67" s="175"/>
      <c r="GI67" s="175"/>
      <c r="GJ67" s="175"/>
      <c r="GK67" s="175"/>
      <c r="GL67" s="175"/>
      <c r="GM67" s="175"/>
      <c r="GN67" s="175"/>
      <c r="GO67" s="175"/>
      <c r="GP67" s="175"/>
      <c r="GQ67" s="175"/>
      <c r="GR67" s="175"/>
      <c r="GS67" s="175"/>
      <c r="GT67" s="175"/>
      <c r="GU67" s="175"/>
      <c r="GV67" s="175"/>
      <c r="GW67" s="175"/>
      <c r="GX67" s="175"/>
      <c r="GY67" s="175"/>
      <c r="GZ67" s="175"/>
      <c r="HA67" s="175"/>
      <c r="HB67" s="175"/>
      <c r="HC67" s="175"/>
      <c r="HD67" s="175"/>
      <c r="HE67" s="175"/>
      <c r="HF67" s="175"/>
      <c r="HG67" s="175"/>
      <c r="HH67" s="175"/>
      <c r="HI67" s="175"/>
      <c r="HJ67" s="175"/>
      <c r="HK67" s="175"/>
      <c r="HL67" s="175"/>
      <c r="HM67" s="175"/>
      <c r="HN67" s="175"/>
      <c r="HO67" s="175"/>
      <c r="HP67" s="175"/>
      <c r="HQ67" s="175"/>
      <c r="HR67" s="175"/>
      <c r="HS67" s="175"/>
      <c r="HT67" s="175"/>
      <c r="HU67" s="175"/>
      <c r="HV67" s="175"/>
      <c r="HW67" s="175"/>
      <c r="HX67" s="175"/>
      <c r="HY67" s="175"/>
      <c r="HZ67" s="175"/>
      <c r="IA67" s="175"/>
      <c r="IB67" s="175"/>
      <c r="IC67" s="175"/>
      <c r="ID67" s="175"/>
      <c r="IE67" s="175"/>
      <c r="IF67" s="175"/>
      <c r="IG67" s="175"/>
    </row>
    <row r="68" spans="1:251" ht="15.6" thickTop="1">
      <c r="A68" s="19" t="s">
        <v>830</v>
      </c>
      <c r="B68" s="4" t="s">
        <v>831</v>
      </c>
      <c r="C68" s="5" t="s">
        <v>832</v>
      </c>
      <c r="D68" s="11">
        <v>5.18</v>
      </c>
      <c r="E68" s="11">
        <v>0.09</v>
      </c>
      <c r="F68" s="11">
        <f>AVERAGE(D68:D113)</f>
        <v>5.3</v>
      </c>
      <c r="G68" s="20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</row>
    <row r="69" spans="1:251">
      <c r="A69" s="21"/>
      <c r="C69" s="5" t="s">
        <v>833</v>
      </c>
      <c r="D69" s="11">
        <v>5.42</v>
      </c>
      <c r="E69" s="11">
        <v>0.08</v>
      </c>
      <c r="G69" s="20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</row>
    <row r="70" spans="1:251">
      <c r="A70" s="21"/>
      <c r="C70" s="5" t="s">
        <v>834</v>
      </c>
      <c r="D70" s="11">
        <v>5.29</v>
      </c>
      <c r="E70" s="11">
        <v>0.08</v>
      </c>
      <c r="G70" s="20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</row>
    <row r="71" spans="1:251">
      <c r="A71" s="21"/>
      <c r="C71" s="5" t="s">
        <v>835</v>
      </c>
      <c r="D71" s="11">
        <v>5.31</v>
      </c>
      <c r="E71" s="11">
        <v>0.08</v>
      </c>
      <c r="G71" s="20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</row>
    <row r="72" spans="1:251">
      <c r="A72" s="21"/>
      <c r="C72" s="5" t="s">
        <v>836</v>
      </c>
      <c r="D72" s="11">
        <v>5.17</v>
      </c>
      <c r="E72" s="11">
        <v>0.09</v>
      </c>
      <c r="G72" s="20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</row>
    <row r="73" spans="1:251">
      <c r="A73" s="21"/>
      <c r="C73" s="5" t="s">
        <v>837</v>
      </c>
      <c r="D73" s="11">
        <v>5.43</v>
      </c>
      <c r="E73" s="11">
        <v>0.08</v>
      </c>
      <c r="G73" s="20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</row>
    <row r="74" spans="1:251">
      <c r="A74" s="21"/>
      <c r="C74" s="5" t="s">
        <v>838</v>
      </c>
      <c r="D74" s="11">
        <v>5.24</v>
      </c>
      <c r="E74" s="11">
        <v>0.09</v>
      </c>
      <c r="G74" s="20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</row>
    <row r="75" spans="1:251">
      <c r="A75" s="21"/>
      <c r="C75" s="5" t="s">
        <v>839</v>
      </c>
      <c r="D75" s="11">
        <v>5.36</v>
      </c>
      <c r="E75" s="11">
        <v>0.08</v>
      </c>
      <c r="G75" s="20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</row>
    <row r="76" spans="1:251">
      <c r="A76" s="21"/>
      <c r="C76" s="5" t="s">
        <v>840</v>
      </c>
      <c r="D76" s="11">
        <v>5.29</v>
      </c>
      <c r="E76" s="11">
        <v>0.08</v>
      </c>
      <c r="G76" s="20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</row>
    <row r="77" spans="1:251">
      <c r="A77" s="21"/>
      <c r="C77" s="5" t="s">
        <v>841</v>
      </c>
      <c r="D77" s="11">
        <v>5.31</v>
      </c>
      <c r="E77" s="11">
        <v>0.09</v>
      </c>
      <c r="G77" s="20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</row>
    <row r="78" spans="1:251">
      <c r="A78" s="21"/>
      <c r="C78" s="5" t="s">
        <v>842</v>
      </c>
      <c r="D78" s="11">
        <v>5.23</v>
      </c>
      <c r="E78" s="11">
        <v>0.09</v>
      </c>
      <c r="G78" s="20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</row>
    <row r="79" spans="1:251">
      <c r="A79" s="21"/>
      <c r="C79" s="5" t="s">
        <v>843</v>
      </c>
      <c r="D79" s="11">
        <v>5.37</v>
      </c>
      <c r="E79" s="11">
        <v>0.08</v>
      </c>
      <c r="G79" s="20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</row>
    <row r="80" spans="1:251">
      <c r="A80" s="21"/>
      <c r="C80" s="5" t="s">
        <v>844</v>
      </c>
      <c r="D80" s="11">
        <v>5.37</v>
      </c>
      <c r="E80" s="11">
        <v>0.1</v>
      </c>
      <c r="G80" s="20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</row>
    <row r="81" spans="1:251">
      <c r="A81" s="21"/>
      <c r="C81" s="5" t="s">
        <v>845</v>
      </c>
      <c r="D81" s="11">
        <v>5.23</v>
      </c>
      <c r="E81" s="11">
        <v>0.09</v>
      </c>
      <c r="G81" s="20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</row>
    <row r="82" spans="1:251">
      <c r="A82" s="21"/>
      <c r="C82" s="5" t="s">
        <v>846</v>
      </c>
      <c r="D82" s="11">
        <v>5.33</v>
      </c>
      <c r="E82" s="11">
        <v>7.0000000000000007E-2</v>
      </c>
      <c r="G82" s="20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</row>
    <row r="83" spans="1:251">
      <c r="A83" s="21"/>
      <c r="C83" s="5" t="s">
        <v>847</v>
      </c>
      <c r="D83" s="11">
        <v>5.27</v>
      </c>
      <c r="E83" s="11">
        <v>0.08</v>
      </c>
      <c r="G83" s="20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</row>
    <row r="84" spans="1:251">
      <c r="A84" s="21"/>
      <c r="C84" s="5" t="s">
        <v>848</v>
      </c>
      <c r="D84" s="11">
        <v>5.37</v>
      </c>
      <c r="E84" s="11">
        <v>0.08</v>
      </c>
      <c r="G84" s="20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</row>
    <row r="85" spans="1:251">
      <c r="A85" s="21"/>
      <c r="C85" s="5" t="s">
        <v>849</v>
      </c>
      <c r="D85" s="11">
        <v>5.23</v>
      </c>
      <c r="E85" s="11">
        <v>0.1</v>
      </c>
      <c r="G85" s="20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</row>
    <row r="86" spans="1:251">
      <c r="A86" s="21"/>
      <c r="C86" s="5" t="s">
        <v>850</v>
      </c>
      <c r="D86" s="11">
        <v>5.43</v>
      </c>
      <c r="E86" s="11">
        <v>0.3</v>
      </c>
      <c r="G86" s="20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</row>
    <row r="87" spans="1:251">
      <c r="A87" s="21"/>
      <c r="C87" s="5" t="s">
        <v>851</v>
      </c>
      <c r="D87" s="11">
        <v>5.17</v>
      </c>
      <c r="E87" s="11">
        <v>0.28999999999999998</v>
      </c>
      <c r="G87" s="20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</row>
    <row r="88" spans="1:251">
      <c r="A88" s="21"/>
      <c r="C88" s="5" t="s">
        <v>852</v>
      </c>
      <c r="D88" s="11">
        <v>5.36</v>
      </c>
      <c r="E88" s="11">
        <v>0.09</v>
      </c>
      <c r="G88" s="20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</row>
    <row r="89" spans="1:251">
      <c r="A89" s="21"/>
      <c r="C89" s="5" t="s">
        <v>853</v>
      </c>
      <c r="D89" s="11">
        <v>5.24</v>
      </c>
      <c r="E89" s="11">
        <v>0.09</v>
      </c>
      <c r="G89" s="20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</row>
    <row r="90" spans="1:251">
      <c r="A90" s="21"/>
      <c r="C90" s="5" t="s">
        <v>854</v>
      </c>
      <c r="D90" s="11">
        <v>5.36</v>
      </c>
      <c r="E90" s="11">
        <v>0.08</v>
      </c>
      <c r="G90" s="20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</row>
    <row r="91" spans="1:251">
      <c r="A91" s="21"/>
      <c r="C91" s="5" t="s">
        <v>855</v>
      </c>
      <c r="D91" s="11">
        <v>5.24</v>
      </c>
      <c r="E91" s="11">
        <v>0.12</v>
      </c>
      <c r="G91" s="20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27"/>
    </row>
    <row r="92" spans="1:251">
      <c r="A92" s="21"/>
      <c r="C92" s="5" t="s">
        <v>856</v>
      </c>
      <c r="D92" s="11">
        <v>5.32</v>
      </c>
      <c r="E92" s="11">
        <v>0.08</v>
      </c>
      <c r="G92" s="20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</row>
    <row r="93" spans="1:251">
      <c r="A93" s="21"/>
      <c r="C93" s="5" t="s">
        <v>857</v>
      </c>
      <c r="D93" s="11">
        <v>5.28</v>
      </c>
      <c r="E93" s="11">
        <v>0.09</v>
      </c>
      <c r="G93" s="20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</row>
    <row r="94" spans="1:251">
      <c r="A94" s="21"/>
      <c r="C94" s="5" t="s">
        <v>858</v>
      </c>
      <c r="D94" s="11">
        <v>5.29</v>
      </c>
      <c r="E94" s="11">
        <v>0.09</v>
      </c>
      <c r="G94" s="20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</row>
    <row r="95" spans="1:251">
      <c r="A95" s="21"/>
      <c r="C95" s="5" t="s">
        <v>859</v>
      </c>
      <c r="D95" s="11">
        <v>5.31</v>
      </c>
      <c r="E95" s="11">
        <v>7.0000000000000007E-2</v>
      </c>
      <c r="G95" s="20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</row>
    <row r="96" spans="1:251">
      <c r="A96" s="21"/>
      <c r="C96" s="5" t="s">
        <v>860</v>
      </c>
      <c r="D96" s="11">
        <v>5.25</v>
      </c>
      <c r="E96" s="11">
        <v>0.08</v>
      </c>
      <c r="G96" s="20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</row>
    <row r="97" spans="1:251">
      <c r="A97" s="21"/>
      <c r="C97" s="5" t="s">
        <v>861</v>
      </c>
      <c r="D97" s="11">
        <v>5.35</v>
      </c>
      <c r="E97" s="11">
        <v>0.08</v>
      </c>
      <c r="G97" s="20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</row>
    <row r="98" spans="1:251">
      <c r="A98" s="21"/>
      <c r="C98" s="5" t="s">
        <v>862</v>
      </c>
      <c r="D98" s="11">
        <v>5.34</v>
      </c>
      <c r="E98" s="11">
        <v>0.09</v>
      </c>
      <c r="G98" s="20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</row>
    <row r="99" spans="1:251">
      <c r="A99" s="21"/>
      <c r="C99" s="5" t="s">
        <v>863</v>
      </c>
      <c r="D99" s="11">
        <v>5.26</v>
      </c>
      <c r="E99" s="11">
        <v>0.09</v>
      </c>
      <c r="G99" s="20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</row>
    <row r="100" spans="1:251">
      <c r="A100" s="21"/>
      <c r="C100" s="5" t="s">
        <v>864</v>
      </c>
      <c r="D100" s="11">
        <v>5.25</v>
      </c>
      <c r="E100" s="11">
        <v>0.08</v>
      </c>
      <c r="G100" s="20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</row>
    <row r="101" spans="1:251">
      <c r="A101" s="21"/>
      <c r="C101" s="5" t="s">
        <v>865</v>
      </c>
      <c r="D101" s="11">
        <v>5.35</v>
      </c>
      <c r="E101" s="11">
        <v>0.08</v>
      </c>
      <c r="G101" s="20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</row>
    <row r="102" spans="1:251">
      <c r="A102" s="21"/>
      <c r="C102" s="5" t="s">
        <v>866</v>
      </c>
      <c r="D102" s="11">
        <v>5.35</v>
      </c>
      <c r="E102" s="11">
        <v>0.08</v>
      </c>
      <c r="G102" s="20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</row>
    <row r="103" spans="1:251">
      <c r="A103" s="21"/>
      <c r="C103" s="5" t="s">
        <v>867</v>
      </c>
      <c r="D103" s="11">
        <v>5.25</v>
      </c>
      <c r="E103" s="11">
        <v>7.0000000000000007E-2</v>
      </c>
      <c r="G103" s="20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</row>
    <row r="104" spans="1:251">
      <c r="A104" s="21"/>
      <c r="C104" s="5" t="s">
        <v>868</v>
      </c>
      <c r="D104" s="11">
        <v>5.34</v>
      </c>
      <c r="E104" s="11">
        <v>0.08</v>
      </c>
      <c r="G104" s="20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</row>
    <row r="105" spans="1:251">
      <c r="A105" s="21"/>
      <c r="C105" s="5" t="s">
        <v>869</v>
      </c>
      <c r="D105" s="11">
        <v>5.26</v>
      </c>
      <c r="E105" s="11">
        <v>0.08</v>
      </c>
      <c r="G105" s="20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</row>
    <row r="106" spans="1:251">
      <c r="A106" s="21"/>
      <c r="C106" s="5" t="s">
        <v>870</v>
      </c>
      <c r="D106" s="11">
        <v>5.34</v>
      </c>
      <c r="E106" s="11">
        <v>0.08</v>
      </c>
      <c r="G106" s="20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</row>
    <row r="107" spans="1:251">
      <c r="A107" s="21"/>
      <c r="C107" s="5" t="s">
        <v>871</v>
      </c>
      <c r="D107" s="11">
        <v>5.26</v>
      </c>
      <c r="E107" s="11">
        <v>0.09</v>
      </c>
      <c r="G107" s="20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</row>
    <row r="108" spans="1:251">
      <c r="A108" s="21"/>
      <c r="C108" s="5" t="s">
        <v>872</v>
      </c>
      <c r="D108" s="11">
        <v>5.23</v>
      </c>
      <c r="E108" s="11">
        <v>0.09</v>
      </c>
      <c r="G108" s="20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</row>
    <row r="109" spans="1:251">
      <c r="A109" s="21"/>
      <c r="C109" s="5" t="s">
        <v>873</v>
      </c>
      <c r="D109" s="11">
        <v>5.37</v>
      </c>
      <c r="E109" s="11">
        <v>0.08</v>
      </c>
      <c r="G109" s="20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</row>
    <row r="110" spans="1:251">
      <c r="A110" s="21"/>
      <c r="C110" s="5" t="s">
        <v>874</v>
      </c>
      <c r="D110" s="11">
        <v>5.32</v>
      </c>
      <c r="E110" s="11">
        <v>0.08</v>
      </c>
      <c r="G110" s="20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</row>
    <row r="111" spans="1:251">
      <c r="A111" s="21"/>
      <c r="C111" s="5" t="s">
        <v>875</v>
      </c>
      <c r="D111" s="11">
        <v>5.28</v>
      </c>
      <c r="E111" s="11">
        <v>0.08</v>
      </c>
      <c r="G111" s="20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</row>
    <row r="112" spans="1:251">
      <c r="A112" s="21"/>
      <c r="C112" s="5" t="s">
        <v>876</v>
      </c>
      <c r="D112" s="11">
        <v>5.33</v>
      </c>
      <c r="E112" s="11">
        <v>0.11</v>
      </c>
    </row>
    <row r="113" spans="1:241">
      <c r="A113" s="21"/>
      <c r="C113" s="5" t="s">
        <v>877</v>
      </c>
      <c r="D113" s="11">
        <v>5.27</v>
      </c>
      <c r="E113" s="11">
        <v>0.1</v>
      </c>
      <c r="F113" s="5"/>
    </row>
    <row r="114" spans="1:241">
      <c r="A114" s="22" t="s">
        <v>878</v>
      </c>
      <c r="B114" s="23" t="s">
        <v>879</v>
      </c>
      <c r="C114" s="24" t="s">
        <v>880</v>
      </c>
      <c r="D114" s="25">
        <v>-0.08</v>
      </c>
      <c r="E114" s="25">
        <v>0.14000000000000001</v>
      </c>
      <c r="F114" s="25">
        <f>AVERAGE(D114:D125)</f>
        <v>-0.3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6"/>
      <c r="GT114" s="26"/>
      <c r="GU114" s="26"/>
      <c r="GV114" s="26"/>
      <c r="GW114" s="26"/>
      <c r="GX114" s="26"/>
      <c r="GY114" s="26"/>
      <c r="GZ114" s="26"/>
      <c r="HA114" s="26"/>
      <c r="HB114" s="26"/>
      <c r="HC114" s="26"/>
      <c r="HD114" s="26"/>
      <c r="HE114" s="26"/>
      <c r="HF114" s="26"/>
      <c r="HG114" s="26"/>
      <c r="HH114" s="26"/>
      <c r="HI114" s="26"/>
      <c r="HJ114" s="26"/>
      <c r="HK114" s="26"/>
      <c r="HL114" s="26"/>
      <c r="HM114" s="26"/>
      <c r="HN114" s="26"/>
      <c r="HO114" s="26"/>
      <c r="HP114" s="26"/>
      <c r="HQ114" s="26"/>
      <c r="HR114" s="26"/>
      <c r="HS114" s="26"/>
      <c r="HT114" s="26"/>
      <c r="HU114" s="26"/>
      <c r="HV114" s="26"/>
      <c r="HW114" s="26"/>
      <c r="HX114" s="26"/>
      <c r="HY114" s="26"/>
      <c r="HZ114" s="26"/>
      <c r="IA114" s="26"/>
      <c r="IB114" s="26"/>
      <c r="IC114" s="26"/>
      <c r="ID114" s="26"/>
      <c r="IE114" s="26"/>
      <c r="IF114" s="26"/>
      <c r="IG114" s="26"/>
    </row>
    <row r="115" spans="1:241">
      <c r="A115" s="21"/>
      <c r="C115" s="5" t="s">
        <v>881</v>
      </c>
      <c r="D115" s="11">
        <v>-0.52</v>
      </c>
      <c r="E115" s="11">
        <v>0.13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  <c r="GR115" s="26"/>
      <c r="GS115" s="26"/>
      <c r="GT115" s="26"/>
      <c r="GU115" s="26"/>
      <c r="GV115" s="26"/>
      <c r="GW115" s="26"/>
      <c r="GX115" s="26"/>
      <c r="GY115" s="26"/>
      <c r="GZ115" s="26"/>
      <c r="HA115" s="26"/>
      <c r="HB115" s="26"/>
      <c r="HC115" s="26"/>
      <c r="HD115" s="26"/>
      <c r="HE115" s="26"/>
      <c r="HF115" s="26"/>
      <c r="HG115" s="26"/>
      <c r="HH115" s="26"/>
      <c r="HI115" s="26"/>
      <c r="HJ115" s="26"/>
      <c r="HK115" s="26"/>
      <c r="HL115" s="26"/>
      <c r="HM115" s="26"/>
      <c r="HN115" s="26"/>
      <c r="HO115" s="26"/>
      <c r="HP115" s="26"/>
      <c r="HQ115" s="26"/>
      <c r="HR115" s="26"/>
      <c r="HS115" s="26"/>
      <c r="HT115" s="26"/>
      <c r="HU115" s="26"/>
      <c r="HV115" s="26"/>
      <c r="HW115" s="26"/>
      <c r="HX115" s="26"/>
      <c r="HY115" s="26"/>
      <c r="HZ115" s="26"/>
      <c r="IA115" s="26"/>
      <c r="IB115" s="26"/>
      <c r="IC115" s="26"/>
      <c r="ID115" s="26"/>
      <c r="IE115" s="26"/>
      <c r="IF115" s="26"/>
      <c r="IG115" s="26"/>
    </row>
    <row r="116" spans="1:241">
      <c r="A116" s="21"/>
      <c r="C116" s="5" t="s">
        <v>882</v>
      </c>
      <c r="D116" s="11">
        <v>-0.35</v>
      </c>
      <c r="E116" s="11">
        <v>0.26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26"/>
      <c r="HN116" s="26"/>
      <c r="HO116" s="26"/>
      <c r="HP116" s="26"/>
      <c r="HQ116" s="26"/>
      <c r="HR116" s="26"/>
      <c r="HS116" s="26"/>
      <c r="HT116" s="26"/>
      <c r="HU116" s="26"/>
      <c r="HV116" s="26"/>
      <c r="HW116" s="26"/>
      <c r="HX116" s="26"/>
      <c r="HY116" s="26"/>
      <c r="HZ116" s="26"/>
      <c r="IA116" s="26"/>
      <c r="IB116" s="26"/>
      <c r="IC116" s="26"/>
      <c r="ID116" s="26"/>
      <c r="IE116" s="26"/>
      <c r="IF116" s="26"/>
      <c r="IG116" s="26"/>
    </row>
    <row r="117" spans="1:241">
      <c r="A117" s="21"/>
      <c r="C117" s="5" t="s">
        <v>883</v>
      </c>
      <c r="D117" s="11">
        <v>-0.25</v>
      </c>
      <c r="E117" s="11">
        <v>0.26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  <c r="GR117" s="26"/>
      <c r="GS117" s="26"/>
      <c r="GT117" s="26"/>
      <c r="GU117" s="26"/>
      <c r="GV117" s="26"/>
      <c r="GW117" s="26"/>
      <c r="GX117" s="26"/>
      <c r="GY117" s="26"/>
      <c r="GZ117" s="26"/>
      <c r="HA117" s="26"/>
      <c r="HB117" s="26"/>
      <c r="HC117" s="26"/>
      <c r="HD117" s="26"/>
      <c r="HE117" s="26"/>
      <c r="HF117" s="26"/>
      <c r="HG117" s="26"/>
      <c r="HH117" s="26"/>
      <c r="HI117" s="26"/>
      <c r="HJ117" s="26"/>
      <c r="HK117" s="26"/>
      <c r="HL117" s="26"/>
      <c r="HM117" s="26"/>
      <c r="HN117" s="26"/>
      <c r="HO117" s="26"/>
      <c r="HP117" s="26"/>
      <c r="HQ117" s="26"/>
      <c r="HR117" s="26"/>
      <c r="HS117" s="26"/>
      <c r="HT117" s="26"/>
      <c r="HU117" s="26"/>
      <c r="HV117" s="26"/>
      <c r="HW117" s="26"/>
      <c r="HX117" s="26"/>
      <c r="HY117" s="26"/>
      <c r="HZ117" s="26"/>
      <c r="IA117" s="26"/>
      <c r="IB117" s="26"/>
      <c r="IC117" s="26"/>
      <c r="ID117" s="26"/>
      <c r="IE117" s="26"/>
      <c r="IF117" s="26"/>
      <c r="IG117" s="26"/>
    </row>
    <row r="118" spans="1:241">
      <c r="A118" s="21"/>
      <c r="C118" s="5" t="s">
        <v>884</v>
      </c>
      <c r="D118" s="11">
        <v>-0.27</v>
      </c>
      <c r="E118" s="11">
        <v>0.15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  <c r="GR118" s="26"/>
      <c r="GS118" s="26"/>
      <c r="GT118" s="26"/>
      <c r="GU118" s="26"/>
      <c r="GV118" s="26"/>
      <c r="GW118" s="26"/>
      <c r="GX118" s="26"/>
      <c r="GY118" s="26"/>
      <c r="GZ118" s="26"/>
      <c r="HA118" s="26"/>
      <c r="HB118" s="26"/>
      <c r="HC118" s="26"/>
      <c r="HD118" s="26"/>
      <c r="HE118" s="26"/>
      <c r="HF118" s="26"/>
      <c r="HG118" s="26"/>
      <c r="HH118" s="26"/>
      <c r="HI118" s="26"/>
      <c r="HJ118" s="26"/>
      <c r="HK118" s="26"/>
      <c r="HL118" s="26"/>
      <c r="HM118" s="26"/>
      <c r="HN118" s="26"/>
      <c r="HO118" s="26"/>
      <c r="HP118" s="26"/>
      <c r="HQ118" s="26"/>
      <c r="HR118" s="26"/>
      <c r="HS118" s="26"/>
      <c r="HT118" s="26"/>
      <c r="HU118" s="26"/>
      <c r="HV118" s="26"/>
      <c r="HW118" s="26"/>
      <c r="HX118" s="26"/>
      <c r="HY118" s="26"/>
      <c r="HZ118" s="26"/>
      <c r="IA118" s="26"/>
      <c r="IB118" s="26"/>
      <c r="IC118" s="26"/>
      <c r="ID118" s="26"/>
      <c r="IE118" s="26"/>
      <c r="IF118" s="26"/>
      <c r="IG118" s="26"/>
    </row>
    <row r="119" spans="1:241">
      <c r="A119" s="21"/>
      <c r="C119" s="5" t="s">
        <v>885</v>
      </c>
      <c r="D119" s="11">
        <v>-0.33</v>
      </c>
      <c r="E119" s="11">
        <v>0.14000000000000001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6"/>
      <c r="GT119" s="26"/>
      <c r="GU119" s="26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26"/>
      <c r="HN119" s="26"/>
      <c r="HO119" s="26"/>
      <c r="HP119" s="26"/>
      <c r="HQ119" s="26"/>
      <c r="HR119" s="26"/>
      <c r="HS119" s="26"/>
      <c r="HT119" s="26"/>
      <c r="HU119" s="26"/>
      <c r="HV119" s="26"/>
      <c r="HW119" s="26"/>
      <c r="HX119" s="26"/>
      <c r="HY119" s="26"/>
      <c r="HZ119" s="26"/>
      <c r="IA119" s="26"/>
      <c r="IB119" s="26"/>
      <c r="IC119" s="26"/>
      <c r="ID119" s="26"/>
      <c r="IE119" s="26"/>
      <c r="IF119" s="26"/>
      <c r="IG119" s="26"/>
    </row>
    <row r="120" spans="1:241">
      <c r="A120" s="21"/>
      <c r="C120" s="5" t="s">
        <v>886</v>
      </c>
      <c r="D120" s="11">
        <v>-0.41</v>
      </c>
      <c r="E120" s="11">
        <v>0.14000000000000001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6"/>
      <c r="GT120" s="26"/>
      <c r="GU120" s="26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26"/>
      <c r="HN120" s="26"/>
      <c r="HO120" s="26"/>
      <c r="HP120" s="26"/>
      <c r="HQ120" s="26"/>
      <c r="HR120" s="26"/>
      <c r="HS120" s="26"/>
      <c r="HT120" s="26"/>
      <c r="HU120" s="26"/>
      <c r="HV120" s="26"/>
      <c r="HW120" s="26"/>
      <c r="HX120" s="26"/>
      <c r="HY120" s="26"/>
      <c r="HZ120" s="26"/>
      <c r="IA120" s="26"/>
      <c r="IB120" s="26"/>
      <c r="IC120" s="26"/>
      <c r="ID120" s="26"/>
      <c r="IE120" s="26"/>
      <c r="IF120" s="26"/>
      <c r="IG120" s="26"/>
    </row>
    <row r="121" spans="1:241">
      <c r="A121" s="21"/>
      <c r="C121" s="5" t="s">
        <v>887</v>
      </c>
      <c r="D121" s="11">
        <v>-0.19</v>
      </c>
      <c r="E121" s="11">
        <v>0.14000000000000001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6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6"/>
      <c r="IG121" s="26"/>
    </row>
    <row r="122" spans="1:241">
      <c r="A122" s="21"/>
      <c r="C122" s="5" t="s">
        <v>888</v>
      </c>
      <c r="D122" s="11">
        <v>-0.26</v>
      </c>
      <c r="E122" s="11">
        <v>0.14000000000000001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6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26"/>
      <c r="HN122" s="26"/>
      <c r="HO122" s="26"/>
      <c r="HP122" s="26"/>
      <c r="HQ122" s="26"/>
      <c r="HR122" s="26"/>
      <c r="HS122" s="26"/>
      <c r="HT122" s="26"/>
      <c r="HU122" s="26"/>
      <c r="HV122" s="26"/>
      <c r="HW122" s="26"/>
      <c r="HX122" s="26"/>
      <c r="HY122" s="26"/>
      <c r="HZ122" s="26"/>
      <c r="IA122" s="26"/>
      <c r="IB122" s="26"/>
      <c r="IC122" s="26"/>
      <c r="ID122" s="26"/>
      <c r="IE122" s="26"/>
      <c r="IF122" s="26"/>
      <c r="IG122" s="26"/>
    </row>
    <row r="123" spans="1:241">
      <c r="A123" s="21"/>
      <c r="C123" s="5" t="s">
        <v>889</v>
      </c>
      <c r="D123" s="11">
        <v>-0.34</v>
      </c>
      <c r="E123" s="11">
        <v>0.17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6"/>
      <c r="IG123" s="26"/>
    </row>
    <row r="124" spans="1:241">
      <c r="A124" s="21"/>
      <c r="C124" s="5" t="s">
        <v>890</v>
      </c>
      <c r="D124" s="11">
        <v>-0.3</v>
      </c>
      <c r="E124" s="11">
        <v>0.14000000000000001</v>
      </c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6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6"/>
      <c r="IG124" s="26"/>
    </row>
    <row r="125" spans="1:241">
      <c r="A125" s="28"/>
      <c r="B125" s="14"/>
      <c r="C125" s="15" t="s">
        <v>891</v>
      </c>
      <c r="D125" s="16">
        <v>-0.3</v>
      </c>
      <c r="E125" s="16">
        <v>0.14000000000000001</v>
      </c>
      <c r="F125" s="15"/>
    </row>
    <row r="126" spans="1:241">
      <c r="A126" s="22" t="s">
        <v>878</v>
      </c>
      <c r="B126" s="23" t="s">
        <v>892</v>
      </c>
      <c r="C126" s="24" t="s">
        <v>893</v>
      </c>
      <c r="D126" s="25">
        <v>5.5</v>
      </c>
      <c r="E126" s="25">
        <v>0.2</v>
      </c>
      <c r="F126" s="25">
        <f>AVERAGE(D126:D131)</f>
        <v>5.5150000000000006</v>
      </c>
    </row>
    <row r="127" spans="1:241">
      <c r="A127" s="21"/>
      <c r="C127" s="5" t="s">
        <v>894</v>
      </c>
      <c r="D127" s="11">
        <v>5.48</v>
      </c>
      <c r="E127" s="11">
        <v>0.2</v>
      </c>
      <c r="F127" s="5"/>
    </row>
    <row r="128" spans="1:241">
      <c r="A128" s="21"/>
      <c r="C128" s="5" t="s">
        <v>895</v>
      </c>
      <c r="D128" s="11">
        <v>5.55</v>
      </c>
      <c r="E128" s="11">
        <v>0.22</v>
      </c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</row>
    <row r="129" spans="1:251">
      <c r="A129" s="21"/>
      <c r="C129" s="5" t="s">
        <v>896</v>
      </c>
      <c r="D129" s="11">
        <v>5.32</v>
      </c>
      <c r="E129" s="11">
        <v>0.24</v>
      </c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</row>
    <row r="130" spans="1:251">
      <c r="A130" s="21"/>
      <c r="C130" s="5" t="s">
        <v>897</v>
      </c>
      <c r="D130" s="11">
        <v>5.68</v>
      </c>
      <c r="E130" s="11">
        <v>0.22</v>
      </c>
      <c r="F130" s="5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26"/>
      <c r="GT130" s="26"/>
      <c r="GU130" s="26"/>
      <c r="GV130" s="26"/>
      <c r="GW130" s="26"/>
      <c r="GX130" s="26"/>
      <c r="GY130" s="26"/>
      <c r="GZ130" s="26"/>
      <c r="HA130" s="26"/>
      <c r="HB130" s="26"/>
      <c r="HC130" s="26"/>
      <c r="HD130" s="26"/>
      <c r="HE130" s="26"/>
      <c r="HF130" s="26"/>
      <c r="HG130" s="26"/>
      <c r="HH130" s="26"/>
      <c r="HI130" s="26"/>
      <c r="HJ130" s="26"/>
      <c r="HK130" s="26"/>
      <c r="HL130" s="26"/>
      <c r="HM130" s="26"/>
      <c r="HN130" s="26"/>
      <c r="HO130" s="26"/>
      <c r="HP130" s="26"/>
      <c r="HQ130" s="26"/>
      <c r="HR130" s="26"/>
      <c r="HS130" s="26"/>
      <c r="HT130" s="26"/>
      <c r="HU130" s="26"/>
      <c r="HV130" s="26"/>
      <c r="HW130" s="26"/>
      <c r="HX130" s="26"/>
      <c r="HY130" s="26"/>
      <c r="HZ130" s="26"/>
      <c r="IA130" s="26"/>
      <c r="IB130" s="26"/>
      <c r="IC130" s="26"/>
      <c r="ID130" s="26"/>
      <c r="IE130" s="26"/>
      <c r="IF130" s="26"/>
      <c r="IG130" s="26"/>
    </row>
    <row r="131" spans="1:251">
      <c r="A131" s="28"/>
      <c r="B131" s="14"/>
      <c r="C131" s="15" t="s">
        <v>898</v>
      </c>
      <c r="D131" s="16">
        <v>5.56</v>
      </c>
      <c r="E131" s="16">
        <v>0.22</v>
      </c>
      <c r="F131" s="15"/>
      <c r="G131" s="29"/>
      <c r="H131" s="26"/>
      <c r="I131" s="33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  <c r="GR131" s="26"/>
      <c r="GS131" s="26"/>
      <c r="GT131" s="26"/>
      <c r="GU131" s="26"/>
      <c r="GV131" s="26"/>
      <c r="GW131" s="26"/>
      <c r="GX131" s="26"/>
      <c r="GY131" s="26"/>
      <c r="GZ131" s="26"/>
      <c r="HA131" s="26"/>
      <c r="HB131" s="26"/>
      <c r="HC131" s="26"/>
      <c r="HD131" s="26"/>
      <c r="HE131" s="26"/>
      <c r="HF131" s="26"/>
      <c r="HG131" s="26"/>
      <c r="HH131" s="26"/>
      <c r="HI131" s="26"/>
      <c r="HJ131" s="26"/>
      <c r="HK131" s="26"/>
      <c r="HL131" s="26"/>
      <c r="HM131" s="26"/>
      <c r="HN131" s="26"/>
      <c r="HO131" s="26"/>
      <c r="HP131" s="26"/>
      <c r="HQ131" s="26"/>
      <c r="HR131" s="26"/>
      <c r="HS131" s="26"/>
      <c r="HT131" s="26"/>
      <c r="HU131" s="26"/>
      <c r="HV131" s="26"/>
      <c r="HW131" s="26"/>
      <c r="HX131" s="26"/>
      <c r="HY131" s="26"/>
      <c r="HZ131" s="26"/>
      <c r="IA131" s="26"/>
      <c r="IB131" s="26"/>
      <c r="IC131" s="26"/>
      <c r="ID131" s="26"/>
      <c r="IE131" s="26"/>
      <c r="IF131" s="26"/>
      <c r="IG131" s="26"/>
      <c r="IH131" s="26"/>
      <c r="II131" s="26"/>
      <c r="IJ131" s="26"/>
      <c r="IK131" s="26"/>
      <c r="IL131" s="26"/>
      <c r="IM131" s="26"/>
      <c r="IN131" s="26"/>
      <c r="IO131" s="26"/>
      <c r="IP131" s="26"/>
      <c r="IQ131" s="26"/>
    </row>
    <row r="132" spans="1:251">
      <c r="A132" s="19" t="s">
        <v>899</v>
      </c>
      <c r="B132" s="4" t="s">
        <v>900</v>
      </c>
      <c r="C132" s="5" t="s">
        <v>901</v>
      </c>
      <c r="D132" s="11">
        <v>1.17</v>
      </c>
      <c r="E132" s="11">
        <v>0.17</v>
      </c>
      <c r="F132" s="11">
        <f>AVERAGE(D132:D135)</f>
        <v>1.2775000000000001</v>
      </c>
      <c r="G132" s="30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  <c r="FS132" s="34"/>
      <c r="FT132" s="34"/>
      <c r="FU132" s="34"/>
      <c r="FV132" s="34"/>
      <c r="FW132" s="34"/>
      <c r="FX132" s="34"/>
      <c r="FY132" s="34"/>
      <c r="FZ132" s="34"/>
      <c r="GA132" s="34"/>
      <c r="GB132" s="34"/>
      <c r="GC132" s="34"/>
      <c r="GD132" s="34"/>
      <c r="GE132" s="34"/>
      <c r="GF132" s="34"/>
      <c r="GG132" s="34"/>
      <c r="GH132" s="34"/>
      <c r="GI132" s="34"/>
      <c r="GJ132" s="34"/>
      <c r="GK132" s="34"/>
      <c r="GL132" s="34"/>
      <c r="GM132" s="34"/>
      <c r="GN132" s="34"/>
      <c r="GO132" s="34"/>
      <c r="GP132" s="34"/>
      <c r="GQ132" s="34"/>
      <c r="GR132" s="34"/>
      <c r="GS132" s="34"/>
      <c r="GT132" s="34"/>
      <c r="GU132" s="34"/>
      <c r="GV132" s="34"/>
      <c r="GW132" s="34"/>
      <c r="GX132" s="34"/>
      <c r="GY132" s="34"/>
      <c r="GZ132" s="34"/>
      <c r="HA132" s="34"/>
      <c r="HB132" s="34"/>
      <c r="HC132" s="34"/>
      <c r="HD132" s="34"/>
      <c r="HE132" s="34"/>
      <c r="HF132" s="34"/>
      <c r="HG132" s="34"/>
      <c r="HH132" s="34"/>
      <c r="HI132" s="34"/>
      <c r="HJ132" s="34"/>
      <c r="HK132" s="34"/>
      <c r="HL132" s="34"/>
      <c r="HM132" s="34"/>
      <c r="HN132" s="34"/>
      <c r="HO132" s="34"/>
      <c r="HP132" s="34"/>
      <c r="HQ132" s="34"/>
      <c r="HR132" s="34"/>
      <c r="HS132" s="34"/>
      <c r="HT132" s="34"/>
      <c r="HU132" s="34"/>
      <c r="HV132" s="34"/>
      <c r="HW132" s="34"/>
      <c r="HX132" s="34"/>
      <c r="HY132" s="34"/>
      <c r="HZ132" s="34"/>
      <c r="IA132" s="34"/>
      <c r="IB132" s="34"/>
      <c r="IC132" s="34"/>
      <c r="ID132" s="34"/>
      <c r="IE132" s="34"/>
      <c r="IF132" s="34"/>
      <c r="IG132" s="34"/>
      <c r="IH132" s="34"/>
      <c r="II132" s="34"/>
      <c r="IJ132" s="34"/>
      <c r="IK132" s="34"/>
      <c r="IL132" s="34"/>
      <c r="IM132" s="34"/>
      <c r="IN132" s="34"/>
      <c r="IO132" s="34"/>
      <c r="IP132" s="34"/>
      <c r="IQ132" s="34"/>
    </row>
    <row r="133" spans="1:251">
      <c r="A133" s="21"/>
      <c r="C133" s="5" t="s">
        <v>902</v>
      </c>
      <c r="D133" s="11">
        <v>1.41</v>
      </c>
      <c r="E133" s="11">
        <v>0.19</v>
      </c>
      <c r="F133" s="5"/>
    </row>
    <row r="134" spans="1:251">
      <c r="A134" s="21"/>
      <c r="C134" s="5" t="s">
        <v>903</v>
      </c>
      <c r="D134" s="11">
        <v>1.24</v>
      </c>
      <c r="E134" s="11">
        <v>0.13</v>
      </c>
      <c r="F134" s="5"/>
    </row>
    <row r="135" spans="1:251" ht="15.6" thickBot="1">
      <c r="A135" s="31"/>
      <c r="B135" s="8"/>
      <c r="C135" s="9" t="s">
        <v>904</v>
      </c>
      <c r="D135" s="32">
        <v>1.29</v>
      </c>
      <c r="E135" s="32">
        <v>0.16</v>
      </c>
      <c r="F135" s="9"/>
    </row>
    <row r="136" spans="1:251">
      <c r="A136" s="12" t="s">
        <v>905</v>
      </c>
    </row>
  </sheetData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5F4B57-2D1D-4E71-9153-7C29AF9F438D}"/>
</file>

<file path=customXml/itemProps2.xml><?xml version="1.0" encoding="utf-8"?>
<ds:datastoreItem xmlns:ds="http://schemas.openxmlformats.org/officeDocument/2006/customXml" ds:itemID="{7CAE3430-D333-4131-B945-C2E3148606C1}"/>
</file>

<file path=customXml/itemProps3.xml><?xml version="1.0" encoding="utf-8"?>
<ds:datastoreItem xmlns:ds="http://schemas.openxmlformats.org/officeDocument/2006/customXml" ds:itemID="{BF6FC707-557F-4D27-B12B-B536D4E70E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孟兴伟</dc:creator>
  <cp:keywords/>
  <dc:description/>
  <cp:lastModifiedBy>Xingwei Meng</cp:lastModifiedBy>
  <cp:revision/>
  <dcterms:created xsi:type="dcterms:W3CDTF">2021-11-23T07:19:00Z</dcterms:created>
  <dcterms:modified xsi:type="dcterms:W3CDTF">2025-05-02T15:14:55Z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7B8C8809192641E8A7663A9D6A00B9F0</vt:lpwstr>
  </property>
  <property fmtid="{D5CDD505-2E9C-101B-9397-08002B2CF9AE}" pid="3" name="KSOProductBuildVer">
    <vt:lpwstr>2052-11.1.0.12358</vt:lpwstr>
  </property>
  <property fmtid="{D5CDD505-2E9C-101B-9397-08002B2CF9AE}" pid="4" name="ContentTypeId">
    <vt:lpwstr>0x010100E89770C754368F49BB2A63D8816AD496</vt:lpwstr>
  </property>
</Properties>
</file>