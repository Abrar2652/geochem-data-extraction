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oimspp.sharepoint.com/sites/CMMIproject/Shared Documents/Sphalerite_chemistry/Papers/Spreadsheets/"/>
    </mc:Choice>
  </mc:AlternateContent>
  <xr:revisionPtr revIDLastSave="43" documentId="13_ncr:1_{48179B8F-943E-3740-85FC-A7D3005A651F}" xr6:coauthVersionLast="47" xr6:coauthVersionMax="47" xr10:uidLastSave="{91711E02-ED56-42F5-9815-201FA798D7B1}"/>
  <bookViews>
    <workbookView xWindow="86295" yWindow="8700" windowWidth="11355" windowHeight="17385" xr2:uid="{4182DEA2-C514-B84A-A4D1-DA64E2690150}"/>
  </bookViews>
  <sheets>
    <sheet name="Table 2 EPM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9" i="2" l="1"/>
  <c r="I59" i="2"/>
  <c r="H59" i="2"/>
  <c r="G59" i="2"/>
  <c r="F59" i="2"/>
  <c r="E59" i="2"/>
  <c r="D59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4" i="2"/>
  <c r="R49" i="2"/>
  <c r="R48" i="2"/>
  <c r="R47" i="2"/>
  <c r="R46" i="2"/>
  <c r="R45" i="2"/>
  <c r="R44" i="2"/>
  <c r="R43" i="2"/>
  <c r="R42" i="2"/>
  <c r="R41" i="2"/>
  <c r="R40" i="2"/>
  <c r="R39" i="2"/>
  <c r="R38" i="2"/>
  <c r="R37" i="2"/>
  <c r="R36" i="2"/>
  <c r="R35" i="2"/>
  <c r="R34" i="2"/>
  <c r="R33" i="2"/>
  <c r="R32" i="2"/>
  <c r="R31" i="2"/>
  <c r="R30" i="2"/>
  <c r="R29" i="2"/>
  <c r="R28" i="2"/>
  <c r="R27" i="2"/>
  <c r="R26" i="2"/>
  <c r="R25" i="2"/>
  <c r="R24" i="2"/>
  <c r="R23" i="2"/>
  <c r="R22" i="2"/>
  <c r="R21" i="2"/>
  <c r="R20" i="2"/>
  <c r="R19" i="2"/>
  <c r="R18" i="2"/>
  <c r="R17" i="2"/>
  <c r="R16" i="2"/>
  <c r="R15" i="2"/>
  <c r="R14" i="2"/>
  <c r="R13" i="2"/>
  <c r="R12" i="2"/>
  <c r="R11" i="2"/>
  <c r="R10" i="2"/>
  <c r="R9" i="2"/>
  <c r="R8" i="2"/>
  <c r="R7" i="2"/>
  <c r="R6" i="2"/>
  <c r="R5" i="2"/>
  <c r="R4" i="2"/>
  <c r="Q49" i="2"/>
  <c r="Q48" i="2"/>
  <c r="Q47" i="2"/>
  <c r="Q46" i="2"/>
  <c r="Q45" i="2"/>
  <c r="Q44" i="2"/>
  <c r="Q43" i="2"/>
  <c r="Q42" i="2"/>
  <c r="Q41" i="2"/>
  <c r="Q40" i="2"/>
  <c r="Q39" i="2"/>
  <c r="Q38" i="2"/>
  <c r="Q37" i="2"/>
  <c r="Q36" i="2"/>
  <c r="Q35" i="2"/>
  <c r="Q34" i="2"/>
  <c r="Q33" i="2"/>
  <c r="Q32" i="2"/>
  <c r="Q31" i="2"/>
  <c r="Q30" i="2"/>
  <c r="Q29" i="2"/>
  <c r="Q28" i="2"/>
  <c r="Q27" i="2"/>
  <c r="Q26" i="2"/>
  <c r="Q25" i="2"/>
  <c r="Q24" i="2"/>
  <c r="Q23" i="2"/>
  <c r="Q22" i="2"/>
  <c r="Q21" i="2"/>
  <c r="Q20" i="2"/>
  <c r="Q19" i="2"/>
  <c r="Q18" i="2"/>
  <c r="Q17" i="2"/>
  <c r="Q16" i="2"/>
  <c r="Q15" i="2"/>
  <c r="Q14" i="2"/>
  <c r="Q13" i="2"/>
  <c r="Q12" i="2"/>
  <c r="Q11" i="2"/>
  <c r="Q10" i="2"/>
  <c r="Q9" i="2"/>
  <c r="Q8" i="2"/>
  <c r="Q7" i="2"/>
  <c r="Q6" i="2"/>
  <c r="Q5" i="2"/>
  <c r="Q4" i="2"/>
  <c r="P49" i="2"/>
  <c r="P48" i="2"/>
  <c r="P47" i="2"/>
  <c r="P46" i="2"/>
  <c r="P45" i="2"/>
  <c r="P44" i="2"/>
  <c r="P43" i="2"/>
  <c r="P42" i="2"/>
  <c r="P41" i="2"/>
  <c r="P40" i="2"/>
  <c r="P39" i="2"/>
  <c r="P38" i="2"/>
  <c r="P37" i="2"/>
  <c r="P36" i="2"/>
  <c r="P35" i="2"/>
  <c r="P34" i="2"/>
  <c r="P33" i="2"/>
  <c r="P32" i="2"/>
  <c r="P31" i="2"/>
  <c r="P30" i="2"/>
  <c r="P29" i="2"/>
  <c r="P28" i="2"/>
  <c r="P27" i="2"/>
  <c r="P26" i="2"/>
  <c r="P25" i="2"/>
  <c r="P24" i="2"/>
  <c r="P23" i="2"/>
  <c r="P22" i="2"/>
  <c r="P21" i="2"/>
  <c r="P20" i="2"/>
  <c r="P19" i="2"/>
  <c r="P18" i="2"/>
  <c r="P17" i="2"/>
  <c r="P16" i="2"/>
  <c r="P15" i="2"/>
  <c r="P14" i="2"/>
  <c r="P13" i="2"/>
  <c r="P12" i="2"/>
  <c r="P11" i="2"/>
  <c r="P10" i="2"/>
  <c r="P9" i="2"/>
  <c r="P8" i="2"/>
  <c r="P7" i="2"/>
  <c r="P6" i="2"/>
  <c r="P5" i="2"/>
  <c r="P4" i="2"/>
  <c r="O49" i="2"/>
  <c r="O48" i="2"/>
  <c r="O47" i="2"/>
  <c r="O46" i="2"/>
  <c r="O45" i="2"/>
  <c r="O44" i="2"/>
  <c r="O43" i="2"/>
  <c r="O42" i="2"/>
  <c r="O41" i="2"/>
  <c r="O40" i="2"/>
  <c r="O39" i="2"/>
  <c r="O38" i="2"/>
  <c r="O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O5" i="2"/>
  <c r="O4" i="2"/>
  <c r="N49" i="2"/>
  <c r="N48" i="2"/>
  <c r="N47" i="2"/>
  <c r="N46" i="2"/>
  <c r="N45" i="2"/>
  <c r="N44" i="2"/>
  <c r="N43" i="2"/>
  <c r="N42" i="2"/>
  <c r="N41" i="2"/>
  <c r="N40" i="2"/>
  <c r="N39" i="2"/>
  <c r="N38" i="2"/>
  <c r="N37" i="2"/>
  <c r="N36" i="2"/>
  <c r="N35" i="2"/>
  <c r="N34" i="2"/>
  <c r="N33" i="2"/>
  <c r="N32" i="2"/>
  <c r="N31" i="2"/>
  <c r="N30" i="2"/>
  <c r="N29" i="2"/>
  <c r="N28" i="2"/>
  <c r="N27" i="2"/>
  <c r="N26" i="2"/>
  <c r="N25" i="2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N9" i="2"/>
  <c r="N8" i="2"/>
  <c r="N7" i="2"/>
  <c r="N6" i="2"/>
  <c r="N5" i="2"/>
  <c r="N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4" i="2"/>
  <c r="E54" i="2"/>
  <c r="F54" i="2"/>
  <c r="G54" i="2"/>
  <c r="H54" i="2"/>
  <c r="I54" i="2"/>
  <c r="J54" i="2"/>
  <c r="D54" i="2"/>
  <c r="D51" i="2" l="1"/>
  <c r="E51" i="2"/>
  <c r="F51" i="2"/>
  <c r="G51" i="2"/>
  <c r="H51" i="2"/>
  <c r="I51" i="2"/>
  <c r="J51" i="2"/>
  <c r="D52" i="2"/>
  <c r="E52" i="2"/>
  <c r="F52" i="2"/>
  <c r="G52" i="2"/>
  <c r="H52" i="2"/>
  <c r="I52" i="2"/>
  <c r="J52" i="2"/>
  <c r="D53" i="2"/>
  <c r="E53" i="2"/>
  <c r="F53" i="2"/>
  <c r="G53" i="2"/>
  <c r="H53" i="2"/>
  <c r="I53" i="2"/>
  <c r="J53" i="2"/>
  <c r="D55" i="2"/>
  <c r="E55" i="2"/>
  <c r="F55" i="2"/>
  <c r="G55" i="2"/>
  <c r="H55" i="2"/>
  <c r="I55" i="2"/>
  <c r="J55" i="2"/>
  <c r="K49" i="2"/>
  <c r="K48" i="2"/>
  <c r="K47" i="2"/>
  <c r="K46" i="2"/>
  <c r="K45" i="2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0" i="2"/>
  <c r="K19" i="2"/>
  <c r="K18" i="2"/>
  <c r="K17" i="2"/>
  <c r="K16" i="2"/>
  <c r="K15" i="2"/>
  <c r="K14" i="2"/>
  <c r="K13" i="2"/>
  <c r="K12" i="2"/>
  <c r="K11" i="2"/>
  <c r="K10" i="2"/>
  <c r="K9" i="2"/>
  <c r="K6" i="2"/>
  <c r="K5" i="2"/>
  <c r="K4" i="2"/>
</calcChain>
</file>

<file path=xl/sharedStrings.xml><?xml version="1.0" encoding="utf-8"?>
<sst xmlns="http://schemas.openxmlformats.org/spreadsheetml/2006/main" count="266" uniqueCount="84">
  <si>
    <t>sp1</t>
  </si>
  <si>
    <t>b.d.l.</t>
  </si>
  <si>
    <t>sp2</t>
  </si>
  <si>
    <t>sp3</t>
  </si>
  <si>
    <t>min</t>
  </si>
  <si>
    <t>max</t>
  </si>
  <si>
    <t>average</t>
  </si>
  <si>
    <t>sigma</t>
  </si>
  <si>
    <t>FA17a_L1 001</t>
  </si>
  <si>
    <t>FA17a_L1 002</t>
  </si>
  <si>
    <t>FA17a_L1 003</t>
  </si>
  <si>
    <t>FA17a_L1 004</t>
  </si>
  <si>
    <t>FA17a_L1 005</t>
  </si>
  <si>
    <t>FA17a_L1 006</t>
  </si>
  <si>
    <t>FA17a_L1 007</t>
  </si>
  <si>
    <t>FA17a_L1 008</t>
  </si>
  <si>
    <t>FA17a_L1 009</t>
  </si>
  <si>
    <t>FA17a_L1 010</t>
  </si>
  <si>
    <t>FA17a_L1 013</t>
  </si>
  <si>
    <t>FA17a_L1 018</t>
  </si>
  <si>
    <t>FA17a_L1 020</t>
  </si>
  <si>
    <t>FA17a_L2 005</t>
  </si>
  <si>
    <t>FA17a_L2 006</t>
  </si>
  <si>
    <t>FA17a_L2 009</t>
  </si>
  <si>
    <t>FA17a_L2 010</t>
  </si>
  <si>
    <t>FA17a_L2 011</t>
  </si>
  <si>
    <t>FA17a_L2 012</t>
  </si>
  <si>
    <t>FA17a_L3 001</t>
  </si>
  <si>
    <t>FA17a_L3 004</t>
  </si>
  <si>
    <t>FA17a_L3 005</t>
  </si>
  <si>
    <t>FA17a_L3 006</t>
  </si>
  <si>
    <t>FA17a_L3 007</t>
  </si>
  <si>
    <t>FA17a_L3 008</t>
  </si>
  <si>
    <t>FA17a_L3 009</t>
  </si>
  <si>
    <t>FA17a_L3 010</t>
  </si>
  <si>
    <t>FA17a_L4 001</t>
  </si>
  <si>
    <t>FA17a_L4 002</t>
  </si>
  <si>
    <t>FA17a_L4 003</t>
  </si>
  <si>
    <t>FA17a_L4 004</t>
  </si>
  <si>
    <t>FA17a_L4 005</t>
  </si>
  <si>
    <t>FA17a_L4 006</t>
  </si>
  <si>
    <t>FA17a_L4 007</t>
  </si>
  <si>
    <t>FA17a_L4 010</t>
  </si>
  <si>
    <t>FA11d_L2 sp 001</t>
  </si>
  <si>
    <t>FA11d_L2 sp 002</t>
  </si>
  <si>
    <t>FA11d_L2 sp 003</t>
  </si>
  <si>
    <t>FA11d_L2 sp 004</t>
  </si>
  <si>
    <t>FA11d_L2 sp 005</t>
  </si>
  <si>
    <t>FA11d_L2 sp 006</t>
  </si>
  <si>
    <t>FA11d_L3 sp 001</t>
  </si>
  <si>
    <t>FA11d_L3 sp 003</t>
  </si>
  <si>
    <t>FA11d_L3 sp 004</t>
  </si>
  <si>
    <t>FA11d_L3 sp 005</t>
  </si>
  <si>
    <t>FA11d_L3 sp 006</t>
  </si>
  <si>
    <t>S</t>
  </si>
  <si>
    <t>Mn</t>
  </si>
  <si>
    <t>Fe</t>
  </si>
  <si>
    <t>Co</t>
  </si>
  <si>
    <t>Cu</t>
  </si>
  <si>
    <t>Zn</t>
  </si>
  <si>
    <t>Cd</t>
  </si>
  <si>
    <t>L</t>
  </si>
  <si>
    <t>R</t>
  </si>
  <si>
    <t>W</t>
  </si>
  <si>
    <t>Y</t>
  </si>
  <si>
    <t>B</t>
  </si>
  <si>
    <t>D</t>
  </si>
  <si>
    <t>colour</t>
  </si>
  <si>
    <t>type</t>
  </si>
  <si>
    <t>S wt%</t>
  </si>
  <si>
    <t>Mn wt%</t>
  </si>
  <si>
    <t>Fe wt%</t>
  </si>
  <si>
    <t>Co wt%</t>
  </si>
  <si>
    <t>Cu wt%</t>
  </si>
  <si>
    <t>Zn wt%</t>
  </si>
  <si>
    <t>Cd wt%</t>
  </si>
  <si>
    <t>Total</t>
  </si>
  <si>
    <t>colour legend: W (colourless) - L (Light Yellow) - Y (Yellow) - B (Brown) - R (Reddish Brown) - D (Dark Brown)</t>
  </si>
  <si>
    <t>analysis spots</t>
  </si>
  <si>
    <t>D.L.</t>
  </si>
  <si>
    <t>below detection limit</t>
  </si>
  <si>
    <t>n° of analyses</t>
  </si>
  <si>
    <t>median</t>
  </si>
  <si>
    <r>
      <rPr>
        <b/>
        <sz val="11"/>
        <rFont val="Helvetica"/>
        <family val="2"/>
      </rPr>
      <t>Table S2</t>
    </r>
    <r>
      <rPr>
        <sz val="11"/>
        <rFont val="Helvetica"/>
        <family val="2"/>
      </rPr>
      <t>. EPMA analysis (wt%) of sphalerite from the Fonte Argentila area (FAR)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</si>
</sst>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Helvetica"/>
      <family val="2"/>
    </font>
    <font>
      <sz val="11"/>
      <color theme="1"/>
      <name val="Helvetica"/>
      <family val="2"/>
    </font>
    <font>
      <sz val="11"/>
      <color theme="1"/>
      <name val="Calibri"/>
      <family val="2"/>
      <scheme val="minor"/>
    </font>
    <font>
      <b/>
      <sz val="11"/>
      <name val="Helvetica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4" xfId="0" applyFont="1" applyBorder="1" applyAlignment="1">
      <alignment horizontal="center"/>
    </xf>
    <xf numFmtId="2" fontId="2" fillId="0" borderId="6" xfId="0" applyNumberFormat="1" applyFont="1" applyBorder="1" applyAlignment="1">
      <alignment horizontal="left" vertical="center"/>
    </xf>
    <xf numFmtId="2" fontId="2" fillId="0" borderId="0" xfId="0" applyNumberFormat="1" applyFont="1" applyAlignment="1">
      <alignment horizontal="center" vertical="center"/>
    </xf>
    <xf numFmtId="2" fontId="2" fillId="0" borderId="7" xfId="0" applyNumberFormat="1" applyFont="1" applyBorder="1" applyAlignment="1">
      <alignment horizontal="center" vertical="center"/>
    </xf>
    <xf numFmtId="2" fontId="2" fillId="0" borderId="8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center"/>
    </xf>
    <xf numFmtId="2" fontId="2" fillId="0" borderId="1" xfId="0" applyNumberFormat="1" applyFont="1" applyBorder="1" applyAlignment="1">
      <alignment horizontal="center" vertical="center"/>
    </xf>
    <xf numFmtId="2" fontId="2" fillId="0" borderId="9" xfId="0" applyNumberFormat="1" applyFont="1" applyBorder="1" applyAlignment="1">
      <alignment horizontal="center" vertical="center"/>
    </xf>
    <xf numFmtId="0" fontId="2" fillId="0" borderId="4" xfId="0" applyFont="1" applyBorder="1"/>
    <xf numFmtId="2" fontId="2" fillId="0" borderId="0" xfId="0" applyNumberFormat="1" applyFont="1" applyAlignment="1">
      <alignment horizontal="center"/>
    </xf>
    <xf numFmtId="2" fontId="2" fillId="0" borderId="7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2" fontId="2" fillId="0" borderId="9" xfId="0" applyNumberFormat="1" applyFont="1" applyBorder="1" applyAlignment="1">
      <alignment horizontal="center"/>
    </xf>
    <xf numFmtId="0" fontId="3" fillId="0" borderId="11" xfId="0" applyFont="1" applyBorder="1" applyAlignment="1">
      <alignment horizontal="left"/>
    </xf>
    <xf numFmtId="164" fontId="2" fillId="0" borderId="10" xfId="0" applyNumberFormat="1" applyFont="1" applyBorder="1" applyAlignment="1">
      <alignment horizontal="center" vertical="center"/>
    </xf>
    <xf numFmtId="164" fontId="2" fillId="0" borderId="11" xfId="0" applyNumberFormat="1" applyFont="1" applyBorder="1" applyAlignment="1">
      <alignment horizontal="center" vertical="center"/>
    </xf>
    <xf numFmtId="164" fontId="2" fillId="0" borderId="12" xfId="0" applyNumberFormat="1" applyFont="1" applyBorder="1" applyAlignment="1">
      <alignment horizontal="center" vertical="center"/>
    </xf>
    <xf numFmtId="0" fontId="4" fillId="0" borderId="0" xfId="0" applyFont="1"/>
    <xf numFmtId="164" fontId="2" fillId="0" borderId="5" xfId="0" applyNumberFormat="1" applyFont="1" applyBorder="1" applyAlignment="1">
      <alignment horizontal="center" vertical="center"/>
    </xf>
    <xf numFmtId="0" fontId="2" fillId="0" borderId="3" xfId="0" applyFont="1" applyBorder="1"/>
    <xf numFmtId="164" fontId="2" fillId="0" borderId="4" xfId="0" applyNumberFormat="1" applyFont="1" applyBorder="1" applyAlignment="1">
      <alignment horizontal="center"/>
    </xf>
    <xf numFmtId="164" fontId="2" fillId="0" borderId="5" xfId="0" applyNumberFormat="1" applyFont="1" applyBorder="1" applyAlignment="1">
      <alignment horizontal="center"/>
    </xf>
    <xf numFmtId="0" fontId="2" fillId="0" borderId="6" xfId="0" applyFont="1" applyBorder="1"/>
    <xf numFmtId="164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2" fillId="0" borderId="8" xfId="0" applyFont="1" applyBorder="1"/>
    <xf numFmtId="0" fontId="3" fillId="0" borderId="10" xfId="0" applyFont="1" applyBorder="1" applyAlignment="1">
      <alignment horizontal="left"/>
    </xf>
    <xf numFmtId="164" fontId="3" fillId="0" borderId="0" xfId="0" applyNumberFormat="1" applyFont="1" applyAlignment="1">
      <alignment horizontal="center"/>
    </xf>
    <xf numFmtId="164" fontId="2" fillId="0" borderId="2" xfId="0" applyNumberFormat="1" applyFont="1" applyBorder="1" applyAlignment="1">
      <alignment horizontal="center" vertical="center"/>
    </xf>
    <xf numFmtId="2" fontId="2" fillId="0" borderId="6" xfId="0" applyNumberFormat="1" applyFont="1" applyBorder="1" applyAlignment="1">
      <alignment horizontal="left"/>
    </xf>
    <xf numFmtId="164" fontId="2" fillId="0" borderId="6" xfId="0" applyNumberFormat="1" applyFont="1" applyBorder="1" applyAlignment="1">
      <alignment horizontal="center"/>
    </xf>
    <xf numFmtId="164" fontId="2" fillId="0" borderId="13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 vertical="center"/>
    </xf>
    <xf numFmtId="164" fontId="2" fillId="0" borderId="6" xfId="0" applyNumberFormat="1" applyFont="1" applyBorder="1" applyAlignment="1">
      <alignment horizontal="left" vertical="center"/>
    </xf>
    <xf numFmtId="164" fontId="2" fillId="0" borderId="7" xfId="0" applyNumberFormat="1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4" fontId="2" fillId="0" borderId="8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2" fillId="0" borderId="14" xfId="0" applyNumberFormat="1" applyFont="1" applyBorder="1" applyAlignment="1">
      <alignment horizontal="center"/>
    </xf>
    <xf numFmtId="164" fontId="2" fillId="0" borderId="0" xfId="0" applyNumberFormat="1" applyFont="1" applyAlignment="1">
      <alignment horizontal="left" vertical="center"/>
    </xf>
    <xf numFmtId="0" fontId="1" fillId="0" borderId="3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2" fillId="0" borderId="7" xfId="0" applyFont="1" applyBorder="1"/>
    <xf numFmtId="0" fontId="2" fillId="0" borderId="1" xfId="0" applyFont="1" applyBorder="1"/>
    <xf numFmtId="164" fontId="2" fillId="0" borderId="4" xfId="0" applyNumberFormat="1" applyFont="1" applyBorder="1" applyAlignment="1">
      <alignment horizontal="center" vertical="center"/>
    </xf>
    <xf numFmtId="164" fontId="2" fillId="0" borderId="9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164" fontId="2" fillId="0" borderId="2" xfId="0" applyNumberFormat="1" applyFont="1" applyBorder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2F283-5CE3-0345-94FA-D3838D9295CA}">
  <dimension ref="A1:S60"/>
  <sheetViews>
    <sheetView tabSelected="1" topLeftCell="I3" workbookViewId="0">
      <selection activeCell="P4" sqref="P4:P49"/>
    </sheetView>
  </sheetViews>
  <sheetFormatPr defaultColWidth="10.85546875" defaultRowHeight="14.15" x14ac:dyDescent="0.35"/>
  <cols>
    <col min="1" max="1" width="17.5" style="43" bestFit="1" customWidth="1"/>
    <col min="2" max="2" width="6.85546875" style="1" bestFit="1" customWidth="1"/>
    <col min="3" max="3" width="8.640625" style="1" bestFit="1" customWidth="1"/>
    <col min="4" max="11" width="9.140625" style="1" customWidth="1"/>
    <col min="12" max="12" width="7.5" style="1" bestFit="1" customWidth="1"/>
    <col min="13" max="13" width="10.35546875" style="1" bestFit="1" customWidth="1"/>
    <col min="14" max="14" width="8.92578125" style="1" bestFit="1" customWidth="1"/>
    <col min="15" max="15" width="7.5" style="1" bestFit="1" customWidth="1"/>
    <col min="16" max="16" width="6.5" style="1" bestFit="1" customWidth="1"/>
    <col min="17" max="17" width="7.5" style="1" bestFit="1" customWidth="1"/>
    <col min="18" max="18" width="8.140625" style="1" bestFit="1" customWidth="1"/>
    <col min="19" max="16384" width="10.85546875" style="3"/>
  </cols>
  <sheetData>
    <row r="1" spans="1:19" x14ac:dyDescent="0.35">
      <c r="A1" s="51" t="s">
        <v>83</v>
      </c>
      <c r="B1" s="51"/>
      <c r="C1" s="51"/>
      <c r="D1" s="51"/>
      <c r="E1" s="51"/>
      <c r="F1" s="51"/>
      <c r="G1" s="51"/>
      <c r="H1" s="51"/>
      <c r="I1" s="51"/>
      <c r="J1" s="51"/>
      <c r="K1" s="51"/>
    </row>
    <row r="2" spans="1:19" x14ac:dyDescent="0.35">
      <c r="A2" s="51" t="s">
        <v>77</v>
      </c>
      <c r="B2" s="51"/>
      <c r="C2" s="51"/>
      <c r="D2" s="51"/>
      <c r="E2" s="51"/>
      <c r="F2" s="51"/>
      <c r="G2" s="51"/>
      <c r="H2" s="51"/>
      <c r="I2" s="51"/>
      <c r="J2" s="51"/>
      <c r="K2" s="51"/>
    </row>
    <row r="3" spans="1:19" x14ac:dyDescent="0.35">
      <c r="A3" s="18" t="s">
        <v>78</v>
      </c>
      <c r="B3" s="19" t="s">
        <v>67</v>
      </c>
      <c r="C3" s="20" t="s">
        <v>68</v>
      </c>
      <c r="D3" s="18" t="s">
        <v>69</v>
      </c>
      <c r="E3" s="19" t="s">
        <v>70</v>
      </c>
      <c r="F3" s="19" t="s">
        <v>71</v>
      </c>
      <c r="G3" s="19" t="s">
        <v>72</v>
      </c>
      <c r="H3" s="19" t="s">
        <v>73</v>
      </c>
      <c r="I3" s="19" t="s">
        <v>74</v>
      </c>
      <c r="J3" s="19" t="s">
        <v>75</v>
      </c>
      <c r="K3" s="32" t="s">
        <v>76</v>
      </c>
      <c r="L3" s="6"/>
      <c r="M3" s="18" t="s">
        <v>69</v>
      </c>
      <c r="N3" s="19" t="s">
        <v>70</v>
      </c>
      <c r="O3" s="19" t="s">
        <v>71</v>
      </c>
      <c r="P3" s="19" t="s">
        <v>72</v>
      </c>
      <c r="Q3" s="19" t="s">
        <v>73</v>
      </c>
      <c r="R3" s="19" t="s">
        <v>74</v>
      </c>
      <c r="S3" s="19" t="s">
        <v>75</v>
      </c>
    </row>
    <row r="4" spans="1:19" x14ac:dyDescent="0.35">
      <c r="A4" s="33" t="s">
        <v>8</v>
      </c>
      <c r="B4" s="13" t="s">
        <v>61</v>
      </c>
      <c r="C4" s="14" t="s">
        <v>0</v>
      </c>
      <c r="D4" s="34">
        <v>31.78</v>
      </c>
      <c r="E4" s="27">
        <v>2.2499999999999999E-2</v>
      </c>
      <c r="F4" s="27">
        <v>1.77</v>
      </c>
      <c r="G4" s="27" t="s">
        <v>1</v>
      </c>
      <c r="H4" s="27" t="s">
        <v>1</v>
      </c>
      <c r="I4" s="27">
        <v>62.37</v>
      </c>
      <c r="J4" s="27">
        <v>0.18329999999999999</v>
      </c>
      <c r="K4" s="35">
        <f>SUM(D4:J4)</f>
        <v>96.125799999999998</v>
      </c>
      <c r="M4" s="52">
        <f>IF(ISNUMBER(D4),D4*10000,-D$58*10000)</f>
        <v>317800</v>
      </c>
      <c r="N4" s="52">
        <f>IF(ISNUMBER(E4),E4*10000,-E$58*10000)</f>
        <v>225</v>
      </c>
      <c r="O4" s="52">
        <f>IF(ISNUMBER(F4),F4*10000,-F$58*10000)</f>
        <v>17700</v>
      </c>
      <c r="P4" s="52">
        <f>IF(ISNUMBER(G4),G4*10000,-G$58*10000)</f>
        <v>-60</v>
      </c>
      <c r="Q4" s="52">
        <f>IF(ISNUMBER(H4),H4*10000,-H$58*10000)</f>
        <v>-240</v>
      </c>
      <c r="R4" s="52">
        <f>IF(ISNUMBER(I4),I4*10000,-I$58*10000)</f>
        <v>623700</v>
      </c>
      <c r="S4" s="52">
        <f>IF(ISNUMBER(J4),J4*10000,-J$58*10000)</f>
        <v>1833</v>
      </c>
    </row>
    <row r="5" spans="1:19" x14ac:dyDescent="0.35">
      <c r="A5" s="33" t="s">
        <v>9</v>
      </c>
      <c r="B5" s="13" t="s">
        <v>62</v>
      </c>
      <c r="C5" s="14" t="s">
        <v>2</v>
      </c>
      <c r="D5" s="34">
        <v>33.67</v>
      </c>
      <c r="E5" s="27" t="s">
        <v>1</v>
      </c>
      <c r="F5" s="27">
        <v>8.75</v>
      </c>
      <c r="G5" s="27">
        <v>5.7999999999999996E-3</v>
      </c>
      <c r="H5" s="27" t="s">
        <v>1</v>
      </c>
      <c r="I5" s="27">
        <v>57.14</v>
      </c>
      <c r="J5" s="27" t="s">
        <v>1</v>
      </c>
      <c r="K5" s="35">
        <f>SUM(D5:J5)</f>
        <v>99.565799999999996</v>
      </c>
      <c r="L5" s="36"/>
      <c r="M5" s="52">
        <f t="shared" ref="M5:R49" si="0">IF(ISNUMBER(D5),D5*10000,-D$58*10000)</f>
        <v>336700</v>
      </c>
      <c r="N5" s="52">
        <f t="shared" si="0"/>
        <v>-140</v>
      </c>
      <c r="O5" s="52">
        <f t="shared" si="0"/>
        <v>87500</v>
      </c>
      <c r="P5" s="52">
        <f t="shared" si="0"/>
        <v>57.999999999999993</v>
      </c>
      <c r="Q5" s="52">
        <f t="shared" si="0"/>
        <v>-240</v>
      </c>
      <c r="R5" s="52">
        <f t="shared" si="0"/>
        <v>571400</v>
      </c>
      <c r="S5" s="52">
        <f t="shared" ref="S5:S49" si="1">IF(ISNUMBER(J5),J5*10000,-J$58*10000)</f>
        <v>-100</v>
      </c>
    </row>
    <row r="6" spans="1:19" x14ac:dyDescent="0.35">
      <c r="A6" s="33" t="s">
        <v>10</v>
      </c>
      <c r="B6" s="13" t="s">
        <v>61</v>
      </c>
      <c r="C6" s="14" t="s">
        <v>0</v>
      </c>
      <c r="D6" s="34">
        <v>32.81</v>
      </c>
      <c r="E6" s="27" t="s">
        <v>1</v>
      </c>
      <c r="F6" s="27">
        <v>2.13</v>
      </c>
      <c r="G6" s="27" t="s">
        <v>1</v>
      </c>
      <c r="H6" s="27" t="s">
        <v>1</v>
      </c>
      <c r="I6" s="27">
        <v>64.19</v>
      </c>
      <c r="J6" s="27">
        <v>0.17699999999999999</v>
      </c>
      <c r="K6" s="35">
        <f>SUM(D6:J6)</f>
        <v>99.307000000000002</v>
      </c>
      <c r="M6" s="52">
        <f t="shared" si="0"/>
        <v>328100</v>
      </c>
      <c r="N6" s="52">
        <f t="shared" si="0"/>
        <v>-140</v>
      </c>
      <c r="O6" s="52">
        <f t="shared" si="0"/>
        <v>21300</v>
      </c>
      <c r="P6" s="52">
        <f t="shared" si="0"/>
        <v>-60</v>
      </c>
      <c r="Q6" s="52">
        <f t="shared" si="0"/>
        <v>-240</v>
      </c>
      <c r="R6" s="52">
        <f t="shared" si="0"/>
        <v>641900</v>
      </c>
      <c r="S6" s="52">
        <f t="shared" si="1"/>
        <v>1770</v>
      </c>
    </row>
    <row r="7" spans="1:19" s="21" customFormat="1" ht="14.6" x14ac:dyDescent="0.4">
      <c r="A7" s="33" t="s">
        <v>11</v>
      </c>
      <c r="B7" s="13" t="s">
        <v>64</v>
      </c>
      <c r="C7" s="14" t="s">
        <v>0</v>
      </c>
      <c r="D7" s="34">
        <v>32.119999999999997</v>
      </c>
      <c r="E7" s="27">
        <v>2.58E-2</v>
      </c>
      <c r="F7" s="27">
        <v>2.39</v>
      </c>
      <c r="G7" s="27" t="s">
        <v>1</v>
      </c>
      <c r="H7" s="27" t="s">
        <v>1</v>
      </c>
      <c r="I7" s="27">
        <v>63.27</v>
      </c>
      <c r="J7" s="27">
        <v>0.29549999999999998</v>
      </c>
      <c r="K7" s="35">
        <v>98.101300000000009</v>
      </c>
      <c r="M7" s="52">
        <f t="shared" si="0"/>
        <v>321200</v>
      </c>
      <c r="N7" s="52">
        <f t="shared" si="0"/>
        <v>258</v>
      </c>
      <c r="O7" s="52">
        <f t="shared" si="0"/>
        <v>23900</v>
      </c>
      <c r="P7" s="52">
        <f t="shared" si="0"/>
        <v>-60</v>
      </c>
      <c r="Q7" s="52">
        <f t="shared" si="0"/>
        <v>-240</v>
      </c>
      <c r="R7" s="52">
        <f t="shared" si="0"/>
        <v>632700</v>
      </c>
      <c r="S7" s="52">
        <f t="shared" si="1"/>
        <v>2955</v>
      </c>
    </row>
    <row r="8" spans="1:19" s="21" customFormat="1" ht="14.6" x14ac:dyDescent="0.4">
      <c r="A8" s="33" t="s">
        <v>12</v>
      </c>
      <c r="B8" s="13" t="s">
        <v>64</v>
      </c>
      <c r="C8" s="14" t="s">
        <v>0</v>
      </c>
      <c r="D8" s="34">
        <v>32.92</v>
      </c>
      <c r="E8" s="27" t="s">
        <v>1</v>
      </c>
      <c r="F8" s="27">
        <v>2.4</v>
      </c>
      <c r="G8" s="27">
        <v>7.4999999999999997E-3</v>
      </c>
      <c r="H8" s="27" t="s">
        <v>1</v>
      </c>
      <c r="I8" s="27">
        <v>63.7</v>
      </c>
      <c r="J8" s="27">
        <v>0.35580000000000001</v>
      </c>
      <c r="K8" s="35">
        <v>99.383300000000006</v>
      </c>
      <c r="M8" s="52">
        <f t="shared" si="0"/>
        <v>329200</v>
      </c>
      <c r="N8" s="52">
        <f t="shared" si="0"/>
        <v>-140</v>
      </c>
      <c r="O8" s="52">
        <f t="shared" si="0"/>
        <v>24000</v>
      </c>
      <c r="P8" s="52">
        <f t="shared" si="0"/>
        <v>75</v>
      </c>
      <c r="Q8" s="52">
        <f t="shared" si="0"/>
        <v>-240</v>
      </c>
      <c r="R8" s="52">
        <f t="shared" si="0"/>
        <v>637000</v>
      </c>
      <c r="S8" s="52">
        <f t="shared" si="1"/>
        <v>3558</v>
      </c>
    </row>
    <row r="9" spans="1:19" x14ac:dyDescent="0.35">
      <c r="A9" s="33" t="s">
        <v>13</v>
      </c>
      <c r="B9" s="13" t="s">
        <v>61</v>
      </c>
      <c r="C9" s="14" t="s">
        <v>0</v>
      </c>
      <c r="D9" s="34">
        <v>33.130000000000003</v>
      </c>
      <c r="E9" s="27" t="s">
        <v>1</v>
      </c>
      <c r="F9" s="27">
        <v>1.55</v>
      </c>
      <c r="G9" s="27" t="s">
        <v>1</v>
      </c>
      <c r="H9" s="27" t="s">
        <v>1</v>
      </c>
      <c r="I9" s="27">
        <v>64.53</v>
      </c>
      <c r="J9" s="27">
        <v>0.1759</v>
      </c>
      <c r="K9" s="35">
        <f t="shared" ref="K9:K20" si="2">SUM(D9:J9)</f>
        <v>99.385900000000007</v>
      </c>
      <c r="M9" s="52">
        <f t="shared" si="0"/>
        <v>331300</v>
      </c>
      <c r="N9" s="52">
        <f t="shared" si="0"/>
        <v>-140</v>
      </c>
      <c r="O9" s="52">
        <f t="shared" si="0"/>
        <v>15500</v>
      </c>
      <c r="P9" s="52">
        <f t="shared" si="0"/>
        <v>-60</v>
      </c>
      <c r="Q9" s="52">
        <f t="shared" si="0"/>
        <v>-240</v>
      </c>
      <c r="R9" s="52">
        <f t="shared" si="0"/>
        <v>645300</v>
      </c>
      <c r="S9" s="52">
        <f t="shared" si="1"/>
        <v>1759</v>
      </c>
    </row>
    <row r="10" spans="1:19" x14ac:dyDescent="0.35">
      <c r="A10" s="33" t="s">
        <v>14</v>
      </c>
      <c r="B10" s="13" t="s">
        <v>61</v>
      </c>
      <c r="C10" s="14" t="s">
        <v>0</v>
      </c>
      <c r="D10" s="34">
        <v>32.799999999999997</v>
      </c>
      <c r="E10" s="27" t="s">
        <v>1</v>
      </c>
      <c r="F10" s="27">
        <v>1.59</v>
      </c>
      <c r="G10" s="27" t="s">
        <v>1</v>
      </c>
      <c r="H10" s="27" t="s">
        <v>1</v>
      </c>
      <c r="I10" s="27">
        <v>64.87</v>
      </c>
      <c r="J10" s="27">
        <v>0.13350000000000001</v>
      </c>
      <c r="K10" s="35">
        <f t="shared" si="2"/>
        <v>99.393500000000003</v>
      </c>
      <c r="M10" s="52">
        <f t="shared" si="0"/>
        <v>328000</v>
      </c>
      <c r="N10" s="52">
        <f t="shared" si="0"/>
        <v>-140</v>
      </c>
      <c r="O10" s="52">
        <f t="shared" si="0"/>
        <v>15900</v>
      </c>
      <c r="P10" s="52">
        <f t="shared" si="0"/>
        <v>-60</v>
      </c>
      <c r="Q10" s="52">
        <f t="shared" si="0"/>
        <v>-240</v>
      </c>
      <c r="R10" s="52">
        <f t="shared" si="0"/>
        <v>648700</v>
      </c>
      <c r="S10" s="52">
        <f t="shared" si="1"/>
        <v>1335</v>
      </c>
    </row>
    <row r="11" spans="1:19" x14ac:dyDescent="0.35">
      <c r="A11" s="33" t="s">
        <v>15</v>
      </c>
      <c r="B11" s="13" t="s">
        <v>63</v>
      </c>
      <c r="C11" s="14" t="s">
        <v>3</v>
      </c>
      <c r="D11" s="34">
        <v>32.79</v>
      </c>
      <c r="E11" s="27" t="s">
        <v>1</v>
      </c>
      <c r="F11" s="27">
        <v>1.36</v>
      </c>
      <c r="G11" s="27" t="s">
        <v>1</v>
      </c>
      <c r="H11" s="27" t="s">
        <v>1</v>
      </c>
      <c r="I11" s="27">
        <v>65</v>
      </c>
      <c r="J11" s="27">
        <v>0.1134</v>
      </c>
      <c r="K11" s="35">
        <f t="shared" si="2"/>
        <v>99.263400000000004</v>
      </c>
      <c r="M11" s="52">
        <f t="shared" si="0"/>
        <v>327900</v>
      </c>
      <c r="N11" s="52">
        <f t="shared" si="0"/>
        <v>-140</v>
      </c>
      <c r="O11" s="52">
        <f t="shared" si="0"/>
        <v>13600.000000000002</v>
      </c>
      <c r="P11" s="52">
        <f t="shared" si="0"/>
        <v>-60</v>
      </c>
      <c r="Q11" s="52">
        <f t="shared" si="0"/>
        <v>-240</v>
      </c>
      <c r="R11" s="52">
        <f t="shared" si="0"/>
        <v>650000</v>
      </c>
      <c r="S11" s="52">
        <f t="shared" si="1"/>
        <v>1134</v>
      </c>
    </row>
    <row r="12" spans="1:19" x14ac:dyDescent="0.35">
      <c r="A12" s="33" t="s">
        <v>16</v>
      </c>
      <c r="B12" s="13" t="s">
        <v>62</v>
      </c>
      <c r="C12" s="14" t="s">
        <v>2</v>
      </c>
      <c r="D12" s="34">
        <v>33.08</v>
      </c>
      <c r="E12" s="27" t="s">
        <v>1</v>
      </c>
      <c r="F12" s="27">
        <v>7.29</v>
      </c>
      <c r="G12" s="27" t="s">
        <v>1</v>
      </c>
      <c r="H12" s="27">
        <v>4.8899999999999999E-2</v>
      </c>
      <c r="I12" s="27">
        <v>58.8</v>
      </c>
      <c r="J12" s="27" t="s">
        <v>1</v>
      </c>
      <c r="K12" s="35">
        <f t="shared" si="2"/>
        <v>99.218899999999991</v>
      </c>
      <c r="M12" s="52">
        <f t="shared" si="0"/>
        <v>330800</v>
      </c>
      <c r="N12" s="52">
        <f t="shared" si="0"/>
        <v>-140</v>
      </c>
      <c r="O12" s="52">
        <f t="shared" si="0"/>
        <v>72900</v>
      </c>
      <c r="P12" s="52">
        <f t="shared" si="0"/>
        <v>-60</v>
      </c>
      <c r="Q12" s="52">
        <f t="shared" si="0"/>
        <v>489</v>
      </c>
      <c r="R12" s="52">
        <f t="shared" si="0"/>
        <v>588000</v>
      </c>
      <c r="S12" s="52">
        <f t="shared" si="1"/>
        <v>-100</v>
      </c>
    </row>
    <row r="13" spans="1:19" x14ac:dyDescent="0.35">
      <c r="A13" s="33" t="s">
        <v>17</v>
      </c>
      <c r="B13" s="13" t="s">
        <v>61</v>
      </c>
      <c r="C13" s="14" t="s">
        <v>0</v>
      </c>
      <c r="D13" s="34">
        <v>32.94</v>
      </c>
      <c r="E13" s="27" t="s">
        <v>1</v>
      </c>
      <c r="F13" s="27">
        <v>2.33</v>
      </c>
      <c r="G13" s="27" t="s">
        <v>1</v>
      </c>
      <c r="H13" s="27" t="s">
        <v>1</v>
      </c>
      <c r="I13" s="27">
        <v>64.260000000000005</v>
      </c>
      <c r="J13" s="27">
        <v>0.1246</v>
      </c>
      <c r="K13" s="35">
        <f t="shared" si="2"/>
        <v>99.654600000000002</v>
      </c>
      <c r="M13" s="52">
        <f t="shared" si="0"/>
        <v>329400</v>
      </c>
      <c r="N13" s="52">
        <f t="shared" si="0"/>
        <v>-140</v>
      </c>
      <c r="O13" s="52">
        <f t="shared" si="0"/>
        <v>23300</v>
      </c>
      <c r="P13" s="52">
        <f t="shared" si="0"/>
        <v>-60</v>
      </c>
      <c r="Q13" s="52">
        <f t="shared" si="0"/>
        <v>-240</v>
      </c>
      <c r="R13" s="52">
        <f t="shared" si="0"/>
        <v>642600</v>
      </c>
      <c r="S13" s="52">
        <f t="shared" si="1"/>
        <v>1246</v>
      </c>
    </row>
    <row r="14" spans="1:19" x14ac:dyDescent="0.35">
      <c r="A14" s="33" t="s">
        <v>18</v>
      </c>
      <c r="B14" s="13" t="s">
        <v>62</v>
      </c>
      <c r="C14" s="14" t="s">
        <v>0</v>
      </c>
      <c r="D14" s="34">
        <v>33.06</v>
      </c>
      <c r="E14" s="27" t="s">
        <v>1</v>
      </c>
      <c r="F14" s="27">
        <v>7.54</v>
      </c>
      <c r="G14" s="27">
        <v>1.1900000000000001E-2</v>
      </c>
      <c r="H14" s="27">
        <v>3.73E-2</v>
      </c>
      <c r="I14" s="27">
        <v>58.21</v>
      </c>
      <c r="J14" s="27" t="s">
        <v>1</v>
      </c>
      <c r="K14" s="35">
        <f t="shared" si="2"/>
        <v>98.859200000000001</v>
      </c>
      <c r="M14" s="52">
        <f t="shared" si="0"/>
        <v>330600</v>
      </c>
      <c r="N14" s="52">
        <f t="shared" si="0"/>
        <v>-140</v>
      </c>
      <c r="O14" s="52">
        <f t="shared" si="0"/>
        <v>75400</v>
      </c>
      <c r="P14" s="52">
        <f t="shared" si="0"/>
        <v>119.00000000000001</v>
      </c>
      <c r="Q14" s="52">
        <f t="shared" si="0"/>
        <v>373</v>
      </c>
      <c r="R14" s="52">
        <f t="shared" si="0"/>
        <v>582100</v>
      </c>
      <c r="S14" s="52">
        <f t="shared" si="1"/>
        <v>-100</v>
      </c>
    </row>
    <row r="15" spans="1:19" x14ac:dyDescent="0.35">
      <c r="A15" s="33" t="s">
        <v>19</v>
      </c>
      <c r="B15" s="13" t="s">
        <v>61</v>
      </c>
      <c r="C15" s="14" t="s">
        <v>0</v>
      </c>
      <c r="D15" s="34">
        <v>32.799999999999997</v>
      </c>
      <c r="E15" s="27">
        <v>1.9199999999999998E-2</v>
      </c>
      <c r="F15" s="27">
        <v>1.69</v>
      </c>
      <c r="G15" s="27" t="s">
        <v>1</v>
      </c>
      <c r="H15" s="27" t="s">
        <v>1</v>
      </c>
      <c r="I15" s="27">
        <v>64.69</v>
      </c>
      <c r="J15" s="27">
        <v>8.1100000000000005E-2</v>
      </c>
      <c r="K15" s="35">
        <f t="shared" si="2"/>
        <v>99.280299999999997</v>
      </c>
      <c r="M15" s="52">
        <f t="shared" si="0"/>
        <v>328000</v>
      </c>
      <c r="N15" s="52">
        <f t="shared" si="0"/>
        <v>191.99999999999997</v>
      </c>
      <c r="O15" s="52">
        <f t="shared" si="0"/>
        <v>16900</v>
      </c>
      <c r="P15" s="52">
        <f t="shared" si="0"/>
        <v>-60</v>
      </c>
      <c r="Q15" s="52">
        <f t="shared" si="0"/>
        <v>-240</v>
      </c>
      <c r="R15" s="52">
        <f t="shared" si="0"/>
        <v>646900</v>
      </c>
      <c r="S15" s="52">
        <f t="shared" si="1"/>
        <v>811</v>
      </c>
    </row>
    <row r="16" spans="1:19" x14ac:dyDescent="0.35">
      <c r="A16" s="33" t="s">
        <v>20</v>
      </c>
      <c r="B16" s="13" t="s">
        <v>61</v>
      </c>
      <c r="C16" s="14" t="s">
        <v>0</v>
      </c>
      <c r="D16" s="34">
        <v>33.07</v>
      </c>
      <c r="E16" s="27" t="s">
        <v>1</v>
      </c>
      <c r="F16" s="27">
        <v>1.82</v>
      </c>
      <c r="G16" s="27">
        <v>5.7999999999999996E-3</v>
      </c>
      <c r="H16" s="27" t="s">
        <v>1</v>
      </c>
      <c r="I16" s="27">
        <v>64.5</v>
      </c>
      <c r="J16" s="27">
        <v>0.12130000000000001</v>
      </c>
      <c r="K16" s="35">
        <f t="shared" si="2"/>
        <v>99.517100000000013</v>
      </c>
      <c r="M16" s="52">
        <f t="shared" si="0"/>
        <v>330700</v>
      </c>
      <c r="N16" s="52">
        <f t="shared" si="0"/>
        <v>-140</v>
      </c>
      <c r="O16" s="52">
        <f t="shared" si="0"/>
        <v>18200</v>
      </c>
      <c r="P16" s="52">
        <f t="shared" si="0"/>
        <v>57.999999999999993</v>
      </c>
      <c r="Q16" s="52">
        <f t="shared" si="0"/>
        <v>-240</v>
      </c>
      <c r="R16" s="52">
        <f t="shared" si="0"/>
        <v>645000</v>
      </c>
      <c r="S16" s="52">
        <f t="shared" si="1"/>
        <v>1213</v>
      </c>
    </row>
    <row r="17" spans="1:19" x14ac:dyDescent="0.35">
      <c r="A17" s="37" t="s">
        <v>21</v>
      </c>
      <c r="B17" s="1" t="s">
        <v>63</v>
      </c>
      <c r="C17" s="38" t="s">
        <v>3</v>
      </c>
      <c r="D17" s="39">
        <v>32.96</v>
      </c>
      <c r="E17" s="27" t="s">
        <v>1</v>
      </c>
      <c r="F17" s="1">
        <v>0.63070000000000004</v>
      </c>
      <c r="G17" s="27" t="s">
        <v>1</v>
      </c>
      <c r="H17" s="27" t="s">
        <v>1</v>
      </c>
      <c r="I17" s="1">
        <v>65.540000000000006</v>
      </c>
      <c r="J17" s="1">
        <v>0.1883</v>
      </c>
      <c r="K17" s="35">
        <f t="shared" si="2"/>
        <v>99.319000000000003</v>
      </c>
      <c r="M17" s="52">
        <f t="shared" si="0"/>
        <v>329600</v>
      </c>
      <c r="N17" s="52">
        <f t="shared" si="0"/>
        <v>-140</v>
      </c>
      <c r="O17" s="52">
        <f t="shared" si="0"/>
        <v>6307</v>
      </c>
      <c r="P17" s="52">
        <f t="shared" si="0"/>
        <v>-60</v>
      </c>
      <c r="Q17" s="52">
        <f t="shared" si="0"/>
        <v>-240</v>
      </c>
      <c r="R17" s="52">
        <f t="shared" si="0"/>
        <v>655400.00000000012</v>
      </c>
      <c r="S17" s="52">
        <f t="shared" si="1"/>
        <v>1883</v>
      </c>
    </row>
    <row r="18" spans="1:19" x14ac:dyDescent="0.35">
      <c r="A18" s="37" t="s">
        <v>22</v>
      </c>
      <c r="B18" s="1" t="s">
        <v>63</v>
      </c>
      <c r="C18" s="38" t="s">
        <v>3</v>
      </c>
      <c r="D18" s="39">
        <v>32.479999999999997</v>
      </c>
      <c r="E18" s="27" t="s">
        <v>1</v>
      </c>
      <c r="F18" s="1">
        <v>0.21579999999999999</v>
      </c>
      <c r="G18" s="27" t="s">
        <v>1</v>
      </c>
      <c r="H18" s="27" t="s">
        <v>1</v>
      </c>
      <c r="I18" s="1">
        <v>65.739999999999995</v>
      </c>
      <c r="J18" s="1">
        <v>0.23619999999999999</v>
      </c>
      <c r="K18" s="35">
        <f t="shared" si="2"/>
        <v>98.671999999999997</v>
      </c>
      <c r="M18" s="52">
        <f t="shared" si="0"/>
        <v>324799.99999999994</v>
      </c>
      <c r="N18" s="52">
        <f t="shared" si="0"/>
        <v>-140</v>
      </c>
      <c r="O18" s="52">
        <f t="shared" si="0"/>
        <v>2158</v>
      </c>
      <c r="P18" s="52">
        <f t="shared" si="0"/>
        <v>-60</v>
      </c>
      <c r="Q18" s="52">
        <f t="shared" si="0"/>
        <v>-240</v>
      </c>
      <c r="R18" s="52">
        <f t="shared" si="0"/>
        <v>657400</v>
      </c>
      <c r="S18" s="52">
        <f t="shared" si="1"/>
        <v>2362</v>
      </c>
    </row>
    <row r="19" spans="1:19" x14ac:dyDescent="0.35">
      <c r="A19" s="37" t="s">
        <v>23</v>
      </c>
      <c r="B19" s="1" t="s">
        <v>63</v>
      </c>
      <c r="C19" s="38" t="s">
        <v>3</v>
      </c>
      <c r="D19" s="39">
        <v>32.5</v>
      </c>
      <c r="E19" s="1">
        <v>1.5800000000000002E-2</v>
      </c>
      <c r="F19" s="1">
        <v>0.17949999999999999</v>
      </c>
      <c r="G19" s="27" t="s">
        <v>1</v>
      </c>
      <c r="H19" s="27" t="s">
        <v>1</v>
      </c>
      <c r="I19" s="1">
        <v>66.150000000000006</v>
      </c>
      <c r="J19" s="1">
        <v>0.28839999999999999</v>
      </c>
      <c r="K19" s="35">
        <f t="shared" si="2"/>
        <v>99.133700000000005</v>
      </c>
      <c r="M19" s="52">
        <f t="shared" si="0"/>
        <v>325000</v>
      </c>
      <c r="N19" s="52">
        <f t="shared" si="0"/>
        <v>158.00000000000003</v>
      </c>
      <c r="O19" s="52">
        <f t="shared" si="0"/>
        <v>1795</v>
      </c>
      <c r="P19" s="52">
        <f t="shared" si="0"/>
        <v>-60</v>
      </c>
      <c r="Q19" s="52">
        <f t="shared" si="0"/>
        <v>-240</v>
      </c>
      <c r="R19" s="52">
        <f t="shared" si="0"/>
        <v>661500</v>
      </c>
      <c r="S19" s="52">
        <f t="shared" si="1"/>
        <v>2884</v>
      </c>
    </row>
    <row r="20" spans="1:19" x14ac:dyDescent="0.35">
      <c r="A20" s="37" t="s">
        <v>24</v>
      </c>
      <c r="B20" s="1" t="s">
        <v>63</v>
      </c>
      <c r="C20" s="38" t="s">
        <v>3</v>
      </c>
      <c r="D20" s="39">
        <v>31.71</v>
      </c>
      <c r="E20" s="27" t="s">
        <v>1</v>
      </c>
      <c r="F20" s="1">
        <v>0.214</v>
      </c>
      <c r="G20" s="27" t="s">
        <v>1</v>
      </c>
      <c r="H20" s="27" t="s">
        <v>1</v>
      </c>
      <c r="I20" s="1">
        <v>65.41</v>
      </c>
      <c r="J20" s="1">
        <v>0.3054</v>
      </c>
      <c r="K20" s="35">
        <f t="shared" si="2"/>
        <v>97.639400000000009</v>
      </c>
      <c r="M20" s="52">
        <f t="shared" si="0"/>
        <v>317100</v>
      </c>
      <c r="N20" s="52">
        <f t="shared" si="0"/>
        <v>-140</v>
      </c>
      <c r="O20" s="52">
        <f t="shared" si="0"/>
        <v>2140</v>
      </c>
      <c r="P20" s="52">
        <f t="shared" si="0"/>
        <v>-60</v>
      </c>
      <c r="Q20" s="52">
        <f t="shared" si="0"/>
        <v>-240</v>
      </c>
      <c r="R20" s="52">
        <f t="shared" si="0"/>
        <v>654100</v>
      </c>
      <c r="S20" s="52">
        <f t="shared" si="1"/>
        <v>3054</v>
      </c>
    </row>
    <row r="21" spans="1:19" s="21" customFormat="1" ht="14.6" x14ac:dyDescent="0.4">
      <c r="A21" s="37" t="s">
        <v>25</v>
      </c>
      <c r="B21" s="1" t="s">
        <v>64</v>
      </c>
      <c r="C21" s="14" t="s">
        <v>0</v>
      </c>
      <c r="D21" s="39">
        <v>32.380000000000003</v>
      </c>
      <c r="E21" s="1">
        <v>3.1099999999999999E-2</v>
      </c>
      <c r="F21" s="1">
        <v>1.74</v>
      </c>
      <c r="G21" s="1">
        <v>5.8999999999999999E-3</v>
      </c>
      <c r="H21" s="27" t="s">
        <v>1</v>
      </c>
      <c r="I21" s="1">
        <v>64.17</v>
      </c>
      <c r="J21" s="1">
        <v>0.40139999999999998</v>
      </c>
      <c r="K21" s="35">
        <v>98.728399999999993</v>
      </c>
      <c r="M21" s="52">
        <f t="shared" si="0"/>
        <v>323800</v>
      </c>
      <c r="N21" s="52">
        <f t="shared" si="0"/>
        <v>311</v>
      </c>
      <c r="O21" s="52">
        <f t="shared" si="0"/>
        <v>17400</v>
      </c>
      <c r="P21" s="52">
        <f t="shared" si="0"/>
        <v>59</v>
      </c>
      <c r="Q21" s="52">
        <f t="shared" si="0"/>
        <v>-240</v>
      </c>
      <c r="R21" s="52">
        <f t="shared" si="0"/>
        <v>641700</v>
      </c>
      <c r="S21" s="52">
        <f t="shared" si="1"/>
        <v>4014</v>
      </c>
    </row>
    <row r="22" spans="1:19" x14ac:dyDescent="0.35">
      <c r="A22" s="37" t="s">
        <v>26</v>
      </c>
      <c r="B22" s="1" t="s">
        <v>63</v>
      </c>
      <c r="C22" s="38" t="s">
        <v>3</v>
      </c>
      <c r="D22" s="39">
        <v>32.369999999999997</v>
      </c>
      <c r="E22" s="27" t="s">
        <v>1</v>
      </c>
      <c r="F22" s="1">
        <v>0.22439999999999999</v>
      </c>
      <c r="G22" s="27" t="s">
        <v>1</v>
      </c>
      <c r="H22" s="27" t="s">
        <v>1</v>
      </c>
      <c r="I22" s="1">
        <v>66.06</v>
      </c>
      <c r="J22" s="1">
        <v>0.38940000000000002</v>
      </c>
      <c r="K22" s="35">
        <f t="shared" ref="K22:K40" si="3">SUM(D22:J22)</f>
        <v>99.043800000000005</v>
      </c>
      <c r="M22" s="52">
        <f t="shared" si="0"/>
        <v>323700</v>
      </c>
      <c r="N22" s="52">
        <f t="shared" si="0"/>
        <v>-140</v>
      </c>
      <c r="O22" s="52">
        <f t="shared" si="0"/>
        <v>2244</v>
      </c>
      <c r="P22" s="52">
        <f t="shared" si="0"/>
        <v>-60</v>
      </c>
      <c r="Q22" s="52">
        <f t="shared" si="0"/>
        <v>-240</v>
      </c>
      <c r="R22" s="52">
        <f t="shared" si="0"/>
        <v>660600</v>
      </c>
      <c r="S22" s="52">
        <f t="shared" si="1"/>
        <v>3894.0000000000005</v>
      </c>
    </row>
    <row r="23" spans="1:19" x14ac:dyDescent="0.35">
      <c r="A23" s="37" t="s">
        <v>27</v>
      </c>
      <c r="B23" s="1" t="s">
        <v>62</v>
      </c>
      <c r="C23" s="14" t="s">
        <v>2</v>
      </c>
      <c r="D23" s="39">
        <v>32.590000000000003</v>
      </c>
      <c r="E23" s="27" t="s">
        <v>1</v>
      </c>
      <c r="F23" s="1">
        <v>7.15</v>
      </c>
      <c r="G23" s="1">
        <v>1.12E-2</v>
      </c>
      <c r="H23" s="1">
        <v>0.1065</v>
      </c>
      <c r="I23" s="1">
        <v>58.32</v>
      </c>
      <c r="J23" s="1">
        <v>0.36799999999999999</v>
      </c>
      <c r="K23" s="35">
        <f t="shared" si="3"/>
        <v>98.545699999999997</v>
      </c>
      <c r="M23" s="52">
        <f t="shared" si="0"/>
        <v>325900.00000000006</v>
      </c>
      <c r="N23" s="52">
        <f t="shared" si="0"/>
        <v>-140</v>
      </c>
      <c r="O23" s="52">
        <f t="shared" si="0"/>
        <v>71500</v>
      </c>
      <c r="P23" s="52">
        <f t="shared" si="0"/>
        <v>112</v>
      </c>
      <c r="Q23" s="52">
        <f t="shared" si="0"/>
        <v>1065</v>
      </c>
      <c r="R23" s="52">
        <f t="shared" si="0"/>
        <v>583200</v>
      </c>
      <c r="S23" s="52">
        <f t="shared" si="1"/>
        <v>3680</v>
      </c>
    </row>
    <row r="24" spans="1:19" x14ac:dyDescent="0.35">
      <c r="A24" s="37" t="s">
        <v>28</v>
      </c>
      <c r="B24" s="1" t="s">
        <v>62</v>
      </c>
      <c r="C24" s="14" t="s">
        <v>2</v>
      </c>
      <c r="D24" s="39">
        <v>33.11</v>
      </c>
      <c r="E24" s="27" t="s">
        <v>1</v>
      </c>
      <c r="F24" s="1">
        <v>7.23</v>
      </c>
      <c r="G24" s="1">
        <v>2.2800000000000001E-2</v>
      </c>
      <c r="H24" s="1">
        <v>0.08</v>
      </c>
      <c r="I24" s="1">
        <v>57.45</v>
      </c>
      <c r="J24" s="1">
        <v>0.23319999999999999</v>
      </c>
      <c r="K24" s="35">
        <f t="shared" si="3"/>
        <v>98.125999999999991</v>
      </c>
      <c r="M24" s="52">
        <f t="shared" si="0"/>
        <v>331100</v>
      </c>
      <c r="N24" s="52">
        <f t="shared" si="0"/>
        <v>-140</v>
      </c>
      <c r="O24" s="52">
        <f t="shared" si="0"/>
        <v>72300</v>
      </c>
      <c r="P24" s="52">
        <f t="shared" si="0"/>
        <v>228</v>
      </c>
      <c r="Q24" s="52">
        <f t="shared" si="0"/>
        <v>800</v>
      </c>
      <c r="R24" s="52">
        <f t="shared" si="0"/>
        <v>574500</v>
      </c>
      <c r="S24" s="52">
        <f t="shared" si="1"/>
        <v>2332</v>
      </c>
    </row>
    <row r="25" spans="1:19" x14ac:dyDescent="0.35">
      <c r="A25" s="37" t="s">
        <v>29</v>
      </c>
      <c r="B25" s="1" t="s">
        <v>62</v>
      </c>
      <c r="C25" s="14" t="s">
        <v>2</v>
      </c>
      <c r="D25" s="39">
        <v>32.880000000000003</v>
      </c>
      <c r="E25" s="27" t="s">
        <v>1</v>
      </c>
      <c r="F25" s="1">
        <v>8.61</v>
      </c>
      <c r="G25" s="1">
        <v>1.06E-2</v>
      </c>
      <c r="H25" s="1">
        <v>3.2500000000000001E-2</v>
      </c>
      <c r="I25" s="1">
        <v>56.79</v>
      </c>
      <c r="J25" s="1">
        <v>0.54430000000000001</v>
      </c>
      <c r="K25" s="35">
        <f t="shared" si="3"/>
        <v>98.867400000000004</v>
      </c>
      <c r="M25" s="52">
        <f t="shared" si="0"/>
        <v>328800</v>
      </c>
      <c r="N25" s="52">
        <f t="shared" si="0"/>
        <v>-140</v>
      </c>
      <c r="O25" s="52">
        <f t="shared" si="0"/>
        <v>86100</v>
      </c>
      <c r="P25" s="52">
        <f t="shared" si="0"/>
        <v>106</v>
      </c>
      <c r="Q25" s="52">
        <f t="shared" si="0"/>
        <v>325</v>
      </c>
      <c r="R25" s="52">
        <f t="shared" si="0"/>
        <v>567900</v>
      </c>
      <c r="S25" s="52">
        <f t="shared" si="1"/>
        <v>5443</v>
      </c>
    </row>
    <row r="26" spans="1:19" x14ac:dyDescent="0.35">
      <c r="A26" s="37" t="s">
        <v>30</v>
      </c>
      <c r="B26" s="1" t="s">
        <v>65</v>
      </c>
      <c r="C26" s="14" t="s">
        <v>2</v>
      </c>
      <c r="D26" s="39">
        <v>33.020000000000003</v>
      </c>
      <c r="E26" s="27" t="s">
        <v>1</v>
      </c>
      <c r="F26" s="1">
        <v>6.23</v>
      </c>
      <c r="G26" s="1">
        <v>1.0699999999999999E-2</v>
      </c>
      <c r="H26" s="1">
        <v>6.1199999999999997E-2</v>
      </c>
      <c r="I26" s="1">
        <v>59.41</v>
      </c>
      <c r="J26" s="1">
        <v>0.21479999999999999</v>
      </c>
      <c r="K26" s="35">
        <f t="shared" si="3"/>
        <v>98.946699999999993</v>
      </c>
      <c r="M26" s="52">
        <f t="shared" si="0"/>
        <v>330200.00000000006</v>
      </c>
      <c r="N26" s="52">
        <f t="shared" si="0"/>
        <v>-140</v>
      </c>
      <c r="O26" s="52">
        <f t="shared" si="0"/>
        <v>62300.000000000007</v>
      </c>
      <c r="P26" s="52">
        <f t="shared" si="0"/>
        <v>107</v>
      </c>
      <c r="Q26" s="52">
        <f t="shared" si="0"/>
        <v>612</v>
      </c>
      <c r="R26" s="52">
        <f t="shared" si="0"/>
        <v>594100</v>
      </c>
      <c r="S26" s="52">
        <f t="shared" si="1"/>
        <v>2148</v>
      </c>
    </row>
    <row r="27" spans="1:19" x14ac:dyDescent="0.35">
      <c r="A27" s="37" t="s">
        <v>31</v>
      </c>
      <c r="B27" s="1" t="s">
        <v>65</v>
      </c>
      <c r="C27" s="14" t="s">
        <v>2</v>
      </c>
      <c r="D27" s="39">
        <v>31.32</v>
      </c>
      <c r="E27" s="27" t="s">
        <v>1</v>
      </c>
      <c r="F27" s="1">
        <v>5.83</v>
      </c>
      <c r="G27" s="1">
        <v>1.26E-2</v>
      </c>
      <c r="H27" s="1">
        <v>2.5700000000000001E-2</v>
      </c>
      <c r="I27" s="1">
        <v>59.3</v>
      </c>
      <c r="J27" s="1">
        <v>0.22889999999999999</v>
      </c>
      <c r="K27" s="35">
        <f t="shared" si="3"/>
        <v>96.717199999999991</v>
      </c>
      <c r="M27" s="52">
        <f t="shared" si="0"/>
        <v>313200</v>
      </c>
      <c r="N27" s="52">
        <f t="shared" si="0"/>
        <v>-140</v>
      </c>
      <c r="O27" s="52">
        <f t="shared" si="0"/>
        <v>58300</v>
      </c>
      <c r="P27" s="52">
        <f t="shared" si="0"/>
        <v>126</v>
      </c>
      <c r="Q27" s="52">
        <f t="shared" si="0"/>
        <v>257</v>
      </c>
      <c r="R27" s="52">
        <f t="shared" si="0"/>
        <v>593000</v>
      </c>
      <c r="S27" s="52">
        <f t="shared" si="1"/>
        <v>2289</v>
      </c>
    </row>
    <row r="28" spans="1:19" x14ac:dyDescent="0.35">
      <c r="A28" s="37" t="s">
        <v>32</v>
      </c>
      <c r="B28" s="1" t="s">
        <v>65</v>
      </c>
      <c r="C28" s="14" t="s">
        <v>2</v>
      </c>
      <c r="D28" s="39">
        <v>32.700000000000003</v>
      </c>
      <c r="E28" s="27" t="s">
        <v>1</v>
      </c>
      <c r="F28" s="1">
        <v>5.88</v>
      </c>
      <c r="G28" s="1">
        <v>1.5100000000000001E-2</v>
      </c>
      <c r="H28" s="27" t="s">
        <v>1</v>
      </c>
      <c r="I28" s="1">
        <v>59.76</v>
      </c>
      <c r="J28" s="1">
        <v>0.1913</v>
      </c>
      <c r="K28" s="35">
        <f t="shared" si="3"/>
        <v>98.546399999999991</v>
      </c>
      <c r="M28" s="52">
        <f t="shared" si="0"/>
        <v>327000</v>
      </c>
      <c r="N28" s="52">
        <f t="shared" si="0"/>
        <v>-140</v>
      </c>
      <c r="O28" s="52">
        <f t="shared" si="0"/>
        <v>58800</v>
      </c>
      <c r="P28" s="52">
        <f t="shared" si="0"/>
        <v>151</v>
      </c>
      <c r="Q28" s="52">
        <f t="shared" si="0"/>
        <v>-240</v>
      </c>
      <c r="R28" s="52">
        <f t="shared" si="0"/>
        <v>597600</v>
      </c>
      <c r="S28" s="52">
        <f t="shared" si="1"/>
        <v>1913</v>
      </c>
    </row>
    <row r="29" spans="1:19" x14ac:dyDescent="0.35">
      <c r="A29" s="37" t="s">
        <v>33</v>
      </c>
      <c r="B29" s="1" t="s">
        <v>65</v>
      </c>
      <c r="C29" s="14" t="s">
        <v>2</v>
      </c>
      <c r="D29" s="39">
        <v>32.450000000000003</v>
      </c>
      <c r="E29" s="27" t="s">
        <v>1</v>
      </c>
      <c r="F29" s="1">
        <v>6.33</v>
      </c>
      <c r="G29" s="1">
        <v>5.7000000000000002E-3</v>
      </c>
      <c r="H29" s="1">
        <v>5.3100000000000001E-2</v>
      </c>
      <c r="I29" s="1">
        <v>58.79</v>
      </c>
      <c r="J29" s="1">
        <v>0.1923</v>
      </c>
      <c r="K29" s="35">
        <f t="shared" si="3"/>
        <v>97.821100000000001</v>
      </c>
      <c r="M29" s="52">
        <f t="shared" si="0"/>
        <v>324500</v>
      </c>
      <c r="N29" s="52">
        <f t="shared" si="0"/>
        <v>-140</v>
      </c>
      <c r="O29" s="52">
        <f t="shared" si="0"/>
        <v>63300</v>
      </c>
      <c r="P29" s="52">
        <f t="shared" si="0"/>
        <v>57</v>
      </c>
      <c r="Q29" s="52">
        <f t="shared" si="0"/>
        <v>531</v>
      </c>
      <c r="R29" s="52">
        <f t="shared" si="0"/>
        <v>587900</v>
      </c>
      <c r="S29" s="52">
        <f t="shared" si="1"/>
        <v>1923</v>
      </c>
    </row>
    <row r="30" spans="1:19" x14ac:dyDescent="0.35">
      <c r="A30" s="37" t="s">
        <v>34</v>
      </c>
      <c r="B30" s="1" t="s">
        <v>65</v>
      </c>
      <c r="C30" s="14" t="s">
        <v>2</v>
      </c>
      <c r="D30" s="39">
        <v>32.75</v>
      </c>
      <c r="E30" s="27" t="s">
        <v>1</v>
      </c>
      <c r="F30" s="1">
        <v>5.87</v>
      </c>
      <c r="G30" s="1">
        <v>1.6400000000000001E-2</v>
      </c>
      <c r="H30" s="27" t="s">
        <v>1</v>
      </c>
      <c r="I30" s="1">
        <v>59.86</v>
      </c>
      <c r="J30" s="1">
        <v>0.21640000000000001</v>
      </c>
      <c r="K30" s="35">
        <f t="shared" si="3"/>
        <v>98.712799999999987</v>
      </c>
      <c r="M30" s="52">
        <f t="shared" si="0"/>
        <v>327500</v>
      </c>
      <c r="N30" s="52">
        <f t="shared" si="0"/>
        <v>-140</v>
      </c>
      <c r="O30" s="52">
        <f t="shared" si="0"/>
        <v>58700</v>
      </c>
      <c r="P30" s="52">
        <f t="shared" si="0"/>
        <v>164</v>
      </c>
      <c r="Q30" s="52">
        <f t="shared" si="0"/>
        <v>-240</v>
      </c>
      <c r="R30" s="52">
        <f t="shared" si="0"/>
        <v>598600</v>
      </c>
      <c r="S30" s="52">
        <f t="shared" si="1"/>
        <v>2164</v>
      </c>
    </row>
    <row r="31" spans="1:19" x14ac:dyDescent="0.35">
      <c r="A31" s="37" t="s">
        <v>35</v>
      </c>
      <c r="B31" s="1" t="s">
        <v>64</v>
      </c>
      <c r="C31" s="38" t="s">
        <v>0</v>
      </c>
      <c r="D31" s="39">
        <v>32.31</v>
      </c>
      <c r="E31" s="27" t="s">
        <v>1</v>
      </c>
      <c r="F31" s="1">
        <v>2.78</v>
      </c>
      <c r="G31" s="27" t="s">
        <v>1</v>
      </c>
      <c r="H31" s="27" t="s">
        <v>1</v>
      </c>
      <c r="I31" s="1">
        <v>63.5</v>
      </c>
      <c r="J31" s="1">
        <v>1.8100000000000002E-2</v>
      </c>
      <c r="K31" s="35">
        <f t="shared" si="3"/>
        <v>98.608100000000007</v>
      </c>
      <c r="M31" s="52">
        <f t="shared" si="0"/>
        <v>323100</v>
      </c>
      <c r="N31" s="52">
        <f t="shared" si="0"/>
        <v>-140</v>
      </c>
      <c r="O31" s="52">
        <f t="shared" si="0"/>
        <v>27799.999999999996</v>
      </c>
      <c r="P31" s="52">
        <f t="shared" si="0"/>
        <v>-60</v>
      </c>
      <c r="Q31" s="52">
        <f t="shared" si="0"/>
        <v>-240</v>
      </c>
      <c r="R31" s="52">
        <f t="shared" si="0"/>
        <v>635000</v>
      </c>
      <c r="S31" s="52">
        <f t="shared" si="1"/>
        <v>181.00000000000003</v>
      </c>
    </row>
    <row r="32" spans="1:19" x14ac:dyDescent="0.35">
      <c r="A32" s="37" t="s">
        <v>36</v>
      </c>
      <c r="B32" s="1" t="s">
        <v>65</v>
      </c>
      <c r="C32" s="38" t="s">
        <v>0</v>
      </c>
      <c r="D32" s="39">
        <v>33.03</v>
      </c>
      <c r="E32" s="27" t="s">
        <v>1</v>
      </c>
      <c r="F32" s="1">
        <v>3.33</v>
      </c>
      <c r="G32" s="27" t="s">
        <v>1</v>
      </c>
      <c r="H32" s="27" t="s">
        <v>1</v>
      </c>
      <c r="I32" s="1">
        <v>62.36</v>
      </c>
      <c r="J32" s="1">
        <v>0.25669999999999998</v>
      </c>
      <c r="K32" s="35">
        <f t="shared" si="3"/>
        <v>98.976699999999994</v>
      </c>
      <c r="M32" s="52">
        <f t="shared" si="0"/>
        <v>330300</v>
      </c>
      <c r="N32" s="52">
        <f t="shared" si="0"/>
        <v>-140</v>
      </c>
      <c r="O32" s="52">
        <f t="shared" si="0"/>
        <v>33300</v>
      </c>
      <c r="P32" s="52">
        <f t="shared" si="0"/>
        <v>-60</v>
      </c>
      <c r="Q32" s="52">
        <f t="shared" si="0"/>
        <v>-240</v>
      </c>
      <c r="R32" s="52">
        <f t="shared" si="0"/>
        <v>623600</v>
      </c>
      <c r="S32" s="52">
        <f t="shared" si="1"/>
        <v>2567</v>
      </c>
    </row>
    <row r="33" spans="1:19" x14ac:dyDescent="0.35">
      <c r="A33" s="37" t="s">
        <v>37</v>
      </c>
      <c r="B33" s="1" t="s">
        <v>61</v>
      </c>
      <c r="C33" s="38" t="s">
        <v>0</v>
      </c>
      <c r="D33" s="39">
        <v>33.020000000000003</v>
      </c>
      <c r="E33" s="1">
        <v>3.3799999999999997E-2</v>
      </c>
      <c r="F33" s="1">
        <v>1.83</v>
      </c>
      <c r="G33" s="1">
        <v>7.7999999999999996E-3</v>
      </c>
      <c r="H33" s="27" t="s">
        <v>1</v>
      </c>
      <c r="I33" s="1">
        <v>64.39</v>
      </c>
      <c r="J33" s="1">
        <v>9.9199999999999997E-2</v>
      </c>
      <c r="K33" s="35">
        <f t="shared" si="3"/>
        <v>99.380799999999994</v>
      </c>
      <c r="M33" s="52">
        <f t="shared" si="0"/>
        <v>330200.00000000006</v>
      </c>
      <c r="N33" s="52">
        <f t="shared" si="0"/>
        <v>337.99999999999994</v>
      </c>
      <c r="O33" s="52">
        <f t="shared" si="0"/>
        <v>18300</v>
      </c>
      <c r="P33" s="52">
        <f t="shared" si="0"/>
        <v>78</v>
      </c>
      <c r="Q33" s="52">
        <f t="shared" si="0"/>
        <v>-240</v>
      </c>
      <c r="R33" s="52">
        <f t="shared" si="0"/>
        <v>643900</v>
      </c>
      <c r="S33" s="52">
        <f t="shared" si="1"/>
        <v>992</v>
      </c>
    </row>
    <row r="34" spans="1:19" x14ac:dyDescent="0.35">
      <c r="A34" s="37" t="s">
        <v>38</v>
      </c>
      <c r="B34" s="1" t="s">
        <v>65</v>
      </c>
      <c r="C34" s="38" t="s">
        <v>0</v>
      </c>
      <c r="D34" s="39">
        <v>33.01</v>
      </c>
      <c r="E34" s="1">
        <v>1.8599999999999998E-2</v>
      </c>
      <c r="F34" s="1">
        <v>5.12</v>
      </c>
      <c r="G34" s="1">
        <v>7.3000000000000001E-3</v>
      </c>
      <c r="H34" s="27" t="s">
        <v>1</v>
      </c>
      <c r="I34" s="1">
        <v>60.77</v>
      </c>
      <c r="J34" s="27" t="s">
        <v>1</v>
      </c>
      <c r="K34" s="35">
        <f t="shared" si="3"/>
        <v>98.925899999999999</v>
      </c>
      <c r="M34" s="52">
        <f t="shared" si="0"/>
        <v>330100</v>
      </c>
      <c r="N34" s="52">
        <f t="shared" si="0"/>
        <v>185.99999999999997</v>
      </c>
      <c r="O34" s="52">
        <f t="shared" si="0"/>
        <v>51200</v>
      </c>
      <c r="P34" s="52">
        <f t="shared" si="0"/>
        <v>73</v>
      </c>
      <c r="Q34" s="52">
        <f t="shared" si="0"/>
        <v>-240</v>
      </c>
      <c r="R34" s="52">
        <f t="shared" si="0"/>
        <v>607700</v>
      </c>
      <c r="S34" s="52">
        <f t="shared" si="1"/>
        <v>-100</v>
      </c>
    </row>
    <row r="35" spans="1:19" x14ac:dyDescent="0.35">
      <c r="A35" s="37" t="s">
        <v>39</v>
      </c>
      <c r="B35" s="1" t="s">
        <v>61</v>
      </c>
      <c r="C35" s="38" t="s">
        <v>0</v>
      </c>
      <c r="D35" s="39">
        <v>33.119999999999997</v>
      </c>
      <c r="E35" s="27" t="s">
        <v>1</v>
      </c>
      <c r="F35" s="1">
        <v>2.36</v>
      </c>
      <c r="G35" s="27" t="s">
        <v>1</v>
      </c>
      <c r="H35" s="27" t="s">
        <v>1</v>
      </c>
      <c r="I35" s="1">
        <v>63.9</v>
      </c>
      <c r="J35" s="1">
        <v>0.1431</v>
      </c>
      <c r="K35" s="35">
        <f t="shared" si="3"/>
        <v>99.523099999999999</v>
      </c>
      <c r="M35" s="52">
        <f t="shared" si="0"/>
        <v>331200</v>
      </c>
      <c r="N35" s="52">
        <f t="shared" si="0"/>
        <v>-140</v>
      </c>
      <c r="O35" s="52">
        <f t="shared" si="0"/>
        <v>23600</v>
      </c>
      <c r="P35" s="52">
        <f t="shared" si="0"/>
        <v>-60</v>
      </c>
      <c r="Q35" s="52">
        <f t="shared" si="0"/>
        <v>-240</v>
      </c>
      <c r="R35" s="52">
        <f t="shared" ref="R35:R49" si="4">IF(ISNUMBER(I35),I35*10000,-I$58*10000)</f>
        <v>639000</v>
      </c>
      <c r="S35" s="52">
        <f t="shared" si="1"/>
        <v>1431</v>
      </c>
    </row>
    <row r="36" spans="1:19" x14ac:dyDescent="0.35">
      <c r="A36" s="37" t="s">
        <v>40</v>
      </c>
      <c r="B36" s="1" t="s">
        <v>65</v>
      </c>
      <c r="C36" s="14" t="s">
        <v>2</v>
      </c>
      <c r="D36" s="39">
        <v>33.369999999999997</v>
      </c>
      <c r="E36" s="1">
        <v>1.8700000000000001E-2</v>
      </c>
      <c r="F36" s="1">
        <v>7.36</v>
      </c>
      <c r="G36" s="1">
        <v>8.5000000000000006E-3</v>
      </c>
      <c r="H36" s="27" t="s">
        <v>1</v>
      </c>
      <c r="I36" s="1">
        <v>58.57</v>
      </c>
      <c r="J36" s="1">
        <v>0.11799999999999999</v>
      </c>
      <c r="K36" s="35">
        <f t="shared" si="3"/>
        <v>99.4452</v>
      </c>
      <c r="M36" s="52">
        <f t="shared" si="0"/>
        <v>333700</v>
      </c>
      <c r="N36" s="52">
        <f t="shared" si="0"/>
        <v>187</v>
      </c>
      <c r="O36" s="52">
        <f t="shared" si="0"/>
        <v>73600</v>
      </c>
      <c r="P36" s="52">
        <f t="shared" si="0"/>
        <v>85</v>
      </c>
      <c r="Q36" s="52">
        <f t="shared" si="0"/>
        <v>-240</v>
      </c>
      <c r="R36" s="52">
        <f t="shared" si="4"/>
        <v>585700</v>
      </c>
      <c r="S36" s="52">
        <f t="shared" si="1"/>
        <v>1180</v>
      </c>
    </row>
    <row r="37" spans="1:19" x14ac:dyDescent="0.35">
      <c r="A37" s="37" t="s">
        <v>41</v>
      </c>
      <c r="B37" s="1" t="s">
        <v>62</v>
      </c>
      <c r="C37" s="14" t="s">
        <v>2</v>
      </c>
      <c r="D37" s="39">
        <v>33.700000000000003</v>
      </c>
      <c r="E37" s="1">
        <v>1.6799999999999999E-2</v>
      </c>
      <c r="F37" s="1">
        <v>8.74</v>
      </c>
      <c r="G37" s="1">
        <v>6.4000000000000003E-3</v>
      </c>
      <c r="H37" s="1">
        <v>6.4000000000000001E-2</v>
      </c>
      <c r="I37" s="1">
        <v>56.85</v>
      </c>
      <c r="J37" s="1">
        <v>6.8199999999999997E-2</v>
      </c>
      <c r="K37" s="35">
        <f t="shared" si="3"/>
        <v>99.445400000000021</v>
      </c>
      <c r="M37" s="52">
        <f t="shared" si="0"/>
        <v>337000</v>
      </c>
      <c r="N37" s="52">
        <f t="shared" si="0"/>
        <v>168</v>
      </c>
      <c r="O37" s="52">
        <f t="shared" si="0"/>
        <v>87400</v>
      </c>
      <c r="P37" s="52">
        <f t="shared" si="0"/>
        <v>64</v>
      </c>
      <c r="Q37" s="52">
        <f t="shared" si="0"/>
        <v>640</v>
      </c>
      <c r="R37" s="52">
        <f t="shared" si="4"/>
        <v>568500</v>
      </c>
      <c r="S37" s="52">
        <f t="shared" si="1"/>
        <v>682</v>
      </c>
    </row>
    <row r="38" spans="1:19" x14ac:dyDescent="0.35">
      <c r="A38" s="37" t="s">
        <v>42</v>
      </c>
      <c r="B38" s="1" t="s">
        <v>64</v>
      </c>
      <c r="C38" s="38" t="s">
        <v>0</v>
      </c>
      <c r="D38" s="39">
        <v>32.479999999999997</v>
      </c>
      <c r="E38" s="27" t="s">
        <v>1</v>
      </c>
      <c r="F38" s="1">
        <v>2.73</v>
      </c>
      <c r="G38" s="27" t="s">
        <v>1</v>
      </c>
      <c r="H38" s="27" t="s">
        <v>1</v>
      </c>
      <c r="I38" s="1">
        <v>62.83</v>
      </c>
      <c r="J38" s="1">
        <v>0.1137</v>
      </c>
      <c r="K38" s="35">
        <f t="shared" si="3"/>
        <v>98.153699999999986</v>
      </c>
      <c r="M38" s="52">
        <f t="shared" si="0"/>
        <v>324799.99999999994</v>
      </c>
      <c r="N38" s="52">
        <f t="shared" si="0"/>
        <v>-140</v>
      </c>
      <c r="O38" s="52">
        <f t="shared" si="0"/>
        <v>27300</v>
      </c>
      <c r="P38" s="52">
        <f t="shared" si="0"/>
        <v>-60</v>
      </c>
      <c r="Q38" s="52">
        <f t="shared" si="0"/>
        <v>-240</v>
      </c>
      <c r="R38" s="52">
        <f t="shared" si="4"/>
        <v>628300</v>
      </c>
      <c r="S38" s="52">
        <f t="shared" si="1"/>
        <v>1137</v>
      </c>
    </row>
    <row r="39" spans="1:19" x14ac:dyDescent="0.35">
      <c r="A39" s="5" t="s">
        <v>43</v>
      </c>
      <c r="B39" s="6" t="s">
        <v>64</v>
      </c>
      <c r="C39" s="38" t="s">
        <v>0</v>
      </c>
      <c r="D39" s="39">
        <v>33.36</v>
      </c>
      <c r="E39" s="1">
        <v>3.0800000000000001E-2</v>
      </c>
      <c r="F39" s="1">
        <v>5.84</v>
      </c>
      <c r="G39" s="1">
        <v>1.0699999999999999E-2</v>
      </c>
      <c r="H39" s="27" t="s">
        <v>1</v>
      </c>
      <c r="I39" s="1">
        <v>59.05</v>
      </c>
      <c r="J39" s="1">
        <v>3.6299999999999999E-2</v>
      </c>
      <c r="K39" s="35">
        <f t="shared" si="3"/>
        <v>98.327799999999996</v>
      </c>
      <c r="M39" s="52">
        <f t="shared" si="0"/>
        <v>333600</v>
      </c>
      <c r="N39" s="52">
        <f t="shared" si="0"/>
        <v>308</v>
      </c>
      <c r="O39" s="52">
        <f t="shared" si="0"/>
        <v>58400</v>
      </c>
      <c r="P39" s="52">
        <f t="shared" si="0"/>
        <v>107</v>
      </c>
      <c r="Q39" s="52">
        <f t="shared" si="0"/>
        <v>-240</v>
      </c>
      <c r="R39" s="52">
        <f t="shared" si="4"/>
        <v>590500</v>
      </c>
      <c r="S39" s="52">
        <f t="shared" si="1"/>
        <v>363</v>
      </c>
    </row>
    <row r="40" spans="1:19" x14ac:dyDescent="0.35">
      <c r="A40" s="5" t="s">
        <v>44</v>
      </c>
      <c r="B40" s="6" t="s">
        <v>65</v>
      </c>
      <c r="C40" s="38" t="s">
        <v>0</v>
      </c>
      <c r="D40" s="39">
        <v>33.130000000000003</v>
      </c>
      <c r="E40" s="1">
        <v>3.8800000000000001E-2</v>
      </c>
      <c r="F40" s="1">
        <v>6.94</v>
      </c>
      <c r="G40" s="1">
        <v>1.4999999999999999E-2</v>
      </c>
      <c r="H40" s="27" t="s">
        <v>1</v>
      </c>
      <c r="I40" s="1">
        <v>57.87</v>
      </c>
      <c r="J40" s="27" t="s">
        <v>1</v>
      </c>
      <c r="K40" s="35">
        <f t="shared" si="3"/>
        <v>97.993799999999993</v>
      </c>
      <c r="M40" s="52">
        <f t="shared" si="0"/>
        <v>331300</v>
      </c>
      <c r="N40" s="52">
        <f t="shared" si="0"/>
        <v>388</v>
      </c>
      <c r="O40" s="52">
        <f t="shared" si="0"/>
        <v>69400</v>
      </c>
      <c r="P40" s="52">
        <f t="shared" si="0"/>
        <v>150</v>
      </c>
      <c r="Q40" s="52">
        <f t="shared" si="0"/>
        <v>-240</v>
      </c>
      <c r="R40" s="52">
        <f t="shared" si="4"/>
        <v>578700</v>
      </c>
      <c r="S40" s="52">
        <f t="shared" si="1"/>
        <v>-100</v>
      </c>
    </row>
    <row r="41" spans="1:19" x14ac:dyDescent="0.35">
      <c r="A41" s="5" t="s">
        <v>45</v>
      </c>
      <c r="B41" s="6" t="s">
        <v>64</v>
      </c>
      <c r="C41" s="38" t="s">
        <v>0</v>
      </c>
      <c r="D41" s="39">
        <v>32.82</v>
      </c>
      <c r="E41" s="1">
        <v>1.49E-2</v>
      </c>
      <c r="F41" s="1">
        <v>2.0099999999999998</v>
      </c>
      <c r="G41" s="27" t="s">
        <v>1</v>
      </c>
      <c r="H41" s="27" t="s">
        <v>1</v>
      </c>
      <c r="I41" s="1">
        <v>63.33</v>
      </c>
      <c r="J41" s="1">
        <v>0.19289999999999999</v>
      </c>
      <c r="K41" s="35">
        <f t="shared" ref="K41:K49" si="5">SUM(D41:J41)</f>
        <v>98.367799999999988</v>
      </c>
      <c r="M41" s="52">
        <f t="shared" si="0"/>
        <v>328200</v>
      </c>
      <c r="N41" s="52">
        <f t="shared" si="0"/>
        <v>149</v>
      </c>
      <c r="O41" s="52">
        <f t="shared" si="0"/>
        <v>20099.999999999996</v>
      </c>
      <c r="P41" s="52">
        <f t="shared" si="0"/>
        <v>-60</v>
      </c>
      <c r="Q41" s="52">
        <f t="shared" si="0"/>
        <v>-240</v>
      </c>
      <c r="R41" s="52">
        <f t="shared" si="4"/>
        <v>633300</v>
      </c>
      <c r="S41" s="52">
        <f t="shared" si="1"/>
        <v>1928.9999999999998</v>
      </c>
    </row>
    <row r="42" spans="1:19" x14ac:dyDescent="0.35">
      <c r="A42" s="5" t="s">
        <v>46</v>
      </c>
      <c r="B42" s="6" t="s">
        <v>64</v>
      </c>
      <c r="C42" s="38" t="s">
        <v>0</v>
      </c>
      <c r="D42" s="39">
        <v>33.130000000000003</v>
      </c>
      <c r="E42" s="1">
        <v>4.3099999999999999E-2</v>
      </c>
      <c r="F42" s="1">
        <v>2.2200000000000002</v>
      </c>
      <c r="G42" s="27" t="s">
        <v>1</v>
      </c>
      <c r="H42" s="27" t="s">
        <v>1</v>
      </c>
      <c r="I42" s="1">
        <v>61.97</v>
      </c>
      <c r="J42" s="1">
        <v>0.25990000000000002</v>
      </c>
      <c r="K42" s="35">
        <f t="shared" si="5"/>
        <v>97.623000000000005</v>
      </c>
      <c r="M42" s="52">
        <f t="shared" si="0"/>
        <v>331300</v>
      </c>
      <c r="N42" s="52">
        <f t="shared" si="0"/>
        <v>431</v>
      </c>
      <c r="O42" s="52">
        <f t="shared" si="0"/>
        <v>22200.000000000004</v>
      </c>
      <c r="P42" s="52">
        <f t="shared" si="0"/>
        <v>-60</v>
      </c>
      <c r="Q42" s="52">
        <f t="shared" si="0"/>
        <v>-240</v>
      </c>
      <c r="R42" s="52">
        <f t="shared" si="4"/>
        <v>619700</v>
      </c>
      <c r="S42" s="52">
        <f t="shared" si="1"/>
        <v>2599</v>
      </c>
    </row>
    <row r="43" spans="1:19" x14ac:dyDescent="0.35">
      <c r="A43" s="5" t="s">
        <v>47</v>
      </c>
      <c r="B43" s="6" t="s">
        <v>65</v>
      </c>
      <c r="C43" s="38" t="s">
        <v>0</v>
      </c>
      <c r="D43" s="39">
        <v>33.54</v>
      </c>
      <c r="E43" s="1">
        <v>3.2300000000000002E-2</v>
      </c>
      <c r="F43" s="1">
        <v>7.48</v>
      </c>
      <c r="G43" s="1">
        <v>1.7100000000000001E-2</v>
      </c>
      <c r="H43" s="27" t="s">
        <v>1</v>
      </c>
      <c r="I43" s="1">
        <v>56.93</v>
      </c>
      <c r="J43" s="27" t="s">
        <v>1</v>
      </c>
      <c r="K43" s="35">
        <f t="shared" si="5"/>
        <v>97.999400000000009</v>
      </c>
      <c r="M43" s="52">
        <f t="shared" si="0"/>
        <v>335400</v>
      </c>
      <c r="N43" s="52">
        <f t="shared" si="0"/>
        <v>323</v>
      </c>
      <c r="O43" s="52">
        <f t="shared" si="0"/>
        <v>74800</v>
      </c>
      <c r="P43" s="52">
        <f t="shared" si="0"/>
        <v>171</v>
      </c>
      <c r="Q43" s="52">
        <f t="shared" si="0"/>
        <v>-240</v>
      </c>
      <c r="R43" s="52">
        <f t="shared" si="4"/>
        <v>569300</v>
      </c>
      <c r="S43" s="52">
        <f t="shared" si="1"/>
        <v>-100</v>
      </c>
    </row>
    <row r="44" spans="1:19" x14ac:dyDescent="0.35">
      <c r="A44" s="5" t="s">
        <v>48</v>
      </c>
      <c r="B44" s="6" t="s">
        <v>65</v>
      </c>
      <c r="C44" s="38" t="s">
        <v>0</v>
      </c>
      <c r="D44" s="39">
        <v>33.32</v>
      </c>
      <c r="E44" s="1">
        <v>1.38E-2</v>
      </c>
      <c r="F44" s="1">
        <v>6.35</v>
      </c>
      <c r="G44" s="1">
        <v>1.0800000000000001E-2</v>
      </c>
      <c r="H44" s="27" t="s">
        <v>1</v>
      </c>
      <c r="I44" s="1">
        <v>58.04</v>
      </c>
      <c r="J44" s="1">
        <v>1.41E-2</v>
      </c>
      <c r="K44" s="35">
        <f t="shared" si="5"/>
        <v>97.748699999999999</v>
      </c>
      <c r="M44" s="52">
        <f t="shared" si="0"/>
        <v>333200</v>
      </c>
      <c r="N44" s="52">
        <f t="shared" si="0"/>
        <v>138</v>
      </c>
      <c r="O44" s="52">
        <f t="shared" si="0"/>
        <v>63500</v>
      </c>
      <c r="P44" s="52">
        <f t="shared" si="0"/>
        <v>108</v>
      </c>
      <c r="Q44" s="52">
        <f t="shared" si="0"/>
        <v>-240</v>
      </c>
      <c r="R44" s="52">
        <f t="shared" si="4"/>
        <v>580400</v>
      </c>
      <c r="S44" s="52">
        <f t="shared" si="1"/>
        <v>141</v>
      </c>
    </row>
    <row r="45" spans="1:19" x14ac:dyDescent="0.35">
      <c r="A45" s="5" t="s">
        <v>49</v>
      </c>
      <c r="B45" s="6" t="s">
        <v>66</v>
      </c>
      <c r="C45" s="7" t="s">
        <v>2</v>
      </c>
      <c r="D45" s="39">
        <v>33.64</v>
      </c>
      <c r="E45" s="1">
        <v>5.3100000000000001E-2</v>
      </c>
      <c r="F45" s="1">
        <v>11.27</v>
      </c>
      <c r="G45" s="1">
        <v>2.93E-2</v>
      </c>
      <c r="H45" s="1">
        <v>7.0599999999999996E-2</v>
      </c>
      <c r="I45" s="1">
        <v>53.56</v>
      </c>
      <c r="J45" s="27" t="s">
        <v>1</v>
      </c>
      <c r="K45" s="35">
        <f t="shared" si="5"/>
        <v>98.62299999999999</v>
      </c>
      <c r="M45" s="52">
        <f t="shared" si="0"/>
        <v>336400</v>
      </c>
      <c r="N45" s="52">
        <f t="shared" si="0"/>
        <v>531</v>
      </c>
      <c r="O45" s="52">
        <f t="shared" si="0"/>
        <v>112700</v>
      </c>
      <c r="P45" s="52">
        <f t="shared" si="0"/>
        <v>293</v>
      </c>
      <c r="Q45" s="52">
        <f t="shared" si="0"/>
        <v>706</v>
      </c>
      <c r="R45" s="52">
        <f t="shared" si="4"/>
        <v>535600</v>
      </c>
      <c r="S45" s="52">
        <f t="shared" si="1"/>
        <v>-100</v>
      </c>
    </row>
    <row r="46" spans="1:19" x14ac:dyDescent="0.35">
      <c r="A46" s="5" t="s">
        <v>50</v>
      </c>
      <c r="B46" s="6" t="s">
        <v>65</v>
      </c>
      <c r="C46" s="7" t="s">
        <v>2</v>
      </c>
      <c r="D46" s="39">
        <v>33.130000000000003</v>
      </c>
      <c r="E46" s="27" t="s">
        <v>1</v>
      </c>
      <c r="F46" s="1">
        <v>4.34</v>
      </c>
      <c r="G46" s="1">
        <v>1.12E-2</v>
      </c>
      <c r="H46" s="27" t="s">
        <v>1</v>
      </c>
      <c r="I46" s="1">
        <v>61.96</v>
      </c>
      <c r="J46" s="27" t="s">
        <v>1</v>
      </c>
      <c r="K46" s="35">
        <f t="shared" si="5"/>
        <v>99.441200000000009</v>
      </c>
      <c r="M46" s="52">
        <f t="shared" si="0"/>
        <v>331300</v>
      </c>
      <c r="N46" s="52">
        <f t="shared" si="0"/>
        <v>-140</v>
      </c>
      <c r="O46" s="52">
        <f t="shared" si="0"/>
        <v>43400</v>
      </c>
      <c r="P46" s="52">
        <f t="shared" si="0"/>
        <v>112</v>
      </c>
      <c r="Q46" s="52">
        <f t="shared" si="0"/>
        <v>-240</v>
      </c>
      <c r="R46" s="52">
        <f t="shared" si="4"/>
        <v>619600</v>
      </c>
      <c r="S46" s="52">
        <f t="shared" si="1"/>
        <v>-100</v>
      </c>
    </row>
    <row r="47" spans="1:19" x14ac:dyDescent="0.35">
      <c r="A47" s="5" t="s">
        <v>51</v>
      </c>
      <c r="B47" s="6" t="s">
        <v>66</v>
      </c>
      <c r="C47" s="7" t="s">
        <v>2</v>
      </c>
      <c r="D47" s="39">
        <v>33.299999999999997</v>
      </c>
      <c r="E47" s="27" t="s">
        <v>1</v>
      </c>
      <c r="F47" s="1">
        <v>9.1199999999999992</v>
      </c>
      <c r="G47" s="1">
        <v>2.5100000000000001E-2</v>
      </c>
      <c r="H47" s="27" t="s">
        <v>1</v>
      </c>
      <c r="I47" s="1">
        <v>56.31</v>
      </c>
      <c r="J47" s="1">
        <v>8.6300000000000002E-2</v>
      </c>
      <c r="K47" s="35">
        <f t="shared" si="5"/>
        <v>98.841399999999993</v>
      </c>
      <c r="M47" s="52">
        <f t="shared" si="0"/>
        <v>333000</v>
      </c>
      <c r="N47" s="52">
        <f t="shared" si="0"/>
        <v>-140</v>
      </c>
      <c r="O47" s="52">
        <f t="shared" si="0"/>
        <v>91199.999999999985</v>
      </c>
      <c r="P47" s="52">
        <f t="shared" si="0"/>
        <v>251</v>
      </c>
      <c r="Q47" s="52">
        <f t="shared" si="0"/>
        <v>-240</v>
      </c>
      <c r="R47" s="52">
        <f t="shared" si="4"/>
        <v>563100</v>
      </c>
      <c r="S47" s="52">
        <f t="shared" si="1"/>
        <v>863</v>
      </c>
    </row>
    <row r="48" spans="1:19" x14ac:dyDescent="0.35">
      <c r="A48" s="5" t="s">
        <v>52</v>
      </c>
      <c r="B48" s="6" t="s">
        <v>66</v>
      </c>
      <c r="C48" s="7" t="s">
        <v>2</v>
      </c>
      <c r="D48" s="39">
        <v>32.61</v>
      </c>
      <c r="E48" s="1">
        <v>3.2899999999999999E-2</v>
      </c>
      <c r="F48" s="1">
        <v>8.06</v>
      </c>
      <c r="G48" s="1">
        <v>1.9E-2</v>
      </c>
      <c r="H48" s="1">
        <v>9.35E-2</v>
      </c>
      <c r="I48" s="1">
        <v>54.71</v>
      </c>
      <c r="J48" s="27" t="s">
        <v>1</v>
      </c>
      <c r="K48" s="35">
        <f t="shared" si="5"/>
        <v>95.525399999999991</v>
      </c>
      <c r="M48" s="52">
        <f t="shared" si="0"/>
        <v>326100</v>
      </c>
      <c r="N48" s="52">
        <f t="shared" si="0"/>
        <v>329</v>
      </c>
      <c r="O48" s="52">
        <f t="shared" si="0"/>
        <v>80600</v>
      </c>
      <c r="P48" s="52">
        <f t="shared" si="0"/>
        <v>190</v>
      </c>
      <c r="Q48" s="52">
        <f t="shared" si="0"/>
        <v>935</v>
      </c>
      <c r="R48" s="52">
        <f t="shared" si="4"/>
        <v>547100</v>
      </c>
      <c r="S48" s="52">
        <f t="shared" si="1"/>
        <v>-100</v>
      </c>
    </row>
    <row r="49" spans="1:19" x14ac:dyDescent="0.35">
      <c r="A49" s="8" t="s">
        <v>53</v>
      </c>
      <c r="B49" s="10" t="s">
        <v>62</v>
      </c>
      <c r="C49" s="11" t="s">
        <v>2</v>
      </c>
      <c r="D49" s="40">
        <v>32.799999999999997</v>
      </c>
      <c r="E49" s="41">
        <v>3.7499999999999999E-2</v>
      </c>
      <c r="F49" s="41">
        <v>8</v>
      </c>
      <c r="G49" s="41">
        <v>1.5900000000000001E-2</v>
      </c>
      <c r="H49" s="41">
        <v>3.8199999999999998E-2</v>
      </c>
      <c r="I49" s="41">
        <v>56.98</v>
      </c>
      <c r="J49" s="41">
        <v>9.1600000000000001E-2</v>
      </c>
      <c r="K49" s="42">
        <f t="shared" si="5"/>
        <v>97.963200000000001</v>
      </c>
      <c r="M49" s="52">
        <f t="shared" si="0"/>
        <v>328000</v>
      </c>
      <c r="N49" s="52">
        <f t="shared" si="0"/>
        <v>375</v>
      </c>
      <c r="O49" s="52">
        <f t="shared" si="0"/>
        <v>80000</v>
      </c>
      <c r="P49" s="52">
        <f t="shared" si="0"/>
        <v>159</v>
      </c>
      <c r="Q49" s="52">
        <f t="shared" si="0"/>
        <v>382</v>
      </c>
      <c r="R49" s="52">
        <f t="shared" si="4"/>
        <v>569800</v>
      </c>
      <c r="S49" s="52">
        <f t="shared" si="1"/>
        <v>916</v>
      </c>
    </row>
    <row r="50" spans="1:19" x14ac:dyDescent="0.35">
      <c r="Q50" s="3"/>
      <c r="R50" s="3"/>
    </row>
    <row r="51" spans="1:19" ht="14.6" x14ac:dyDescent="0.4">
      <c r="A51" s="44" t="s">
        <v>81</v>
      </c>
      <c r="B51" s="4"/>
      <c r="C51" s="4" t="s">
        <v>4</v>
      </c>
      <c r="D51" s="24">
        <f t="shared" ref="D51:J51" si="6">MIN(D4:D49)</f>
        <v>31.32</v>
      </c>
      <c r="E51" s="24">
        <f t="shared" si="6"/>
        <v>1.38E-2</v>
      </c>
      <c r="F51" s="24">
        <f t="shared" si="6"/>
        <v>0.17949999999999999</v>
      </c>
      <c r="G51" s="24">
        <f t="shared" si="6"/>
        <v>5.7000000000000002E-3</v>
      </c>
      <c r="H51" s="24">
        <f t="shared" si="6"/>
        <v>2.5700000000000001E-2</v>
      </c>
      <c r="I51" s="24">
        <f t="shared" si="6"/>
        <v>53.56</v>
      </c>
      <c r="J51" s="24">
        <f t="shared" si="6"/>
        <v>1.41E-2</v>
      </c>
      <c r="K51" s="25"/>
      <c r="Q51" s="3"/>
      <c r="R51" s="3"/>
    </row>
    <row r="52" spans="1:19" ht="14.6" x14ac:dyDescent="0.4">
      <c r="A52" s="45">
        <v>46</v>
      </c>
      <c r="B52" s="2"/>
      <c r="C52" s="2" t="s">
        <v>5</v>
      </c>
      <c r="D52" s="27">
        <f t="shared" ref="D52:J52" si="7">MAX(D4:D49)</f>
        <v>33.700000000000003</v>
      </c>
      <c r="E52" s="27">
        <f t="shared" si="7"/>
        <v>5.3100000000000001E-2</v>
      </c>
      <c r="F52" s="27">
        <f t="shared" si="7"/>
        <v>11.27</v>
      </c>
      <c r="G52" s="27">
        <f t="shared" si="7"/>
        <v>2.93E-2</v>
      </c>
      <c r="H52" s="27">
        <f t="shared" si="7"/>
        <v>0.1065</v>
      </c>
      <c r="I52" s="27">
        <f t="shared" si="7"/>
        <v>66.150000000000006</v>
      </c>
      <c r="J52" s="27">
        <f t="shared" si="7"/>
        <v>0.54430000000000001</v>
      </c>
      <c r="K52" s="28"/>
    </row>
    <row r="53" spans="1:19" x14ac:dyDescent="0.35">
      <c r="A53" s="26"/>
      <c r="B53" s="2"/>
      <c r="C53" s="2" t="s">
        <v>6</v>
      </c>
      <c r="D53" s="27">
        <f t="shared" ref="D53:J53" si="8">AVERAGE(D4:D49)</f>
        <v>32.84804347826087</v>
      </c>
      <c r="E53" s="27">
        <f t="shared" si="8"/>
        <v>2.775E-2</v>
      </c>
      <c r="F53" s="27">
        <f t="shared" si="8"/>
        <v>4.4527043478260859</v>
      </c>
      <c r="G53" s="27">
        <f t="shared" si="8"/>
        <v>1.2542307692307695E-2</v>
      </c>
      <c r="H53" s="27">
        <f t="shared" si="8"/>
        <v>5.9291666666666666E-2</v>
      </c>
      <c r="I53" s="27">
        <f t="shared" si="8"/>
        <v>61.133913043478245</v>
      </c>
      <c r="J53" s="27">
        <f t="shared" si="8"/>
        <v>0.19615675675675673</v>
      </c>
      <c r="K53" s="28"/>
    </row>
    <row r="54" spans="1:19" x14ac:dyDescent="0.35">
      <c r="A54" s="26"/>
      <c r="B54" s="2"/>
      <c r="C54" s="50" t="s">
        <v>82</v>
      </c>
      <c r="D54" s="31">
        <f t="shared" ref="D54:J54" si="9">MEDIAN(D4:D49)</f>
        <v>32.93</v>
      </c>
      <c r="E54" s="31">
        <f t="shared" si="9"/>
        <v>2.8299999999999999E-2</v>
      </c>
      <c r="F54" s="31">
        <f t="shared" si="9"/>
        <v>3.835</v>
      </c>
      <c r="G54" s="31">
        <f t="shared" si="9"/>
        <v>1.0999999999999999E-2</v>
      </c>
      <c r="H54" s="31">
        <f t="shared" si="9"/>
        <v>5.7149999999999999E-2</v>
      </c>
      <c r="I54" s="31">
        <f t="shared" si="9"/>
        <v>61.965000000000003</v>
      </c>
      <c r="J54" s="31">
        <f t="shared" si="9"/>
        <v>0.1883</v>
      </c>
      <c r="K54" s="46"/>
    </row>
    <row r="55" spans="1:19" x14ac:dyDescent="0.35">
      <c r="A55" s="29"/>
      <c r="B55" s="9"/>
      <c r="C55" s="9" t="s">
        <v>7</v>
      </c>
      <c r="D55" s="15">
        <f t="shared" ref="D55:J55" si="10">STDEV(D4:D49)</f>
        <v>0.49393935554531587</v>
      </c>
      <c r="E55" s="15">
        <f t="shared" si="10"/>
        <v>1.1093943763842243E-2</v>
      </c>
      <c r="F55" s="15">
        <f t="shared" si="10"/>
        <v>3.0278060532307349</v>
      </c>
      <c r="G55" s="15">
        <f t="shared" si="10"/>
        <v>6.2414211892435536E-3</v>
      </c>
      <c r="H55" s="15">
        <f t="shared" si="10"/>
        <v>2.5049712694172881E-2</v>
      </c>
      <c r="I55" s="15">
        <f t="shared" si="10"/>
        <v>3.4650614734074714</v>
      </c>
      <c r="J55" s="15">
        <f t="shared" si="10"/>
        <v>0.11657414078731315</v>
      </c>
      <c r="K55" s="16"/>
    </row>
    <row r="56" spans="1:19" x14ac:dyDescent="0.35">
      <c r="C56" s="43"/>
    </row>
    <row r="57" spans="1:19" x14ac:dyDescent="0.35">
      <c r="A57" s="23"/>
      <c r="B57" s="4"/>
      <c r="C57" s="12" t="s">
        <v>79</v>
      </c>
      <c r="D57" s="48" t="s">
        <v>54</v>
      </c>
      <c r="E57" s="4" t="s">
        <v>55</v>
      </c>
      <c r="F57" s="48" t="s">
        <v>56</v>
      </c>
      <c r="G57" s="48" t="s">
        <v>57</v>
      </c>
      <c r="H57" s="48" t="s">
        <v>58</v>
      </c>
      <c r="I57" s="48" t="s">
        <v>59</v>
      </c>
      <c r="J57" s="48" t="s">
        <v>60</v>
      </c>
      <c r="K57" s="22"/>
    </row>
    <row r="58" spans="1:19" x14ac:dyDescent="0.35">
      <c r="A58" s="29"/>
      <c r="B58" s="9"/>
      <c r="C58" s="47" t="s">
        <v>6</v>
      </c>
      <c r="D58" s="41">
        <v>7.0000000000000001E-3</v>
      </c>
      <c r="E58" s="9">
        <v>1.4E-2</v>
      </c>
      <c r="F58" s="41">
        <v>1.2E-2</v>
      </c>
      <c r="G58" s="41">
        <v>6.0000000000000001E-3</v>
      </c>
      <c r="H58" s="41">
        <v>2.4E-2</v>
      </c>
      <c r="I58" s="41">
        <v>1.2E-2</v>
      </c>
      <c r="J58" s="41">
        <v>0.01</v>
      </c>
      <c r="K58" s="49"/>
    </row>
    <row r="59" spans="1:19" x14ac:dyDescent="0.35">
      <c r="D59" s="52">
        <f>D58*10000</f>
        <v>70</v>
      </c>
      <c r="E59" s="52">
        <f>E58*10000</f>
        <v>140</v>
      </c>
      <c r="F59" s="52">
        <f>F58*10000</f>
        <v>120</v>
      </c>
      <c r="G59" s="52">
        <f>G58*10000</f>
        <v>60</v>
      </c>
      <c r="H59" s="52">
        <f>H58*10000</f>
        <v>240</v>
      </c>
      <c r="I59" s="52">
        <f>I58*10000</f>
        <v>120</v>
      </c>
      <c r="J59" s="52">
        <f>J58*10000</f>
        <v>100</v>
      </c>
    </row>
    <row r="60" spans="1:19" x14ac:dyDescent="0.35">
      <c r="A60" s="30" t="s">
        <v>1</v>
      </c>
      <c r="B60" s="17" t="s">
        <v>80</v>
      </c>
      <c r="C60" s="19"/>
      <c r="D60" s="19"/>
      <c r="E60" s="19"/>
      <c r="F60" s="19"/>
      <c r="G60" s="19"/>
      <c r="H60" s="19"/>
      <c r="I60" s="19"/>
      <c r="J60" s="19"/>
      <c r="K60" s="20"/>
    </row>
  </sheetData>
  <mergeCells count="2">
    <mergeCell ref="A1:K1"/>
    <mergeCell ref="A2:K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9770C754368F49BB2A63D8816AD496" ma:contentTypeVersion="3" ma:contentTypeDescription="Create a new document." ma:contentTypeScope="" ma:versionID="6cd95dd43520703c042c7d5ccfb67660">
  <xsd:schema xmlns:xsd="http://www.w3.org/2001/XMLSchema" xmlns:xs="http://www.w3.org/2001/XMLSchema" xmlns:p="http://schemas.microsoft.com/office/2006/metadata/properties" xmlns:ns2="07286b27-ac00-4b57-920d-5e26223b3ea4" targetNamespace="http://schemas.microsoft.com/office/2006/metadata/properties" ma:root="true" ma:fieldsID="dc5f8338b6116805ec1a3fefc0475030" ns2:_="">
    <xsd:import namespace="07286b27-ac00-4b57-920d-5e26223b3e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86b27-ac00-4b57-920d-5e26223b3e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949F645-83F7-4EA4-9FDC-74E9CA6D319A}"/>
</file>

<file path=customXml/itemProps2.xml><?xml version="1.0" encoding="utf-8"?>
<ds:datastoreItem xmlns:ds="http://schemas.openxmlformats.org/officeDocument/2006/customXml" ds:itemID="{A48A49FD-9A3A-4CBC-911F-C570280141DF}">
  <ds:schemaRefs>
    <ds:schemaRef ds:uri="http://schemas.microsoft.com/office/2006/metadata/properties"/>
    <ds:schemaRef ds:uri="http://schemas.microsoft.com/office/infopath/2007/PartnerControls"/>
    <ds:schemaRef ds:uri="d1b6de73-4f20-4d67-b501-ebb16ac10b95"/>
    <ds:schemaRef ds:uri="31062a0d-ede8-4112-b4bb-00a9c1bc8e16"/>
  </ds:schemaRefs>
</ds:datastoreItem>
</file>

<file path=customXml/itemProps3.xml><?xml version="1.0" encoding="utf-8"?>
<ds:datastoreItem xmlns:ds="http://schemas.openxmlformats.org/officeDocument/2006/customXml" ds:itemID="{FE5A9BCB-18EA-41B1-B3A6-64F0952E1A2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2 EPMA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Ciccolella</dc:creator>
  <cp:lastModifiedBy>Tharalson, Erik R</cp:lastModifiedBy>
  <dcterms:created xsi:type="dcterms:W3CDTF">2023-12-13T18:52:29Z</dcterms:created>
  <dcterms:modified xsi:type="dcterms:W3CDTF">2025-03-12T15:00:56Z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0x010100E89770C754368F49BB2A63D8816AD496</vt:lpwstr>
  </property>
  <property fmtid="{D5CDD505-2E9C-101B-9397-08002B2CF9AE}" pid="3" name="MediaServiceImageTags">
    <vt:lpwstr/>
  </property>
</Properties>
</file>