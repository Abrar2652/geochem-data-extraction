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5" documentId="13_ncr:1_{BB9CFAB4-A1EE-FD4A-BC73-1397357D081E}" xr6:coauthVersionLast="47" xr6:coauthVersionMax="47" xr10:uidLastSave="{AA2CE879-2C14-4ACE-832C-017483185989}"/>
  <bookViews>
    <workbookView xWindow="86280" yWindow="8580" windowWidth="29040" windowHeight="17520" xr2:uid="{4182DEA2-C514-B84A-A4D1-DA64E2690150}"/>
  </bookViews>
  <sheets>
    <sheet name="Table 6 LAICPM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6" l="1"/>
  <c r="D49" i="6"/>
  <c r="D48" i="6"/>
  <c r="D47" i="6"/>
  <c r="D46" i="6"/>
  <c r="F46" i="6"/>
  <c r="G46" i="6"/>
  <c r="H46" i="6"/>
  <c r="I46" i="6"/>
  <c r="J46" i="6"/>
  <c r="K46" i="6"/>
  <c r="L46" i="6"/>
  <c r="M46" i="6"/>
  <c r="N46" i="6"/>
  <c r="O46" i="6"/>
  <c r="P46" i="6"/>
  <c r="Q46" i="6"/>
  <c r="S46" i="6"/>
  <c r="T46" i="6"/>
  <c r="F47" i="6"/>
  <c r="G47" i="6"/>
  <c r="H47" i="6"/>
  <c r="I47" i="6"/>
  <c r="J47" i="6"/>
  <c r="K47" i="6"/>
  <c r="L47" i="6"/>
  <c r="M47" i="6"/>
  <c r="N47" i="6"/>
  <c r="O47" i="6"/>
  <c r="P47" i="6"/>
  <c r="Q47" i="6"/>
  <c r="S47" i="6"/>
  <c r="T47" i="6"/>
  <c r="F48" i="6"/>
  <c r="G48" i="6"/>
  <c r="H48" i="6"/>
  <c r="I48" i="6"/>
  <c r="J48" i="6"/>
  <c r="K48" i="6"/>
  <c r="L48" i="6"/>
  <c r="M48" i="6"/>
  <c r="N48" i="6"/>
  <c r="O48" i="6"/>
  <c r="P48" i="6"/>
  <c r="Q48" i="6"/>
  <c r="S48" i="6"/>
  <c r="T48" i="6"/>
  <c r="F49" i="6"/>
  <c r="G49" i="6"/>
  <c r="H49" i="6"/>
  <c r="I49" i="6"/>
  <c r="J49" i="6"/>
  <c r="K49" i="6"/>
  <c r="L49" i="6"/>
  <c r="M49" i="6"/>
  <c r="N49" i="6"/>
  <c r="O49" i="6"/>
  <c r="P49" i="6"/>
  <c r="Q49" i="6"/>
  <c r="S49" i="6"/>
  <c r="T49" i="6"/>
  <c r="F50" i="6"/>
  <c r="G50" i="6"/>
  <c r="H50" i="6"/>
  <c r="I50" i="6"/>
  <c r="J50" i="6"/>
  <c r="K50" i="6"/>
  <c r="L50" i="6"/>
  <c r="M50" i="6"/>
  <c r="N50" i="6"/>
  <c r="O50" i="6"/>
  <c r="P50" i="6"/>
  <c r="Q50" i="6"/>
  <c r="S50" i="6"/>
  <c r="T50" i="6"/>
  <c r="E50" i="6"/>
  <c r="E49" i="6"/>
  <c r="E48" i="6"/>
  <c r="E47" i="6"/>
  <c r="E46" i="6"/>
</calcChain>
</file>

<file path=xl/sharedStrings.xml><?xml version="1.0" encoding="utf-8"?>
<sst xmlns="http://schemas.openxmlformats.org/spreadsheetml/2006/main" count="226" uniqueCount="79">
  <si>
    <t>b.d.l.</t>
  </si>
  <si>
    <t>min</t>
  </si>
  <si>
    <t>max</t>
  </si>
  <si>
    <t>average</t>
  </si>
  <si>
    <t>colour</t>
  </si>
  <si>
    <t>type</t>
  </si>
  <si>
    <t>below detection limit</t>
  </si>
  <si>
    <t>Zn66</t>
  </si>
  <si>
    <t>Fe57</t>
  </si>
  <si>
    <t>Cd111</t>
  </si>
  <si>
    <t>Cu65</t>
  </si>
  <si>
    <t>Ga71</t>
  </si>
  <si>
    <t>Ge74</t>
  </si>
  <si>
    <t>Mn55</t>
  </si>
  <si>
    <t>Co59</t>
  </si>
  <si>
    <t>Ag107</t>
  </si>
  <si>
    <t>In115</t>
  </si>
  <si>
    <t>Sn118</t>
  </si>
  <si>
    <t>Sb121</t>
  </si>
  <si>
    <t>Hg202</t>
  </si>
  <si>
    <t>Tl205</t>
  </si>
  <si>
    <t>Pb208</t>
  </si>
  <si>
    <t>Bi209</t>
  </si>
  <si>
    <t>S34</t>
  </si>
  <si>
    <t>Laser spots</t>
  </si>
  <si>
    <t>Sp1</t>
  </si>
  <si>
    <t>Sp2</t>
  </si>
  <si>
    <t>standard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</si>
  <si>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</si>
  <si>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</si>
  <si>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</si>
  <si>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</si>
  <si>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</si>
  <si>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</si>
  <si>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</si>
  <si>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</si>
  <si>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</si>
  <si>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</si>
  <si>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FA17a, Sph, p.72</t>
  </si>
  <si>
    <t>FA17a, Sph, p.74</t>
  </si>
  <si>
    <t>FA17a, Sph, p.68</t>
  </si>
  <si>
    <t>b.d.l</t>
  </si>
  <si>
    <t>n° of analyses</t>
  </si>
  <si>
    <t>median</t>
  </si>
  <si>
    <t>st.dev.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</si>
  <si>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</si>
  <si>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</si>
  <si>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</si>
  <si>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</si>
  <si>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</si>
  <si>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</si>
  <si>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</si>
  <si>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</si>
  <si>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</si>
  <si>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</si>
  <si>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</si>
  <si>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</si>
  <si>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</si>
  <si>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FA04, Sph, p.77</t>
  </si>
  <si>
    <t>FA04, Sph, p.80</t>
  </si>
  <si>
    <t>FA04, Sph, p.82</t>
  </si>
  <si>
    <t>FA04, Sph, p.86</t>
  </si>
  <si>
    <t>FA04, Sph, p.1</t>
  </si>
  <si>
    <t>FA04, Sph, p.2</t>
  </si>
  <si>
    <t>FA04, Sph, p.3</t>
  </si>
  <si>
    <t>FA04, Sph, p.81</t>
  </si>
  <si>
    <t>colour legend: L (Light Yellow) - Y (Yellow) - B (Brown) - R (Reddish Brown) (standard by EPMA Zn-content)</t>
  </si>
  <si>
    <r>
      <rPr>
        <b/>
        <sz val="11"/>
        <rFont val="Helvetica"/>
        <family val="2"/>
      </rPr>
      <t>Table S6</t>
    </r>
    <r>
      <rPr>
        <sz val="11"/>
        <rFont val="Helvetica"/>
        <family val="2"/>
      </rPr>
      <t>. LA-ICP-MS analysis (ppm) of sphalerite from the Fonte Argentila area (FAR)</t>
    </r>
  </si>
  <si>
    <t>FA17a_sp.1</t>
  </si>
  <si>
    <t>Sp3</t>
  </si>
  <si>
    <t>FA17a_sp.2</t>
  </si>
  <si>
    <t>FA17a_sp.3</t>
  </si>
  <si>
    <t>FA17a_sp.4</t>
  </si>
  <si>
    <t>FA17a_sp.5</t>
  </si>
  <si>
    <t>Light Yellow</t>
  </si>
  <si>
    <t>Yellow</t>
  </si>
  <si>
    <t>Brown</t>
  </si>
  <si>
    <t>Reddish Brown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</si>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</sst>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b/>
      <sz val="11"/>
      <name val="Helvetic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2" fontId="3" fillId="0" borderId="10" xfId="0" applyNumberFormat="1" applyFont="1" applyBorder="1" applyAlignment="1">
      <alignment horizontal="left" vertical="top"/>
    </xf>
    <xf numFmtId="2" fontId="3" fillId="0" borderId="1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4" xfId="0" applyFont="1" applyBorder="1"/>
    <xf numFmtId="2" fontId="4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left"/>
    </xf>
    <xf numFmtId="2" fontId="3" fillId="0" borderId="0" xfId="0" applyNumberFormat="1" applyFont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0" xfId="0" applyFont="1" applyBorder="1"/>
    <xf numFmtId="0" fontId="4" fillId="0" borderId="11" xfId="0" applyFont="1" applyBorder="1" applyAlignment="1">
      <alignment horizontal="left"/>
    </xf>
    <xf numFmtId="0" fontId="2" fillId="0" borderId="12" xfId="0" applyFont="1" applyBorder="1"/>
    <xf numFmtId="0" fontId="2" fillId="0" borderId="11" xfId="0" applyFont="1" applyBorder="1"/>
    <xf numFmtId="164" fontId="3" fillId="0" borderId="5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3" fillId="0" borderId="9" xfId="0" applyNumberFormat="1" applyFont="1" applyBorder="1" applyAlignment="1">
      <alignment horizontal="center" vertical="top"/>
    </xf>
    <xf numFmtId="2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left" vertical="top"/>
    </xf>
    <xf numFmtId="2" fontId="3" fillId="0" borderId="8" xfId="0" applyNumberFormat="1" applyFont="1" applyBorder="1" applyAlignment="1">
      <alignment horizontal="left" vertical="top"/>
    </xf>
    <xf numFmtId="164" fontId="4" fillId="0" borderId="14" xfId="0" applyNumberFormat="1" applyFont="1" applyFill="1" applyBorder="1" applyAlignment="1">
      <alignment horizontal="center"/>
    </xf>
    <xf numFmtId="164" fontId="4" fillId="0" borderId="1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15B6-F9C7-D84B-BA83-159AA4AAB9E8}">
  <dimension ref="A1:U52"/>
  <sheetViews>
    <sheetView tabSelected="1" zoomScale="85" zoomScaleNormal="85" workbookViewId="0">
      <selection activeCell="L5" sqref="L5:L43"/>
    </sheetView>
  </sheetViews>
  <sheetFormatPr defaultColWidth="10.85546875" defaultRowHeight="14.15" x14ac:dyDescent="0.35"/>
  <cols>
    <col min="1" max="1" width="17" style="3" bestFit="1" customWidth="1"/>
    <col min="2" max="2" width="7.85546875" style="4" bestFit="1" customWidth="1"/>
    <col min="3" max="3" width="7.5" style="5" customWidth="1"/>
    <col min="4" max="4" width="12.140625" style="5" bestFit="1" customWidth="1"/>
    <col min="5" max="20" width="10.85546875" style="5"/>
    <col min="21" max="16384" width="10.85546875" style="2"/>
  </cols>
  <sheetData>
    <row r="1" spans="1:20" x14ac:dyDescent="0.35">
      <c r="A1" s="63" t="s">
        <v>67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0" x14ac:dyDescent="0.35">
      <c r="A2" s="63" t="s">
        <v>66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x14ac:dyDescent="0.35">
      <c r="I3" s="6" t="s">
        <v>27</v>
      </c>
    </row>
    <row r="4" spans="1:20" x14ac:dyDescent="0.35">
      <c r="A4" s="7" t="s">
        <v>24</v>
      </c>
      <c r="B4" s="8" t="s">
        <v>4</v>
      </c>
      <c r="C4" s="9" t="s">
        <v>5</v>
      </c>
      <c r="D4" s="10" t="s">
        <v>23</v>
      </c>
      <c r="E4" s="11" t="s">
        <v>13</v>
      </c>
      <c r="F4" s="11" t="s">
        <v>8</v>
      </c>
      <c r="G4" s="11" t="s">
        <v>14</v>
      </c>
      <c r="H4" s="11" t="s">
        <v>10</v>
      </c>
      <c r="I4" s="11" t="s">
        <v>7</v>
      </c>
      <c r="J4" s="11" t="s">
        <v>11</v>
      </c>
      <c r="K4" s="11" t="s">
        <v>12</v>
      </c>
      <c r="L4" s="11" t="s">
        <v>15</v>
      </c>
      <c r="M4" s="11" t="s">
        <v>9</v>
      </c>
      <c r="N4" s="11" t="s">
        <v>16</v>
      </c>
      <c r="O4" s="11" t="s">
        <v>17</v>
      </c>
      <c r="P4" s="11" t="s">
        <v>18</v>
      </c>
      <c r="Q4" s="11" t="s">
        <v>19</v>
      </c>
      <c r="R4" s="11" t="s">
        <v>20</v>
      </c>
      <c r="S4" s="11" t="s">
        <v>21</v>
      </c>
      <c r="T4" s="12" t="s">
        <v>22</v>
      </c>
    </row>
    <row r="5" spans="1:20" x14ac:dyDescent="0.35">
      <c r="A5" s="13" t="s">
        <v>28</v>
      </c>
      <c r="B5" s="14" t="s">
        <v>74</v>
      </c>
      <c r="C5" s="15" t="s">
        <v>25</v>
      </c>
      <c r="D5" s="45">
        <v>318664.1845657957</v>
      </c>
      <c r="E5" s="42">
        <v>21.822820405125224</v>
      </c>
      <c r="F5" s="42">
        <v>12985.250369263977</v>
      </c>
      <c r="G5" s="42">
        <v>24.105582717295977</v>
      </c>
      <c r="H5" s="42">
        <v>698.89919982895253</v>
      </c>
      <c r="I5" s="42">
        <v>643900</v>
      </c>
      <c r="J5" s="42">
        <v>69.321118047552275</v>
      </c>
      <c r="K5" s="42">
        <v>378.1911666186021</v>
      </c>
      <c r="L5" s="42">
        <v>7.3008702363283993</v>
      </c>
      <c r="M5" s="42">
        <v>1067.2541202700661</v>
      </c>
      <c r="N5" s="42">
        <v>8.3795272551009561E-2</v>
      </c>
      <c r="O5" s="42">
        <v>0.90005667937684464</v>
      </c>
      <c r="P5" s="42">
        <v>13.003405203548388</v>
      </c>
      <c r="Q5" s="42">
        <v>31.753435350612325</v>
      </c>
      <c r="R5" s="42" t="s">
        <v>41</v>
      </c>
      <c r="S5" s="42">
        <v>3.8301342317444989</v>
      </c>
      <c r="T5" s="30">
        <v>0.13089559416051352</v>
      </c>
    </row>
    <row r="6" spans="1:20" x14ac:dyDescent="0.35">
      <c r="A6" s="16" t="s">
        <v>29</v>
      </c>
      <c r="B6" s="4" t="s">
        <v>74</v>
      </c>
      <c r="C6" s="17" t="s">
        <v>25</v>
      </c>
      <c r="D6" s="43">
        <v>323287.56635502254</v>
      </c>
      <c r="E6" s="1">
        <v>36.552639753707354</v>
      </c>
      <c r="F6" s="1">
        <v>15194.018191808447</v>
      </c>
      <c r="G6" s="1">
        <v>21.656608653996901</v>
      </c>
      <c r="H6" s="1">
        <v>114.46922830636187</v>
      </c>
      <c r="I6" s="1">
        <v>643900</v>
      </c>
      <c r="J6" s="1">
        <v>14.584462476203543</v>
      </c>
      <c r="K6" s="1">
        <v>48.774883372913465</v>
      </c>
      <c r="L6" s="1">
        <v>7.8987949058974216</v>
      </c>
      <c r="M6" s="1">
        <v>2720.2234972122055</v>
      </c>
      <c r="N6" s="1">
        <v>0.17751462185907982</v>
      </c>
      <c r="O6" s="1">
        <v>1.3865341469649226</v>
      </c>
      <c r="P6" s="1">
        <v>10.288688421732299</v>
      </c>
      <c r="Q6" s="1">
        <v>36.679023201252242</v>
      </c>
      <c r="R6" s="1" t="s">
        <v>41</v>
      </c>
      <c r="S6" s="1">
        <v>5.4945561398272647</v>
      </c>
      <c r="T6" s="38" t="s">
        <v>41</v>
      </c>
    </row>
    <row r="7" spans="1:20" x14ac:dyDescent="0.35">
      <c r="A7" s="16" t="s">
        <v>30</v>
      </c>
      <c r="B7" s="4" t="s">
        <v>74</v>
      </c>
      <c r="C7" s="17" t="s">
        <v>25</v>
      </c>
      <c r="D7" s="43">
        <v>353317.78826439305</v>
      </c>
      <c r="E7" s="1">
        <v>55.846275955474638</v>
      </c>
      <c r="F7" s="1">
        <v>16362.131380157658</v>
      </c>
      <c r="G7" s="1">
        <v>43.524602650837529</v>
      </c>
      <c r="H7" s="1">
        <v>58.628616964141294</v>
      </c>
      <c r="I7" s="1">
        <v>643900</v>
      </c>
      <c r="J7" s="1">
        <v>4.4442069529907009</v>
      </c>
      <c r="K7" s="1">
        <v>9.7619671012679916</v>
      </c>
      <c r="L7" s="1">
        <v>8.2838361761025929</v>
      </c>
      <c r="M7" s="1">
        <v>2384.6189502462316</v>
      </c>
      <c r="N7" s="1">
        <v>10.102069717036006</v>
      </c>
      <c r="O7" s="1">
        <v>9.7116634639738457</v>
      </c>
      <c r="P7" s="1">
        <v>16.87636341787999</v>
      </c>
      <c r="Q7" s="1">
        <v>49.750378268769182</v>
      </c>
      <c r="R7" s="1" t="s">
        <v>41</v>
      </c>
      <c r="S7" s="1">
        <v>10.694467793863017</v>
      </c>
      <c r="T7" s="38" t="s">
        <v>41</v>
      </c>
    </row>
    <row r="8" spans="1:20" x14ac:dyDescent="0.35">
      <c r="A8" s="16" t="s">
        <v>31</v>
      </c>
      <c r="B8" s="4" t="s">
        <v>74</v>
      </c>
      <c r="C8" s="17" t="s">
        <v>25</v>
      </c>
      <c r="D8" s="43">
        <v>346450.25809985847</v>
      </c>
      <c r="E8" s="1">
        <v>29.888258058092866</v>
      </c>
      <c r="F8" s="1">
        <v>13296.163495956363</v>
      </c>
      <c r="G8" s="1">
        <v>31.420152639227549</v>
      </c>
      <c r="H8" s="1">
        <v>167.14837075179281</v>
      </c>
      <c r="I8" s="1">
        <v>643900</v>
      </c>
      <c r="J8" s="1">
        <v>33.489444864076461</v>
      </c>
      <c r="K8" s="1">
        <v>71.501101160295917</v>
      </c>
      <c r="L8" s="1">
        <v>2.056116571624405</v>
      </c>
      <c r="M8" s="1">
        <v>3206.3325712467404</v>
      </c>
      <c r="N8" s="1">
        <v>20.519734683173397</v>
      </c>
      <c r="O8" s="1">
        <v>0.66141516287928304</v>
      </c>
      <c r="P8" s="1">
        <v>3.996112872898181</v>
      </c>
      <c r="Q8" s="1">
        <v>46.489765107163208</v>
      </c>
      <c r="R8" s="1" t="s">
        <v>41</v>
      </c>
      <c r="S8" s="1">
        <v>5.3274074046663182</v>
      </c>
      <c r="T8" s="38">
        <v>0.26056019270447889</v>
      </c>
    </row>
    <row r="9" spans="1:20" x14ac:dyDescent="0.35">
      <c r="A9" s="16" t="s">
        <v>32</v>
      </c>
      <c r="B9" s="4" t="s">
        <v>74</v>
      </c>
      <c r="C9" s="17" t="s">
        <v>25</v>
      </c>
      <c r="D9" s="43">
        <v>354000.10588426248</v>
      </c>
      <c r="E9" s="1">
        <v>32.096103942776892</v>
      </c>
      <c r="F9" s="1">
        <v>14843.205814178087</v>
      </c>
      <c r="G9" s="1">
        <v>37.557121014870695</v>
      </c>
      <c r="H9" s="1">
        <v>148.41613452289988</v>
      </c>
      <c r="I9" s="1">
        <v>643900</v>
      </c>
      <c r="J9" s="1">
        <v>32.735982239681306</v>
      </c>
      <c r="K9" s="1">
        <v>48.655723432077671</v>
      </c>
      <c r="L9" s="1">
        <v>4.3219837593608439</v>
      </c>
      <c r="M9" s="1">
        <v>1277.4602687421041</v>
      </c>
      <c r="N9" s="1">
        <v>4.3942600376513274</v>
      </c>
      <c r="O9" s="1">
        <v>26.286913725952783</v>
      </c>
      <c r="P9" s="1">
        <v>7.8542308965691454</v>
      </c>
      <c r="Q9" s="1">
        <v>42.775272032115467</v>
      </c>
      <c r="R9" s="1" t="s">
        <v>41</v>
      </c>
      <c r="S9" s="1">
        <v>4.5546006364122187</v>
      </c>
      <c r="T9" s="38" t="s">
        <v>41</v>
      </c>
    </row>
    <row r="10" spans="1:20" x14ac:dyDescent="0.35">
      <c r="A10" s="16" t="s">
        <v>33</v>
      </c>
      <c r="B10" s="4" t="s">
        <v>74</v>
      </c>
      <c r="C10" s="17" t="s">
        <v>25</v>
      </c>
      <c r="D10" s="43">
        <v>354817.51744960248</v>
      </c>
      <c r="E10" s="1">
        <v>37.835096433400182</v>
      </c>
      <c r="F10" s="1">
        <v>16835.202546519315</v>
      </c>
      <c r="G10" s="1">
        <v>28.042969386234404</v>
      </c>
      <c r="H10" s="1">
        <v>111.36473239425247</v>
      </c>
      <c r="I10" s="1">
        <v>643900</v>
      </c>
      <c r="J10" s="1">
        <v>16.239722643257334</v>
      </c>
      <c r="K10" s="1">
        <v>17.834274202825355</v>
      </c>
      <c r="L10" s="1">
        <v>5.9741916305923013</v>
      </c>
      <c r="M10" s="1">
        <v>1228.9094814537511</v>
      </c>
      <c r="N10" s="1">
        <v>24.927379698311331</v>
      </c>
      <c r="O10" s="1">
        <v>26.932501119544167</v>
      </c>
      <c r="P10" s="1">
        <v>5.8864486170570061</v>
      </c>
      <c r="Q10" s="1">
        <v>44.685822786021049</v>
      </c>
      <c r="R10" s="1" t="s">
        <v>41</v>
      </c>
      <c r="S10" s="1">
        <v>4.8693913950352812</v>
      </c>
      <c r="T10" s="38" t="s">
        <v>41</v>
      </c>
    </row>
    <row r="11" spans="1:20" x14ac:dyDescent="0.35">
      <c r="A11" s="16" t="s">
        <v>34</v>
      </c>
      <c r="B11" s="4" t="s">
        <v>74</v>
      </c>
      <c r="C11" s="17" t="s">
        <v>25</v>
      </c>
      <c r="D11" s="43">
        <v>332307.73057885788</v>
      </c>
      <c r="E11" s="1">
        <v>35.384962646830395</v>
      </c>
      <c r="F11" s="1">
        <v>14057.64089893981</v>
      </c>
      <c r="G11" s="1">
        <v>19.529790209130425</v>
      </c>
      <c r="H11" s="1">
        <v>447.37394361580829</v>
      </c>
      <c r="I11" s="1">
        <v>643900</v>
      </c>
      <c r="J11" s="1">
        <v>62.890895202437768</v>
      </c>
      <c r="K11" s="1">
        <v>159.79249105636899</v>
      </c>
      <c r="L11" s="1">
        <v>25.513199134741132</v>
      </c>
      <c r="M11" s="1">
        <v>1453.5974062989571</v>
      </c>
      <c r="N11" s="1">
        <v>7.4621580068876732</v>
      </c>
      <c r="O11" s="1">
        <v>20.603063835461509</v>
      </c>
      <c r="P11" s="1">
        <v>76.016837335419694</v>
      </c>
      <c r="Q11" s="1">
        <v>47.144411939129057</v>
      </c>
      <c r="R11" s="1" t="s">
        <v>41</v>
      </c>
      <c r="S11" s="1">
        <v>15.586478480744722</v>
      </c>
      <c r="T11" s="38" t="s">
        <v>41</v>
      </c>
    </row>
    <row r="12" spans="1:20" x14ac:dyDescent="0.35">
      <c r="A12" s="16" t="s">
        <v>35</v>
      </c>
      <c r="B12" s="4" t="s">
        <v>75</v>
      </c>
      <c r="C12" s="17" t="s">
        <v>25</v>
      </c>
      <c r="D12" s="43">
        <v>340827.37328456872</v>
      </c>
      <c r="E12" s="1">
        <v>60.451607963303751</v>
      </c>
      <c r="F12" s="1">
        <v>19189.998468713431</v>
      </c>
      <c r="G12" s="1">
        <v>17.253912350968783</v>
      </c>
      <c r="H12" s="1">
        <v>50.299388395702955</v>
      </c>
      <c r="I12" s="1">
        <v>643900</v>
      </c>
      <c r="J12" s="1">
        <v>1.7567488738860872</v>
      </c>
      <c r="K12" s="1">
        <v>4.3640882240055596</v>
      </c>
      <c r="L12" s="1">
        <v>6.203569925926689</v>
      </c>
      <c r="M12" s="1">
        <v>3708.0870109334987</v>
      </c>
      <c r="N12" s="1" t="s">
        <v>41</v>
      </c>
      <c r="O12" s="1" t="s">
        <v>41</v>
      </c>
      <c r="P12" s="1">
        <v>6.9462234800716463</v>
      </c>
      <c r="Q12" s="1">
        <v>42.913798476469182</v>
      </c>
      <c r="R12" s="1" t="s">
        <v>41</v>
      </c>
      <c r="S12" s="1">
        <v>6.551607734925188</v>
      </c>
      <c r="T12" s="38" t="s">
        <v>41</v>
      </c>
    </row>
    <row r="13" spans="1:20" x14ac:dyDescent="0.35">
      <c r="A13" s="16" t="s">
        <v>36</v>
      </c>
      <c r="B13" s="4" t="s">
        <v>75</v>
      </c>
      <c r="C13" s="17" t="s">
        <v>25</v>
      </c>
      <c r="D13" s="43">
        <v>338662.37539856107</v>
      </c>
      <c r="E13" s="1">
        <v>55.842418753382425</v>
      </c>
      <c r="F13" s="1">
        <v>27923.468080179584</v>
      </c>
      <c r="G13" s="1">
        <v>23.324872120696714</v>
      </c>
      <c r="H13" s="1">
        <v>90.198178567386137</v>
      </c>
      <c r="I13" s="1">
        <v>639000</v>
      </c>
      <c r="J13" s="1">
        <v>36.266831628306761</v>
      </c>
      <c r="K13" s="1">
        <v>31.422240038476893</v>
      </c>
      <c r="L13" s="1">
        <v>4.0065199666311102</v>
      </c>
      <c r="M13" s="1">
        <v>2010.330390137862</v>
      </c>
      <c r="N13" s="1" t="s">
        <v>41</v>
      </c>
      <c r="O13" s="1">
        <v>0.39999341664823546</v>
      </c>
      <c r="P13" s="1">
        <v>5.0281347687850619</v>
      </c>
      <c r="Q13" s="1">
        <v>29.916570142354495</v>
      </c>
      <c r="R13" s="1" t="s">
        <v>41</v>
      </c>
      <c r="S13" s="1">
        <v>3.7662837443288453</v>
      </c>
      <c r="T13" s="38" t="s">
        <v>41</v>
      </c>
    </row>
    <row r="14" spans="1:20" x14ac:dyDescent="0.35">
      <c r="A14" s="16" t="s">
        <v>37</v>
      </c>
      <c r="B14" s="4" t="s">
        <v>75</v>
      </c>
      <c r="C14" s="17" t="s">
        <v>25</v>
      </c>
      <c r="D14" s="43">
        <v>359765.11397656077</v>
      </c>
      <c r="E14" s="1">
        <v>59.087640340577302</v>
      </c>
      <c r="F14" s="1">
        <v>27523.407622820661</v>
      </c>
      <c r="G14" s="1">
        <v>45.975239692461237</v>
      </c>
      <c r="H14" s="1">
        <v>421.57408558010081</v>
      </c>
      <c r="I14" s="1">
        <v>639000</v>
      </c>
      <c r="J14" s="1">
        <v>71.219091872944105</v>
      </c>
      <c r="K14" s="1">
        <v>191.39472580772156</v>
      </c>
      <c r="L14" s="1">
        <v>4.718466115771129</v>
      </c>
      <c r="M14" s="1">
        <v>1806.256538707552</v>
      </c>
      <c r="N14" s="1">
        <v>0.19020951641345601</v>
      </c>
      <c r="O14" s="1">
        <v>0.89271292382320688</v>
      </c>
      <c r="P14" s="1">
        <v>9.1373178182388095</v>
      </c>
      <c r="Q14" s="1">
        <v>36.840254730991042</v>
      </c>
      <c r="R14" s="1" t="s">
        <v>41</v>
      </c>
      <c r="S14" s="1">
        <v>6.6541307799593614</v>
      </c>
      <c r="T14" s="38" t="s">
        <v>41</v>
      </c>
    </row>
    <row r="15" spans="1:20" x14ac:dyDescent="0.35">
      <c r="A15" s="16" t="s">
        <v>52</v>
      </c>
      <c r="B15" s="4" t="s">
        <v>75</v>
      </c>
      <c r="C15" s="17" t="s">
        <v>26</v>
      </c>
      <c r="D15" s="43">
        <v>347306.60483952693</v>
      </c>
      <c r="E15" s="1">
        <v>25.23640128404362</v>
      </c>
      <c r="F15" s="1">
        <v>22868.028065637456</v>
      </c>
      <c r="G15" s="1">
        <v>50.582280524229908</v>
      </c>
      <c r="H15" s="1">
        <v>307.21031500670324</v>
      </c>
      <c r="I15" s="1">
        <v>620300</v>
      </c>
      <c r="J15" s="1">
        <v>5.1963360228435995</v>
      </c>
      <c r="K15" s="1">
        <v>41.465050148380897</v>
      </c>
      <c r="L15" s="1">
        <v>77.272870175147517</v>
      </c>
      <c r="M15" s="1">
        <v>2248.5176435775861</v>
      </c>
      <c r="N15" s="1">
        <v>298.53117737473264</v>
      </c>
      <c r="O15" s="1">
        <v>37.384272083963609</v>
      </c>
      <c r="P15" s="1">
        <v>16.03641543508548</v>
      </c>
      <c r="Q15" s="1">
        <v>27.494683607480752</v>
      </c>
      <c r="R15" s="1" t="s">
        <v>41</v>
      </c>
      <c r="S15" s="1">
        <v>19.383457719369073</v>
      </c>
      <c r="T15" s="38">
        <v>0.54507535739608004</v>
      </c>
    </row>
    <row r="16" spans="1:20" x14ac:dyDescent="0.35">
      <c r="A16" s="16" t="s">
        <v>53</v>
      </c>
      <c r="B16" s="4" t="s">
        <v>75</v>
      </c>
      <c r="C16" s="17" t="s">
        <v>26</v>
      </c>
      <c r="D16" s="43">
        <v>349565.90593124059</v>
      </c>
      <c r="E16" s="1">
        <v>33.877426673451126</v>
      </c>
      <c r="F16" s="1">
        <v>30467.79628580841</v>
      </c>
      <c r="G16" s="1">
        <v>42.228767777410326</v>
      </c>
      <c r="H16" s="1">
        <v>760.65987536275634</v>
      </c>
      <c r="I16" s="1">
        <v>620300</v>
      </c>
      <c r="J16" s="1">
        <v>42.109921589703092</v>
      </c>
      <c r="K16" s="1">
        <v>93.538775051214088</v>
      </c>
      <c r="L16" s="1">
        <v>246.77643233494987</v>
      </c>
      <c r="M16" s="1">
        <v>3691.4960759808996</v>
      </c>
      <c r="N16" s="1">
        <v>128.5128522059027</v>
      </c>
      <c r="O16" s="1">
        <v>87.552709456599374</v>
      </c>
      <c r="P16" s="1">
        <v>189.03757076769841</v>
      </c>
      <c r="Q16" s="1">
        <v>28.270015752778043</v>
      </c>
      <c r="R16" s="1" t="s">
        <v>41</v>
      </c>
      <c r="S16" s="1">
        <v>141.56864220783538</v>
      </c>
      <c r="T16" s="38">
        <v>11.198936474901966</v>
      </c>
    </row>
    <row r="17" spans="1:20" x14ac:dyDescent="0.35">
      <c r="A17" s="16" t="s">
        <v>54</v>
      </c>
      <c r="B17" s="4" t="s">
        <v>75</v>
      </c>
      <c r="C17" s="17" t="s">
        <v>26</v>
      </c>
      <c r="D17" s="43">
        <v>307184.60583433666</v>
      </c>
      <c r="E17" s="1">
        <v>35.888799904645147</v>
      </c>
      <c r="F17" s="1">
        <v>32363.208059585311</v>
      </c>
      <c r="G17" s="1">
        <v>21.168625594888539</v>
      </c>
      <c r="H17" s="1">
        <v>122.55396150829695</v>
      </c>
      <c r="I17" s="1">
        <v>620300</v>
      </c>
      <c r="J17" s="1">
        <v>19.904493873879424</v>
      </c>
      <c r="K17" s="1">
        <v>26.264121307967109</v>
      </c>
      <c r="L17" s="1">
        <v>15.277394667423742</v>
      </c>
      <c r="M17" s="1">
        <v>3149.0833434328829</v>
      </c>
      <c r="N17" s="1" t="s">
        <v>41</v>
      </c>
      <c r="O17" s="1">
        <v>8.9671692859002654</v>
      </c>
      <c r="P17" s="1">
        <v>4.7374961046286197</v>
      </c>
      <c r="Q17" s="1">
        <v>26.919788161032656</v>
      </c>
      <c r="R17" s="1" t="s">
        <v>41</v>
      </c>
      <c r="S17" s="1">
        <v>6.7373977087507031</v>
      </c>
      <c r="T17" s="38">
        <v>0.24502008305762565</v>
      </c>
    </row>
    <row r="18" spans="1:20" x14ac:dyDescent="0.35">
      <c r="A18" s="16" t="s">
        <v>55</v>
      </c>
      <c r="B18" s="4" t="s">
        <v>75</v>
      </c>
      <c r="C18" s="17" t="s">
        <v>26</v>
      </c>
      <c r="D18" s="43">
        <v>306318.92655938375</v>
      </c>
      <c r="E18" s="1">
        <v>32.298777911691417</v>
      </c>
      <c r="F18" s="1">
        <v>32755.437952446307</v>
      </c>
      <c r="G18" s="1">
        <v>22.079986507835216</v>
      </c>
      <c r="H18" s="1">
        <v>184.74639751587162</v>
      </c>
      <c r="I18" s="1">
        <v>620300</v>
      </c>
      <c r="J18" s="1">
        <v>53.04004132296496</v>
      </c>
      <c r="K18" s="1">
        <v>49.888681589983854</v>
      </c>
      <c r="L18" s="1">
        <v>34.661461895115337</v>
      </c>
      <c r="M18" s="1">
        <v>3056.2128474384072</v>
      </c>
      <c r="N18" s="1">
        <v>7.3511875470850155E-2</v>
      </c>
      <c r="O18" s="1">
        <v>7.01620914156483</v>
      </c>
      <c r="P18" s="1">
        <v>32.218786634190224</v>
      </c>
      <c r="Q18" s="1">
        <v>26.700503995372234</v>
      </c>
      <c r="R18" s="1" t="s">
        <v>41</v>
      </c>
      <c r="S18" s="1">
        <v>27.230206788972183</v>
      </c>
      <c r="T18" s="38">
        <v>0.97192166569710869</v>
      </c>
    </row>
    <row r="19" spans="1:20" x14ac:dyDescent="0.35">
      <c r="A19" s="16" t="s">
        <v>56</v>
      </c>
      <c r="B19" s="4" t="s">
        <v>75</v>
      </c>
      <c r="C19" s="17" t="s">
        <v>26</v>
      </c>
      <c r="D19" s="43">
        <v>308337.40209378838</v>
      </c>
      <c r="E19" s="1">
        <v>35.885208520878422</v>
      </c>
      <c r="F19" s="1">
        <v>34507.326702906867</v>
      </c>
      <c r="G19" s="1">
        <v>21.909480731460583</v>
      </c>
      <c r="H19" s="1">
        <v>83.567108504971316</v>
      </c>
      <c r="I19" s="1">
        <v>620300</v>
      </c>
      <c r="J19" s="1">
        <v>18.92761214337872</v>
      </c>
      <c r="K19" s="1">
        <v>23.909317049297787</v>
      </c>
      <c r="L19" s="1">
        <v>14.74386511464855</v>
      </c>
      <c r="M19" s="1">
        <v>3089.5062902999948</v>
      </c>
      <c r="N19" s="1">
        <v>9.1197041270053791E-2</v>
      </c>
      <c r="O19" s="1" t="s">
        <v>41</v>
      </c>
      <c r="P19" s="1">
        <v>1.6381031239816501</v>
      </c>
      <c r="Q19" s="1">
        <v>23.489396609018055</v>
      </c>
      <c r="R19" s="1" t="s">
        <v>41</v>
      </c>
      <c r="S19" s="1">
        <v>5.688582839591251</v>
      </c>
      <c r="T19" s="38" t="s">
        <v>41</v>
      </c>
    </row>
    <row r="20" spans="1:20" x14ac:dyDescent="0.35">
      <c r="A20" s="16" t="s">
        <v>57</v>
      </c>
      <c r="B20" s="4" t="s">
        <v>75</v>
      </c>
      <c r="C20" s="17" t="s">
        <v>26</v>
      </c>
      <c r="D20" s="43">
        <v>312098.82186780643</v>
      </c>
      <c r="E20" s="1">
        <v>29.469130538763476</v>
      </c>
      <c r="F20" s="1">
        <v>30519.376697548149</v>
      </c>
      <c r="G20" s="1">
        <v>19.182690657510147</v>
      </c>
      <c r="H20" s="1">
        <v>270.38036355028146</v>
      </c>
      <c r="I20" s="1">
        <v>620300</v>
      </c>
      <c r="J20" s="1">
        <v>80.777828717715096</v>
      </c>
      <c r="K20" s="1">
        <v>73.413897955665334</v>
      </c>
      <c r="L20" s="1">
        <v>43.082101294918516</v>
      </c>
      <c r="M20" s="1">
        <v>2676.1941201612194</v>
      </c>
      <c r="N20" s="1">
        <v>0.13603012667298225</v>
      </c>
      <c r="O20" s="1">
        <v>16.732869311800879</v>
      </c>
      <c r="P20" s="1">
        <v>13.975224301872277</v>
      </c>
      <c r="Q20" s="1">
        <v>25.894554131114813</v>
      </c>
      <c r="R20" s="1" t="s">
        <v>41</v>
      </c>
      <c r="S20" s="1">
        <v>14.14821529859325</v>
      </c>
      <c r="T20" s="38">
        <v>0.56418854402039575</v>
      </c>
    </row>
    <row r="21" spans="1:20" x14ac:dyDescent="0.35">
      <c r="A21" s="16" t="s">
        <v>38</v>
      </c>
      <c r="B21" s="4" t="s">
        <v>76</v>
      </c>
      <c r="C21" s="17" t="s">
        <v>26</v>
      </c>
      <c r="D21" s="43">
        <v>348023.46934383543</v>
      </c>
      <c r="E21" s="1">
        <v>126.43662590240585</v>
      </c>
      <c r="F21" s="1">
        <v>53136.186394610966</v>
      </c>
      <c r="G21" s="1">
        <v>44.734462123990212</v>
      </c>
      <c r="H21" s="1">
        <v>579.90439409148416</v>
      </c>
      <c r="I21" s="1">
        <v>607700</v>
      </c>
      <c r="J21" s="1">
        <v>116.5425850215652</v>
      </c>
      <c r="K21" s="1">
        <v>268.66191968354786</v>
      </c>
      <c r="L21" s="1">
        <v>12.58579822135763</v>
      </c>
      <c r="M21" s="1">
        <v>1996.9058860814089</v>
      </c>
      <c r="N21" s="1" t="s">
        <v>41</v>
      </c>
      <c r="O21" s="1">
        <v>0.63014478920158201</v>
      </c>
      <c r="P21" s="1">
        <v>11.670515140079608</v>
      </c>
      <c r="Q21" s="1">
        <v>22.873573332924579</v>
      </c>
      <c r="R21" s="1" t="s">
        <v>41</v>
      </c>
      <c r="S21" s="1">
        <v>7.5021371104816899</v>
      </c>
      <c r="T21" s="38" t="s">
        <v>41</v>
      </c>
    </row>
    <row r="22" spans="1:20" x14ac:dyDescent="0.35">
      <c r="A22" s="16" t="s">
        <v>39</v>
      </c>
      <c r="B22" s="4" t="s">
        <v>76</v>
      </c>
      <c r="C22" s="17" t="s">
        <v>26</v>
      </c>
      <c r="D22" s="43">
        <v>380417.07814514951</v>
      </c>
      <c r="E22" s="1">
        <v>98.657907896779534</v>
      </c>
      <c r="F22" s="1">
        <v>42528.880421944697</v>
      </c>
      <c r="G22" s="1">
        <v>41.205486249279566</v>
      </c>
      <c r="H22" s="1">
        <v>660.09986701075024</v>
      </c>
      <c r="I22" s="1">
        <v>623600</v>
      </c>
      <c r="J22" s="1">
        <v>112.84846486727734</v>
      </c>
      <c r="K22" s="1">
        <v>298.45134854640554</v>
      </c>
      <c r="L22" s="1">
        <v>15.795930208179145</v>
      </c>
      <c r="M22" s="1">
        <v>1905.491599182327</v>
      </c>
      <c r="N22" s="1">
        <v>9.1569343372094533E-2</v>
      </c>
      <c r="O22" s="1">
        <v>1.9712183612540095</v>
      </c>
      <c r="P22" s="1">
        <v>16.644532319741458</v>
      </c>
      <c r="Q22" s="1">
        <v>21.231666213322896</v>
      </c>
      <c r="R22" s="1" t="s">
        <v>41</v>
      </c>
      <c r="S22" s="1">
        <v>13.9125377461838</v>
      </c>
      <c r="T22" s="38">
        <v>0.14149308454707529</v>
      </c>
    </row>
    <row r="23" spans="1:20" x14ac:dyDescent="0.35">
      <c r="A23" s="16" t="s">
        <v>40</v>
      </c>
      <c r="B23" s="4" t="s">
        <v>76</v>
      </c>
      <c r="C23" s="17" t="s">
        <v>26</v>
      </c>
      <c r="D23" s="43">
        <v>354772.17657446675</v>
      </c>
      <c r="E23" s="1">
        <v>83.593873273210704</v>
      </c>
      <c r="F23" s="1">
        <v>38305.168413165542</v>
      </c>
      <c r="G23" s="1">
        <v>18.666742283274946</v>
      </c>
      <c r="H23" s="1">
        <v>609.52516953552743</v>
      </c>
      <c r="I23" s="1">
        <v>623600</v>
      </c>
      <c r="J23" s="1">
        <v>57.607823105694884</v>
      </c>
      <c r="K23" s="1">
        <v>265.02752415872891</v>
      </c>
      <c r="L23" s="1">
        <v>30.207779904268602</v>
      </c>
      <c r="M23" s="1">
        <v>1000.8795452747611</v>
      </c>
      <c r="N23" s="1">
        <v>0.93340612395073819</v>
      </c>
      <c r="O23" s="1">
        <v>41.412062543716708</v>
      </c>
      <c r="P23" s="1">
        <v>37.089156304159829</v>
      </c>
      <c r="Q23" s="1">
        <v>33.331074709252412</v>
      </c>
      <c r="R23" s="1" t="s">
        <v>41</v>
      </c>
      <c r="S23" s="1">
        <v>24.597841312150965</v>
      </c>
      <c r="T23" s="38" t="s">
        <v>41</v>
      </c>
    </row>
    <row r="24" spans="1:20" x14ac:dyDescent="0.35">
      <c r="A24" s="16" t="s">
        <v>58</v>
      </c>
      <c r="B24" s="4" t="s">
        <v>76</v>
      </c>
      <c r="C24" s="17" t="s">
        <v>26</v>
      </c>
      <c r="D24" s="43">
        <v>334760.6767443727</v>
      </c>
      <c r="E24" s="1">
        <v>194.66214020903942</v>
      </c>
      <c r="F24" s="1">
        <v>36078.995910904945</v>
      </c>
      <c r="G24" s="1">
        <v>46.528695421020117</v>
      </c>
      <c r="H24" s="1">
        <v>494.79487367451645</v>
      </c>
      <c r="I24" s="1">
        <v>620300</v>
      </c>
      <c r="J24" s="1">
        <v>6.0213902104326253</v>
      </c>
      <c r="K24" s="1">
        <v>59.316902327281213</v>
      </c>
      <c r="L24" s="1">
        <v>90.533466674357726</v>
      </c>
      <c r="M24" s="1">
        <v>4873.2381438341272</v>
      </c>
      <c r="N24" s="1">
        <v>10.788956611072537</v>
      </c>
      <c r="O24" s="1">
        <v>18.014667843720531</v>
      </c>
      <c r="P24" s="1">
        <v>10.278791070956105</v>
      </c>
      <c r="Q24" s="1">
        <v>34.330624999699893</v>
      </c>
      <c r="R24" s="1" t="s">
        <v>41</v>
      </c>
      <c r="S24" s="1">
        <v>21.269266373872206</v>
      </c>
      <c r="T24" s="38">
        <v>0.99828953788631836</v>
      </c>
    </row>
    <row r="25" spans="1:20" x14ac:dyDescent="0.35">
      <c r="A25" s="16" t="s">
        <v>59</v>
      </c>
      <c r="B25" s="4" t="s">
        <v>76</v>
      </c>
      <c r="C25" s="17" t="s">
        <v>26</v>
      </c>
      <c r="D25" s="43">
        <v>345727.83929982391</v>
      </c>
      <c r="E25" s="1">
        <v>42.438418123170166</v>
      </c>
      <c r="F25" s="1">
        <v>38553.545849512986</v>
      </c>
      <c r="G25" s="1">
        <v>44.892096771729662</v>
      </c>
      <c r="H25" s="1">
        <v>452.18762321684363</v>
      </c>
      <c r="I25" s="1">
        <v>620300</v>
      </c>
      <c r="J25" s="1">
        <v>38.498768139105159</v>
      </c>
      <c r="K25" s="1">
        <v>100.98525633521892</v>
      </c>
      <c r="L25" s="1">
        <v>107.05090219876777</v>
      </c>
      <c r="M25" s="1">
        <v>4437.389167008314</v>
      </c>
      <c r="N25" s="1">
        <v>95.149970474808072</v>
      </c>
      <c r="O25" s="1">
        <v>25.273219731485248</v>
      </c>
      <c r="P25" s="1">
        <v>54.846822314132559</v>
      </c>
      <c r="Q25" s="1">
        <v>25.336787539882796</v>
      </c>
      <c r="R25" s="1" t="s">
        <v>41</v>
      </c>
      <c r="S25" s="1">
        <v>43.986186452526503</v>
      </c>
      <c r="T25" s="38">
        <v>23.608697930880176</v>
      </c>
    </row>
    <row r="26" spans="1:20" x14ac:dyDescent="0.35">
      <c r="A26" s="16" t="s">
        <v>65</v>
      </c>
      <c r="B26" s="4" t="s">
        <v>76</v>
      </c>
      <c r="C26" s="17" t="s">
        <v>26</v>
      </c>
      <c r="D26" s="43">
        <v>365219.31335769111</v>
      </c>
      <c r="E26" s="1">
        <v>71.233091724229439</v>
      </c>
      <c r="F26" s="1">
        <v>52879.743729102571</v>
      </c>
      <c r="G26" s="1">
        <v>29.124338858887374</v>
      </c>
      <c r="H26" s="1">
        <v>917.84712828206523</v>
      </c>
      <c r="I26" s="1">
        <v>611600</v>
      </c>
      <c r="J26" s="1">
        <v>92.420059144668755</v>
      </c>
      <c r="K26" s="1">
        <v>37.713942336850991</v>
      </c>
      <c r="L26" s="1">
        <v>317.31757962636675</v>
      </c>
      <c r="M26" s="1">
        <v>7589.0937850153459</v>
      </c>
      <c r="N26" s="1">
        <v>64.633561655448588</v>
      </c>
      <c r="O26" s="1">
        <v>155.86657176728426</v>
      </c>
      <c r="P26" s="1">
        <v>174.06414503774187</v>
      </c>
      <c r="Q26" s="1">
        <v>21.550455341871732</v>
      </c>
      <c r="R26" s="1" t="s">
        <v>41</v>
      </c>
      <c r="S26" s="1">
        <v>190.75250683688034</v>
      </c>
      <c r="T26" s="38">
        <v>5.3588694960005547</v>
      </c>
    </row>
    <row r="27" spans="1:20" x14ac:dyDescent="0.35">
      <c r="A27" s="16" t="s">
        <v>60</v>
      </c>
      <c r="B27" s="4" t="s">
        <v>76</v>
      </c>
      <c r="C27" s="17" t="s">
        <v>26</v>
      </c>
      <c r="D27" s="43">
        <v>302265.05935970839</v>
      </c>
      <c r="E27" s="1">
        <v>44.170599079626925</v>
      </c>
      <c r="F27" s="1">
        <v>35025.206887255088</v>
      </c>
      <c r="G27" s="1">
        <v>39.570722440756008</v>
      </c>
      <c r="H27" s="1">
        <v>630.61745752227637</v>
      </c>
      <c r="I27" s="1">
        <v>620300</v>
      </c>
      <c r="J27" s="1">
        <v>68.326456179228231</v>
      </c>
      <c r="K27" s="1">
        <v>199.03848175790645</v>
      </c>
      <c r="L27" s="1">
        <v>263.02520485505272</v>
      </c>
      <c r="M27" s="1">
        <v>5227.9843196904349</v>
      </c>
      <c r="N27" s="1">
        <v>9.6620339812611657</v>
      </c>
      <c r="O27" s="1">
        <v>8.8481933606348573</v>
      </c>
      <c r="P27" s="1">
        <v>95.294434128947628</v>
      </c>
      <c r="Q27" s="1">
        <v>20.468586728313031</v>
      </c>
      <c r="R27" s="1" t="s">
        <v>41</v>
      </c>
      <c r="S27" s="1">
        <v>76.148136700160933</v>
      </c>
      <c r="T27" s="38">
        <v>29.581476324226042</v>
      </c>
    </row>
    <row r="28" spans="1:20" x14ac:dyDescent="0.35">
      <c r="A28" s="16" t="s">
        <v>61</v>
      </c>
      <c r="B28" s="4" t="s">
        <v>76</v>
      </c>
      <c r="C28" s="17" t="s">
        <v>26</v>
      </c>
      <c r="D28" s="43">
        <v>329292.63716159196</v>
      </c>
      <c r="E28" s="1">
        <v>36.563672416559463</v>
      </c>
      <c r="F28" s="1">
        <v>36377.259851146162</v>
      </c>
      <c r="G28" s="1">
        <v>21.151431907302349</v>
      </c>
      <c r="H28" s="1">
        <v>210.22168312331334</v>
      </c>
      <c r="I28" s="1">
        <v>620300</v>
      </c>
      <c r="J28" s="1">
        <v>31.958818678955506</v>
      </c>
      <c r="K28" s="1">
        <v>31.937088572045997</v>
      </c>
      <c r="L28" s="1">
        <v>45.566277478782176</v>
      </c>
      <c r="M28" s="1">
        <v>3098.2915449836014</v>
      </c>
      <c r="N28" s="1">
        <v>0.14509223260273835</v>
      </c>
      <c r="O28" s="1">
        <v>1.4783099426668322</v>
      </c>
      <c r="P28" s="1">
        <v>3.5795710225773245</v>
      </c>
      <c r="Q28" s="1">
        <v>23.924182095836752</v>
      </c>
      <c r="R28" s="1" t="s">
        <v>41</v>
      </c>
      <c r="S28" s="1">
        <v>35.421511371383644</v>
      </c>
      <c r="T28" s="38">
        <v>0.18916623726688669</v>
      </c>
    </row>
    <row r="29" spans="1:20" x14ac:dyDescent="0.35">
      <c r="A29" s="16" t="s">
        <v>62</v>
      </c>
      <c r="B29" s="4" t="s">
        <v>76</v>
      </c>
      <c r="C29" s="17" t="s">
        <v>26</v>
      </c>
      <c r="D29" s="43">
        <v>312795.96675361332</v>
      </c>
      <c r="E29" s="1">
        <v>40.802476619756725</v>
      </c>
      <c r="F29" s="1">
        <v>39827.214315293197</v>
      </c>
      <c r="G29" s="1">
        <v>60.88728571473559</v>
      </c>
      <c r="H29" s="1">
        <v>380.71570122395968</v>
      </c>
      <c r="I29" s="1">
        <v>620300</v>
      </c>
      <c r="J29" s="1">
        <v>56.272769113189568</v>
      </c>
      <c r="K29" s="1">
        <v>162.45138794445023</v>
      </c>
      <c r="L29" s="1">
        <v>102.90888266466153</v>
      </c>
      <c r="M29" s="1">
        <v>3404.6474876729894</v>
      </c>
      <c r="N29" s="1">
        <v>6.3680565550551149</v>
      </c>
      <c r="O29" s="1">
        <v>29.27914176064283</v>
      </c>
      <c r="P29" s="1">
        <v>20.327618347575353</v>
      </c>
      <c r="Q29" s="1">
        <v>18.893089754781503</v>
      </c>
      <c r="R29" s="1" t="s">
        <v>41</v>
      </c>
      <c r="S29" s="1">
        <v>13.210078059235903</v>
      </c>
      <c r="T29" s="38">
        <v>1.3758215125201489</v>
      </c>
    </row>
    <row r="30" spans="1:20" x14ac:dyDescent="0.35">
      <c r="A30" s="16" t="s">
        <v>63</v>
      </c>
      <c r="B30" s="4" t="s">
        <v>76</v>
      </c>
      <c r="C30" s="17" t="s">
        <v>26</v>
      </c>
      <c r="D30" s="43">
        <v>314947.96328801528</v>
      </c>
      <c r="E30" s="1">
        <v>57.944330316470484</v>
      </c>
      <c r="F30" s="1">
        <v>42117.47421810274</v>
      </c>
      <c r="G30" s="1">
        <v>27.38310535127723</v>
      </c>
      <c r="H30" s="1">
        <v>999.23558791220057</v>
      </c>
      <c r="I30" s="1">
        <v>620300</v>
      </c>
      <c r="J30" s="1">
        <v>16.993666613246351</v>
      </c>
      <c r="K30" s="1">
        <v>51.099240834695401</v>
      </c>
      <c r="L30" s="1">
        <v>140.62072531285756</v>
      </c>
      <c r="M30" s="1">
        <v>5900.6638571527683</v>
      </c>
      <c r="N30" s="1">
        <v>846.5037035298102</v>
      </c>
      <c r="O30" s="1">
        <v>86.432686566756416</v>
      </c>
      <c r="P30" s="1">
        <v>90.206773492963421</v>
      </c>
      <c r="Q30" s="1">
        <v>16.631510301058256</v>
      </c>
      <c r="R30" s="1" t="s">
        <v>41</v>
      </c>
      <c r="S30" s="1">
        <v>98.306239140495691</v>
      </c>
      <c r="T30" s="38">
        <v>13.163883342556193</v>
      </c>
    </row>
    <row r="31" spans="1:20" x14ac:dyDescent="0.35">
      <c r="A31" s="16" t="s">
        <v>64</v>
      </c>
      <c r="B31" s="4" t="s">
        <v>76</v>
      </c>
      <c r="C31" s="17" t="s">
        <v>26</v>
      </c>
      <c r="D31" s="43">
        <v>314421.40765773028</v>
      </c>
      <c r="E31" s="1">
        <v>63.126202347866197</v>
      </c>
      <c r="F31" s="1">
        <v>45830.087849222313</v>
      </c>
      <c r="G31" s="1">
        <v>33.370060646277601</v>
      </c>
      <c r="H31" s="1">
        <v>251.74327223035024</v>
      </c>
      <c r="I31" s="1">
        <v>620300</v>
      </c>
      <c r="J31" s="1">
        <v>13.3964457988949</v>
      </c>
      <c r="K31" s="1">
        <v>10.466864648820389</v>
      </c>
      <c r="L31" s="1">
        <v>179.55208144211144</v>
      </c>
      <c r="M31" s="1">
        <v>6895.2370252788314</v>
      </c>
      <c r="N31" s="1">
        <v>16.501083866338142</v>
      </c>
      <c r="O31" s="1">
        <v>3.031039819970502</v>
      </c>
      <c r="P31" s="1">
        <v>141.26830367443623</v>
      </c>
      <c r="Q31" s="1">
        <v>18.384500336918308</v>
      </c>
      <c r="R31" s="1" t="s">
        <v>41</v>
      </c>
      <c r="S31" s="1">
        <v>162.0012483410741</v>
      </c>
      <c r="T31" s="38">
        <v>7.3683903318633499</v>
      </c>
    </row>
    <row r="32" spans="1:20" x14ac:dyDescent="0.35">
      <c r="A32" s="16" t="s">
        <v>45</v>
      </c>
      <c r="B32" s="4" t="s">
        <v>76</v>
      </c>
      <c r="C32" s="17" t="s">
        <v>26</v>
      </c>
      <c r="D32" s="43">
        <v>289689.24906516843</v>
      </c>
      <c r="E32" s="1">
        <v>109.18229859841351</v>
      </c>
      <c r="F32" s="1">
        <v>32458.924645929135</v>
      </c>
      <c r="G32" s="1">
        <v>36.352166864455477</v>
      </c>
      <c r="H32" s="1">
        <v>130.0812100397753</v>
      </c>
      <c r="I32" s="1">
        <v>629500</v>
      </c>
      <c r="J32" s="1">
        <v>19.740654081509486</v>
      </c>
      <c r="K32" s="1">
        <v>45.481216856352411</v>
      </c>
      <c r="L32" s="1">
        <v>6.7427169813977352</v>
      </c>
      <c r="M32" s="1">
        <v>1703.9788825859307</v>
      </c>
      <c r="N32" s="1">
        <v>8.7733384229093256E-2</v>
      </c>
      <c r="O32" s="1" t="s">
        <v>41</v>
      </c>
      <c r="P32" s="1">
        <v>13.315070615231479</v>
      </c>
      <c r="Q32" s="1">
        <v>18.971530620559463</v>
      </c>
      <c r="R32" s="1" t="s">
        <v>41</v>
      </c>
      <c r="S32" s="1">
        <v>17.765613037695861</v>
      </c>
      <c r="T32" s="38" t="s">
        <v>41</v>
      </c>
    </row>
    <row r="33" spans="1:21" x14ac:dyDescent="0.35">
      <c r="A33" s="16" t="s">
        <v>46</v>
      </c>
      <c r="B33" s="4" t="s">
        <v>77</v>
      </c>
      <c r="C33" s="17" t="s">
        <v>26</v>
      </c>
      <c r="D33" s="43">
        <v>299257.09427365795</v>
      </c>
      <c r="E33" s="1">
        <v>181.33241737472517</v>
      </c>
      <c r="F33" s="1">
        <v>75062.258701437779</v>
      </c>
      <c r="G33" s="1">
        <v>58.309216140358501</v>
      </c>
      <c r="H33" s="1">
        <v>510.9793910489102</v>
      </c>
      <c r="I33" s="1">
        <v>582100</v>
      </c>
      <c r="J33" s="1">
        <v>192.31594740323513</v>
      </c>
      <c r="K33" s="1">
        <v>197.37891472992408</v>
      </c>
      <c r="L33" s="1">
        <v>7.5390176309309647</v>
      </c>
      <c r="M33" s="1">
        <v>2336.3662050998046</v>
      </c>
      <c r="N33" s="1">
        <v>1.8938411491577254</v>
      </c>
      <c r="O33" s="1">
        <v>15.229965251955628</v>
      </c>
      <c r="P33" s="1">
        <v>2.9155963775288982</v>
      </c>
      <c r="Q33" s="1">
        <v>12.349025704971121</v>
      </c>
      <c r="R33" s="1" t="s">
        <v>41</v>
      </c>
      <c r="S33" s="1">
        <v>3.2522369268555229</v>
      </c>
      <c r="T33" s="38" t="s">
        <v>41</v>
      </c>
    </row>
    <row r="34" spans="1:21" x14ac:dyDescent="0.35">
      <c r="A34" s="16" t="s">
        <v>47</v>
      </c>
      <c r="B34" s="4" t="s">
        <v>77</v>
      </c>
      <c r="C34" s="17" t="s">
        <v>26</v>
      </c>
      <c r="D34" s="43">
        <v>287474.45411455224</v>
      </c>
      <c r="E34" s="1">
        <v>150.06108134196114</v>
      </c>
      <c r="F34" s="1">
        <v>65173.634568861526</v>
      </c>
      <c r="G34" s="1">
        <v>56.543073534276544</v>
      </c>
      <c r="H34" s="1">
        <v>988.13056335385409</v>
      </c>
      <c r="I34" s="1">
        <v>587900</v>
      </c>
      <c r="J34" s="1">
        <v>338.79418426675159</v>
      </c>
      <c r="K34" s="1">
        <v>397.96888947070136</v>
      </c>
      <c r="L34" s="1">
        <v>13.42772937198658</v>
      </c>
      <c r="M34" s="1">
        <v>1599.5893343172934</v>
      </c>
      <c r="N34" s="1">
        <v>0.14811211111076936</v>
      </c>
      <c r="O34" s="1">
        <v>4.4948980777754537</v>
      </c>
      <c r="P34" s="1" t="s">
        <v>41</v>
      </c>
      <c r="Q34" s="1">
        <v>10.832443947627331</v>
      </c>
      <c r="R34" s="1" t="s">
        <v>41</v>
      </c>
      <c r="S34" s="1" t="s">
        <v>41</v>
      </c>
      <c r="T34" s="38" t="s">
        <v>41</v>
      </c>
    </row>
    <row r="35" spans="1:21" x14ac:dyDescent="0.35">
      <c r="A35" s="16" t="s">
        <v>48</v>
      </c>
      <c r="B35" s="4" t="s">
        <v>77</v>
      </c>
      <c r="C35" s="17" t="s">
        <v>26</v>
      </c>
      <c r="D35" s="43">
        <v>270773.45759702008</v>
      </c>
      <c r="E35" s="1">
        <v>119.36381394464981</v>
      </c>
      <c r="F35" s="1">
        <v>55055.468761533419</v>
      </c>
      <c r="G35" s="1">
        <v>56.124376085069578</v>
      </c>
      <c r="H35" s="1">
        <v>829.42471736748973</v>
      </c>
      <c r="I35" s="1">
        <v>593000</v>
      </c>
      <c r="J35" s="1">
        <v>204.94987332574229</v>
      </c>
      <c r="K35" s="1">
        <v>378.59849473987566</v>
      </c>
      <c r="L35" s="1">
        <v>10.856065945331993</v>
      </c>
      <c r="M35" s="1">
        <v>1782.6061567464651</v>
      </c>
      <c r="N35" s="1">
        <v>0.93549527816498357</v>
      </c>
      <c r="O35" s="1">
        <v>2.1543926102947379</v>
      </c>
      <c r="P35" s="1">
        <v>2.7938748766372381</v>
      </c>
      <c r="Q35" s="1">
        <v>13.494433992501898</v>
      </c>
      <c r="R35" s="1" t="s">
        <v>41</v>
      </c>
      <c r="S35" s="1">
        <v>1.6017224127467391</v>
      </c>
      <c r="T35" s="38" t="s">
        <v>41</v>
      </c>
    </row>
    <row r="36" spans="1:21" x14ac:dyDescent="0.35">
      <c r="A36" s="16" t="s">
        <v>49</v>
      </c>
      <c r="B36" s="4" t="s">
        <v>77</v>
      </c>
      <c r="C36" s="17" t="s">
        <v>26</v>
      </c>
      <c r="D36" s="43">
        <v>295566.23324623634</v>
      </c>
      <c r="E36" s="1">
        <v>220.85408880025781</v>
      </c>
      <c r="F36" s="1">
        <v>82229.028034370393</v>
      </c>
      <c r="G36" s="1">
        <v>49.356852141956722</v>
      </c>
      <c r="H36" s="1">
        <v>285.48984790852757</v>
      </c>
      <c r="I36" s="1">
        <v>572900</v>
      </c>
      <c r="J36" s="1">
        <v>41.09636021336167</v>
      </c>
      <c r="K36" s="1">
        <v>91.456477340268677</v>
      </c>
      <c r="L36" s="1">
        <v>6.0519348127771311</v>
      </c>
      <c r="M36" s="1">
        <v>1884.9754037223745</v>
      </c>
      <c r="N36" s="1" t="s">
        <v>41</v>
      </c>
      <c r="O36" s="1" t="s">
        <v>41</v>
      </c>
      <c r="P36" s="1">
        <v>1.6085714176560093</v>
      </c>
      <c r="Q36" s="1">
        <v>8.7322778391401616</v>
      </c>
      <c r="R36" s="1" t="s">
        <v>41</v>
      </c>
      <c r="S36" s="1">
        <v>1.1748436100129243</v>
      </c>
      <c r="T36" s="38" t="s">
        <v>41</v>
      </c>
    </row>
    <row r="37" spans="1:21" x14ac:dyDescent="0.35">
      <c r="A37" s="16" t="s">
        <v>50</v>
      </c>
      <c r="B37" s="47" t="s">
        <v>77</v>
      </c>
      <c r="C37" s="17" t="s">
        <v>26</v>
      </c>
      <c r="D37" s="43">
        <v>287149.27409169677</v>
      </c>
      <c r="E37" s="49">
        <v>157.42110673843268</v>
      </c>
      <c r="F37" s="49">
        <v>65205.093902352339</v>
      </c>
      <c r="G37" s="49">
        <v>37.830888969554145</v>
      </c>
      <c r="H37" s="1">
        <v>348.90965409970289</v>
      </c>
      <c r="I37" s="1">
        <v>587900</v>
      </c>
      <c r="J37" s="1">
        <v>18.404579542331629</v>
      </c>
      <c r="K37" s="1">
        <v>153.11737023792384</v>
      </c>
      <c r="L37" s="1">
        <v>9.9813420465918927</v>
      </c>
      <c r="M37" s="1">
        <v>1569.4307819393987</v>
      </c>
      <c r="N37" s="1">
        <v>1.2124726160254715</v>
      </c>
      <c r="O37" s="1" t="s">
        <v>41</v>
      </c>
      <c r="P37" s="1">
        <v>14.717748360212312</v>
      </c>
      <c r="Q37" s="1">
        <v>12.981572580504867</v>
      </c>
      <c r="R37" s="1" t="s">
        <v>41</v>
      </c>
      <c r="S37" s="1">
        <v>11.959412167053959</v>
      </c>
      <c r="T37" s="38" t="s">
        <v>41</v>
      </c>
    </row>
    <row r="38" spans="1:21" x14ac:dyDescent="0.35">
      <c r="A38" s="16" t="s">
        <v>51</v>
      </c>
      <c r="B38" s="47" t="s">
        <v>76</v>
      </c>
      <c r="C38" s="48" t="s">
        <v>26</v>
      </c>
      <c r="D38" s="43">
        <v>299144.19293586566</v>
      </c>
      <c r="E38" s="49">
        <v>92.340700444535756</v>
      </c>
      <c r="F38" s="49">
        <v>48478.803477939458</v>
      </c>
      <c r="G38" s="49">
        <v>90.45257982916948</v>
      </c>
      <c r="H38" s="49">
        <v>774.76336068557089</v>
      </c>
      <c r="I38" s="49">
        <v>607700</v>
      </c>
      <c r="J38" s="49">
        <v>23.109887395787162</v>
      </c>
      <c r="K38" s="49">
        <v>377.9778394762584</v>
      </c>
      <c r="L38" s="49">
        <v>6.330211503827651</v>
      </c>
      <c r="M38" s="49">
        <v>1732.0444620410019</v>
      </c>
      <c r="N38" s="49" t="s">
        <v>41</v>
      </c>
      <c r="O38" s="49" t="s">
        <v>41</v>
      </c>
      <c r="P38" s="49">
        <v>6.1633793806574664</v>
      </c>
      <c r="Q38" s="49">
        <v>12.180622400880681</v>
      </c>
      <c r="R38" s="49" t="s">
        <v>41</v>
      </c>
      <c r="S38" s="49">
        <v>0.8172494961335065</v>
      </c>
      <c r="T38" s="38" t="s">
        <v>41</v>
      </c>
    </row>
    <row r="39" spans="1:21" s="5" customFormat="1" x14ac:dyDescent="0.35">
      <c r="A39" s="57" t="s">
        <v>68</v>
      </c>
      <c r="B39" s="53" t="s">
        <v>78</v>
      </c>
      <c r="C39" s="53" t="s">
        <v>69</v>
      </c>
      <c r="D39" s="59">
        <v>290777.08571068989</v>
      </c>
      <c r="E39" s="61">
        <v>18.293883801837257</v>
      </c>
      <c r="F39" s="54">
        <v>6795.2977117144592</v>
      </c>
      <c r="G39" s="54">
        <v>9.5203247296310032</v>
      </c>
      <c r="H39" s="54">
        <v>66.482820862138766</v>
      </c>
      <c r="I39" s="54">
        <v>655400</v>
      </c>
      <c r="J39" s="54">
        <v>23.813515914117396</v>
      </c>
      <c r="K39" s="54">
        <v>13.51449280004802</v>
      </c>
      <c r="L39" s="54">
        <v>3.2823739906272937</v>
      </c>
      <c r="M39" s="54">
        <v>1701.7973489618948</v>
      </c>
      <c r="N39" s="54">
        <v>0.10548</v>
      </c>
      <c r="O39" s="55" t="s">
        <v>0</v>
      </c>
      <c r="P39" s="54">
        <v>8.2752086300711163</v>
      </c>
      <c r="Q39" s="54">
        <v>41.909761323834886</v>
      </c>
      <c r="R39" s="55" t="s">
        <v>0</v>
      </c>
      <c r="S39" s="54">
        <v>6.173067611196819</v>
      </c>
      <c r="T39" s="50" t="s">
        <v>0</v>
      </c>
    </row>
    <row r="40" spans="1:21" s="5" customFormat="1" x14ac:dyDescent="0.35">
      <c r="A40" s="57" t="s">
        <v>70</v>
      </c>
      <c r="B40" s="53" t="s">
        <v>78</v>
      </c>
      <c r="C40" s="53" t="s">
        <v>69</v>
      </c>
      <c r="D40" s="59">
        <v>301280.02303197357</v>
      </c>
      <c r="E40" s="61">
        <v>10.355662509133332</v>
      </c>
      <c r="F40" s="54">
        <v>2469.1832577833666</v>
      </c>
      <c r="G40" s="54">
        <v>3.7982795098174278</v>
      </c>
      <c r="H40" s="54">
        <v>80.998266224582864</v>
      </c>
      <c r="I40" s="54">
        <v>660600</v>
      </c>
      <c r="J40" s="54">
        <v>10.59217408170449</v>
      </c>
      <c r="K40" s="54">
        <v>1.6651468144644417</v>
      </c>
      <c r="L40" s="54">
        <v>23.208914795813588</v>
      </c>
      <c r="M40" s="54">
        <v>1665.4334888478884</v>
      </c>
      <c r="N40" s="54">
        <v>1.6944377959298837</v>
      </c>
      <c r="O40" s="54">
        <v>8.7956158861921701</v>
      </c>
      <c r="P40" s="54">
        <v>67.03960474633945</v>
      </c>
      <c r="Q40" s="54">
        <v>40.466440939955724</v>
      </c>
      <c r="R40" s="55" t="s">
        <v>0</v>
      </c>
      <c r="S40" s="54">
        <v>33.246138495021746</v>
      </c>
      <c r="T40" s="50" t="s">
        <v>0</v>
      </c>
    </row>
    <row r="41" spans="1:21" s="5" customFormat="1" x14ac:dyDescent="0.35">
      <c r="A41" s="57" t="s">
        <v>71</v>
      </c>
      <c r="B41" s="53" t="s">
        <v>78</v>
      </c>
      <c r="C41" s="53" t="s">
        <v>69</v>
      </c>
      <c r="D41" s="59">
        <v>310981.84802129085</v>
      </c>
      <c r="E41" s="61">
        <v>14.665176347289018</v>
      </c>
      <c r="F41" s="54">
        <v>4422.5792938250415</v>
      </c>
      <c r="G41" s="54">
        <v>9.9147848026364898</v>
      </c>
      <c r="H41" s="54">
        <v>25.486763312426511</v>
      </c>
      <c r="I41" s="54">
        <v>651600</v>
      </c>
      <c r="J41" s="54">
        <v>13.628715195215914</v>
      </c>
      <c r="K41" s="54">
        <v>1.3403775335189487</v>
      </c>
      <c r="L41" s="54">
        <v>3.5897702256496462</v>
      </c>
      <c r="M41" s="54">
        <v>1715.3093296887776</v>
      </c>
      <c r="N41" s="54">
        <v>8.0217999999999998E-2</v>
      </c>
      <c r="O41" s="54">
        <v>2.2174551324890004</v>
      </c>
      <c r="P41" s="54">
        <v>8.3951884120485119</v>
      </c>
      <c r="Q41" s="54">
        <v>30.359724779766928</v>
      </c>
      <c r="R41" s="55" t="s">
        <v>0</v>
      </c>
      <c r="S41" s="54">
        <v>9.2202566835389721</v>
      </c>
      <c r="T41" s="50" t="s">
        <v>0</v>
      </c>
    </row>
    <row r="42" spans="1:21" s="5" customFormat="1" x14ac:dyDescent="0.35">
      <c r="A42" s="57" t="s">
        <v>72</v>
      </c>
      <c r="B42" s="53" t="s">
        <v>78</v>
      </c>
      <c r="C42" s="53" t="s">
        <v>69</v>
      </c>
      <c r="D42" s="59">
        <v>297440.77904471639</v>
      </c>
      <c r="E42" s="61">
        <v>18.946391595039326</v>
      </c>
      <c r="F42" s="54">
        <v>10141.928290040296</v>
      </c>
      <c r="G42" s="54">
        <v>35.877875157152722</v>
      </c>
      <c r="H42" s="54">
        <v>201.15740659482077</v>
      </c>
      <c r="I42" s="54">
        <v>641500</v>
      </c>
      <c r="J42" s="54">
        <v>9.2367039598757152</v>
      </c>
      <c r="K42" s="54">
        <v>96.262296412172816</v>
      </c>
      <c r="L42" s="54">
        <v>9.0125538960592557</v>
      </c>
      <c r="M42" s="54">
        <v>1307.8160769759775</v>
      </c>
      <c r="N42" s="54">
        <v>0.12523000000000001</v>
      </c>
      <c r="O42" s="55" t="s">
        <v>0</v>
      </c>
      <c r="P42" s="54">
        <v>10.790059784761095</v>
      </c>
      <c r="Q42" s="54">
        <v>20.840430412100023</v>
      </c>
      <c r="R42" s="55" t="s">
        <v>0</v>
      </c>
      <c r="S42" s="54">
        <v>16.123339810689735</v>
      </c>
      <c r="T42" s="50" t="s">
        <v>0</v>
      </c>
    </row>
    <row r="43" spans="1:21" s="5" customFormat="1" x14ac:dyDescent="0.35">
      <c r="A43" s="58" t="s">
        <v>73</v>
      </c>
      <c r="B43" s="56" t="s">
        <v>78</v>
      </c>
      <c r="C43" s="56" t="s">
        <v>69</v>
      </c>
      <c r="D43" s="60">
        <v>297555.18585020211</v>
      </c>
      <c r="E43" s="62">
        <v>37.648517827780218</v>
      </c>
      <c r="F43" s="35">
        <v>16183.224010145281</v>
      </c>
      <c r="G43" s="35">
        <v>36.449894686126747</v>
      </c>
      <c r="H43" s="35">
        <v>275.9868638669775</v>
      </c>
      <c r="I43" s="35">
        <v>648700</v>
      </c>
      <c r="J43" s="35">
        <v>17.87907075755458</v>
      </c>
      <c r="K43" s="35">
        <v>122.81643818088668</v>
      </c>
      <c r="L43" s="35">
        <v>8.3307535002781279</v>
      </c>
      <c r="M43" s="35">
        <v>2051.9109944763527</v>
      </c>
      <c r="N43" s="35">
        <v>0.26309883007229196</v>
      </c>
      <c r="O43" s="35">
        <v>1.3172414433529671</v>
      </c>
      <c r="P43" s="35">
        <v>19.690141712913821</v>
      </c>
      <c r="Q43" s="35">
        <v>21.076425824728592</v>
      </c>
      <c r="R43" s="51" t="s">
        <v>0</v>
      </c>
      <c r="S43" s="35">
        <v>20.909128150015452</v>
      </c>
      <c r="T43" s="52" t="s">
        <v>0</v>
      </c>
    </row>
    <row r="44" spans="1:21" x14ac:dyDescent="0.35">
      <c r="A44" s="46"/>
      <c r="B44" s="47"/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45" spans="1:21" x14ac:dyDescent="0.35">
      <c r="A45" s="18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1" ht="14.6" x14ac:dyDescent="0.4">
      <c r="A46" s="40" t="s">
        <v>42</v>
      </c>
      <c r="B46" s="14" t="s">
        <v>3</v>
      </c>
      <c r="C46" s="19"/>
      <c r="D46" s="44">
        <f>AVERAGE(D5:D43)</f>
        <v>322631.91655519576</v>
      </c>
      <c r="E46" s="31">
        <f>AVERAGE(E5:E43)</f>
        <v>66.860462726136262</v>
      </c>
      <c r="F46" s="31">
        <f t="shared" ref="F46:T46" si="0">AVERAGE(F5:F43)</f>
        <v>32975.047413555469</v>
      </c>
      <c r="G46" s="31">
        <f t="shared" si="0"/>
        <v>34.809933934558728</v>
      </c>
      <c r="H46" s="31">
        <f t="shared" si="0"/>
        <v>378.00701342472678</v>
      </c>
      <c r="I46" s="31">
        <f t="shared" si="0"/>
        <v>625087.1794871795</v>
      </c>
      <c r="J46" s="31">
        <f t="shared" si="0"/>
        <v>53.521888499519683</v>
      </c>
      <c r="K46" s="31">
        <f t="shared" si="0"/>
        <v>118.79231835526697</v>
      </c>
      <c r="L46" s="31">
        <f t="shared" si="0"/>
        <v>49.272043261364466</v>
      </c>
      <c r="M46" s="31">
        <f t="shared" si="0"/>
        <v>2721.9272149414878</v>
      </c>
      <c r="N46" s="31">
        <f t="shared" si="0"/>
        <v>47.046225567161883</v>
      </c>
      <c r="O46" s="31">
        <f t="shared" si="0"/>
        <v>21.028222859478952</v>
      </c>
      <c r="P46" s="31">
        <f t="shared" si="0"/>
        <v>32.201380693869098</v>
      </c>
      <c r="Q46" s="31">
        <f t="shared" si="0"/>
        <v>27.40688246184892</v>
      </c>
      <c r="R46" s="31"/>
      <c r="S46" s="31">
        <f t="shared" si="0"/>
        <v>28.722006809211194</v>
      </c>
      <c r="T46" s="32">
        <f t="shared" si="0"/>
        <v>5.9814178568553071</v>
      </c>
      <c r="U46" s="20"/>
    </row>
    <row r="47" spans="1:21" ht="14.6" x14ac:dyDescent="0.4">
      <c r="A47" s="41">
        <v>34</v>
      </c>
      <c r="B47" s="22" t="s">
        <v>1</v>
      </c>
      <c r="D47" s="37">
        <f>MIN(D5:D43)</f>
        <v>270773.45759702008</v>
      </c>
      <c r="E47" s="33">
        <f>MIN(E5:E43)</f>
        <v>10.355662509133332</v>
      </c>
      <c r="F47" s="33">
        <f t="shared" ref="F47:T47" si="1">MIN(F5:F43)</f>
        <v>2469.1832577833666</v>
      </c>
      <c r="G47" s="33">
        <f t="shared" si="1"/>
        <v>3.7982795098174278</v>
      </c>
      <c r="H47" s="33">
        <f t="shared" si="1"/>
        <v>25.486763312426511</v>
      </c>
      <c r="I47" s="33">
        <f t="shared" si="1"/>
        <v>572900</v>
      </c>
      <c r="J47" s="33">
        <f t="shared" si="1"/>
        <v>1.7567488738860872</v>
      </c>
      <c r="K47" s="33">
        <f t="shared" si="1"/>
        <v>1.3403775335189487</v>
      </c>
      <c r="L47" s="33">
        <f t="shared" si="1"/>
        <v>2.056116571624405</v>
      </c>
      <c r="M47" s="33">
        <f t="shared" si="1"/>
        <v>1000.8795452747611</v>
      </c>
      <c r="N47" s="33">
        <f t="shared" si="1"/>
        <v>7.3511875470850155E-2</v>
      </c>
      <c r="O47" s="33">
        <f t="shared" si="1"/>
        <v>0.39999341664823546</v>
      </c>
      <c r="P47" s="33">
        <f t="shared" si="1"/>
        <v>1.6085714176560093</v>
      </c>
      <c r="Q47" s="33">
        <f t="shared" si="1"/>
        <v>8.7322778391401616</v>
      </c>
      <c r="R47" s="33"/>
      <c r="S47" s="33">
        <f t="shared" si="1"/>
        <v>0.8172494961335065</v>
      </c>
      <c r="T47" s="34">
        <f t="shared" si="1"/>
        <v>0.13089559416051352</v>
      </c>
      <c r="U47" s="20"/>
    </row>
    <row r="48" spans="1:21" x14ac:dyDescent="0.35">
      <c r="A48" s="21"/>
      <c r="B48" s="22" t="s">
        <v>2</v>
      </c>
      <c r="D48" s="37">
        <f>MAX(D5:D43)</f>
        <v>380417.07814514951</v>
      </c>
      <c r="E48" s="33">
        <f>MAX(E5:E43)</f>
        <v>220.85408880025781</v>
      </c>
      <c r="F48" s="33">
        <f t="shared" ref="F48:T48" si="2">MAX(F5:F43)</f>
        <v>82229.028034370393</v>
      </c>
      <c r="G48" s="33">
        <f t="shared" si="2"/>
        <v>90.45257982916948</v>
      </c>
      <c r="H48" s="33">
        <f t="shared" si="2"/>
        <v>999.23558791220057</v>
      </c>
      <c r="I48" s="33">
        <f t="shared" si="2"/>
        <v>660600</v>
      </c>
      <c r="J48" s="33">
        <f t="shared" si="2"/>
        <v>338.79418426675159</v>
      </c>
      <c r="K48" s="33">
        <f t="shared" si="2"/>
        <v>397.96888947070136</v>
      </c>
      <c r="L48" s="33">
        <f t="shared" si="2"/>
        <v>317.31757962636675</v>
      </c>
      <c r="M48" s="33">
        <f t="shared" si="2"/>
        <v>7589.0937850153459</v>
      </c>
      <c r="N48" s="33">
        <f t="shared" si="2"/>
        <v>846.5037035298102</v>
      </c>
      <c r="O48" s="33">
        <f t="shared" si="2"/>
        <v>155.86657176728426</v>
      </c>
      <c r="P48" s="33">
        <f t="shared" si="2"/>
        <v>189.03757076769841</v>
      </c>
      <c r="Q48" s="33">
        <f t="shared" si="2"/>
        <v>49.750378268769182</v>
      </c>
      <c r="R48" s="33"/>
      <c r="S48" s="33">
        <f t="shared" si="2"/>
        <v>190.75250683688034</v>
      </c>
      <c r="T48" s="34">
        <f t="shared" si="2"/>
        <v>29.581476324226042</v>
      </c>
      <c r="U48" s="20"/>
    </row>
    <row r="49" spans="1:20" s="5" customFormat="1" x14ac:dyDescent="0.35">
      <c r="A49" s="23"/>
      <c r="B49" s="22" t="s">
        <v>43</v>
      </c>
      <c r="C49" s="22"/>
      <c r="D49" s="37">
        <f>MEDIAN(D5:D42)</f>
        <v>316806.07392690552</v>
      </c>
      <c r="E49" s="33">
        <f>MEDIAN(E5:E43)</f>
        <v>42.438418123170166</v>
      </c>
      <c r="F49" s="33">
        <f t="shared" ref="F49:T49" si="3">MEDIAN(F5:F43)</f>
        <v>32458.924645929135</v>
      </c>
      <c r="G49" s="33">
        <f t="shared" si="3"/>
        <v>35.877875157152722</v>
      </c>
      <c r="H49" s="33">
        <f t="shared" si="3"/>
        <v>285.48984790852757</v>
      </c>
      <c r="I49" s="33">
        <f t="shared" si="3"/>
        <v>620300</v>
      </c>
      <c r="J49" s="33">
        <f t="shared" si="3"/>
        <v>32.735982239681306</v>
      </c>
      <c r="K49" s="33">
        <f t="shared" si="3"/>
        <v>71.501101160295917</v>
      </c>
      <c r="L49" s="33">
        <f t="shared" si="3"/>
        <v>12.58579822135763</v>
      </c>
      <c r="M49" s="33">
        <f t="shared" si="3"/>
        <v>2051.9109944763527</v>
      </c>
      <c r="N49" s="33">
        <f t="shared" si="3"/>
        <v>1.2124726160254715</v>
      </c>
      <c r="O49" s="33">
        <f t="shared" si="3"/>
        <v>8.8481933606348573</v>
      </c>
      <c r="P49" s="33">
        <f t="shared" si="3"/>
        <v>12.336960171813999</v>
      </c>
      <c r="Q49" s="33">
        <f t="shared" si="3"/>
        <v>25.894554131114813</v>
      </c>
      <c r="R49" s="33"/>
      <c r="S49" s="33">
        <f t="shared" si="3"/>
        <v>12.58474511314493</v>
      </c>
      <c r="T49" s="34">
        <f t="shared" si="3"/>
        <v>0.98510560179171347</v>
      </c>
    </row>
    <row r="50" spans="1:20" s="5" customFormat="1" x14ac:dyDescent="0.35">
      <c r="A50" s="24"/>
      <c r="B50" s="25" t="s">
        <v>44</v>
      </c>
      <c r="C50" s="25"/>
      <c r="D50" s="39">
        <f>STDEV(D5:D43)</f>
        <v>26617.787076510016</v>
      </c>
      <c r="E50" s="35">
        <f>STDEV(E5:E43)</f>
        <v>53.209960560637171</v>
      </c>
      <c r="F50" s="35">
        <f t="shared" ref="F50:T50" si="4">STDEV(F5:F43)</f>
        <v>19330.129947446501</v>
      </c>
      <c r="G50" s="35">
        <f t="shared" si="4"/>
        <v>16.959669790782762</v>
      </c>
      <c r="H50" s="35">
        <f t="shared" si="4"/>
        <v>287.61801881074399</v>
      </c>
      <c r="I50" s="35">
        <f t="shared" si="4"/>
        <v>20776.709879437236</v>
      </c>
      <c r="J50" s="35">
        <f t="shared" si="4"/>
        <v>65.90013883347622</v>
      </c>
      <c r="K50" s="35">
        <f t="shared" si="4"/>
        <v>119.6556265904203</v>
      </c>
      <c r="L50" s="35">
        <f t="shared" si="4"/>
        <v>78.385969961194334</v>
      </c>
      <c r="M50" s="35">
        <f t="shared" si="4"/>
        <v>1578.650306296355</v>
      </c>
      <c r="N50" s="35">
        <f t="shared" si="4"/>
        <v>154.53028678731349</v>
      </c>
      <c r="O50" s="35">
        <f t="shared" si="4"/>
        <v>33.386351506448953</v>
      </c>
      <c r="P50" s="35">
        <f t="shared" si="4"/>
        <v>47.318767330393264</v>
      </c>
      <c r="Q50" s="35">
        <f t="shared" si="4"/>
        <v>11.222209933459036</v>
      </c>
      <c r="R50" s="35"/>
      <c r="S50" s="35">
        <f t="shared" si="4"/>
        <v>45.270718495723827</v>
      </c>
      <c r="T50" s="36">
        <f t="shared" si="4"/>
        <v>9.1154142203595807</v>
      </c>
    </row>
    <row r="52" spans="1:20" ht="14.6" x14ac:dyDescent="0.4">
      <c r="A52" s="26"/>
      <c r="B52" s="27" t="s">
        <v>0</v>
      </c>
      <c r="C52" s="27" t="s">
        <v>6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8"/>
    </row>
  </sheetData>
  <mergeCells count="2">
    <mergeCell ref="A1:T1"/>
    <mergeCell ref="A2:T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BF00B9-81EC-4D2D-834E-993796F8C5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51B3D5-57D6-4011-B4D6-6975EA9A9585}"/>
</file>

<file path=customXml/itemProps3.xml><?xml version="1.0" encoding="utf-8"?>
<ds:datastoreItem xmlns:ds="http://schemas.openxmlformats.org/officeDocument/2006/customXml" ds:itemID="{A4DB065E-C521-4DC0-81A6-443814EE0251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 LAICPMS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Tharalson, Erik R</cp:lastModifiedBy>
  <dcterms:created xsi:type="dcterms:W3CDTF">2023-12-13T18:52:29Z</dcterms:created>
  <dcterms:modified xsi:type="dcterms:W3CDTF">2025-03-12T20:17:06Z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