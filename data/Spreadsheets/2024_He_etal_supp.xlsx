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05"/>
  <workbookPr defaultThemeVersion="124226"/>
  <xr:revisionPtr revIDLastSave="0" documentId="8_{55A4A04E-7E46-4967-AA0C-CD2816432E3A}" xr6:coauthVersionLast="47" xr6:coauthVersionMax="47" xr10:uidLastSave="{00000000-0000-0000-0000-000000000000}"/>
  <bookViews>
    <workbookView xWindow="0" yWindow="60" windowWidth="20730" windowHeight="10545" xr2:uid="{00000000-000D-0000-FFFF-FFFF00000000}"/>
  </bookViews>
  <sheets>
    <sheet name="ES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" i="1" l="1"/>
  <c r="AE4" i="1"/>
  <c r="AC5" i="1"/>
  <c r="AC21" i="1"/>
  <c r="AC24" i="1"/>
  <c r="AC29" i="1"/>
  <c r="AC37" i="1"/>
  <c r="AC57" i="1"/>
  <c r="AC61" i="1"/>
  <c r="AC65" i="1"/>
  <c r="AC69" i="1"/>
  <c r="AC89" i="1"/>
  <c r="AC93" i="1"/>
  <c r="AC97" i="1"/>
  <c r="AC101" i="1"/>
  <c r="AE17" i="1"/>
  <c r="AE21" i="1"/>
  <c r="AE37" i="1"/>
  <c r="AE47" i="1"/>
  <c r="AE55" i="1"/>
  <c r="AE57" i="1"/>
  <c r="AE59" i="1"/>
  <c r="AE62" i="1"/>
  <c r="AE67" i="1"/>
  <c r="AE74" i="1"/>
  <c r="AE75" i="1"/>
  <c r="AE76" i="1"/>
  <c r="AE87" i="1"/>
  <c r="AE88" i="1"/>
  <c r="AE89" i="1"/>
  <c r="AE91" i="1"/>
  <c r="AE95" i="1"/>
  <c r="AE103" i="1"/>
  <c r="AE107" i="1"/>
  <c r="AA9" i="1"/>
  <c r="AA33" i="1"/>
  <c r="AA36" i="1"/>
  <c r="AA53" i="1"/>
  <c r="AA73" i="1"/>
  <c r="AA81" i="1"/>
  <c r="AA92" i="1"/>
  <c r="AA93" i="1"/>
  <c r="AA101" i="1"/>
  <c r="AE5" i="1"/>
  <c r="AE6" i="1"/>
  <c r="AC7" i="1"/>
  <c r="AE7" i="1"/>
  <c r="AC8" i="1"/>
  <c r="AE8" i="1"/>
  <c r="AC9" i="1"/>
  <c r="AE9" i="1"/>
  <c r="AC10" i="1"/>
  <c r="AE10" i="1"/>
  <c r="AC11" i="1"/>
  <c r="AE11" i="1"/>
  <c r="AC12" i="1"/>
  <c r="AE12" i="1"/>
  <c r="AE13" i="1"/>
  <c r="AE14" i="1"/>
  <c r="AC15" i="1"/>
  <c r="AE15" i="1"/>
  <c r="AA16" i="1"/>
  <c r="AE16" i="1"/>
  <c r="AC17" i="1"/>
  <c r="AC18" i="1"/>
  <c r="AE18" i="1"/>
  <c r="AC19" i="1"/>
  <c r="AE19" i="1"/>
  <c r="AA20" i="1"/>
  <c r="AE20" i="1"/>
  <c r="AE22" i="1"/>
  <c r="AC23" i="1"/>
  <c r="AE23" i="1"/>
  <c r="AE24" i="1"/>
  <c r="AC25" i="1"/>
  <c r="AE25" i="1"/>
  <c r="AC26" i="1"/>
  <c r="AE26" i="1"/>
  <c r="AC27" i="1"/>
  <c r="AE27" i="1"/>
  <c r="AC28" i="1"/>
  <c r="AE28" i="1"/>
  <c r="AE29" i="1"/>
  <c r="AE30" i="1"/>
  <c r="AC31" i="1"/>
  <c r="AE31" i="1"/>
  <c r="AC32" i="1"/>
  <c r="AE32" i="1"/>
  <c r="AC33" i="1"/>
  <c r="AE33" i="1"/>
  <c r="AC34" i="1"/>
  <c r="AE34" i="1"/>
  <c r="AC35" i="1"/>
  <c r="AE35" i="1"/>
  <c r="AC36" i="1"/>
  <c r="AE36" i="1"/>
  <c r="AE38" i="1"/>
  <c r="AC39" i="1"/>
  <c r="AE39" i="1"/>
  <c r="AC40" i="1"/>
  <c r="AE40" i="1"/>
  <c r="AC41" i="1"/>
  <c r="AE41" i="1"/>
  <c r="AC42" i="1"/>
  <c r="AE42" i="1"/>
  <c r="AC43" i="1"/>
  <c r="AE43" i="1"/>
  <c r="AC45" i="1"/>
  <c r="AE45" i="1"/>
  <c r="AE46" i="1"/>
  <c r="AC48" i="1"/>
  <c r="AE48" i="1"/>
  <c r="AC49" i="1"/>
  <c r="AE49" i="1"/>
  <c r="AC50" i="1"/>
  <c r="AE50" i="1"/>
  <c r="AC51" i="1"/>
  <c r="AE51" i="1"/>
  <c r="AC52" i="1"/>
  <c r="AE52" i="1"/>
  <c r="AC53" i="1"/>
  <c r="AE53" i="1"/>
  <c r="AE54" i="1"/>
  <c r="AC56" i="1"/>
  <c r="AE56" i="1"/>
  <c r="AA57" i="1"/>
  <c r="AC58" i="1"/>
  <c r="AE58" i="1"/>
  <c r="AC59" i="1"/>
  <c r="AC60" i="1"/>
  <c r="AE60" i="1"/>
  <c r="AA61" i="1"/>
  <c r="AE61" i="1"/>
  <c r="AE63" i="1"/>
  <c r="AC64" i="1"/>
  <c r="AE64" i="1"/>
  <c r="AA65" i="1"/>
  <c r="AE65" i="1"/>
  <c r="AC66" i="1"/>
  <c r="AE66" i="1"/>
  <c r="AC67" i="1"/>
  <c r="AC68" i="1"/>
  <c r="AE68" i="1"/>
  <c r="AE69" i="1"/>
  <c r="AE70" i="1"/>
  <c r="AE72" i="1"/>
  <c r="AC73" i="1"/>
  <c r="AE73" i="1"/>
  <c r="AA74" i="1"/>
  <c r="AC75" i="1"/>
  <c r="AC76" i="1"/>
  <c r="AC77" i="1"/>
  <c r="AE77" i="1"/>
  <c r="AC78" i="1"/>
  <c r="AE78" i="1"/>
  <c r="AE79" i="1"/>
  <c r="AE80" i="1"/>
  <c r="AC81" i="1"/>
  <c r="AE81" i="1"/>
  <c r="AA82" i="1"/>
  <c r="AE82" i="1"/>
  <c r="AC83" i="1"/>
  <c r="AE83" i="1"/>
  <c r="AC84" i="1"/>
  <c r="AE84" i="1"/>
  <c r="AA85" i="1"/>
  <c r="AE85" i="1"/>
  <c r="AA86" i="1"/>
  <c r="AE86" i="1"/>
  <c r="AA89" i="1"/>
  <c r="AA90" i="1"/>
  <c r="AE90" i="1"/>
  <c r="AC91" i="1"/>
  <c r="AC92" i="1"/>
  <c r="AE92" i="1"/>
  <c r="AE93" i="1"/>
  <c r="AC94" i="1"/>
  <c r="AE94" i="1"/>
  <c r="AE96" i="1"/>
  <c r="AA97" i="1"/>
  <c r="AC98" i="1"/>
  <c r="AE98" i="1"/>
  <c r="AC99" i="1"/>
  <c r="AE99" i="1"/>
  <c r="AC100" i="1"/>
  <c r="AE100" i="1"/>
  <c r="AE101" i="1"/>
  <c r="AC102" i="1"/>
  <c r="AE102" i="1"/>
  <c r="AE104" i="1"/>
  <c r="AC105" i="1"/>
  <c r="AE105" i="1"/>
  <c r="AA106" i="1"/>
  <c r="AE106" i="1"/>
  <c r="AC107" i="1"/>
  <c r="AA69" i="1" l="1"/>
  <c r="AA49" i="1"/>
  <c r="AA27" i="1"/>
  <c r="AA37" i="1"/>
  <c r="AA29" i="1"/>
  <c r="AA21" i="1"/>
  <c r="AA13" i="1"/>
  <c r="AA5" i="1"/>
  <c r="AA91" i="1"/>
  <c r="AA68" i="1"/>
  <c r="AA48" i="1"/>
  <c r="AA25" i="1"/>
  <c r="AC85" i="1"/>
  <c r="AC20" i="1"/>
  <c r="AA45" i="1"/>
  <c r="AA17" i="1"/>
  <c r="AC16" i="1"/>
  <c r="AA41" i="1"/>
  <c r="AC13" i="1"/>
  <c r="AA105" i="1"/>
  <c r="AA83" i="1"/>
  <c r="AA60" i="1"/>
  <c r="AA39" i="1"/>
  <c r="AA15" i="1"/>
  <c r="AE97" i="1"/>
  <c r="AA59" i="1"/>
  <c r="AA77" i="1"/>
  <c r="AA35" i="1"/>
  <c r="AA7" i="1"/>
  <c r="AC70" i="1"/>
  <c r="AA70" i="1"/>
  <c r="AC54" i="1"/>
  <c r="AA54" i="1"/>
  <c r="AC46" i="1"/>
  <c r="AA46" i="1"/>
  <c r="AC38" i="1"/>
  <c r="AA38" i="1"/>
  <c r="AC30" i="1"/>
  <c r="AA30" i="1"/>
  <c r="AA102" i="1"/>
  <c r="AA26" i="1"/>
  <c r="AC90" i="1"/>
  <c r="AA58" i="1"/>
  <c r="AA100" i="1"/>
  <c r="AA78" i="1"/>
  <c r="AA67" i="1"/>
  <c r="AA34" i="1"/>
  <c r="AA24" i="1"/>
  <c r="AA12" i="1"/>
  <c r="AC86" i="1"/>
  <c r="AC104" i="1"/>
  <c r="AA104" i="1"/>
  <c r="AC96" i="1"/>
  <c r="AA96" i="1"/>
  <c r="AC88" i="1"/>
  <c r="AA88" i="1"/>
  <c r="AC80" i="1"/>
  <c r="AA80" i="1"/>
  <c r="AC72" i="1"/>
  <c r="AA72" i="1"/>
  <c r="AA99" i="1"/>
  <c r="AA66" i="1"/>
  <c r="AA56" i="1"/>
  <c r="AA43" i="1"/>
  <c r="AA23" i="1"/>
  <c r="AA11" i="1"/>
  <c r="AA4" i="1"/>
  <c r="AA98" i="1"/>
  <c r="AA76" i="1"/>
  <c r="AA42" i="1"/>
  <c r="AA32" i="1"/>
  <c r="AA10" i="1"/>
  <c r="AC82" i="1"/>
  <c r="AC22" i="1"/>
  <c r="AA22" i="1"/>
  <c r="AC6" i="1"/>
  <c r="AA6" i="1"/>
  <c r="AA50" i="1"/>
  <c r="AC106" i="1"/>
  <c r="AC87" i="1"/>
  <c r="AA87" i="1"/>
  <c r="AC79" i="1"/>
  <c r="AA79" i="1"/>
  <c r="AC63" i="1"/>
  <c r="AA63" i="1"/>
  <c r="AA107" i="1"/>
  <c r="AA75" i="1"/>
  <c r="AA64" i="1"/>
  <c r="AA52" i="1"/>
  <c r="AA31" i="1"/>
  <c r="AA19" i="1"/>
  <c r="AC62" i="1"/>
  <c r="AA62" i="1"/>
  <c r="AC14" i="1"/>
  <c r="AA14" i="1"/>
  <c r="AC74" i="1"/>
  <c r="AC103" i="1"/>
  <c r="AA103" i="1"/>
  <c r="AC95" i="1"/>
  <c r="AA95" i="1"/>
  <c r="AC55" i="1"/>
  <c r="AA55" i="1"/>
  <c r="AC47" i="1"/>
  <c r="AA47" i="1"/>
  <c r="AA94" i="1"/>
  <c r="AA84" i="1"/>
  <c r="AA51" i="1"/>
  <c r="AA40" i="1"/>
  <c r="AA28" i="1"/>
  <c r="AA18" i="1"/>
  <c r="AA8" i="1"/>
  <c r="AD107" i="1"/>
  <c r="AB107" i="1"/>
  <c r="Z107" i="1"/>
  <c r="AF107" i="1" s="1"/>
  <c r="Y107" i="1"/>
  <c r="AD106" i="1"/>
  <c r="AB106" i="1"/>
  <c r="Z106" i="1"/>
  <c r="AF106" i="1" s="1"/>
  <c r="Y106" i="1"/>
  <c r="AD105" i="1"/>
  <c r="AB105" i="1"/>
  <c r="Z105" i="1"/>
  <c r="AF105" i="1" s="1"/>
  <c r="Y105" i="1"/>
  <c r="AD104" i="1"/>
  <c r="AB104" i="1"/>
  <c r="Z104" i="1"/>
  <c r="AF104" i="1" s="1"/>
  <c r="Y104" i="1"/>
  <c r="AD103" i="1"/>
  <c r="AB103" i="1"/>
  <c r="Z103" i="1"/>
  <c r="AF103" i="1" s="1"/>
  <c r="Y103" i="1"/>
  <c r="AD102" i="1"/>
  <c r="AB102" i="1"/>
  <c r="Z102" i="1"/>
  <c r="AF102" i="1" s="1"/>
  <c r="Y102" i="1"/>
  <c r="AD101" i="1"/>
  <c r="AB101" i="1"/>
  <c r="Z101" i="1"/>
  <c r="AF101" i="1" s="1"/>
  <c r="Y101" i="1"/>
  <c r="AD100" i="1"/>
  <c r="AB100" i="1"/>
  <c r="Z100" i="1"/>
  <c r="AF100" i="1" s="1"/>
  <c r="Y100" i="1"/>
  <c r="AD99" i="1"/>
  <c r="AB99" i="1"/>
  <c r="Z99" i="1"/>
  <c r="AF99" i="1" s="1"/>
  <c r="Y99" i="1"/>
  <c r="AD98" i="1"/>
  <c r="AB98" i="1"/>
  <c r="Z98" i="1"/>
  <c r="AF98" i="1" s="1"/>
  <c r="Y98" i="1"/>
  <c r="AD97" i="1"/>
  <c r="AB97" i="1"/>
  <c r="Z97" i="1"/>
  <c r="AF97" i="1" s="1"/>
  <c r="Y97" i="1"/>
  <c r="AD96" i="1"/>
  <c r="AB96" i="1"/>
  <c r="Z96" i="1"/>
  <c r="AF96" i="1" s="1"/>
  <c r="Y96" i="1"/>
  <c r="AD95" i="1"/>
  <c r="AB95" i="1"/>
  <c r="Z95" i="1"/>
  <c r="AF95" i="1" s="1"/>
  <c r="Y95" i="1"/>
  <c r="AD94" i="1"/>
  <c r="AB94" i="1"/>
  <c r="Z94" i="1"/>
  <c r="AF94" i="1" s="1"/>
  <c r="Y94" i="1"/>
  <c r="AD93" i="1"/>
  <c r="AB93" i="1"/>
  <c r="Z93" i="1"/>
  <c r="AF93" i="1" s="1"/>
  <c r="Y93" i="1"/>
  <c r="AD92" i="1"/>
  <c r="AB92" i="1"/>
  <c r="Z92" i="1"/>
  <c r="AF92" i="1" s="1"/>
  <c r="Y92" i="1"/>
  <c r="AD91" i="1"/>
  <c r="AB91" i="1"/>
  <c r="Z91" i="1"/>
  <c r="AF91" i="1" s="1"/>
  <c r="Y91" i="1"/>
  <c r="AD90" i="1"/>
  <c r="AB90" i="1"/>
  <c r="Z90" i="1"/>
  <c r="AF90" i="1" s="1"/>
  <c r="Y90" i="1"/>
  <c r="AD89" i="1"/>
  <c r="AB89" i="1"/>
  <c r="Z89" i="1"/>
  <c r="AF89" i="1" s="1"/>
  <c r="Y89" i="1"/>
  <c r="AD88" i="1"/>
  <c r="AB88" i="1"/>
  <c r="Z88" i="1"/>
  <c r="AF88" i="1" s="1"/>
  <c r="Y88" i="1"/>
  <c r="AD87" i="1"/>
  <c r="AB87" i="1"/>
  <c r="Z87" i="1"/>
  <c r="AF87" i="1" s="1"/>
  <c r="Y87" i="1"/>
  <c r="AD86" i="1"/>
  <c r="AB86" i="1"/>
  <c r="Z86" i="1"/>
  <c r="AF86" i="1" s="1"/>
  <c r="Y86" i="1"/>
  <c r="AD85" i="1"/>
  <c r="AB85" i="1"/>
  <c r="Z85" i="1"/>
  <c r="AF85" i="1" s="1"/>
  <c r="Y85" i="1"/>
  <c r="AD84" i="1"/>
  <c r="AB84" i="1"/>
  <c r="Z84" i="1"/>
  <c r="AF84" i="1" s="1"/>
  <c r="Y84" i="1"/>
  <c r="AD83" i="1"/>
  <c r="AB83" i="1"/>
  <c r="Z83" i="1"/>
  <c r="AF83" i="1" s="1"/>
  <c r="Y83" i="1"/>
  <c r="AD82" i="1"/>
  <c r="AB82" i="1"/>
  <c r="Z82" i="1"/>
  <c r="AF82" i="1" s="1"/>
  <c r="Y82" i="1"/>
  <c r="AD81" i="1"/>
  <c r="AB81" i="1"/>
  <c r="Z81" i="1"/>
  <c r="AF81" i="1" s="1"/>
  <c r="Y81" i="1"/>
  <c r="AD80" i="1"/>
  <c r="AB80" i="1"/>
  <c r="Z80" i="1"/>
  <c r="AF80" i="1" s="1"/>
  <c r="Y80" i="1"/>
  <c r="AD79" i="1"/>
  <c r="AB79" i="1"/>
  <c r="Z79" i="1"/>
  <c r="AF79" i="1" s="1"/>
  <c r="Y79" i="1"/>
  <c r="AD78" i="1"/>
  <c r="AB78" i="1"/>
  <c r="Z78" i="1"/>
  <c r="AF78" i="1" s="1"/>
  <c r="Y78" i="1"/>
  <c r="AD77" i="1"/>
  <c r="AB77" i="1"/>
  <c r="Z77" i="1"/>
  <c r="AF77" i="1" s="1"/>
  <c r="Y77" i="1"/>
  <c r="AD76" i="1"/>
  <c r="AB76" i="1"/>
  <c r="Z76" i="1"/>
  <c r="AF76" i="1" s="1"/>
  <c r="Y76" i="1"/>
  <c r="AD75" i="1"/>
  <c r="AB75" i="1"/>
  <c r="Z75" i="1"/>
  <c r="AF75" i="1" s="1"/>
  <c r="Y75" i="1"/>
  <c r="AD74" i="1"/>
  <c r="AB74" i="1"/>
  <c r="Z74" i="1"/>
  <c r="AF74" i="1" s="1"/>
  <c r="Y74" i="1"/>
  <c r="AD73" i="1"/>
  <c r="AB73" i="1"/>
  <c r="Z73" i="1"/>
  <c r="AF73" i="1" s="1"/>
  <c r="Y73" i="1"/>
  <c r="AD72" i="1"/>
  <c r="AB72" i="1"/>
  <c r="Z72" i="1"/>
  <c r="AF72" i="1" s="1"/>
  <c r="Y72" i="1"/>
  <c r="AD70" i="1"/>
  <c r="AB70" i="1"/>
  <c r="Z70" i="1"/>
  <c r="AF70" i="1" s="1"/>
  <c r="Y70" i="1"/>
  <c r="AD69" i="1"/>
  <c r="AB69" i="1"/>
  <c r="Z69" i="1"/>
  <c r="AF69" i="1" s="1"/>
  <c r="Y69" i="1"/>
  <c r="AD68" i="1"/>
  <c r="AB68" i="1"/>
  <c r="Z68" i="1"/>
  <c r="AF68" i="1" s="1"/>
  <c r="Y68" i="1"/>
  <c r="AD67" i="1"/>
  <c r="AB67" i="1"/>
  <c r="Z67" i="1"/>
  <c r="AF67" i="1" s="1"/>
  <c r="Y67" i="1"/>
  <c r="AD66" i="1"/>
  <c r="AB66" i="1"/>
  <c r="Z66" i="1"/>
  <c r="AF66" i="1" s="1"/>
  <c r="Y66" i="1"/>
  <c r="AD65" i="1"/>
  <c r="AB65" i="1"/>
  <c r="Z65" i="1"/>
  <c r="AF65" i="1" s="1"/>
  <c r="Y65" i="1"/>
  <c r="AD64" i="1"/>
  <c r="AB64" i="1"/>
  <c r="Z64" i="1"/>
  <c r="AF64" i="1" s="1"/>
  <c r="Y64" i="1"/>
  <c r="AD63" i="1"/>
  <c r="AB63" i="1"/>
  <c r="Z63" i="1"/>
  <c r="AF63" i="1" s="1"/>
  <c r="Y63" i="1"/>
  <c r="AD62" i="1"/>
  <c r="AB62" i="1"/>
  <c r="Z62" i="1"/>
  <c r="AF62" i="1" s="1"/>
  <c r="Y62" i="1"/>
  <c r="AD61" i="1"/>
  <c r="AB61" i="1"/>
  <c r="Z61" i="1"/>
  <c r="AF61" i="1" s="1"/>
  <c r="Y61" i="1"/>
  <c r="AD60" i="1"/>
  <c r="AB60" i="1"/>
  <c r="Z60" i="1"/>
  <c r="AF60" i="1" s="1"/>
  <c r="Y60" i="1"/>
  <c r="AD59" i="1"/>
  <c r="AB59" i="1"/>
  <c r="Z59" i="1"/>
  <c r="AF59" i="1" s="1"/>
  <c r="Y59" i="1"/>
  <c r="AD58" i="1"/>
  <c r="AB58" i="1"/>
  <c r="Z58" i="1"/>
  <c r="AF58" i="1" s="1"/>
  <c r="Y58" i="1"/>
  <c r="AD57" i="1"/>
  <c r="AB57" i="1"/>
  <c r="Z57" i="1"/>
  <c r="AF57" i="1" s="1"/>
  <c r="Y57" i="1"/>
  <c r="AD56" i="1"/>
  <c r="AB56" i="1"/>
  <c r="Z56" i="1"/>
  <c r="AF56" i="1" s="1"/>
  <c r="Y56" i="1"/>
  <c r="AD55" i="1"/>
  <c r="AB55" i="1"/>
  <c r="Z55" i="1"/>
  <c r="AF55" i="1" s="1"/>
  <c r="Y55" i="1"/>
  <c r="AD54" i="1"/>
  <c r="AB54" i="1"/>
  <c r="Z54" i="1"/>
  <c r="AF54" i="1" s="1"/>
  <c r="Y54" i="1"/>
  <c r="AD53" i="1"/>
  <c r="AB53" i="1"/>
  <c r="Z53" i="1"/>
  <c r="AF53" i="1" s="1"/>
  <c r="Y53" i="1"/>
  <c r="AD52" i="1"/>
  <c r="AB52" i="1"/>
  <c r="Z52" i="1"/>
  <c r="AF52" i="1" s="1"/>
  <c r="Y52" i="1"/>
  <c r="AD51" i="1"/>
  <c r="AB51" i="1"/>
  <c r="Z51" i="1"/>
  <c r="AF51" i="1" s="1"/>
  <c r="Y51" i="1"/>
  <c r="AD50" i="1"/>
  <c r="AB50" i="1"/>
  <c r="Z50" i="1"/>
  <c r="AF50" i="1" s="1"/>
  <c r="Y50" i="1"/>
  <c r="AD49" i="1"/>
  <c r="AB49" i="1"/>
  <c r="Z49" i="1"/>
  <c r="AF49" i="1" s="1"/>
  <c r="Y49" i="1"/>
  <c r="AD48" i="1"/>
  <c r="AB48" i="1"/>
  <c r="Z48" i="1"/>
  <c r="AF48" i="1" s="1"/>
  <c r="Y48" i="1"/>
  <c r="AD47" i="1"/>
  <c r="AB47" i="1"/>
  <c r="Z47" i="1"/>
  <c r="AF47" i="1" s="1"/>
  <c r="Y47" i="1"/>
  <c r="AD46" i="1"/>
  <c r="AB46" i="1"/>
  <c r="Z46" i="1"/>
  <c r="AF46" i="1" s="1"/>
  <c r="Y46" i="1"/>
  <c r="AD45" i="1"/>
  <c r="AB45" i="1"/>
  <c r="Z45" i="1"/>
  <c r="Y45" i="1"/>
  <c r="AD43" i="1"/>
  <c r="AB43" i="1"/>
  <c r="Z43" i="1"/>
  <c r="AF43" i="1" s="1"/>
  <c r="Y43" i="1"/>
  <c r="AD42" i="1"/>
  <c r="AB42" i="1"/>
  <c r="Z42" i="1"/>
  <c r="AF42" i="1" s="1"/>
  <c r="Y42" i="1"/>
  <c r="AD41" i="1"/>
  <c r="AB41" i="1"/>
  <c r="Z41" i="1"/>
  <c r="AF41" i="1" s="1"/>
  <c r="Y41" i="1"/>
  <c r="AD40" i="1"/>
  <c r="AB40" i="1"/>
  <c r="Z40" i="1"/>
  <c r="AF40" i="1" s="1"/>
  <c r="Y40" i="1"/>
  <c r="AD39" i="1"/>
  <c r="AB39" i="1"/>
  <c r="Z39" i="1"/>
  <c r="AF39" i="1" s="1"/>
  <c r="Y39" i="1"/>
  <c r="AD38" i="1"/>
  <c r="AB38" i="1"/>
  <c r="Z38" i="1"/>
  <c r="AF38" i="1" s="1"/>
  <c r="Y38" i="1"/>
  <c r="AD37" i="1"/>
  <c r="AB37" i="1"/>
  <c r="Z37" i="1"/>
  <c r="AF37" i="1" s="1"/>
  <c r="Y37" i="1"/>
  <c r="AD36" i="1"/>
  <c r="AB36" i="1"/>
  <c r="Z36" i="1"/>
  <c r="AF36" i="1" s="1"/>
  <c r="Y36" i="1"/>
  <c r="AD35" i="1"/>
  <c r="AB35" i="1"/>
  <c r="Z35" i="1"/>
  <c r="AF35" i="1" s="1"/>
  <c r="Y35" i="1"/>
  <c r="AD34" i="1"/>
  <c r="AB34" i="1"/>
  <c r="Z34" i="1"/>
  <c r="AF34" i="1" s="1"/>
  <c r="Y34" i="1"/>
  <c r="AD33" i="1"/>
  <c r="AB33" i="1"/>
  <c r="Z33" i="1"/>
  <c r="AF33" i="1" s="1"/>
  <c r="Y33" i="1"/>
  <c r="AD32" i="1"/>
  <c r="AB32" i="1"/>
  <c r="Z32" i="1"/>
  <c r="AF32" i="1" s="1"/>
  <c r="Y32" i="1"/>
  <c r="AD31" i="1"/>
  <c r="AB31" i="1"/>
  <c r="Z31" i="1"/>
  <c r="AF31" i="1" s="1"/>
  <c r="Y31" i="1"/>
  <c r="AD30" i="1"/>
  <c r="AB30" i="1"/>
  <c r="Z30" i="1"/>
  <c r="AF30" i="1" s="1"/>
  <c r="Y30" i="1"/>
  <c r="AD29" i="1"/>
  <c r="AB29" i="1"/>
  <c r="Z29" i="1"/>
  <c r="AF29" i="1" s="1"/>
  <c r="Y29" i="1"/>
  <c r="AD28" i="1"/>
  <c r="AB28" i="1"/>
  <c r="Z28" i="1"/>
  <c r="AF28" i="1" s="1"/>
  <c r="Y28" i="1"/>
  <c r="AD27" i="1"/>
  <c r="AB27" i="1"/>
  <c r="Z27" i="1"/>
  <c r="AF27" i="1" s="1"/>
  <c r="Y27" i="1"/>
  <c r="AD26" i="1"/>
  <c r="AB26" i="1"/>
  <c r="Z26" i="1"/>
  <c r="AF26" i="1" s="1"/>
  <c r="Y26" i="1"/>
  <c r="AD25" i="1"/>
  <c r="AB25" i="1"/>
  <c r="Z25" i="1"/>
  <c r="AF25" i="1" s="1"/>
  <c r="Y25" i="1"/>
  <c r="AD24" i="1"/>
  <c r="AB24" i="1"/>
  <c r="Z24" i="1"/>
  <c r="AF24" i="1" s="1"/>
  <c r="Y24" i="1"/>
  <c r="AD23" i="1"/>
  <c r="AB23" i="1"/>
  <c r="Z23" i="1"/>
  <c r="AF23" i="1" s="1"/>
  <c r="Y23" i="1"/>
  <c r="AD22" i="1"/>
  <c r="AB22" i="1"/>
  <c r="Z22" i="1"/>
  <c r="AF22" i="1" s="1"/>
  <c r="Y22" i="1"/>
  <c r="AD21" i="1"/>
  <c r="AB21" i="1"/>
  <c r="Z21" i="1"/>
  <c r="AF21" i="1" s="1"/>
  <c r="Y21" i="1"/>
  <c r="AD20" i="1"/>
  <c r="AB20" i="1"/>
  <c r="Z20" i="1"/>
  <c r="AF20" i="1" s="1"/>
  <c r="Y20" i="1"/>
  <c r="AD19" i="1"/>
  <c r="AB19" i="1"/>
  <c r="Z19" i="1"/>
  <c r="AF19" i="1" s="1"/>
  <c r="Y19" i="1"/>
  <c r="AD18" i="1"/>
  <c r="AB18" i="1"/>
  <c r="Z18" i="1"/>
  <c r="AF18" i="1" s="1"/>
  <c r="Y18" i="1"/>
  <c r="AD17" i="1"/>
  <c r="AB17" i="1"/>
  <c r="Z17" i="1"/>
  <c r="AF17" i="1" s="1"/>
  <c r="Y17" i="1"/>
  <c r="AD16" i="1"/>
  <c r="AB16" i="1"/>
  <c r="Z16" i="1"/>
  <c r="AF16" i="1" s="1"/>
  <c r="Y16" i="1"/>
  <c r="AD15" i="1"/>
  <c r="AB15" i="1"/>
  <c r="Z15" i="1"/>
  <c r="AF15" i="1" s="1"/>
  <c r="Y15" i="1"/>
  <c r="AD14" i="1"/>
  <c r="AB14" i="1"/>
  <c r="Z14" i="1"/>
  <c r="AF14" i="1" s="1"/>
  <c r="Y14" i="1"/>
  <c r="AD13" i="1"/>
  <c r="AB13" i="1"/>
  <c r="Z13" i="1"/>
  <c r="AF13" i="1" s="1"/>
  <c r="Y13" i="1"/>
  <c r="AD12" i="1"/>
  <c r="AB12" i="1"/>
  <c r="Z12" i="1"/>
  <c r="AF12" i="1" s="1"/>
  <c r="Y12" i="1"/>
  <c r="AD11" i="1"/>
  <c r="AB11" i="1"/>
  <c r="Z11" i="1"/>
  <c r="AF11" i="1" s="1"/>
  <c r="Y11" i="1"/>
  <c r="AD10" i="1"/>
  <c r="AB10" i="1"/>
  <c r="Z10" i="1"/>
  <c r="AF10" i="1" s="1"/>
  <c r="Y10" i="1"/>
  <c r="AD9" i="1"/>
  <c r="AB9" i="1"/>
  <c r="Z9" i="1"/>
  <c r="AF9" i="1" s="1"/>
  <c r="Y9" i="1"/>
  <c r="AD8" i="1"/>
  <c r="AB8" i="1"/>
  <c r="Z8" i="1"/>
  <c r="AF8" i="1" s="1"/>
  <c r="Y8" i="1"/>
  <c r="AD7" i="1"/>
  <c r="AB7" i="1"/>
  <c r="Z7" i="1"/>
  <c r="AF7" i="1" s="1"/>
  <c r="Y7" i="1"/>
  <c r="AD6" i="1"/>
  <c r="AB6" i="1"/>
  <c r="Z6" i="1"/>
  <c r="AF6" i="1" s="1"/>
  <c r="Y6" i="1"/>
  <c r="AD5" i="1"/>
  <c r="AB5" i="1"/>
  <c r="Z5" i="1"/>
  <c r="AF5" i="1" s="1"/>
  <c r="Y5" i="1"/>
  <c r="AD4" i="1"/>
  <c r="AB4" i="1"/>
  <c r="Z4" i="1"/>
  <c r="Y4" i="1"/>
  <c r="AF4" i="1" l="1"/>
  <c r="AF45" i="1"/>
</calcChain>
</file>

<file path=xl/sharedStrings.xml><?xml version="1.0" encoding="utf-8"?>
<sst xmlns="http://schemas.openxmlformats.org/spreadsheetml/2006/main" count="365" uniqueCount="139">
  <si>
    <t xml:space="preserve"> Electronic Supplementary Materials. LA-ICP-MS data of the sphalerite samples from the Bainiuchang Sn-Zn polymetallic deposit, major elements (Zn, Fe) are given in wt.% whereas trace elements are given in μg/g.</t>
    <phoneticPr fontId="3" type="noConversion"/>
  </si>
  <si>
    <t>wt.%</t>
    <phoneticPr fontId="3" type="noConversion"/>
  </si>
  <si>
    <t>μg/g</t>
    <phoneticPr fontId="3" type="noConversion"/>
  </si>
  <si>
    <t>Spot No.</t>
  </si>
  <si>
    <t>Fe</t>
  </si>
  <si>
    <t>Zn</t>
  </si>
  <si>
    <t>P</t>
  </si>
  <si>
    <t>Ti</t>
  </si>
  <si>
    <t>Mn</t>
  </si>
  <si>
    <t>Co</t>
  </si>
  <si>
    <t>Cu</t>
  </si>
  <si>
    <t>Ag</t>
  </si>
  <si>
    <t>Sn</t>
  </si>
  <si>
    <t>Sb</t>
  </si>
  <si>
    <t>Bi</t>
  </si>
  <si>
    <t>Pb</t>
  </si>
  <si>
    <t>Ga</t>
  </si>
  <si>
    <t>Cd</t>
  </si>
  <si>
    <t>In</t>
  </si>
  <si>
    <t>Ge</t>
  </si>
  <si>
    <t>Se</t>
  </si>
  <si>
    <t>Tl</t>
  </si>
  <si>
    <t>Na</t>
  </si>
  <si>
    <t>Mg</t>
  </si>
  <si>
    <t>Al</t>
  </si>
  <si>
    <t>K</t>
  </si>
  <si>
    <t>Ca</t>
  </si>
  <si>
    <t>Ti/Co</t>
  </si>
  <si>
    <t>In+Cu</t>
  </si>
  <si>
    <t>Zn+Fe</t>
  </si>
  <si>
    <t>Cu+Ag</t>
  </si>
  <si>
    <t>Fe+Mn</t>
  </si>
  <si>
    <t>In+Ga</t>
  </si>
  <si>
    <t>Zn/Cd</t>
  </si>
  <si>
    <t>In+Cu+Sn</t>
    <phoneticPr fontId="3" type="noConversion"/>
  </si>
  <si>
    <t>BN05-01</t>
  </si>
  <si>
    <t>—</t>
    <phoneticPr fontId="3" type="noConversion"/>
  </si>
  <si>
    <t>BN05-02</t>
  </si>
  <si>
    <t>BN05-03</t>
  </si>
  <si>
    <t>BN05-04</t>
  </si>
  <si>
    <t>BN05-05</t>
  </si>
  <si>
    <t>BN05-06</t>
  </si>
  <si>
    <t>BN05-07</t>
  </si>
  <si>
    <t>BN05-08</t>
  </si>
  <si>
    <t>BN05-09</t>
  </si>
  <si>
    <t>BN05-10</t>
  </si>
  <si>
    <t>BN05-11</t>
  </si>
  <si>
    <t>BN05-12</t>
  </si>
  <si>
    <t>BN05-13</t>
  </si>
  <si>
    <t>BN05-14</t>
  </si>
  <si>
    <t>BN05-15</t>
  </si>
  <si>
    <t>BN05-16</t>
  </si>
  <si>
    <t>BN05-17</t>
  </si>
  <si>
    <t>BN05-18</t>
  </si>
  <si>
    <t>BN05-19</t>
  </si>
  <si>
    <t>BN05-20</t>
  </si>
  <si>
    <t>BN05-21</t>
  </si>
  <si>
    <t>BN05-22</t>
  </si>
  <si>
    <t>BN05-23</t>
  </si>
  <si>
    <t>BN05-24</t>
  </si>
  <si>
    <t>BN05-25</t>
  </si>
  <si>
    <t>BN05-26</t>
  </si>
  <si>
    <t>BN05-27</t>
  </si>
  <si>
    <t>BN05-28</t>
  </si>
  <si>
    <t>BN05-29</t>
  </si>
  <si>
    <t>BN05-30</t>
  </si>
  <si>
    <t>BN05-31</t>
  </si>
  <si>
    <t>BN05-32</t>
  </si>
  <si>
    <t>BN05-33</t>
  </si>
  <si>
    <t>BN05-34</t>
  </si>
  <si>
    <t>BN05-35</t>
  </si>
  <si>
    <t>BN05-36</t>
  </si>
  <si>
    <t>BN05-37</t>
  </si>
  <si>
    <t>BN05-38</t>
  </si>
  <si>
    <t>BN05-39</t>
  </si>
  <si>
    <t>BN05-40</t>
  </si>
  <si>
    <t>BN06-01</t>
  </si>
  <si>
    <t>BN06-02</t>
  </si>
  <si>
    <t>BN06-03</t>
  </si>
  <si>
    <t>BN06-04</t>
  </si>
  <si>
    <t>BN06-05</t>
  </si>
  <si>
    <t>BN06-06</t>
  </si>
  <si>
    <t>BN06-07</t>
  </si>
  <si>
    <t>BN06-08</t>
  </si>
  <si>
    <t>BN06-09</t>
  </si>
  <si>
    <t>BN06-10</t>
  </si>
  <si>
    <t>BN06-11</t>
  </si>
  <si>
    <t>BN06-12</t>
  </si>
  <si>
    <t>BN06-13</t>
  </si>
  <si>
    <t>BN06-14</t>
  </si>
  <si>
    <t>BN06-15</t>
  </si>
  <si>
    <t>BN06-16</t>
  </si>
  <si>
    <t>BN06-17</t>
  </si>
  <si>
    <t>BN06-18</t>
  </si>
  <si>
    <t>BN06-19</t>
  </si>
  <si>
    <t>BN06-20</t>
  </si>
  <si>
    <t>BN06-21</t>
  </si>
  <si>
    <t>BN06-22</t>
  </si>
  <si>
    <t>BN06-23</t>
  </si>
  <si>
    <t>BN06-24</t>
  </si>
  <si>
    <t>BN06-25</t>
  </si>
  <si>
    <t>BN06-26</t>
  </si>
  <si>
    <t>BN09-01</t>
  </si>
  <si>
    <t>BN09-02</t>
  </si>
  <si>
    <t>BN09-03</t>
  </si>
  <si>
    <t>BN09-04</t>
  </si>
  <si>
    <t>BN09-05</t>
  </si>
  <si>
    <t>BN09-06</t>
  </si>
  <si>
    <t>BN09-07</t>
  </si>
  <si>
    <t>BN09-08</t>
  </si>
  <si>
    <t>BN09-09</t>
  </si>
  <si>
    <t>BN09-10</t>
  </si>
  <si>
    <t>BN09-11</t>
  </si>
  <si>
    <t>BN09-12</t>
  </si>
  <si>
    <t>BN09-13</t>
  </si>
  <si>
    <t>BN09-14</t>
  </si>
  <si>
    <t>BN09-15</t>
  </si>
  <si>
    <t>BN09-16</t>
  </si>
  <si>
    <t>BN09-17</t>
  </si>
  <si>
    <t>BN09-18</t>
  </si>
  <si>
    <t>BN09-19</t>
  </si>
  <si>
    <t>BN09-20</t>
  </si>
  <si>
    <t>BN09-21</t>
  </si>
  <si>
    <t>BN09-22</t>
  </si>
  <si>
    <t>BN09-23</t>
  </si>
  <si>
    <t>BN09-24</t>
  </si>
  <si>
    <t>BN09-25</t>
  </si>
  <si>
    <t>BN09-26</t>
  </si>
  <si>
    <t>BN09-27</t>
  </si>
  <si>
    <t>BN09-28</t>
  </si>
  <si>
    <t>BN09-29</t>
  </si>
  <si>
    <t>BN09-30</t>
  </si>
  <si>
    <t>BN09-31</t>
  </si>
  <si>
    <t>BN09-32</t>
  </si>
  <si>
    <t>BN09-33</t>
  </si>
  <si>
    <t>BN09-34</t>
  </si>
  <si>
    <t>BN09-35</t>
  </si>
  <si>
    <t>BN09-36</t>
  </si>
  <si>
    <t>“ - ” Below the detection limit for trace elements (typically 0.01 ppm)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</si>
</sst>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_);[Red]\(0.0\)"/>
    <numFmt numFmtId="165" formatCode="0_ "/>
    <numFmt numFmtId="166" formatCode="0.0_ "/>
    <numFmt numFmtId="167" formatCode="0.00_ "/>
    <numFmt numFmtId="168" formatCode="0_);[Red]\(0\)"/>
    <numFmt numFmtId="169" formatCode="0.00_);[Red]\(0.00\)"/>
    <numFmt numFmtId="170" formatCode="0.000_ "/>
    <numFmt numFmtId="171" formatCode="0.0000_ "/>
    <numFmt numFmtId="172" formatCode="0.00000_ "/>
  </numFmts>
  <fonts count="4">
    <font>
      <sz val="11"/>
      <color theme="1"/>
      <name val="宋体"/>
      <charset val="134"/>
      <scheme val="minor"/>
    </font>
    <font>
      <sz val="9"/>
      <color theme="1"/>
      <name val="Arial"/>
      <family val="2"/>
    </font>
    <font>
      <sz val="12"/>
      <color theme="1"/>
      <name val="Arial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Fill="1" applyAlignment="1">
      <alignment vertical="center"/>
    </xf>
    <xf numFmtId="165" fontId="1" fillId="0" borderId="0" xfId="0" applyNumberFormat="1" applyFont="1" applyFill="1" applyAlignment="1">
      <alignment horizontal="center" vertical="center"/>
    </xf>
    <xf numFmtId="166" fontId="1" fillId="0" borderId="0" xfId="0" applyNumberFormat="1" applyFont="1" applyFill="1" applyAlignment="1">
      <alignment horizontal="center" vertical="center"/>
    </xf>
    <xf numFmtId="167" fontId="1" fillId="0" borderId="0" xfId="0" applyNumberFormat="1" applyFont="1" applyFill="1" applyAlignment="1">
      <alignment horizontal="center" vertical="center"/>
    </xf>
    <xf numFmtId="168" fontId="1" fillId="0" borderId="0" xfId="0" applyNumberFormat="1" applyFont="1" applyFill="1" applyAlignment="1">
      <alignment horizontal="center" vertical="center"/>
    </xf>
    <xf numFmtId="164" fontId="1" fillId="0" borderId="0" xfId="0" applyNumberFormat="1" applyFont="1" applyFill="1" applyAlignment="1">
      <alignment horizontal="center" vertical="center"/>
    </xf>
    <xf numFmtId="169" fontId="1" fillId="0" borderId="0" xfId="0" applyNumberFormat="1" applyFont="1" applyFill="1" applyAlignment="1">
      <alignment horizontal="center" vertical="center"/>
    </xf>
    <xf numFmtId="170" fontId="1" fillId="0" borderId="0" xfId="0" applyNumberFormat="1" applyFont="1" applyFill="1" applyAlignment="1">
      <alignment horizontal="center" vertical="center"/>
    </xf>
    <xf numFmtId="168" fontId="1" fillId="0" borderId="0" xfId="0" applyNumberFormat="1" applyFont="1" applyFill="1" applyAlignment="1">
      <alignment vertical="center"/>
    </xf>
    <xf numFmtId="171" fontId="1" fillId="0" borderId="0" xfId="0" applyNumberFormat="1" applyFont="1" applyFill="1" applyAlignment="1">
      <alignment horizontal="center" vertical="center"/>
    </xf>
    <xf numFmtId="172" fontId="1" fillId="0" borderId="0" xfId="0" applyNumberFormat="1" applyFont="1" applyFill="1" applyAlignment="1">
      <alignment horizontal="center" vertical="center"/>
    </xf>
    <xf numFmtId="167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9"/>
  <sheetViews>
    <sheetView tabSelected="1" workbookViewId="0">
      <pane ySplit="3" topLeftCell="A4" activePane="bottomLeft" state="frozen"/>
      <selection pane="bottomLeft" activeCell="B2" sqref="B2"/>
    </sheetView>
  </sheetViews>
  <sheetFormatPr defaultColWidth="9" defaultRowHeight="12"/>
  <cols>
    <col min="1" max="1" width="9" style="1"/>
    <col min="2" max="3" width="8.875" style="1" customWidth="1"/>
    <col min="4" max="4" width="7.125" style="1" customWidth="1"/>
    <col min="5" max="5" width="7" style="1" customWidth="1"/>
    <col min="6" max="6" width="7.625" style="1" customWidth="1"/>
    <col min="7" max="7" width="7" style="1" customWidth="1"/>
    <col min="8" max="8" width="6.625" style="1" customWidth="1"/>
    <col min="9" max="9" width="6.75" style="1" customWidth="1"/>
    <col min="10" max="10" width="6.875" style="1" customWidth="1"/>
    <col min="11" max="11" width="6.25" style="1" customWidth="1"/>
    <col min="12" max="12" width="7.875" style="1" customWidth="1"/>
    <col min="13" max="13" width="7.75" style="1" customWidth="1"/>
    <col min="14" max="14" width="6" style="1" customWidth="1"/>
    <col min="15" max="15" width="8" style="1" customWidth="1"/>
    <col min="16" max="16" width="6.125" style="1" customWidth="1"/>
    <col min="17" max="17" width="7.875" style="13" customWidth="1"/>
    <col min="18" max="18" width="7.125" style="13" customWidth="1"/>
    <col min="19" max="19" width="6.75" style="1" customWidth="1"/>
    <col min="20" max="20" width="6.5" style="13" customWidth="1"/>
    <col min="21" max="21" width="6.75" style="13" customWidth="1"/>
    <col min="22" max="22" width="6.875" style="13" customWidth="1"/>
    <col min="23" max="23" width="6.75" style="13" customWidth="1"/>
    <col min="24" max="24" width="7.75" style="13" customWidth="1"/>
    <col min="25" max="25" width="6.25" style="1" customWidth="1"/>
    <col min="26" max="26" width="7.25" style="1" customWidth="1"/>
    <col min="27" max="27" width="9.25" style="1" bestFit="1" customWidth="1"/>
    <col min="28" max="28" width="7.5" style="9" customWidth="1"/>
    <col min="29" max="29" width="7.875" style="1" customWidth="1"/>
    <col min="30" max="31" width="7.375" style="1" customWidth="1"/>
    <col min="32" max="32" width="8.625" style="1" customWidth="1"/>
    <col min="33" max="210" width="9" style="1"/>
    <col min="211" max="250" width="12.625" style="1" customWidth="1"/>
    <col min="251" max="253" width="13.75" style="1" customWidth="1"/>
    <col min="254" max="254" width="12.625" style="1" customWidth="1"/>
    <col min="255" max="255" width="9" style="1"/>
    <col min="256" max="267" width="12.625" style="1" customWidth="1"/>
    <col min="268" max="268" width="11.5" style="1" customWidth="1"/>
    <col min="269" max="271" width="12.625" style="1" customWidth="1"/>
    <col min="272" max="272" width="11.5" style="1" customWidth="1"/>
    <col min="273" max="282" width="12.625" style="1" customWidth="1"/>
    <col min="283" max="466" width="9" style="1"/>
    <col min="467" max="506" width="12.625" style="1" customWidth="1"/>
    <col min="507" max="509" width="13.75" style="1" customWidth="1"/>
    <col min="510" max="510" width="12.625" style="1" customWidth="1"/>
    <col min="511" max="511" width="9" style="1"/>
    <col min="512" max="523" width="12.625" style="1" customWidth="1"/>
    <col min="524" max="524" width="11.5" style="1" customWidth="1"/>
    <col min="525" max="527" width="12.625" style="1" customWidth="1"/>
    <col min="528" max="528" width="11.5" style="1" customWidth="1"/>
    <col min="529" max="538" width="12.625" style="1" customWidth="1"/>
    <col min="539" max="722" width="9" style="1"/>
    <col min="723" max="762" width="12.625" style="1" customWidth="1"/>
    <col min="763" max="765" width="13.75" style="1" customWidth="1"/>
    <col min="766" max="766" width="12.625" style="1" customWidth="1"/>
    <col min="767" max="767" width="9" style="1"/>
    <col min="768" max="779" width="12.625" style="1" customWidth="1"/>
    <col min="780" max="780" width="11.5" style="1" customWidth="1"/>
    <col min="781" max="783" width="12.625" style="1" customWidth="1"/>
    <col min="784" max="784" width="11.5" style="1" customWidth="1"/>
    <col min="785" max="794" width="12.625" style="1" customWidth="1"/>
    <col min="795" max="978" width="9" style="1"/>
    <col min="979" max="1018" width="12.625" style="1" customWidth="1"/>
    <col min="1019" max="1021" width="13.75" style="1" customWidth="1"/>
    <col min="1022" max="1022" width="12.625" style="1" customWidth="1"/>
    <col min="1023" max="1023" width="9" style="1"/>
    <col min="1024" max="1035" width="12.625" style="1" customWidth="1"/>
    <col min="1036" max="1036" width="11.5" style="1" customWidth="1"/>
    <col min="1037" max="1039" width="12.625" style="1" customWidth="1"/>
    <col min="1040" max="1040" width="11.5" style="1" customWidth="1"/>
    <col min="1041" max="1050" width="12.625" style="1" customWidth="1"/>
    <col min="1051" max="1234" width="9" style="1"/>
    <col min="1235" max="1274" width="12.625" style="1" customWidth="1"/>
    <col min="1275" max="1277" width="13.75" style="1" customWidth="1"/>
    <col min="1278" max="1278" width="12.625" style="1" customWidth="1"/>
    <col min="1279" max="1279" width="9" style="1"/>
    <col min="1280" max="1291" width="12.625" style="1" customWidth="1"/>
    <col min="1292" max="1292" width="11.5" style="1" customWidth="1"/>
    <col min="1293" max="1295" width="12.625" style="1" customWidth="1"/>
    <col min="1296" max="1296" width="11.5" style="1" customWidth="1"/>
    <col min="1297" max="1306" width="12.625" style="1" customWidth="1"/>
    <col min="1307" max="1490" width="9" style="1"/>
    <col min="1491" max="1530" width="12.625" style="1" customWidth="1"/>
    <col min="1531" max="1533" width="13.75" style="1" customWidth="1"/>
    <col min="1534" max="1534" width="12.625" style="1" customWidth="1"/>
    <col min="1535" max="1535" width="9" style="1"/>
    <col min="1536" max="1547" width="12.625" style="1" customWidth="1"/>
    <col min="1548" max="1548" width="11.5" style="1" customWidth="1"/>
    <col min="1549" max="1551" width="12.625" style="1" customWidth="1"/>
    <col min="1552" max="1552" width="11.5" style="1" customWidth="1"/>
    <col min="1553" max="1562" width="12.625" style="1" customWidth="1"/>
    <col min="1563" max="1746" width="9" style="1"/>
    <col min="1747" max="1786" width="12.625" style="1" customWidth="1"/>
    <col min="1787" max="1789" width="13.75" style="1" customWidth="1"/>
    <col min="1790" max="1790" width="12.625" style="1" customWidth="1"/>
    <col min="1791" max="1791" width="9" style="1"/>
    <col min="1792" max="1803" width="12.625" style="1" customWidth="1"/>
    <col min="1804" max="1804" width="11.5" style="1" customWidth="1"/>
    <col min="1805" max="1807" width="12.625" style="1" customWidth="1"/>
    <col min="1808" max="1808" width="11.5" style="1" customWidth="1"/>
    <col min="1809" max="1818" width="12.625" style="1" customWidth="1"/>
    <col min="1819" max="2002" width="9" style="1"/>
    <col min="2003" max="2042" width="12.625" style="1" customWidth="1"/>
    <col min="2043" max="2045" width="13.75" style="1" customWidth="1"/>
    <col min="2046" max="2046" width="12.625" style="1" customWidth="1"/>
    <col min="2047" max="2047" width="9" style="1"/>
    <col min="2048" max="2059" width="12.625" style="1" customWidth="1"/>
    <col min="2060" max="2060" width="11.5" style="1" customWidth="1"/>
    <col min="2061" max="2063" width="12.625" style="1" customWidth="1"/>
    <col min="2064" max="2064" width="11.5" style="1" customWidth="1"/>
    <col min="2065" max="2074" width="12.625" style="1" customWidth="1"/>
    <col min="2075" max="2258" width="9" style="1"/>
    <col min="2259" max="2298" width="12.625" style="1" customWidth="1"/>
    <col min="2299" max="2301" width="13.75" style="1" customWidth="1"/>
    <col min="2302" max="2302" width="12.625" style="1" customWidth="1"/>
    <col min="2303" max="2303" width="9" style="1"/>
    <col min="2304" max="2315" width="12.625" style="1" customWidth="1"/>
    <col min="2316" max="2316" width="11.5" style="1" customWidth="1"/>
    <col min="2317" max="2319" width="12.625" style="1" customWidth="1"/>
    <col min="2320" max="2320" width="11.5" style="1" customWidth="1"/>
    <col min="2321" max="2330" width="12.625" style="1" customWidth="1"/>
    <col min="2331" max="2514" width="9" style="1"/>
    <col min="2515" max="2554" width="12.625" style="1" customWidth="1"/>
    <col min="2555" max="2557" width="13.75" style="1" customWidth="1"/>
    <col min="2558" max="2558" width="12.625" style="1" customWidth="1"/>
    <col min="2559" max="2559" width="9" style="1"/>
    <col min="2560" max="2571" width="12.625" style="1" customWidth="1"/>
    <col min="2572" max="2572" width="11.5" style="1" customWidth="1"/>
    <col min="2573" max="2575" width="12.625" style="1" customWidth="1"/>
    <col min="2576" max="2576" width="11.5" style="1" customWidth="1"/>
    <col min="2577" max="2586" width="12.625" style="1" customWidth="1"/>
    <col min="2587" max="2770" width="9" style="1"/>
    <col min="2771" max="2810" width="12.625" style="1" customWidth="1"/>
    <col min="2811" max="2813" width="13.75" style="1" customWidth="1"/>
    <col min="2814" max="2814" width="12.625" style="1" customWidth="1"/>
    <col min="2815" max="2815" width="9" style="1"/>
    <col min="2816" max="2827" width="12.625" style="1" customWidth="1"/>
    <col min="2828" max="2828" width="11.5" style="1" customWidth="1"/>
    <col min="2829" max="2831" width="12.625" style="1" customWidth="1"/>
    <col min="2832" max="2832" width="11.5" style="1" customWidth="1"/>
    <col min="2833" max="2842" width="12.625" style="1" customWidth="1"/>
    <col min="2843" max="3026" width="9" style="1"/>
    <col min="3027" max="3066" width="12.625" style="1" customWidth="1"/>
    <col min="3067" max="3069" width="13.75" style="1" customWidth="1"/>
    <col min="3070" max="3070" width="12.625" style="1" customWidth="1"/>
    <col min="3071" max="3071" width="9" style="1"/>
    <col min="3072" max="3083" width="12.625" style="1" customWidth="1"/>
    <col min="3084" max="3084" width="11.5" style="1" customWidth="1"/>
    <col min="3085" max="3087" width="12.625" style="1" customWidth="1"/>
    <col min="3088" max="3088" width="11.5" style="1" customWidth="1"/>
    <col min="3089" max="3098" width="12.625" style="1" customWidth="1"/>
    <col min="3099" max="3282" width="9" style="1"/>
    <col min="3283" max="3322" width="12.625" style="1" customWidth="1"/>
    <col min="3323" max="3325" width="13.75" style="1" customWidth="1"/>
    <col min="3326" max="3326" width="12.625" style="1" customWidth="1"/>
    <col min="3327" max="3327" width="9" style="1"/>
    <col min="3328" max="3339" width="12.625" style="1" customWidth="1"/>
    <col min="3340" max="3340" width="11.5" style="1" customWidth="1"/>
    <col min="3341" max="3343" width="12.625" style="1" customWidth="1"/>
    <col min="3344" max="3344" width="11.5" style="1" customWidth="1"/>
    <col min="3345" max="3354" width="12.625" style="1" customWidth="1"/>
    <col min="3355" max="3538" width="9" style="1"/>
    <col min="3539" max="3578" width="12.625" style="1" customWidth="1"/>
    <col min="3579" max="3581" width="13.75" style="1" customWidth="1"/>
    <col min="3582" max="3582" width="12.625" style="1" customWidth="1"/>
    <col min="3583" max="3583" width="9" style="1"/>
    <col min="3584" max="3595" width="12.625" style="1" customWidth="1"/>
    <col min="3596" max="3596" width="11.5" style="1" customWidth="1"/>
    <col min="3597" max="3599" width="12.625" style="1" customWidth="1"/>
    <col min="3600" max="3600" width="11.5" style="1" customWidth="1"/>
    <col min="3601" max="3610" width="12.625" style="1" customWidth="1"/>
    <col min="3611" max="3794" width="9" style="1"/>
    <col min="3795" max="3834" width="12.625" style="1" customWidth="1"/>
    <col min="3835" max="3837" width="13.75" style="1" customWidth="1"/>
    <col min="3838" max="3838" width="12.625" style="1" customWidth="1"/>
    <col min="3839" max="3839" width="9" style="1"/>
    <col min="3840" max="3851" width="12.625" style="1" customWidth="1"/>
    <col min="3852" max="3852" width="11.5" style="1" customWidth="1"/>
    <col min="3853" max="3855" width="12.625" style="1" customWidth="1"/>
    <col min="3856" max="3856" width="11.5" style="1" customWidth="1"/>
    <col min="3857" max="3866" width="12.625" style="1" customWidth="1"/>
    <col min="3867" max="4050" width="9" style="1"/>
    <col min="4051" max="4090" width="12.625" style="1" customWidth="1"/>
    <col min="4091" max="4093" width="13.75" style="1" customWidth="1"/>
    <col min="4094" max="4094" width="12.625" style="1" customWidth="1"/>
    <col min="4095" max="4095" width="9" style="1"/>
    <col min="4096" max="4107" width="12.625" style="1" customWidth="1"/>
    <col min="4108" max="4108" width="11.5" style="1" customWidth="1"/>
    <col min="4109" max="4111" width="12.625" style="1" customWidth="1"/>
    <col min="4112" max="4112" width="11.5" style="1" customWidth="1"/>
    <col min="4113" max="4122" width="12.625" style="1" customWidth="1"/>
    <col min="4123" max="4306" width="9" style="1"/>
    <col min="4307" max="4346" width="12.625" style="1" customWidth="1"/>
    <col min="4347" max="4349" width="13.75" style="1" customWidth="1"/>
    <col min="4350" max="4350" width="12.625" style="1" customWidth="1"/>
    <col min="4351" max="4351" width="9" style="1"/>
    <col min="4352" max="4363" width="12.625" style="1" customWidth="1"/>
    <col min="4364" max="4364" width="11.5" style="1" customWidth="1"/>
    <col min="4365" max="4367" width="12.625" style="1" customWidth="1"/>
    <col min="4368" max="4368" width="11.5" style="1" customWidth="1"/>
    <col min="4369" max="4378" width="12.625" style="1" customWidth="1"/>
    <col min="4379" max="4562" width="9" style="1"/>
    <col min="4563" max="4602" width="12.625" style="1" customWidth="1"/>
    <col min="4603" max="4605" width="13.75" style="1" customWidth="1"/>
    <col min="4606" max="4606" width="12.625" style="1" customWidth="1"/>
    <col min="4607" max="4607" width="9" style="1"/>
    <col min="4608" max="4619" width="12.625" style="1" customWidth="1"/>
    <col min="4620" max="4620" width="11.5" style="1" customWidth="1"/>
    <col min="4621" max="4623" width="12.625" style="1" customWidth="1"/>
    <col min="4624" max="4624" width="11.5" style="1" customWidth="1"/>
    <col min="4625" max="4634" width="12.625" style="1" customWidth="1"/>
    <col min="4635" max="4818" width="9" style="1"/>
    <col min="4819" max="4858" width="12.625" style="1" customWidth="1"/>
    <col min="4859" max="4861" width="13.75" style="1" customWidth="1"/>
    <col min="4862" max="4862" width="12.625" style="1" customWidth="1"/>
    <col min="4863" max="4863" width="9" style="1"/>
    <col min="4864" max="4875" width="12.625" style="1" customWidth="1"/>
    <col min="4876" max="4876" width="11.5" style="1" customWidth="1"/>
    <col min="4877" max="4879" width="12.625" style="1" customWidth="1"/>
    <col min="4880" max="4880" width="11.5" style="1" customWidth="1"/>
    <col min="4881" max="4890" width="12.625" style="1" customWidth="1"/>
    <col min="4891" max="5074" width="9" style="1"/>
    <col min="5075" max="5114" width="12.625" style="1" customWidth="1"/>
    <col min="5115" max="5117" width="13.75" style="1" customWidth="1"/>
    <col min="5118" max="5118" width="12.625" style="1" customWidth="1"/>
    <col min="5119" max="5119" width="9" style="1"/>
    <col min="5120" max="5131" width="12.625" style="1" customWidth="1"/>
    <col min="5132" max="5132" width="11.5" style="1" customWidth="1"/>
    <col min="5133" max="5135" width="12.625" style="1" customWidth="1"/>
    <col min="5136" max="5136" width="11.5" style="1" customWidth="1"/>
    <col min="5137" max="5146" width="12.625" style="1" customWidth="1"/>
    <col min="5147" max="5330" width="9" style="1"/>
    <col min="5331" max="5370" width="12.625" style="1" customWidth="1"/>
    <col min="5371" max="5373" width="13.75" style="1" customWidth="1"/>
    <col min="5374" max="5374" width="12.625" style="1" customWidth="1"/>
    <col min="5375" max="5375" width="9" style="1"/>
    <col min="5376" max="5387" width="12.625" style="1" customWidth="1"/>
    <col min="5388" max="5388" width="11.5" style="1" customWidth="1"/>
    <col min="5389" max="5391" width="12.625" style="1" customWidth="1"/>
    <col min="5392" max="5392" width="11.5" style="1" customWidth="1"/>
    <col min="5393" max="5402" width="12.625" style="1" customWidth="1"/>
    <col min="5403" max="5586" width="9" style="1"/>
    <col min="5587" max="5626" width="12.625" style="1" customWidth="1"/>
    <col min="5627" max="5629" width="13.75" style="1" customWidth="1"/>
    <col min="5630" max="5630" width="12.625" style="1" customWidth="1"/>
    <col min="5631" max="5631" width="9" style="1"/>
    <col min="5632" max="5643" width="12.625" style="1" customWidth="1"/>
    <col min="5644" max="5644" width="11.5" style="1" customWidth="1"/>
    <col min="5645" max="5647" width="12.625" style="1" customWidth="1"/>
    <col min="5648" max="5648" width="11.5" style="1" customWidth="1"/>
    <col min="5649" max="5658" width="12.625" style="1" customWidth="1"/>
    <col min="5659" max="5842" width="9" style="1"/>
    <col min="5843" max="5882" width="12.625" style="1" customWidth="1"/>
    <col min="5883" max="5885" width="13.75" style="1" customWidth="1"/>
    <col min="5886" max="5886" width="12.625" style="1" customWidth="1"/>
    <col min="5887" max="5887" width="9" style="1"/>
    <col min="5888" max="5899" width="12.625" style="1" customWidth="1"/>
    <col min="5900" max="5900" width="11.5" style="1" customWidth="1"/>
    <col min="5901" max="5903" width="12.625" style="1" customWidth="1"/>
    <col min="5904" max="5904" width="11.5" style="1" customWidth="1"/>
    <col min="5905" max="5914" width="12.625" style="1" customWidth="1"/>
    <col min="5915" max="6098" width="9" style="1"/>
    <col min="6099" max="6138" width="12.625" style="1" customWidth="1"/>
    <col min="6139" max="6141" width="13.75" style="1" customWidth="1"/>
    <col min="6142" max="6142" width="12.625" style="1" customWidth="1"/>
    <col min="6143" max="6143" width="9" style="1"/>
    <col min="6144" max="6155" width="12.625" style="1" customWidth="1"/>
    <col min="6156" max="6156" width="11.5" style="1" customWidth="1"/>
    <col min="6157" max="6159" width="12.625" style="1" customWidth="1"/>
    <col min="6160" max="6160" width="11.5" style="1" customWidth="1"/>
    <col min="6161" max="6170" width="12.625" style="1" customWidth="1"/>
    <col min="6171" max="6354" width="9" style="1"/>
    <col min="6355" max="6394" width="12.625" style="1" customWidth="1"/>
    <col min="6395" max="6397" width="13.75" style="1" customWidth="1"/>
    <col min="6398" max="6398" width="12.625" style="1" customWidth="1"/>
    <col min="6399" max="6399" width="9" style="1"/>
    <col min="6400" max="6411" width="12.625" style="1" customWidth="1"/>
    <col min="6412" max="6412" width="11.5" style="1" customWidth="1"/>
    <col min="6413" max="6415" width="12.625" style="1" customWidth="1"/>
    <col min="6416" max="6416" width="11.5" style="1" customWidth="1"/>
    <col min="6417" max="6426" width="12.625" style="1" customWidth="1"/>
    <col min="6427" max="6610" width="9" style="1"/>
    <col min="6611" max="6650" width="12.625" style="1" customWidth="1"/>
    <col min="6651" max="6653" width="13.75" style="1" customWidth="1"/>
    <col min="6654" max="6654" width="12.625" style="1" customWidth="1"/>
    <col min="6655" max="6655" width="9" style="1"/>
    <col min="6656" max="6667" width="12.625" style="1" customWidth="1"/>
    <col min="6668" max="6668" width="11.5" style="1" customWidth="1"/>
    <col min="6669" max="6671" width="12.625" style="1" customWidth="1"/>
    <col min="6672" max="6672" width="11.5" style="1" customWidth="1"/>
    <col min="6673" max="6682" width="12.625" style="1" customWidth="1"/>
    <col min="6683" max="6866" width="9" style="1"/>
    <col min="6867" max="6906" width="12.625" style="1" customWidth="1"/>
    <col min="6907" max="6909" width="13.75" style="1" customWidth="1"/>
    <col min="6910" max="6910" width="12.625" style="1" customWidth="1"/>
    <col min="6911" max="6911" width="9" style="1"/>
    <col min="6912" max="6923" width="12.625" style="1" customWidth="1"/>
    <col min="6924" max="6924" width="11.5" style="1" customWidth="1"/>
    <col min="6925" max="6927" width="12.625" style="1" customWidth="1"/>
    <col min="6928" max="6928" width="11.5" style="1" customWidth="1"/>
    <col min="6929" max="6938" width="12.625" style="1" customWidth="1"/>
    <col min="6939" max="7122" width="9" style="1"/>
    <col min="7123" max="7162" width="12.625" style="1" customWidth="1"/>
    <col min="7163" max="7165" width="13.75" style="1" customWidth="1"/>
    <col min="7166" max="7166" width="12.625" style="1" customWidth="1"/>
    <col min="7167" max="7167" width="9" style="1"/>
    <col min="7168" max="7179" width="12.625" style="1" customWidth="1"/>
    <col min="7180" max="7180" width="11.5" style="1" customWidth="1"/>
    <col min="7181" max="7183" width="12.625" style="1" customWidth="1"/>
    <col min="7184" max="7184" width="11.5" style="1" customWidth="1"/>
    <col min="7185" max="7194" width="12.625" style="1" customWidth="1"/>
    <col min="7195" max="7378" width="9" style="1"/>
    <col min="7379" max="7418" width="12.625" style="1" customWidth="1"/>
    <col min="7419" max="7421" width="13.75" style="1" customWidth="1"/>
    <col min="7422" max="7422" width="12.625" style="1" customWidth="1"/>
    <col min="7423" max="7423" width="9" style="1"/>
    <col min="7424" max="7435" width="12.625" style="1" customWidth="1"/>
    <col min="7436" max="7436" width="11.5" style="1" customWidth="1"/>
    <col min="7437" max="7439" width="12.625" style="1" customWidth="1"/>
    <col min="7440" max="7440" width="11.5" style="1" customWidth="1"/>
    <col min="7441" max="7450" width="12.625" style="1" customWidth="1"/>
    <col min="7451" max="7634" width="9" style="1"/>
    <col min="7635" max="7674" width="12.625" style="1" customWidth="1"/>
    <col min="7675" max="7677" width="13.75" style="1" customWidth="1"/>
    <col min="7678" max="7678" width="12.625" style="1" customWidth="1"/>
    <col min="7679" max="7679" width="9" style="1"/>
    <col min="7680" max="7691" width="12.625" style="1" customWidth="1"/>
    <col min="7692" max="7692" width="11.5" style="1" customWidth="1"/>
    <col min="7693" max="7695" width="12.625" style="1" customWidth="1"/>
    <col min="7696" max="7696" width="11.5" style="1" customWidth="1"/>
    <col min="7697" max="7706" width="12.625" style="1" customWidth="1"/>
    <col min="7707" max="7890" width="9" style="1"/>
    <col min="7891" max="7930" width="12.625" style="1" customWidth="1"/>
    <col min="7931" max="7933" width="13.75" style="1" customWidth="1"/>
    <col min="7934" max="7934" width="12.625" style="1" customWidth="1"/>
    <col min="7935" max="7935" width="9" style="1"/>
    <col min="7936" max="7947" width="12.625" style="1" customWidth="1"/>
    <col min="7948" max="7948" width="11.5" style="1" customWidth="1"/>
    <col min="7949" max="7951" width="12.625" style="1" customWidth="1"/>
    <col min="7952" max="7952" width="11.5" style="1" customWidth="1"/>
    <col min="7953" max="7962" width="12.625" style="1" customWidth="1"/>
    <col min="7963" max="8146" width="9" style="1"/>
    <col min="8147" max="8186" width="12.625" style="1" customWidth="1"/>
    <col min="8187" max="8189" width="13.75" style="1" customWidth="1"/>
    <col min="8190" max="8190" width="12.625" style="1" customWidth="1"/>
    <col min="8191" max="8191" width="9" style="1"/>
    <col min="8192" max="8203" width="12.625" style="1" customWidth="1"/>
    <col min="8204" max="8204" width="11.5" style="1" customWidth="1"/>
    <col min="8205" max="8207" width="12.625" style="1" customWidth="1"/>
    <col min="8208" max="8208" width="11.5" style="1" customWidth="1"/>
    <col min="8209" max="8218" width="12.625" style="1" customWidth="1"/>
    <col min="8219" max="8402" width="9" style="1"/>
    <col min="8403" max="8442" width="12.625" style="1" customWidth="1"/>
    <col min="8443" max="8445" width="13.75" style="1" customWidth="1"/>
    <col min="8446" max="8446" width="12.625" style="1" customWidth="1"/>
    <col min="8447" max="8447" width="9" style="1"/>
    <col min="8448" max="8459" width="12.625" style="1" customWidth="1"/>
    <col min="8460" max="8460" width="11.5" style="1" customWidth="1"/>
    <col min="8461" max="8463" width="12.625" style="1" customWidth="1"/>
    <col min="8464" max="8464" width="11.5" style="1" customWidth="1"/>
    <col min="8465" max="8474" width="12.625" style="1" customWidth="1"/>
    <col min="8475" max="8658" width="9" style="1"/>
    <col min="8659" max="8698" width="12.625" style="1" customWidth="1"/>
    <col min="8699" max="8701" width="13.75" style="1" customWidth="1"/>
    <col min="8702" max="8702" width="12.625" style="1" customWidth="1"/>
    <col min="8703" max="8703" width="9" style="1"/>
    <col min="8704" max="8715" width="12.625" style="1" customWidth="1"/>
    <col min="8716" max="8716" width="11.5" style="1" customWidth="1"/>
    <col min="8717" max="8719" width="12.625" style="1" customWidth="1"/>
    <col min="8720" max="8720" width="11.5" style="1" customWidth="1"/>
    <col min="8721" max="8730" width="12.625" style="1" customWidth="1"/>
    <col min="8731" max="8914" width="9" style="1"/>
    <col min="8915" max="8954" width="12.625" style="1" customWidth="1"/>
    <col min="8955" max="8957" width="13.75" style="1" customWidth="1"/>
    <col min="8958" max="8958" width="12.625" style="1" customWidth="1"/>
    <col min="8959" max="8959" width="9" style="1"/>
    <col min="8960" max="8971" width="12.625" style="1" customWidth="1"/>
    <col min="8972" max="8972" width="11.5" style="1" customWidth="1"/>
    <col min="8973" max="8975" width="12.625" style="1" customWidth="1"/>
    <col min="8976" max="8976" width="11.5" style="1" customWidth="1"/>
    <col min="8977" max="8986" width="12.625" style="1" customWidth="1"/>
    <col min="8987" max="9170" width="9" style="1"/>
    <col min="9171" max="9210" width="12.625" style="1" customWidth="1"/>
    <col min="9211" max="9213" width="13.75" style="1" customWidth="1"/>
    <col min="9214" max="9214" width="12.625" style="1" customWidth="1"/>
    <col min="9215" max="9215" width="9" style="1"/>
    <col min="9216" max="9227" width="12.625" style="1" customWidth="1"/>
    <col min="9228" max="9228" width="11.5" style="1" customWidth="1"/>
    <col min="9229" max="9231" width="12.625" style="1" customWidth="1"/>
    <col min="9232" max="9232" width="11.5" style="1" customWidth="1"/>
    <col min="9233" max="9242" width="12.625" style="1" customWidth="1"/>
    <col min="9243" max="9426" width="9" style="1"/>
    <col min="9427" max="9466" width="12.625" style="1" customWidth="1"/>
    <col min="9467" max="9469" width="13.75" style="1" customWidth="1"/>
    <col min="9470" max="9470" width="12.625" style="1" customWidth="1"/>
    <col min="9471" max="9471" width="9" style="1"/>
    <col min="9472" max="9483" width="12.625" style="1" customWidth="1"/>
    <col min="9484" max="9484" width="11.5" style="1" customWidth="1"/>
    <col min="9485" max="9487" width="12.625" style="1" customWidth="1"/>
    <col min="9488" max="9488" width="11.5" style="1" customWidth="1"/>
    <col min="9489" max="9498" width="12.625" style="1" customWidth="1"/>
    <col min="9499" max="9682" width="9" style="1"/>
    <col min="9683" max="9722" width="12.625" style="1" customWidth="1"/>
    <col min="9723" max="9725" width="13.75" style="1" customWidth="1"/>
    <col min="9726" max="9726" width="12.625" style="1" customWidth="1"/>
    <col min="9727" max="9727" width="9" style="1"/>
    <col min="9728" max="9739" width="12.625" style="1" customWidth="1"/>
    <col min="9740" max="9740" width="11.5" style="1" customWidth="1"/>
    <col min="9741" max="9743" width="12.625" style="1" customWidth="1"/>
    <col min="9744" max="9744" width="11.5" style="1" customWidth="1"/>
    <col min="9745" max="9754" width="12.625" style="1" customWidth="1"/>
    <col min="9755" max="9938" width="9" style="1"/>
    <col min="9939" max="9978" width="12.625" style="1" customWidth="1"/>
    <col min="9979" max="9981" width="13.75" style="1" customWidth="1"/>
    <col min="9982" max="9982" width="12.625" style="1" customWidth="1"/>
    <col min="9983" max="9983" width="9" style="1"/>
    <col min="9984" max="9995" width="12.625" style="1" customWidth="1"/>
    <col min="9996" max="9996" width="11.5" style="1" customWidth="1"/>
    <col min="9997" max="9999" width="12.625" style="1" customWidth="1"/>
    <col min="10000" max="10000" width="11.5" style="1" customWidth="1"/>
    <col min="10001" max="10010" width="12.625" style="1" customWidth="1"/>
    <col min="10011" max="10194" width="9" style="1"/>
    <col min="10195" max="10234" width="12.625" style="1" customWidth="1"/>
    <col min="10235" max="10237" width="13.75" style="1" customWidth="1"/>
    <col min="10238" max="10238" width="12.625" style="1" customWidth="1"/>
    <col min="10239" max="10239" width="9" style="1"/>
    <col min="10240" max="10251" width="12.625" style="1" customWidth="1"/>
    <col min="10252" max="10252" width="11.5" style="1" customWidth="1"/>
    <col min="10253" max="10255" width="12.625" style="1" customWidth="1"/>
    <col min="10256" max="10256" width="11.5" style="1" customWidth="1"/>
    <col min="10257" max="10266" width="12.625" style="1" customWidth="1"/>
    <col min="10267" max="10450" width="9" style="1"/>
    <col min="10451" max="10490" width="12.625" style="1" customWidth="1"/>
    <col min="10491" max="10493" width="13.75" style="1" customWidth="1"/>
    <col min="10494" max="10494" width="12.625" style="1" customWidth="1"/>
    <col min="10495" max="10495" width="9" style="1"/>
    <col min="10496" max="10507" width="12.625" style="1" customWidth="1"/>
    <col min="10508" max="10508" width="11.5" style="1" customWidth="1"/>
    <col min="10509" max="10511" width="12.625" style="1" customWidth="1"/>
    <col min="10512" max="10512" width="11.5" style="1" customWidth="1"/>
    <col min="10513" max="10522" width="12.625" style="1" customWidth="1"/>
    <col min="10523" max="10706" width="9" style="1"/>
    <col min="10707" max="10746" width="12.625" style="1" customWidth="1"/>
    <col min="10747" max="10749" width="13.75" style="1" customWidth="1"/>
    <col min="10750" max="10750" width="12.625" style="1" customWidth="1"/>
    <col min="10751" max="10751" width="9" style="1"/>
    <col min="10752" max="10763" width="12.625" style="1" customWidth="1"/>
    <col min="10764" max="10764" width="11.5" style="1" customWidth="1"/>
    <col min="10765" max="10767" width="12.625" style="1" customWidth="1"/>
    <col min="10768" max="10768" width="11.5" style="1" customWidth="1"/>
    <col min="10769" max="10778" width="12.625" style="1" customWidth="1"/>
    <col min="10779" max="10962" width="9" style="1"/>
    <col min="10963" max="11002" width="12.625" style="1" customWidth="1"/>
    <col min="11003" max="11005" width="13.75" style="1" customWidth="1"/>
    <col min="11006" max="11006" width="12.625" style="1" customWidth="1"/>
    <col min="11007" max="11007" width="9" style="1"/>
    <col min="11008" max="11019" width="12.625" style="1" customWidth="1"/>
    <col min="11020" max="11020" width="11.5" style="1" customWidth="1"/>
    <col min="11021" max="11023" width="12.625" style="1" customWidth="1"/>
    <col min="11024" max="11024" width="11.5" style="1" customWidth="1"/>
    <col min="11025" max="11034" width="12.625" style="1" customWidth="1"/>
    <col min="11035" max="11218" width="9" style="1"/>
    <col min="11219" max="11258" width="12.625" style="1" customWidth="1"/>
    <col min="11259" max="11261" width="13.75" style="1" customWidth="1"/>
    <col min="11262" max="11262" width="12.625" style="1" customWidth="1"/>
    <col min="11263" max="11263" width="9" style="1"/>
    <col min="11264" max="11275" width="12.625" style="1" customWidth="1"/>
    <col min="11276" max="11276" width="11.5" style="1" customWidth="1"/>
    <col min="11277" max="11279" width="12.625" style="1" customWidth="1"/>
    <col min="11280" max="11280" width="11.5" style="1" customWidth="1"/>
    <col min="11281" max="11290" width="12.625" style="1" customWidth="1"/>
    <col min="11291" max="11474" width="9" style="1"/>
    <col min="11475" max="11514" width="12.625" style="1" customWidth="1"/>
    <col min="11515" max="11517" width="13.75" style="1" customWidth="1"/>
    <col min="11518" max="11518" width="12.625" style="1" customWidth="1"/>
    <col min="11519" max="11519" width="9" style="1"/>
    <col min="11520" max="11531" width="12.625" style="1" customWidth="1"/>
    <col min="11532" max="11532" width="11.5" style="1" customWidth="1"/>
    <col min="11533" max="11535" width="12.625" style="1" customWidth="1"/>
    <col min="11536" max="11536" width="11.5" style="1" customWidth="1"/>
    <col min="11537" max="11546" width="12.625" style="1" customWidth="1"/>
    <col min="11547" max="11730" width="9" style="1"/>
    <col min="11731" max="11770" width="12.625" style="1" customWidth="1"/>
    <col min="11771" max="11773" width="13.75" style="1" customWidth="1"/>
    <col min="11774" max="11774" width="12.625" style="1" customWidth="1"/>
    <col min="11775" max="11775" width="9" style="1"/>
    <col min="11776" max="11787" width="12.625" style="1" customWidth="1"/>
    <col min="11788" max="11788" width="11.5" style="1" customWidth="1"/>
    <col min="11789" max="11791" width="12.625" style="1" customWidth="1"/>
    <col min="11792" max="11792" width="11.5" style="1" customWidth="1"/>
    <col min="11793" max="11802" width="12.625" style="1" customWidth="1"/>
    <col min="11803" max="11986" width="9" style="1"/>
    <col min="11987" max="12026" width="12.625" style="1" customWidth="1"/>
    <col min="12027" max="12029" width="13.75" style="1" customWidth="1"/>
    <col min="12030" max="12030" width="12.625" style="1" customWidth="1"/>
    <col min="12031" max="12031" width="9" style="1"/>
    <col min="12032" max="12043" width="12.625" style="1" customWidth="1"/>
    <col min="12044" max="12044" width="11.5" style="1" customWidth="1"/>
    <col min="12045" max="12047" width="12.625" style="1" customWidth="1"/>
    <col min="12048" max="12048" width="11.5" style="1" customWidth="1"/>
    <col min="12049" max="12058" width="12.625" style="1" customWidth="1"/>
    <col min="12059" max="12242" width="9" style="1"/>
    <col min="12243" max="12282" width="12.625" style="1" customWidth="1"/>
    <col min="12283" max="12285" width="13.75" style="1" customWidth="1"/>
    <col min="12286" max="12286" width="12.625" style="1" customWidth="1"/>
    <col min="12287" max="12287" width="9" style="1"/>
    <col min="12288" max="12299" width="12.625" style="1" customWidth="1"/>
    <col min="12300" max="12300" width="11.5" style="1" customWidth="1"/>
    <col min="12301" max="12303" width="12.625" style="1" customWidth="1"/>
    <col min="12304" max="12304" width="11.5" style="1" customWidth="1"/>
    <col min="12305" max="12314" width="12.625" style="1" customWidth="1"/>
    <col min="12315" max="12498" width="9" style="1"/>
    <col min="12499" max="12538" width="12.625" style="1" customWidth="1"/>
    <col min="12539" max="12541" width="13.75" style="1" customWidth="1"/>
    <col min="12542" max="12542" width="12.625" style="1" customWidth="1"/>
    <col min="12543" max="12543" width="9" style="1"/>
    <col min="12544" max="12555" width="12.625" style="1" customWidth="1"/>
    <col min="12556" max="12556" width="11.5" style="1" customWidth="1"/>
    <col min="12557" max="12559" width="12.625" style="1" customWidth="1"/>
    <col min="12560" max="12560" width="11.5" style="1" customWidth="1"/>
    <col min="12561" max="12570" width="12.625" style="1" customWidth="1"/>
    <col min="12571" max="12754" width="9" style="1"/>
    <col min="12755" max="12794" width="12.625" style="1" customWidth="1"/>
    <col min="12795" max="12797" width="13.75" style="1" customWidth="1"/>
    <col min="12798" max="12798" width="12.625" style="1" customWidth="1"/>
    <col min="12799" max="12799" width="9" style="1"/>
    <col min="12800" max="12811" width="12.625" style="1" customWidth="1"/>
    <col min="12812" max="12812" width="11.5" style="1" customWidth="1"/>
    <col min="12813" max="12815" width="12.625" style="1" customWidth="1"/>
    <col min="12816" max="12816" width="11.5" style="1" customWidth="1"/>
    <col min="12817" max="12826" width="12.625" style="1" customWidth="1"/>
    <col min="12827" max="13010" width="9" style="1"/>
    <col min="13011" max="13050" width="12.625" style="1" customWidth="1"/>
    <col min="13051" max="13053" width="13.75" style="1" customWidth="1"/>
    <col min="13054" max="13054" width="12.625" style="1" customWidth="1"/>
    <col min="13055" max="13055" width="9" style="1"/>
    <col min="13056" max="13067" width="12.625" style="1" customWidth="1"/>
    <col min="13068" max="13068" width="11.5" style="1" customWidth="1"/>
    <col min="13069" max="13071" width="12.625" style="1" customWidth="1"/>
    <col min="13072" max="13072" width="11.5" style="1" customWidth="1"/>
    <col min="13073" max="13082" width="12.625" style="1" customWidth="1"/>
    <col min="13083" max="13266" width="9" style="1"/>
    <col min="13267" max="13306" width="12.625" style="1" customWidth="1"/>
    <col min="13307" max="13309" width="13.75" style="1" customWidth="1"/>
    <col min="13310" max="13310" width="12.625" style="1" customWidth="1"/>
    <col min="13311" max="13311" width="9" style="1"/>
    <col min="13312" max="13323" width="12.625" style="1" customWidth="1"/>
    <col min="13324" max="13324" width="11.5" style="1" customWidth="1"/>
    <col min="13325" max="13327" width="12.625" style="1" customWidth="1"/>
    <col min="13328" max="13328" width="11.5" style="1" customWidth="1"/>
    <col min="13329" max="13338" width="12.625" style="1" customWidth="1"/>
    <col min="13339" max="13522" width="9" style="1"/>
    <col min="13523" max="13562" width="12.625" style="1" customWidth="1"/>
    <col min="13563" max="13565" width="13.75" style="1" customWidth="1"/>
    <col min="13566" max="13566" width="12.625" style="1" customWidth="1"/>
    <col min="13567" max="13567" width="9" style="1"/>
    <col min="13568" max="13579" width="12.625" style="1" customWidth="1"/>
    <col min="13580" max="13580" width="11.5" style="1" customWidth="1"/>
    <col min="13581" max="13583" width="12.625" style="1" customWidth="1"/>
    <col min="13584" max="13584" width="11.5" style="1" customWidth="1"/>
    <col min="13585" max="13594" width="12.625" style="1" customWidth="1"/>
    <col min="13595" max="13778" width="9" style="1"/>
    <col min="13779" max="13818" width="12.625" style="1" customWidth="1"/>
    <col min="13819" max="13821" width="13.75" style="1" customWidth="1"/>
    <col min="13822" max="13822" width="12.625" style="1" customWidth="1"/>
    <col min="13823" max="13823" width="9" style="1"/>
    <col min="13824" max="13835" width="12.625" style="1" customWidth="1"/>
    <col min="13836" max="13836" width="11.5" style="1" customWidth="1"/>
    <col min="13837" max="13839" width="12.625" style="1" customWidth="1"/>
    <col min="13840" max="13840" width="11.5" style="1" customWidth="1"/>
    <col min="13841" max="13850" width="12.625" style="1" customWidth="1"/>
    <col min="13851" max="14034" width="9" style="1"/>
    <col min="14035" max="14074" width="12.625" style="1" customWidth="1"/>
    <col min="14075" max="14077" width="13.75" style="1" customWidth="1"/>
    <col min="14078" max="14078" width="12.625" style="1" customWidth="1"/>
    <col min="14079" max="14079" width="9" style="1"/>
    <col min="14080" max="14091" width="12.625" style="1" customWidth="1"/>
    <col min="14092" max="14092" width="11.5" style="1" customWidth="1"/>
    <col min="14093" max="14095" width="12.625" style="1" customWidth="1"/>
    <col min="14096" max="14096" width="11.5" style="1" customWidth="1"/>
    <col min="14097" max="14106" width="12.625" style="1" customWidth="1"/>
    <col min="14107" max="14290" width="9" style="1"/>
    <col min="14291" max="14330" width="12.625" style="1" customWidth="1"/>
    <col min="14331" max="14333" width="13.75" style="1" customWidth="1"/>
    <col min="14334" max="14334" width="12.625" style="1" customWidth="1"/>
    <col min="14335" max="14335" width="9" style="1"/>
    <col min="14336" max="14347" width="12.625" style="1" customWidth="1"/>
    <col min="14348" max="14348" width="11.5" style="1" customWidth="1"/>
    <col min="14349" max="14351" width="12.625" style="1" customWidth="1"/>
    <col min="14352" max="14352" width="11.5" style="1" customWidth="1"/>
    <col min="14353" max="14362" width="12.625" style="1" customWidth="1"/>
    <col min="14363" max="14546" width="9" style="1"/>
    <col min="14547" max="14586" width="12.625" style="1" customWidth="1"/>
    <col min="14587" max="14589" width="13.75" style="1" customWidth="1"/>
    <col min="14590" max="14590" width="12.625" style="1" customWidth="1"/>
    <col min="14591" max="14591" width="9" style="1"/>
    <col min="14592" max="14603" width="12.625" style="1" customWidth="1"/>
    <col min="14604" max="14604" width="11.5" style="1" customWidth="1"/>
    <col min="14605" max="14607" width="12.625" style="1" customWidth="1"/>
    <col min="14608" max="14608" width="11.5" style="1" customWidth="1"/>
    <col min="14609" max="14618" width="12.625" style="1" customWidth="1"/>
    <col min="14619" max="14802" width="9" style="1"/>
    <col min="14803" max="14842" width="12.625" style="1" customWidth="1"/>
    <col min="14843" max="14845" width="13.75" style="1" customWidth="1"/>
    <col min="14846" max="14846" width="12.625" style="1" customWidth="1"/>
    <col min="14847" max="14847" width="9" style="1"/>
    <col min="14848" max="14859" width="12.625" style="1" customWidth="1"/>
    <col min="14860" max="14860" width="11.5" style="1" customWidth="1"/>
    <col min="14861" max="14863" width="12.625" style="1" customWidth="1"/>
    <col min="14864" max="14864" width="11.5" style="1" customWidth="1"/>
    <col min="14865" max="14874" width="12.625" style="1" customWidth="1"/>
    <col min="14875" max="15058" width="9" style="1"/>
    <col min="15059" max="15098" width="12.625" style="1" customWidth="1"/>
    <col min="15099" max="15101" width="13.75" style="1" customWidth="1"/>
    <col min="15102" max="15102" width="12.625" style="1" customWidth="1"/>
    <col min="15103" max="15103" width="9" style="1"/>
    <col min="15104" max="15115" width="12.625" style="1" customWidth="1"/>
    <col min="15116" max="15116" width="11.5" style="1" customWidth="1"/>
    <col min="15117" max="15119" width="12.625" style="1" customWidth="1"/>
    <col min="15120" max="15120" width="11.5" style="1" customWidth="1"/>
    <col min="15121" max="15130" width="12.625" style="1" customWidth="1"/>
    <col min="15131" max="15314" width="9" style="1"/>
    <col min="15315" max="15354" width="12.625" style="1" customWidth="1"/>
    <col min="15355" max="15357" width="13.75" style="1" customWidth="1"/>
    <col min="15358" max="15358" width="12.625" style="1" customWidth="1"/>
    <col min="15359" max="15359" width="9" style="1"/>
    <col min="15360" max="15371" width="12.625" style="1" customWidth="1"/>
    <col min="15372" max="15372" width="11.5" style="1" customWidth="1"/>
    <col min="15373" max="15375" width="12.625" style="1" customWidth="1"/>
    <col min="15376" max="15376" width="11.5" style="1" customWidth="1"/>
    <col min="15377" max="15386" width="12.625" style="1" customWidth="1"/>
    <col min="15387" max="15570" width="9" style="1"/>
    <col min="15571" max="15610" width="12.625" style="1" customWidth="1"/>
    <col min="15611" max="15613" width="13.75" style="1" customWidth="1"/>
    <col min="15614" max="15614" width="12.625" style="1" customWidth="1"/>
    <col min="15615" max="15615" width="9" style="1"/>
    <col min="15616" max="15627" width="12.625" style="1" customWidth="1"/>
    <col min="15628" max="15628" width="11.5" style="1" customWidth="1"/>
    <col min="15629" max="15631" width="12.625" style="1" customWidth="1"/>
    <col min="15632" max="15632" width="11.5" style="1" customWidth="1"/>
    <col min="15633" max="15642" width="12.625" style="1" customWidth="1"/>
    <col min="15643" max="15826" width="9" style="1"/>
    <col min="15827" max="15866" width="12.625" style="1" customWidth="1"/>
    <col min="15867" max="15869" width="13.75" style="1" customWidth="1"/>
    <col min="15870" max="15870" width="12.625" style="1" customWidth="1"/>
    <col min="15871" max="15871" width="9" style="1"/>
    <col min="15872" max="15883" width="12.625" style="1" customWidth="1"/>
    <col min="15884" max="15884" width="11.5" style="1" customWidth="1"/>
    <col min="15885" max="15887" width="12.625" style="1" customWidth="1"/>
    <col min="15888" max="15888" width="11.5" style="1" customWidth="1"/>
    <col min="15889" max="15898" width="12.625" style="1" customWidth="1"/>
    <col min="15899" max="16082" width="9" style="1"/>
    <col min="16083" max="16122" width="12.625" style="1" customWidth="1"/>
    <col min="16123" max="16125" width="13.75" style="1" customWidth="1"/>
    <col min="16126" max="16126" width="12.625" style="1" customWidth="1"/>
    <col min="16127" max="16127" width="9" style="1"/>
    <col min="16128" max="16139" width="12.625" style="1" customWidth="1"/>
    <col min="16140" max="16140" width="11.5" style="1" customWidth="1"/>
    <col min="16141" max="16143" width="12.625" style="1" customWidth="1"/>
    <col min="16144" max="16144" width="11.5" style="1" customWidth="1"/>
    <col min="16145" max="16154" width="12.625" style="1" customWidth="1"/>
    <col min="16155" max="16384" width="9" style="1"/>
  </cols>
  <sheetData>
    <row r="1" spans="1:32" ht="23.2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</row>
    <row r="2" spans="1:32" s="13" customFormat="1" ht="15" customHeight="1">
      <c r="B2" s="13" t="s">
        <v>1</v>
      </c>
      <c r="C2" s="13" t="s">
        <v>1</v>
      </c>
      <c r="D2" s="13" t="s">
        <v>2</v>
      </c>
      <c r="E2" s="13" t="s">
        <v>2</v>
      </c>
      <c r="F2" s="13" t="s">
        <v>2</v>
      </c>
      <c r="G2" s="13" t="s">
        <v>2</v>
      </c>
      <c r="H2" s="13" t="s">
        <v>2</v>
      </c>
      <c r="I2" s="13" t="s">
        <v>2</v>
      </c>
      <c r="J2" s="13" t="s">
        <v>2</v>
      </c>
      <c r="K2" s="13" t="s">
        <v>2</v>
      </c>
      <c r="L2" s="13" t="s">
        <v>2</v>
      </c>
      <c r="M2" s="13" t="s">
        <v>2</v>
      </c>
      <c r="N2" s="13" t="s">
        <v>2</v>
      </c>
      <c r="O2" s="13" t="s">
        <v>2</v>
      </c>
      <c r="P2" s="13" t="s">
        <v>2</v>
      </c>
      <c r="Q2" s="13" t="s">
        <v>2</v>
      </c>
      <c r="R2" s="13" t="s">
        <v>2</v>
      </c>
      <c r="S2" s="13" t="s">
        <v>2</v>
      </c>
      <c r="T2" s="13" t="s">
        <v>2</v>
      </c>
      <c r="U2" s="13" t="s">
        <v>2</v>
      </c>
      <c r="V2" s="13" t="s">
        <v>2</v>
      </c>
      <c r="W2" s="13" t="s">
        <v>2</v>
      </c>
      <c r="X2" s="13" t="s">
        <v>2</v>
      </c>
      <c r="Y2" s="13" t="s">
        <v>2</v>
      </c>
      <c r="Z2" s="13" t="s">
        <v>2</v>
      </c>
      <c r="AA2" s="13" t="s">
        <v>2</v>
      </c>
      <c r="AB2" s="13" t="s">
        <v>2</v>
      </c>
      <c r="AC2" s="13" t="s">
        <v>2</v>
      </c>
      <c r="AD2" s="13" t="s">
        <v>2</v>
      </c>
      <c r="AE2" s="13" t="s">
        <v>2</v>
      </c>
      <c r="AF2" s="13" t="s">
        <v>2</v>
      </c>
    </row>
    <row r="3" spans="1:32" s="13" customFormat="1" ht="19.5" customHeight="1">
      <c r="A3" s="13" t="s">
        <v>3</v>
      </c>
      <c r="B3" s="13" t="s">
        <v>4</v>
      </c>
      <c r="C3" s="13" t="s">
        <v>5</v>
      </c>
      <c r="D3" s="13" t="s">
        <v>6</v>
      </c>
      <c r="E3" s="13" t="s">
        <v>7</v>
      </c>
      <c r="F3" s="13" t="s">
        <v>8</v>
      </c>
      <c r="G3" s="13" t="s">
        <v>9</v>
      </c>
      <c r="H3" s="13" t="s">
        <v>10</v>
      </c>
      <c r="I3" s="13" t="s">
        <v>11</v>
      </c>
      <c r="J3" s="13" t="s">
        <v>12</v>
      </c>
      <c r="K3" s="13" t="s">
        <v>13</v>
      </c>
      <c r="L3" s="13" t="s">
        <v>14</v>
      </c>
      <c r="M3" s="13" t="s">
        <v>15</v>
      </c>
      <c r="N3" s="13" t="s">
        <v>16</v>
      </c>
      <c r="O3" s="13" t="s">
        <v>17</v>
      </c>
      <c r="P3" s="13" t="s">
        <v>18</v>
      </c>
      <c r="Q3" s="13" t="s">
        <v>19</v>
      </c>
      <c r="R3" s="13" t="s">
        <v>20</v>
      </c>
      <c r="S3" s="13" t="s">
        <v>21</v>
      </c>
      <c r="T3" s="13" t="s">
        <v>22</v>
      </c>
      <c r="U3" s="13" t="s">
        <v>23</v>
      </c>
      <c r="V3" s="13" t="s">
        <v>24</v>
      </c>
      <c r="W3" s="13" t="s">
        <v>25</v>
      </c>
      <c r="X3" s="13" t="s">
        <v>26</v>
      </c>
      <c r="Y3" s="13" t="s">
        <v>27</v>
      </c>
      <c r="Z3" s="13" t="s">
        <v>28</v>
      </c>
      <c r="AA3" s="13" t="s">
        <v>29</v>
      </c>
      <c r="AB3" s="5" t="s">
        <v>30</v>
      </c>
      <c r="AC3" s="13" t="s">
        <v>31</v>
      </c>
      <c r="AD3" s="13" t="s">
        <v>32</v>
      </c>
      <c r="AE3" s="13" t="s">
        <v>33</v>
      </c>
      <c r="AF3" s="13" t="s">
        <v>34</v>
      </c>
    </row>
    <row r="4" spans="1:32">
      <c r="A4" s="1" t="s">
        <v>35</v>
      </c>
      <c r="B4" s="4">
        <v>7.0538432865065497</v>
      </c>
      <c r="C4" s="3">
        <v>58.509858403459404</v>
      </c>
      <c r="D4" s="3">
        <v>39.1517013088298</v>
      </c>
      <c r="E4" s="4">
        <v>3.11796761011774</v>
      </c>
      <c r="F4" s="2">
        <v>1743.7461035541401</v>
      </c>
      <c r="G4" s="4">
        <v>2.8570750651369998</v>
      </c>
      <c r="H4" s="2">
        <v>1919.5247095095301</v>
      </c>
      <c r="I4" s="3">
        <v>13.967123280707</v>
      </c>
      <c r="J4" s="4">
        <v>5.6950877180863504</v>
      </c>
      <c r="K4" s="4">
        <v>1.0574424880425299</v>
      </c>
      <c r="L4" s="8">
        <v>3.1652195455926201E-2</v>
      </c>
      <c r="M4" s="4">
        <v>2.40554878444682</v>
      </c>
      <c r="N4" s="3">
        <v>10.8654725113797</v>
      </c>
      <c r="O4" s="2">
        <v>5278.9097336680697</v>
      </c>
      <c r="P4" s="5">
        <v>386.00041345279499</v>
      </c>
      <c r="Q4" s="4">
        <v>0.69073641933265995</v>
      </c>
      <c r="R4" s="4" t="s">
        <v>36</v>
      </c>
      <c r="S4" s="4">
        <v>2.5503299257897002E-3</v>
      </c>
      <c r="T4" s="4" t="s">
        <v>36</v>
      </c>
      <c r="U4" s="4">
        <v>8.8851483899031594E-2</v>
      </c>
      <c r="V4" s="4">
        <v>0.20776629274591699</v>
      </c>
      <c r="W4" s="4" t="s">
        <v>36</v>
      </c>
      <c r="X4" s="4">
        <v>49.626387610097801</v>
      </c>
      <c r="Y4" s="12">
        <f>E4/G4</f>
        <v>1.0913145573822123</v>
      </c>
      <c r="Z4" s="5">
        <f>P4+H4</f>
        <v>2305.525122962325</v>
      </c>
      <c r="AA4" s="2">
        <f>B4*10000+C4*10000</f>
        <v>655637.01689965953</v>
      </c>
      <c r="AB4" s="5">
        <f>H4+I4</f>
        <v>1933.4918327902371</v>
      </c>
      <c r="AC4" s="2">
        <f>B4*10000+F4</f>
        <v>72282.178968619628</v>
      </c>
      <c r="AD4" s="2">
        <f>P4+N4</f>
        <v>396.86588596417471</v>
      </c>
      <c r="AE4" s="2">
        <f>C4*10000/O4</f>
        <v>110.83701248061237</v>
      </c>
      <c r="AF4" s="2">
        <f>Z4+J4</f>
        <v>2311.2202106804111</v>
      </c>
    </row>
    <row r="5" spans="1:32">
      <c r="A5" s="1" t="s">
        <v>37</v>
      </c>
      <c r="B5" s="4">
        <v>7.0137581940609275</v>
      </c>
      <c r="C5" s="3">
        <v>58.524058269923906</v>
      </c>
      <c r="D5" s="3">
        <v>26.8828301291807</v>
      </c>
      <c r="E5" s="4">
        <v>1.61771579512396</v>
      </c>
      <c r="F5" s="2">
        <v>1612.1289294200301</v>
      </c>
      <c r="G5" s="4">
        <v>3.14336349940405</v>
      </c>
      <c r="H5" s="2">
        <v>2479.8235151929398</v>
      </c>
      <c r="I5" s="3">
        <v>10.2313500087497</v>
      </c>
      <c r="J5" s="3">
        <v>10.8801354732019</v>
      </c>
      <c r="K5" s="4">
        <v>1.27547719405892</v>
      </c>
      <c r="L5" s="8">
        <v>2.2648302793717701E-2</v>
      </c>
      <c r="M5" s="4">
        <v>2.26052389430737</v>
      </c>
      <c r="N5" s="3">
        <v>11.707274615085099</v>
      </c>
      <c r="O5" s="2">
        <v>5284.3018949629104</v>
      </c>
      <c r="P5" s="5">
        <v>363.29555383235697</v>
      </c>
      <c r="Q5" s="4">
        <v>1.2137035935770299</v>
      </c>
      <c r="R5" s="4">
        <v>19.571789366194</v>
      </c>
      <c r="S5" s="4">
        <v>9.0483705701335099E-3</v>
      </c>
      <c r="T5" s="4">
        <v>2.06916693794882</v>
      </c>
      <c r="U5" s="4" t="s">
        <v>36</v>
      </c>
      <c r="V5" s="4">
        <v>9.3636563390031305E-2</v>
      </c>
      <c r="W5" s="4">
        <v>4.42083428769776</v>
      </c>
      <c r="X5" s="4" t="s">
        <v>36</v>
      </c>
      <c r="Y5" s="12">
        <f t="shared" ref="Y5:Y67" si="0">E5/G5</f>
        <v>0.51464483679048334</v>
      </c>
      <c r="Z5" s="5">
        <f t="shared" ref="Z5:Z65" si="1">P5+H5</f>
        <v>2843.119069025297</v>
      </c>
      <c r="AA5" s="2">
        <f t="shared" ref="AA5:AA68" si="2">B5*10000+C5*10000</f>
        <v>655378.16463984828</v>
      </c>
      <c r="AB5" s="5">
        <f t="shared" ref="AB5:AB65" si="3">H5+I5</f>
        <v>2490.0548652016896</v>
      </c>
      <c r="AC5" s="2">
        <f t="shared" ref="AC5:AC68" si="4">B5*10000+F5</f>
        <v>71749.710870029303</v>
      </c>
      <c r="AD5" s="2">
        <f t="shared" ref="AD5:AD65" si="5">P5+N5</f>
        <v>375.00282844744208</v>
      </c>
      <c r="AE5" s="2">
        <f t="shared" ref="AE5:AE68" si="6">C5*10000/O5</f>
        <v>110.75078493473293</v>
      </c>
      <c r="AF5" s="2">
        <f t="shared" ref="AF5:AF65" si="7">Z5+J5</f>
        <v>2853.9992044984988</v>
      </c>
    </row>
    <row r="6" spans="1:32">
      <c r="A6" s="1" t="s">
        <v>38</v>
      </c>
      <c r="B6" s="4">
        <v>6.8503687720551376</v>
      </c>
      <c r="C6" s="3">
        <v>58.315353389704207</v>
      </c>
      <c r="D6" s="3">
        <v>24.064509673367301</v>
      </c>
      <c r="E6" s="4">
        <v>1.53135490536271</v>
      </c>
      <c r="F6" s="2">
        <v>1355.91151183798</v>
      </c>
      <c r="G6" s="4">
        <v>3.3471714811049802</v>
      </c>
      <c r="H6" s="2">
        <v>6316.3141637218996</v>
      </c>
      <c r="I6" s="3">
        <v>20.4092498100973</v>
      </c>
      <c r="J6" s="3">
        <v>28.795325092719199</v>
      </c>
      <c r="K6" s="4">
        <v>6.4258351755728302</v>
      </c>
      <c r="L6" s="8">
        <v>8.5351867184865302E-2</v>
      </c>
      <c r="M6" s="4">
        <v>4.8273121847912002</v>
      </c>
      <c r="N6" s="3">
        <v>10.349043486247099</v>
      </c>
      <c r="O6" s="2">
        <v>5255.0020299119997</v>
      </c>
      <c r="P6" s="5">
        <v>441.96117102305101</v>
      </c>
      <c r="Q6" s="4">
        <v>0.59326136230952198</v>
      </c>
      <c r="R6" s="4" t="s">
        <v>36</v>
      </c>
      <c r="S6" s="4">
        <v>1.01885624866328E-2</v>
      </c>
      <c r="T6" s="4">
        <v>1.9012288762233001</v>
      </c>
      <c r="U6" s="4">
        <v>6.4895886237413103E-2</v>
      </c>
      <c r="V6" s="4" t="s">
        <v>36</v>
      </c>
      <c r="W6" s="4">
        <v>1.63131506834129</v>
      </c>
      <c r="X6" s="4">
        <v>20.481174542935101</v>
      </c>
      <c r="Y6" s="12">
        <f t="shared" si="0"/>
        <v>0.45750715611892512</v>
      </c>
      <c r="Z6" s="5">
        <f t="shared" si="1"/>
        <v>6758.2753347449507</v>
      </c>
      <c r="AA6" s="2">
        <f t="shared" si="2"/>
        <v>651657.22161759343</v>
      </c>
      <c r="AB6" s="5">
        <f t="shared" si="3"/>
        <v>6336.7234135319968</v>
      </c>
      <c r="AC6" s="2">
        <f t="shared" si="4"/>
        <v>69859.599232389359</v>
      </c>
      <c r="AD6" s="2">
        <f t="shared" si="5"/>
        <v>452.31021450929813</v>
      </c>
      <c r="AE6" s="2">
        <f t="shared" si="6"/>
        <v>110.9711338982694</v>
      </c>
      <c r="AF6" s="2">
        <f t="shared" si="7"/>
        <v>6787.0706598376701</v>
      </c>
    </row>
    <row r="7" spans="1:32">
      <c r="A7" s="1" t="s">
        <v>39</v>
      </c>
      <c r="B7" s="4">
        <v>8.1153471645968907</v>
      </c>
      <c r="C7" s="3">
        <v>57.503316940760705</v>
      </c>
      <c r="D7" s="3">
        <v>22.3978301209319</v>
      </c>
      <c r="E7" s="4">
        <v>1.9408556377514801</v>
      </c>
      <c r="F7" s="2">
        <v>2094.3984240925402</v>
      </c>
      <c r="G7" s="4">
        <v>2.03878671756515</v>
      </c>
      <c r="H7" s="2">
        <v>213.624459048267</v>
      </c>
      <c r="I7" s="3">
        <v>7.6103812275253402</v>
      </c>
      <c r="J7" s="3">
        <v>12.946941538813901</v>
      </c>
      <c r="K7" s="4">
        <v>0.36491820761752303</v>
      </c>
      <c r="L7" s="8">
        <v>0.112857295896564</v>
      </c>
      <c r="M7" s="4">
        <v>1.3871927192764</v>
      </c>
      <c r="N7" s="3">
        <v>14.740412206501</v>
      </c>
      <c r="O7" s="2">
        <v>5774.9170605540103</v>
      </c>
      <c r="P7" s="5">
        <v>366.16683236755898</v>
      </c>
      <c r="Q7" s="4" t="s">
        <v>36</v>
      </c>
      <c r="R7" s="4" t="s">
        <v>36</v>
      </c>
      <c r="S7" s="4">
        <v>0</v>
      </c>
      <c r="T7" s="4">
        <v>1.8010155379381101</v>
      </c>
      <c r="U7" s="4">
        <v>6.3393301298399596E-2</v>
      </c>
      <c r="V7" s="4">
        <v>0.18248120222682301</v>
      </c>
      <c r="W7" s="4">
        <v>8.2331021339048291</v>
      </c>
      <c r="X7" s="4">
        <v>34.856553202869897</v>
      </c>
      <c r="Y7" s="12">
        <f t="shared" si="0"/>
        <v>0.95196600067582082</v>
      </c>
      <c r="Z7" s="5">
        <f t="shared" si="1"/>
        <v>579.79129141582598</v>
      </c>
      <c r="AA7" s="2">
        <f t="shared" si="2"/>
        <v>656186.64105357602</v>
      </c>
      <c r="AB7" s="5">
        <f t="shared" si="3"/>
        <v>221.23484027579235</v>
      </c>
      <c r="AC7" s="2">
        <f t="shared" si="4"/>
        <v>83247.870070061443</v>
      </c>
      <c r="AD7" s="2">
        <f t="shared" si="5"/>
        <v>380.90724457405997</v>
      </c>
      <c r="AE7" s="2">
        <f t="shared" si="6"/>
        <v>99.574273254141232</v>
      </c>
      <c r="AF7" s="2">
        <f t="shared" si="7"/>
        <v>592.7382329546399</v>
      </c>
    </row>
    <row r="8" spans="1:32">
      <c r="A8" s="1" t="s">
        <v>40</v>
      </c>
      <c r="B8" s="4">
        <v>7.7621144639394366</v>
      </c>
      <c r="C8" s="3">
        <v>57.476697725386892</v>
      </c>
      <c r="D8" s="3">
        <v>30.191141970730001</v>
      </c>
      <c r="E8" s="4">
        <v>1.9096029986468599</v>
      </c>
      <c r="F8" s="2">
        <v>1637.4120375007501</v>
      </c>
      <c r="G8" s="4">
        <v>3.9947818058795499</v>
      </c>
      <c r="H8" s="2">
        <v>2390.3988071988401</v>
      </c>
      <c r="I8" s="3">
        <v>24.283844799542599</v>
      </c>
      <c r="J8" s="2">
        <v>2233.5113627963401</v>
      </c>
      <c r="K8" s="4">
        <v>1.08463399707543</v>
      </c>
      <c r="L8" s="8">
        <v>0.11795780644102601</v>
      </c>
      <c r="M8" s="4">
        <v>2.8876060787463902</v>
      </c>
      <c r="N8" s="3">
        <v>46.197939357886902</v>
      </c>
      <c r="O8" s="2">
        <v>5419.9970312005498</v>
      </c>
      <c r="P8" s="5">
        <v>438.604668172706</v>
      </c>
      <c r="Q8" s="4">
        <v>1.1310110256838</v>
      </c>
      <c r="R8" s="4">
        <v>13.812850081275601</v>
      </c>
      <c r="S8" s="4">
        <v>0</v>
      </c>
      <c r="T8" s="4">
        <v>15.944257099545</v>
      </c>
      <c r="U8" s="4">
        <v>0.125262866760497</v>
      </c>
      <c r="V8" s="4">
        <v>3.3574775392260499E-3</v>
      </c>
      <c r="W8" s="4">
        <v>12.191688438027199</v>
      </c>
      <c r="X8" s="4">
        <v>12.5447545156114</v>
      </c>
      <c r="Y8" s="12">
        <f t="shared" si="0"/>
        <v>0.47802435563221296</v>
      </c>
      <c r="Z8" s="5">
        <f t="shared" si="1"/>
        <v>2829.0034753715463</v>
      </c>
      <c r="AA8" s="2">
        <f t="shared" si="2"/>
        <v>652388.12189326331</v>
      </c>
      <c r="AB8" s="5">
        <f t="shared" si="3"/>
        <v>2414.6826519983829</v>
      </c>
      <c r="AC8" s="2">
        <f t="shared" si="4"/>
        <v>79258.55667689511</v>
      </c>
      <c r="AD8" s="2">
        <f t="shared" si="5"/>
        <v>484.80260753059292</v>
      </c>
      <c r="AE8" s="2">
        <f t="shared" si="6"/>
        <v>106.04562584539939</v>
      </c>
      <c r="AF8" s="2">
        <f t="shared" si="7"/>
        <v>5062.5148381678864</v>
      </c>
    </row>
    <row r="9" spans="1:32">
      <c r="A9" s="1" t="s">
        <v>41</v>
      </c>
      <c r="B9" s="4">
        <v>7.642086340304818</v>
      </c>
      <c r="C9" s="3">
        <v>57.949708383794196</v>
      </c>
      <c r="D9" s="3">
        <v>48.9870530633656</v>
      </c>
      <c r="E9" s="4">
        <v>2.1799841482637898</v>
      </c>
      <c r="F9" s="2">
        <v>2102.2654976762401</v>
      </c>
      <c r="G9" s="4">
        <v>1.9856833698677201</v>
      </c>
      <c r="H9" s="2">
        <v>404.182384626756</v>
      </c>
      <c r="I9" s="3">
        <v>18.550224779129</v>
      </c>
      <c r="J9" s="3">
        <v>34.018904612679698</v>
      </c>
      <c r="K9" s="4">
        <v>6.0957107018702601</v>
      </c>
      <c r="L9" s="8">
        <v>0.535288533963025</v>
      </c>
      <c r="M9" s="4">
        <v>4.5818891221193203</v>
      </c>
      <c r="N9" s="4">
        <v>9.8185888675289892</v>
      </c>
      <c r="O9" s="2">
        <v>5764.0722253008798</v>
      </c>
      <c r="P9" s="5">
        <v>458.65606999827901</v>
      </c>
      <c r="Q9" s="4">
        <v>0.83978907664177205</v>
      </c>
      <c r="R9" s="4">
        <v>4.5238823478193098</v>
      </c>
      <c r="S9" s="4">
        <v>3.7425356653090602E-2</v>
      </c>
      <c r="T9" s="4">
        <v>0</v>
      </c>
      <c r="U9" s="4">
        <v>0.12710755745830701</v>
      </c>
      <c r="V9" s="4">
        <v>0.41428764689112602</v>
      </c>
      <c r="W9" s="4">
        <v>3.72554647441142</v>
      </c>
      <c r="X9" s="4">
        <v>35.807406495471298</v>
      </c>
      <c r="Y9" s="12">
        <f t="shared" si="0"/>
        <v>1.0978508363138548</v>
      </c>
      <c r="Z9" s="5">
        <f t="shared" si="1"/>
        <v>862.83845462503496</v>
      </c>
      <c r="AA9" s="2">
        <f t="shared" si="2"/>
        <v>655917.94724099012</v>
      </c>
      <c r="AB9" s="5">
        <f t="shared" si="3"/>
        <v>422.732609405885</v>
      </c>
      <c r="AC9" s="2">
        <f t="shared" si="4"/>
        <v>78523.12890072442</v>
      </c>
      <c r="AD9" s="2">
        <f t="shared" si="5"/>
        <v>468.47465886580801</v>
      </c>
      <c r="AE9" s="2">
        <f t="shared" si="6"/>
        <v>100.53605527257125</v>
      </c>
      <c r="AF9" s="2">
        <f t="shared" si="7"/>
        <v>896.8573592377146</v>
      </c>
    </row>
    <row r="10" spans="1:32">
      <c r="A10" s="1" t="s">
        <v>42</v>
      </c>
      <c r="B10" s="4">
        <v>7.3460651840573457</v>
      </c>
      <c r="C10" s="3">
        <v>58.190011560401999</v>
      </c>
      <c r="D10" s="3">
        <v>39.028426646122803</v>
      </c>
      <c r="E10" s="4">
        <v>2.9546685822762</v>
      </c>
      <c r="F10" s="2">
        <v>1929.3580163132301</v>
      </c>
      <c r="G10" s="4">
        <v>3.0150192046033801</v>
      </c>
      <c r="H10" s="2">
        <v>1009.88406945159</v>
      </c>
      <c r="I10" s="3">
        <v>13.3565230046613</v>
      </c>
      <c r="J10" s="3">
        <v>13.7557284498545</v>
      </c>
      <c r="K10" s="4">
        <v>0.57349206370168904</v>
      </c>
      <c r="L10" s="8">
        <v>0.77906560581050199</v>
      </c>
      <c r="M10" s="4">
        <v>1.88853649422916</v>
      </c>
      <c r="N10" s="4">
        <v>3.7767218714297401</v>
      </c>
      <c r="O10" s="2">
        <v>5655.5175165649798</v>
      </c>
      <c r="P10" s="5">
        <v>665.34729871899901</v>
      </c>
      <c r="Q10" s="4">
        <v>1.26038873959368E-2</v>
      </c>
      <c r="R10" s="4">
        <v>6.5115793680526304</v>
      </c>
      <c r="S10" s="4">
        <v>0</v>
      </c>
      <c r="T10" s="4">
        <v>1.14389191826923</v>
      </c>
      <c r="U10" s="4">
        <v>4.820667089214</v>
      </c>
      <c r="V10" s="4">
        <v>2.2148904028449099</v>
      </c>
      <c r="W10" s="4">
        <v>10.5316909887368</v>
      </c>
      <c r="X10" s="4">
        <v>85.875110484110294</v>
      </c>
      <c r="Y10" s="12">
        <f t="shared" si="0"/>
        <v>0.97998333734158782</v>
      </c>
      <c r="Z10" s="5">
        <f t="shared" si="1"/>
        <v>1675.2313681705891</v>
      </c>
      <c r="AA10" s="2">
        <f t="shared" si="2"/>
        <v>655360.76744459337</v>
      </c>
      <c r="AB10" s="5">
        <f t="shared" si="3"/>
        <v>1023.2405924562513</v>
      </c>
      <c r="AC10" s="2">
        <f t="shared" si="4"/>
        <v>75390.009856886682</v>
      </c>
      <c r="AD10" s="2">
        <f t="shared" si="5"/>
        <v>669.1240205904287</v>
      </c>
      <c r="AE10" s="2">
        <f t="shared" si="6"/>
        <v>102.89069283220107</v>
      </c>
      <c r="AF10" s="2">
        <f t="shared" si="7"/>
        <v>1688.9870966204437</v>
      </c>
    </row>
    <row r="11" spans="1:32">
      <c r="A11" s="1" t="s">
        <v>43</v>
      </c>
      <c r="B11" s="4">
        <v>7.9826063403480543</v>
      </c>
      <c r="C11" s="3">
        <v>57.616681295991199</v>
      </c>
      <c r="D11" s="3">
        <v>41.475526241629701</v>
      </c>
      <c r="E11" s="4">
        <v>2.9097162619407699</v>
      </c>
      <c r="F11" s="2">
        <v>2123.13948461781</v>
      </c>
      <c r="G11" s="4">
        <v>2.6439366611934001</v>
      </c>
      <c r="H11" s="2">
        <v>550.82602625035599</v>
      </c>
      <c r="I11" s="4">
        <v>7.4056761250493901</v>
      </c>
      <c r="J11" s="3">
        <v>13.937469025271399</v>
      </c>
      <c r="K11" s="4">
        <v>0.33538585789455899</v>
      </c>
      <c r="L11" s="8">
        <v>0.20447338663752301</v>
      </c>
      <c r="M11" s="4">
        <v>1.6504260705336899</v>
      </c>
      <c r="N11" s="4">
        <v>5.40885707591009</v>
      </c>
      <c r="O11" s="2">
        <v>5518.1738512890997</v>
      </c>
      <c r="P11" s="5">
        <v>639.19054644565404</v>
      </c>
      <c r="Q11" s="4">
        <v>0.19774745967096799</v>
      </c>
      <c r="R11" s="4">
        <v>28.152570436057299</v>
      </c>
      <c r="S11" s="4" t="s">
        <v>36</v>
      </c>
      <c r="T11" s="4">
        <v>8.7008875087280906</v>
      </c>
      <c r="U11" s="4" t="s">
        <v>36</v>
      </c>
      <c r="V11" s="4">
        <v>0.120532348887202</v>
      </c>
      <c r="W11" s="4">
        <v>6.1541438657697203</v>
      </c>
      <c r="X11" s="4" t="s">
        <v>36</v>
      </c>
      <c r="Y11" s="12">
        <f t="shared" si="0"/>
        <v>1.1005241935816286</v>
      </c>
      <c r="Z11" s="5">
        <f t="shared" si="1"/>
        <v>1190.0165726960099</v>
      </c>
      <c r="AA11" s="2">
        <f t="shared" si="2"/>
        <v>655992.87636339257</v>
      </c>
      <c r="AB11" s="5">
        <f t="shared" si="3"/>
        <v>558.23170237540535</v>
      </c>
      <c r="AC11" s="2">
        <f t="shared" si="4"/>
        <v>81949.202888098356</v>
      </c>
      <c r="AD11" s="2">
        <f t="shared" si="5"/>
        <v>644.59940352156411</v>
      </c>
      <c r="AE11" s="2">
        <f t="shared" si="6"/>
        <v>104.41258802045785</v>
      </c>
      <c r="AF11" s="2">
        <f t="shared" si="7"/>
        <v>1203.9540417212813</v>
      </c>
    </row>
    <row r="12" spans="1:32">
      <c r="A12" s="1" t="s">
        <v>44</v>
      </c>
      <c r="B12" s="4">
        <v>7.0815687820722104</v>
      </c>
      <c r="C12" s="3">
        <v>58.623624037336896</v>
      </c>
      <c r="D12" s="3">
        <v>46.428880307306301</v>
      </c>
      <c r="E12" s="4">
        <v>2.3479919679311498</v>
      </c>
      <c r="F12" s="2">
        <v>1816.7725803189301</v>
      </c>
      <c r="G12" s="4">
        <v>2.9332799227357298</v>
      </c>
      <c r="H12" s="2">
        <v>388.40771632143998</v>
      </c>
      <c r="I12" s="4">
        <v>8.8166258748257604</v>
      </c>
      <c r="J12" s="3">
        <v>13.7335228775296</v>
      </c>
      <c r="K12" s="4">
        <v>0.59252796790795204</v>
      </c>
      <c r="L12" s="8">
        <v>1.4951490896719499</v>
      </c>
      <c r="M12" s="4">
        <v>3.3086694257147902</v>
      </c>
      <c r="N12" s="4">
        <v>8.5708368905293995</v>
      </c>
      <c r="O12" s="2">
        <v>5285.3527618593898</v>
      </c>
      <c r="P12" s="5">
        <v>608.27526790618504</v>
      </c>
      <c r="Q12" s="4">
        <v>0.31013822893486098</v>
      </c>
      <c r="R12" s="4" t="s">
        <v>36</v>
      </c>
      <c r="S12" s="4">
        <v>1.28018990543154E-3</v>
      </c>
      <c r="T12" s="4">
        <v>0.72469234661872795</v>
      </c>
      <c r="U12" s="4" t="s">
        <v>36</v>
      </c>
      <c r="V12" s="4" t="s">
        <v>36</v>
      </c>
      <c r="W12" s="4">
        <v>3.7925931595255999</v>
      </c>
      <c r="X12" s="4" t="s">
        <v>36</v>
      </c>
      <c r="Y12" s="12">
        <f t="shared" si="0"/>
        <v>0.80046638226783695</v>
      </c>
      <c r="Z12" s="5">
        <f t="shared" si="1"/>
        <v>996.68298422762496</v>
      </c>
      <c r="AA12" s="2">
        <f t="shared" si="2"/>
        <v>657051.92819409107</v>
      </c>
      <c r="AB12" s="5">
        <f t="shared" si="3"/>
        <v>397.22434219626575</v>
      </c>
      <c r="AC12" s="2">
        <f t="shared" si="4"/>
        <v>72632.460401041026</v>
      </c>
      <c r="AD12" s="2">
        <f t="shared" si="5"/>
        <v>616.84610479671449</v>
      </c>
      <c r="AE12" s="2">
        <f t="shared" si="6"/>
        <v>110.9171453235471</v>
      </c>
      <c r="AF12" s="2">
        <f t="shared" si="7"/>
        <v>1010.4165071051546</v>
      </c>
    </row>
    <row r="13" spans="1:32">
      <c r="A13" s="1" t="s">
        <v>45</v>
      </c>
      <c r="B13" s="4">
        <v>7.182363766548665</v>
      </c>
      <c r="C13" s="3">
        <v>58.304331776623194</v>
      </c>
      <c r="D13" s="3">
        <v>49.453331267211098</v>
      </c>
      <c r="E13" s="4">
        <v>2.3551466010545501</v>
      </c>
      <c r="F13" s="2">
        <v>1553.5594664349201</v>
      </c>
      <c r="G13" s="4">
        <v>3.6128891270533798</v>
      </c>
      <c r="H13" s="2">
        <v>2570.1336844371399</v>
      </c>
      <c r="I13" s="3">
        <v>16.145696886103298</v>
      </c>
      <c r="J13" s="3">
        <v>20.0177465325927</v>
      </c>
      <c r="K13" s="4">
        <v>4.3601911301108602</v>
      </c>
      <c r="L13" s="8">
        <v>0.43403296506987699</v>
      </c>
      <c r="M13" s="4">
        <v>5.07816736451763</v>
      </c>
      <c r="N13" s="3">
        <v>10.3990236128544</v>
      </c>
      <c r="O13" s="2">
        <v>5428.10443596598</v>
      </c>
      <c r="P13" s="5">
        <v>632.36282973347704</v>
      </c>
      <c r="Q13" s="4" t="s">
        <v>36</v>
      </c>
      <c r="R13" s="4">
        <v>9.2236100963785397</v>
      </c>
      <c r="S13" s="4">
        <v>1.3245138945501801E-3</v>
      </c>
      <c r="T13" s="4" t="s">
        <v>36</v>
      </c>
      <c r="U13" s="4">
        <v>0.26471012163749102</v>
      </c>
      <c r="V13" s="4">
        <v>0.111397260954494</v>
      </c>
      <c r="W13" s="4" t="s">
        <v>36</v>
      </c>
      <c r="X13" s="4">
        <v>2.7105734469304998</v>
      </c>
      <c r="Y13" s="12">
        <f t="shared" si="0"/>
        <v>0.65187347804812756</v>
      </c>
      <c r="Z13" s="5">
        <f t="shared" si="1"/>
        <v>3202.496514170617</v>
      </c>
      <c r="AA13" s="2">
        <f t="shared" si="2"/>
        <v>654866.95543171861</v>
      </c>
      <c r="AB13" s="5">
        <f t="shared" si="3"/>
        <v>2586.2793813232433</v>
      </c>
      <c r="AC13" s="2">
        <f t="shared" si="4"/>
        <v>73377.197131921566</v>
      </c>
      <c r="AD13" s="2">
        <f t="shared" si="5"/>
        <v>642.76185334633146</v>
      </c>
      <c r="AE13" s="2">
        <f t="shared" si="6"/>
        <v>107.41195653920283</v>
      </c>
      <c r="AF13" s="2">
        <f t="shared" si="7"/>
        <v>3222.5142607032099</v>
      </c>
    </row>
    <row r="14" spans="1:32">
      <c r="A14" s="1" t="s">
        <v>46</v>
      </c>
      <c r="B14" s="4">
        <v>7.9546299496128183</v>
      </c>
      <c r="C14" s="3">
        <v>57.537486400228495</v>
      </c>
      <c r="D14" s="3">
        <v>34.845162772905901</v>
      </c>
      <c r="E14" s="4">
        <v>3.8976052251367799</v>
      </c>
      <c r="F14" s="2">
        <v>1662.08800817626</v>
      </c>
      <c r="G14" s="4">
        <v>2.4420863537925701</v>
      </c>
      <c r="H14" s="2">
        <v>1788.44877510837</v>
      </c>
      <c r="I14" s="3">
        <v>12.728092875428899</v>
      </c>
      <c r="J14" s="4">
        <v>9.0858362952739196</v>
      </c>
      <c r="K14" s="4">
        <v>1.30293265319289</v>
      </c>
      <c r="L14" s="8">
        <v>0.24244864548661399</v>
      </c>
      <c r="M14" s="4">
        <v>3.9189533984456202</v>
      </c>
      <c r="N14" s="3">
        <v>11.272095802757899</v>
      </c>
      <c r="O14" s="2">
        <v>5481.3949912082298</v>
      </c>
      <c r="P14" s="5">
        <v>816.51597424814895</v>
      </c>
      <c r="Q14" s="4">
        <v>0.42644472852131299</v>
      </c>
      <c r="R14" s="4" t="s">
        <v>36</v>
      </c>
      <c r="S14" s="4" t="s">
        <v>36</v>
      </c>
      <c r="T14" s="4">
        <v>2.4839456800914399</v>
      </c>
      <c r="U14" s="4">
        <v>9.56393944501919E-2</v>
      </c>
      <c r="V14" s="4">
        <v>0.103459270650594</v>
      </c>
      <c r="W14" s="4" t="s">
        <v>36</v>
      </c>
      <c r="X14" s="4">
        <v>37.688880807381302</v>
      </c>
      <c r="Y14" s="12">
        <f t="shared" si="0"/>
        <v>1.5960144976379655</v>
      </c>
      <c r="Z14" s="5">
        <f t="shared" si="1"/>
        <v>2604.964749356519</v>
      </c>
      <c r="AA14" s="2">
        <f t="shared" si="2"/>
        <v>654921.16349841317</v>
      </c>
      <c r="AB14" s="5">
        <f t="shared" si="3"/>
        <v>1801.176867983799</v>
      </c>
      <c r="AC14" s="2">
        <f t="shared" si="4"/>
        <v>81208.387504304439</v>
      </c>
      <c r="AD14" s="2">
        <f t="shared" si="5"/>
        <v>827.78807005090687</v>
      </c>
      <c r="AE14" s="2">
        <f t="shared" si="6"/>
        <v>104.96869226267137</v>
      </c>
      <c r="AF14" s="2">
        <f t="shared" si="7"/>
        <v>2614.050585651793</v>
      </c>
    </row>
    <row r="15" spans="1:32">
      <c r="A15" s="1" t="s">
        <v>47</v>
      </c>
      <c r="B15" s="4">
        <v>7.7208301438500273</v>
      </c>
      <c r="C15" s="3">
        <v>57.8096862601681</v>
      </c>
      <c r="D15" s="3">
        <v>52.186260197177901</v>
      </c>
      <c r="E15" s="4">
        <v>1.8477734021457199</v>
      </c>
      <c r="F15" s="2">
        <v>1788.96196288992</v>
      </c>
      <c r="G15" s="4">
        <v>3.2566707876122498</v>
      </c>
      <c r="H15" s="2">
        <v>1560.0811043792901</v>
      </c>
      <c r="I15" s="3">
        <v>16.426671002759502</v>
      </c>
      <c r="J15" s="4">
        <v>7.3920545780491098</v>
      </c>
      <c r="K15" s="4">
        <v>0.673188519803819</v>
      </c>
      <c r="L15" s="8">
        <v>2.21569939525273E-2</v>
      </c>
      <c r="M15" s="4">
        <v>4.5627127288443798</v>
      </c>
      <c r="N15" s="4">
        <v>8.2607048829067207</v>
      </c>
      <c r="O15" s="2">
        <v>5119.91999447734</v>
      </c>
      <c r="P15" s="5">
        <v>854.10069618266505</v>
      </c>
      <c r="Q15" s="4">
        <v>0.39440953296361297</v>
      </c>
      <c r="R15" s="4">
        <v>44.739004361989998</v>
      </c>
      <c r="S15" s="4">
        <v>1.42196688072854E-2</v>
      </c>
      <c r="T15" s="4">
        <v>14.098881730271399</v>
      </c>
      <c r="U15" s="4" t="s">
        <v>36</v>
      </c>
      <c r="V15" s="4">
        <v>5.2318142023179602E-2</v>
      </c>
      <c r="W15" s="4">
        <v>8.0266519241540006</v>
      </c>
      <c r="X15" s="4" t="s">
        <v>36</v>
      </c>
      <c r="Y15" s="12">
        <f t="shared" si="0"/>
        <v>0.56738108413484567</v>
      </c>
      <c r="Z15" s="5">
        <f t="shared" si="1"/>
        <v>2414.1818005619552</v>
      </c>
      <c r="AA15" s="2">
        <f t="shared" si="2"/>
        <v>655305.16404018132</v>
      </c>
      <c r="AB15" s="5">
        <f t="shared" si="3"/>
        <v>1576.5077753820497</v>
      </c>
      <c r="AC15" s="2">
        <f t="shared" si="4"/>
        <v>78997.263401390199</v>
      </c>
      <c r="AD15" s="2">
        <f t="shared" si="5"/>
        <v>862.36140106557173</v>
      </c>
      <c r="AE15" s="2">
        <f t="shared" si="6"/>
        <v>112.91130783786696</v>
      </c>
      <c r="AF15" s="2">
        <f t="shared" si="7"/>
        <v>2421.5738551400045</v>
      </c>
    </row>
    <row r="16" spans="1:32">
      <c r="A16" s="1" t="s">
        <v>48</v>
      </c>
      <c r="B16" s="4">
        <v>7.6360525331825633</v>
      </c>
      <c r="C16" s="3">
        <v>57.998254851735695</v>
      </c>
      <c r="D16" s="3">
        <v>33.980620697956397</v>
      </c>
      <c r="E16" s="4">
        <v>2.7077570899057202</v>
      </c>
      <c r="F16" s="2">
        <v>1841.1174807075599</v>
      </c>
      <c r="G16" s="4">
        <v>2.99038091013617</v>
      </c>
      <c r="H16" s="2">
        <v>655.13157370475597</v>
      </c>
      <c r="I16" s="4">
        <v>6.3154690895669701</v>
      </c>
      <c r="J16" s="4">
        <v>8.3481470036136596</v>
      </c>
      <c r="K16" s="4">
        <v>0.83478361252184197</v>
      </c>
      <c r="L16" s="8">
        <v>1.2394264876199801E-2</v>
      </c>
      <c r="M16" s="4">
        <v>1.2953803957802801</v>
      </c>
      <c r="N16" s="4">
        <v>7.1502611482578802</v>
      </c>
      <c r="O16" s="2">
        <v>5179.6532630028496</v>
      </c>
      <c r="P16" s="5">
        <v>852.00142213995696</v>
      </c>
      <c r="Q16" s="4">
        <v>0.58797025859424301</v>
      </c>
      <c r="R16" s="4">
        <v>142.919776814497</v>
      </c>
      <c r="S16" s="4">
        <v>7.0792015949784296E-3</v>
      </c>
      <c r="T16" s="4">
        <v>10.453663783469199</v>
      </c>
      <c r="U16" s="4">
        <v>0.162058911720455</v>
      </c>
      <c r="V16" s="4">
        <v>0.389273125080496</v>
      </c>
      <c r="W16" s="4">
        <v>13.3916318453452</v>
      </c>
      <c r="X16" s="4" t="s">
        <v>36</v>
      </c>
      <c r="Y16" s="12">
        <f t="shared" si="0"/>
        <v>0.90548902339749748</v>
      </c>
      <c r="Z16" s="5">
        <f t="shared" si="1"/>
        <v>1507.1329958447129</v>
      </c>
      <c r="AA16" s="2">
        <f t="shared" si="2"/>
        <v>656343.07384918258</v>
      </c>
      <c r="AB16" s="5">
        <f t="shared" si="3"/>
        <v>661.4470427943229</v>
      </c>
      <c r="AC16" s="2">
        <f t="shared" si="4"/>
        <v>78201.642812533188</v>
      </c>
      <c r="AD16" s="2">
        <f t="shared" si="5"/>
        <v>859.15168328821483</v>
      </c>
      <c r="AE16" s="2">
        <f t="shared" si="6"/>
        <v>111.97323818180026</v>
      </c>
      <c r="AF16" s="2">
        <f t="shared" si="7"/>
        <v>1515.4811428483265</v>
      </c>
    </row>
    <row r="17" spans="1:32">
      <c r="A17" s="1" t="s">
        <v>49</v>
      </c>
      <c r="B17" s="4">
        <v>8.1518545670444915</v>
      </c>
      <c r="C17" s="3">
        <v>57.301247527069506</v>
      </c>
      <c r="D17" s="3">
        <v>25.492853535405601</v>
      </c>
      <c r="E17" s="4">
        <v>1.9488106362197399</v>
      </c>
      <c r="F17" s="2">
        <v>1611.9746280945101</v>
      </c>
      <c r="G17" s="4">
        <v>1.79273552757817</v>
      </c>
      <c r="H17" s="3">
        <v>66.648885768970999</v>
      </c>
      <c r="I17" s="4">
        <v>7.6690041084109204</v>
      </c>
      <c r="J17" s="3">
        <v>17.940591269203601</v>
      </c>
      <c r="K17" s="2">
        <v>796.99126126670001</v>
      </c>
      <c r="L17" s="3">
        <v>21.128376787601798</v>
      </c>
      <c r="M17" s="2">
        <v>2067.5334032778701</v>
      </c>
      <c r="N17" s="4">
        <v>5.5328652698718699</v>
      </c>
      <c r="O17" s="2">
        <v>5547.5043092798696</v>
      </c>
      <c r="P17" s="6">
        <v>87.590886944122005</v>
      </c>
      <c r="Q17" s="4">
        <v>0.82596558509961004</v>
      </c>
      <c r="R17" s="4" t="s">
        <v>36</v>
      </c>
      <c r="S17" s="4">
        <v>6.2750290815115498E-3</v>
      </c>
      <c r="T17" s="4">
        <v>0.61441159422390401</v>
      </c>
      <c r="U17" s="4">
        <v>0.41039362848224897</v>
      </c>
      <c r="V17" s="4">
        <v>0.845842264833228</v>
      </c>
      <c r="W17" s="4" t="s">
        <v>36</v>
      </c>
      <c r="X17" s="4">
        <v>47.257092001376499</v>
      </c>
      <c r="Y17" s="12">
        <f t="shared" si="0"/>
        <v>1.0870597510009823</v>
      </c>
      <c r="Z17" s="5">
        <f t="shared" si="1"/>
        <v>154.239772713093</v>
      </c>
      <c r="AA17" s="2">
        <f t="shared" si="2"/>
        <v>654531.02094114001</v>
      </c>
      <c r="AB17" s="5">
        <f t="shared" si="3"/>
        <v>74.317889877381916</v>
      </c>
      <c r="AC17" s="2">
        <f t="shared" si="4"/>
        <v>83130.520298539428</v>
      </c>
      <c r="AD17" s="2">
        <f t="shared" si="5"/>
        <v>93.123752213993868</v>
      </c>
      <c r="AE17" s="2">
        <f t="shared" si="6"/>
        <v>103.29193873940022</v>
      </c>
      <c r="AF17" s="2">
        <f t="shared" si="7"/>
        <v>172.1803639822966</v>
      </c>
    </row>
    <row r="18" spans="1:32">
      <c r="A18" s="1" t="s">
        <v>50</v>
      </c>
      <c r="B18" s="4">
        <v>8.2834359336221812</v>
      </c>
      <c r="C18" s="3">
        <v>57.382489298879491</v>
      </c>
      <c r="D18" s="3">
        <v>40.646490052149503</v>
      </c>
      <c r="E18" s="4">
        <v>2.9146598264030801</v>
      </c>
      <c r="F18" s="2">
        <v>1715.81939615184</v>
      </c>
      <c r="G18" s="4">
        <v>2.6892197147574999</v>
      </c>
      <c r="H18" s="2">
        <v>339.57022792109802</v>
      </c>
      <c r="I18" s="4">
        <v>9.4442797725316705</v>
      </c>
      <c r="J18" s="4">
        <v>4.1122606838904003</v>
      </c>
      <c r="K18" s="4">
        <v>3.35252797667418</v>
      </c>
      <c r="L18" s="8">
        <v>0.78960145019368799</v>
      </c>
      <c r="M18" s="3">
        <v>10.8118595083941</v>
      </c>
      <c r="N18" s="4">
        <v>7.0485090980831</v>
      </c>
      <c r="O18" s="2">
        <v>6180.0406275198002</v>
      </c>
      <c r="P18" s="6">
        <v>97.946657317800998</v>
      </c>
      <c r="Q18" s="4">
        <v>0.36195541393147901</v>
      </c>
      <c r="R18" s="4" t="s">
        <v>36</v>
      </c>
      <c r="S18" s="4" t="s">
        <v>36</v>
      </c>
      <c r="T18" s="4">
        <v>0.55953676133624597</v>
      </c>
      <c r="U18" s="4">
        <v>4.9382903056872297E-2</v>
      </c>
      <c r="V18" s="4">
        <v>0.45189665951872798</v>
      </c>
      <c r="W18" s="4" t="s">
        <v>36</v>
      </c>
      <c r="X18" s="4">
        <v>46.266087341634901</v>
      </c>
      <c r="Y18" s="12">
        <f t="shared" si="0"/>
        <v>1.083831049731059</v>
      </c>
      <c r="Z18" s="5">
        <f t="shared" si="1"/>
        <v>437.51688523889902</v>
      </c>
      <c r="AA18" s="2">
        <f t="shared" si="2"/>
        <v>656659.25232501677</v>
      </c>
      <c r="AB18" s="5">
        <f t="shared" si="3"/>
        <v>349.0145076936297</v>
      </c>
      <c r="AC18" s="2">
        <f t="shared" si="4"/>
        <v>84550.17873237365</v>
      </c>
      <c r="AD18" s="2">
        <f t="shared" si="5"/>
        <v>104.9951664158841</v>
      </c>
      <c r="AE18" s="2">
        <f t="shared" si="6"/>
        <v>92.851314024303548</v>
      </c>
      <c r="AF18" s="2">
        <f t="shared" si="7"/>
        <v>441.62914592278941</v>
      </c>
    </row>
    <row r="19" spans="1:32">
      <c r="A19" s="1" t="s">
        <v>51</v>
      </c>
      <c r="B19" s="4">
        <v>8.2545452514612823</v>
      </c>
      <c r="C19" s="3">
        <v>57.315264351045506</v>
      </c>
      <c r="D19" s="3">
        <v>44.067815464830304</v>
      </c>
      <c r="E19" s="4">
        <v>2.1724991991720599</v>
      </c>
      <c r="F19" s="2">
        <v>1637.45729633565</v>
      </c>
      <c r="G19" s="4">
        <v>2.03271506280768</v>
      </c>
      <c r="H19" s="2">
        <v>1651.08821528366</v>
      </c>
      <c r="I19" s="4">
        <v>9.8023042719489997</v>
      </c>
      <c r="J19" s="3">
        <v>11.0909642228896</v>
      </c>
      <c r="K19" s="4">
        <v>1.8184060959382</v>
      </c>
      <c r="L19" s="8">
        <v>8.6063715158760198E-2</v>
      </c>
      <c r="M19" s="4">
        <v>2.8160724948059102</v>
      </c>
      <c r="N19" s="4">
        <v>8.1537335990234592</v>
      </c>
      <c r="O19" s="2">
        <v>5105.4732334803803</v>
      </c>
      <c r="P19" s="5">
        <v>701.87244808443904</v>
      </c>
      <c r="Q19" s="4">
        <v>0.12612907538137899</v>
      </c>
      <c r="R19" s="4">
        <v>30.644462615972898</v>
      </c>
      <c r="S19" s="4">
        <v>6.0970392087439903E-3</v>
      </c>
      <c r="T19" s="4">
        <v>0.61380522140987603</v>
      </c>
      <c r="U19" s="4" t="s">
        <v>36</v>
      </c>
      <c r="V19" s="4" t="s">
        <v>36</v>
      </c>
      <c r="W19" s="4">
        <v>2.6879303548916398</v>
      </c>
      <c r="X19" s="4">
        <v>37.607701918333099</v>
      </c>
      <c r="Y19" s="12">
        <f t="shared" si="0"/>
        <v>1.0687672064432403</v>
      </c>
      <c r="Z19" s="5">
        <f t="shared" si="1"/>
        <v>2352.9606633680992</v>
      </c>
      <c r="AA19" s="2">
        <f t="shared" si="2"/>
        <v>655698.09602506785</v>
      </c>
      <c r="AB19" s="5">
        <f t="shared" si="3"/>
        <v>1660.890519555609</v>
      </c>
      <c r="AC19" s="2">
        <f t="shared" si="4"/>
        <v>84182.909810948477</v>
      </c>
      <c r="AD19" s="2">
        <f t="shared" si="5"/>
        <v>710.02618168346248</v>
      </c>
      <c r="AE19" s="2">
        <f t="shared" si="6"/>
        <v>112.26239318068841</v>
      </c>
      <c r="AF19" s="2">
        <f t="shared" si="7"/>
        <v>2364.0516275909886</v>
      </c>
    </row>
    <row r="20" spans="1:32">
      <c r="A20" s="1" t="s">
        <v>52</v>
      </c>
      <c r="B20" s="4">
        <v>7.7643090224301634</v>
      </c>
      <c r="C20" s="3">
        <v>57.6308385046609</v>
      </c>
      <c r="D20" s="3">
        <v>42.061012664111999</v>
      </c>
      <c r="E20" s="4">
        <v>2.92828431603923</v>
      </c>
      <c r="F20" s="2">
        <v>1822.09998966792</v>
      </c>
      <c r="G20" s="4">
        <v>1.72789634346818</v>
      </c>
      <c r="H20" s="2">
        <v>2610.0995903268799</v>
      </c>
      <c r="I20" s="3">
        <v>15.587370716838899</v>
      </c>
      <c r="J20" s="3">
        <v>32.457009956253202</v>
      </c>
      <c r="K20" s="4">
        <v>3.4496819242830701</v>
      </c>
      <c r="L20" s="8">
        <v>0.43823916492487802</v>
      </c>
      <c r="M20" s="4">
        <v>2.00764386706537</v>
      </c>
      <c r="N20" s="4">
        <v>8.7871592377515508</v>
      </c>
      <c r="O20" s="2">
        <v>5679.5525182666297</v>
      </c>
      <c r="P20" s="5">
        <v>751.92268068245698</v>
      </c>
      <c r="Q20" s="4">
        <v>0.49377305661488302</v>
      </c>
      <c r="R20" s="4" t="s">
        <v>36</v>
      </c>
      <c r="S20" s="4">
        <v>8.7674685865834108E-3</v>
      </c>
      <c r="T20" s="4" t="s">
        <v>36</v>
      </c>
      <c r="U20" s="4">
        <v>6.6779873721711097E-2</v>
      </c>
      <c r="V20" s="4">
        <v>3.5830874105580002E-2</v>
      </c>
      <c r="W20" s="4" t="s">
        <v>36</v>
      </c>
      <c r="X20" s="4">
        <v>29.578007599555299</v>
      </c>
      <c r="Y20" s="12">
        <f t="shared" si="0"/>
        <v>1.6947106388116249</v>
      </c>
      <c r="Z20" s="5">
        <f t="shared" si="1"/>
        <v>3362.0222710093367</v>
      </c>
      <c r="AA20" s="2">
        <f t="shared" si="2"/>
        <v>653951.47527091065</v>
      </c>
      <c r="AB20" s="5">
        <f t="shared" si="3"/>
        <v>2625.6869610437188</v>
      </c>
      <c r="AC20" s="2">
        <f t="shared" si="4"/>
        <v>79465.190213969545</v>
      </c>
      <c r="AD20" s="2">
        <f t="shared" si="5"/>
        <v>760.70983992020854</v>
      </c>
      <c r="AE20" s="2">
        <f t="shared" si="6"/>
        <v>101.47073791343254</v>
      </c>
      <c r="AF20" s="2">
        <f t="shared" si="7"/>
        <v>3394.4792809655901</v>
      </c>
    </row>
    <row r="21" spans="1:32">
      <c r="A21" s="1" t="s">
        <v>53</v>
      </c>
      <c r="B21" s="4">
        <v>7.5357680056510743</v>
      </c>
      <c r="C21" s="3">
        <v>57.991117440292101</v>
      </c>
      <c r="D21" s="3">
        <v>37.527963738350003</v>
      </c>
      <c r="E21" s="4">
        <v>1.96709856235351</v>
      </c>
      <c r="F21" s="2">
        <v>1792.29301609817</v>
      </c>
      <c r="G21" s="4">
        <v>1.65705544564852</v>
      </c>
      <c r="H21" s="2">
        <v>1433.88511639188</v>
      </c>
      <c r="I21" s="3">
        <v>10.3677252173893</v>
      </c>
      <c r="J21" s="4">
        <v>6.0438261290891901</v>
      </c>
      <c r="K21" s="4">
        <v>2.1569813174677899</v>
      </c>
      <c r="L21" s="8">
        <v>1.3469140944304301</v>
      </c>
      <c r="M21" s="4">
        <v>5.2741904036192002</v>
      </c>
      <c r="N21" s="3">
        <v>11.3403765663101</v>
      </c>
      <c r="O21" s="2">
        <v>5597.7475726237699</v>
      </c>
      <c r="P21" s="5">
        <v>713.11051458536895</v>
      </c>
      <c r="Q21" s="4">
        <v>0.65204832665956503</v>
      </c>
      <c r="R21" s="4">
        <v>39.9424804493542</v>
      </c>
      <c r="S21" s="4">
        <v>1.6465294960903699E-2</v>
      </c>
      <c r="T21" s="4" t="s">
        <v>36</v>
      </c>
      <c r="U21" s="4" t="s">
        <v>36</v>
      </c>
      <c r="V21" s="4">
        <v>0.44623633061502999</v>
      </c>
      <c r="W21" s="4" t="s">
        <v>36</v>
      </c>
      <c r="X21" s="4" t="s">
        <v>36</v>
      </c>
      <c r="Y21" s="12">
        <f t="shared" si="0"/>
        <v>1.1871048536843911</v>
      </c>
      <c r="Z21" s="5">
        <f t="shared" si="1"/>
        <v>2146.9956309772488</v>
      </c>
      <c r="AA21" s="2">
        <f t="shared" si="2"/>
        <v>655268.85445943172</v>
      </c>
      <c r="AB21" s="5">
        <f t="shared" si="3"/>
        <v>1444.2528416092694</v>
      </c>
      <c r="AC21" s="2">
        <f t="shared" si="4"/>
        <v>77149.973072608904</v>
      </c>
      <c r="AD21" s="2">
        <f t="shared" si="5"/>
        <v>724.450891151679</v>
      </c>
      <c r="AE21" s="2">
        <f t="shared" si="6"/>
        <v>103.59723565225106</v>
      </c>
      <c r="AF21" s="2">
        <f t="shared" si="7"/>
        <v>2153.039457106338</v>
      </c>
    </row>
    <row r="22" spans="1:32">
      <c r="A22" s="1" t="s">
        <v>54</v>
      </c>
      <c r="B22" s="4">
        <v>7.2451194421999272</v>
      </c>
      <c r="C22" s="3">
        <v>58.239569486315197</v>
      </c>
      <c r="D22" s="3">
        <v>29.345712087757601</v>
      </c>
      <c r="E22" s="4">
        <v>2.35803734723808</v>
      </c>
      <c r="F22" s="2">
        <v>1617.5778686200999</v>
      </c>
      <c r="G22" s="4">
        <v>1.61845966292929</v>
      </c>
      <c r="H22" s="2">
        <v>2475.3154132259901</v>
      </c>
      <c r="I22" s="3">
        <v>21.6409007605751</v>
      </c>
      <c r="J22" s="3">
        <v>15.0044239747969</v>
      </c>
      <c r="K22" s="4">
        <v>2.2998067627316701</v>
      </c>
      <c r="L22" s="8">
        <v>0.92454032085950499</v>
      </c>
      <c r="M22" s="3">
        <v>43.105455500820497</v>
      </c>
      <c r="N22" s="3">
        <v>11.6708025125305</v>
      </c>
      <c r="O22" s="2">
        <v>5459.8686715337599</v>
      </c>
      <c r="P22" s="5">
        <v>729.555259466086</v>
      </c>
      <c r="Q22" s="4">
        <v>0.65047433106205699</v>
      </c>
      <c r="R22" s="4">
        <v>20.318877436061399</v>
      </c>
      <c r="S22" s="4">
        <v>1.9386199497716201E-2</v>
      </c>
      <c r="T22" s="4">
        <v>2.0310653122248099</v>
      </c>
      <c r="U22" s="4">
        <v>4.5076787743981503</v>
      </c>
      <c r="V22" s="4">
        <v>2.29507528670907</v>
      </c>
      <c r="W22" s="4">
        <v>3.22487392247616</v>
      </c>
      <c r="X22" s="4">
        <v>76.005998905023404</v>
      </c>
      <c r="Y22" s="12">
        <f t="shared" si="0"/>
        <v>1.4569639276460002</v>
      </c>
      <c r="Z22" s="5">
        <f t="shared" si="1"/>
        <v>3204.8706726920764</v>
      </c>
      <c r="AA22" s="2">
        <f t="shared" si="2"/>
        <v>654846.88928515126</v>
      </c>
      <c r="AB22" s="5">
        <f t="shared" si="3"/>
        <v>2496.9563139865654</v>
      </c>
      <c r="AC22" s="2">
        <f t="shared" si="4"/>
        <v>74068.772290619367</v>
      </c>
      <c r="AD22" s="2">
        <f t="shared" si="5"/>
        <v>741.22606197861649</v>
      </c>
      <c r="AE22" s="2">
        <f t="shared" si="6"/>
        <v>106.66844385829306</v>
      </c>
      <c r="AF22" s="2">
        <f t="shared" si="7"/>
        <v>3219.8750966668731</v>
      </c>
    </row>
    <row r="23" spans="1:32">
      <c r="A23" s="1" t="s">
        <v>55</v>
      </c>
      <c r="B23" s="4">
        <v>7.5036581012876633</v>
      </c>
      <c r="C23" s="3">
        <v>58.2735239062971</v>
      </c>
      <c r="D23" s="3">
        <v>20.5161139699484</v>
      </c>
      <c r="E23" s="4">
        <v>2.5297185378439999</v>
      </c>
      <c r="F23" s="2">
        <v>1366.517069211</v>
      </c>
      <c r="G23" s="4">
        <v>3.2774799209487901</v>
      </c>
      <c r="H23" s="2">
        <v>389.14723068577098</v>
      </c>
      <c r="I23" s="3">
        <v>17.336289749763299</v>
      </c>
      <c r="J23" s="3">
        <v>14.922339551136099</v>
      </c>
      <c r="K23" s="4">
        <v>3.3285970992666498</v>
      </c>
      <c r="L23" s="8">
        <v>0.36684517031310199</v>
      </c>
      <c r="M23" s="3">
        <v>17.477993922834401</v>
      </c>
      <c r="N23" s="3">
        <v>21.023503166128599</v>
      </c>
      <c r="O23" s="2">
        <v>5060.5411772402404</v>
      </c>
      <c r="P23" s="5">
        <v>692.062709068613</v>
      </c>
      <c r="Q23" s="4">
        <v>0.74068773931656895</v>
      </c>
      <c r="R23" s="4">
        <v>40.541294018587401</v>
      </c>
      <c r="S23" s="4">
        <v>8.8852940541775307E-3</v>
      </c>
      <c r="T23" s="4">
        <v>2.0153150606426302</v>
      </c>
      <c r="U23" s="4">
        <v>0.77094160965427305</v>
      </c>
      <c r="V23" s="4">
        <v>0.92897637646064202</v>
      </c>
      <c r="W23" s="4" t="s">
        <v>36</v>
      </c>
      <c r="X23" s="4">
        <v>0.89578902189242804</v>
      </c>
      <c r="Y23" s="12">
        <f t="shared" si="0"/>
        <v>0.77184867607417029</v>
      </c>
      <c r="Z23" s="5">
        <f t="shared" si="1"/>
        <v>1081.2099397543839</v>
      </c>
      <c r="AA23" s="2">
        <f t="shared" si="2"/>
        <v>657771.82007584756</v>
      </c>
      <c r="AB23" s="5">
        <f t="shared" si="3"/>
        <v>406.48352043553427</v>
      </c>
      <c r="AC23" s="2">
        <f t="shared" si="4"/>
        <v>76403.098082087628</v>
      </c>
      <c r="AD23" s="2">
        <f t="shared" si="5"/>
        <v>713.08621223474165</v>
      </c>
      <c r="AE23" s="2">
        <f t="shared" si="6"/>
        <v>115.15275118871078</v>
      </c>
      <c r="AF23" s="2">
        <f t="shared" si="7"/>
        <v>1096.1322793055199</v>
      </c>
    </row>
    <row r="24" spans="1:32">
      <c r="A24" s="1" t="s">
        <v>56</v>
      </c>
      <c r="B24" s="4">
        <v>7.9802488904265276</v>
      </c>
      <c r="C24" s="3">
        <v>57.731291724814199</v>
      </c>
      <c r="D24" s="3">
        <v>40.894148076999898</v>
      </c>
      <c r="E24" s="4">
        <v>2.6117661496386702</v>
      </c>
      <c r="F24" s="2">
        <v>1409.5626040273801</v>
      </c>
      <c r="G24" s="4">
        <v>3.1485438818908902</v>
      </c>
      <c r="H24" s="2">
        <v>302.31076549167699</v>
      </c>
      <c r="I24" s="4">
        <v>7.3421672177034996</v>
      </c>
      <c r="J24" s="3">
        <v>23.8685667191655</v>
      </c>
      <c r="K24" s="4">
        <v>0.537329962129934</v>
      </c>
      <c r="L24" s="8">
        <v>9.8625478116248902E-2</v>
      </c>
      <c r="M24" s="4">
        <v>2.9397247455939799</v>
      </c>
      <c r="N24" s="3">
        <v>18.291915104675098</v>
      </c>
      <c r="O24" s="2">
        <v>5274.4593581708496</v>
      </c>
      <c r="P24" s="5">
        <v>515.15537170153698</v>
      </c>
      <c r="Q24" s="4">
        <v>0.35390368753535101</v>
      </c>
      <c r="R24" s="4" t="s">
        <v>36</v>
      </c>
      <c r="S24" s="4">
        <v>2.4672607037052601E-3</v>
      </c>
      <c r="T24" s="4">
        <v>4.9119259106732498</v>
      </c>
      <c r="U24" s="4">
        <v>0.142602973167957</v>
      </c>
      <c r="V24" s="4">
        <v>4.7704642317427E-2</v>
      </c>
      <c r="W24" s="4">
        <v>5.1518920175852401</v>
      </c>
      <c r="X24" s="4">
        <v>17.671501816872301</v>
      </c>
      <c r="Y24" s="12">
        <f t="shared" si="0"/>
        <v>0.82951556262577708</v>
      </c>
      <c r="Z24" s="5">
        <f t="shared" si="1"/>
        <v>817.46613719321397</v>
      </c>
      <c r="AA24" s="2">
        <f t="shared" si="2"/>
        <v>657115.40615240717</v>
      </c>
      <c r="AB24" s="5">
        <f t="shared" si="3"/>
        <v>309.65293270938048</v>
      </c>
      <c r="AC24" s="2">
        <f t="shared" si="4"/>
        <v>81212.051508292658</v>
      </c>
      <c r="AD24" s="2">
        <f t="shared" si="5"/>
        <v>533.44728680621211</v>
      </c>
      <c r="AE24" s="2">
        <f t="shared" si="6"/>
        <v>109.454425192187</v>
      </c>
      <c r="AF24" s="2">
        <f t="shared" si="7"/>
        <v>841.3347039123795</v>
      </c>
    </row>
    <row r="25" spans="1:32">
      <c r="A25" s="1" t="s">
        <v>57</v>
      </c>
      <c r="B25" s="4">
        <v>7.1713134064133541</v>
      </c>
      <c r="C25" s="3">
        <v>57.919587477417998</v>
      </c>
      <c r="D25" s="3">
        <v>32.481330541696003</v>
      </c>
      <c r="E25" s="4">
        <v>2.68183104676406</v>
      </c>
      <c r="F25" s="2">
        <v>1202.94139924765</v>
      </c>
      <c r="G25" s="4">
        <v>3.0435106413792199</v>
      </c>
      <c r="H25" s="2">
        <v>6415.0969428499502</v>
      </c>
      <c r="I25" s="3">
        <v>26.819762694001302</v>
      </c>
      <c r="J25" s="3">
        <v>19.818326467307202</v>
      </c>
      <c r="K25" s="4">
        <v>8.1525136987619202</v>
      </c>
      <c r="L25" s="8">
        <v>0.51204520994503799</v>
      </c>
      <c r="M25" s="3">
        <v>20.7876652381266</v>
      </c>
      <c r="N25" s="4">
        <v>6.5034411241068302</v>
      </c>
      <c r="O25" s="2">
        <v>5736.5541368721797</v>
      </c>
      <c r="P25" s="5">
        <v>952.98045707202095</v>
      </c>
      <c r="Q25" s="4" t="s">
        <v>36</v>
      </c>
      <c r="R25" s="4" t="s">
        <v>36</v>
      </c>
      <c r="S25" s="4">
        <v>1.6048000753164999E-2</v>
      </c>
      <c r="T25" s="4">
        <v>1.2416782370964901</v>
      </c>
      <c r="U25" s="4" t="s">
        <v>36</v>
      </c>
      <c r="V25" s="4" t="s">
        <v>36</v>
      </c>
      <c r="W25" s="4">
        <v>0.24731544940640501</v>
      </c>
      <c r="X25" s="4" t="s">
        <v>36</v>
      </c>
      <c r="Y25" s="12">
        <f t="shared" si="0"/>
        <v>0.88116368324861238</v>
      </c>
      <c r="Z25" s="5">
        <f t="shared" si="1"/>
        <v>7368.0773999219709</v>
      </c>
      <c r="AA25" s="2">
        <f t="shared" si="2"/>
        <v>650909.00883831352</v>
      </c>
      <c r="AB25" s="5">
        <f t="shared" si="3"/>
        <v>6441.9167055439511</v>
      </c>
      <c r="AC25" s="2">
        <f t="shared" si="4"/>
        <v>72916.075463381188</v>
      </c>
      <c r="AD25" s="2">
        <f t="shared" si="5"/>
        <v>959.48389819612783</v>
      </c>
      <c r="AE25" s="2">
        <f t="shared" si="6"/>
        <v>100.96581692681156</v>
      </c>
      <c r="AF25" s="2">
        <f t="shared" si="7"/>
        <v>7387.895726389278</v>
      </c>
    </row>
    <row r="26" spans="1:32">
      <c r="A26" s="1" t="s">
        <v>58</v>
      </c>
      <c r="B26" s="4">
        <v>7.4115384169983543</v>
      </c>
      <c r="C26" s="3">
        <v>57.857790538339309</v>
      </c>
      <c r="D26" s="3">
        <v>48.706625063326399</v>
      </c>
      <c r="E26" s="4">
        <v>2.9522680345693399</v>
      </c>
      <c r="F26" s="2">
        <v>1601.7807878373401</v>
      </c>
      <c r="G26" s="4">
        <v>2.9028506383854902</v>
      </c>
      <c r="H26" s="2">
        <v>4570.1814826987502</v>
      </c>
      <c r="I26" s="3">
        <v>55.801453014032298</v>
      </c>
      <c r="J26" s="3">
        <v>14.1923879414392</v>
      </c>
      <c r="K26" s="4">
        <v>2.1373839820115799</v>
      </c>
      <c r="L26" s="8">
        <v>4.4441708332879797E-2</v>
      </c>
      <c r="M26" s="4">
        <v>3.5157061984666802</v>
      </c>
      <c r="N26" s="3">
        <v>11.206208638860801</v>
      </c>
      <c r="O26" s="2">
        <v>5683.5831022490702</v>
      </c>
      <c r="P26" s="5">
        <v>440.60357644104403</v>
      </c>
      <c r="Q26" s="4">
        <v>0.45691628796516998</v>
      </c>
      <c r="R26" s="4" t="s">
        <v>36</v>
      </c>
      <c r="S26" s="4">
        <v>2.8032824432962801E-3</v>
      </c>
      <c r="T26" s="4">
        <v>1.45601876467803</v>
      </c>
      <c r="U26" s="4">
        <v>0.110180619929677</v>
      </c>
      <c r="V26" s="4" t="s">
        <v>36</v>
      </c>
      <c r="W26" s="4">
        <v>3.4527012717669998</v>
      </c>
      <c r="X26" s="4">
        <v>35.9277710418163</v>
      </c>
      <c r="Y26" s="12">
        <f t="shared" si="0"/>
        <v>1.0170237474606461</v>
      </c>
      <c r="Z26" s="5">
        <f t="shared" si="1"/>
        <v>5010.7850591397946</v>
      </c>
      <c r="AA26" s="2">
        <f t="shared" si="2"/>
        <v>652693.28955337661</v>
      </c>
      <c r="AB26" s="5">
        <f t="shared" si="3"/>
        <v>4625.9829357127828</v>
      </c>
      <c r="AC26" s="2">
        <f t="shared" si="4"/>
        <v>75717.164957820889</v>
      </c>
      <c r="AD26" s="2">
        <f t="shared" si="5"/>
        <v>451.80978507990483</v>
      </c>
      <c r="AE26" s="2">
        <f t="shared" si="6"/>
        <v>101.79809021433012</v>
      </c>
      <c r="AF26" s="2">
        <f t="shared" si="7"/>
        <v>5024.9774470812335</v>
      </c>
    </row>
    <row r="27" spans="1:32">
      <c r="A27" s="1" t="s">
        <v>59</v>
      </c>
      <c r="B27" s="4">
        <v>7.2820597734541375</v>
      </c>
      <c r="C27" s="3">
        <v>58.222003127931607</v>
      </c>
      <c r="D27" s="3">
        <v>30.893311770957101</v>
      </c>
      <c r="E27" s="4">
        <v>2.6269188441361502</v>
      </c>
      <c r="F27" s="2">
        <v>1887.4424365228899</v>
      </c>
      <c r="G27" s="4">
        <v>3.3006980425994898</v>
      </c>
      <c r="H27" s="2">
        <v>1776.7882811986899</v>
      </c>
      <c r="I27" s="3">
        <v>36.566416028551302</v>
      </c>
      <c r="J27" s="4">
        <v>9.0033129153068501</v>
      </c>
      <c r="K27" s="4">
        <v>1.06780980575838</v>
      </c>
      <c r="L27" s="8">
        <v>2.7909512954589301E-2</v>
      </c>
      <c r="M27" s="4">
        <v>2.74223735356109</v>
      </c>
      <c r="N27" s="4">
        <v>4.5135245974676002</v>
      </c>
      <c r="O27" s="2">
        <v>5677.47488127631</v>
      </c>
      <c r="P27" s="5">
        <v>533.60653722275902</v>
      </c>
      <c r="Q27" s="4">
        <v>0.40833267123911998</v>
      </c>
      <c r="R27" s="4">
        <v>24.0523791322059</v>
      </c>
      <c r="S27" s="4" t="s">
        <v>36</v>
      </c>
      <c r="T27" s="4">
        <v>1.41278657587248</v>
      </c>
      <c r="U27" s="4">
        <v>3.5371877292642899E-2</v>
      </c>
      <c r="V27" s="4" t="s">
        <v>36</v>
      </c>
      <c r="W27" s="4" t="s">
        <v>36</v>
      </c>
      <c r="X27" s="4">
        <v>20.358810577615799</v>
      </c>
      <c r="Y27" s="12">
        <f t="shared" si="0"/>
        <v>0.7958676650310309</v>
      </c>
      <c r="Z27" s="5">
        <f t="shared" si="1"/>
        <v>2310.3948184214487</v>
      </c>
      <c r="AA27" s="2">
        <f t="shared" si="2"/>
        <v>655040.62901385745</v>
      </c>
      <c r="AB27" s="5">
        <f t="shared" si="3"/>
        <v>1813.3546972272411</v>
      </c>
      <c r="AC27" s="2">
        <f t="shared" si="4"/>
        <v>74708.040171064262</v>
      </c>
      <c r="AD27" s="2">
        <f t="shared" si="5"/>
        <v>538.12006182022662</v>
      </c>
      <c r="AE27" s="2">
        <f t="shared" si="6"/>
        <v>102.54911619237875</v>
      </c>
      <c r="AF27" s="2">
        <f t="shared" si="7"/>
        <v>2319.3981313367553</v>
      </c>
    </row>
    <row r="28" spans="1:32">
      <c r="A28" s="1" t="s">
        <v>60</v>
      </c>
      <c r="B28" s="4">
        <v>7.9517159636971</v>
      </c>
      <c r="C28" s="3">
        <v>57.560428753166597</v>
      </c>
      <c r="D28" s="3">
        <v>38.504859230909602</v>
      </c>
      <c r="E28" s="4">
        <v>1.1931579420045599</v>
      </c>
      <c r="F28" s="2">
        <v>2338.6844748542399</v>
      </c>
      <c r="G28" s="4">
        <v>2.0885256539300601</v>
      </c>
      <c r="H28" s="2">
        <v>662.17029637821099</v>
      </c>
      <c r="I28" s="3">
        <v>14.797762550047199</v>
      </c>
      <c r="J28" s="3">
        <v>11.7002923789564</v>
      </c>
      <c r="K28" s="4">
        <v>2.6889839281401899</v>
      </c>
      <c r="L28" s="8">
        <v>0.42468822574867998</v>
      </c>
      <c r="M28" s="4">
        <v>7.7773059126196999</v>
      </c>
      <c r="N28" s="4">
        <v>7.3731270663431401</v>
      </c>
      <c r="O28" s="2">
        <v>5753.6123214965701</v>
      </c>
      <c r="P28" s="5">
        <v>897.47180362786798</v>
      </c>
      <c r="Q28" s="4">
        <v>0.78512188370306102</v>
      </c>
      <c r="R28" s="4">
        <v>23.913819759375802</v>
      </c>
      <c r="S28" s="4">
        <v>7.8124841172975698E-3</v>
      </c>
      <c r="T28" s="4">
        <v>5.3363593659505302</v>
      </c>
      <c r="U28" s="4">
        <v>6.0925492612309402E-2</v>
      </c>
      <c r="V28" s="4">
        <v>0.19043591642820701</v>
      </c>
      <c r="W28" s="4">
        <v>4.2182531568764103</v>
      </c>
      <c r="X28" s="4">
        <v>23.194546461961</v>
      </c>
      <c r="Y28" s="12">
        <f t="shared" si="0"/>
        <v>0.57129197324406722</v>
      </c>
      <c r="Z28" s="5">
        <f t="shared" si="1"/>
        <v>1559.6421000060791</v>
      </c>
      <c r="AA28" s="2">
        <f t="shared" si="2"/>
        <v>655121.44716863695</v>
      </c>
      <c r="AB28" s="5">
        <f t="shared" si="3"/>
        <v>676.96805892825819</v>
      </c>
      <c r="AC28" s="2">
        <f t="shared" si="4"/>
        <v>81855.844111825238</v>
      </c>
      <c r="AD28" s="2">
        <f t="shared" si="5"/>
        <v>904.84493069421114</v>
      </c>
      <c r="AE28" s="2">
        <f t="shared" si="6"/>
        <v>100.0422439623019</v>
      </c>
      <c r="AF28" s="2">
        <f t="shared" si="7"/>
        <v>1571.3423923850355</v>
      </c>
    </row>
    <row r="29" spans="1:32">
      <c r="A29" s="1" t="s">
        <v>61</v>
      </c>
      <c r="B29" s="4">
        <v>7.6271222014690183</v>
      </c>
      <c r="C29" s="3">
        <v>57.955328307606202</v>
      </c>
      <c r="D29" s="3">
        <v>52.091464910916002</v>
      </c>
      <c r="E29" s="4">
        <v>1.24991892605599</v>
      </c>
      <c r="F29" s="2">
        <v>1703.1940572518699</v>
      </c>
      <c r="G29" s="4">
        <v>3.5226200141269901</v>
      </c>
      <c r="H29" s="2">
        <v>1310.5519033563201</v>
      </c>
      <c r="I29" s="3">
        <v>11.3633871038555</v>
      </c>
      <c r="J29" s="3">
        <v>38.111858948362503</v>
      </c>
      <c r="K29" s="4">
        <v>2.5270760702867401</v>
      </c>
      <c r="L29" s="8">
        <v>0.10074399106456999</v>
      </c>
      <c r="M29" s="4">
        <v>4.2763373297946297</v>
      </c>
      <c r="N29" s="3">
        <v>16.023155448292801</v>
      </c>
      <c r="O29" s="2">
        <v>5348.4322109863797</v>
      </c>
      <c r="P29" s="5">
        <v>584.78790937024201</v>
      </c>
      <c r="Q29" s="4" t="s">
        <v>36</v>
      </c>
      <c r="R29" s="4">
        <v>15.953541705726</v>
      </c>
      <c r="S29" s="4" t="s">
        <v>36</v>
      </c>
      <c r="T29" s="4">
        <v>13.9450972328444</v>
      </c>
      <c r="U29" s="4">
        <v>0.16404176076216301</v>
      </c>
      <c r="V29" s="4">
        <v>0.170480898205152</v>
      </c>
      <c r="W29" s="4">
        <v>16.147739293580202</v>
      </c>
      <c r="X29" s="4" t="s">
        <v>36</v>
      </c>
      <c r="Y29" s="12">
        <f t="shared" si="0"/>
        <v>0.35482649875472222</v>
      </c>
      <c r="Z29" s="5">
        <f t="shared" si="1"/>
        <v>1895.3398127265621</v>
      </c>
      <c r="AA29" s="2">
        <f t="shared" si="2"/>
        <v>655824.50509075215</v>
      </c>
      <c r="AB29" s="5">
        <f t="shared" si="3"/>
        <v>1321.9152904601756</v>
      </c>
      <c r="AC29" s="2">
        <f t="shared" si="4"/>
        <v>77974.416071942047</v>
      </c>
      <c r="AD29" s="2">
        <f t="shared" si="5"/>
        <v>600.81106481853476</v>
      </c>
      <c r="AE29" s="2">
        <f t="shared" si="6"/>
        <v>108.35947062871689</v>
      </c>
      <c r="AF29" s="2">
        <f t="shared" si="7"/>
        <v>1933.4516716749245</v>
      </c>
    </row>
    <row r="30" spans="1:32">
      <c r="A30" s="1" t="s">
        <v>62</v>
      </c>
      <c r="B30" s="4">
        <v>7.4621438573414096</v>
      </c>
      <c r="C30" s="3">
        <v>58.172086858218698</v>
      </c>
      <c r="D30" s="3">
        <v>34.4567924098791</v>
      </c>
      <c r="E30" s="4">
        <v>1.68374527009633</v>
      </c>
      <c r="F30" s="2">
        <v>1587.3694610852999</v>
      </c>
      <c r="G30" s="4">
        <v>3.4554275411601698</v>
      </c>
      <c r="H30" s="2">
        <v>516.95621883291903</v>
      </c>
      <c r="I30" s="3">
        <v>11.628895848956001</v>
      </c>
      <c r="J30" s="4">
        <v>8.1825576677688208</v>
      </c>
      <c r="K30" s="4">
        <v>3.7621231266350801</v>
      </c>
      <c r="L30" s="8">
        <v>0.16965182986796601</v>
      </c>
      <c r="M30" s="4">
        <v>5.7342579941241896</v>
      </c>
      <c r="N30" s="3">
        <v>19.520119288832198</v>
      </c>
      <c r="O30" s="2">
        <v>5263.8248577001996</v>
      </c>
      <c r="P30" s="5">
        <v>585.39203806982903</v>
      </c>
      <c r="Q30" s="4">
        <v>0.52892349312696396</v>
      </c>
      <c r="R30" s="4">
        <v>4.00952093474086</v>
      </c>
      <c r="S30" s="4">
        <v>8.4120757194411696E-3</v>
      </c>
      <c r="T30" s="4">
        <v>226.963964484516</v>
      </c>
      <c r="U30" s="4">
        <v>0.19373082060407301</v>
      </c>
      <c r="V30" s="4">
        <v>0.11354313554640499</v>
      </c>
      <c r="W30" s="4">
        <v>145.04952371085901</v>
      </c>
      <c r="X30" s="4">
        <v>188.27590246755801</v>
      </c>
      <c r="Y30" s="12">
        <f t="shared" si="0"/>
        <v>0.48727552525410722</v>
      </c>
      <c r="Z30" s="5">
        <f t="shared" si="1"/>
        <v>1102.3482569027481</v>
      </c>
      <c r="AA30" s="2">
        <f t="shared" si="2"/>
        <v>656342.3071556011</v>
      </c>
      <c r="AB30" s="5">
        <f t="shared" si="3"/>
        <v>528.58511468187498</v>
      </c>
      <c r="AC30" s="2">
        <f t="shared" si="4"/>
        <v>76208.808034499394</v>
      </c>
      <c r="AD30" s="2">
        <f t="shared" si="5"/>
        <v>604.91215735866126</v>
      </c>
      <c r="AE30" s="2">
        <f t="shared" si="6"/>
        <v>110.51296050080677</v>
      </c>
      <c r="AF30" s="2">
        <f t="shared" si="7"/>
        <v>1110.5308145705169</v>
      </c>
    </row>
    <row r="31" spans="1:32">
      <c r="A31" s="1" t="s">
        <v>63</v>
      </c>
      <c r="B31" s="4">
        <v>7.4563743952655361</v>
      </c>
      <c r="C31" s="3">
        <v>58.276978185157894</v>
      </c>
      <c r="D31" s="3">
        <v>36.867773771284</v>
      </c>
      <c r="E31" s="4">
        <v>2.3675940852278501</v>
      </c>
      <c r="F31" s="2">
        <v>1551.58086991395</v>
      </c>
      <c r="G31" s="4">
        <v>3.4979971162296501</v>
      </c>
      <c r="H31" s="2">
        <v>352.154701489925</v>
      </c>
      <c r="I31" s="4">
        <v>7.3081038260945004</v>
      </c>
      <c r="J31" s="4">
        <v>7.8907902780546504</v>
      </c>
      <c r="K31" s="4">
        <v>1.90739870276872</v>
      </c>
      <c r="L31" s="8">
        <v>0.121830463754282</v>
      </c>
      <c r="M31" s="4">
        <v>2.63724303413637</v>
      </c>
      <c r="N31" s="3">
        <v>21.739666560059899</v>
      </c>
      <c r="O31" s="2">
        <v>5300.7237446088002</v>
      </c>
      <c r="P31" s="5">
        <v>593.24329350085202</v>
      </c>
      <c r="Q31" s="4">
        <v>0.52967462041413205</v>
      </c>
      <c r="R31" s="4">
        <v>1.5295930878702</v>
      </c>
      <c r="S31" s="4">
        <v>5.9083353385910699E-3</v>
      </c>
      <c r="T31" s="4">
        <v>0.39863693542044398</v>
      </c>
      <c r="U31" s="4">
        <v>6.7448680411239206E-2</v>
      </c>
      <c r="V31" s="4" t="s">
        <v>36</v>
      </c>
      <c r="W31" s="4" t="s">
        <v>36</v>
      </c>
      <c r="X31" s="4" t="s">
        <v>36</v>
      </c>
      <c r="Y31" s="12">
        <f t="shared" si="0"/>
        <v>0.67684277789793723</v>
      </c>
      <c r="Z31" s="5">
        <f t="shared" si="1"/>
        <v>945.39799499077708</v>
      </c>
      <c r="AA31" s="2">
        <f t="shared" si="2"/>
        <v>657333.52580423432</v>
      </c>
      <c r="AB31" s="5">
        <f t="shared" si="3"/>
        <v>359.46280531601951</v>
      </c>
      <c r="AC31" s="2">
        <f t="shared" si="4"/>
        <v>76115.32482256931</v>
      </c>
      <c r="AD31" s="2">
        <f t="shared" si="5"/>
        <v>614.98296006091186</v>
      </c>
      <c r="AE31" s="2">
        <f t="shared" si="6"/>
        <v>109.94154948072814</v>
      </c>
      <c r="AF31" s="2">
        <f t="shared" si="7"/>
        <v>953.2887852688317</v>
      </c>
    </row>
    <row r="32" spans="1:32">
      <c r="A32" s="1" t="s">
        <v>64</v>
      </c>
      <c r="B32" s="4">
        <v>6.672177231893154</v>
      </c>
      <c r="C32" s="3">
        <v>59.154596221570799</v>
      </c>
      <c r="D32" s="3">
        <v>21.356837659425601</v>
      </c>
      <c r="E32" s="4">
        <v>1.6917526204170199</v>
      </c>
      <c r="F32" s="2">
        <v>1390.0571551896901</v>
      </c>
      <c r="G32" s="4">
        <v>3.3349843994889299</v>
      </c>
      <c r="H32" s="2">
        <v>346.399458719591</v>
      </c>
      <c r="I32" s="3">
        <v>17.597082189810902</v>
      </c>
      <c r="J32" s="4">
        <v>7.6831964310915204</v>
      </c>
      <c r="K32" s="4">
        <v>9.2168602512222595</v>
      </c>
      <c r="L32" s="8">
        <v>0.45821463950482</v>
      </c>
      <c r="M32" s="4">
        <v>8.58400264107647</v>
      </c>
      <c r="N32" s="3">
        <v>23.9573448454397</v>
      </c>
      <c r="O32" s="2">
        <v>5013.21380289844</v>
      </c>
      <c r="P32" s="5">
        <v>584.07675652956698</v>
      </c>
      <c r="Q32" s="4">
        <v>0.20034740359117201</v>
      </c>
      <c r="R32" s="4">
        <v>13.098896678004399</v>
      </c>
      <c r="S32" s="4" t="s">
        <v>36</v>
      </c>
      <c r="T32" s="4">
        <v>6.4609976566408296</v>
      </c>
      <c r="U32" s="4">
        <v>8.68218898038811E-2</v>
      </c>
      <c r="V32" s="4" t="s">
        <v>36</v>
      </c>
      <c r="W32" s="4">
        <v>4.4937592194837697</v>
      </c>
      <c r="X32" s="4">
        <v>17.980141421954801</v>
      </c>
      <c r="Y32" s="12">
        <f t="shared" si="0"/>
        <v>0.50727452298615627</v>
      </c>
      <c r="Z32" s="5">
        <f t="shared" si="1"/>
        <v>930.47621524915803</v>
      </c>
      <c r="AA32" s="2">
        <f t="shared" si="2"/>
        <v>658267.73453463952</v>
      </c>
      <c r="AB32" s="5">
        <f t="shared" si="3"/>
        <v>363.99654090940192</v>
      </c>
      <c r="AC32" s="2">
        <f t="shared" si="4"/>
        <v>68111.82947412123</v>
      </c>
      <c r="AD32" s="2">
        <f t="shared" si="5"/>
        <v>608.03410137500668</v>
      </c>
      <c r="AE32" s="2">
        <f t="shared" si="6"/>
        <v>117.99735368830663</v>
      </c>
      <c r="AF32" s="2">
        <f t="shared" si="7"/>
        <v>938.1594116802496</v>
      </c>
    </row>
    <row r="33" spans="1:32">
      <c r="A33" s="1" t="s">
        <v>65</v>
      </c>
      <c r="B33" s="4">
        <v>7.480220305974437</v>
      </c>
      <c r="C33" s="3">
        <v>58.170014364935298</v>
      </c>
      <c r="D33" s="3">
        <v>22.770567388059899</v>
      </c>
      <c r="E33" s="4">
        <v>2.7956274666448602</v>
      </c>
      <c r="F33" s="2">
        <v>1503.8991545571801</v>
      </c>
      <c r="G33" s="4">
        <v>3.4538448540716402</v>
      </c>
      <c r="H33" s="2">
        <v>1118.9265394281799</v>
      </c>
      <c r="I33" s="3">
        <v>14.1248891253623</v>
      </c>
      <c r="J33" s="3">
        <v>86.318666146798904</v>
      </c>
      <c r="K33" s="4">
        <v>5.4261609548462797</v>
      </c>
      <c r="L33" s="8">
        <v>0.149519127107652</v>
      </c>
      <c r="M33" s="4">
        <v>7.1798304971911504</v>
      </c>
      <c r="N33" s="3">
        <v>23.909645964648401</v>
      </c>
      <c r="O33" s="2">
        <v>5281.42130554699</v>
      </c>
      <c r="P33" s="5">
        <v>618.93737015138504</v>
      </c>
      <c r="Q33" s="4">
        <v>0.190728134904144</v>
      </c>
      <c r="R33" s="4">
        <v>20.9151356793666</v>
      </c>
      <c r="S33" s="4">
        <v>9.0960159487874209E-3</v>
      </c>
      <c r="T33" s="4">
        <v>4.4688964618174802</v>
      </c>
      <c r="U33" s="4">
        <v>8.4191153121040405E-2</v>
      </c>
      <c r="V33" s="4">
        <v>0.66939876342052795</v>
      </c>
      <c r="W33" s="4">
        <v>8.3595137452113004</v>
      </c>
      <c r="X33" s="4">
        <v>15.0143874048503</v>
      </c>
      <c r="Y33" s="12">
        <f t="shared" si="0"/>
        <v>0.80942473815787463</v>
      </c>
      <c r="Z33" s="5">
        <f t="shared" si="1"/>
        <v>1737.863909579565</v>
      </c>
      <c r="AA33" s="2">
        <f t="shared" si="2"/>
        <v>656502.34670909727</v>
      </c>
      <c r="AB33" s="5">
        <f t="shared" si="3"/>
        <v>1133.0514285535421</v>
      </c>
      <c r="AC33" s="2">
        <f t="shared" si="4"/>
        <v>76306.102214301543</v>
      </c>
      <c r="AD33" s="2">
        <f t="shared" si="5"/>
        <v>642.84701611603339</v>
      </c>
      <c r="AE33" s="2">
        <f t="shared" si="6"/>
        <v>110.14083330909482</v>
      </c>
      <c r="AF33" s="2">
        <f t="shared" si="7"/>
        <v>1824.1825757263639</v>
      </c>
    </row>
    <row r="34" spans="1:32">
      <c r="A34" s="1" t="s">
        <v>66</v>
      </c>
      <c r="B34" s="4">
        <v>6.8709942105154642</v>
      </c>
      <c r="C34" s="3">
        <v>58.507512152034195</v>
      </c>
      <c r="D34" s="3">
        <v>34.402231085173902</v>
      </c>
      <c r="E34" s="4">
        <v>2.2024989922296898</v>
      </c>
      <c r="F34" s="2">
        <v>1556.5731777497699</v>
      </c>
      <c r="G34" s="4">
        <v>2.5867833820571602</v>
      </c>
      <c r="H34" s="2">
        <v>4563.9590961532904</v>
      </c>
      <c r="I34" s="3">
        <v>16.6774366808542</v>
      </c>
      <c r="J34" s="3">
        <v>12.332141237500601</v>
      </c>
      <c r="K34" s="4">
        <v>3.6870687250039098</v>
      </c>
      <c r="L34" s="8">
        <v>7.1964641209823196E-2</v>
      </c>
      <c r="M34" s="4">
        <v>4.5448418610727099</v>
      </c>
      <c r="N34" s="3">
        <v>20.407479402331401</v>
      </c>
      <c r="O34" s="2">
        <v>4907.9040460406204</v>
      </c>
      <c r="P34" s="5">
        <v>581.01556388839003</v>
      </c>
      <c r="Q34" s="4">
        <v>0.69918454486517301</v>
      </c>
      <c r="R34" s="4" t="s">
        <v>36</v>
      </c>
      <c r="S34" s="4">
        <v>3.5544948985739102E-3</v>
      </c>
      <c r="T34" s="4">
        <v>0.86899442468489596</v>
      </c>
      <c r="U34" s="4">
        <v>5.5558400163379998E-2</v>
      </c>
      <c r="V34" s="4">
        <v>0.246647967349956</v>
      </c>
      <c r="W34" s="4" t="s">
        <v>36</v>
      </c>
      <c r="X34" s="4" t="s">
        <v>36</v>
      </c>
      <c r="Y34" s="12">
        <f t="shared" si="0"/>
        <v>0.85144315040331475</v>
      </c>
      <c r="Z34" s="5">
        <f t="shared" si="1"/>
        <v>5144.9746600416802</v>
      </c>
      <c r="AA34" s="2">
        <f t="shared" si="2"/>
        <v>653785.06362549658</v>
      </c>
      <c r="AB34" s="5">
        <f t="shared" si="3"/>
        <v>4580.6365328341444</v>
      </c>
      <c r="AC34" s="2">
        <f t="shared" si="4"/>
        <v>70266.515282904409</v>
      </c>
      <c r="AD34" s="2">
        <f t="shared" si="5"/>
        <v>601.42304329072147</v>
      </c>
      <c r="AE34" s="2">
        <f t="shared" si="6"/>
        <v>119.21079060059104</v>
      </c>
      <c r="AF34" s="2">
        <f t="shared" si="7"/>
        <v>5157.3068012791809</v>
      </c>
    </row>
    <row r="35" spans="1:32">
      <c r="A35" s="1" t="s">
        <v>67</v>
      </c>
      <c r="B35" s="4">
        <v>6.5793470416243824</v>
      </c>
      <c r="C35" s="3">
        <v>58.9986066172346</v>
      </c>
      <c r="D35" s="3">
        <v>43.6907732010201</v>
      </c>
      <c r="E35" s="4">
        <v>1.90861169894986</v>
      </c>
      <c r="F35" s="2">
        <v>1347.67070367581</v>
      </c>
      <c r="G35" s="4">
        <v>2.5863038956910098</v>
      </c>
      <c r="H35" s="2">
        <v>2222.1320437664199</v>
      </c>
      <c r="I35" s="3">
        <v>39.779721776611602</v>
      </c>
      <c r="J35" s="3">
        <v>22.173318717635102</v>
      </c>
      <c r="K35" s="4">
        <v>16.374003006430701</v>
      </c>
      <c r="L35" s="8">
        <v>7.9304811681090506E-2</v>
      </c>
      <c r="M35" s="3">
        <v>21.771175220596401</v>
      </c>
      <c r="N35" s="3">
        <v>21.152497303196501</v>
      </c>
      <c r="O35" s="2">
        <v>5261.3096238750104</v>
      </c>
      <c r="P35" s="5">
        <v>815.137888589054</v>
      </c>
      <c r="Q35" s="4">
        <v>0.755795501946672</v>
      </c>
      <c r="R35" s="4" t="s">
        <v>36</v>
      </c>
      <c r="S35" s="4">
        <v>9.0352059683227806E-2</v>
      </c>
      <c r="T35" s="4">
        <v>2.2393887361915699</v>
      </c>
      <c r="U35" s="4">
        <v>30.234009418672901</v>
      </c>
      <c r="V35" s="4">
        <v>12.381853498924499</v>
      </c>
      <c r="W35" s="4">
        <v>12.245103910454301</v>
      </c>
      <c r="X35" s="4">
        <v>1.7035834071242699</v>
      </c>
      <c r="Y35" s="12">
        <f t="shared" si="0"/>
        <v>0.73796884508806582</v>
      </c>
      <c r="Z35" s="5">
        <f t="shared" si="1"/>
        <v>3037.2699323554739</v>
      </c>
      <c r="AA35" s="2">
        <f t="shared" si="2"/>
        <v>655779.53658858989</v>
      </c>
      <c r="AB35" s="5">
        <f t="shared" si="3"/>
        <v>2261.9117655430314</v>
      </c>
      <c r="AC35" s="2">
        <f t="shared" si="4"/>
        <v>67141.141119919645</v>
      </c>
      <c r="AD35" s="2">
        <f t="shared" si="5"/>
        <v>836.29038589225047</v>
      </c>
      <c r="AE35" s="2">
        <f t="shared" si="6"/>
        <v>112.13673179298941</v>
      </c>
      <c r="AF35" s="2">
        <f t="shared" si="7"/>
        <v>3059.443251073109</v>
      </c>
    </row>
    <row r="36" spans="1:32">
      <c r="A36" s="1" t="s">
        <v>68</v>
      </c>
      <c r="B36" s="4">
        <v>6.7395919008260172</v>
      </c>
      <c r="C36" s="3">
        <v>58.949390452241396</v>
      </c>
      <c r="D36" s="3">
        <v>10.624470473357199</v>
      </c>
      <c r="E36" s="4">
        <v>2.7228643314804599</v>
      </c>
      <c r="F36" s="2">
        <v>1519.18449531138</v>
      </c>
      <c r="G36" s="4">
        <v>2.5163780794798698</v>
      </c>
      <c r="H36" s="2">
        <v>1065.98020914424</v>
      </c>
      <c r="I36" s="3">
        <v>41.671587073442403</v>
      </c>
      <c r="J36" s="3">
        <v>12.8727721963617</v>
      </c>
      <c r="K36" s="4">
        <v>14.455066908875599</v>
      </c>
      <c r="L36" s="8">
        <v>9.3319320869816993E-2</v>
      </c>
      <c r="M36" s="3">
        <v>20.7354830607206</v>
      </c>
      <c r="N36" s="3">
        <v>15.662495901480399</v>
      </c>
      <c r="O36" s="2">
        <v>5186.8019892214797</v>
      </c>
      <c r="P36" s="5">
        <v>812.10729639188696</v>
      </c>
      <c r="Q36" s="4">
        <v>1.04935535833842E-2</v>
      </c>
      <c r="R36" s="4" t="s">
        <v>36</v>
      </c>
      <c r="S36" s="4">
        <v>4.0405164946175701E-2</v>
      </c>
      <c r="T36" s="4">
        <v>2.4179640976566801</v>
      </c>
      <c r="U36" s="4">
        <v>0.19623142035746299</v>
      </c>
      <c r="V36" s="4">
        <v>5.2779786619985197E-2</v>
      </c>
      <c r="W36" s="4">
        <v>0.81167727579764704</v>
      </c>
      <c r="X36" s="4">
        <v>18.390267080522701</v>
      </c>
      <c r="Y36" s="12">
        <f t="shared" si="0"/>
        <v>1.0820569268522917</v>
      </c>
      <c r="Z36" s="5">
        <f t="shared" si="1"/>
        <v>1878.0875055361271</v>
      </c>
      <c r="AA36" s="2">
        <f t="shared" si="2"/>
        <v>656889.8235306741</v>
      </c>
      <c r="AB36" s="5">
        <f t="shared" si="3"/>
        <v>1107.6517962176824</v>
      </c>
      <c r="AC36" s="2">
        <f t="shared" si="4"/>
        <v>68915.103503571547</v>
      </c>
      <c r="AD36" s="2">
        <f t="shared" si="5"/>
        <v>827.76979229336735</v>
      </c>
      <c r="AE36" s="2">
        <f t="shared" si="6"/>
        <v>113.65267186744772</v>
      </c>
      <c r="AF36" s="2">
        <f t="shared" si="7"/>
        <v>1890.9602777324887</v>
      </c>
    </row>
    <row r="37" spans="1:32">
      <c r="A37" s="1" t="s">
        <v>69</v>
      </c>
      <c r="B37" s="4">
        <v>7.623848045778554</v>
      </c>
      <c r="C37" s="3">
        <v>57.913217926241202</v>
      </c>
      <c r="D37" s="3">
        <v>50.861180354590097</v>
      </c>
      <c r="E37" s="4">
        <v>2.0125819365465998</v>
      </c>
      <c r="F37" s="2">
        <v>1432.6607252767201</v>
      </c>
      <c r="G37" s="4">
        <v>1.92873425020246</v>
      </c>
      <c r="H37" s="2">
        <v>1223.54189541343</v>
      </c>
      <c r="I37" s="3">
        <v>17.024034399590601</v>
      </c>
      <c r="J37" s="4">
        <v>5.5653253941583101</v>
      </c>
      <c r="K37" s="4">
        <v>2.4021349915697301</v>
      </c>
      <c r="L37" s="8">
        <v>8.8162570739837007E-2</v>
      </c>
      <c r="M37" s="4">
        <v>7.83594553356048</v>
      </c>
      <c r="N37" s="4">
        <v>8.1584236391246705</v>
      </c>
      <c r="O37" s="2">
        <v>5236.7177666049502</v>
      </c>
      <c r="P37" s="5">
        <v>1810.9066769280801</v>
      </c>
      <c r="Q37" s="4">
        <v>0.87520417497649905</v>
      </c>
      <c r="R37" s="4">
        <v>14.5837622342938</v>
      </c>
      <c r="S37" s="4" t="s">
        <v>36</v>
      </c>
      <c r="T37" s="4">
        <v>1.94352699695889</v>
      </c>
      <c r="U37" s="4">
        <v>1.32987171052918</v>
      </c>
      <c r="V37" s="4">
        <v>0.83103583948807302</v>
      </c>
      <c r="W37" s="4">
        <v>6.0280752297535898</v>
      </c>
      <c r="X37" s="4" t="s">
        <v>36</v>
      </c>
      <c r="Y37" s="12">
        <f t="shared" si="0"/>
        <v>1.0434729078593064</v>
      </c>
      <c r="Z37" s="5">
        <f t="shared" si="1"/>
        <v>3034.44857234151</v>
      </c>
      <c r="AA37" s="2">
        <f t="shared" si="2"/>
        <v>655370.65972019755</v>
      </c>
      <c r="AB37" s="5">
        <f t="shared" si="3"/>
        <v>1240.5659298130206</v>
      </c>
      <c r="AC37" s="2">
        <f t="shared" si="4"/>
        <v>77671.141183062253</v>
      </c>
      <c r="AD37" s="2">
        <f t="shared" si="5"/>
        <v>1819.0651005672048</v>
      </c>
      <c r="AE37" s="2">
        <f t="shared" si="6"/>
        <v>110.59068009270869</v>
      </c>
      <c r="AF37" s="2">
        <f t="shared" si="7"/>
        <v>3040.0138977356683</v>
      </c>
    </row>
    <row r="38" spans="1:32">
      <c r="A38" s="1" t="s">
        <v>70</v>
      </c>
      <c r="B38" s="4">
        <v>7.3361177994859359</v>
      </c>
      <c r="C38" s="3">
        <v>58.284369358582097</v>
      </c>
      <c r="D38" s="3">
        <v>36.495390463113402</v>
      </c>
      <c r="E38" s="4">
        <v>2.2980406034913399</v>
      </c>
      <c r="F38" s="2">
        <v>1421.60877691462</v>
      </c>
      <c r="G38" s="4">
        <v>1.9730322382716801</v>
      </c>
      <c r="H38" s="2">
        <v>857.62694010102905</v>
      </c>
      <c r="I38" s="3">
        <v>11.7466579229683</v>
      </c>
      <c r="J38" s="4">
        <v>4.2969948475538802</v>
      </c>
      <c r="K38" s="4">
        <v>1.7230230092005201</v>
      </c>
      <c r="L38" s="8">
        <v>4.3853491756697699E-2</v>
      </c>
      <c r="M38" s="4">
        <v>4.3844998866009099</v>
      </c>
      <c r="N38" s="4">
        <v>9.2382406855281598</v>
      </c>
      <c r="O38" s="2">
        <v>5325.23907005416</v>
      </c>
      <c r="P38" s="5">
        <v>1606.2688640240599</v>
      </c>
      <c r="Q38" s="4">
        <v>0.63361296012511104</v>
      </c>
      <c r="R38" s="4">
        <v>17.475706637140998</v>
      </c>
      <c r="S38" s="4" t="s">
        <v>36</v>
      </c>
      <c r="T38" s="4">
        <v>9.49093676663922E-2</v>
      </c>
      <c r="U38" s="4">
        <v>3.0197305930155498E-3</v>
      </c>
      <c r="V38" s="4">
        <v>0.50490626621566603</v>
      </c>
      <c r="W38" s="4" t="s">
        <v>36</v>
      </c>
      <c r="X38" s="4" t="s">
        <v>36</v>
      </c>
      <c r="Y38" s="12">
        <f t="shared" si="0"/>
        <v>1.1647253191890863</v>
      </c>
      <c r="Z38" s="5">
        <f t="shared" si="1"/>
        <v>2463.8958041250889</v>
      </c>
      <c r="AA38" s="2">
        <f t="shared" si="2"/>
        <v>656204.87158068037</v>
      </c>
      <c r="AB38" s="5">
        <f t="shared" si="3"/>
        <v>869.37359802399737</v>
      </c>
      <c r="AC38" s="2">
        <f t="shared" si="4"/>
        <v>74782.786771773986</v>
      </c>
      <c r="AD38" s="2">
        <f t="shared" si="5"/>
        <v>1615.507104709588</v>
      </c>
      <c r="AE38" s="2">
        <f t="shared" si="6"/>
        <v>109.44930094563682</v>
      </c>
      <c r="AF38" s="2">
        <f t="shared" si="7"/>
        <v>2468.1927989726428</v>
      </c>
    </row>
    <row r="39" spans="1:32">
      <c r="A39" s="1" t="s">
        <v>71</v>
      </c>
      <c r="B39" s="4">
        <v>7.5001966142664269</v>
      </c>
      <c r="C39" s="3">
        <v>58.012663768641502</v>
      </c>
      <c r="D39" s="3">
        <v>41.587355990297098</v>
      </c>
      <c r="E39" s="4">
        <v>1.9580924918259901</v>
      </c>
      <c r="F39" s="2">
        <v>1867.61513680646</v>
      </c>
      <c r="G39" s="4">
        <v>3.9036559330153202</v>
      </c>
      <c r="H39" s="2">
        <v>2182.0145196908802</v>
      </c>
      <c r="I39" s="3">
        <v>10.8920314181997</v>
      </c>
      <c r="J39" s="3">
        <v>73.780608572593806</v>
      </c>
      <c r="K39" s="4">
        <v>0.12150942143372299</v>
      </c>
      <c r="L39" s="8">
        <v>0.20993414663917501</v>
      </c>
      <c r="M39" s="8">
        <v>0.44455690141541798</v>
      </c>
      <c r="N39" s="3">
        <v>13.436204930110801</v>
      </c>
      <c r="O39" s="2">
        <v>4930.4673464514699</v>
      </c>
      <c r="P39" s="5">
        <v>1025.5050189951901</v>
      </c>
      <c r="Q39" s="4" t="s">
        <v>36</v>
      </c>
      <c r="R39" s="4">
        <v>29.102577235843999</v>
      </c>
      <c r="S39" s="4">
        <v>2.9522504987042398E-3</v>
      </c>
      <c r="T39" s="4" t="s">
        <v>36</v>
      </c>
      <c r="U39" s="4" t="s">
        <v>36</v>
      </c>
      <c r="V39" s="4">
        <v>8.9694938001384297E-2</v>
      </c>
      <c r="W39" s="4" t="s">
        <v>36</v>
      </c>
      <c r="X39" s="4">
        <v>30.560743044629199</v>
      </c>
      <c r="Y39" s="12">
        <f t="shared" si="0"/>
        <v>0.5016047841884187</v>
      </c>
      <c r="Z39" s="5">
        <f t="shared" si="1"/>
        <v>3207.5195386860705</v>
      </c>
      <c r="AA39" s="2">
        <f t="shared" si="2"/>
        <v>655128.60382907931</v>
      </c>
      <c r="AB39" s="5">
        <f t="shared" si="3"/>
        <v>2192.9065511090798</v>
      </c>
      <c r="AC39" s="2">
        <f t="shared" si="4"/>
        <v>76869.581279470731</v>
      </c>
      <c r="AD39" s="2">
        <f t="shared" si="5"/>
        <v>1038.9412239253008</v>
      </c>
      <c r="AE39" s="2">
        <f t="shared" si="6"/>
        <v>117.66159208090906</v>
      </c>
      <c r="AF39" s="2">
        <f t="shared" si="7"/>
        <v>3281.3001472586643</v>
      </c>
    </row>
    <row r="40" spans="1:32">
      <c r="A40" s="1" t="s">
        <v>72</v>
      </c>
      <c r="B40" s="4">
        <v>6.7718026481926543</v>
      </c>
      <c r="C40" s="3">
        <v>58.4589684699271</v>
      </c>
      <c r="D40" s="3">
        <v>38.846968265096599</v>
      </c>
      <c r="E40" s="4">
        <v>2.4966761686565699</v>
      </c>
      <c r="F40" s="2">
        <v>1174.3366382059601</v>
      </c>
      <c r="G40" s="4">
        <v>3.2617790302092202</v>
      </c>
      <c r="H40" s="2">
        <v>5890.6462935469799</v>
      </c>
      <c r="I40" s="3">
        <v>25.161492963311598</v>
      </c>
      <c r="J40" s="3">
        <v>20.958138195153101</v>
      </c>
      <c r="K40" s="4">
        <v>6.0415365541220298</v>
      </c>
      <c r="L40" s="8">
        <v>7.7630496595156903E-2</v>
      </c>
      <c r="M40" s="4">
        <v>9.9815542098971797</v>
      </c>
      <c r="N40" s="4">
        <v>8.6356311754134101</v>
      </c>
      <c r="O40" s="2">
        <v>5362.4569221798201</v>
      </c>
      <c r="P40" s="5">
        <v>643.76023815077895</v>
      </c>
      <c r="Q40" s="4" t="s">
        <v>36</v>
      </c>
      <c r="R40" s="4" t="s">
        <v>36</v>
      </c>
      <c r="S40" s="4">
        <v>2.58197593328242E-2</v>
      </c>
      <c r="T40" s="4">
        <v>0.19634843386384801</v>
      </c>
      <c r="U40" s="4">
        <v>0.103150672341945</v>
      </c>
      <c r="V40" s="4">
        <v>0.112049890808889</v>
      </c>
      <c r="W40" s="4" t="s">
        <v>36</v>
      </c>
      <c r="X40" s="4" t="s">
        <v>36</v>
      </c>
      <c r="Y40" s="12">
        <f t="shared" si="0"/>
        <v>0.76543387689153963</v>
      </c>
      <c r="Z40" s="5">
        <f t="shared" si="1"/>
        <v>6534.4065316977585</v>
      </c>
      <c r="AA40" s="2">
        <f t="shared" si="2"/>
        <v>652307.71118119755</v>
      </c>
      <c r="AB40" s="5">
        <f t="shared" si="3"/>
        <v>5915.8077865102914</v>
      </c>
      <c r="AC40" s="2">
        <f t="shared" si="4"/>
        <v>68892.363120132504</v>
      </c>
      <c r="AD40" s="2">
        <f t="shared" si="5"/>
        <v>652.39586932619238</v>
      </c>
      <c r="AE40" s="2">
        <f t="shared" si="6"/>
        <v>109.01526915420652</v>
      </c>
      <c r="AF40" s="2">
        <f t="shared" si="7"/>
        <v>6555.3646698929115</v>
      </c>
    </row>
    <row r="41" spans="1:32">
      <c r="A41" s="1" t="s">
        <v>73</v>
      </c>
      <c r="B41" s="4">
        <v>7.2748198479145012</v>
      </c>
      <c r="C41" s="3">
        <v>58.077759751810405</v>
      </c>
      <c r="D41" s="3">
        <v>22.2312811926557</v>
      </c>
      <c r="E41" s="4">
        <v>2.1094903643519101</v>
      </c>
      <c r="F41" s="2">
        <v>1792.71866239837</v>
      </c>
      <c r="G41" s="4">
        <v>3.25896168925019</v>
      </c>
      <c r="H41" s="2">
        <v>3647.9202215792102</v>
      </c>
      <c r="I41" s="3">
        <v>15.584945973736801</v>
      </c>
      <c r="J41" s="3">
        <v>47.670865801888503</v>
      </c>
      <c r="K41" s="4">
        <v>4.4654340350814303</v>
      </c>
      <c r="L41" s="8">
        <v>5.5816261723893798E-2</v>
      </c>
      <c r="M41" s="4">
        <v>2.3667410838987499</v>
      </c>
      <c r="N41" s="4">
        <v>9.7939914141805406</v>
      </c>
      <c r="O41" s="2">
        <v>5608.6730133981901</v>
      </c>
      <c r="P41" s="5">
        <v>636.99333920224399</v>
      </c>
      <c r="Q41" s="4">
        <v>0.72275562602012799</v>
      </c>
      <c r="R41" s="4">
        <v>16.646055189156598</v>
      </c>
      <c r="S41" s="4">
        <v>2.9434453563949001E-2</v>
      </c>
      <c r="T41" s="4" t="s">
        <v>36</v>
      </c>
      <c r="U41" s="4" t="s">
        <v>36</v>
      </c>
      <c r="V41" s="4" t="s">
        <v>36</v>
      </c>
      <c r="W41" s="4" t="s">
        <v>36</v>
      </c>
      <c r="X41" s="4" t="s">
        <v>36</v>
      </c>
      <c r="Y41" s="12">
        <f t="shared" si="0"/>
        <v>0.64728909557609859</v>
      </c>
      <c r="Z41" s="5">
        <f t="shared" si="1"/>
        <v>4284.9135607814542</v>
      </c>
      <c r="AA41" s="2">
        <f t="shared" si="2"/>
        <v>653525.79599724896</v>
      </c>
      <c r="AB41" s="5">
        <f t="shared" si="3"/>
        <v>3663.5051675529471</v>
      </c>
      <c r="AC41" s="2">
        <f t="shared" si="4"/>
        <v>74540.917141543381</v>
      </c>
      <c r="AD41" s="2">
        <f t="shared" si="5"/>
        <v>646.78733061642458</v>
      </c>
      <c r="AE41" s="2">
        <f t="shared" si="6"/>
        <v>103.54991209698312</v>
      </c>
      <c r="AF41" s="2">
        <f t="shared" si="7"/>
        <v>4332.584426583343</v>
      </c>
    </row>
    <row r="42" spans="1:32">
      <c r="A42" s="1" t="s">
        <v>74</v>
      </c>
      <c r="B42" s="4">
        <v>7.1626810804814358</v>
      </c>
      <c r="C42" s="3">
        <v>58.321279992886005</v>
      </c>
      <c r="D42" s="3">
        <v>34.925939181361002</v>
      </c>
      <c r="E42" s="4">
        <v>3.2357912226095702</v>
      </c>
      <c r="F42" s="2">
        <v>1294.47741595963</v>
      </c>
      <c r="G42" s="4">
        <v>2.1130970660266</v>
      </c>
      <c r="H42" s="2">
        <v>2688.4383919635202</v>
      </c>
      <c r="I42" s="3">
        <v>30.247674586475998</v>
      </c>
      <c r="J42" s="3">
        <v>87.041755103555602</v>
      </c>
      <c r="K42" s="4">
        <v>12.1533712090142</v>
      </c>
      <c r="L42" s="8">
        <v>8.9731269224549395E-2</v>
      </c>
      <c r="M42" s="3">
        <v>11.8754456967925</v>
      </c>
      <c r="N42" s="3">
        <v>16.0914030030082</v>
      </c>
      <c r="O42" s="2">
        <v>5772.0119296389803</v>
      </c>
      <c r="P42" s="5">
        <v>579.09328073797099</v>
      </c>
      <c r="Q42" s="4">
        <v>0.786637166853982</v>
      </c>
      <c r="R42" s="4" t="s">
        <v>36</v>
      </c>
      <c r="S42" s="4">
        <v>2.03168447576706E-2</v>
      </c>
      <c r="T42" s="4">
        <v>2.8456830972030098</v>
      </c>
      <c r="U42" s="4">
        <v>26.7456894646159</v>
      </c>
      <c r="V42" s="4">
        <v>18.072632898538899</v>
      </c>
      <c r="W42" s="4">
        <v>5.9982967696764904</v>
      </c>
      <c r="X42" s="4" t="s">
        <v>36</v>
      </c>
      <c r="Y42" s="12">
        <f t="shared" si="0"/>
        <v>1.531302690554603</v>
      </c>
      <c r="Z42" s="5">
        <f t="shared" si="1"/>
        <v>3267.5316727014911</v>
      </c>
      <c r="AA42" s="2">
        <f t="shared" si="2"/>
        <v>654839.61073367437</v>
      </c>
      <c r="AB42" s="5">
        <f t="shared" si="3"/>
        <v>2718.6860665499962</v>
      </c>
      <c r="AC42" s="2">
        <f t="shared" si="4"/>
        <v>72921.288220773989</v>
      </c>
      <c r="AD42" s="2">
        <f t="shared" si="5"/>
        <v>595.18468374097915</v>
      </c>
      <c r="AE42" s="2">
        <f t="shared" si="6"/>
        <v>101.04150979558665</v>
      </c>
      <c r="AF42" s="2">
        <f t="shared" si="7"/>
        <v>3354.5734278050468</v>
      </c>
    </row>
    <row r="43" spans="1:32">
      <c r="A43" s="1" t="s">
        <v>75</v>
      </c>
      <c r="B43" s="4">
        <v>7.3048923262238006</v>
      </c>
      <c r="C43" s="3">
        <v>58.109993567637503</v>
      </c>
      <c r="D43" s="3">
        <v>35.695454137481399</v>
      </c>
      <c r="E43" s="4">
        <v>2.4439861622347898</v>
      </c>
      <c r="F43" s="2">
        <v>1187.4677633823701</v>
      </c>
      <c r="G43" s="4">
        <v>2.4235574841865901</v>
      </c>
      <c r="H43" s="2">
        <v>3734.8787003807602</v>
      </c>
      <c r="I43" s="3">
        <v>27.543706640770701</v>
      </c>
      <c r="J43" s="3">
        <v>25.524995822692699</v>
      </c>
      <c r="K43" s="4">
        <v>8.2489897517444302</v>
      </c>
      <c r="L43" s="8">
        <v>5.42833630615321E-2</v>
      </c>
      <c r="M43" s="4">
        <v>8.0476200350519296</v>
      </c>
      <c r="N43" s="3">
        <v>13.1217781731914</v>
      </c>
      <c r="O43" s="2">
        <v>6022.9837630984202</v>
      </c>
      <c r="P43" s="5">
        <v>583.80745535623998</v>
      </c>
      <c r="Q43" s="4">
        <v>7.53893009437024E-2</v>
      </c>
      <c r="R43" s="4" t="s">
        <v>36</v>
      </c>
      <c r="S43" s="4">
        <v>2.5715368765057301E-2</v>
      </c>
      <c r="T43" s="4">
        <v>7.7218454255260802</v>
      </c>
      <c r="U43" s="4">
        <v>3.8219748815166001</v>
      </c>
      <c r="V43" s="4">
        <v>1.9303670717842101</v>
      </c>
      <c r="W43" s="4">
        <v>16.606287849038701</v>
      </c>
      <c r="X43" s="4" t="s">
        <v>36</v>
      </c>
      <c r="Y43" s="12">
        <f t="shared" si="0"/>
        <v>1.0084292112654618</v>
      </c>
      <c r="Z43" s="5">
        <f t="shared" si="1"/>
        <v>4318.6861557370003</v>
      </c>
      <c r="AA43" s="2">
        <f t="shared" si="2"/>
        <v>654148.85893861309</v>
      </c>
      <c r="AB43" s="5">
        <f t="shared" si="3"/>
        <v>3762.4224070215309</v>
      </c>
      <c r="AC43" s="2">
        <f t="shared" si="4"/>
        <v>74236.391025620382</v>
      </c>
      <c r="AD43" s="2">
        <f t="shared" si="5"/>
        <v>596.92923352943137</v>
      </c>
      <c r="AE43" s="2">
        <f t="shared" si="6"/>
        <v>96.480408802802117</v>
      </c>
      <c r="AF43" s="2">
        <f t="shared" si="7"/>
        <v>4344.2111515596926</v>
      </c>
    </row>
    <row r="44" spans="1:32">
      <c r="B44" s="4">
        <v>0</v>
      </c>
      <c r="C44" s="3">
        <v>0</v>
      </c>
      <c r="D44" s="3"/>
      <c r="E44" s="4"/>
      <c r="F44" s="2"/>
      <c r="G44" s="4"/>
      <c r="H44" s="2"/>
      <c r="I44" s="3"/>
      <c r="J44" s="3"/>
      <c r="K44" s="4"/>
      <c r="L44" s="8"/>
      <c r="M44" s="4"/>
      <c r="N44" s="3"/>
      <c r="O44" s="2"/>
      <c r="P44" s="5"/>
      <c r="Q44" s="4"/>
      <c r="R44" s="4"/>
      <c r="S44" s="4"/>
      <c r="T44" s="4"/>
      <c r="U44" s="4"/>
      <c r="V44" s="4"/>
      <c r="W44" s="4"/>
      <c r="X44" s="4"/>
      <c r="Y44" s="12"/>
      <c r="Z44" s="5"/>
      <c r="AA44" s="2"/>
      <c r="AB44" s="5"/>
      <c r="AC44" s="2"/>
      <c r="AD44" s="2"/>
      <c r="AE44" s="2"/>
      <c r="AF44" s="2"/>
    </row>
    <row r="45" spans="1:32">
      <c r="A45" s="1" t="s">
        <v>76</v>
      </c>
      <c r="B45" s="4">
        <v>6.8100054469424096</v>
      </c>
      <c r="C45" s="3">
        <v>58.8704685056965</v>
      </c>
      <c r="D45" s="3">
        <v>39.817726729763201</v>
      </c>
      <c r="E45" s="4">
        <v>3.79969303354288</v>
      </c>
      <c r="F45" s="2">
        <v>178.37122213216799</v>
      </c>
      <c r="G45" s="4">
        <v>1.1420597320278401</v>
      </c>
      <c r="H45" s="2">
        <v>321.78182723834101</v>
      </c>
      <c r="I45" s="3">
        <v>44.6469875623674</v>
      </c>
      <c r="J45" s="3">
        <v>21.435193999394599</v>
      </c>
      <c r="K45" s="4">
        <v>4.6255793611297404</v>
      </c>
      <c r="L45" s="3">
        <v>18.773120965498901</v>
      </c>
      <c r="M45" s="3">
        <v>47.021553845936097</v>
      </c>
      <c r="N45" s="3">
        <v>23.551947747738001</v>
      </c>
      <c r="O45" s="2">
        <v>3933.72042000069</v>
      </c>
      <c r="P45" s="5">
        <v>564.785051403323</v>
      </c>
      <c r="Q45" s="4">
        <v>9.1806880985093407E-3</v>
      </c>
      <c r="R45" s="4">
        <v>10.4680495452019</v>
      </c>
      <c r="S45" s="4">
        <v>2.7414787625172E-2</v>
      </c>
      <c r="T45" s="4">
        <v>72.051476266663997</v>
      </c>
      <c r="U45" s="4">
        <v>62.565243344278201</v>
      </c>
      <c r="V45" s="4">
        <v>664.86265919852099</v>
      </c>
      <c r="W45" s="4">
        <v>4.8607759900158598</v>
      </c>
      <c r="X45" s="4">
        <v>3.3685000879608999</v>
      </c>
      <c r="Y45" s="12">
        <f t="shared" si="0"/>
        <v>3.3270528037935012</v>
      </c>
      <c r="Z45" s="5">
        <f t="shared" si="1"/>
        <v>886.56687864166406</v>
      </c>
      <c r="AA45" s="2">
        <f t="shared" si="2"/>
        <v>656804.73952638905</v>
      </c>
      <c r="AB45" s="5">
        <f t="shared" si="3"/>
        <v>366.42881480070844</v>
      </c>
      <c r="AC45" s="2">
        <f t="shared" si="4"/>
        <v>68278.425691556258</v>
      </c>
      <c r="AD45" s="2">
        <f t="shared" si="5"/>
        <v>588.33699915106104</v>
      </c>
      <c r="AE45" s="2">
        <f t="shared" si="6"/>
        <v>149.65595472005143</v>
      </c>
      <c r="AF45" s="2">
        <f t="shared" si="7"/>
        <v>908.0020726410587</v>
      </c>
    </row>
    <row r="46" spans="1:32">
      <c r="A46" s="1" t="s">
        <v>77</v>
      </c>
      <c r="B46" s="4">
        <v>7.1410442678399999</v>
      </c>
      <c r="C46" s="3">
        <v>58.8696797951146</v>
      </c>
      <c r="D46" s="3">
        <v>39.145768196049602</v>
      </c>
      <c r="E46" s="4">
        <v>3.0790243983266401</v>
      </c>
      <c r="F46" s="2">
        <v>266.17688660837001</v>
      </c>
      <c r="G46" s="4">
        <v>7.32180620888776</v>
      </c>
      <c r="H46" s="2">
        <v>630.84104123252303</v>
      </c>
      <c r="I46" s="3">
        <v>86.099276569162996</v>
      </c>
      <c r="J46" s="3">
        <v>22.933654999283601</v>
      </c>
      <c r="K46" s="4">
        <v>5.9744125590461996</v>
      </c>
      <c r="L46" s="3">
        <v>18.638262992929601</v>
      </c>
      <c r="M46" s="3">
        <v>64.484765438069005</v>
      </c>
      <c r="N46" s="4">
        <v>4.2869024547806696</v>
      </c>
      <c r="O46" s="2">
        <v>3625.4236887249999</v>
      </c>
      <c r="P46" s="5">
        <v>382.562031293865</v>
      </c>
      <c r="Q46" s="4">
        <v>0.173130417970385</v>
      </c>
      <c r="R46" s="4">
        <v>3.5572987923339099</v>
      </c>
      <c r="S46" s="4">
        <v>6.7626276090341705E-2</v>
      </c>
      <c r="T46" s="4">
        <v>3.5558101576510301</v>
      </c>
      <c r="U46" s="4">
        <v>16.824649471508401</v>
      </c>
      <c r="V46" s="4">
        <v>1.4858669712203401</v>
      </c>
      <c r="W46" s="4">
        <v>8.50372892318601</v>
      </c>
      <c r="X46" s="4">
        <v>41.268684001808097</v>
      </c>
      <c r="Y46" s="12">
        <f t="shared" si="0"/>
        <v>0.420527983189324</v>
      </c>
      <c r="Z46" s="5">
        <f t="shared" si="1"/>
        <v>1013.4030725263881</v>
      </c>
      <c r="AA46" s="2">
        <f t="shared" si="2"/>
        <v>660107.240629546</v>
      </c>
      <c r="AB46" s="5">
        <f t="shared" si="3"/>
        <v>716.94031780168598</v>
      </c>
      <c r="AC46" s="2">
        <f t="shared" si="4"/>
        <v>71676.619565008368</v>
      </c>
      <c r="AD46" s="2">
        <f t="shared" si="5"/>
        <v>386.84893374864566</v>
      </c>
      <c r="AE46" s="2">
        <f t="shared" si="6"/>
        <v>162.38013774279185</v>
      </c>
      <c r="AF46" s="2">
        <f t="shared" si="7"/>
        <v>1036.3367275256717</v>
      </c>
    </row>
    <row r="47" spans="1:32">
      <c r="A47" s="1" t="s">
        <v>78</v>
      </c>
      <c r="B47" s="4">
        <v>8.1181901888641264</v>
      </c>
      <c r="C47" s="3">
        <v>57.723614846610104</v>
      </c>
      <c r="D47" s="3">
        <v>48.995826902441898</v>
      </c>
      <c r="E47" s="4">
        <v>3.2518637158374402</v>
      </c>
      <c r="F47" s="2">
        <v>425.31571805687798</v>
      </c>
      <c r="G47" s="4">
        <v>7.3173458990782096</v>
      </c>
      <c r="H47" s="2">
        <v>1666.7360172757799</v>
      </c>
      <c r="I47" s="3">
        <v>74.119651252251998</v>
      </c>
      <c r="J47" s="3">
        <v>72.568144164346194</v>
      </c>
      <c r="K47" s="4">
        <v>2.22043165265766</v>
      </c>
      <c r="L47" s="4">
        <v>7.7093409139835796</v>
      </c>
      <c r="M47" s="3">
        <v>43.431271717764602</v>
      </c>
      <c r="N47" s="4">
        <v>8.4139777284151798</v>
      </c>
      <c r="O47" s="2">
        <v>3270.7047652824899</v>
      </c>
      <c r="P47" s="5">
        <v>392.13278801814101</v>
      </c>
      <c r="Q47" s="4">
        <v>0.93230796965655005</v>
      </c>
      <c r="R47" s="4" t="s">
        <v>36</v>
      </c>
      <c r="S47" s="4">
        <v>0.20214524338640899</v>
      </c>
      <c r="T47" s="4">
        <v>24.773512570303801</v>
      </c>
      <c r="U47" s="4">
        <v>36.561843158269099</v>
      </c>
      <c r="V47" s="4">
        <v>16.239244416734799</v>
      </c>
      <c r="W47" s="4">
        <v>27.245154969565199</v>
      </c>
      <c r="X47" s="4" t="s">
        <v>36</v>
      </c>
      <c r="Y47" s="12">
        <f t="shared" si="0"/>
        <v>0.44440481025327616</v>
      </c>
      <c r="Z47" s="5">
        <f t="shared" si="1"/>
        <v>2058.868805293921</v>
      </c>
      <c r="AA47" s="2">
        <f t="shared" si="2"/>
        <v>658418.05035474233</v>
      </c>
      <c r="AB47" s="5">
        <f t="shared" si="3"/>
        <v>1740.8556685280319</v>
      </c>
      <c r="AC47" s="2">
        <f t="shared" si="4"/>
        <v>81607.217606698148</v>
      </c>
      <c r="AD47" s="2">
        <f t="shared" si="5"/>
        <v>400.54676574655622</v>
      </c>
      <c r="AE47" s="2">
        <f t="shared" si="6"/>
        <v>176.48677881087971</v>
      </c>
      <c r="AF47" s="2">
        <f t="shared" si="7"/>
        <v>2131.436949458267</v>
      </c>
    </row>
    <row r="48" spans="1:32">
      <c r="A48" s="1" t="s">
        <v>79</v>
      </c>
      <c r="B48" s="4">
        <v>8.3089939349576092</v>
      </c>
      <c r="C48" s="3">
        <v>57.1779212343463</v>
      </c>
      <c r="D48" s="3">
        <v>47.644493967955697</v>
      </c>
      <c r="E48" s="4">
        <v>1.31455965175195</v>
      </c>
      <c r="F48" s="2">
        <v>515.98091444272598</v>
      </c>
      <c r="G48" s="8">
        <v>0.67970636104443105</v>
      </c>
      <c r="H48" s="2">
        <v>3273.60745923994</v>
      </c>
      <c r="I48" s="3">
        <v>80.780163655059098</v>
      </c>
      <c r="J48" s="3">
        <v>26.558977413064198</v>
      </c>
      <c r="K48" s="4">
        <v>3.85964212450732</v>
      </c>
      <c r="L48" s="3">
        <v>14.308888460883599</v>
      </c>
      <c r="M48" s="3">
        <v>31.819310479379499</v>
      </c>
      <c r="N48" s="3">
        <v>43.2241388463761</v>
      </c>
      <c r="O48" s="2">
        <v>3792.6620685913499</v>
      </c>
      <c r="P48" s="5">
        <v>1552.3799711361601</v>
      </c>
      <c r="Q48" s="4">
        <v>0.38633495095382298</v>
      </c>
      <c r="R48" s="4">
        <v>12.9834163530453</v>
      </c>
      <c r="S48" s="4">
        <v>9.9220765473873401E-2</v>
      </c>
      <c r="T48" s="4">
        <v>1.4055938010804401</v>
      </c>
      <c r="U48" s="4">
        <v>5.4664561935097202</v>
      </c>
      <c r="V48" s="4">
        <v>3.2017994369165002</v>
      </c>
      <c r="W48" s="4">
        <v>2.30250905509864</v>
      </c>
      <c r="X48" s="4">
        <v>38.321205171047801</v>
      </c>
      <c r="Y48" s="12">
        <f t="shared" si="0"/>
        <v>1.9340111069903902</v>
      </c>
      <c r="Z48" s="5">
        <f t="shared" si="1"/>
        <v>4825.9874303760998</v>
      </c>
      <c r="AA48" s="2">
        <f t="shared" si="2"/>
        <v>654869.15169303911</v>
      </c>
      <c r="AB48" s="5">
        <f t="shared" si="3"/>
        <v>3354.3876228949989</v>
      </c>
      <c r="AC48" s="2">
        <f t="shared" si="4"/>
        <v>83605.920264018816</v>
      </c>
      <c r="AD48" s="2">
        <f t="shared" si="5"/>
        <v>1595.6041099825361</v>
      </c>
      <c r="AE48" s="2">
        <f t="shared" si="6"/>
        <v>150.75933526443345</v>
      </c>
      <c r="AF48" s="2">
        <f t="shared" si="7"/>
        <v>4852.5464077891638</v>
      </c>
    </row>
    <row r="49" spans="1:32">
      <c r="A49" s="1" t="s">
        <v>80</v>
      </c>
      <c r="B49" s="4">
        <v>8.5695170638740095</v>
      </c>
      <c r="C49" s="3">
        <v>57.235830617250805</v>
      </c>
      <c r="D49" s="3">
        <v>46.819637851741398</v>
      </c>
      <c r="E49" s="4">
        <v>2.8886549501990002</v>
      </c>
      <c r="F49" s="2">
        <v>472.67653856044302</v>
      </c>
      <c r="G49" s="8">
        <v>0.35176574848523101</v>
      </c>
      <c r="H49" s="2">
        <v>1494.0090777374601</v>
      </c>
      <c r="I49" s="3">
        <v>19.9931328374456</v>
      </c>
      <c r="J49" s="3">
        <v>13.593829015620299</v>
      </c>
      <c r="K49" s="4">
        <v>2.61809008950266</v>
      </c>
      <c r="L49" s="3">
        <v>12.346482465764501</v>
      </c>
      <c r="M49" s="3">
        <v>21.911343240271002</v>
      </c>
      <c r="N49" s="3">
        <v>28.092961716204801</v>
      </c>
      <c r="O49" s="2">
        <v>3573.8135596843599</v>
      </c>
      <c r="P49" s="5">
        <v>492.59085902028102</v>
      </c>
      <c r="Q49" s="4">
        <v>2.1646062813895899E-2</v>
      </c>
      <c r="R49" s="4">
        <v>15.6415711091463</v>
      </c>
      <c r="S49" s="4">
        <v>2.4658509291114399E-2</v>
      </c>
      <c r="T49" s="4">
        <v>3.6783490771990999</v>
      </c>
      <c r="U49" s="4">
        <v>1.0857251155982401E-2</v>
      </c>
      <c r="V49" s="4">
        <v>1.88000910918216E-2</v>
      </c>
      <c r="W49" s="4">
        <v>2.1555511592385899</v>
      </c>
      <c r="X49" s="4" t="s">
        <v>36</v>
      </c>
      <c r="Y49" s="12">
        <f t="shared" si="0"/>
        <v>8.2118710040363165</v>
      </c>
      <c r="Z49" s="5">
        <f t="shared" si="1"/>
        <v>1986.599936757741</v>
      </c>
      <c r="AA49" s="2">
        <f t="shared" si="2"/>
        <v>658053.47681124811</v>
      </c>
      <c r="AB49" s="5">
        <f t="shared" si="3"/>
        <v>1514.0022105749056</v>
      </c>
      <c r="AC49" s="2">
        <f t="shared" si="4"/>
        <v>86167.847177300529</v>
      </c>
      <c r="AD49" s="2">
        <f t="shared" si="5"/>
        <v>520.68382073648581</v>
      </c>
      <c r="AE49" s="2">
        <f t="shared" si="6"/>
        <v>160.15337583056763</v>
      </c>
      <c r="AF49" s="2">
        <f t="shared" si="7"/>
        <v>2000.1937657733613</v>
      </c>
    </row>
    <row r="50" spans="1:32">
      <c r="A50" s="1" t="s">
        <v>81</v>
      </c>
      <c r="B50" s="4">
        <v>8.2682207643509731</v>
      </c>
      <c r="C50" s="3">
        <v>57.347720763993102</v>
      </c>
      <c r="D50" s="3">
        <v>43.505272742161303</v>
      </c>
      <c r="E50" s="4">
        <v>2.3723801029692</v>
      </c>
      <c r="F50" s="2">
        <v>489.828689799963</v>
      </c>
      <c r="G50" s="4">
        <v>1.01397893064724</v>
      </c>
      <c r="H50" s="2">
        <v>1810.33325157523</v>
      </c>
      <c r="I50" s="3">
        <v>81.257539896536798</v>
      </c>
      <c r="J50" s="3">
        <v>15.7267330608194</v>
      </c>
      <c r="K50" s="4">
        <v>4.0299022990463396</v>
      </c>
      <c r="L50" s="3">
        <v>16.6489029530964</v>
      </c>
      <c r="M50" s="3">
        <v>57.186333962739198</v>
      </c>
      <c r="N50" s="3">
        <v>86.924185697272605</v>
      </c>
      <c r="O50" s="2">
        <v>3340.63038899398</v>
      </c>
      <c r="P50" s="5">
        <v>2230.0858379510701</v>
      </c>
      <c r="Q50" s="4">
        <v>0.325501747514372</v>
      </c>
      <c r="R50" s="4">
        <v>32.993952778273503</v>
      </c>
      <c r="S50" s="4">
        <v>5.3351713974335697E-2</v>
      </c>
      <c r="T50" s="4">
        <v>2.3827267846187898</v>
      </c>
      <c r="U50" s="4">
        <v>0.798438733331303</v>
      </c>
      <c r="V50" s="4">
        <v>2.8286427776223899</v>
      </c>
      <c r="W50" s="4">
        <v>2.1641756283564102</v>
      </c>
      <c r="X50" s="4" t="s">
        <v>36</v>
      </c>
      <c r="Y50" s="12">
        <f t="shared" si="0"/>
        <v>2.3396739629046035</v>
      </c>
      <c r="Z50" s="5">
        <f t="shared" si="1"/>
        <v>4040.4190895263</v>
      </c>
      <c r="AA50" s="2">
        <f t="shared" si="2"/>
        <v>656159.41528344073</v>
      </c>
      <c r="AB50" s="5">
        <f t="shared" si="3"/>
        <v>1891.5907914717668</v>
      </c>
      <c r="AC50" s="2">
        <f t="shared" si="4"/>
        <v>83172.03633330969</v>
      </c>
      <c r="AD50" s="2">
        <f t="shared" si="5"/>
        <v>2317.0100236483427</v>
      </c>
      <c r="AE50" s="2">
        <f t="shared" si="6"/>
        <v>171.66736240240925</v>
      </c>
      <c r="AF50" s="2">
        <f t="shared" si="7"/>
        <v>4056.1458225871193</v>
      </c>
    </row>
    <row r="51" spans="1:32">
      <c r="A51" s="1" t="s">
        <v>82</v>
      </c>
      <c r="B51" s="4">
        <v>8.4722073612253634</v>
      </c>
      <c r="C51" s="3">
        <v>57.260381554451001</v>
      </c>
      <c r="D51" s="3">
        <v>33.183247083720701</v>
      </c>
      <c r="E51" s="4">
        <v>1.95408528461117</v>
      </c>
      <c r="F51" s="2">
        <v>483.98862044190503</v>
      </c>
      <c r="G51" s="8">
        <v>0.91062496773687396</v>
      </c>
      <c r="H51" s="2">
        <v>1467.59095603481</v>
      </c>
      <c r="I51" s="3">
        <v>31.494350365057802</v>
      </c>
      <c r="J51" s="4">
        <v>6.6561232444574703</v>
      </c>
      <c r="K51" s="4">
        <v>0.79381072182986101</v>
      </c>
      <c r="L51" s="4">
        <v>3.3434320836432101</v>
      </c>
      <c r="M51" s="3">
        <v>11.375781778116799</v>
      </c>
      <c r="N51" s="3">
        <v>48.901546338282699</v>
      </c>
      <c r="O51" s="2">
        <v>3244.7644179096901</v>
      </c>
      <c r="P51" s="5">
        <v>1626.6330676228299</v>
      </c>
      <c r="Q51" s="4">
        <v>9.8184350758082507E-3</v>
      </c>
      <c r="R51" s="4" t="s">
        <v>36</v>
      </c>
      <c r="S51" s="4">
        <v>2.5044886832211601E-2</v>
      </c>
      <c r="T51" s="4">
        <v>0.14671252679600399</v>
      </c>
      <c r="U51" s="4">
        <v>0.46883309102337201</v>
      </c>
      <c r="V51" s="4">
        <v>0.38119197258418902</v>
      </c>
      <c r="W51" s="4">
        <v>2.4008787944080101</v>
      </c>
      <c r="X51" s="4">
        <v>24.579882496423501</v>
      </c>
      <c r="Y51" s="12">
        <f t="shared" si="0"/>
        <v>2.1458727289979218</v>
      </c>
      <c r="Z51" s="5">
        <f t="shared" si="1"/>
        <v>3094.2240236576399</v>
      </c>
      <c r="AA51" s="2">
        <f t="shared" si="2"/>
        <v>657325.88915676367</v>
      </c>
      <c r="AB51" s="5">
        <f t="shared" si="3"/>
        <v>1499.0853063998677</v>
      </c>
      <c r="AC51" s="2">
        <f t="shared" si="4"/>
        <v>85206.062232695534</v>
      </c>
      <c r="AD51" s="2">
        <f t="shared" si="5"/>
        <v>1675.5346139611127</v>
      </c>
      <c r="AE51" s="2">
        <f t="shared" si="6"/>
        <v>176.47007356958974</v>
      </c>
      <c r="AF51" s="2">
        <f t="shared" si="7"/>
        <v>3100.8801469020973</v>
      </c>
    </row>
    <row r="52" spans="1:32">
      <c r="A52" s="1" t="s">
        <v>83</v>
      </c>
      <c r="B52" s="4">
        <v>7.7149052670740899</v>
      </c>
      <c r="C52" s="3">
        <v>58.162695528123095</v>
      </c>
      <c r="D52" s="3">
        <v>59.034174606111399</v>
      </c>
      <c r="E52" s="4">
        <v>2.1928107227814602</v>
      </c>
      <c r="F52" s="2">
        <v>239.16420001523301</v>
      </c>
      <c r="G52" s="8">
        <v>0.26444442896787002</v>
      </c>
      <c r="H52" s="2">
        <v>658.97254843887799</v>
      </c>
      <c r="I52" s="3">
        <v>54.937692102379003</v>
      </c>
      <c r="J52" s="2">
        <v>221.17756284951199</v>
      </c>
      <c r="K52" s="4">
        <v>8.2933489425789304</v>
      </c>
      <c r="L52" s="3">
        <v>28.547573452324599</v>
      </c>
      <c r="M52" s="3">
        <v>44.703361030662798</v>
      </c>
      <c r="N52" s="4">
        <v>7.2710166288903801</v>
      </c>
      <c r="O52" s="2">
        <v>3156.0059688203801</v>
      </c>
      <c r="P52" s="5">
        <v>702.31970751548499</v>
      </c>
      <c r="Q52" s="4">
        <v>0.41539559099578699</v>
      </c>
      <c r="R52" s="4">
        <v>75.162989128590397</v>
      </c>
      <c r="S52" s="4">
        <v>0.19943933531646901</v>
      </c>
      <c r="T52" s="4">
        <v>7.1297827356747003</v>
      </c>
      <c r="U52" s="4">
        <v>47.9134931085635</v>
      </c>
      <c r="V52" s="4">
        <v>21.410455911911299</v>
      </c>
      <c r="W52" s="4">
        <v>12.4701222201472</v>
      </c>
      <c r="X52" s="4">
        <v>36.604505255583199</v>
      </c>
      <c r="Y52" s="12">
        <f t="shared" si="0"/>
        <v>8.2921418739658392</v>
      </c>
      <c r="Z52" s="5">
        <f t="shared" si="1"/>
        <v>1361.2922559543631</v>
      </c>
      <c r="AA52" s="2">
        <f t="shared" si="2"/>
        <v>658776.00795197184</v>
      </c>
      <c r="AB52" s="5">
        <f t="shared" si="3"/>
        <v>713.91024054125705</v>
      </c>
      <c r="AC52" s="2">
        <f t="shared" si="4"/>
        <v>77388.216870756136</v>
      </c>
      <c r="AD52" s="2">
        <f t="shared" si="5"/>
        <v>709.59072414437537</v>
      </c>
      <c r="AE52" s="2">
        <f t="shared" si="6"/>
        <v>184.29209609468057</v>
      </c>
      <c r="AF52" s="2">
        <f t="shared" si="7"/>
        <v>1582.4698188038751</v>
      </c>
    </row>
    <row r="53" spans="1:32">
      <c r="A53" s="1" t="s">
        <v>84</v>
      </c>
      <c r="B53" s="4">
        <v>8.470188125511827</v>
      </c>
      <c r="C53" s="3">
        <v>57.094861079341001</v>
      </c>
      <c r="D53" s="3">
        <v>81.981104307522799</v>
      </c>
      <c r="E53" s="4">
        <v>2.24822719585053</v>
      </c>
      <c r="F53" s="2">
        <v>350.87721806816302</v>
      </c>
      <c r="G53" s="8">
        <v>0.366645122298771</v>
      </c>
      <c r="H53" s="2">
        <v>2804.3641524517998</v>
      </c>
      <c r="I53" s="3">
        <v>18.8992424890004</v>
      </c>
      <c r="J53" s="3">
        <v>23.241485435808901</v>
      </c>
      <c r="K53" s="4">
        <v>1.79870387737187</v>
      </c>
      <c r="L53" s="4">
        <v>2.6245809332106198</v>
      </c>
      <c r="M53" s="3">
        <v>12.0862091575282</v>
      </c>
      <c r="N53" s="3">
        <v>39.629451110560296</v>
      </c>
      <c r="O53" s="2">
        <v>3916.3383179052298</v>
      </c>
      <c r="P53" s="5">
        <v>1073.83279898403</v>
      </c>
      <c r="Q53" s="4">
        <v>0.37904722965478099</v>
      </c>
      <c r="R53" s="4" t="s">
        <v>36</v>
      </c>
      <c r="S53" s="4">
        <v>2.39369903412271E-2</v>
      </c>
      <c r="T53" s="4">
        <v>1.93376710159559</v>
      </c>
      <c r="U53" s="4">
        <v>50.165246583369502</v>
      </c>
      <c r="V53" s="4">
        <v>55.239472751827797</v>
      </c>
      <c r="W53" s="4" t="s">
        <v>36</v>
      </c>
      <c r="X53" s="4">
        <v>63.380473272454701</v>
      </c>
      <c r="Y53" s="12">
        <f t="shared" si="0"/>
        <v>6.1318890096088596</v>
      </c>
      <c r="Z53" s="5">
        <f t="shared" si="1"/>
        <v>3878.1969514358298</v>
      </c>
      <c r="AA53" s="2">
        <f t="shared" si="2"/>
        <v>655650.49204852828</v>
      </c>
      <c r="AB53" s="5">
        <f t="shared" si="3"/>
        <v>2823.2633949408</v>
      </c>
      <c r="AC53" s="2">
        <f t="shared" si="4"/>
        <v>85052.758473186434</v>
      </c>
      <c r="AD53" s="2">
        <f t="shared" si="5"/>
        <v>1113.4622500945902</v>
      </c>
      <c r="AE53" s="2">
        <f t="shared" si="6"/>
        <v>145.78633520578958</v>
      </c>
      <c r="AF53" s="2">
        <f t="shared" si="7"/>
        <v>3901.4384368716387</v>
      </c>
    </row>
    <row r="54" spans="1:32">
      <c r="A54" s="1" t="s">
        <v>85</v>
      </c>
      <c r="B54" s="4">
        <v>8.1688876922163001</v>
      </c>
      <c r="C54" s="3">
        <v>57.687449202541004</v>
      </c>
      <c r="D54" s="3">
        <v>32.239135172782802</v>
      </c>
      <c r="E54" s="4">
        <v>3.6346367185481698</v>
      </c>
      <c r="F54" s="2">
        <v>259.22748976720999</v>
      </c>
      <c r="G54" s="8">
        <v>0.25342733082594299</v>
      </c>
      <c r="H54" s="2">
        <v>635.02330500585595</v>
      </c>
      <c r="I54" s="3">
        <v>21.671136315377701</v>
      </c>
      <c r="J54" s="3">
        <v>55.133910333725701</v>
      </c>
      <c r="K54" s="4">
        <v>3.11346785484012</v>
      </c>
      <c r="L54" s="4">
        <v>4.63346221875116</v>
      </c>
      <c r="M54" s="3">
        <v>17.056371444491699</v>
      </c>
      <c r="N54" s="3">
        <v>34.435165461687198</v>
      </c>
      <c r="O54" s="2">
        <v>3575.19858995803</v>
      </c>
      <c r="P54" s="5">
        <v>832.88922895373105</v>
      </c>
      <c r="Q54" s="4">
        <v>0.38425456547161302</v>
      </c>
      <c r="R54" s="4">
        <v>22.2226722372178</v>
      </c>
      <c r="S54" s="4">
        <v>0.205450675071158</v>
      </c>
      <c r="T54" s="4">
        <v>15.6448723008466</v>
      </c>
      <c r="U54" s="4">
        <v>20.5762641136563</v>
      </c>
      <c r="V54" s="4">
        <v>34.373496336745298</v>
      </c>
      <c r="W54" s="4">
        <v>39.331276853981997</v>
      </c>
      <c r="X54" s="4">
        <v>61.115035106245699</v>
      </c>
      <c r="Y54" s="12">
        <f t="shared" si="0"/>
        <v>14.341928736346448</v>
      </c>
      <c r="Z54" s="5">
        <f t="shared" si="1"/>
        <v>1467.9125339595871</v>
      </c>
      <c r="AA54" s="2">
        <f t="shared" si="2"/>
        <v>658563.36894757301</v>
      </c>
      <c r="AB54" s="5">
        <f t="shared" si="3"/>
        <v>656.69444132123363</v>
      </c>
      <c r="AC54" s="2">
        <f t="shared" si="4"/>
        <v>81948.10441193021</v>
      </c>
      <c r="AD54" s="2">
        <f t="shared" si="5"/>
        <v>867.32439441541828</v>
      </c>
      <c r="AE54" s="2">
        <f t="shared" si="6"/>
        <v>161.35453108695205</v>
      </c>
      <c r="AF54" s="2">
        <f t="shared" si="7"/>
        <v>1523.0464442933128</v>
      </c>
    </row>
    <row r="55" spans="1:32">
      <c r="A55" s="1" t="s">
        <v>86</v>
      </c>
      <c r="B55" s="4">
        <v>8.2168062395526551</v>
      </c>
      <c r="C55" s="3">
        <v>57.519333698506593</v>
      </c>
      <c r="D55" s="3">
        <v>19.846986321985</v>
      </c>
      <c r="E55" s="4">
        <v>1.72297209926303</v>
      </c>
      <c r="F55" s="2">
        <v>404.844673608856</v>
      </c>
      <c r="G55" s="8">
        <v>0.59343796197119603</v>
      </c>
      <c r="H55" s="2">
        <v>2806.6974554528101</v>
      </c>
      <c r="I55" s="3">
        <v>21.807973283127598</v>
      </c>
      <c r="J55" s="4">
        <v>6.6566459047351501</v>
      </c>
      <c r="K55" s="4">
        <v>1.6544005134261099</v>
      </c>
      <c r="L55" s="4">
        <v>7.1241050738615099</v>
      </c>
      <c r="M55" s="3">
        <v>10.789928534724099</v>
      </c>
      <c r="N55" s="3">
        <v>19.7548146746234</v>
      </c>
      <c r="O55" s="2">
        <v>3353.54866244902</v>
      </c>
      <c r="P55" s="5">
        <v>643.12310839802603</v>
      </c>
      <c r="Q55" s="4">
        <v>0.69776996587025097</v>
      </c>
      <c r="R55" s="4">
        <v>45.977616259130698</v>
      </c>
      <c r="S55" s="4">
        <v>9.8715552008093108E-3</v>
      </c>
      <c r="T55" s="4">
        <v>4.1537724873732396</v>
      </c>
      <c r="U55" s="4">
        <v>6.6950382977645404</v>
      </c>
      <c r="V55" s="4">
        <v>4.3853524274730296</v>
      </c>
      <c r="W55" s="4">
        <v>9.2343407799049597</v>
      </c>
      <c r="X55" s="4" t="s">
        <v>36</v>
      </c>
      <c r="Y55" s="12">
        <f t="shared" si="0"/>
        <v>2.9033735784948971</v>
      </c>
      <c r="Z55" s="5">
        <f t="shared" si="1"/>
        <v>3449.8205638508362</v>
      </c>
      <c r="AA55" s="2">
        <f t="shared" si="2"/>
        <v>657361.39938059251</v>
      </c>
      <c r="AB55" s="5">
        <f t="shared" si="3"/>
        <v>2828.5054287359376</v>
      </c>
      <c r="AC55" s="2">
        <f t="shared" si="4"/>
        <v>82572.907069135399</v>
      </c>
      <c r="AD55" s="2">
        <f t="shared" si="5"/>
        <v>662.87792307264942</v>
      </c>
      <c r="AE55" s="2">
        <f t="shared" si="6"/>
        <v>171.51781437547871</v>
      </c>
      <c r="AF55" s="2">
        <f t="shared" si="7"/>
        <v>3456.4772097555715</v>
      </c>
    </row>
    <row r="56" spans="1:32">
      <c r="A56" s="1" t="s">
        <v>87</v>
      </c>
      <c r="B56" s="4">
        <v>6.4972952461026905</v>
      </c>
      <c r="C56" s="3">
        <v>59.275013629123698</v>
      </c>
      <c r="D56" s="3">
        <v>32.584785712186402</v>
      </c>
      <c r="E56" s="4">
        <v>2.2129284242020399</v>
      </c>
      <c r="F56" s="2">
        <v>2239.1846520887698</v>
      </c>
      <c r="G56" s="8">
        <v>6.2931320459868503E-2</v>
      </c>
      <c r="H56" s="2">
        <v>248.109441989434</v>
      </c>
      <c r="I56" s="3">
        <v>31.735368737463599</v>
      </c>
      <c r="J56" s="3">
        <v>35.285702276028097</v>
      </c>
      <c r="K56" s="4">
        <v>8.4869847652381605</v>
      </c>
      <c r="L56" s="3">
        <v>13.626610743204701</v>
      </c>
      <c r="M56" s="3">
        <v>27.399669565617899</v>
      </c>
      <c r="N56" s="4">
        <v>7.0667039722125002</v>
      </c>
      <c r="O56" s="2">
        <v>4871.7636161315104</v>
      </c>
      <c r="P56" s="5">
        <v>435.804921946668</v>
      </c>
      <c r="Q56" s="4">
        <v>0.53952307067693805</v>
      </c>
      <c r="R56" s="4">
        <v>15.8802514147528</v>
      </c>
      <c r="S56" s="4">
        <v>1.0365708410783599E-2</v>
      </c>
      <c r="T56" s="4">
        <v>13.9968446261318</v>
      </c>
      <c r="U56" s="4">
        <v>1.0826290043689999</v>
      </c>
      <c r="V56" s="4">
        <v>0.30685554873471099</v>
      </c>
      <c r="W56" s="4">
        <v>10.447574850379301</v>
      </c>
      <c r="X56" s="4">
        <v>10.9644164881578</v>
      </c>
      <c r="Y56" s="12">
        <f t="shared" si="0"/>
        <v>35.164182286834922</v>
      </c>
      <c r="Z56" s="5">
        <f t="shared" si="1"/>
        <v>683.91436393610206</v>
      </c>
      <c r="AA56" s="2">
        <f t="shared" si="2"/>
        <v>657723.08875226392</v>
      </c>
      <c r="AB56" s="5">
        <f t="shared" si="3"/>
        <v>279.84481072689761</v>
      </c>
      <c r="AC56" s="2">
        <f t="shared" si="4"/>
        <v>67212.137113115677</v>
      </c>
      <c r="AD56" s="2">
        <f t="shared" si="5"/>
        <v>442.87162591888051</v>
      </c>
      <c r="AE56" s="2">
        <f t="shared" si="6"/>
        <v>121.67054541162615</v>
      </c>
      <c r="AF56" s="2">
        <f t="shared" si="7"/>
        <v>719.2000662121302</v>
      </c>
    </row>
    <row r="57" spans="1:32">
      <c r="A57" s="1" t="s">
        <v>88</v>
      </c>
      <c r="B57" s="4">
        <v>6.2003873283193034</v>
      </c>
      <c r="C57" s="3">
        <v>59.331424006574601</v>
      </c>
      <c r="D57" s="3">
        <v>36.196512633506501</v>
      </c>
      <c r="E57" s="4">
        <v>3.8418643678470601</v>
      </c>
      <c r="F57" s="2">
        <v>609.20515970323504</v>
      </c>
      <c r="G57" s="8">
        <v>0.116870589114313</v>
      </c>
      <c r="H57" s="2">
        <v>301.76099051764697</v>
      </c>
      <c r="I57" s="3">
        <v>40.587502366992702</v>
      </c>
      <c r="J57" s="3">
        <v>40.993877442094998</v>
      </c>
      <c r="K57" s="4">
        <v>11.4330751365805</v>
      </c>
      <c r="L57" s="3">
        <v>27.596419121516899</v>
      </c>
      <c r="M57" s="3">
        <v>71.871973244762401</v>
      </c>
      <c r="N57" s="3">
        <v>10.4114571651444</v>
      </c>
      <c r="O57" s="2">
        <v>3564.4286754643699</v>
      </c>
      <c r="P57" s="5">
        <v>582.33467827240997</v>
      </c>
      <c r="Q57" s="4">
        <v>0.65167112231594104</v>
      </c>
      <c r="R57" s="4">
        <v>1.5903965114643099</v>
      </c>
      <c r="S57" s="4">
        <v>0.118899339381459</v>
      </c>
      <c r="T57" s="4">
        <v>12.0880871288031</v>
      </c>
      <c r="U57" s="4">
        <v>54.279249309575903</v>
      </c>
      <c r="V57" s="4">
        <v>792.00411841706796</v>
      </c>
      <c r="W57" s="4">
        <v>459.78506123215601</v>
      </c>
      <c r="X57" s="4">
        <v>49.178085418648401</v>
      </c>
      <c r="Y57" s="12">
        <f t="shared" si="0"/>
        <v>32.872807409991495</v>
      </c>
      <c r="Z57" s="5">
        <f t="shared" si="1"/>
        <v>884.09566879005695</v>
      </c>
      <c r="AA57" s="2">
        <f t="shared" si="2"/>
        <v>655318.11334893899</v>
      </c>
      <c r="AB57" s="5">
        <f t="shared" si="3"/>
        <v>342.34849288463965</v>
      </c>
      <c r="AC57" s="2">
        <f t="shared" si="4"/>
        <v>62613.078442896265</v>
      </c>
      <c r="AD57" s="2">
        <f t="shared" si="5"/>
        <v>592.74613543755436</v>
      </c>
      <c r="AE57" s="2">
        <f t="shared" si="6"/>
        <v>166.45423266561778</v>
      </c>
      <c r="AF57" s="2">
        <f t="shared" si="7"/>
        <v>925.08954623215197</v>
      </c>
    </row>
    <row r="58" spans="1:32">
      <c r="A58" s="1" t="s">
        <v>89</v>
      </c>
      <c r="B58" s="4">
        <v>7.858178282031318</v>
      </c>
      <c r="C58" s="3">
        <v>58.097937445715999</v>
      </c>
      <c r="D58" s="3">
        <v>19.134244165178401</v>
      </c>
      <c r="E58" s="4">
        <v>4.1893493144015101</v>
      </c>
      <c r="F58" s="2">
        <v>299.089258507257</v>
      </c>
      <c r="G58" s="8">
        <v>0.38898591573583502</v>
      </c>
      <c r="H58" s="2">
        <v>494.54680135226999</v>
      </c>
      <c r="I58" s="3">
        <v>23.263761065401901</v>
      </c>
      <c r="J58" s="4">
        <v>6.0151749166518496</v>
      </c>
      <c r="K58" s="4">
        <v>1.4337738657307799</v>
      </c>
      <c r="L58" s="4">
        <v>5.01226916226745</v>
      </c>
      <c r="M58" s="4">
        <v>9.9848742146359299</v>
      </c>
      <c r="N58" s="3">
        <v>25.709926142885902</v>
      </c>
      <c r="O58" s="2">
        <v>3317.7350159546199</v>
      </c>
      <c r="P58" s="5">
        <v>880.99281066215497</v>
      </c>
      <c r="Q58" s="4" t="s">
        <v>36</v>
      </c>
      <c r="R58" s="4" t="s">
        <v>36</v>
      </c>
      <c r="S58" s="4">
        <v>1.1249832445189199E-2</v>
      </c>
      <c r="T58" s="4">
        <v>5.52047277169744</v>
      </c>
      <c r="U58" s="4">
        <v>5.6319347472375201</v>
      </c>
      <c r="V58" s="4">
        <v>5.3608644406644901</v>
      </c>
      <c r="W58" s="4">
        <v>7.6297139220432904</v>
      </c>
      <c r="X58" s="4">
        <v>56.817874336581497</v>
      </c>
      <c r="Y58" s="12">
        <f t="shared" si="0"/>
        <v>10.769925452124975</v>
      </c>
      <c r="Z58" s="5">
        <f t="shared" si="1"/>
        <v>1375.5396120144251</v>
      </c>
      <c r="AA58" s="2">
        <f t="shared" si="2"/>
        <v>659561.15727747325</v>
      </c>
      <c r="AB58" s="5">
        <f t="shared" si="3"/>
        <v>517.81056241767192</v>
      </c>
      <c r="AC58" s="2">
        <f t="shared" si="4"/>
        <v>78880.872078820437</v>
      </c>
      <c r="AD58" s="2">
        <f t="shared" si="5"/>
        <v>906.7027368050409</v>
      </c>
      <c r="AE58" s="2">
        <f t="shared" si="6"/>
        <v>175.11325397094541</v>
      </c>
      <c r="AF58" s="2">
        <f t="shared" si="7"/>
        <v>1381.5547869310769</v>
      </c>
    </row>
    <row r="59" spans="1:32">
      <c r="A59" s="1" t="s">
        <v>90</v>
      </c>
      <c r="B59" s="4">
        <v>8.2414247801888543</v>
      </c>
      <c r="C59" s="3">
        <v>57.596468249534702</v>
      </c>
      <c r="D59" s="3">
        <v>36.164093366865401</v>
      </c>
      <c r="E59" s="4">
        <v>3.1580235345698102</v>
      </c>
      <c r="F59" s="2">
        <v>404.08213420606398</v>
      </c>
      <c r="G59" s="8">
        <v>0.44395983920125898</v>
      </c>
      <c r="H59" s="2">
        <v>892.06950900769505</v>
      </c>
      <c r="I59" s="3">
        <v>23.660478640475201</v>
      </c>
      <c r="J59" s="4">
        <v>7.6998394049136403</v>
      </c>
      <c r="K59" s="4">
        <v>1.18441786439977</v>
      </c>
      <c r="L59" s="4">
        <v>1.1550727057560199</v>
      </c>
      <c r="M59" s="4">
        <v>3.40581068157053</v>
      </c>
      <c r="N59" s="3">
        <v>78.1641628950632</v>
      </c>
      <c r="O59" s="2">
        <v>3191.9395705953202</v>
      </c>
      <c r="P59" s="5">
        <v>1415.80769932267</v>
      </c>
      <c r="Q59" s="4" t="s">
        <v>36</v>
      </c>
      <c r="R59" s="4">
        <v>16.7359107379527</v>
      </c>
      <c r="S59" s="4">
        <v>1.10323717291647E-2</v>
      </c>
      <c r="T59" s="4">
        <v>10.834902944132899</v>
      </c>
      <c r="U59" s="4">
        <v>51.978159221462199</v>
      </c>
      <c r="V59" s="4">
        <v>36.382944009527598</v>
      </c>
      <c r="W59" s="4">
        <v>5.2879967464209798</v>
      </c>
      <c r="X59" s="4" t="s">
        <v>36</v>
      </c>
      <c r="Y59" s="12">
        <f t="shared" si="0"/>
        <v>7.1133090332033229</v>
      </c>
      <c r="Z59" s="5">
        <f t="shared" si="1"/>
        <v>2307.8772083303652</v>
      </c>
      <c r="AA59" s="2">
        <f t="shared" si="2"/>
        <v>658378.93029723549</v>
      </c>
      <c r="AB59" s="5">
        <f t="shared" si="3"/>
        <v>915.72998764817021</v>
      </c>
      <c r="AC59" s="2">
        <f t="shared" si="4"/>
        <v>82818.329936094611</v>
      </c>
      <c r="AD59" s="2">
        <f t="shared" si="5"/>
        <v>1493.9718622177331</v>
      </c>
      <c r="AE59" s="2">
        <f t="shared" si="6"/>
        <v>180.44347950732831</v>
      </c>
      <c r="AF59" s="2">
        <f t="shared" si="7"/>
        <v>2315.5770477352789</v>
      </c>
    </row>
    <row r="60" spans="1:32">
      <c r="A60" s="1" t="s">
        <v>91</v>
      </c>
      <c r="B60" s="4">
        <v>6.9498295975026547</v>
      </c>
      <c r="C60" s="3">
        <v>58.912842082207497</v>
      </c>
      <c r="D60" s="3">
        <v>54.396225923926004</v>
      </c>
      <c r="E60" s="4">
        <v>3.19796788200689</v>
      </c>
      <c r="F60" s="2">
        <v>259.68087860077901</v>
      </c>
      <c r="G60" s="8">
        <v>0.445220088347489</v>
      </c>
      <c r="H60" s="2">
        <v>1126.63868933002</v>
      </c>
      <c r="I60" s="3">
        <v>40.057606509443403</v>
      </c>
      <c r="J60" s="3">
        <v>62.119994455685301</v>
      </c>
      <c r="K60" s="4">
        <v>11.715305949311199</v>
      </c>
      <c r="L60" s="3">
        <v>77.007848259578196</v>
      </c>
      <c r="M60" s="2">
        <v>134.96972095486001</v>
      </c>
      <c r="N60" s="3">
        <v>44.423876706292297</v>
      </c>
      <c r="O60" s="2">
        <v>3208.3398787403398</v>
      </c>
      <c r="P60" s="5">
        <v>1572.4849396095301</v>
      </c>
      <c r="Q60" s="4">
        <v>6.2425654435030301E-2</v>
      </c>
      <c r="R60" s="4">
        <v>6.4426747785695504</v>
      </c>
      <c r="S60" s="4">
        <v>3.8612492675299002E-2</v>
      </c>
      <c r="T60" s="4">
        <v>4.8954893113122804</v>
      </c>
      <c r="U60" s="4">
        <v>3.4685195606325498</v>
      </c>
      <c r="V60" s="4">
        <v>2.7012139472431298</v>
      </c>
      <c r="W60" s="4">
        <v>11.233814023768399</v>
      </c>
      <c r="X60" s="4">
        <v>99.561601253378498</v>
      </c>
      <c r="Y60" s="12">
        <f t="shared" si="0"/>
        <v>7.1828921598679392</v>
      </c>
      <c r="Z60" s="5">
        <f t="shared" si="1"/>
        <v>2699.1236289395501</v>
      </c>
      <c r="AA60" s="2">
        <f t="shared" si="2"/>
        <v>658626.71679710154</v>
      </c>
      <c r="AB60" s="5">
        <f t="shared" si="3"/>
        <v>1166.6962958394633</v>
      </c>
      <c r="AC60" s="2">
        <f t="shared" si="4"/>
        <v>69757.976853627319</v>
      </c>
      <c r="AD60" s="2">
        <f t="shared" si="5"/>
        <v>1616.9088163158224</v>
      </c>
      <c r="AE60" s="2">
        <f t="shared" si="6"/>
        <v>183.62406823724015</v>
      </c>
      <c r="AF60" s="2">
        <f t="shared" si="7"/>
        <v>2761.2436233952353</v>
      </c>
    </row>
    <row r="61" spans="1:32">
      <c r="A61" s="1" t="s">
        <v>92</v>
      </c>
      <c r="B61" s="4">
        <v>7.4620527616137364</v>
      </c>
      <c r="C61" s="3">
        <v>58.244389860913998</v>
      </c>
      <c r="D61" s="3">
        <v>27.0936176484573</v>
      </c>
      <c r="E61" s="4">
        <v>2.8776566121370002</v>
      </c>
      <c r="F61" s="2">
        <v>322.91320361415899</v>
      </c>
      <c r="G61" s="8">
        <v>0.50121297575814205</v>
      </c>
      <c r="H61" s="2">
        <v>2233.9250867836599</v>
      </c>
      <c r="I61" s="3">
        <v>26.955027505970101</v>
      </c>
      <c r="J61" s="4">
        <v>8.3034860897965892</v>
      </c>
      <c r="K61" s="4">
        <v>5.9140821092918401</v>
      </c>
      <c r="L61" s="3">
        <v>33.095284533059399</v>
      </c>
      <c r="M61" s="3">
        <v>75.980347339474093</v>
      </c>
      <c r="N61" s="3">
        <v>31.195800403236799</v>
      </c>
      <c r="O61" s="2">
        <v>3522.3932904388398</v>
      </c>
      <c r="P61" s="5">
        <v>1662.74401390445</v>
      </c>
      <c r="Q61" s="4">
        <v>0.52042812712402897</v>
      </c>
      <c r="R61" s="4" t="s">
        <v>36</v>
      </c>
      <c r="S61" s="4">
        <v>2.48050961989701E-2</v>
      </c>
      <c r="T61" s="4">
        <v>2.2724744690160401</v>
      </c>
      <c r="U61" s="4">
        <v>5.4195251327186398</v>
      </c>
      <c r="V61" s="4">
        <v>3.6178658361260698</v>
      </c>
      <c r="W61" s="4">
        <v>3.40929806550252</v>
      </c>
      <c r="X61" s="4">
        <v>2.4259058385691401</v>
      </c>
      <c r="Y61" s="12">
        <f t="shared" si="0"/>
        <v>5.7413849028633281</v>
      </c>
      <c r="Z61" s="5">
        <f t="shared" si="1"/>
        <v>3896.6691006881101</v>
      </c>
      <c r="AA61" s="2">
        <f t="shared" si="2"/>
        <v>657064.42622527736</v>
      </c>
      <c r="AB61" s="5">
        <f t="shared" si="3"/>
        <v>2260.88011428963</v>
      </c>
      <c r="AC61" s="2">
        <f t="shared" si="4"/>
        <v>74943.440819751515</v>
      </c>
      <c r="AD61" s="2">
        <f t="shared" si="5"/>
        <v>1693.9398143076867</v>
      </c>
      <c r="AE61" s="2">
        <f t="shared" si="6"/>
        <v>165.35459007093888</v>
      </c>
      <c r="AF61" s="2">
        <f t="shared" si="7"/>
        <v>3904.9725867779066</v>
      </c>
    </row>
    <row r="62" spans="1:32">
      <c r="A62" s="1" t="s">
        <v>93</v>
      </c>
      <c r="B62" s="4">
        <v>7.7908873730396548</v>
      </c>
      <c r="C62" s="3">
        <v>58.108597413845196</v>
      </c>
      <c r="D62" s="3">
        <v>46.054500420252801</v>
      </c>
      <c r="E62" s="4">
        <v>3.24254255052066</v>
      </c>
      <c r="F62" s="2">
        <v>305.52270624872199</v>
      </c>
      <c r="G62" s="8">
        <v>0.26252898915532102</v>
      </c>
      <c r="H62" s="2">
        <v>1661.3704830525201</v>
      </c>
      <c r="I62" s="3">
        <v>20.5705238100883</v>
      </c>
      <c r="J62" s="3">
        <v>57.055367125076202</v>
      </c>
      <c r="K62" s="4">
        <v>5.2122794335228804</v>
      </c>
      <c r="L62" s="3">
        <v>32.414078148510598</v>
      </c>
      <c r="M62" s="3">
        <v>38.819731672558603</v>
      </c>
      <c r="N62" s="3">
        <v>22.006054134110101</v>
      </c>
      <c r="O62" s="2">
        <v>3222.5584655780799</v>
      </c>
      <c r="P62" s="5">
        <v>590.488328399132</v>
      </c>
      <c r="Q62" s="4">
        <v>0.429378524355707</v>
      </c>
      <c r="R62" s="4">
        <v>9.0142156287570891</v>
      </c>
      <c r="S62" s="4">
        <v>6.7336630197441003E-2</v>
      </c>
      <c r="T62" s="4">
        <v>9.8579909953396108</v>
      </c>
      <c r="U62" s="4">
        <v>4.6976005932117202</v>
      </c>
      <c r="V62" s="4">
        <v>9.2814265351843392</v>
      </c>
      <c r="W62" s="4">
        <v>7.9429852729284303</v>
      </c>
      <c r="X62" s="4" t="s">
        <v>36</v>
      </c>
      <c r="Y62" s="12">
        <f t="shared" si="0"/>
        <v>12.351179048658365</v>
      </c>
      <c r="Z62" s="5">
        <f t="shared" si="1"/>
        <v>2251.8588114516519</v>
      </c>
      <c r="AA62" s="2">
        <f t="shared" si="2"/>
        <v>658994.84786884848</v>
      </c>
      <c r="AB62" s="5">
        <f t="shared" si="3"/>
        <v>1681.9410068626084</v>
      </c>
      <c r="AC62" s="2">
        <f t="shared" si="4"/>
        <v>78214.396436645271</v>
      </c>
      <c r="AD62" s="2">
        <f t="shared" si="5"/>
        <v>612.49438253324206</v>
      </c>
      <c r="AE62" s="2">
        <f t="shared" si="6"/>
        <v>180.31821000157203</v>
      </c>
      <c r="AF62" s="2">
        <f t="shared" si="7"/>
        <v>2308.9141785767283</v>
      </c>
    </row>
    <row r="63" spans="1:32">
      <c r="A63" s="1" t="s">
        <v>94</v>
      </c>
      <c r="B63" s="4">
        <v>6.5743856487756362</v>
      </c>
      <c r="C63" s="3">
        <v>59.460880668109297</v>
      </c>
      <c r="D63" s="3">
        <v>33.432738428346397</v>
      </c>
      <c r="E63" s="4">
        <v>3.19532305359427</v>
      </c>
      <c r="F63" s="2">
        <v>238.586068738704</v>
      </c>
      <c r="G63" s="8">
        <v>0.14465774709609799</v>
      </c>
      <c r="H63" s="2">
        <v>589.61914148681797</v>
      </c>
      <c r="I63" s="3">
        <v>27.962979997727</v>
      </c>
      <c r="J63" s="3">
        <v>54.012631615525102</v>
      </c>
      <c r="K63" s="4">
        <v>6.0901211118370702</v>
      </c>
      <c r="L63" s="3">
        <v>23.951175644505</v>
      </c>
      <c r="M63" s="3">
        <v>25.008274826464099</v>
      </c>
      <c r="N63" s="3">
        <v>32.5275434743603</v>
      </c>
      <c r="O63" s="2">
        <v>3130.1850104666401</v>
      </c>
      <c r="P63" s="5">
        <v>966.70488923753305</v>
      </c>
      <c r="Q63" s="4">
        <v>0.178566311011535</v>
      </c>
      <c r="R63" s="4" t="s">
        <v>36</v>
      </c>
      <c r="S63" s="4">
        <v>8.8132384399382493E-2</v>
      </c>
      <c r="T63" s="4">
        <v>4.9158718234432</v>
      </c>
      <c r="U63" s="4">
        <v>2.3943051986486998</v>
      </c>
      <c r="V63" s="4">
        <v>6.8509444644627404</v>
      </c>
      <c r="W63" s="4">
        <v>7.0144652071051796</v>
      </c>
      <c r="X63" s="4">
        <v>27.214922223593</v>
      </c>
      <c r="Y63" s="12">
        <f t="shared" si="0"/>
        <v>22.088848456015121</v>
      </c>
      <c r="Z63" s="5">
        <f t="shared" si="1"/>
        <v>1556.3240307243509</v>
      </c>
      <c r="AA63" s="2">
        <f t="shared" si="2"/>
        <v>660352.66316884931</v>
      </c>
      <c r="AB63" s="5">
        <f t="shared" si="3"/>
        <v>617.58212148454493</v>
      </c>
      <c r="AC63" s="2">
        <f t="shared" si="4"/>
        <v>65982.442556495065</v>
      </c>
      <c r="AD63" s="2">
        <f t="shared" si="5"/>
        <v>999.23243271189335</v>
      </c>
      <c r="AE63" s="2">
        <f t="shared" si="6"/>
        <v>189.95963647287741</v>
      </c>
      <c r="AF63" s="2">
        <f t="shared" si="7"/>
        <v>1610.3366623398761</v>
      </c>
    </row>
    <row r="64" spans="1:32">
      <c r="A64" s="1" t="s">
        <v>95</v>
      </c>
      <c r="B64" s="4">
        <v>6.6047250121383358</v>
      </c>
      <c r="C64" s="3">
        <v>59.297372902372203</v>
      </c>
      <c r="D64" s="3">
        <v>32.408941642836098</v>
      </c>
      <c r="E64" s="4">
        <v>1.5951582862418101</v>
      </c>
      <c r="F64" s="2">
        <v>1188.4080614429799</v>
      </c>
      <c r="G64" s="8">
        <v>0.466576881376214</v>
      </c>
      <c r="H64" s="2">
        <v>183.79458220143599</v>
      </c>
      <c r="I64" s="3">
        <v>68.353725646781896</v>
      </c>
      <c r="J64" s="3">
        <v>79.377267733581505</v>
      </c>
      <c r="K64" s="4">
        <v>12.490648312942101</v>
      </c>
      <c r="L64" s="3">
        <v>46.495367479094497</v>
      </c>
      <c r="M64" s="2">
        <v>130.61611847663701</v>
      </c>
      <c r="N64" s="4">
        <v>6.7286027777112496</v>
      </c>
      <c r="O64" s="2">
        <v>4578.30632760153</v>
      </c>
      <c r="P64" s="5">
        <v>240.84326801813799</v>
      </c>
      <c r="Q64" s="4">
        <v>0.62759724147842799</v>
      </c>
      <c r="R64" s="4">
        <v>4.6463816019571498</v>
      </c>
      <c r="S64" s="4">
        <v>0.14320769940033401</v>
      </c>
      <c r="T64" s="4">
        <v>12.135611491589501</v>
      </c>
      <c r="U64" s="4">
        <v>5.7788378305311197</v>
      </c>
      <c r="V64" s="4">
        <v>4.2576095468249902</v>
      </c>
      <c r="W64" s="4">
        <v>17.261214722540799</v>
      </c>
      <c r="X64" s="4" t="s">
        <v>36</v>
      </c>
      <c r="Y64" s="12">
        <f t="shared" si="0"/>
        <v>3.418854105108541</v>
      </c>
      <c r="Z64" s="5">
        <f t="shared" si="1"/>
        <v>424.63785021957398</v>
      </c>
      <c r="AA64" s="2">
        <f t="shared" si="2"/>
        <v>659020.97914510535</v>
      </c>
      <c r="AB64" s="5">
        <f t="shared" si="3"/>
        <v>252.14830784821788</v>
      </c>
      <c r="AC64" s="2">
        <f t="shared" si="4"/>
        <v>67235.658182826344</v>
      </c>
      <c r="AD64" s="2">
        <f t="shared" si="5"/>
        <v>247.57187079584924</v>
      </c>
      <c r="AE64" s="2">
        <f t="shared" si="6"/>
        <v>129.51814199255807</v>
      </c>
      <c r="AF64" s="2">
        <f t="shared" si="7"/>
        <v>504.01511795315548</v>
      </c>
    </row>
    <row r="65" spans="1:32">
      <c r="A65" s="1" t="s">
        <v>96</v>
      </c>
      <c r="B65" s="4">
        <v>8.6575765971775187</v>
      </c>
      <c r="C65" s="3">
        <v>57.288695016955003</v>
      </c>
      <c r="D65" s="3">
        <v>37.064988483130598</v>
      </c>
      <c r="E65" s="4">
        <v>2.2369487166094002</v>
      </c>
      <c r="F65" s="2">
        <v>408.54313263272701</v>
      </c>
      <c r="G65" s="8">
        <v>0.22268663856152701</v>
      </c>
      <c r="H65" s="2">
        <v>1174.13869012174</v>
      </c>
      <c r="I65" s="3">
        <v>30.4254451837792</v>
      </c>
      <c r="J65" s="4">
        <v>3.7514780439858999</v>
      </c>
      <c r="K65" s="4">
        <v>0.89931403820569</v>
      </c>
      <c r="L65" s="4">
        <v>9.8084763027599493</v>
      </c>
      <c r="M65" s="3">
        <v>33.025841995218698</v>
      </c>
      <c r="N65" s="3">
        <v>17.921159461554002</v>
      </c>
      <c r="O65" s="2">
        <v>2746.7137220791001</v>
      </c>
      <c r="P65" s="5">
        <v>448.42193964074602</v>
      </c>
      <c r="Q65" s="4">
        <v>0.295176082217525</v>
      </c>
      <c r="R65" s="4">
        <v>11.399239594020299</v>
      </c>
      <c r="S65" s="4">
        <v>2.7831782170413901E-2</v>
      </c>
      <c r="T65" s="4">
        <v>5.4167555401258198</v>
      </c>
      <c r="U65" s="4">
        <v>2.4446787179234701</v>
      </c>
      <c r="V65" s="4">
        <v>8.9999119170667896</v>
      </c>
      <c r="W65" s="4">
        <v>3.3739668524837301</v>
      </c>
      <c r="X65" s="4" t="s">
        <v>36</v>
      </c>
      <c r="Y65" s="12">
        <f t="shared" si="0"/>
        <v>10.04527586863432</v>
      </c>
      <c r="Z65" s="5">
        <f t="shared" si="1"/>
        <v>1622.5606297624859</v>
      </c>
      <c r="AA65" s="2">
        <f t="shared" si="2"/>
        <v>659462.71614132519</v>
      </c>
      <c r="AB65" s="5">
        <f t="shared" si="3"/>
        <v>1204.5641353055191</v>
      </c>
      <c r="AC65" s="2">
        <f t="shared" si="4"/>
        <v>86984.309104407905</v>
      </c>
      <c r="AD65" s="2">
        <f t="shared" si="5"/>
        <v>466.34309910230002</v>
      </c>
      <c r="AE65" s="2">
        <f t="shared" si="6"/>
        <v>208.5717727204233</v>
      </c>
      <c r="AF65" s="2">
        <f t="shared" si="7"/>
        <v>1626.3121078064717</v>
      </c>
    </row>
    <row r="66" spans="1:32">
      <c r="A66" s="1" t="s">
        <v>97</v>
      </c>
      <c r="B66" s="4">
        <v>7.6774432215846913</v>
      </c>
      <c r="C66" s="3">
        <v>58.292107572458903</v>
      </c>
      <c r="D66" s="3">
        <v>34.917860896337501</v>
      </c>
      <c r="E66" s="4">
        <v>3.3578339459430002</v>
      </c>
      <c r="F66" s="2">
        <v>308.21532281096597</v>
      </c>
      <c r="G66" s="8">
        <v>0.255111335058476</v>
      </c>
      <c r="H66" s="2">
        <v>797.72635256227602</v>
      </c>
      <c r="I66" s="3">
        <v>45.516218502094603</v>
      </c>
      <c r="J66" s="3">
        <v>95.7268572709431</v>
      </c>
      <c r="K66" s="4">
        <v>4.1341865010522403</v>
      </c>
      <c r="L66" s="3">
        <v>18.954617643869099</v>
      </c>
      <c r="M66" s="3">
        <v>40.064319649561497</v>
      </c>
      <c r="N66" s="3">
        <v>21.315263237390202</v>
      </c>
      <c r="O66" s="2">
        <v>3365.4662081024499</v>
      </c>
      <c r="P66" s="5">
        <v>536.53496084540996</v>
      </c>
      <c r="Q66" s="4">
        <v>0.50331885744924798</v>
      </c>
      <c r="R66" s="4">
        <v>0.25584604447818299</v>
      </c>
      <c r="S66" s="4">
        <v>0.12530768490855601</v>
      </c>
      <c r="T66" s="4">
        <v>4.4332894723920599</v>
      </c>
      <c r="U66" s="4">
        <v>16.402354567568299</v>
      </c>
      <c r="V66" s="4">
        <v>0.270645517714173</v>
      </c>
      <c r="W66" s="4" t="s">
        <v>36</v>
      </c>
      <c r="X66" s="4">
        <v>35.957416719640598</v>
      </c>
      <c r="Y66" s="12">
        <f t="shared" si="0"/>
        <v>13.162229522938782</v>
      </c>
      <c r="Z66" s="5">
        <f t="shared" ref="Z66:Z107" si="8">P66+H66</f>
        <v>1334.261313407686</v>
      </c>
      <c r="AA66" s="2">
        <f t="shared" si="2"/>
        <v>659695.50794043601</v>
      </c>
      <c r="AB66" s="5">
        <f t="shared" ref="AB66:AB107" si="9">H66+I66</f>
        <v>843.24257106437062</v>
      </c>
      <c r="AC66" s="2">
        <f t="shared" si="4"/>
        <v>77082.647538657882</v>
      </c>
      <c r="AD66" s="2">
        <f t="shared" ref="AD66:AD107" si="10">P66+N66</f>
        <v>557.8502240828002</v>
      </c>
      <c r="AE66" s="2">
        <f t="shared" si="6"/>
        <v>173.20663458785918</v>
      </c>
      <c r="AF66" s="2">
        <f t="shared" ref="AF66:AF107" si="11">Z66+J66</f>
        <v>1429.9881706786291</v>
      </c>
    </row>
    <row r="67" spans="1:32">
      <c r="A67" s="1" t="s">
        <v>98</v>
      </c>
      <c r="B67" s="4">
        <v>7.687201194238872</v>
      </c>
      <c r="C67" s="3">
        <v>57.825072469351603</v>
      </c>
      <c r="D67" s="3">
        <v>43.621595840125501</v>
      </c>
      <c r="E67" s="4">
        <v>3.2238353899557701</v>
      </c>
      <c r="F67" s="2">
        <v>441.43790202538401</v>
      </c>
      <c r="G67" s="8">
        <v>0.95724697901586298</v>
      </c>
      <c r="H67" s="2">
        <v>2699.7813821999598</v>
      </c>
      <c r="I67" s="3">
        <v>65.270101473508504</v>
      </c>
      <c r="J67" s="3">
        <v>10.8654166123741</v>
      </c>
      <c r="K67" s="4">
        <v>3.51225710780054</v>
      </c>
      <c r="L67" s="3">
        <v>35.702438837197803</v>
      </c>
      <c r="M67" s="3">
        <v>55.683607333258301</v>
      </c>
      <c r="N67" s="3">
        <v>72.7053135168089</v>
      </c>
      <c r="O67" s="2">
        <v>3767.4191887615202</v>
      </c>
      <c r="P67" s="5">
        <v>2783.9267258549098</v>
      </c>
      <c r="Q67" s="4">
        <v>0.55721093607406602</v>
      </c>
      <c r="R67" s="4">
        <v>7.9566250757325196</v>
      </c>
      <c r="S67" s="4">
        <v>6.93748999280221E-3</v>
      </c>
      <c r="T67" s="4" t="s">
        <v>36</v>
      </c>
      <c r="U67" s="4">
        <v>3.5606352330956097E-2</v>
      </c>
      <c r="V67" s="4">
        <v>2.5231998581647999E-2</v>
      </c>
      <c r="W67" s="4" t="s">
        <v>36</v>
      </c>
      <c r="X67" s="4" t="s">
        <v>36</v>
      </c>
      <c r="Y67" s="12">
        <f t="shared" si="0"/>
        <v>3.3678198632396481</v>
      </c>
      <c r="Z67" s="5">
        <f t="shared" si="8"/>
        <v>5483.7081080548696</v>
      </c>
      <c r="AA67" s="2">
        <f t="shared" si="2"/>
        <v>655122.73663590476</v>
      </c>
      <c r="AB67" s="5">
        <f t="shared" si="9"/>
        <v>2765.0514836734683</v>
      </c>
      <c r="AC67" s="2">
        <f t="shared" si="4"/>
        <v>77313.449844414106</v>
      </c>
      <c r="AD67" s="2">
        <f t="shared" si="10"/>
        <v>2856.6320393717187</v>
      </c>
      <c r="AE67" s="2">
        <f t="shared" si="6"/>
        <v>153.4872271231402</v>
      </c>
      <c r="AF67" s="2">
        <f t="shared" si="11"/>
        <v>5494.5735246672439</v>
      </c>
    </row>
    <row r="68" spans="1:32">
      <c r="A68" s="1" t="s">
        <v>99</v>
      </c>
      <c r="B68" s="4">
        <v>7.940780697291145</v>
      </c>
      <c r="C68" s="3">
        <v>57.936824447381099</v>
      </c>
      <c r="D68" s="3">
        <v>30.910722067019002</v>
      </c>
      <c r="E68" s="4">
        <v>2.33313521224493</v>
      </c>
      <c r="F68" s="2">
        <v>376.31510567656198</v>
      </c>
      <c r="G68" s="8">
        <v>0.28541659649617901</v>
      </c>
      <c r="H68" s="2">
        <v>1278.94205139107</v>
      </c>
      <c r="I68" s="3">
        <v>31.717088944075101</v>
      </c>
      <c r="J68" s="3">
        <v>10.9631196110182</v>
      </c>
      <c r="K68" s="4">
        <v>2.5752462964282401</v>
      </c>
      <c r="L68" s="3">
        <v>17.988057093965701</v>
      </c>
      <c r="M68" s="3">
        <v>20.7818510989866</v>
      </c>
      <c r="N68" s="3">
        <v>29.995113077572501</v>
      </c>
      <c r="O68" s="2">
        <v>3628.6730274746501</v>
      </c>
      <c r="P68" s="5">
        <v>485.08148045162397</v>
      </c>
      <c r="Q68" s="4">
        <v>0.56980047852023397</v>
      </c>
      <c r="R68" s="4">
        <v>19.153954615863402</v>
      </c>
      <c r="S68" s="4">
        <v>1.8885821467922399E-2</v>
      </c>
      <c r="T68" s="4" t="s">
        <v>36</v>
      </c>
      <c r="U68" s="4" t="s">
        <v>36</v>
      </c>
      <c r="V68" s="4">
        <v>3.9159584258391403E-2</v>
      </c>
      <c r="W68" s="4">
        <v>0.12052028417765299</v>
      </c>
      <c r="X68" s="4">
        <v>55.242906542279897</v>
      </c>
      <c r="Y68" s="12">
        <f t="shared" ref="Y68:Y107" si="12">E68/G68</f>
        <v>8.1744903445941155</v>
      </c>
      <c r="Z68" s="5">
        <f t="shared" si="8"/>
        <v>1764.023531842694</v>
      </c>
      <c r="AA68" s="2">
        <f t="shared" si="2"/>
        <v>658776.05144672247</v>
      </c>
      <c r="AB68" s="5">
        <f t="shared" si="9"/>
        <v>1310.6591403351451</v>
      </c>
      <c r="AC68" s="2">
        <f t="shared" si="4"/>
        <v>79784.122078588014</v>
      </c>
      <c r="AD68" s="2">
        <f t="shared" si="10"/>
        <v>515.07659352919643</v>
      </c>
      <c r="AE68" s="2">
        <f t="shared" si="6"/>
        <v>159.66394328921345</v>
      </c>
      <c r="AF68" s="2">
        <f t="shared" si="11"/>
        <v>1774.9866514537121</v>
      </c>
    </row>
    <row r="69" spans="1:32">
      <c r="A69" s="1" t="s">
        <v>100</v>
      </c>
      <c r="B69" s="4">
        <v>7.2940732722253454</v>
      </c>
      <c r="C69" s="3">
        <v>58.684343844026699</v>
      </c>
      <c r="D69" s="3">
        <v>33.836740746929003</v>
      </c>
      <c r="E69" s="4">
        <v>2.9428436998397198</v>
      </c>
      <c r="F69" s="2">
        <v>300.55513815081099</v>
      </c>
      <c r="G69" s="8">
        <v>0.177433210011197</v>
      </c>
      <c r="H69" s="2">
        <v>353.403467067083</v>
      </c>
      <c r="I69" s="3">
        <v>21.740493259609799</v>
      </c>
      <c r="J69" s="3">
        <v>40.331945487758503</v>
      </c>
      <c r="K69" s="4">
        <v>1.09501958347172</v>
      </c>
      <c r="L69" s="4">
        <v>4.9281164946116203</v>
      </c>
      <c r="M69" s="3">
        <v>10.3857148179593</v>
      </c>
      <c r="N69" s="3">
        <v>22.114532576727498</v>
      </c>
      <c r="O69" s="2">
        <v>3685.3184610509602</v>
      </c>
      <c r="P69" s="5">
        <v>562.40620588190598</v>
      </c>
      <c r="Q69" s="4">
        <v>0.54216204396837198</v>
      </c>
      <c r="R69" s="4">
        <v>36.945351062882203</v>
      </c>
      <c r="S69" s="4">
        <v>5.4652825271631601E-2</v>
      </c>
      <c r="T69" s="4">
        <v>2.2341689762938901</v>
      </c>
      <c r="U69" s="4" t="s">
        <v>36</v>
      </c>
      <c r="V69" s="4">
        <v>0.313690866183783</v>
      </c>
      <c r="W69" s="4">
        <v>3.12437630237936E-2</v>
      </c>
      <c r="X69" s="4">
        <v>9.8026702866335</v>
      </c>
      <c r="Y69" s="12">
        <f t="shared" si="12"/>
        <v>16.585641998214484</v>
      </c>
      <c r="Z69" s="5">
        <f t="shared" si="8"/>
        <v>915.80967294898892</v>
      </c>
      <c r="AA69" s="2">
        <f t="shared" ref="AA69:AA107" si="13">B69*10000+C69*10000</f>
        <v>659784.17116252042</v>
      </c>
      <c r="AB69" s="5">
        <f t="shared" si="9"/>
        <v>375.14396032669282</v>
      </c>
      <c r="AC69" s="2">
        <f t="shared" ref="AC69:AC107" si="14">B69*10000+F69</f>
        <v>73241.287860404263</v>
      </c>
      <c r="AD69" s="2">
        <f t="shared" si="10"/>
        <v>584.52073845863345</v>
      </c>
      <c r="AE69" s="2">
        <f t="shared" ref="AE69:AE107" si="15">C69*10000/O69</f>
        <v>159.23818922094293</v>
      </c>
      <c r="AF69" s="2">
        <f t="shared" si="11"/>
        <v>956.14161843674742</v>
      </c>
    </row>
    <row r="70" spans="1:32">
      <c r="A70" s="1" t="s">
        <v>101</v>
      </c>
      <c r="B70" s="4">
        <v>6.3881995437061452</v>
      </c>
      <c r="C70" s="3">
        <v>59.526667340028496</v>
      </c>
      <c r="D70" s="3">
        <v>31.120745633171801</v>
      </c>
      <c r="E70" s="4">
        <v>2.0691452106944999</v>
      </c>
      <c r="F70" s="2">
        <v>287.33861409133198</v>
      </c>
      <c r="G70" s="8">
        <v>0.30131871745776601</v>
      </c>
      <c r="H70" s="2">
        <v>1204.2781165696399</v>
      </c>
      <c r="I70" s="3">
        <v>92.264933367163195</v>
      </c>
      <c r="J70" s="2">
        <v>211.54936594491801</v>
      </c>
      <c r="K70" s="4">
        <v>9.9284950376445398</v>
      </c>
      <c r="L70" s="3">
        <v>32.644669317476101</v>
      </c>
      <c r="M70" s="3">
        <v>78.384634709472394</v>
      </c>
      <c r="N70" s="3">
        <v>26.0059381452363</v>
      </c>
      <c r="O70" s="2">
        <v>3844.9904411416501</v>
      </c>
      <c r="P70" s="5">
        <v>643.28849189450796</v>
      </c>
      <c r="Q70" s="4">
        <v>0.37191494911696998</v>
      </c>
      <c r="R70" s="4" t="s">
        <v>36</v>
      </c>
      <c r="S70" s="4">
        <v>0.57446182147918701</v>
      </c>
      <c r="T70" s="4">
        <v>8.1400481700083205</v>
      </c>
      <c r="U70" s="4">
        <v>1.0062242614841199</v>
      </c>
      <c r="V70" s="4">
        <v>0.155434218180447</v>
      </c>
      <c r="W70" s="4">
        <v>8.9823645812553004</v>
      </c>
      <c r="X70" s="4">
        <v>6.4511157982279199</v>
      </c>
      <c r="Y70" s="12">
        <f t="shared" si="12"/>
        <v>6.8669654117471781</v>
      </c>
      <c r="Z70" s="5">
        <f t="shared" si="8"/>
        <v>1847.566608464148</v>
      </c>
      <c r="AA70" s="2">
        <f t="shared" si="13"/>
        <v>659148.66883734637</v>
      </c>
      <c r="AB70" s="5">
        <f t="shared" si="9"/>
        <v>1296.5430499368031</v>
      </c>
      <c r="AC70" s="2">
        <f t="shared" si="14"/>
        <v>64169.334051152786</v>
      </c>
      <c r="AD70" s="2">
        <f t="shared" si="10"/>
        <v>669.29443003974427</v>
      </c>
      <c r="AE70" s="2">
        <f t="shared" si="15"/>
        <v>154.81616469858872</v>
      </c>
      <c r="AF70" s="2">
        <f t="shared" si="11"/>
        <v>2059.115974409066</v>
      </c>
    </row>
    <row r="71" spans="1:32">
      <c r="B71" s="4">
        <v>0</v>
      </c>
      <c r="C71" s="3">
        <v>0</v>
      </c>
      <c r="D71" s="3"/>
      <c r="E71" s="4"/>
      <c r="F71" s="2"/>
      <c r="G71" s="8"/>
      <c r="H71" s="2"/>
      <c r="I71" s="3"/>
      <c r="J71" s="2"/>
      <c r="K71" s="4"/>
      <c r="L71" s="3"/>
      <c r="M71" s="3"/>
      <c r="N71" s="3"/>
      <c r="O71" s="2"/>
      <c r="P71" s="5"/>
      <c r="Q71" s="4"/>
      <c r="R71" s="4"/>
      <c r="S71" s="4"/>
      <c r="T71" s="4"/>
      <c r="U71" s="4"/>
      <c r="V71" s="4"/>
      <c r="W71" s="4"/>
      <c r="X71" s="4"/>
      <c r="Y71" s="12"/>
      <c r="Z71" s="5"/>
      <c r="AA71" s="2"/>
      <c r="AB71" s="5"/>
      <c r="AC71" s="2"/>
      <c r="AD71" s="2"/>
      <c r="AE71" s="2"/>
      <c r="AF71" s="2"/>
    </row>
    <row r="72" spans="1:32">
      <c r="A72" s="1" t="s">
        <v>102</v>
      </c>
      <c r="B72" s="4">
        <v>8.3022198887456184</v>
      </c>
      <c r="C72" s="3">
        <v>57.511514297636005</v>
      </c>
      <c r="D72" s="3">
        <v>61.441831105510602</v>
      </c>
      <c r="E72" s="4">
        <v>3.30361934367316</v>
      </c>
      <c r="F72" s="2">
        <v>2668.3286805448502</v>
      </c>
      <c r="G72" s="4">
        <v>1.0022759904990699</v>
      </c>
      <c r="H72" s="2">
        <v>196.94996694134099</v>
      </c>
      <c r="I72" s="4">
        <v>3.9073919611641199</v>
      </c>
      <c r="J72" s="3">
        <v>89.381274485509394</v>
      </c>
      <c r="K72" s="4">
        <v>4.8096214175441503</v>
      </c>
      <c r="L72" s="10">
        <v>2.5086654281225401E-2</v>
      </c>
      <c r="M72" s="3">
        <v>15.726391866797201</v>
      </c>
      <c r="N72" s="4">
        <v>4.4562676969750701</v>
      </c>
      <c r="O72" s="2">
        <v>2884.6056128872401</v>
      </c>
      <c r="P72" s="7">
        <v>7.7864251990362998</v>
      </c>
      <c r="Q72" s="4">
        <v>4.9363131174913998E-2</v>
      </c>
      <c r="R72" s="4">
        <v>20.657975977116699</v>
      </c>
      <c r="S72" s="4">
        <v>6.0772371514132397E-3</v>
      </c>
      <c r="T72" s="4">
        <v>5.8337954500396902</v>
      </c>
      <c r="U72" s="4">
        <v>0.24600937763279701</v>
      </c>
      <c r="V72" s="4">
        <v>8.5950205118349707E-2</v>
      </c>
      <c r="W72" s="4">
        <v>6.3400555693953997</v>
      </c>
      <c r="X72" s="4">
        <v>40.851249730022701</v>
      </c>
      <c r="Y72" s="12">
        <f t="shared" si="12"/>
        <v>3.296117411760175</v>
      </c>
      <c r="Z72" s="5">
        <f t="shared" si="8"/>
        <v>204.73639214037729</v>
      </c>
      <c r="AA72" s="2">
        <f t="shared" si="13"/>
        <v>658137.34186381625</v>
      </c>
      <c r="AB72" s="5">
        <f t="shared" si="9"/>
        <v>200.8573589025051</v>
      </c>
      <c r="AC72" s="2">
        <f t="shared" si="14"/>
        <v>85690.527568001024</v>
      </c>
      <c r="AD72" s="2">
        <f t="shared" si="10"/>
        <v>12.24269289601137</v>
      </c>
      <c r="AE72" s="2">
        <f t="shared" si="15"/>
        <v>199.3739249507733</v>
      </c>
      <c r="AF72" s="2">
        <f t="shared" si="11"/>
        <v>294.11766662588667</v>
      </c>
    </row>
    <row r="73" spans="1:32">
      <c r="A73" s="1" t="s">
        <v>103</v>
      </c>
      <c r="B73" s="4">
        <v>8.4414924013380546</v>
      </c>
      <c r="C73" s="3">
        <v>57.324451607692907</v>
      </c>
      <c r="D73" s="3">
        <v>47.326606706902197</v>
      </c>
      <c r="E73" s="4">
        <v>2.8705865483811102</v>
      </c>
      <c r="F73" s="2">
        <v>2560.9069709620799</v>
      </c>
      <c r="G73" s="8">
        <v>0.91930601264156298</v>
      </c>
      <c r="H73" s="2">
        <v>674.58055190617199</v>
      </c>
      <c r="I73" s="4">
        <v>4.8862026602629101</v>
      </c>
      <c r="J73" s="2">
        <v>297.44321235208099</v>
      </c>
      <c r="K73" s="4">
        <v>9.2469222505281404E-2</v>
      </c>
      <c r="L73" s="11">
        <v>1.88992316813747E-3</v>
      </c>
      <c r="M73" s="4">
        <v>9.2131328130160099</v>
      </c>
      <c r="N73" s="4">
        <v>7.2665534065117399</v>
      </c>
      <c r="O73" s="2">
        <v>2840.0476048526998</v>
      </c>
      <c r="P73" s="6">
        <v>15.9503394804421</v>
      </c>
      <c r="Q73" s="4">
        <v>0.41520753081766398</v>
      </c>
      <c r="R73" s="4" t="s">
        <v>36</v>
      </c>
      <c r="S73" s="4" t="s">
        <v>36</v>
      </c>
      <c r="T73" s="4">
        <v>26.8049957132881</v>
      </c>
      <c r="U73" s="4">
        <v>7.8212040395830906E-2</v>
      </c>
      <c r="V73" s="4" t="s">
        <v>36</v>
      </c>
      <c r="W73" s="4">
        <v>8.5931366817881294</v>
      </c>
      <c r="X73" s="4" t="s">
        <v>36</v>
      </c>
      <c r="Y73" s="12">
        <f t="shared" si="12"/>
        <v>3.1225582220795838</v>
      </c>
      <c r="Z73" s="5">
        <f t="shared" si="8"/>
        <v>690.53089138661414</v>
      </c>
      <c r="AA73" s="2">
        <f t="shared" si="13"/>
        <v>657659.4400903096</v>
      </c>
      <c r="AB73" s="5">
        <f t="shared" si="9"/>
        <v>679.46675456643493</v>
      </c>
      <c r="AC73" s="2">
        <f t="shared" si="14"/>
        <v>86975.830984342625</v>
      </c>
      <c r="AD73" s="2">
        <f t="shared" si="10"/>
        <v>23.21689288695384</v>
      </c>
      <c r="AE73" s="2">
        <f t="shared" si="15"/>
        <v>201.84327723853792</v>
      </c>
      <c r="AF73" s="2">
        <f t="shared" si="11"/>
        <v>987.97410373869513</v>
      </c>
    </row>
    <row r="74" spans="1:32">
      <c r="A74" s="1" t="s">
        <v>104</v>
      </c>
      <c r="B74" s="4">
        <v>8.6396609178865358</v>
      </c>
      <c r="C74" s="3">
        <v>57.061754107580697</v>
      </c>
      <c r="D74" s="3">
        <v>62.947998300097197</v>
      </c>
      <c r="E74" s="4">
        <v>2.1377726505908101</v>
      </c>
      <c r="F74" s="2">
        <v>3019.8928503707598</v>
      </c>
      <c r="G74" s="8">
        <v>0.74181935750635597</v>
      </c>
      <c r="H74" s="2">
        <v>354.12423250711601</v>
      </c>
      <c r="I74" s="4">
        <v>3.3892072833500202</v>
      </c>
      <c r="J74" s="2">
        <v>333.258299518125</v>
      </c>
      <c r="K74" s="4">
        <v>0.137311913667197</v>
      </c>
      <c r="L74" s="10">
        <v>7.1928170996391899E-2</v>
      </c>
      <c r="M74" s="3">
        <v>40.4390725483224</v>
      </c>
      <c r="N74" s="4">
        <v>5.0351091575813998</v>
      </c>
      <c r="O74" s="2">
        <v>2366.26720227122</v>
      </c>
      <c r="P74" s="7">
        <v>3.1147108148622902</v>
      </c>
      <c r="Q74" s="4">
        <v>0.50277793946985605</v>
      </c>
      <c r="R74" s="4">
        <v>11.3994308592536</v>
      </c>
      <c r="S74" s="4">
        <v>2.0649893061238801E-2</v>
      </c>
      <c r="T74" s="4">
        <v>60.8174672493003</v>
      </c>
      <c r="U74" s="4">
        <v>1.2422488188295</v>
      </c>
      <c r="V74" s="4">
        <v>0.67329267893662703</v>
      </c>
      <c r="W74" s="4">
        <v>21.2970076327519</v>
      </c>
      <c r="X74" s="4">
        <v>53.612726517719302</v>
      </c>
      <c r="Y74" s="12">
        <f t="shared" si="12"/>
        <v>2.8817967999338618</v>
      </c>
      <c r="Z74" s="5">
        <f t="shared" si="8"/>
        <v>357.2389433219783</v>
      </c>
      <c r="AA74" s="2">
        <f t="shared" si="13"/>
        <v>657014.15025467228</v>
      </c>
      <c r="AB74" s="5">
        <f t="shared" si="9"/>
        <v>357.51343979046601</v>
      </c>
      <c r="AC74" s="2">
        <f t="shared" si="14"/>
        <v>89416.502029236115</v>
      </c>
      <c r="AD74" s="2">
        <f t="shared" si="10"/>
        <v>8.1498199724436908</v>
      </c>
      <c r="AE74" s="2">
        <f t="shared" si="15"/>
        <v>241.14670588685408</v>
      </c>
      <c r="AF74" s="2">
        <f t="shared" si="11"/>
        <v>690.49724284010335</v>
      </c>
    </row>
    <row r="75" spans="1:32">
      <c r="A75" s="1" t="s">
        <v>105</v>
      </c>
      <c r="B75" s="4">
        <v>8.1017773157888637</v>
      </c>
      <c r="C75" s="3">
        <v>57.735366741727596</v>
      </c>
      <c r="D75" s="3">
        <v>55.6603115956515</v>
      </c>
      <c r="E75" s="4">
        <v>2.02799041232571</v>
      </c>
      <c r="F75" s="2">
        <v>2958.5661459059102</v>
      </c>
      <c r="G75" s="8">
        <v>0.48795480068054697</v>
      </c>
      <c r="H75" s="3">
        <v>36.036640986817702</v>
      </c>
      <c r="I75" s="8">
        <v>0.51937002389039599</v>
      </c>
      <c r="J75" s="4">
        <v>7.1948466317845297</v>
      </c>
      <c r="K75" s="4">
        <v>1.25242323952329E-2</v>
      </c>
      <c r="L75" s="11">
        <v>6.8533130435983103E-4</v>
      </c>
      <c r="M75" s="8">
        <v>0.118364533779477</v>
      </c>
      <c r="N75" s="4">
        <v>3.7611806072407998</v>
      </c>
      <c r="O75" s="2">
        <v>2858.8265533202498</v>
      </c>
      <c r="P75" s="7">
        <v>1.8292789611637801</v>
      </c>
      <c r="Q75" s="4">
        <v>0.83597014350774401</v>
      </c>
      <c r="R75" s="4" t="s">
        <v>36</v>
      </c>
      <c r="S75" s="4" t="s">
        <v>36</v>
      </c>
      <c r="T75" s="4" t="s">
        <v>36</v>
      </c>
      <c r="U75" s="4" t="s">
        <v>36</v>
      </c>
      <c r="V75" s="4">
        <v>0.17739416954974299</v>
      </c>
      <c r="W75" s="4">
        <v>2.8480350697466399</v>
      </c>
      <c r="X75" s="4">
        <v>38.805586388552797</v>
      </c>
      <c r="Y75" s="12">
        <f t="shared" si="12"/>
        <v>4.1561030027725652</v>
      </c>
      <c r="Z75" s="5">
        <f t="shared" si="8"/>
        <v>37.865919947981482</v>
      </c>
      <c r="AA75" s="2">
        <f t="shared" si="13"/>
        <v>658371.44057516463</v>
      </c>
      <c r="AB75" s="5">
        <f t="shared" si="9"/>
        <v>36.556011010708097</v>
      </c>
      <c r="AC75" s="2">
        <f t="shared" si="14"/>
        <v>83976.339303794535</v>
      </c>
      <c r="AD75" s="2">
        <f t="shared" si="10"/>
        <v>5.5904595684045795</v>
      </c>
      <c r="AE75" s="2">
        <f t="shared" si="15"/>
        <v>201.95477292833161</v>
      </c>
      <c r="AF75" s="2">
        <f t="shared" si="11"/>
        <v>45.06076657976601</v>
      </c>
    </row>
    <row r="76" spans="1:32">
      <c r="A76" s="1" t="s">
        <v>106</v>
      </c>
      <c r="B76" s="4">
        <v>8.4557702309343448</v>
      </c>
      <c r="C76" s="3">
        <v>57.311367974775095</v>
      </c>
      <c r="D76" s="3">
        <v>49.377389470330201</v>
      </c>
      <c r="E76" s="4">
        <v>3.1827885648726402</v>
      </c>
      <c r="F76" s="2">
        <v>2640.4404292714098</v>
      </c>
      <c r="G76" s="4">
        <v>1.01195912561607</v>
      </c>
      <c r="H76" s="2">
        <v>700.03619976256402</v>
      </c>
      <c r="I76" s="4">
        <v>4.2837975615013297</v>
      </c>
      <c r="J76" s="3">
        <v>29.165719647429601</v>
      </c>
      <c r="K76" s="4">
        <v>0.64626860629189098</v>
      </c>
      <c r="L76" s="11">
        <v>7.0712180757951798E-3</v>
      </c>
      <c r="M76" s="4">
        <v>2.0245558225325899</v>
      </c>
      <c r="N76" s="4">
        <v>6.3763783022297202</v>
      </c>
      <c r="O76" s="2">
        <v>2744.7347802138202</v>
      </c>
      <c r="P76" s="7">
        <v>4.0510249305180697</v>
      </c>
      <c r="Q76" s="4">
        <v>0.45662328773462302</v>
      </c>
      <c r="R76" s="4">
        <v>16.1587075214732</v>
      </c>
      <c r="S76" s="4" t="s">
        <v>36</v>
      </c>
      <c r="T76" s="4" t="s">
        <v>36</v>
      </c>
      <c r="U76" s="4">
        <v>9.7506545085193796E-2</v>
      </c>
      <c r="V76" s="4" t="s">
        <v>36</v>
      </c>
      <c r="W76" s="4" t="s">
        <v>36</v>
      </c>
      <c r="X76" s="4" t="s">
        <v>36</v>
      </c>
      <c r="Y76" s="12">
        <f t="shared" si="12"/>
        <v>3.1451750217035617</v>
      </c>
      <c r="Z76" s="5">
        <f t="shared" si="8"/>
        <v>704.08722469308213</v>
      </c>
      <c r="AA76" s="2">
        <f t="shared" si="13"/>
        <v>657671.38205709448</v>
      </c>
      <c r="AB76" s="5">
        <f t="shared" si="9"/>
        <v>704.3199973240653</v>
      </c>
      <c r="AC76" s="2">
        <f t="shared" si="14"/>
        <v>87198.142738614872</v>
      </c>
      <c r="AD76" s="2">
        <f t="shared" si="10"/>
        <v>10.427403232747789</v>
      </c>
      <c r="AE76" s="2">
        <f t="shared" si="15"/>
        <v>208.80475734092761</v>
      </c>
      <c r="AF76" s="2">
        <f t="shared" si="11"/>
        <v>733.2529443405117</v>
      </c>
    </row>
    <row r="77" spans="1:32">
      <c r="A77" s="1" t="s">
        <v>107</v>
      </c>
      <c r="B77" s="4">
        <v>8.7503345294987351</v>
      </c>
      <c r="C77" s="3">
        <v>57.071810592932501</v>
      </c>
      <c r="D77" s="3">
        <v>48.360225957894201</v>
      </c>
      <c r="E77" s="4">
        <v>2.0061658070581601</v>
      </c>
      <c r="F77" s="2">
        <v>2480.9161993581702</v>
      </c>
      <c r="G77" s="8">
        <v>0.93998168695570095</v>
      </c>
      <c r="H77" s="2">
        <v>109.791486180601</v>
      </c>
      <c r="I77" s="4">
        <v>1.59028448381594</v>
      </c>
      <c r="J77" s="3">
        <v>86.553161186803493</v>
      </c>
      <c r="K77" s="4">
        <v>0.173866804074995</v>
      </c>
      <c r="L77" s="11">
        <v>5.0766955464694296E-3</v>
      </c>
      <c r="M77" s="3">
        <v>15.776462867137299</v>
      </c>
      <c r="N77" s="4">
        <v>5.9975210091913498</v>
      </c>
      <c r="O77" s="2">
        <v>2959.1902865801499</v>
      </c>
      <c r="P77" s="6">
        <v>12.1153881922633</v>
      </c>
      <c r="Q77" s="4">
        <v>0.32242682416130602</v>
      </c>
      <c r="R77" s="4">
        <v>9.4688001521281109</v>
      </c>
      <c r="S77" s="4" t="s">
        <v>36</v>
      </c>
      <c r="T77" s="4">
        <v>13.4773083919125</v>
      </c>
      <c r="U77" s="4">
        <v>1.3403426360960801E-2</v>
      </c>
      <c r="V77" s="4">
        <v>0.21157754285910499</v>
      </c>
      <c r="W77" s="4">
        <v>4.7642631877425199</v>
      </c>
      <c r="X77" s="4" t="s">
        <v>36</v>
      </c>
      <c r="Y77" s="12">
        <f t="shared" si="12"/>
        <v>2.1342605232613492</v>
      </c>
      <c r="Z77" s="5">
        <f t="shared" si="8"/>
        <v>121.90687437286429</v>
      </c>
      <c r="AA77" s="2">
        <f t="shared" si="13"/>
        <v>658221.4512243123</v>
      </c>
      <c r="AB77" s="5">
        <f t="shared" si="9"/>
        <v>111.38177066441693</v>
      </c>
      <c r="AC77" s="2">
        <f t="shared" si="14"/>
        <v>89984.261494345512</v>
      </c>
      <c r="AD77" s="2">
        <f t="shared" si="10"/>
        <v>18.112909201454649</v>
      </c>
      <c r="AE77" s="2">
        <f t="shared" si="15"/>
        <v>192.8629289294158</v>
      </c>
      <c r="AF77" s="2">
        <f t="shared" si="11"/>
        <v>208.4600355596678</v>
      </c>
    </row>
    <row r="78" spans="1:32">
      <c r="A78" s="1" t="s">
        <v>108</v>
      </c>
      <c r="B78" s="4">
        <v>8.4289706781869267</v>
      </c>
      <c r="C78" s="3">
        <v>57.442045507851304</v>
      </c>
      <c r="D78" s="3">
        <v>30.2393326269348</v>
      </c>
      <c r="E78" s="4">
        <v>2.4448169620774798</v>
      </c>
      <c r="F78" s="2">
        <v>2891.1304098422802</v>
      </c>
      <c r="G78" s="8">
        <v>7.0494074144372504E-2</v>
      </c>
      <c r="H78" s="2">
        <v>121.07041804245701</v>
      </c>
      <c r="I78" s="4">
        <v>2.7086729512429901</v>
      </c>
      <c r="J78" s="4">
        <v>6.22302122634831</v>
      </c>
      <c r="K78" s="4">
        <v>0.31572590864030797</v>
      </c>
      <c r="L78" s="10">
        <v>3.2545440975479498E-2</v>
      </c>
      <c r="M78" s="3">
        <v>54.2693086335684</v>
      </c>
      <c r="N78" s="4">
        <v>3.1718618495984501</v>
      </c>
      <c r="O78" s="2">
        <v>2231.3252564270902</v>
      </c>
      <c r="P78" s="7">
        <v>4.7316096960419101</v>
      </c>
      <c r="Q78" s="4">
        <v>1.07509767768616</v>
      </c>
      <c r="R78" s="4">
        <v>8.6211195378883492</v>
      </c>
      <c r="S78" s="4" t="s">
        <v>36</v>
      </c>
      <c r="T78" s="4">
        <v>89.695941636047493</v>
      </c>
      <c r="U78" s="4">
        <v>0.28273617798175699</v>
      </c>
      <c r="V78" s="4">
        <v>8.1207227651436398E-2</v>
      </c>
      <c r="W78" s="4">
        <v>27.887706833795299</v>
      </c>
      <c r="X78" s="4">
        <v>51.6592284468868</v>
      </c>
      <c r="Y78" s="12">
        <f t="shared" si="12"/>
        <v>34.681169896216701</v>
      </c>
      <c r="Z78" s="5">
        <f t="shared" si="8"/>
        <v>125.80202773849892</v>
      </c>
      <c r="AA78" s="2">
        <f t="shared" si="13"/>
        <v>658710.1618603823</v>
      </c>
      <c r="AB78" s="5">
        <f t="shared" si="9"/>
        <v>123.7790909937</v>
      </c>
      <c r="AC78" s="2">
        <f t="shared" si="14"/>
        <v>87180.837191711558</v>
      </c>
      <c r="AD78" s="2">
        <f t="shared" si="10"/>
        <v>7.9034715456403601</v>
      </c>
      <c r="AE78" s="2">
        <f t="shared" si="15"/>
        <v>257.43465836007425</v>
      </c>
      <c r="AF78" s="2">
        <f t="shared" si="11"/>
        <v>132.02504896484723</v>
      </c>
    </row>
    <row r="79" spans="1:32">
      <c r="A79" s="1" t="s">
        <v>109</v>
      </c>
      <c r="B79" s="4">
        <v>8.5471273065305269</v>
      </c>
      <c r="C79" s="3">
        <v>57.264276294706903</v>
      </c>
      <c r="D79" s="3">
        <v>60.951801842423002</v>
      </c>
      <c r="E79" s="4">
        <v>2.8505282981490598</v>
      </c>
      <c r="F79" s="2">
        <v>2922.2063853884001</v>
      </c>
      <c r="G79" s="8">
        <v>9.1270002490604196E-3</v>
      </c>
      <c r="H79" s="2">
        <v>162.296348104152</v>
      </c>
      <c r="I79" s="4">
        <v>3.83263075574768</v>
      </c>
      <c r="J79" s="4">
        <v>5.6568253755915796</v>
      </c>
      <c r="K79" s="4">
        <v>0.11253167930706499</v>
      </c>
      <c r="L79" s="10">
        <v>2.95965515276959E-2</v>
      </c>
      <c r="M79" s="3">
        <v>28.5109158278173</v>
      </c>
      <c r="N79" s="4">
        <v>3.2083689803339199</v>
      </c>
      <c r="O79" s="2">
        <v>2622.1471541023798</v>
      </c>
      <c r="P79" s="7">
        <v>4.8115696439618096</v>
      </c>
      <c r="Q79" s="4">
        <v>0.32230593332863999</v>
      </c>
      <c r="R79" s="4" t="s">
        <v>36</v>
      </c>
      <c r="S79" s="4">
        <v>5.3687917434712198E-3</v>
      </c>
      <c r="T79" s="4">
        <v>18.7870099681599</v>
      </c>
      <c r="U79" s="4">
        <v>0.263341881457274</v>
      </c>
      <c r="V79" s="4">
        <v>0.157379963995435</v>
      </c>
      <c r="W79" s="4">
        <v>12.0893306318362</v>
      </c>
      <c r="X79" s="4" t="s">
        <v>36</v>
      </c>
      <c r="Y79" s="12">
        <f t="shared" si="12"/>
        <v>312.31820098202672</v>
      </c>
      <c r="Z79" s="5">
        <f t="shared" si="8"/>
        <v>167.10791774811381</v>
      </c>
      <c r="AA79" s="2">
        <f t="shared" si="13"/>
        <v>658114.03601237433</v>
      </c>
      <c r="AB79" s="5">
        <f t="shared" si="9"/>
        <v>166.12897885989969</v>
      </c>
      <c r="AC79" s="2">
        <f t="shared" si="14"/>
        <v>88393.479450693674</v>
      </c>
      <c r="AD79" s="2">
        <f t="shared" si="10"/>
        <v>8.0199386242957296</v>
      </c>
      <c r="AE79" s="2">
        <f t="shared" si="15"/>
        <v>218.38696659383237</v>
      </c>
      <c r="AF79" s="2">
        <f t="shared" si="11"/>
        <v>172.76474312370539</v>
      </c>
    </row>
    <row r="80" spans="1:32">
      <c r="A80" s="1" t="s">
        <v>110</v>
      </c>
      <c r="B80" s="4">
        <v>9.220713103105</v>
      </c>
      <c r="C80" s="3">
        <v>56.544575544737604</v>
      </c>
      <c r="D80" s="3">
        <v>36.042619546741797</v>
      </c>
      <c r="E80" s="4">
        <v>2.8751914213702499</v>
      </c>
      <c r="F80" s="2">
        <v>2658.8013630876999</v>
      </c>
      <c r="G80" s="8">
        <v>0.88175142604262502</v>
      </c>
      <c r="H80" s="2">
        <v>320.66298653699198</v>
      </c>
      <c r="I80" s="4">
        <v>2.42905943499232</v>
      </c>
      <c r="J80" s="3">
        <v>180.19031724119299</v>
      </c>
      <c r="K80" s="4">
        <v>0</v>
      </c>
      <c r="L80" s="11">
        <v>3.6541135792260899E-3</v>
      </c>
      <c r="M80" s="4">
        <v>7.7091801508372999</v>
      </c>
      <c r="N80" s="4">
        <v>7.5855741370938397</v>
      </c>
      <c r="O80" s="2">
        <v>2791.9953142909799</v>
      </c>
      <c r="P80" s="7">
        <v>7.7691053762514199</v>
      </c>
      <c r="Q80" s="4" t="s">
        <v>36</v>
      </c>
      <c r="R80" s="4" t="s">
        <v>36</v>
      </c>
      <c r="S80" s="4">
        <v>4.3543689410792197E-3</v>
      </c>
      <c r="T80" s="4">
        <v>21.983210252891801</v>
      </c>
      <c r="U80" s="4" t="s">
        <v>36</v>
      </c>
      <c r="V80" s="4">
        <v>0.20393846531736201</v>
      </c>
      <c r="W80" s="4" t="s">
        <v>36</v>
      </c>
      <c r="X80" s="4" t="s">
        <v>36</v>
      </c>
      <c r="Y80" s="12">
        <f t="shared" si="12"/>
        <v>3.2607732025729201</v>
      </c>
      <c r="Z80" s="5">
        <f t="shared" si="8"/>
        <v>328.43209191324343</v>
      </c>
      <c r="AA80" s="2">
        <f t="shared" si="13"/>
        <v>657652.88647842605</v>
      </c>
      <c r="AB80" s="5">
        <f t="shared" si="9"/>
        <v>323.09204597198431</v>
      </c>
      <c r="AC80" s="2">
        <f t="shared" si="14"/>
        <v>94865.932394137693</v>
      </c>
      <c r="AD80" s="2">
        <f t="shared" si="10"/>
        <v>15.35467951334526</v>
      </c>
      <c r="AE80" s="2">
        <f t="shared" si="15"/>
        <v>202.52389126626079</v>
      </c>
      <c r="AF80" s="2">
        <f t="shared" si="11"/>
        <v>508.62240915443641</v>
      </c>
    </row>
    <row r="81" spans="1:32">
      <c r="A81" s="1" t="s">
        <v>111</v>
      </c>
      <c r="B81" s="4">
        <v>8.9188095185280645</v>
      </c>
      <c r="C81" s="3">
        <v>56.719498453731902</v>
      </c>
      <c r="D81" s="3">
        <v>21.922239104632499</v>
      </c>
      <c r="E81" s="4">
        <v>2.8994834441991499</v>
      </c>
      <c r="F81" s="2">
        <v>2772.7215282357702</v>
      </c>
      <c r="G81" s="8">
        <v>0.84188069872770499</v>
      </c>
      <c r="H81" s="2">
        <v>1139.4423184648099</v>
      </c>
      <c r="I81" s="4">
        <v>7.5287070438684802</v>
      </c>
      <c r="J81" s="2">
        <v>490.93986535481997</v>
      </c>
      <c r="K81" s="4">
        <v>2.1425132799577802</v>
      </c>
      <c r="L81" s="10">
        <v>3.23883342662405E-2</v>
      </c>
      <c r="M81" s="3">
        <v>35.949551129982503</v>
      </c>
      <c r="N81" s="4">
        <v>7.0942142755856796</v>
      </c>
      <c r="O81" s="2">
        <v>2612.5507051343102</v>
      </c>
      <c r="P81" s="7">
        <v>9.7028675898460293</v>
      </c>
      <c r="Q81" s="4">
        <v>0.828155092765953</v>
      </c>
      <c r="R81" s="4" t="s">
        <v>36</v>
      </c>
      <c r="S81" s="4">
        <v>2.9369090717194001E-3</v>
      </c>
      <c r="T81" s="4">
        <v>36.7291568738762</v>
      </c>
      <c r="U81" s="4">
        <v>0.137499210080166</v>
      </c>
      <c r="V81" s="4">
        <v>0.98316620903268703</v>
      </c>
      <c r="W81" s="4">
        <v>90.936637098049999</v>
      </c>
      <c r="X81" s="4">
        <v>87.779633107040397</v>
      </c>
      <c r="Y81" s="12">
        <f t="shared" si="12"/>
        <v>3.4440550170362663</v>
      </c>
      <c r="Z81" s="5">
        <f t="shared" si="8"/>
        <v>1149.1451860546558</v>
      </c>
      <c r="AA81" s="2">
        <f t="shared" si="13"/>
        <v>656383.07972259971</v>
      </c>
      <c r="AB81" s="5">
        <f t="shared" si="9"/>
        <v>1146.9710255086784</v>
      </c>
      <c r="AC81" s="2">
        <f t="shared" si="14"/>
        <v>91960.816713516411</v>
      </c>
      <c r="AD81" s="2">
        <f t="shared" si="10"/>
        <v>16.797081865431707</v>
      </c>
      <c r="AE81" s="2">
        <f t="shared" si="15"/>
        <v>217.10391435566788</v>
      </c>
      <c r="AF81" s="2">
        <f t="shared" si="11"/>
        <v>1640.0850514094759</v>
      </c>
    </row>
    <row r="82" spans="1:32">
      <c r="A82" s="1" t="s">
        <v>112</v>
      </c>
      <c r="B82" s="4">
        <v>8.5597745725282</v>
      </c>
      <c r="C82" s="3">
        <v>57.237846560166602</v>
      </c>
      <c r="D82" s="3">
        <v>31.039090077013402</v>
      </c>
      <c r="E82" s="4">
        <v>2.3413941528083999</v>
      </c>
      <c r="F82" s="2">
        <v>2682.6448931140399</v>
      </c>
      <c r="G82" s="8">
        <v>0.98222671943775097</v>
      </c>
      <c r="H82" s="2">
        <v>501.85678155421101</v>
      </c>
      <c r="I82" s="4">
        <v>5.9711849076869701</v>
      </c>
      <c r="J82" s="2">
        <v>106.822459278314</v>
      </c>
      <c r="K82" s="4">
        <v>2.9059183234710799</v>
      </c>
      <c r="L82" s="11">
        <v>5.65566896373456E-3</v>
      </c>
      <c r="M82" s="4">
        <v>3.0089011761336302</v>
      </c>
      <c r="N82" s="4">
        <v>6.0099595722152399</v>
      </c>
      <c r="O82" s="2">
        <v>2712.48694139393</v>
      </c>
      <c r="P82" s="7">
        <v>2.4236619812209099</v>
      </c>
      <c r="Q82" s="4">
        <v>0.24953286805147501</v>
      </c>
      <c r="R82" s="4">
        <v>16.986363340062301</v>
      </c>
      <c r="S82" s="4" t="s">
        <v>36</v>
      </c>
      <c r="T82" s="4">
        <v>0.525939819336249</v>
      </c>
      <c r="U82" s="4" t="s">
        <v>36</v>
      </c>
      <c r="V82" s="4" t="s">
        <v>36</v>
      </c>
      <c r="W82" s="4">
        <v>5.3788655684708102</v>
      </c>
      <c r="X82" s="4">
        <v>8.5541779336269297</v>
      </c>
      <c r="Y82" s="12">
        <f t="shared" si="12"/>
        <v>2.3837614131986427</v>
      </c>
      <c r="Z82" s="5">
        <f t="shared" si="8"/>
        <v>504.28044353543191</v>
      </c>
      <c r="AA82" s="2">
        <f t="shared" si="13"/>
        <v>657976.21132694802</v>
      </c>
      <c r="AB82" s="5">
        <f t="shared" si="9"/>
        <v>507.82796646189797</v>
      </c>
      <c r="AC82" s="2">
        <f t="shared" si="14"/>
        <v>88280.390618396035</v>
      </c>
      <c r="AD82" s="2">
        <f t="shared" si="10"/>
        <v>8.4336215534361507</v>
      </c>
      <c r="AE82" s="2">
        <f t="shared" si="15"/>
        <v>211.01611840664725</v>
      </c>
      <c r="AF82" s="2">
        <f t="shared" si="11"/>
        <v>611.10290281374591</v>
      </c>
    </row>
    <row r="83" spans="1:32">
      <c r="A83" s="1" t="s">
        <v>113</v>
      </c>
      <c r="B83" s="4">
        <v>8.7325623024085086</v>
      </c>
      <c r="C83" s="3">
        <v>57.014922726266398</v>
      </c>
      <c r="D83" s="3">
        <v>33.1765367023241</v>
      </c>
      <c r="E83" s="4">
        <v>1.97862832923524</v>
      </c>
      <c r="F83" s="2">
        <v>2694.0680838765802</v>
      </c>
      <c r="G83" s="8">
        <v>0.82535128368244404</v>
      </c>
      <c r="H83" s="2">
        <v>717.74554461322805</v>
      </c>
      <c r="I83" s="4">
        <v>5.2197282410355301</v>
      </c>
      <c r="J83" s="2">
        <v>358.554121177269</v>
      </c>
      <c r="K83" s="4">
        <v>1.02844365120595</v>
      </c>
      <c r="L83" s="10">
        <v>1.76495889617382E-2</v>
      </c>
      <c r="M83" s="4">
        <v>6.7741619149745702</v>
      </c>
      <c r="N83" s="4">
        <v>6.4424846144078396</v>
      </c>
      <c r="O83" s="2">
        <v>2567.91324227207</v>
      </c>
      <c r="P83" s="7">
        <v>4.41517098541373</v>
      </c>
      <c r="Q83" s="4">
        <v>0.88139212720237703</v>
      </c>
      <c r="R83" s="4" t="s">
        <v>36</v>
      </c>
      <c r="S83" s="4" t="s">
        <v>36</v>
      </c>
      <c r="T83" s="4">
        <v>5.2598156920807204</v>
      </c>
      <c r="U83" s="4">
        <v>4.44448276719491E-2</v>
      </c>
      <c r="V83" s="4">
        <v>0.23223697866717899</v>
      </c>
      <c r="W83" s="4">
        <v>12.009187228257099</v>
      </c>
      <c r="X83" s="4">
        <v>34.744798930557501</v>
      </c>
      <c r="Y83" s="12">
        <f t="shared" si="12"/>
        <v>2.3973165951923594</v>
      </c>
      <c r="Z83" s="5">
        <f t="shared" si="8"/>
        <v>722.16071559864179</v>
      </c>
      <c r="AA83" s="2">
        <f t="shared" si="13"/>
        <v>657474.85028674908</v>
      </c>
      <c r="AB83" s="5">
        <f t="shared" si="9"/>
        <v>722.96527285426362</v>
      </c>
      <c r="AC83" s="2">
        <f t="shared" si="14"/>
        <v>90019.691107961669</v>
      </c>
      <c r="AD83" s="2">
        <f t="shared" si="10"/>
        <v>10.85765559982157</v>
      </c>
      <c r="AE83" s="2">
        <f t="shared" si="15"/>
        <v>222.02822816482708</v>
      </c>
      <c r="AF83" s="2">
        <f t="shared" si="11"/>
        <v>1080.7148367759107</v>
      </c>
    </row>
    <row r="84" spans="1:32">
      <c r="A84" s="1" t="s">
        <v>114</v>
      </c>
      <c r="B84" s="4">
        <v>9.0785840035780279</v>
      </c>
      <c r="C84" s="3">
        <v>56.704465713900895</v>
      </c>
      <c r="D84" s="3">
        <v>44.536236301104303</v>
      </c>
      <c r="E84" s="4">
        <v>1.8055050920011899</v>
      </c>
      <c r="F84" s="2">
        <v>2476.57472725364</v>
      </c>
      <c r="G84" s="8">
        <v>0.84478758588351599</v>
      </c>
      <c r="H84" s="2">
        <v>313.70289474897697</v>
      </c>
      <c r="I84" s="4">
        <v>4.2517127893701501</v>
      </c>
      <c r="J84" s="2">
        <v>292.53361303537002</v>
      </c>
      <c r="K84" s="4">
        <v>2.7303503914812302</v>
      </c>
      <c r="L84" s="10">
        <v>2.1056726798199601E-2</v>
      </c>
      <c r="M84" s="4">
        <v>8.2779254850283692</v>
      </c>
      <c r="N84" s="4">
        <v>6.63147480705587</v>
      </c>
      <c r="O84" s="2">
        <v>2692.8074316535099</v>
      </c>
      <c r="P84" s="7">
        <v>2.2471339252550799</v>
      </c>
      <c r="Q84" s="4">
        <v>0.54175166893597004</v>
      </c>
      <c r="R84" s="4">
        <v>16.445793230229601</v>
      </c>
      <c r="S84" s="4">
        <v>7.3469055900326E-3</v>
      </c>
      <c r="T84" s="4">
        <v>7.2540736271095501</v>
      </c>
      <c r="U84" s="4" t="s">
        <v>36</v>
      </c>
      <c r="V84" s="4">
        <v>0</v>
      </c>
      <c r="W84" s="4" t="s">
        <v>36</v>
      </c>
      <c r="X84" s="4">
        <v>49.550740825844201</v>
      </c>
      <c r="Y84" s="12">
        <f t="shared" si="12"/>
        <v>2.1372296683466452</v>
      </c>
      <c r="Z84" s="5">
        <f t="shared" si="8"/>
        <v>315.95002867423204</v>
      </c>
      <c r="AA84" s="2">
        <f t="shared" si="13"/>
        <v>657830.4971747892</v>
      </c>
      <c r="AB84" s="5">
        <f t="shared" si="9"/>
        <v>317.95460753834715</v>
      </c>
      <c r="AC84" s="2">
        <f t="shared" si="14"/>
        <v>93262.414763033914</v>
      </c>
      <c r="AD84" s="2">
        <f t="shared" si="10"/>
        <v>8.8786087323109495</v>
      </c>
      <c r="AE84" s="2">
        <f t="shared" si="15"/>
        <v>210.57750007426895</v>
      </c>
      <c r="AF84" s="2">
        <f t="shared" si="11"/>
        <v>608.48364170960213</v>
      </c>
    </row>
    <row r="85" spans="1:32">
      <c r="A85" s="1" t="s">
        <v>115</v>
      </c>
      <c r="B85" s="4">
        <v>9.5664804583857723</v>
      </c>
      <c r="C85" s="3">
        <v>56.1543521744575</v>
      </c>
      <c r="D85" s="3">
        <v>76.481312009340897</v>
      </c>
      <c r="E85" s="4">
        <v>1.5989458871903901</v>
      </c>
      <c r="F85" s="2">
        <v>3103.3574377286</v>
      </c>
      <c r="G85" s="8">
        <v>0.93544731542173798</v>
      </c>
      <c r="H85" s="2">
        <v>131.68389458520099</v>
      </c>
      <c r="I85" s="4">
        <v>2.4307482841701402</v>
      </c>
      <c r="J85" s="3">
        <v>99.022669039612197</v>
      </c>
      <c r="K85" s="4">
        <v>0.65414193437932699</v>
      </c>
      <c r="L85" s="10">
        <v>4.5641679972570799E-2</v>
      </c>
      <c r="M85" s="2">
        <v>165.40409972049201</v>
      </c>
      <c r="N85" s="4">
        <v>7.4893403683626802</v>
      </c>
      <c r="O85" s="2">
        <v>2270.6854531620002</v>
      </c>
      <c r="P85" s="7">
        <v>2.09631233356165</v>
      </c>
      <c r="Q85" s="4">
        <v>1.2366914446160699</v>
      </c>
      <c r="R85" s="4" t="s">
        <v>36</v>
      </c>
      <c r="S85" s="4" t="s">
        <v>36</v>
      </c>
      <c r="T85" s="4">
        <v>63.471829703052002</v>
      </c>
      <c r="U85" s="4">
        <v>0.91209498161494895</v>
      </c>
      <c r="V85" s="4">
        <v>1.46647960351872</v>
      </c>
      <c r="W85" s="4">
        <v>48.904321309628202</v>
      </c>
      <c r="X85" s="4">
        <v>40.7355877792942</v>
      </c>
      <c r="Y85" s="12">
        <f t="shared" si="12"/>
        <v>1.7092848104112841</v>
      </c>
      <c r="Z85" s="5">
        <f t="shared" si="8"/>
        <v>133.78020691876264</v>
      </c>
      <c r="AA85" s="2">
        <f t="shared" si="13"/>
        <v>657208.32632843277</v>
      </c>
      <c r="AB85" s="5">
        <f t="shared" si="9"/>
        <v>134.11464286937112</v>
      </c>
      <c r="AC85" s="2">
        <f t="shared" si="14"/>
        <v>98768.162021586322</v>
      </c>
      <c r="AD85" s="2">
        <f t="shared" si="10"/>
        <v>9.5856527019243298</v>
      </c>
      <c r="AE85" s="2">
        <f t="shared" si="15"/>
        <v>247.30132522873575</v>
      </c>
      <c r="AF85" s="2">
        <f t="shared" si="11"/>
        <v>232.80287595837484</v>
      </c>
    </row>
    <row r="86" spans="1:32">
      <c r="A86" s="1" t="s">
        <v>116</v>
      </c>
      <c r="B86" s="4">
        <v>8.8813248173786175</v>
      </c>
      <c r="C86" s="3">
        <v>56.952303226125998</v>
      </c>
      <c r="D86" s="3">
        <v>46.368988583524199</v>
      </c>
      <c r="E86" s="4">
        <v>2.0623552007350598</v>
      </c>
      <c r="F86" s="2">
        <v>2896.5939493221599</v>
      </c>
      <c r="G86" s="8">
        <v>0.77952223165744094</v>
      </c>
      <c r="H86" s="2">
        <v>100.96344745699</v>
      </c>
      <c r="I86" s="8">
        <v>0.94720303977102405</v>
      </c>
      <c r="J86" s="3">
        <v>79.741545814443498</v>
      </c>
      <c r="K86" s="4">
        <v>7.1500167132633394E-2</v>
      </c>
      <c r="L86" s="10">
        <v>1.0273235822779E-2</v>
      </c>
      <c r="M86" s="3">
        <v>18.673631047708799</v>
      </c>
      <c r="N86" s="4">
        <v>6.8278776845908897</v>
      </c>
      <c r="O86" s="2">
        <v>2615.0484814681599</v>
      </c>
      <c r="P86" s="7">
        <v>1.6225055011866201</v>
      </c>
      <c r="Q86" s="4">
        <v>0.22706708297596001</v>
      </c>
      <c r="R86" s="4" t="s">
        <v>36</v>
      </c>
      <c r="S86" s="4">
        <v>2.74949625157951E-3</v>
      </c>
      <c r="T86" s="4">
        <v>7.3053191503086801</v>
      </c>
      <c r="U86" s="4">
        <v>6.4494901944322905E-2</v>
      </c>
      <c r="V86" s="4">
        <v>9.7731854885474798E-2</v>
      </c>
      <c r="W86" s="4">
        <v>7.1811525373952998</v>
      </c>
      <c r="X86" s="4" t="s">
        <v>36</v>
      </c>
      <c r="Y86" s="12">
        <f t="shared" si="12"/>
        <v>2.6456656615809728</v>
      </c>
      <c r="Z86" s="5">
        <f t="shared" si="8"/>
        <v>102.58595295817662</v>
      </c>
      <c r="AA86" s="2">
        <f t="shared" si="13"/>
        <v>658336.28043504618</v>
      </c>
      <c r="AB86" s="5">
        <f t="shared" si="9"/>
        <v>101.91065049676102</v>
      </c>
      <c r="AC86" s="2">
        <f t="shared" si="14"/>
        <v>91709.842123108348</v>
      </c>
      <c r="AD86" s="2">
        <f t="shared" si="10"/>
        <v>8.4503831857775094</v>
      </c>
      <c r="AE86" s="2">
        <f t="shared" si="15"/>
        <v>217.78679680214347</v>
      </c>
      <c r="AF86" s="2">
        <f t="shared" si="11"/>
        <v>182.32749877262012</v>
      </c>
    </row>
    <row r="87" spans="1:32">
      <c r="A87" s="1" t="s">
        <v>117</v>
      </c>
      <c r="B87" s="4">
        <v>9.0347380135281803</v>
      </c>
      <c r="C87" s="3">
        <v>56.679919661242202</v>
      </c>
      <c r="D87" s="3">
        <v>93.620505809169998</v>
      </c>
      <c r="E87" s="4">
        <v>3.1871216615278999</v>
      </c>
      <c r="F87" s="2">
        <v>3145.79809616375</v>
      </c>
      <c r="G87" s="8">
        <v>0.115255220625075</v>
      </c>
      <c r="H87" s="2">
        <v>117.39038811049301</v>
      </c>
      <c r="I87" s="4">
        <v>1.50026551844697</v>
      </c>
      <c r="J87" s="2">
        <v>100.491240434993</v>
      </c>
      <c r="K87" s="4">
        <v>0.57234209472604203</v>
      </c>
      <c r="L87" s="8">
        <v>0.17455710084315301</v>
      </c>
      <c r="M87" s="2">
        <v>153.64547099410299</v>
      </c>
      <c r="N87" s="4">
        <v>7.24548475664335</v>
      </c>
      <c r="O87" s="2">
        <v>1997.3369165521999</v>
      </c>
      <c r="P87" s="7">
        <v>3.9912148463043402</v>
      </c>
      <c r="Q87" s="4">
        <v>0.90049716834032101</v>
      </c>
      <c r="R87" s="4">
        <v>66.735594861650696</v>
      </c>
      <c r="S87" s="4">
        <v>5.0808121999624299E-3</v>
      </c>
      <c r="T87" s="4">
        <v>181.22433071911999</v>
      </c>
      <c r="U87" s="4">
        <v>1.6603468630709901</v>
      </c>
      <c r="V87" s="4">
        <v>2.3261529705422102</v>
      </c>
      <c r="W87" s="4">
        <v>127.015008449468</v>
      </c>
      <c r="X87" s="4">
        <v>181.845879965443</v>
      </c>
      <c r="Y87" s="12">
        <f t="shared" si="12"/>
        <v>27.652731427200163</v>
      </c>
      <c r="Z87" s="5">
        <f t="shared" si="8"/>
        <v>121.38160295679735</v>
      </c>
      <c r="AA87" s="2">
        <f t="shared" si="13"/>
        <v>657146.57674770383</v>
      </c>
      <c r="AB87" s="5">
        <f t="shared" si="9"/>
        <v>118.89065362893997</v>
      </c>
      <c r="AC87" s="2">
        <f t="shared" si="14"/>
        <v>93493.178231445549</v>
      </c>
      <c r="AD87" s="2">
        <f t="shared" si="10"/>
        <v>11.23669960294769</v>
      </c>
      <c r="AE87" s="2">
        <f t="shared" si="15"/>
        <v>283.77745983428269</v>
      </c>
      <c r="AF87" s="2">
        <f t="shared" si="11"/>
        <v>221.87284339179035</v>
      </c>
    </row>
    <row r="88" spans="1:32">
      <c r="A88" s="1" t="s">
        <v>118</v>
      </c>
      <c r="B88" s="4">
        <v>8.9942491477137718</v>
      </c>
      <c r="C88" s="3">
        <v>56.691508388432801</v>
      </c>
      <c r="D88" s="3">
        <v>61.161049927284601</v>
      </c>
      <c r="E88" s="4">
        <v>2.6090874632562402</v>
      </c>
      <c r="F88" s="2">
        <v>3090.29192344481</v>
      </c>
      <c r="G88" s="8">
        <v>1.71682644923449E-2</v>
      </c>
      <c r="H88" s="2">
        <v>182.875293530318</v>
      </c>
      <c r="I88" s="4">
        <v>1.6822107579326</v>
      </c>
      <c r="J88" s="2">
        <v>115.93337557691601</v>
      </c>
      <c r="K88" s="4">
        <v>0.247300298875965</v>
      </c>
      <c r="L88" s="10">
        <v>8.3083877955843696E-2</v>
      </c>
      <c r="M88" s="3">
        <v>69.866958277035707</v>
      </c>
      <c r="N88" s="4">
        <v>5.8958103769025101</v>
      </c>
      <c r="O88" s="2">
        <v>2149.1925330081399</v>
      </c>
      <c r="P88" s="7">
        <v>3.5672583759654199</v>
      </c>
      <c r="Q88" s="4">
        <v>0.31475594369119198</v>
      </c>
      <c r="R88" s="4">
        <v>6.9824985681964904</v>
      </c>
      <c r="S88" s="4">
        <v>1.74209360862932E-2</v>
      </c>
      <c r="T88" s="4">
        <v>109.963960522373</v>
      </c>
      <c r="U88" s="4">
        <v>0.99907748464699397</v>
      </c>
      <c r="V88" s="4">
        <v>1.6710759524507199</v>
      </c>
      <c r="W88" s="4">
        <v>40.015373041431801</v>
      </c>
      <c r="X88" s="4">
        <v>63.582605477001302</v>
      </c>
      <c r="Y88" s="12">
        <f t="shared" si="12"/>
        <v>151.9715323828799</v>
      </c>
      <c r="Z88" s="5">
        <f t="shared" si="8"/>
        <v>186.44255190628343</v>
      </c>
      <c r="AA88" s="2">
        <f t="shared" si="13"/>
        <v>656857.5753614658</v>
      </c>
      <c r="AB88" s="5">
        <f t="shared" si="9"/>
        <v>184.55750428825061</v>
      </c>
      <c r="AC88" s="2">
        <f t="shared" si="14"/>
        <v>93032.783400582528</v>
      </c>
      <c r="AD88" s="2">
        <f t="shared" si="10"/>
        <v>9.4630687528679296</v>
      </c>
      <c r="AE88" s="2">
        <f t="shared" si="15"/>
        <v>263.78050136384911</v>
      </c>
      <c r="AF88" s="2">
        <f t="shared" si="11"/>
        <v>302.37592748319946</v>
      </c>
    </row>
    <row r="89" spans="1:32">
      <c r="A89" s="1" t="s">
        <v>119</v>
      </c>
      <c r="B89" s="4">
        <v>8.8980492643311813</v>
      </c>
      <c r="C89" s="3">
        <v>56.832415858357294</v>
      </c>
      <c r="D89" s="3">
        <v>39.207439587700101</v>
      </c>
      <c r="E89" s="4">
        <v>2.74347193081221</v>
      </c>
      <c r="F89" s="2">
        <v>2873.9771286615101</v>
      </c>
      <c r="G89" s="8">
        <v>0.96788311175132802</v>
      </c>
      <c r="H89" s="2">
        <v>455.06267678648697</v>
      </c>
      <c r="I89" s="4">
        <v>3.7508552225879299</v>
      </c>
      <c r="J89" s="2">
        <v>390.62886492752398</v>
      </c>
      <c r="K89" s="4">
        <v>0</v>
      </c>
      <c r="L89" s="11">
        <v>7.7110788109987201E-3</v>
      </c>
      <c r="M89" s="4">
        <v>3.86061923943259</v>
      </c>
      <c r="N89" s="4">
        <v>5.7465980394019196</v>
      </c>
      <c r="O89" s="2">
        <v>2921.0134124432402</v>
      </c>
      <c r="P89" s="6">
        <v>15.142608488344299</v>
      </c>
      <c r="Q89" s="4">
        <v>0.84734286388189395</v>
      </c>
      <c r="R89" s="4">
        <v>1.2587609581416599</v>
      </c>
      <c r="S89" s="4" t="s">
        <v>36</v>
      </c>
      <c r="T89" s="4">
        <v>0.78419023465872095</v>
      </c>
      <c r="U89" s="4">
        <v>2.8304300019635201E-2</v>
      </c>
      <c r="V89" s="4">
        <v>0.14204479123723801</v>
      </c>
      <c r="W89" s="4">
        <v>4.0579771095531596</v>
      </c>
      <c r="X89" s="4">
        <v>20.886123057068499</v>
      </c>
      <c r="Y89" s="12">
        <f t="shared" si="12"/>
        <v>2.8345074911453487</v>
      </c>
      <c r="Z89" s="5">
        <f t="shared" si="8"/>
        <v>470.20528527483128</v>
      </c>
      <c r="AA89" s="2">
        <f t="shared" si="13"/>
        <v>657304.6512268848</v>
      </c>
      <c r="AB89" s="5">
        <f t="shared" si="9"/>
        <v>458.81353200907489</v>
      </c>
      <c r="AC89" s="2">
        <f t="shared" si="14"/>
        <v>91854.469771973323</v>
      </c>
      <c r="AD89" s="2">
        <f t="shared" si="10"/>
        <v>20.889206527746218</v>
      </c>
      <c r="AE89" s="2">
        <f t="shared" si="15"/>
        <v>194.5640359481288</v>
      </c>
      <c r="AF89" s="2">
        <f t="shared" si="11"/>
        <v>860.8341502023552</v>
      </c>
    </row>
    <row r="90" spans="1:32">
      <c r="A90" s="1" t="s">
        <v>120</v>
      </c>
      <c r="B90" s="4">
        <v>9.0979298159579454</v>
      </c>
      <c r="C90" s="3">
        <v>56.638070929507094</v>
      </c>
      <c r="D90" s="3">
        <v>47.008628592043003</v>
      </c>
      <c r="E90" s="4">
        <v>2.7856046465634399</v>
      </c>
      <c r="F90" s="2">
        <v>2663.3565142941502</v>
      </c>
      <c r="G90" s="4">
        <v>1.11262558793966</v>
      </c>
      <c r="H90" s="2">
        <v>409.60743765274998</v>
      </c>
      <c r="I90" s="4">
        <v>6.6736516139456601</v>
      </c>
      <c r="J90" s="2">
        <v>286.14354635546101</v>
      </c>
      <c r="K90" s="4">
        <v>5.47523334905999</v>
      </c>
      <c r="L90" s="10">
        <v>2.0501390873736099E-2</v>
      </c>
      <c r="M90" s="3">
        <v>13.1389349998767</v>
      </c>
      <c r="N90" s="4">
        <v>9.1059973051648395</v>
      </c>
      <c r="O90" s="2">
        <v>2804.22565916449</v>
      </c>
      <c r="P90" s="6">
        <v>16.241504684067699</v>
      </c>
      <c r="Q90" s="4">
        <v>2.0141814240055001E-2</v>
      </c>
      <c r="R90" s="4">
        <v>17.936390498029301</v>
      </c>
      <c r="S90" s="4">
        <v>1.22764056485148E-2</v>
      </c>
      <c r="T90" s="4">
        <v>20.612035215365601</v>
      </c>
      <c r="U90" s="4">
        <v>6.2931641327977406E-2</v>
      </c>
      <c r="V90" s="4">
        <v>0.273981889685044</v>
      </c>
      <c r="W90" s="4">
        <v>0.90909868982159103</v>
      </c>
      <c r="X90" s="4">
        <v>20.435781164503201</v>
      </c>
      <c r="Y90" s="12">
        <f t="shared" si="12"/>
        <v>2.5036316589858161</v>
      </c>
      <c r="Z90" s="5">
        <f t="shared" si="8"/>
        <v>425.84894233681769</v>
      </c>
      <c r="AA90" s="2">
        <f t="shared" si="13"/>
        <v>657360.00745465048</v>
      </c>
      <c r="AB90" s="5">
        <f t="shared" si="9"/>
        <v>416.28108926669563</v>
      </c>
      <c r="AC90" s="2">
        <f t="shared" si="14"/>
        <v>93642.654673873607</v>
      </c>
      <c r="AD90" s="2">
        <f t="shared" si="10"/>
        <v>25.347501989232541</v>
      </c>
      <c r="AE90" s="2">
        <f t="shared" si="15"/>
        <v>201.9740128416849</v>
      </c>
      <c r="AF90" s="2">
        <f t="shared" si="11"/>
        <v>711.9924886922787</v>
      </c>
    </row>
    <row r="91" spans="1:32">
      <c r="A91" s="1" t="s">
        <v>121</v>
      </c>
      <c r="B91" s="4">
        <v>8.9825572583572004</v>
      </c>
      <c r="C91" s="3">
        <v>56.815630684962905</v>
      </c>
      <c r="D91" s="3">
        <v>50.0629026247667</v>
      </c>
      <c r="E91" s="4">
        <v>1.65981617326293</v>
      </c>
      <c r="F91" s="2">
        <v>2969.4869679590201</v>
      </c>
      <c r="G91" s="8">
        <v>0.64475405869990998</v>
      </c>
      <c r="H91" s="3">
        <v>46.829934629179597</v>
      </c>
      <c r="I91" s="4">
        <v>1.55970672184201</v>
      </c>
      <c r="J91" s="3">
        <v>20.158613298595199</v>
      </c>
      <c r="K91" s="4">
        <v>0.12864180239752901</v>
      </c>
      <c r="L91" s="10">
        <v>4.6380941778290302E-2</v>
      </c>
      <c r="M91" s="3">
        <v>24.541779560075799</v>
      </c>
      <c r="N91" s="4">
        <v>4.0649563246749398</v>
      </c>
      <c r="O91" s="2">
        <v>2645.82292567684</v>
      </c>
      <c r="P91" s="7">
        <v>1.3112925566372899</v>
      </c>
      <c r="Q91" s="4">
        <v>0.22247936431269</v>
      </c>
      <c r="R91" s="4">
        <v>14.608380528576999</v>
      </c>
      <c r="S91" s="4" t="s">
        <v>36</v>
      </c>
      <c r="T91" s="4">
        <v>59.063925308682997</v>
      </c>
      <c r="U91" s="4">
        <v>0.207808150554747</v>
      </c>
      <c r="V91" s="4">
        <v>0.97685930732783499</v>
      </c>
      <c r="W91" s="4">
        <v>15.094093544467</v>
      </c>
      <c r="X91" s="4">
        <v>32.8331888632827</v>
      </c>
      <c r="Y91" s="12">
        <f t="shared" si="12"/>
        <v>2.5743400151831595</v>
      </c>
      <c r="Z91" s="5">
        <f t="shared" si="8"/>
        <v>48.141227185816888</v>
      </c>
      <c r="AA91" s="2">
        <f t="shared" si="13"/>
        <v>657981.87943320104</v>
      </c>
      <c r="AB91" s="5">
        <f t="shared" si="9"/>
        <v>48.389641351021609</v>
      </c>
      <c r="AC91" s="2">
        <f t="shared" si="14"/>
        <v>92795.059551531027</v>
      </c>
      <c r="AD91" s="2">
        <f t="shared" si="10"/>
        <v>5.3762488813122298</v>
      </c>
      <c r="AE91" s="2">
        <f t="shared" si="15"/>
        <v>214.73708664924595</v>
      </c>
      <c r="AF91" s="2">
        <f t="shared" si="11"/>
        <v>68.299840484412087</v>
      </c>
    </row>
    <row r="92" spans="1:32">
      <c r="A92" s="1" t="s">
        <v>122</v>
      </c>
      <c r="B92" s="4">
        <v>9.0150655522785463</v>
      </c>
      <c r="C92" s="3">
        <v>56.752196112404206</v>
      </c>
      <c r="D92" s="3">
        <v>40.451429396866502</v>
      </c>
      <c r="E92" s="4">
        <v>2.7724839047786798</v>
      </c>
      <c r="F92" s="2">
        <v>2726.8843448665102</v>
      </c>
      <c r="G92" s="8">
        <v>0.98636631975431499</v>
      </c>
      <c r="H92" s="3">
        <v>65.102986276997001</v>
      </c>
      <c r="I92" s="4">
        <v>1.9415927376851101</v>
      </c>
      <c r="J92" s="3">
        <v>37.340384556520597</v>
      </c>
      <c r="K92" s="4">
        <v>6.2866134588016806E-2</v>
      </c>
      <c r="L92" s="2">
        <v>0</v>
      </c>
      <c r="M92" s="4">
        <v>0.78349187509668505</v>
      </c>
      <c r="N92" s="4">
        <v>6.0187963179064701</v>
      </c>
      <c r="O92" s="2">
        <v>3006.7297288578802</v>
      </c>
      <c r="P92" s="7">
        <v>5.59992951632446</v>
      </c>
      <c r="Q92" s="4">
        <v>0.75957307055946499</v>
      </c>
      <c r="R92" s="4" t="s">
        <v>36</v>
      </c>
      <c r="S92" s="4" t="s">
        <v>36</v>
      </c>
      <c r="T92" s="4" t="s">
        <v>36</v>
      </c>
      <c r="U92" s="4" t="s">
        <v>36</v>
      </c>
      <c r="V92" s="4">
        <v>3.65755171914703E-2</v>
      </c>
      <c r="W92" s="4">
        <v>11.2049181014415</v>
      </c>
      <c r="X92" s="4" t="s">
        <v>36</v>
      </c>
      <c r="Y92" s="12">
        <f t="shared" si="12"/>
        <v>2.8108055285882556</v>
      </c>
      <c r="Z92" s="5">
        <f t="shared" si="8"/>
        <v>70.702915793321466</v>
      </c>
      <c r="AA92" s="2">
        <f t="shared" si="13"/>
        <v>657672.61664682755</v>
      </c>
      <c r="AB92" s="5">
        <f t="shared" si="9"/>
        <v>67.044579014682114</v>
      </c>
      <c r="AC92" s="2">
        <f t="shared" si="14"/>
        <v>92877.539867651984</v>
      </c>
      <c r="AD92" s="2">
        <f t="shared" si="10"/>
        <v>11.618725834230929</v>
      </c>
      <c r="AE92" s="2">
        <f t="shared" si="15"/>
        <v>188.75057364720899</v>
      </c>
      <c r="AF92" s="2">
        <f t="shared" si="11"/>
        <v>108.04330034984207</v>
      </c>
    </row>
    <row r="93" spans="1:32">
      <c r="A93" s="1" t="s">
        <v>123</v>
      </c>
      <c r="B93" s="4">
        <v>8.2541229596532641</v>
      </c>
      <c r="C93" s="3">
        <v>57.535587947880998</v>
      </c>
      <c r="D93" s="3">
        <v>47.609539540376502</v>
      </c>
      <c r="E93" s="4">
        <v>1.95026093101124</v>
      </c>
      <c r="F93" s="2">
        <v>3022.2722252925901</v>
      </c>
      <c r="G93" s="8">
        <v>5.1182332884536899E-2</v>
      </c>
      <c r="H93" s="3">
        <v>81.930100641335699</v>
      </c>
      <c r="I93" s="8">
        <v>0.86963002611937201</v>
      </c>
      <c r="J93" s="3">
        <v>80.123968376947303</v>
      </c>
      <c r="K93" s="4">
        <v>0.13877561949765499</v>
      </c>
      <c r="L93" s="8">
        <v>0.13664920532387501</v>
      </c>
      <c r="M93" s="4">
        <v>7.8006840517073499</v>
      </c>
      <c r="N93" s="4">
        <v>4.5326035005524901</v>
      </c>
      <c r="O93" s="2">
        <v>2940.3910144077799</v>
      </c>
      <c r="P93" s="7">
        <v>9.8564153126425005</v>
      </c>
      <c r="Q93" s="4">
        <v>6.2495647424227703E-2</v>
      </c>
      <c r="R93" s="4" t="s">
        <v>36</v>
      </c>
      <c r="S93" s="4" t="s">
        <v>36</v>
      </c>
      <c r="T93" s="4">
        <v>1.6967413330865599</v>
      </c>
      <c r="U93" s="4">
        <v>0.44267512761218603</v>
      </c>
      <c r="V93" s="4">
        <v>0.50645137225903603</v>
      </c>
      <c r="W93" s="4" t="s">
        <v>36</v>
      </c>
      <c r="X93" s="4">
        <v>14.4752189039607</v>
      </c>
      <c r="Y93" s="12">
        <f t="shared" si="12"/>
        <v>38.104182070224638</v>
      </c>
      <c r="Z93" s="5">
        <f t="shared" si="8"/>
        <v>91.786515953978196</v>
      </c>
      <c r="AA93" s="2">
        <f t="shared" si="13"/>
        <v>657897.10907534265</v>
      </c>
      <c r="AB93" s="5">
        <f t="shared" si="9"/>
        <v>82.799730667455066</v>
      </c>
      <c r="AC93" s="2">
        <f t="shared" si="14"/>
        <v>85563.501821825237</v>
      </c>
      <c r="AD93" s="2">
        <f t="shared" si="10"/>
        <v>14.389018813194991</v>
      </c>
      <c r="AE93" s="2">
        <f t="shared" si="15"/>
        <v>195.67325456362531</v>
      </c>
      <c r="AF93" s="2">
        <f t="shared" si="11"/>
        <v>171.9104843309255</v>
      </c>
    </row>
    <row r="94" spans="1:32">
      <c r="A94" s="1" t="s">
        <v>124</v>
      </c>
      <c r="B94" s="4">
        <v>9.1538795197914915</v>
      </c>
      <c r="C94" s="3">
        <v>56.624979248763502</v>
      </c>
      <c r="D94" s="3">
        <v>35.276959024478302</v>
      </c>
      <c r="E94" s="4">
        <v>2.3295615978225301</v>
      </c>
      <c r="F94" s="2">
        <v>2840.41667401312</v>
      </c>
      <c r="G94" s="8">
        <v>0.938679193245473</v>
      </c>
      <c r="H94" s="2">
        <v>284.61042123639601</v>
      </c>
      <c r="I94" s="4">
        <v>2.64784547490216</v>
      </c>
      <c r="J94" s="3">
        <v>64.030178149170993</v>
      </c>
      <c r="K94" s="4">
        <v>3.72656682093623E-2</v>
      </c>
      <c r="L94" s="2">
        <v>0</v>
      </c>
      <c r="M94" s="8">
        <v>0.20144321822615599</v>
      </c>
      <c r="N94" s="4">
        <v>5.7414230799394703</v>
      </c>
      <c r="O94" s="2">
        <v>2974.9495086318898</v>
      </c>
      <c r="P94" s="7">
        <v>6.4856411178256002</v>
      </c>
      <c r="Q94" s="4">
        <v>0.56836199206031202</v>
      </c>
      <c r="R94" s="4" t="s">
        <v>36</v>
      </c>
      <c r="S94" s="4" t="s">
        <v>36</v>
      </c>
      <c r="T94" s="4" t="s">
        <v>36</v>
      </c>
      <c r="U94" s="4" t="s">
        <v>36</v>
      </c>
      <c r="V94" s="4" t="s">
        <v>36</v>
      </c>
      <c r="W94" s="4" t="s">
        <v>36</v>
      </c>
      <c r="X94" s="4" t="s">
        <v>36</v>
      </c>
      <c r="Y94" s="12">
        <f t="shared" si="12"/>
        <v>2.4817441513410952</v>
      </c>
      <c r="Z94" s="5">
        <f t="shared" si="8"/>
        <v>291.0960623542216</v>
      </c>
      <c r="AA94" s="2">
        <f t="shared" si="13"/>
        <v>657788.58768554998</v>
      </c>
      <c r="AB94" s="5">
        <f t="shared" si="9"/>
        <v>287.25826671129818</v>
      </c>
      <c r="AC94" s="2">
        <f t="shared" si="14"/>
        <v>94379.211871928041</v>
      </c>
      <c r="AD94" s="2">
        <f t="shared" si="10"/>
        <v>12.22706419776507</v>
      </c>
      <c r="AE94" s="2">
        <f t="shared" si="15"/>
        <v>190.33929511900865</v>
      </c>
      <c r="AF94" s="2">
        <f t="shared" si="11"/>
        <v>355.12624050339258</v>
      </c>
    </row>
    <row r="95" spans="1:32">
      <c r="A95" s="1" t="s">
        <v>125</v>
      </c>
      <c r="B95" s="4">
        <v>8.9729477229379278</v>
      </c>
      <c r="C95" s="3">
        <v>56.779426616450507</v>
      </c>
      <c r="D95" s="3">
        <v>35.940224030119701</v>
      </c>
      <c r="E95" s="4">
        <v>2.0700331839672899</v>
      </c>
      <c r="F95" s="2">
        <v>3037.7704683857201</v>
      </c>
      <c r="G95" s="8">
        <v>0.80155962882951903</v>
      </c>
      <c r="H95" s="2">
        <v>157.82185076993201</v>
      </c>
      <c r="I95" s="4">
        <v>2.1818674899025199</v>
      </c>
      <c r="J95" s="3">
        <v>93.339378113489801</v>
      </c>
      <c r="K95" s="4">
        <v>7.1311826203513798E-2</v>
      </c>
      <c r="L95" s="10">
        <v>1.94720843689579E-2</v>
      </c>
      <c r="M95" s="4">
        <v>9.6218011771211405</v>
      </c>
      <c r="N95" s="4">
        <v>6.77390816435173</v>
      </c>
      <c r="O95" s="2">
        <v>2795.7126161025599</v>
      </c>
      <c r="P95" s="7">
        <v>2.0420463800353601</v>
      </c>
      <c r="Q95" s="4">
        <v>1.04366583570936</v>
      </c>
      <c r="R95" s="4" t="s">
        <v>36</v>
      </c>
      <c r="S95" s="4">
        <v>5.1033430829368603E-3</v>
      </c>
      <c r="T95" s="4">
        <v>6.5517200837004701</v>
      </c>
      <c r="U95" s="4" t="s">
        <v>36</v>
      </c>
      <c r="V95" s="4">
        <v>0.35080308036500002</v>
      </c>
      <c r="W95" s="4" t="s">
        <v>36</v>
      </c>
      <c r="X95" s="4">
        <v>30.584017308374101</v>
      </c>
      <c r="Y95" s="12">
        <f t="shared" si="12"/>
        <v>2.5825067899066534</v>
      </c>
      <c r="Z95" s="5">
        <f t="shared" si="8"/>
        <v>159.86389714996739</v>
      </c>
      <c r="AA95" s="2">
        <f t="shared" si="13"/>
        <v>657523.74339388427</v>
      </c>
      <c r="AB95" s="5">
        <f t="shared" si="9"/>
        <v>160.00371825983453</v>
      </c>
      <c r="AC95" s="2">
        <f t="shared" si="14"/>
        <v>92767.247697764993</v>
      </c>
      <c r="AD95" s="2">
        <f t="shared" si="10"/>
        <v>8.8159545443870897</v>
      </c>
      <c r="AE95" s="2">
        <f t="shared" si="15"/>
        <v>203.09464674378953</v>
      </c>
      <c r="AF95" s="2">
        <f t="shared" si="11"/>
        <v>253.20327526345719</v>
      </c>
    </row>
    <row r="96" spans="1:32">
      <c r="A96" s="1" t="s">
        <v>126</v>
      </c>
      <c r="B96" s="4">
        <v>9.1932577286499093</v>
      </c>
      <c r="C96" s="3">
        <v>56.586270280961401</v>
      </c>
      <c r="D96" s="3">
        <v>49.709467955464802</v>
      </c>
      <c r="E96" s="4">
        <v>2.5379532437884902</v>
      </c>
      <c r="F96" s="2">
        <v>2836.1189313836198</v>
      </c>
      <c r="G96" s="8">
        <v>0.96003779433010195</v>
      </c>
      <c r="H96" s="3">
        <v>55.366493688131399</v>
      </c>
      <c r="I96" s="4">
        <v>1.26256995625181</v>
      </c>
      <c r="J96" s="3">
        <v>16.879904079460001</v>
      </c>
      <c r="K96" s="4">
        <v>0.48047225026394902</v>
      </c>
      <c r="L96" s="10">
        <v>1.12878835721481E-2</v>
      </c>
      <c r="M96" s="8">
        <v>0.52672998628013501</v>
      </c>
      <c r="N96" s="4">
        <v>4.8133866006525299</v>
      </c>
      <c r="O96" s="2">
        <v>2995.2689849793101</v>
      </c>
      <c r="P96" s="7">
        <v>3.3011404957305501</v>
      </c>
      <c r="Q96" s="4">
        <v>0.19363843747616699</v>
      </c>
      <c r="R96" s="4" t="s">
        <v>36</v>
      </c>
      <c r="S96" s="4" t="s">
        <v>36</v>
      </c>
      <c r="T96" s="4">
        <v>1.65318490495532</v>
      </c>
      <c r="U96" s="4" t="s">
        <v>36</v>
      </c>
      <c r="V96" s="4">
        <v>0.26123692189955899</v>
      </c>
      <c r="W96" s="4" t="s">
        <v>36</v>
      </c>
      <c r="X96" s="4" t="s">
        <v>36</v>
      </c>
      <c r="Y96" s="12">
        <f t="shared" si="12"/>
        <v>2.6435972195859549</v>
      </c>
      <c r="Z96" s="5">
        <f t="shared" si="8"/>
        <v>58.667634183861949</v>
      </c>
      <c r="AA96" s="2">
        <f t="shared" si="13"/>
        <v>657795.2800961131</v>
      </c>
      <c r="AB96" s="5">
        <f t="shared" si="9"/>
        <v>56.629063644383208</v>
      </c>
      <c r="AC96" s="2">
        <f t="shared" si="14"/>
        <v>94768.696217882709</v>
      </c>
      <c r="AD96" s="2">
        <f t="shared" si="10"/>
        <v>8.11452709638308</v>
      </c>
      <c r="AE96" s="2">
        <f t="shared" si="15"/>
        <v>188.91882687241284</v>
      </c>
      <c r="AF96" s="2">
        <f t="shared" si="11"/>
        <v>75.547538263321954</v>
      </c>
    </row>
    <row r="97" spans="1:32">
      <c r="A97" s="1" t="s">
        <v>127</v>
      </c>
      <c r="B97" s="4">
        <v>9.6652187511643906</v>
      </c>
      <c r="C97" s="3">
        <v>56.049650694877599</v>
      </c>
      <c r="D97" s="3">
        <v>47.410296521670404</v>
      </c>
      <c r="E97" s="4">
        <v>2.7753098523523101</v>
      </c>
      <c r="F97" s="2">
        <v>2659.3581735236698</v>
      </c>
      <c r="G97" s="8">
        <v>0.90375352258182395</v>
      </c>
      <c r="H97" s="2">
        <v>128.06928422018299</v>
      </c>
      <c r="I97" s="4">
        <v>1.7280721839364099</v>
      </c>
      <c r="J97" s="3">
        <v>41.393085389470301</v>
      </c>
      <c r="K97" s="4">
        <v>7.3637822837912995E-2</v>
      </c>
      <c r="L97" s="10">
        <v>1.2560732013902899E-2</v>
      </c>
      <c r="M97" s="4">
        <v>2.5365579290382101</v>
      </c>
      <c r="N97" s="4">
        <v>5.6566039460095903</v>
      </c>
      <c r="O97" s="2">
        <v>3120.9510564623101</v>
      </c>
      <c r="P97" s="7">
        <v>7.5055954406729404</v>
      </c>
      <c r="Q97" s="4">
        <v>0.70092232939017296</v>
      </c>
      <c r="R97" s="4">
        <v>11.0507466042956</v>
      </c>
      <c r="S97" s="4" t="s">
        <v>36</v>
      </c>
      <c r="T97" s="4">
        <v>0.75578773253258302</v>
      </c>
      <c r="U97" s="4" t="s">
        <v>36</v>
      </c>
      <c r="V97" s="4" t="s">
        <v>36</v>
      </c>
      <c r="W97" s="4" t="s">
        <v>36</v>
      </c>
      <c r="X97" s="4">
        <v>74.990863912805096</v>
      </c>
      <c r="Y97" s="12">
        <f t="shared" si="12"/>
        <v>3.0708703014776235</v>
      </c>
      <c r="Z97" s="5">
        <f t="shared" si="8"/>
        <v>135.57487966085594</v>
      </c>
      <c r="AA97" s="2">
        <f t="shared" si="13"/>
        <v>657148.69446041982</v>
      </c>
      <c r="AB97" s="5">
        <f t="shared" si="9"/>
        <v>129.7973564041194</v>
      </c>
      <c r="AC97" s="2">
        <f t="shared" si="14"/>
        <v>99311.54568516757</v>
      </c>
      <c r="AD97" s="2">
        <f t="shared" si="10"/>
        <v>13.162199386682531</v>
      </c>
      <c r="AE97" s="2">
        <f t="shared" si="15"/>
        <v>179.59157218700994</v>
      </c>
      <c r="AF97" s="2">
        <f t="shared" si="11"/>
        <v>176.96796505032626</v>
      </c>
    </row>
    <row r="98" spans="1:32">
      <c r="A98" s="1" t="s">
        <v>128</v>
      </c>
      <c r="B98" s="4">
        <v>9.4064318862727188</v>
      </c>
      <c r="C98" s="3">
        <v>56.225573915849104</v>
      </c>
      <c r="D98" s="3">
        <v>32.423839916879103</v>
      </c>
      <c r="E98" s="4">
        <v>2.5968266053292002</v>
      </c>
      <c r="F98" s="2">
        <v>2647.8864945068999</v>
      </c>
      <c r="G98" s="8">
        <v>0.94254687982443297</v>
      </c>
      <c r="H98" s="2">
        <v>921.30439463121695</v>
      </c>
      <c r="I98" s="4">
        <v>6.8240372520030999</v>
      </c>
      <c r="J98" s="2">
        <v>599.83437967981104</v>
      </c>
      <c r="K98" s="4">
        <v>0.218022196151271</v>
      </c>
      <c r="L98" s="11">
        <v>5.7941087737032604E-3</v>
      </c>
      <c r="M98" s="3">
        <v>42.5161078649218</v>
      </c>
      <c r="N98" s="4">
        <v>7.2938349028847904</v>
      </c>
      <c r="O98" s="2">
        <v>2887.2779688507098</v>
      </c>
      <c r="P98" s="7">
        <v>4.01180193411445</v>
      </c>
      <c r="Q98" s="4">
        <v>1.02742631790677</v>
      </c>
      <c r="R98" s="4">
        <v>4.9012804969360602</v>
      </c>
      <c r="S98" s="4">
        <v>3.61752683051224E-3</v>
      </c>
      <c r="T98" s="4">
        <v>7.5508877294932901</v>
      </c>
      <c r="U98" s="4">
        <v>25.3987786517133</v>
      </c>
      <c r="V98" s="4">
        <v>46.3669054807742</v>
      </c>
      <c r="W98" s="4" t="s">
        <v>36</v>
      </c>
      <c r="X98" s="4">
        <v>8.7011421514957608</v>
      </c>
      <c r="Y98" s="12">
        <f t="shared" si="12"/>
        <v>2.7551166535216876</v>
      </c>
      <c r="Z98" s="5">
        <f t="shared" si="8"/>
        <v>925.31619656533144</v>
      </c>
      <c r="AA98" s="2">
        <f t="shared" si="13"/>
        <v>656320.05802121817</v>
      </c>
      <c r="AB98" s="5">
        <f t="shared" si="9"/>
        <v>928.12843188322006</v>
      </c>
      <c r="AC98" s="2">
        <f t="shared" si="14"/>
        <v>96712.205357234081</v>
      </c>
      <c r="AD98" s="2">
        <f t="shared" si="10"/>
        <v>11.305636836999241</v>
      </c>
      <c r="AE98" s="2">
        <f t="shared" si="15"/>
        <v>194.73557628477965</v>
      </c>
      <c r="AF98" s="2">
        <f t="shared" si="11"/>
        <v>1525.1505762451425</v>
      </c>
    </row>
    <row r="99" spans="1:32">
      <c r="A99" s="1" t="s">
        <v>129</v>
      </c>
      <c r="B99" s="4">
        <v>9.4072970344689644</v>
      </c>
      <c r="C99" s="3">
        <v>56.351871019136198</v>
      </c>
      <c r="D99" s="3">
        <v>35.299984694888899</v>
      </c>
      <c r="E99" s="4">
        <v>2.8383324595156401</v>
      </c>
      <c r="F99" s="2">
        <v>2647.3103742684498</v>
      </c>
      <c r="G99" s="8">
        <v>0.958682481136795</v>
      </c>
      <c r="H99" s="2">
        <v>191.27522002803701</v>
      </c>
      <c r="I99" s="4">
        <v>2.1594021469683899</v>
      </c>
      <c r="J99" s="2">
        <v>167.09166188633901</v>
      </c>
      <c r="K99" s="4">
        <v>5.3131689337204399E-2</v>
      </c>
      <c r="L99" s="11">
        <v>8.0562345434588099E-3</v>
      </c>
      <c r="M99" s="8">
        <v>0.84247254292156004</v>
      </c>
      <c r="N99" s="4">
        <v>8.2562848135049602</v>
      </c>
      <c r="O99" s="2">
        <v>2911.62822906256</v>
      </c>
      <c r="P99" s="7">
        <v>1.66178122897888</v>
      </c>
      <c r="Q99" s="4">
        <v>0</v>
      </c>
      <c r="R99" s="4">
        <v>31.182447512737699</v>
      </c>
      <c r="S99" s="4" t="s">
        <v>36</v>
      </c>
      <c r="T99" s="4">
        <v>1.91679073207832</v>
      </c>
      <c r="U99" s="4" t="s">
        <v>36</v>
      </c>
      <c r="V99" s="4" t="s">
        <v>36</v>
      </c>
      <c r="W99" s="4" t="s">
        <v>36</v>
      </c>
      <c r="X99" s="4" t="s">
        <v>36</v>
      </c>
      <c r="Y99" s="12">
        <f t="shared" si="12"/>
        <v>2.9606595670236691</v>
      </c>
      <c r="Z99" s="5">
        <f t="shared" si="8"/>
        <v>192.93700125701588</v>
      </c>
      <c r="AA99" s="2">
        <f t="shared" si="13"/>
        <v>657591.68053605163</v>
      </c>
      <c r="AB99" s="5">
        <f t="shared" si="9"/>
        <v>193.43462217500542</v>
      </c>
      <c r="AC99" s="2">
        <f t="shared" si="14"/>
        <v>96720.280718958093</v>
      </c>
      <c r="AD99" s="2">
        <f t="shared" si="10"/>
        <v>9.9180660424838401</v>
      </c>
      <c r="AE99" s="2">
        <f t="shared" si="15"/>
        <v>193.54074966253324</v>
      </c>
      <c r="AF99" s="2">
        <f t="shared" si="11"/>
        <v>360.02866314335489</v>
      </c>
    </row>
    <row r="100" spans="1:32">
      <c r="A100" s="1" t="s">
        <v>130</v>
      </c>
      <c r="B100" s="4">
        <v>9.0974247423120094</v>
      </c>
      <c r="C100" s="3">
        <v>56.690477450206096</v>
      </c>
      <c r="D100" s="3">
        <v>37.429855731116803</v>
      </c>
      <c r="E100" s="4">
        <v>3.2039429210797201</v>
      </c>
      <c r="F100" s="2">
        <v>2588.3339075194599</v>
      </c>
      <c r="G100" s="8">
        <v>0.95492796946827496</v>
      </c>
      <c r="H100" s="2">
        <v>386.20115244309898</v>
      </c>
      <c r="I100" s="4">
        <v>3.9806938915481802</v>
      </c>
      <c r="J100" s="3">
        <v>16.723439954821298</v>
      </c>
      <c r="K100" s="4">
        <v>0.18162071073268901</v>
      </c>
      <c r="L100" s="11">
        <v>8.3740986937275008E-3</v>
      </c>
      <c r="M100" s="4">
        <v>8.5062051651508295</v>
      </c>
      <c r="N100" s="4">
        <v>9.1427205086007799</v>
      </c>
      <c r="O100" s="2">
        <v>2686.9216216131499</v>
      </c>
      <c r="P100" s="7">
        <v>0.99855102232319404</v>
      </c>
      <c r="Q100" s="4">
        <v>0.20011482000553099</v>
      </c>
      <c r="R100" s="4" t="s">
        <v>36</v>
      </c>
      <c r="S100" s="4" t="s">
        <v>36</v>
      </c>
      <c r="T100" s="4">
        <v>7.6479011717168399</v>
      </c>
      <c r="U100" s="4">
        <v>7.4375771220678004</v>
      </c>
      <c r="V100" s="4">
        <v>5.6298295262521503</v>
      </c>
      <c r="W100" s="4">
        <v>7.9102645956536399</v>
      </c>
      <c r="X100" s="4">
        <v>5.5469359963006202</v>
      </c>
      <c r="Y100" s="12">
        <f t="shared" si="12"/>
        <v>3.3551671157603087</v>
      </c>
      <c r="Z100" s="5">
        <f t="shared" si="8"/>
        <v>387.19970346542215</v>
      </c>
      <c r="AA100" s="2">
        <f t="shared" si="13"/>
        <v>657879.02192518103</v>
      </c>
      <c r="AB100" s="5">
        <f t="shared" si="9"/>
        <v>390.18184633464716</v>
      </c>
      <c r="AC100" s="2">
        <f t="shared" si="14"/>
        <v>93562.581330639543</v>
      </c>
      <c r="AD100" s="2">
        <f t="shared" si="10"/>
        <v>10.141271530923975</v>
      </c>
      <c r="AE100" s="2">
        <f t="shared" si="15"/>
        <v>210.98671801290124</v>
      </c>
      <c r="AF100" s="2">
        <f t="shared" si="11"/>
        <v>403.92314342024343</v>
      </c>
    </row>
    <row r="101" spans="1:32">
      <c r="A101" s="1" t="s">
        <v>131</v>
      </c>
      <c r="B101" s="4">
        <v>9.2214603286605534</v>
      </c>
      <c r="C101" s="3">
        <v>56.507899528712393</v>
      </c>
      <c r="D101" s="3">
        <v>65.169875820211601</v>
      </c>
      <c r="E101" s="4">
        <v>2.7721018955193002</v>
      </c>
      <c r="F101" s="2">
        <v>2595.78321858155</v>
      </c>
      <c r="G101" s="8">
        <v>0.81560097434157997</v>
      </c>
      <c r="H101" s="2">
        <v>374.75831571132198</v>
      </c>
      <c r="I101" s="4">
        <v>2.9966168514853</v>
      </c>
      <c r="J101" s="2">
        <v>253.354938773377</v>
      </c>
      <c r="K101" s="4">
        <v>0.121799025167104</v>
      </c>
      <c r="L101" s="11">
        <v>2.0300908397665901E-3</v>
      </c>
      <c r="M101" s="8">
        <v>0.84384085604445302</v>
      </c>
      <c r="N101" s="4">
        <v>6.6328037478761601</v>
      </c>
      <c r="O101" s="2">
        <v>2801.7105686669502</v>
      </c>
      <c r="P101" s="7">
        <v>6.2522310083065804</v>
      </c>
      <c r="Q101" s="4">
        <v>0.55341838192856796</v>
      </c>
      <c r="R101" s="4" t="s">
        <v>36</v>
      </c>
      <c r="S101" s="4" t="s">
        <v>36</v>
      </c>
      <c r="T101" s="4">
        <v>0</v>
      </c>
      <c r="U101" s="4">
        <v>0.32406987048129698</v>
      </c>
      <c r="V101" s="4">
        <v>0.24636352573553799</v>
      </c>
      <c r="W101" s="4" t="s">
        <v>36</v>
      </c>
      <c r="X101" s="4">
        <v>42.529163931814203</v>
      </c>
      <c r="Y101" s="12">
        <f t="shared" si="12"/>
        <v>3.3988457379629398</v>
      </c>
      <c r="Z101" s="5">
        <f t="shared" si="8"/>
        <v>381.01054671962856</v>
      </c>
      <c r="AA101" s="2">
        <f t="shared" si="13"/>
        <v>657293.59857372951</v>
      </c>
      <c r="AB101" s="5">
        <f t="shared" si="9"/>
        <v>377.75493256280731</v>
      </c>
      <c r="AC101" s="2">
        <f t="shared" si="14"/>
        <v>94810.386505187082</v>
      </c>
      <c r="AD101" s="2">
        <f t="shared" si="10"/>
        <v>12.885034756182741</v>
      </c>
      <c r="AE101" s="2">
        <f t="shared" si="15"/>
        <v>201.69071052760017</v>
      </c>
      <c r="AF101" s="2">
        <f t="shared" si="11"/>
        <v>634.36548549300551</v>
      </c>
    </row>
    <row r="102" spans="1:32">
      <c r="A102" s="1" t="s">
        <v>132</v>
      </c>
      <c r="B102" s="4">
        <v>9.1838496669612635</v>
      </c>
      <c r="C102" s="3">
        <v>56.432839034510906</v>
      </c>
      <c r="D102" s="3">
        <v>31.421715088573499</v>
      </c>
      <c r="E102" s="4">
        <v>3.4011610193595598</v>
      </c>
      <c r="F102" s="2">
        <v>3036.1913293736998</v>
      </c>
      <c r="G102" s="4">
        <v>1.1668501150524599</v>
      </c>
      <c r="H102" s="2">
        <v>674.72966811071603</v>
      </c>
      <c r="I102" s="4">
        <v>5.5164466920334103</v>
      </c>
      <c r="J102" s="2">
        <v>607.72554085664899</v>
      </c>
      <c r="K102" s="4">
        <v>0.22711379354334299</v>
      </c>
      <c r="L102" s="10">
        <v>2.9665910829795802E-2</v>
      </c>
      <c r="M102" s="3">
        <v>17.500697072417999</v>
      </c>
      <c r="N102" s="4">
        <v>7.2434811819600604</v>
      </c>
      <c r="O102" s="2">
        <v>2591.4163766138799</v>
      </c>
      <c r="P102" s="7">
        <v>5.0111092328535003</v>
      </c>
      <c r="Q102" s="4">
        <v>0.97322842652858899</v>
      </c>
      <c r="R102" s="4">
        <v>18.998032217733599</v>
      </c>
      <c r="S102" s="4">
        <v>1.39150300659414E-2</v>
      </c>
      <c r="T102" s="4">
        <v>6.2337854353534796</v>
      </c>
      <c r="U102" s="4">
        <v>0.102316650637972</v>
      </c>
      <c r="V102" s="4">
        <v>0.32237878092046501</v>
      </c>
      <c r="W102" s="4" t="s">
        <v>36</v>
      </c>
      <c r="X102" s="4">
        <v>13.7288369573371</v>
      </c>
      <c r="Y102" s="12">
        <f t="shared" si="12"/>
        <v>2.9148225427450454</v>
      </c>
      <c r="Z102" s="5">
        <f t="shared" si="8"/>
        <v>679.74077734356956</v>
      </c>
      <c r="AA102" s="2">
        <f t="shared" si="13"/>
        <v>656166.88701472164</v>
      </c>
      <c r="AB102" s="5">
        <f t="shared" si="9"/>
        <v>680.24611480274939</v>
      </c>
      <c r="AC102" s="2">
        <f t="shared" si="14"/>
        <v>94874.687998986337</v>
      </c>
      <c r="AD102" s="2">
        <f t="shared" si="10"/>
        <v>12.25459041481356</v>
      </c>
      <c r="AE102" s="2">
        <f t="shared" si="15"/>
        <v>217.76831984156044</v>
      </c>
      <c r="AF102" s="2">
        <f t="shared" si="11"/>
        <v>1287.4663182002187</v>
      </c>
    </row>
    <row r="103" spans="1:32">
      <c r="A103" s="1" t="s">
        <v>133</v>
      </c>
      <c r="B103" s="4">
        <v>8.7922365455018188</v>
      </c>
      <c r="C103" s="3">
        <v>56.9856157877011</v>
      </c>
      <c r="D103" s="3">
        <v>39.042070721757803</v>
      </c>
      <c r="E103" s="4">
        <v>2.0251252645825502</v>
      </c>
      <c r="F103" s="2">
        <v>2951.8538282060399</v>
      </c>
      <c r="G103" s="8">
        <v>0.78473690743815505</v>
      </c>
      <c r="H103" s="2">
        <v>151.635974592906</v>
      </c>
      <c r="I103" s="4">
        <v>2.11144414624354</v>
      </c>
      <c r="J103" s="3">
        <v>15.1453790381291</v>
      </c>
      <c r="K103" s="4">
        <v>4.7424692687526998E-2</v>
      </c>
      <c r="L103" s="10">
        <v>1.8203777869311499E-2</v>
      </c>
      <c r="M103" s="4">
        <v>4.0010598856042501</v>
      </c>
      <c r="N103" s="4">
        <v>4.0247368017800502</v>
      </c>
      <c r="O103" s="2">
        <v>2775.0404744283501</v>
      </c>
      <c r="P103" s="7">
        <v>2.7718327911251301</v>
      </c>
      <c r="Q103" s="4">
        <v>0.51962278269683504</v>
      </c>
      <c r="R103" s="4">
        <v>2.8501554089915602</v>
      </c>
      <c r="S103" s="4" t="s">
        <v>36</v>
      </c>
      <c r="T103" s="4">
        <v>2.0684609028444698</v>
      </c>
      <c r="U103" s="4">
        <v>0.22769048244728801</v>
      </c>
      <c r="V103" s="4">
        <v>0.27353620744702101</v>
      </c>
      <c r="W103" s="4">
        <v>0.77077029366287797</v>
      </c>
      <c r="X103" s="4">
        <v>83.945944914286102</v>
      </c>
      <c r="Y103" s="12">
        <f t="shared" si="12"/>
        <v>2.5806423087627617</v>
      </c>
      <c r="Z103" s="5">
        <f t="shared" si="8"/>
        <v>154.40780738403112</v>
      </c>
      <c r="AA103" s="2">
        <f t="shared" si="13"/>
        <v>657778.52333202912</v>
      </c>
      <c r="AB103" s="5">
        <f t="shared" si="9"/>
        <v>153.74741873914954</v>
      </c>
      <c r="AC103" s="2">
        <f t="shared" si="14"/>
        <v>90874.219283224229</v>
      </c>
      <c r="AD103" s="2">
        <f t="shared" si="10"/>
        <v>6.7965695929051808</v>
      </c>
      <c r="AE103" s="2">
        <f t="shared" si="15"/>
        <v>205.35057529004135</v>
      </c>
      <c r="AF103" s="2">
        <f t="shared" si="11"/>
        <v>169.55318642216022</v>
      </c>
    </row>
    <row r="104" spans="1:32">
      <c r="A104" s="1" t="s">
        <v>134</v>
      </c>
      <c r="B104" s="4">
        <v>8.8045638907086641</v>
      </c>
      <c r="C104" s="3">
        <v>56.993441022379898</v>
      </c>
      <c r="D104" s="3">
        <v>49.1697445675265</v>
      </c>
      <c r="E104" s="4">
        <v>2.2551051286334101</v>
      </c>
      <c r="F104" s="2">
        <v>2896.4350726645198</v>
      </c>
      <c r="G104" s="8">
        <v>0.70433518309618703</v>
      </c>
      <c r="H104" s="3">
        <v>33.537805547487601</v>
      </c>
      <c r="I104" s="4">
        <v>1.3579091110747801</v>
      </c>
      <c r="J104" s="3">
        <v>17.641128404276198</v>
      </c>
      <c r="K104" s="4">
        <v>4.4452675513557798E-2</v>
      </c>
      <c r="L104" s="2">
        <v>0</v>
      </c>
      <c r="M104" s="8">
        <v>0.130160313093831</v>
      </c>
      <c r="N104" s="4">
        <v>2.1383796251496801</v>
      </c>
      <c r="O104" s="2">
        <v>2790.43118773576</v>
      </c>
      <c r="P104" s="7">
        <v>2.8144517001187901</v>
      </c>
      <c r="Q104" s="4">
        <v>0.28533119066573098</v>
      </c>
      <c r="R104" s="4">
        <v>12.495219735020401</v>
      </c>
      <c r="S104" s="4" t="s">
        <v>36</v>
      </c>
      <c r="T104" s="4">
        <v>4.8156670746454697</v>
      </c>
      <c r="U104" s="4">
        <v>8.5283063134815196E-3</v>
      </c>
      <c r="V104" s="4" t="s">
        <v>36</v>
      </c>
      <c r="W104" s="4" t="s">
        <v>36</v>
      </c>
      <c r="X104" s="4" t="s">
        <v>36</v>
      </c>
      <c r="Y104" s="12">
        <f t="shared" si="12"/>
        <v>3.2017499377500829</v>
      </c>
      <c r="Z104" s="5">
        <f t="shared" si="8"/>
        <v>36.352257247606389</v>
      </c>
      <c r="AA104" s="2">
        <f t="shared" si="13"/>
        <v>657980.04913088563</v>
      </c>
      <c r="AB104" s="5">
        <f t="shared" si="9"/>
        <v>34.895714658562383</v>
      </c>
      <c r="AC104" s="2">
        <f t="shared" si="14"/>
        <v>90942.073979751163</v>
      </c>
      <c r="AD104" s="2">
        <f t="shared" si="10"/>
        <v>4.9528313252684697</v>
      </c>
      <c r="AE104" s="2">
        <f t="shared" si="15"/>
        <v>204.24600066424176</v>
      </c>
      <c r="AF104" s="2">
        <f t="shared" si="11"/>
        <v>53.993385651882591</v>
      </c>
    </row>
    <row r="105" spans="1:32">
      <c r="A105" s="1" t="s">
        <v>135</v>
      </c>
      <c r="B105" s="4">
        <v>9.2567949254991628</v>
      </c>
      <c r="C105" s="3">
        <v>56.523364040892702</v>
      </c>
      <c r="D105" s="3">
        <v>37.1160114430471</v>
      </c>
      <c r="E105" s="4">
        <v>1.91600255292024</v>
      </c>
      <c r="F105" s="2">
        <v>2618.5394013341602</v>
      </c>
      <c r="G105" s="8">
        <v>0.771591709475419</v>
      </c>
      <c r="H105" s="2">
        <v>270.82625467653901</v>
      </c>
      <c r="I105" s="4">
        <v>2.6270166859108999</v>
      </c>
      <c r="J105" s="2">
        <v>216.12974621938201</v>
      </c>
      <c r="K105" s="4">
        <v>7.8889236567484894E-2</v>
      </c>
      <c r="L105" s="11">
        <v>1.9065026780847199E-3</v>
      </c>
      <c r="M105" s="3">
        <v>10.311283732314401</v>
      </c>
      <c r="N105" s="4">
        <v>7.9789759116431096</v>
      </c>
      <c r="O105" s="2">
        <v>2680.7730264591</v>
      </c>
      <c r="P105" s="6">
        <v>14.2477869192257</v>
      </c>
      <c r="Q105" s="4">
        <v>0.59405640416929395</v>
      </c>
      <c r="R105" s="4" t="s">
        <v>36</v>
      </c>
      <c r="S105" s="4">
        <v>1.5961311228499E-2</v>
      </c>
      <c r="T105" s="4">
        <v>16.689703789870102</v>
      </c>
      <c r="U105" s="4">
        <v>0.14726298697668699</v>
      </c>
      <c r="V105" s="4">
        <v>0.11172208644218901</v>
      </c>
      <c r="W105" s="4">
        <v>9.3696476647913798</v>
      </c>
      <c r="X105" s="4">
        <v>54.311040517405701</v>
      </c>
      <c r="Y105" s="12">
        <f t="shared" si="12"/>
        <v>2.4831818815457076</v>
      </c>
      <c r="Z105" s="5">
        <f t="shared" si="8"/>
        <v>285.0740415957647</v>
      </c>
      <c r="AA105" s="2">
        <f t="shared" si="13"/>
        <v>657801.5896639186</v>
      </c>
      <c r="AB105" s="5">
        <f t="shared" si="9"/>
        <v>273.45327136244993</v>
      </c>
      <c r="AC105" s="2">
        <f t="shared" si="14"/>
        <v>95186.48865632579</v>
      </c>
      <c r="AD105" s="2">
        <f t="shared" si="10"/>
        <v>22.226762830868807</v>
      </c>
      <c r="AE105" s="2">
        <f t="shared" si="15"/>
        <v>210.8472574254136</v>
      </c>
      <c r="AF105" s="2">
        <f t="shared" si="11"/>
        <v>501.20378781514671</v>
      </c>
    </row>
    <row r="106" spans="1:32">
      <c r="A106" s="1" t="s">
        <v>136</v>
      </c>
      <c r="B106" s="4">
        <v>8.9596145060666998</v>
      </c>
      <c r="C106" s="3">
        <v>56.879462985989406</v>
      </c>
      <c r="D106" s="3">
        <v>43.256919520784699</v>
      </c>
      <c r="E106" s="4">
        <v>2.6995893569697</v>
      </c>
      <c r="F106" s="2">
        <v>2663.7244960196599</v>
      </c>
      <c r="G106" s="8">
        <v>0.93527324639555798</v>
      </c>
      <c r="H106" s="3">
        <v>90.351449415892901</v>
      </c>
      <c r="I106" s="4">
        <v>1.1989903336124099</v>
      </c>
      <c r="J106" s="3">
        <v>61.485704422083998</v>
      </c>
      <c r="K106" s="4">
        <v>0</v>
      </c>
      <c r="L106" s="2">
        <v>0</v>
      </c>
      <c r="M106" s="4">
        <v>1.0756062872540499</v>
      </c>
      <c r="N106" s="4">
        <v>5.5386057037741301</v>
      </c>
      <c r="O106" s="2">
        <v>2908.5469056492998</v>
      </c>
      <c r="P106" s="7">
        <v>6.4979575542122898</v>
      </c>
      <c r="Q106" s="4">
        <v>0.650427446931793</v>
      </c>
      <c r="R106" s="4">
        <v>52.394763960521701</v>
      </c>
      <c r="S106" s="4">
        <v>2.43582845467534E-3</v>
      </c>
      <c r="T106" s="4">
        <v>0.71349471215325799</v>
      </c>
      <c r="U106" s="4" t="s">
        <v>36</v>
      </c>
      <c r="V106" s="4">
        <v>0.13861255048076401</v>
      </c>
      <c r="W106" s="4" t="s">
        <v>36</v>
      </c>
      <c r="X106" s="4" t="s">
        <v>36</v>
      </c>
      <c r="Y106" s="12">
        <f t="shared" si="12"/>
        <v>2.8864178114509591</v>
      </c>
      <c r="Z106" s="5">
        <f t="shared" si="8"/>
        <v>96.849406970105193</v>
      </c>
      <c r="AA106" s="2">
        <f t="shared" si="13"/>
        <v>658390.774920561</v>
      </c>
      <c r="AB106" s="5">
        <f t="shared" si="9"/>
        <v>91.550439749505315</v>
      </c>
      <c r="AC106" s="2">
        <f t="shared" si="14"/>
        <v>92259.869556686652</v>
      </c>
      <c r="AD106" s="2">
        <f t="shared" si="10"/>
        <v>12.036563257986419</v>
      </c>
      <c r="AE106" s="2">
        <f t="shared" si="15"/>
        <v>195.55972391406806</v>
      </c>
      <c r="AF106" s="2">
        <f t="shared" si="11"/>
        <v>158.33511139218919</v>
      </c>
    </row>
    <row r="107" spans="1:32">
      <c r="A107" s="1" t="s">
        <v>137</v>
      </c>
      <c r="B107" s="4">
        <v>8.8327274165497176</v>
      </c>
      <c r="C107" s="3">
        <v>56.988607486909302</v>
      </c>
      <c r="D107" s="3">
        <v>51.973728316983298</v>
      </c>
      <c r="E107" s="4">
        <v>3.0072254190154699</v>
      </c>
      <c r="F107" s="2">
        <v>2615.2580014892401</v>
      </c>
      <c r="G107" s="8">
        <v>0.868764013951145</v>
      </c>
      <c r="H107" s="2">
        <v>131.06177855863399</v>
      </c>
      <c r="I107" s="4">
        <v>1.27550525089975</v>
      </c>
      <c r="J107" s="3">
        <v>93.239888195183397</v>
      </c>
      <c r="K107" s="4">
        <v>1.33212708142428E-2</v>
      </c>
      <c r="L107" s="10">
        <v>1.2050282056384601E-2</v>
      </c>
      <c r="M107" s="4">
        <v>1.9604658223117699</v>
      </c>
      <c r="N107" s="4">
        <v>6.2222468917328504</v>
      </c>
      <c r="O107" s="2">
        <v>2855.1267914878999</v>
      </c>
      <c r="P107" s="7">
        <v>8.9443755222786194</v>
      </c>
      <c r="Q107" s="4">
        <v>0.74240155866008894</v>
      </c>
      <c r="R107" s="4" t="s">
        <v>36</v>
      </c>
      <c r="S107" s="4">
        <v>2.4248011435003798E-3</v>
      </c>
      <c r="T107" s="4">
        <v>1.0289909220954701</v>
      </c>
      <c r="U107" s="4">
        <v>4.1962207166048197E-2</v>
      </c>
      <c r="V107" s="4">
        <v>9.8668127564973507E-2</v>
      </c>
      <c r="W107" s="4">
        <v>0.61061619134229805</v>
      </c>
      <c r="X107" s="4" t="s">
        <v>36</v>
      </c>
      <c r="Y107" s="12">
        <f t="shared" si="12"/>
        <v>3.4614986011432345</v>
      </c>
      <c r="Z107" s="5">
        <f t="shared" si="8"/>
        <v>140.00615408091261</v>
      </c>
      <c r="AA107" s="2">
        <f t="shared" si="13"/>
        <v>658213.34903459018</v>
      </c>
      <c r="AB107" s="5">
        <f t="shared" si="9"/>
        <v>132.33728380953374</v>
      </c>
      <c r="AC107" s="2">
        <f t="shared" si="14"/>
        <v>90942.532166986421</v>
      </c>
      <c r="AD107" s="2">
        <f t="shared" si="10"/>
        <v>15.166622414011471</v>
      </c>
      <c r="AE107" s="2">
        <f t="shared" si="15"/>
        <v>199.60096923475217</v>
      </c>
      <c r="AF107" s="2">
        <f t="shared" si="11"/>
        <v>233.24604227609601</v>
      </c>
    </row>
    <row r="109" spans="1:32">
      <c r="A109" s="1" t="s">
        <v>138</v>
      </c>
    </row>
  </sheetData>
  <mergeCells count="1">
    <mergeCell ref="A1:AF1"/>
  </mergeCells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97A6B3-5158-4D24-B430-F0D877A3813A}"/>
</file>

<file path=customXml/itemProps2.xml><?xml version="1.0" encoding="utf-8"?>
<ds:datastoreItem xmlns:ds="http://schemas.openxmlformats.org/officeDocument/2006/customXml" ds:itemID="{C4BFE7FF-27FE-46DC-9DA6-1E75B086FE80}"/>
</file>

<file path=customXml/itemProps3.xml><?xml version="1.0" encoding="utf-8"?>
<ds:datastoreItem xmlns:ds="http://schemas.openxmlformats.org/officeDocument/2006/customXml" ds:itemID="{3C7CB7D9-40DF-46BA-A61A-6C90A9F09D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HXH</cp:lastModifiedBy>
  <cp:revision/>
  <dcterms:created xsi:type="dcterms:W3CDTF">2006-09-16T00:00:00Z</dcterms:created>
  <dcterms:modified xsi:type="dcterms:W3CDTF">2025-02-12T17:45:49Z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9CB084BB04C042AA877F1281B5FAC2C7_12</vt:lpwstr>
  </property>
  <property fmtid="{D5CDD505-2E9C-101B-9397-08002B2CF9AE}" pid="3" name="KSOProductBuildVer">
    <vt:lpwstr>2052-11.1.0.14309</vt:lpwstr>
  </property>
  <property fmtid="{D5CDD505-2E9C-101B-9397-08002B2CF9AE}" pid="4" name="ContentTypeId">
    <vt:lpwstr>0x010100E89770C754368F49BB2A63D8816AD496</vt:lpwstr>
  </property>
</Properties>
</file>