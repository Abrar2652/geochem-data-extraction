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ustom.xml" ContentType="application/vnd.openxmlformats-officedocument.custom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38"/>
  <workbookPr/>
  <mc:AlternateContent xmlns:mc="http://schemas.openxmlformats.org/markup-compatibility/2006">
    <mc:Choice Requires="x15">
      <x15ac:absPath xmlns:x15ac="http://schemas.microsoft.com/office/spreadsheetml/2010/11/ac" url="C:\Users\AAA\Desktop\返稿修改\定稿\Supplementary\"/>
    </mc:Choice>
  </mc:AlternateContent>
  <xr:revisionPtr revIDLastSave="0" documentId="13_ncr:1_{6EC7DBBB-0955-498A-84BF-4399058316D5}" xr6:coauthVersionLast="36" xr6:coauthVersionMax="36" xr10:uidLastSave="{00000000-0000-0000-0000-000000000000}"/>
  <bookViews>
    <workbookView xWindow="0" yWindow="0" windowWidth="18348" windowHeight="7596" xr2:uid="{00000000-000D-0000-FFFF-FFFF00000000}"/>
  </bookViews>
  <sheets>
    <sheet name="Sheet1" sheetId="4" r:id="rId1"/>
  </sheets>
  <calcPr calcId="162913"/>
</workbook>
</file>

<file path=xl/calcChain.xml><?xml version="1.0" encoding="utf-8"?>
<calcChain xmlns="http://schemas.openxmlformats.org/spreadsheetml/2006/main">
  <c r="K3" i="4" l="1"/>
  <c r="K10" i="4" l="1"/>
  <c r="L10" i="4" s="1"/>
  <c r="K11" i="4"/>
  <c r="L11" i="4" s="1"/>
  <c r="K12" i="4"/>
  <c r="L12" i="4" s="1"/>
  <c r="K13" i="4"/>
  <c r="L13" i="4" s="1"/>
  <c r="K9" i="4"/>
  <c r="L9" i="4" s="1"/>
  <c r="L3" i="4"/>
  <c r="E19" i="4"/>
  <c r="F19" i="4" s="1"/>
  <c r="E20" i="4"/>
  <c r="F20" i="4" s="1"/>
  <c r="E21" i="4"/>
  <c r="F21" i="4" s="1"/>
  <c r="E22" i="4"/>
  <c r="F22" i="4" s="1"/>
  <c r="E23" i="4"/>
  <c r="F23" i="4" s="1"/>
  <c r="E24" i="4"/>
  <c r="F24" i="4" s="1"/>
  <c r="E25" i="4"/>
  <c r="F25" i="4" s="1"/>
  <c r="E26" i="4"/>
  <c r="F26" i="4" s="1"/>
  <c r="E27" i="4"/>
  <c r="F27" i="4" s="1"/>
  <c r="E28" i="4"/>
  <c r="F28" i="4" s="1"/>
  <c r="E29" i="4"/>
  <c r="F29" i="4" s="1"/>
  <c r="E30" i="4"/>
  <c r="F30" i="4" s="1"/>
  <c r="E31" i="4"/>
  <c r="F31" i="4" s="1"/>
  <c r="E32" i="4"/>
  <c r="F32" i="4" s="1"/>
  <c r="E33" i="4"/>
  <c r="F33" i="4" s="1"/>
  <c r="K4" i="4" l="1"/>
  <c r="L4" i="4" s="1"/>
  <c r="K5" i="4"/>
  <c r="L5" i="4" s="1"/>
  <c r="K6" i="4"/>
  <c r="L6" i="4" s="1"/>
  <c r="K7" i="4"/>
  <c r="L7" i="4" s="1"/>
  <c r="K8" i="4"/>
  <c r="L8" i="4" s="1"/>
  <c r="E3" i="4"/>
  <c r="F3" i="4" s="1"/>
  <c r="E4" i="4"/>
  <c r="F4" i="4" s="1"/>
  <c r="E5" i="4"/>
  <c r="F5" i="4" s="1"/>
  <c r="E6" i="4"/>
  <c r="F6" i="4" s="1"/>
  <c r="E7" i="4"/>
  <c r="F7" i="4" s="1"/>
  <c r="E8" i="4"/>
  <c r="F8" i="4" s="1"/>
  <c r="E9" i="4"/>
  <c r="F9" i="4" s="1"/>
  <c r="E10" i="4"/>
  <c r="F10" i="4" s="1"/>
  <c r="E11" i="4"/>
  <c r="F11" i="4" s="1"/>
  <c r="E12" i="4"/>
  <c r="F12" i="4" s="1"/>
  <c r="E13" i="4"/>
  <c r="F13" i="4" s="1"/>
  <c r="E14" i="4"/>
  <c r="F14" i="4" s="1"/>
  <c r="E15" i="4"/>
  <c r="F15" i="4" s="1"/>
  <c r="E16" i="4"/>
  <c r="F16" i="4" s="1"/>
  <c r="E17" i="4"/>
  <c r="F17" i="4" s="1"/>
  <c r="E18" i="4"/>
  <c r="F18" i="4" s="1"/>
  <c r="L14" i="4" l="1"/>
  <c r="N8" i="4" s="1"/>
  <c r="N22" i="4"/>
  <c r="N29" i="4"/>
  <c r="N28" i="4"/>
  <c r="N23" i="4"/>
  <c r="N9" i="4"/>
  <c r="N19" i="4"/>
  <c r="N14" i="4"/>
  <c r="N12" i="4"/>
  <c r="N20" i="4"/>
  <c r="N32" i="4"/>
  <c r="N11" i="4"/>
  <c r="N25" i="4" l="1"/>
  <c r="N30" i="4"/>
  <c r="N5" i="4"/>
  <c r="N16" i="4"/>
  <c r="N6" i="4"/>
  <c r="N21" i="4"/>
  <c r="N24" i="4"/>
  <c r="N26" i="4"/>
  <c r="N17" i="4"/>
  <c r="N13" i="4"/>
  <c r="N18" i="4"/>
  <c r="N31" i="4"/>
  <c r="N7" i="4"/>
  <c r="N33" i="4"/>
  <c r="N4" i="4"/>
  <c r="N3" i="4"/>
  <c r="N10" i="4"/>
  <c r="N15" i="4"/>
  <c r="N27" i="4"/>
</calcChain>
</file>

<file path=xl/sharedStrings.xml><?xml version="1.0" encoding="utf-8"?>
<sst xmlns="http://schemas.openxmlformats.org/spreadsheetml/2006/main" count="54" uniqueCount="42">
  <si>
    <t>101A-2@L3</t>
  </si>
  <si>
    <t>101A-2@L5</t>
  </si>
  <si>
    <t>101A-2@L6</t>
  </si>
  <si>
    <t>101A-3@L7</t>
  </si>
  <si>
    <t>101A-3@L10</t>
  </si>
  <si>
    <t>101A-3@L11</t>
  </si>
  <si>
    <t>101A-3@L13</t>
  </si>
  <si>
    <t>101A-3@L14</t>
  </si>
  <si>
    <t>101A-3@L15</t>
  </si>
  <si>
    <t>101A-4@L17</t>
  </si>
  <si>
    <t>101A-4@L19</t>
  </si>
  <si>
    <t>101B-2@L26</t>
  </si>
  <si>
    <t>101B-2@L27</t>
  </si>
  <si>
    <t>101B-2@L28</t>
  </si>
  <si>
    <t>101B-2@L29</t>
  </si>
  <si>
    <t>101B-2@L30</t>
  </si>
  <si>
    <t>201B-1@L34</t>
  </si>
  <si>
    <t>201B-1@L35</t>
  </si>
  <si>
    <t>201B-1@L36</t>
  </si>
  <si>
    <t>201B-1@L37</t>
  </si>
  <si>
    <t>201B-1@L38</t>
  </si>
  <si>
    <t>303@L47</t>
  </si>
  <si>
    <t>303@L48</t>
  </si>
  <si>
    <t>303@L49</t>
  </si>
  <si>
    <t>303@L50</t>
  </si>
  <si>
    <t>303@L51</t>
  </si>
  <si>
    <t>303@L52</t>
  </si>
  <si>
    <t>303@L54</t>
  </si>
  <si>
    <t>303@L55</t>
  </si>
  <si>
    <t>303@L56</t>
  </si>
  <si>
    <t>303@L57</t>
  </si>
  <si>
    <t>MASS-1</t>
  </si>
  <si>
    <t>Corrected ratio for sample</t>
    <phoneticPr fontId="2" type="noConversion"/>
  </si>
  <si>
    <r>
      <t xml:space="preserve">Measured </t>
    </r>
    <r>
      <rPr>
        <b/>
        <i/>
        <sz val="9"/>
        <rFont val="Calibri"/>
        <family val="2"/>
      </rPr>
      <t>C</t>
    </r>
    <r>
      <rPr>
        <b/>
        <vertAlign val="subscript"/>
        <sz val="9"/>
        <rFont val="Calibri"/>
        <family val="2"/>
      </rPr>
      <t xml:space="preserve">In115 </t>
    </r>
    <r>
      <rPr>
        <b/>
        <sz val="9"/>
        <rFont val="Calibri"/>
        <family val="2"/>
      </rPr>
      <t>(ppm)</t>
    </r>
    <phoneticPr fontId="2" type="noConversion"/>
  </si>
  <si>
    <t>Corrected ratio for external standard</t>
    <phoneticPr fontId="2" type="noConversion"/>
  </si>
  <si>
    <t>Average</t>
    <phoneticPr fontId="2" type="noConversion"/>
  </si>
  <si>
    <r>
      <rPr>
        <b/>
        <i/>
        <sz val="9"/>
        <color theme="1"/>
        <rFont val="Calibri"/>
        <family val="2"/>
      </rPr>
      <t>Measured I</t>
    </r>
    <r>
      <rPr>
        <b/>
        <vertAlign val="subscript"/>
        <sz val="9"/>
        <color theme="1"/>
        <rFont val="Calibri"/>
        <family val="2"/>
      </rPr>
      <t>In115</t>
    </r>
    <r>
      <rPr>
        <b/>
        <sz val="9"/>
        <color theme="1"/>
        <rFont val="Calibri"/>
        <family val="2"/>
      </rPr>
      <t xml:space="preserve"> (cps)</t>
    </r>
    <phoneticPr fontId="2" type="noConversion"/>
  </si>
  <si>
    <r>
      <t xml:space="preserve">Measured </t>
    </r>
    <r>
      <rPr>
        <b/>
        <i/>
        <sz val="9"/>
        <color theme="1"/>
        <rFont val="Calibri"/>
        <family val="2"/>
      </rPr>
      <t>I</t>
    </r>
    <r>
      <rPr>
        <b/>
        <vertAlign val="subscript"/>
        <sz val="9"/>
        <color theme="1"/>
        <rFont val="Calibri"/>
        <family val="2"/>
      </rPr>
      <t>Sn118</t>
    </r>
    <r>
      <rPr>
        <b/>
        <sz val="9"/>
        <color theme="1"/>
        <rFont val="Calibri"/>
        <family val="2"/>
      </rPr>
      <t xml:space="preserve"> (cps)</t>
    </r>
    <phoneticPr fontId="2" type="noConversion"/>
  </si>
  <si>
    <r>
      <t xml:space="preserve">Corrected </t>
    </r>
    <r>
      <rPr>
        <b/>
        <i/>
        <sz val="9"/>
        <color theme="1"/>
        <rFont val="Calibri"/>
        <family val="2"/>
      </rPr>
      <t>I</t>
    </r>
    <r>
      <rPr>
        <b/>
        <vertAlign val="subscript"/>
        <sz val="9"/>
        <color theme="1"/>
        <rFont val="Calibri"/>
        <family val="2"/>
      </rPr>
      <t>In115</t>
    </r>
    <r>
      <rPr>
        <b/>
        <sz val="9"/>
        <color theme="1"/>
        <rFont val="Calibri"/>
        <family val="2"/>
      </rPr>
      <t xml:space="preserve"> (cps)</t>
    </r>
    <phoneticPr fontId="2" type="noConversion"/>
  </si>
  <si>
    <r>
      <t xml:space="preserve">Measured </t>
    </r>
    <r>
      <rPr>
        <b/>
        <i/>
        <sz val="9"/>
        <color theme="1"/>
        <rFont val="Calibri"/>
        <family val="2"/>
      </rPr>
      <t>I</t>
    </r>
    <r>
      <rPr>
        <b/>
        <vertAlign val="subscript"/>
        <sz val="9"/>
        <color theme="1"/>
        <rFont val="Calibri"/>
        <family val="2"/>
      </rPr>
      <t>In115</t>
    </r>
    <r>
      <rPr>
        <b/>
        <sz val="9"/>
        <color theme="1"/>
        <rFont val="Calibri"/>
        <family val="2"/>
      </rPr>
      <t xml:space="preserve"> (cps)</t>
    </r>
    <phoneticPr fontId="2" type="noConversion"/>
  </si>
  <si>
    <r>
      <t xml:space="preserve">Corrected </t>
    </r>
    <r>
      <rPr>
        <b/>
        <i/>
        <sz val="9"/>
        <color theme="1"/>
        <rFont val="Calibri"/>
        <family val="2"/>
      </rPr>
      <t>C</t>
    </r>
    <r>
      <rPr>
        <b/>
        <vertAlign val="subscript"/>
        <sz val="9"/>
        <color theme="1"/>
        <rFont val="Calibri"/>
        <family val="2"/>
      </rPr>
      <t>In115</t>
    </r>
    <r>
      <rPr>
        <b/>
        <sz val="9"/>
        <color theme="1"/>
        <rFont val="Calibri"/>
        <family val="2"/>
      </rPr>
      <t xml:space="preserve"> (ppm)</t>
    </r>
    <phoneticPr fontId="2" type="noConversion"/>
  </si>
  <si>
    <t xml:space="preserve"> Appendix Table S2 Calculation process for In contents correction of sphalerite by LA-ICP-MS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</si>
</sst>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宋体"/>
      <charset val="134"/>
      <scheme val="minor"/>
    </font>
    <font>
      <b/>
      <sz val="9"/>
      <name val="Calibri"/>
      <family val="2"/>
    </font>
    <font>
      <sz val="9"/>
      <name val="宋体"/>
      <family val="3"/>
      <charset val="134"/>
      <scheme val="minor"/>
    </font>
    <font>
      <b/>
      <i/>
      <sz val="9"/>
      <name val="Calibri"/>
      <family val="2"/>
    </font>
    <font>
      <sz val="11"/>
      <color theme="1"/>
      <name val="Calibri"/>
      <family val="2"/>
    </font>
    <font>
      <b/>
      <vertAlign val="subscript"/>
      <sz val="9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9"/>
      <color theme="1"/>
      <name val="Calibri"/>
      <family val="2"/>
    </font>
    <font>
      <b/>
      <i/>
      <sz val="9"/>
      <color theme="1"/>
      <name val="Calibri"/>
      <family val="2"/>
    </font>
    <font>
      <b/>
      <vertAlign val="subscript"/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6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861F1-7D5D-489C-8F8B-02A5B2766C88}">
  <dimension ref="A1:N33"/>
  <sheetViews>
    <sheetView tabSelected="1" zoomScaleNormal="100" workbookViewId="0">
      <selection activeCell="F14" sqref="F14"/>
    </sheetView>
  </sheetViews>
  <sheetFormatPr defaultRowHeight="14.4" x14ac:dyDescent="0.25"/>
  <cols>
    <col min="1" max="1" width="13.109375" style="2" bestFit="1" customWidth="1"/>
    <col min="2" max="2" width="14.44140625" style="2" bestFit="1" customWidth="1"/>
    <col min="3" max="3" width="17.44140625" style="2" bestFit="1" customWidth="1"/>
    <col min="4" max="4" width="17.88671875" style="2" bestFit="1" customWidth="1"/>
    <col min="5" max="5" width="17.5546875" style="2" bestFit="1" customWidth="1"/>
    <col min="6" max="6" width="22.33203125" style="2" bestFit="1" customWidth="1"/>
    <col min="7" max="7" width="8.88671875" style="2"/>
    <col min="8" max="8" width="8.33203125" style="2" bestFit="1" customWidth="1"/>
    <col min="9" max="9" width="17.5546875" style="2" bestFit="1" customWidth="1"/>
    <col min="10" max="10" width="17.88671875" style="2" bestFit="1" customWidth="1"/>
    <col min="11" max="11" width="17.5546875" style="2" bestFit="1" customWidth="1"/>
    <col min="12" max="12" width="30.88671875" style="2" bestFit="1" customWidth="1"/>
    <col min="13" max="13" width="8.88671875" style="2"/>
    <col min="14" max="14" width="19.33203125" style="2" bestFit="1" customWidth="1"/>
    <col min="15" max="15" width="14.44140625" style="2" bestFit="1" customWidth="1"/>
    <col min="16" max="16384" width="8.88671875" style="2"/>
  </cols>
  <sheetData>
    <row r="1" spans="1:14" ht="18" x14ac:dyDescent="0.25">
      <c r="A1" s="5" t="s">
        <v>41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4" s="1" customFormat="1" ht="26.4" x14ac:dyDescent="0.25">
      <c r="A2" s="3"/>
      <c r="B2" s="3" t="s">
        <v>33</v>
      </c>
      <c r="C2" s="4" t="s">
        <v>36</v>
      </c>
      <c r="D2" s="4" t="s">
        <v>37</v>
      </c>
      <c r="E2" s="4" t="s">
        <v>38</v>
      </c>
      <c r="F2" s="4" t="s">
        <v>32</v>
      </c>
      <c r="G2" s="4"/>
      <c r="H2" s="4"/>
      <c r="I2" s="4" t="s">
        <v>39</v>
      </c>
      <c r="J2" s="4" t="s">
        <v>37</v>
      </c>
      <c r="K2" s="4" t="s">
        <v>38</v>
      </c>
      <c r="L2" s="4" t="s">
        <v>34</v>
      </c>
      <c r="M2" s="4"/>
      <c r="N2" s="4" t="s">
        <v>40</v>
      </c>
    </row>
    <row r="3" spans="1:14" x14ac:dyDescent="0.25">
      <c r="A3" s="2" t="s">
        <v>0</v>
      </c>
      <c r="B3" s="2">
        <v>165.987049301127</v>
      </c>
      <c r="C3" s="2">
        <v>165923.57172758458</v>
      </c>
      <c r="D3" s="2">
        <v>1971.4504562953639</v>
      </c>
      <c r="E3" s="2">
        <f>C3-(0.34%/24.23%)*D3</f>
        <v>165895.90795725276</v>
      </c>
      <c r="F3" s="2">
        <f>E3/C3</f>
        <v>0.99983327401861111</v>
      </c>
      <c r="H3" s="2" t="s">
        <v>31</v>
      </c>
      <c r="I3" s="2">
        <v>13334.050643111776</v>
      </c>
      <c r="J3" s="2">
        <v>3652.5438791852393</v>
      </c>
      <c r="K3" s="2">
        <f>I3-(0.34%/24.23%)*J3</f>
        <v>13282.79744794368</v>
      </c>
      <c r="L3" s="2">
        <f>K3/I3</f>
        <v>0.99615621715111957</v>
      </c>
      <c r="N3" s="2">
        <f>(B3*F3)/$L$14</f>
        <v>166.58472324201497</v>
      </c>
    </row>
    <row r="4" spans="1:14" x14ac:dyDescent="0.25">
      <c r="A4" s="2" t="s">
        <v>1</v>
      </c>
      <c r="B4" s="2">
        <v>181.605413667775</v>
      </c>
      <c r="C4" s="2">
        <v>178485.26234857526</v>
      </c>
      <c r="D4" s="2">
        <v>2004.7722878217612</v>
      </c>
      <c r="E4" s="2">
        <f t="shared" ref="E4:E33" si="0">C4-(0.34%/24.23%)*D4</f>
        <v>178457.13099992237</v>
      </c>
      <c r="F4" s="2">
        <f t="shared" ref="F4:F33" si="1">E4/C4</f>
        <v>0.99984238839508244</v>
      </c>
      <c r="H4" s="2" t="s">
        <v>31</v>
      </c>
      <c r="I4" s="2">
        <v>15867.039591909828</v>
      </c>
      <c r="J4" s="2">
        <v>3956.9351499180157</v>
      </c>
      <c r="K4" s="2">
        <f t="shared" ref="K4:K8" si="2">I4-(0.34%/24.23%)*J4</f>
        <v>15811.515120140446</v>
      </c>
      <c r="L4" s="2">
        <f t="shared" ref="L4:L8" si="3">K4/I4</f>
        <v>0.99650064074979094</v>
      </c>
      <c r="N4" s="2">
        <f t="shared" ref="N4:N8" si="4">(B4*F4)/$L$14</f>
        <v>182.26098652177268</v>
      </c>
    </row>
    <row r="5" spans="1:14" x14ac:dyDescent="0.25">
      <c r="A5" s="2" t="s">
        <v>2</v>
      </c>
      <c r="B5" s="2">
        <v>204.547802112</v>
      </c>
      <c r="C5" s="2">
        <v>190098.93151512343</v>
      </c>
      <c r="D5" s="2">
        <v>1342.1556522868914</v>
      </c>
      <c r="E5" s="2">
        <f t="shared" si="0"/>
        <v>190080.09812999022</v>
      </c>
      <c r="F5" s="2">
        <f t="shared" si="1"/>
        <v>0.99990092850610413</v>
      </c>
      <c r="H5" s="2" t="s">
        <v>31</v>
      </c>
      <c r="I5" s="2">
        <v>13313.122736350453</v>
      </c>
      <c r="J5" s="2">
        <v>3763.4160152616837</v>
      </c>
      <c r="K5" s="2">
        <f t="shared" si="2"/>
        <v>13260.313762137124</v>
      </c>
      <c r="L5" s="2">
        <f t="shared" si="3"/>
        <v>0.99603331425247521</v>
      </c>
      <c r="N5" s="2">
        <f t="shared" si="4"/>
        <v>205.29821349290202</v>
      </c>
    </row>
    <row r="6" spans="1:14" x14ac:dyDescent="0.25">
      <c r="A6" s="2" t="s">
        <v>3</v>
      </c>
      <c r="B6" s="2">
        <v>277.46450813738602</v>
      </c>
      <c r="C6" s="2">
        <v>256346.81295219803</v>
      </c>
      <c r="D6" s="2">
        <v>263.41921527836388</v>
      </c>
      <c r="E6" s="2">
        <f t="shared" si="0"/>
        <v>256343.11660332495</v>
      </c>
      <c r="F6" s="2">
        <f t="shared" si="1"/>
        <v>0.99998558067162802</v>
      </c>
      <c r="H6" s="2" t="s">
        <v>31</v>
      </c>
      <c r="I6" s="2">
        <v>14515.944814473392</v>
      </c>
      <c r="J6" s="2">
        <v>3966.9358606419014</v>
      </c>
      <c r="K6" s="2">
        <f t="shared" si="2"/>
        <v>14460.280010816015</v>
      </c>
      <c r="L6" s="2">
        <f t="shared" si="3"/>
        <v>0.99616526486089452</v>
      </c>
      <c r="N6" s="2">
        <f t="shared" si="4"/>
        <v>278.50600082935478</v>
      </c>
    </row>
    <row r="7" spans="1:14" x14ac:dyDescent="0.25">
      <c r="A7" s="2" t="s">
        <v>4</v>
      </c>
      <c r="B7" s="2">
        <v>472.90148924105199</v>
      </c>
      <c r="C7" s="2">
        <v>331030.94286428607</v>
      </c>
      <c r="D7" s="2">
        <v>3340.573866387419</v>
      </c>
      <c r="E7" s="2">
        <f t="shared" si="0"/>
        <v>330984.06729207921</v>
      </c>
      <c r="F7" s="2">
        <f t="shared" si="1"/>
        <v>0.99985839519471731</v>
      </c>
      <c r="H7" s="2" t="s">
        <v>31</v>
      </c>
      <c r="I7" s="2">
        <v>11508.124828684986</v>
      </c>
      <c r="J7" s="2">
        <v>3093.2696479967399</v>
      </c>
      <c r="K7" s="2">
        <f t="shared" si="2"/>
        <v>11464.719476628903</v>
      </c>
      <c r="L7" s="2">
        <f t="shared" si="3"/>
        <v>0.9962282863018751</v>
      </c>
      <c r="N7" s="2">
        <f t="shared" si="4"/>
        <v>474.61620269643544</v>
      </c>
    </row>
    <row r="8" spans="1:14" x14ac:dyDescent="0.25">
      <c r="A8" s="2" t="s">
        <v>5</v>
      </c>
      <c r="B8" s="2">
        <v>552.04343915780601</v>
      </c>
      <c r="C8" s="2">
        <v>391819.61008178955</v>
      </c>
      <c r="D8" s="2">
        <v>4564.2653897223545</v>
      </c>
      <c r="E8" s="2">
        <f t="shared" si="0"/>
        <v>391755.56343579263</v>
      </c>
      <c r="F8" s="2">
        <f t="shared" si="1"/>
        <v>0.9998365404784525</v>
      </c>
      <c r="H8" s="2" t="s">
        <v>31</v>
      </c>
      <c r="I8" s="2">
        <v>13348.491417814234</v>
      </c>
      <c r="J8" s="2">
        <v>3534.3220105864189</v>
      </c>
      <c r="K8" s="2">
        <f t="shared" si="2"/>
        <v>13298.897134545583</v>
      </c>
      <c r="L8" s="2">
        <f t="shared" si="3"/>
        <v>0.99628465257111642</v>
      </c>
      <c r="N8" s="2">
        <f t="shared" si="4"/>
        <v>554.03300653367012</v>
      </c>
    </row>
    <row r="9" spans="1:14" x14ac:dyDescent="0.25">
      <c r="A9" s="2" t="s">
        <v>6</v>
      </c>
      <c r="B9" s="2">
        <v>678.75479896015395</v>
      </c>
      <c r="C9" s="2">
        <v>483558.90291970625</v>
      </c>
      <c r="D9" s="2">
        <v>24024.878223563086</v>
      </c>
      <c r="E9" s="2">
        <f t="shared" si="0"/>
        <v>483221.78122775367</v>
      </c>
      <c r="F9" s="2">
        <f t="shared" si="1"/>
        <v>0.99930283220944327</v>
      </c>
      <c r="H9" s="2" t="s">
        <v>31</v>
      </c>
      <c r="I9" s="2">
        <v>21500.674118561434</v>
      </c>
      <c r="J9" s="2">
        <v>5791.6799124465024</v>
      </c>
      <c r="K9" s="2">
        <f>I9-(0.34%/24.23%)*J9</f>
        <v>21419.404156934037</v>
      </c>
      <c r="L9" s="2">
        <f>K9/I9</f>
        <v>0.99622012030044971</v>
      </c>
      <c r="N9" s="2">
        <f t="shared" ref="N9:N33" si="5">(B9*F9)/$L$14</f>
        <v>680.83741266170773</v>
      </c>
    </row>
    <row r="10" spans="1:14" x14ac:dyDescent="0.25">
      <c r="A10" s="2" t="s">
        <v>7</v>
      </c>
      <c r="B10" s="2">
        <v>720.39803906492898</v>
      </c>
      <c r="C10" s="2">
        <v>507791.41248578182</v>
      </c>
      <c r="D10" s="2">
        <v>16470.030691579701</v>
      </c>
      <c r="E10" s="2">
        <f t="shared" si="0"/>
        <v>507560.30186113727</v>
      </c>
      <c r="F10" s="2">
        <f t="shared" si="1"/>
        <v>0.999544870947082</v>
      </c>
      <c r="H10" s="2" t="s">
        <v>31</v>
      </c>
      <c r="I10" s="2">
        <v>18403.397222127096</v>
      </c>
      <c r="J10" s="2">
        <v>4807.9377800263628</v>
      </c>
      <c r="K10" s="2">
        <f t="shared" ref="K10:K13" si="6">I10-(0.34%/24.23%)*J10</f>
        <v>18335.931318486611</v>
      </c>
      <c r="L10" s="2">
        <f t="shared" ref="L10:L13" si="7">K10/I10</f>
        <v>0.99633405165219346</v>
      </c>
      <c r="N10" s="2">
        <f t="shared" si="5"/>
        <v>722.783447378608</v>
      </c>
    </row>
    <row r="11" spans="1:14" x14ac:dyDescent="0.25">
      <c r="A11" s="2" t="s">
        <v>8</v>
      </c>
      <c r="B11" s="2">
        <v>561.75922495792997</v>
      </c>
      <c r="C11" s="2">
        <v>412787.825461292</v>
      </c>
      <c r="D11" s="2">
        <v>8367.4202006872147</v>
      </c>
      <c r="E11" s="2">
        <f t="shared" si="0"/>
        <v>412670.4122186905</v>
      </c>
      <c r="F11" s="2">
        <f t="shared" si="1"/>
        <v>0.99971556030638675</v>
      </c>
      <c r="H11" s="2" t="s">
        <v>31</v>
      </c>
      <c r="I11" s="2">
        <v>16935.054460359348</v>
      </c>
      <c r="J11" s="2">
        <v>4530.830046811272</v>
      </c>
      <c r="K11" s="2">
        <f t="shared" si="6"/>
        <v>16871.476985496953</v>
      </c>
      <c r="L11" s="2">
        <f t="shared" si="7"/>
        <v>0.99624580629420389</v>
      </c>
      <c r="N11" s="2">
        <f t="shared" si="5"/>
        <v>563.71559026250895</v>
      </c>
    </row>
    <row r="12" spans="1:14" x14ac:dyDescent="0.25">
      <c r="A12" s="2" t="s">
        <v>9</v>
      </c>
      <c r="B12" s="2">
        <v>249.178579539959</v>
      </c>
      <c r="C12" s="2">
        <v>182036.25491808035</v>
      </c>
      <c r="D12" s="2">
        <v>913.22498657266624</v>
      </c>
      <c r="E12" s="2">
        <f t="shared" si="0"/>
        <v>182023.44037018786</v>
      </c>
      <c r="F12" s="2">
        <f t="shared" si="1"/>
        <v>0.99992960441919521</v>
      </c>
      <c r="H12" s="2" t="s">
        <v>31</v>
      </c>
      <c r="I12" s="2">
        <v>17992.14669600335</v>
      </c>
      <c r="J12" s="2">
        <v>4820.6104103060161</v>
      </c>
      <c r="K12" s="2">
        <f t="shared" si="6"/>
        <v>17924.502967587996</v>
      </c>
      <c r="L12" s="2">
        <f t="shared" si="7"/>
        <v>0.99624037478360594</v>
      </c>
      <c r="N12" s="2">
        <f t="shared" si="5"/>
        <v>250.09989733463033</v>
      </c>
    </row>
    <row r="13" spans="1:14" x14ac:dyDescent="0.25">
      <c r="A13" s="2" t="s">
        <v>10</v>
      </c>
      <c r="B13" s="2">
        <v>260.453491923993</v>
      </c>
      <c r="C13" s="2">
        <v>183322.3873664921</v>
      </c>
      <c r="D13" s="2">
        <v>214.27342743745152</v>
      </c>
      <c r="E13" s="2">
        <f t="shared" si="0"/>
        <v>183319.38064072534</v>
      </c>
      <c r="F13" s="2">
        <f t="shared" si="1"/>
        <v>0.99998359869839171</v>
      </c>
      <c r="H13" s="2" t="s">
        <v>31</v>
      </c>
      <c r="I13" s="2">
        <v>19223.088237181611</v>
      </c>
      <c r="J13" s="2">
        <v>5071.497991637003</v>
      </c>
      <c r="K13" s="2">
        <f t="shared" si="6"/>
        <v>19151.924006180514</v>
      </c>
      <c r="L13" s="2">
        <f t="shared" si="7"/>
        <v>0.99629798135850767</v>
      </c>
      <c r="N13" s="2">
        <f t="shared" si="5"/>
        <v>261.43061379116625</v>
      </c>
    </row>
    <row r="14" spans="1:14" x14ac:dyDescent="0.25">
      <c r="A14" s="2" t="s">
        <v>11</v>
      </c>
      <c r="B14" s="2">
        <v>30.945756817777099</v>
      </c>
      <c r="C14" s="2">
        <v>20970.801011282296</v>
      </c>
      <c r="D14" s="2">
        <v>252.49884569331064</v>
      </c>
      <c r="E14" s="2">
        <f t="shared" si="0"/>
        <v>20967.257899126467</v>
      </c>
      <c r="F14" s="2">
        <f t="shared" si="1"/>
        <v>0.99983104545439527</v>
      </c>
      <c r="K14" s="2" t="s">
        <v>35</v>
      </c>
      <c r="L14" s="2">
        <f>AVERAGE(L3:L13)</f>
        <v>0.99624606457056653</v>
      </c>
      <c r="N14" s="2">
        <f t="shared" si="5"/>
        <v>31.05711479506072</v>
      </c>
    </row>
    <row r="15" spans="1:14" x14ac:dyDescent="0.25">
      <c r="A15" s="2" t="s">
        <v>12</v>
      </c>
      <c r="B15" s="2">
        <v>48.268610156266497</v>
      </c>
      <c r="C15" s="2">
        <v>32441.330542385105</v>
      </c>
      <c r="D15" s="2">
        <v>381.09429782124312</v>
      </c>
      <c r="E15" s="2">
        <f t="shared" si="0"/>
        <v>32435.982954219227</v>
      </c>
      <c r="F15" s="2">
        <f t="shared" si="1"/>
        <v>0.99983516125644445</v>
      </c>
      <c r="N15" s="2">
        <f t="shared" si="5"/>
        <v>48.442503649957196</v>
      </c>
    </row>
    <row r="16" spans="1:14" x14ac:dyDescent="0.25">
      <c r="A16" s="2" t="s">
        <v>13</v>
      </c>
      <c r="B16" s="2">
        <v>89.929840730216895</v>
      </c>
      <c r="C16" s="2">
        <v>59191.903739505564</v>
      </c>
      <c r="D16" s="2">
        <v>301.70385220542875</v>
      </c>
      <c r="E16" s="2">
        <f t="shared" si="0"/>
        <v>59187.670173275692</v>
      </c>
      <c r="F16" s="2">
        <f t="shared" si="1"/>
        <v>0.99992847727539724</v>
      </c>
      <c r="N16" s="2">
        <f t="shared" si="5"/>
        <v>90.262247351256946</v>
      </c>
    </row>
    <row r="17" spans="1:14" x14ac:dyDescent="0.25">
      <c r="A17" s="2" t="s">
        <v>14</v>
      </c>
      <c r="B17" s="2">
        <v>107.13730178384201</v>
      </c>
      <c r="C17" s="2">
        <v>69381.408766422683</v>
      </c>
      <c r="D17" s="2">
        <v>2186.3127722599424</v>
      </c>
      <c r="E17" s="2">
        <f t="shared" si="0"/>
        <v>69350.730006927493</v>
      </c>
      <c r="F17" s="2">
        <f t="shared" si="1"/>
        <v>0.99955782449447705</v>
      </c>
      <c r="N17" s="2">
        <f t="shared" si="5"/>
        <v>107.49345177029799</v>
      </c>
    </row>
    <row r="18" spans="1:14" x14ac:dyDescent="0.25">
      <c r="A18" s="2" t="s">
        <v>15</v>
      </c>
      <c r="B18" s="2">
        <v>175.58243131251399</v>
      </c>
      <c r="C18" s="2">
        <v>116513.26946794119</v>
      </c>
      <c r="D18" s="2">
        <v>8181.6167380720563</v>
      </c>
      <c r="E18" s="2">
        <f t="shared" si="0"/>
        <v>116398.46345510815</v>
      </c>
      <c r="F18" s="2">
        <f t="shared" si="1"/>
        <v>0.99901465289441016</v>
      </c>
      <c r="N18" s="2">
        <f t="shared" si="5"/>
        <v>176.07037850396759</v>
      </c>
    </row>
    <row r="19" spans="1:14" x14ac:dyDescent="0.25">
      <c r="A19" s="2" t="s">
        <v>16</v>
      </c>
      <c r="B19" s="2">
        <v>399.60095701576</v>
      </c>
      <c r="C19" s="2">
        <v>510812.51429512614</v>
      </c>
      <c r="D19" s="2">
        <v>30261.857995631999</v>
      </c>
      <c r="E19" s="2">
        <f t="shared" si="0"/>
        <v>510387.87410864182</v>
      </c>
      <c r="F19" s="2">
        <f t="shared" si="1"/>
        <v>0.99916869658710239</v>
      </c>
      <c r="N19" s="2">
        <f t="shared" si="5"/>
        <v>400.77324425718172</v>
      </c>
    </row>
    <row r="20" spans="1:14" x14ac:dyDescent="0.25">
      <c r="A20" s="2" t="s">
        <v>17</v>
      </c>
      <c r="B20" s="2">
        <v>452.21721254296602</v>
      </c>
      <c r="C20" s="2">
        <v>580242.16514974798</v>
      </c>
      <c r="D20" s="2">
        <v>38748.304695234641</v>
      </c>
      <c r="E20" s="2">
        <f t="shared" si="0"/>
        <v>579698.44151803607</v>
      </c>
      <c r="F20" s="2">
        <f t="shared" si="1"/>
        <v>0.99906293671096513</v>
      </c>
      <c r="N20" s="2">
        <f t="shared" si="5"/>
        <v>453.49585053484617</v>
      </c>
    </row>
    <row r="21" spans="1:14" x14ac:dyDescent="0.25">
      <c r="A21" s="2" t="s">
        <v>18</v>
      </c>
      <c r="B21" s="2">
        <v>516.22550137662802</v>
      </c>
      <c r="C21" s="2">
        <v>615639.31390589208</v>
      </c>
      <c r="D21" s="2">
        <v>13286.832733504374</v>
      </c>
      <c r="E21" s="2">
        <f t="shared" si="0"/>
        <v>615452.87052457174</v>
      </c>
      <c r="F21" s="2">
        <f t="shared" si="1"/>
        <v>0.99969715484844945</v>
      </c>
      <c r="N21" s="2">
        <f t="shared" si="5"/>
        <v>518.01375517491431</v>
      </c>
    </row>
    <row r="22" spans="1:14" x14ac:dyDescent="0.25">
      <c r="A22" s="2" t="s">
        <v>19</v>
      </c>
      <c r="B22" s="2">
        <v>399.57610269260999</v>
      </c>
      <c r="C22" s="2">
        <v>500567.62023545941</v>
      </c>
      <c r="D22" s="2">
        <v>2905.18575670463</v>
      </c>
      <c r="E22" s="2">
        <f t="shared" si="0"/>
        <v>500526.85411258368</v>
      </c>
      <c r="F22" s="2">
        <f t="shared" si="1"/>
        <v>0.99991856020799641</v>
      </c>
      <c r="N22" s="2">
        <f t="shared" si="5"/>
        <v>401.04907362433698</v>
      </c>
    </row>
    <row r="23" spans="1:14" x14ac:dyDescent="0.25">
      <c r="A23" s="2" t="s">
        <v>20</v>
      </c>
      <c r="B23" s="2">
        <v>280.40055187900902</v>
      </c>
      <c r="C23" s="2">
        <v>349506.8834886814</v>
      </c>
      <c r="D23" s="2">
        <v>25142.780609394555</v>
      </c>
      <c r="E23" s="2">
        <f t="shared" si="0"/>
        <v>349154.07517637458</v>
      </c>
      <c r="F23" s="2">
        <f t="shared" si="1"/>
        <v>0.99899055403777692</v>
      </c>
      <c r="N23" s="2">
        <f t="shared" si="5"/>
        <v>281.17300799060592</v>
      </c>
    </row>
    <row r="24" spans="1:14" x14ac:dyDescent="0.25">
      <c r="A24" s="2" t="s">
        <v>21</v>
      </c>
      <c r="B24" s="2">
        <v>605.54604760311099</v>
      </c>
      <c r="C24" s="2">
        <v>547918.06624164642</v>
      </c>
      <c r="D24" s="2">
        <v>2918.6539037099055</v>
      </c>
      <c r="E24" s="2">
        <f t="shared" si="0"/>
        <v>547877.11113115272</v>
      </c>
      <c r="F24" s="2">
        <f t="shared" si="1"/>
        <v>0.99992525322120762</v>
      </c>
      <c r="N24" s="2">
        <f t="shared" si="5"/>
        <v>607.7823607239485</v>
      </c>
    </row>
    <row r="25" spans="1:14" x14ac:dyDescent="0.25">
      <c r="A25" s="2" t="s">
        <v>22</v>
      </c>
      <c r="B25" s="2">
        <v>628.38067206370795</v>
      </c>
      <c r="C25" s="2">
        <v>564480.95659551548</v>
      </c>
      <c r="D25" s="2">
        <v>1040.5225895582109</v>
      </c>
      <c r="E25" s="2">
        <f t="shared" si="0"/>
        <v>564466.35578328068</v>
      </c>
      <c r="F25" s="2">
        <f t="shared" si="1"/>
        <v>0.99997413409245395</v>
      </c>
      <c r="N25" s="2">
        <f t="shared" si="5"/>
        <v>630.73214617735846</v>
      </c>
    </row>
    <row r="26" spans="1:14" x14ac:dyDescent="0.25">
      <c r="A26" s="2" t="s">
        <v>23</v>
      </c>
      <c r="B26" s="2">
        <v>617.76269388811704</v>
      </c>
      <c r="C26" s="2">
        <v>557224.60880616109</v>
      </c>
      <c r="D26" s="2">
        <v>6125.7407665556902</v>
      </c>
      <c r="E26" s="2">
        <f t="shared" si="0"/>
        <v>557138.65123865684</v>
      </c>
      <c r="F26" s="2">
        <f t="shared" si="1"/>
        <v>0.99984573982170599</v>
      </c>
      <c r="N26" s="2">
        <f t="shared" si="5"/>
        <v>619.9948182189919</v>
      </c>
    </row>
    <row r="27" spans="1:14" x14ac:dyDescent="0.25">
      <c r="A27" s="2" t="s">
        <v>24</v>
      </c>
      <c r="B27" s="2">
        <v>541.40303393483805</v>
      </c>
      <c r="C27" s="2">
        <v>476892.50017650105</v>
      </c>
      <c r="D27" s="2">
        <v>23183.092651371302</v>
      </c>
      <c r="E27" s="2">
        <f t="shared" si="0"/>
        <v>476567.19058089785</v>
      </c>
      <c r="F27" s="2">
        <f t="shared" si="1"/>
        <v>0.99931785550101371</v>
      </c>
      <c r="N27" s="2">
        <f t="shared" si="5"/>
        <v>543.07237747204397</v>
      </c>
    </row>
    <row r="28" spans="1:14" x14ac:dyDescent="0.25">
      <c r="A28" s="2" t="s">
        <v>25</v>
      </c>
      <c r="B28" s="2">
        <v>406.15009900831899</v>
      </c>
      <c r="C28" s="2">
        <v>359215.43559853378</v>
      </c>
      <c r="D28" s="2">
        <v>30683.702688393831</v>
      </c>
      <c r="E28" s="2">
        <f t="shared" si="0"/>
        <v>358784.87600653816</v>
      </c>
      <c r="F28" s="2">
        <f t="shared" si="1"/>
        <v>0.9988013889456665</v>
      </c>
      <c r="N28" s="2">
        <f t="shared" si="5"/>
        <v>407.19185494076788</v>
      </c>
    </row>
    <row r="29" spans="1:14" x14ac:dyDescent="0.25">
      <c r="A29" s="2" t="s">
        <v>26</v>
      </c>
      <c r="B29" s="2">
        <v>513.69513026910602</v>
      </c>
      <c r="C29" s="2">
        <v>452597.01762475487</v>
      </c>
      <c r="D29" s="2">
        <v>827.40882259109253</v>
      </c>
      <c r="E29" s="2">
        <f t="shared" si="0"/>
        <v>452585.40726570901</v>
      </c>
      <c r="F29" s="2">
        <f t="shared" si="1"/>
        <v>0.99997434724800716</v>
      </c>
      <c r="N29" s="2">
        <f t="shared" si="5"/>
        <v>515.61754755513414</v>
      </c>
    </row>
    <row r="30" spans="1:14" x14ac:dyDescent="0.25">
      <c r="A30" s="2" t="s">
        <v>27</v>
      </c>
      <c r="B30" s="2">
        <v>592.51627442163203</v>
      </c>
      <c r="C30" s="2">
        <v>519245.16049805854</v>
      </c>
      <c r="D30" s="2">
        <v>5890.5196462979093</v>
      </c>
      <c r="E30" s="2">
        <f t="shared" si="0"/>
        <v>519162.50359835813</v>
      </c>
      <c r="F30" s="2">
        <f t="shared" si="1"/>
        <v>0.9998408133460096</v>
      </c>
      <c r="N30" s="2">
        <f t="shared" si="5"/>
        <v>594.65424738599734</v>
      </c>
    </row>
    <row r="31" spans="1:14" x14ac:dyDescent="0.25">
      <c r="A31" s="2" t="s">
        <v>28</v>
      </c>
      <c r="B31" s="2">
        <v>609.86572332895605</v>
      </c>
      <c r="C31" s="2">
        <v>540009.78923638491</v>
      </c>
      <c r="D31" s="2">
        <v>9262.0106416128929</v>
      </c>
      <c r="E31" s="2">
        <f t="shared" si="0"/>
        <v>539879.82292940398</v>
      </c>
      <c r="F31" s="2">
        <f t="shared" si="1"/>
        <v>0.9997593260167289</v>
      </c>
      <c r="N31" s="2">
        <f t="shared" si="5"/>
        <v>612.0164146182924</v>
      </c>
    </row>
    <row r="32" spans="1:14" x14ac:dyDescent="0.25">
      <c r="A32" s="2" t="s">
        <v>29</v>
      </c>
      <c r="B32" s="2">
        <v>457.49710939673599</v>
      </c>
      <c r="C32" s="2">
        <v>398664.83010500035</v>
      </c>
      <c r="D32" s="2">
        <v>8317.9611668062207</v>
      </c>
      <c r="E32" s="2">
        <f t="shared" si="0"/>
        <v>398548.11088103359</v>
      </c>
      <c r="F32" s="2">
        <f t="shared" si="1"/>
        <v>0.99970722467809359</v>
      </c>
      <c r="N32" s="2">
        <f t="shared" si="5"/>
        <v>459.08654678641892</v>
      </c>
    </row>
    <row r="33" spans="1:14" x14ac:dyDescent="0.25">
      <c r="A33" s="2" t="s">
        <v>30</v>
      </c>
      <c r="B33" s="2">
        <v>296.74524672791603</v>
      </c>
      <c r="C33" s="2">
        <v>259172.12752096835</v>
      </c>
      <c r="D33" s="2">
        <v>11678.455838726088</v>
      </c>
      <c r="E33" s="2">
        <f t="shared" si="0"/>
        <v>259008.25319223673</v>
      </c>
      <c r="F33" s="2">
        <f t="shared" si="1"/>
        <v>0.99936770080062576</v>
      </c>
      <c r="N33" s="2">
        <f t="shared" si="5"/>
        <v>297.67506792995312</v>
      </c>
    </row>
  </sheetData>
  <mergeCells count="1">
    <mergeCell ref="A1:L1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34220C9-AD88-4B09-9871-746181D6B6EF}"/>
</file>

<file path=customXml/itemProps2.xml><?xml version="1.0" encoding="utf-8"?>
<ds:datastoreItem xmlns:ds="http://schemas.openxmlformats.org/officeDocument/2006/customXml" ds:itemID="{A5D3E968-4845-411E-A4D5-938BBCE9A2D0}"/>
</file>

<file path=customXml/itemProps3.xml><?xml version="1.0" encoding="utf-8"?>
<ds:datastoreItem xmlns:ds="http://schemas.openxmlformats.org/officeDocument/2006/customXml" ds:itemID="{112CA88C-CC3D-4FA2-B4DC-5FC4D9A943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qinen</dc:creator>
  <cp:lastModifiedBy>Paine Tan</cp:lastModifiedBy>
  <dcterms:created xsi:type="dcterms:W3CDTF">2023-09-19T08:05:00Z</dcterms:created>
  <dcterms:modified xsi:type="dcterms:W3CDTF">2025-03-23T13:00:07Z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06671673629A4BC2903523846F2B3210_11</vt:lpwstr>
  </property>
  <property fmtid="{D5CDD505-2E9C-101B-9397-08002B2CF9AE}" pid="3" name="KSOProductBuildVer">
    <vt:lpwstr>2052-12.1.0.16729</vt:lpwstr>
  </property>
  <property fmtid="{D5CDD505-2E9C-101B-9397-08002B2CF9AE}" pid="4" name="ContentTypeId">
    <vt:lpwstr>0x010100E89770C754368F49BB2A63D8816AD496</vt:lpwstr>
  </property>
</Properties>
</file>