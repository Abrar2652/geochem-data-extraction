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olors3.xml" ContentType="application/vnd.ms-office.chartcolorstyle+xml"/>
  <Override PartName="/xl/charts/style3.xml" ContentType="application/vnd.ms-office.chartstyle+xml"/>
  <Override PartName="/xl/worksheets/sheet1.xml" ContentType="application/vnd.openxmlformats-officedocument.spreadsheetml.worksheet+xml"/>
  <Override PartName="/xl/charts/colors2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ropbox\Paper 2 Freiberg\Revisions\"/>
    </mc:Choice>
  </mc:AlternateContent>
  <bookViews>
    <workbookView xWindow="0" yWindow="0" windowWidth="19200" windowHeight="11565" activeTab="6"/>
  </bookViews>
  <sheets>
    <sheet name="Table 1" sheetId="9" r:id="rId1"/>
    <sheet name="Table 2" sheetId="7" r:id="rId2"/>
    <sheet name="Table 3" sheetId="8" r:id="rId3"/>
    <sheet name="Table 4" sheetId="4" r:id="rId4"/>
    <sheet name="Table 5" sheetId="5" r:id="rId5"/>
    <sheet name="Table 6" sheetId="6" r:id="rId6"/>
    <sheet name="Table 7" sheetId="11" r:id="rId7"/>
  </sheets>
  <externalReferences>
    <externalReference r:id="rId8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2" i="4" l="1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P299" i="4"/>
  <c r="AP300" i="4"/>
  <c r="AP301" i="4"/>
  <c r="AP302" i="4"/>
  <c r="AP303" i="4"/>
  <c r="AP304" i="4"/>
  <c r="AP305" i="4"/>
  <c r="AP306" i="4"/>
  <c r="AP307" i="4"/>
  <c r="AP308" i="4"/>
  <c r="AP309" i="4"/>
  <c r="AP310" i="4"/>
  <c r="AP311" i="4"/>
  <c r="AP312" i="4"/>
  <c r="AP313" i="4"/>
  <c r="AP314" i="4"/>
  <c r="AP315" i="4"/>
  <c r="AP316" i="4"/>
  <c r="AP317" i="4"/>
  <c r="AP318" i="4"/>
  <c r="AP319" i="4"/>
  <c r="AP320" i="4"/>
  <c r="AP321" i="4"/>
  <c r="AP322" i="4"/>
  <c r="AP323" i="4"/>
  <c r="AP324" i="4"/>
  <c r="AP325" i="4"/>
  <c r="AP326" i="4"/>
  <c r="AP327" i="4"/>
  <c r="AP328" i="4"/>
  <c r="AP329" i="4"/>
  <c r="AP330" i="4"/>
  <c r="AP331" i="4"/>
  <c r="AP332" i="4"/>
  <c r="AP333" i="4"/>
  <c r="AP334" i="4"/>
  <c r="AP335" i="4"/>
  <c r="AP336" i="4"/>
  <c r="AP337" i="4"/>
  <c r="AP338" i="4"/>
  <c r="AP339" i="4"/>
  <c r="AP340" i="4"/>
  <c r="AP341" i="4"/>
  <c r="AP342" i="4"/>
  <c r="AP343" i="4"/>
  <c r="AP344" i="4"/>
  <c r="AP345" i="4"/>
  <c r="AP346" i="4"/>
  <c r="AP347" i="4"/>
  <c r="AP348" i="4"/>
  <c r="AP349" i="4"/>
  <c r="AP350" i="4"/>
  <c r="AP351" i="4"/>
  <c r="AP352" i="4"/>
  <c r="AP353" i="4"/>
  <c r="AP354" i="4"/>
  <c r="AP355" i="4"/>
  <c r="AP356" i="4"/>
  <c r="AP357" i="4"/>
  <c r="AP358" i="4"/>
  <c r="AP359" i="4"/>
  <c r="AP360" i="4"/>
  <c r="AP361" i="4"/>
  <c r="AP362" i="4"/>
  <c r="AP363" i="4"/>
  <c r="AP364" i="4"/>
  <c r="AP365" i="4"/>
  <c r="AP366" i="4"/>
  <c r="AP367" i="4"/>
  <c r="AP368" i="4"/>
  <c r="AP369" i="4"/>
  <c r="AP370" i="4"/>
  <c r="AP371" i="4"/>
  <c r="AP372" i="4"/>
  <c r="AP373" i="4"/>
  <c r="AP374" i="4"/>
  <c r="AP375" i="4"/>
  <c r="AP376" i="4"/>
  <c r="AP377" i="4"/>
  <c r="AP378" i="4"/>
  <c r="AP379" i="4"/>
  <c r="AP380" i="4"/>
  <c r="AP381" i="4"/>
  <c r="AP382" i="4"/>
  <c r="AP383" i="4"/>
  <c r="AP384" i="4"/>
  <c r="AP385" i="4"/>
  <c r="AP386" i="4"/>
  <c r="AP387" i="4"/>
  <c r="AP388" i="4"/>
  <c r="AP389" i="4"/>
  <c r="AP390" i="4"/>
  <c r="AP391" i="4"/>
  <c r="AP392" i="4"/>
  <c r="AP393" i="4"/>
  <c r="AP394" i="4"/>
  <c r="AP395" i="4"/>
  <c r="AP396" i="4"/>
  <c r="AP397" i="4"/>
  <c r="AP398" i="4"/>
  <c r="AP399" i="4"/>
  <c r="AP400" i="4"/>
  <c r="AP401" i="4"/>
  <c r="AP402" i="4"/>
  <c r="AP403" i="4"/>
  <c r="AP404" i="4"/>
  <c r="AP405" i="4"/>
  <c r="AP406" i="4"/>
  <c r="AP407" i="4"/>
  <c r="AP408" i="4"/>
  <c r="AP409" i="4"/>
  <c r="AP410" i="4"/>
  <c r="AP411" i="4"/>
  <c r="AP412" i="4"/>
  <c r="AP413" i="4"/>
  <c r="AP414" i="4"/>
  <c r="AP415" i="4"/>
  <c r="AP416" i="4"/>
  <c r="AP417" i="4"/>
  <c r="AP418" i="4"/>
  <c r="AP419" i="4"/>
  <c r="AP420" i="4"/>
  <c r="AP421" i="4"/>
  <c r="AP422" i="4"/>
  <c r="AP423" i="4"/>
  <c r="AP424" i="4"/>
  <c r="AP425" i="4"/>
  <c r="AP426" i="4"/>
  <c r="AP427" i="4"/>
  <c r="AP428" i="4"/>
  <c r="AP429" i="4"/>
  <c r="AP430" i="4"/>
  <c r="AP431" i="4"/>
  <c r="AP432" i="4"/>
  <c r="AP433" i="4"/>
  <c r="AP434" i="4"/>
  <c r="AP435" i="4"/>
  <c r="AP436" i="4"/>
  <c r="AP437" i="4"/>
  <c r="AP438" i="4"/>
  <c r="AP439" i="4"/>
  <c r="AP440" i="4"/>
  <c r="AP441" i="4"/>
  <c r="AP442" i="4"/>
  <c r="AP443" i="4"/>
  <c r="AP444" i="4"/>
  <c r="AP445" i="4"/>
  <c r="AP446" i="4"/>
  <c r="AP447" i="4"/>
  <c r="AP448" i="4"/>
  <c r="AP449" i="4"/>
  <c r="AP450" i="4"/>
  <c r="AP451" i="4"/>
  <c r="AP452" i="4"/>
  <c r="AP453" i="4"/>
  <c r="AP454" i="4"/>
  <c r="AP455" i="4"/>
  <c r="AP456" i="4"/>
  <c r="AP457" i="4"/>
  <c r="AP458" i="4"/>
  <c r="AP459" i="4"/>
  <c r="AP460" i="4"/>
  <c r="AP461" i="4"/>
  <c r="AP462" i="4"/>
  <c r="AP463" i="4"/>
  <c r="AP464" i="4"/>
  <c r="AP465" i="4"/>
  <c r="AP466" i="4"/>
  <c r="AP467" i="4"/>
  <c r="AP468" i="4"/>
  <c r="AP469" i="4"/>
  <c r="AP470" i="4"/>
  <c r="AP471" i="4"/>
  <c r="AP472" i="4"/>
  <c r="AP473" i="4"/>
  <c r="AP474" i="4"/>
  <c r="AP475" i="4"/>
  <c r="AP476" i="4"/>
  <c r="AP477" i="4"/>
  <c r="AP478" i="4"/>
  <c r="AP479" i="4"/>
  <c r="AP480" i="4"/>
  <c r="AP481" i="4"/>
  <c r="AP482" i="4"/>
  <c r="AP483" i="4"/>
  <c r="AP484" i="4"/>
  <c r="AP485" i="4"/>
  <c r="AP486" i="4"/>
  <c r="AP487" i="4"/>
  <c r="AP488" i="4"/>
  <c r="AP489" i="4"/>
  <c r="AP490" i="4"/>
  <c r="AP491" i="4"/>
  <c r="AP492" i="4"/>
  <c r="AP493" i="4"/>
  <c r="AP494" i="4"/>
  <c r="AP495" i="4"/>
  <c r="AP496" i="4"/>
  <c r="AP497" i="4"/>
  <c r="AP498" i="4"/>
  <c r="AP499" i="4"/>
  <c r="AP500" i="4"/>
  <c r="AP501" i="4"/>
  <c r="AP502" i="4"/>
  <c r="AP503" i="4"/>
  <c r="AP504" i="4"/>
  <c r="AP505" i="4"/>
  <c r="AP506" i="4"/>
  <c r="AP507" i="4"/>
  <c r="AP508" i="4"/>
  <c r="AP509" i="4"/>
  <c r="AP510" i="4"/>
  <c r="AP511" i="4"/>
  <c r="AP512" i="4"/>
  <c r="AP513" i="4"/>
  <c r="AP514" i="4"/>
  <c r="AP515" i="4"/>
  <c r="AP516" i="4"/>
  <c r="AP517" i="4"/>
  <c r="AP518" i="4"/>
  <c r="AP519" i="4"/>
  <c r="AP520" i="4"/>
  <c r="AP521" i="4"/>
  <c r="AP522" i="4"/>
  <c r="AP523" i="4"/>
  <c r="AP524" i="4"/>
  <c r="AP525" i="4"/>
  <c r="AP526" i="4"/>
  <c r="AP527" i="4"/>
  <c r="AP528" i="4"/>
  <c r="AP529" i="4"/>
  <c r="AP530" i="4"/>
  <c r="AP531" i="4"/>
  <c r="AP532" i="4"/>
  <c r="AP533" i="4"/>
  <c r="AP534" i="4"/>
  <c r="AP535" i="4"/>
  <c r="AP536" i="4"/>
  <c r="AP537" i="4"/>
  <c r="AP538" i="4"/>
  <c r="AP539" i="4"/>
  <c r="AP540" i="4"/>
  <c r="AP541" i="4"/>
  <c r="AP542" i="4"/>
  <c r="AP543" i="4"/>
  <c r="AP544" i="4"/>
  <c r="AP545" i="4"/>
  <c r="AP546" i="4"/>
  <c r="AP547" i="4"/>
  <c r="AP548" i="4"/>
  <c r="AP549" i="4"/>
  <c r="AP550" i="4"/>
  <c r="AP551" i="4"/>
  <c r="AP552" i="4"/>
  <c r="AP553" i="4"/>
  <c r="AP554" i="4"/>
  <c r="AP555" i="4"/>
  <c r="AP556" i="4"/>
  <c r="AP557" i="4"/>
  <c r="AP558" i="4"/>
  <c r="AP559" i="4"/>
  <c r="AP560" i="4"/>
  <c r="AP561" i="4"/>
  <c r="AP562" i="4"/>
  <c r="AP563" i="4"/>
  <c r="AP564" i="4"/>
  <c r="AP565" i="4"/>
  <c r="AP566" i="4"/>
  <c r="AP567" i="4"/>
  <c r="AP568" i="4"/>
  <c r="AP569" i="4"/>
  <c r="AP570" i="4"/>
  <c r="AP571" i="4"/>
  <c r="AP572" i="4"/>
  <c r="AP573" i="4"/>
  <c r="AP574" i="4"/>
  <c r="AP575" i="4"/>
  <c r="AP576" i="4"/>
  <c r="AP577" i="4"/>
  <c r="AP578" i="4"/>
  <c r="AP579" i="4"/>
  <c r="AP580" i="4"/>
  <c r="AP581" i="4"/>
  <c r="AP582" i="4"/>
  <c r="AP583" i="4"/>
  <c r="AP584" i="4"/>
  <c r="AP585" i="4"/>
  <c r="AP586" i="4"/>
  <c r="AP587" i="4"/>
  <c r="AP588" i="4"/>
  <c r="AP589" i="4"/>
  <c r="AP590" i="4"/>
  <c r="AP591" i="4"/>
  <c r="AP592" i="4"/>
  <c r="AP593" i="4"/>
  <c r="AP594" i="4"/>
  <c r="AP595" i="4"/>
  <c r="AP596" i="4"/>
  <c r="AP597" i="4"/>
  <c r="AP598" i="4"/>
  <c r="AP599" i="4"/>
  <c r="AP600" i="4"/>
  <c r="AP601" i="4"/>
  <c r="AP602" i="4"/>
  <c r="AP603" i="4"/>
  <c r="AP8" i="4"/>
  <c r="H30" i="6" l="1"/>
  <c r="G26" i="6"/>
  <c r="H46" i="6"/>
  <c r="G46" i="6"/>
  <c r="H44" i="6"/>
  <c r="G44" i="6"/>
  <c r="H42" i="6"/>
  <c r="G42" i="6"/>
  <c r="H40" i="6"/>
  <c r="G40" i="6"/>
  <c r="H38" i="6"/>
  <c r="G38" i="6"/>
  <c r="H36" i="6"/>
  <c r="G36" i="6"/>
  <c r="H33" i="6"/>
  <c r="G33" i="6"/>
  <c r="G30" i="6"/>
  <c r="H28" i="6"/>
  <c r="G28" i="6"/>
  <c r="H26" i="6"/>
  <c r="H24" i="6"/>
  <c r="G24" i="6"/>
  <c r="H22" i="6"/>
  <c r="G22" i="6"/>
  <c r="H20" i="6"/>
  <c r="G20" i="6"/>
  <c r="H18" i="6"/>
  <c r="G18" i="6"/>
  <c r="H16" i="6"/>
  <c r="G16" i="6"/>
  <c r="H14" i="6"/>
  <c r="G14" i="6"/>
  <c r="H12" i="6"/>
  <c r="G12" i="6"/>
  <c r="H10" i="6"/>
  <c r="G10" i="6"/>
  <c r="H8" i="6"/>
  <c r="G8" i="6"/>
</calcChain>
</file>

<file path=xl/sharedStrings.xml><?xml version="1.0" encoding="utf-8"?>
<sst xmlns="http://schemas.openxmlformats.org/spreadsheetml/2006/main" count="12356" uniqueCount="2136">
  <si>
    <t>ELECTRONIC SUPPLEMENTARY DATA</t>
  </si>
  <si>
    <t>Zn</t>
  </si>
  <si>
    <t>SEM parameters</t>
  </si>
  <si>
    <t>MLA parameters</t>
  </si>
  <si>
    <t>Voltage (kV)</t>
  </si>
  <si>
    <t>Mode</t>
  </si>
  <si>
    <t>GXMAP</t>
  </si>
  <si>
    <t>Working distance (mm)</t>
  </si>
  <si>
    <t>Image resolution per frame (px)</t>
  </si>
  <si>
    <t>1000 x 1000</t>
  </si>
  <si>
    <t>Probe current (nA)</t>
  </si>
  <si>
    <t>Pixel size (µm/px)</t>
  </si>
  <si>
    <t>Spot Size</t>
  </si>
  <si>
    <t>Acquisition time EDX spectra (ms)</t>
  </si>
  <si>
    <t>HFW (µm ) [Horizontal Field Width per image frame]</t>
  </si>
  <si>
    <t>Minimum quartz EDX-count</t>
  </si>
  <si>
    <t>Brightness</t>
  </si>
  <si>
    <t>Step Size (px)</t>
  </si>
  <si>
    <t>6 x 6</t>
  </si>
  <si>
    <t>Contrast</t>
  </si>
  <si>
    <t>GXMAP trigger</t>
  </si>
  <si>
    <t>30 - 255</t>
  </si>
  <si>
    <t>BSE calibration</t>
  </si>
  <si>
    <t>Minimum Particle size (px)</t>
  </si>
  <si>
    <t>Scan speed for BSE image</t>
  </si>
  <si>
    <t>Minimum grain size (px)</t>
  </si>
  <si>
    <t>Element/ Line</t>
  </si>
  <si>
    <t>Spectrometer/ Crystal</t>
  </si>
  <si>
    <t>Peak Position (mm)</t>
  </si>
  <si>
    <t>Measurement Time Backgr. (s)</t>
  </si>
  <si>
    <t>Measurement Time Peak (s)</t>
  </si>
  <si>
    <t>Reference Material (ASTIMEX Standards Ltd.)</t>
  </si>
  <si>
    <t>Si Kα</t>
  </si>
  <si>
    <t>1 TAP</t>
  </si>
  <si>
    <t>Plagioclase_AST</t>
  </si>
  <si>
    <t>Al Kα</t>
  </si>
  <si>
    <t>Ga Lα</t>
  </si>
  <si>
    <t>Galliumarsenide_AST</t>
  </si>
  <si>
    <t>Ge Lα</t>
  </si>
  <si>
    <t>Germanium_AST</t>
  </si>
  <si>
    <t>Sn Lα</t>
  </si>
  <si>
    <t>2 PETJ</t>
  </si>
  <si>
    <t>Tin_AST</t>
  </si>
  <si>
    <t>Cd Lα</t>
  </si>
  <si>
    <t>Cadmium_AST</t>
  </si>
  <si>
    <t>Ag Lα</t>
  </si>
  <si>
    <t>Silver_AST</t>
  </si>
  <si>
    <t>S Kα</t>
  </si>
  <si>
    <t>Sphalerite_AST</t>
  </si>
  <si>
    <t>In Lα</t>
  </si>
  <si>
    <t>3 PETL</t>
  </si>
  <si>
    <t>Indiumphosphide_AST</t>
  </si>
  <si>
    <t>Tl Mα</t>
  </si>
  <si>
    <t>Zn Kα</t>
  </si>
  <si>
    <t>4 LIFH</t>
  </si>
  <si>
    <t>Cu Kα</t>
  </si>
  <si>
    <t>Copper_AST</t>
  </si>
  <si>
    <t>Pentlandite_AST</t>
  </si>
  <si>
    <t>Fe Kα</t>
  </si>
  <si>
    <t>Mn Kα</t>
  </si>
  <si>
    <t>Rhodonite_AST</t>
  </si>
  <si>
    <t>5 PETH</t>
  </si>
  <si>
    <t>Galena_AST</t>
  </si>
  <si>
    <t>EPMA X-ray mapping (stage scan)</t>
  </si>
  <si>
    <t>Reference Material for peak search (ASTIMEX Standards Ltd.)</t>
  </si>
  <si>
    <t>EDS</t>
  </si>
  <si>
    <t>5 LIFH</t>
  </si>
  <si>
    <t>Au 253</t>
  </si>
  <si>
    <t>Acceleration voltage (kV)</t>
  </si>
  <si>
    <t>Limit of quantification (ppm)</t>
  </si>
  <si>
    <t>Pb Mβ</t>
  </si>
  <si>
    <t>3 LIFL</t>
  </si>
  <si>
    <t>Thalliumbromide_AST</t>
  </si>
  <si>
    <t>LA-ICPMS</t>
  </si>
  <si>
    <t>EPMA</t>
  </si>
  <si>
    <t>Fe (µg/g)</t>
  </si>
  <si>
    <t>Mn (µg/g)</t>
  </si>
  <si>
    <t>In (µg/g)</t>
  </si>
  <si>
    <t>Fe (wt%)</t>
  </si>
  <si>
    <t>Mn (wt%)</t>
  </si>
  <si>
    <t>In (wt%)</t>
  </si>
  <si>
    <t>Sp Ia</t>
  </si>
  <si>
    <t>kb730</t>
  </si>
  <si>
    <t>geom. mean</t>
  </si>
  <si>
    <t>95 % confidence interval</t>
  </si>
  <si>
    <t>kb50024</t>
  </si>
  <si>
    <t>kb50112</t>
  </si>
  <si>
    <t>kb50236</t>
  </si>
  <si>
    <t>kbSohle13</t>
  </si>
  <si>
    <t>kb01</t>
  </si>
  <si>
    <t>kb02</t>
  </si>
  <si>
    <t>kb03</t>
  </si>
  <si>
    <t>kb04</t>
  </si>
  <si>
    <t>kb06</t>
  </si>
  <si>
    <t>kbH5</t>
  </si>
  <si>
    <t>kbH6</t>
  </si>
  <si>
    <t>kbFRS8</t>
  </si>
  <si>
    <t>kbFRS19</t>
  </si>
  <si>
    <t>kb59</t>
  </si>
  <si>
    <t>kb182</t>
  </si>
  <si>
    <t>kb189</t>
  </si>
  <si>
    <t>kb199</t>
  </si>
  <si>
    <t>kb216</t>
  </si>
  <si>
    <t>kb223</t>
  </si>
  <si>
    <t>kb230</t>
  </si>
  <si>
    <t>kb236</t>
  </si>
  <si>
    <t>kb244</t>
  </si>
  <si>
    <t>kb271</t>
  </si>
  <si>
    <t>kb329</t>
  </si>
  <si>
    <t>kb340</t>
  </si>
  <si>
    <t>Sp Ib</t>
  </si>
  <si>
    <t>eb01</t>
  </si>
  <si>
    <t>eb02</t>
  </si>
  <si>
    <t>eb03</t>
  </si>
  <si>
    <t>eb04</t>
  </si>
  <si>
    <t>eb06</t>
  </si>
  <si>
    <t>eb08</t>
  </si>
  <si>
    <t>eb09</t>
  </si>
  <si>
    <t>eb12</t>
  </si>
  <si>
    <t>eb13</t>
  </si>
  <si>
    <t>eb14</t>
  </si>
  <si>
    <t>eb16</t>
  </si>
  <si>
    <t>eb17</t>
  </si>
  <si>
    <t>eb18</t>
  </si>
  <si>
    <t>eb19</t>
  </si>
  <si>
    <t>eb20</t>
  </si>
  <si>
    <t>eb21</t>
  </si>
  <si>
    <t>Sp IIa</t>
  </si>
  <si>
    <t>fba03_dSp</t>
  </si>
  <si>
    <t>fba04_dSp</t>
  </si>
  <si>
    <t>fba05_dSp</t>
  </si>
  <si>
    <t>fba07_dSp</t>
  </si>
  <si>
    <t>fba18_dSp</t>
  </si>
  <si>
    <t>fba17_dSp</t>
  </si>
  <si>
    <t>fba19_hSp</t>
  </si>
  <si>
    <t>fba19_dSp</t>
  </si>
  <si>
    <t>fba22_dSp</t>
  </si>
  <si>
    <t>fba22_hSp</t>
  </si>
  <si>
    <t>fba20_dSp</t>
  </si>
  <si>
    <t>Sp IIb</t>
  </si>
  <si>
    <t>fba03</t>
  </si>
  <si>
    <t>fba04</t>
  </si>
  <si>
    <t>fba12</t>
  </si>
  <si>
    <t>fba13_hSp</t>
  </si>
  <si>
    <t>fba13_dSp</t>
  </si>
  <si>
    <t>fba23</t>
  </si>
  <si>
    <t>fba26_hSp</t>
  </si>
  <si>
    <t>fba26_dSp</t>
  </si>
  <si>
    <t>fba24_dSp</t>
  </si>
  <si>
    <t>fba24_hSp</t>
  </si>
  <si>
    <t>Table ESM 2.  Parameters of the SEM-MLA measurements</t>
  </si>
  <si>
    <t>Table ESM 1.  Samples, mineralogy, sample locations and applied methods</t>
  </si>
  <si>
    <t>Sample</t>
  </si>
  <si>
    <t>Assemblage</t>
  </si>
  <si>
    <t>Minerals</t>
  </si>
  <si>
    <t>Location</t>
  </si>
  <si>
    <t>Mining operation or shaft</t>
  </si>
  <si>
    <t>Mining level</t>
  </si>
  <si>
    <t>Hydrothermal vein</t>
  </si>
  <si>
    <t>Fluid Inclusions</t>
  </si>
  <si>
    <t>kb 50024</t>
  </si>
  <si>
    <t>kb</t>
  </si>
  <si>
    <t>Freiberg</t>
  </si>
  <si>
    <t>Himmelfahrt</t>
  </si>
  <si>
    <t>Hauptstollengang Stehender</t>
  </si>
  <si>
    <t>x</t>
  </si>
  <si>
    <t>kb 50112</t>
  </si>
  <si>
    <t>Py, Sp, Stan, Ccp, Py, Apy, Qtz, Cb</t>
  </si>
  <si>
    <t>Frisch Glück Stehender</t>
  </si>
  <si>
    <t>kb 50236</t>
  </si>
  <si>
    <t>Py, Gn, Sp, Ccp, Stan, Apy, Qtz</t>
  </si>
  <si>
    <t>Krieg und Frieden</t>
  </si>
  <si>
    <t>Maria Stehender</t>
  </si>
  <si>
    <t>kb 01</t>
  </si>
  <si>
    <t>Sp, Py, Mrc, Apy, Gn, Ccp, Qtz</t>
  </si>
  <si>
    <t>kb 02</t>
  </si>
  <si>
    <t>Sp, Gn, Py, Mrc, Po, Stan, Cst, Ccp, Qtz</t>
  </si>
  <si>
    <t>kb 03</t>
  </si>
  <si>
    <t>Sp, Stan, Ccp, Py, Apy, Po, Gn, Qtz</t>
  </si>
  <si>
    <t>kb 04</t>
  </si>
  <si>
    <t>Sp, Apy, Ccp, Gn, Py, Qtz, Cb</t>
  </si>
  <si>
    <t>kb 06</t>
  </si>
  <si>
    <t>Sp, Ccp, Py, Gn, Qtz, Cb</t>
  </si>
  <si>
    <t>kb FRS 1</t>
  </si>
  <si>
    <t>Sp, Ccp, Stan, Cst, Apy, Py, Gn, Qtz</t>
  </si>
  <si>
    <t>Otto Stehender</t>
  </si>
  <si>
    <t>kb H5</t>
  </si>
  <si>
    <t>Sp, (± Ccp), Stan, Py, Mrc, Gn, Qtz</t>
  </si>
  <si>
    <t>Christian Stehender</t>
  </si>
  <si>
    <t>kb H6</t>
  </si>
  <si>
    <t>Sp, Ccp, Stan,  Cst,  Py, Mrc, Apy, Gn, Qtz</t>
  </si>
  <si>
    <t>kb FRS 8</t>
  </si>
  <si>
    <t>Sp, Gn, Py, (±Ccp), Stan, Cst, Gn, Apy, Qtz, Cb</t>
  </si>
  <si>
    <t>Erzengel Stehender</t>
  </si>
  <si>
    <t>kb KS Sohle 13</t>
  </si>
  <si>
    <t>Sp, Gn, Apy, Py, Ccp, Stan, Cst, Qtz</t>
  </si>
  <si>
    <t>kb FRS 19</t>
  </si>
  <si>
    <t>Sp, Gn, Apy, Py, Ccp, Stan, Cst, Qtz, Cb</t>
  </si>
  <si>
    <t>kb 59</t>
  </si>
  <si>
    <t>Sp, Ccp, Stan, Py, Gn, Apy, Qtz, Cb</t>
  </si>
  <si>
    <t>Schwarzer Hirsch Stehender</t>
  </si>
  <si>
    <t>kb 182</t>
  </si>
  <si>
    <t>Sp, Ccp, Py, Gn, Freib, Qtz, Cb</t>
  </si>
  <si>
    <t>Robert Stehender</t>
  </si>
  <si>
    <t>kb 189</t>
  </si>
  <si>
    <t>Sp, Chl, Py, Stan, Ccp, Gn, Qtz</t>
  </si>
  <si>
    <t>Turmhof Stehender</t>
  </si>
  <si>
    <t>kb 199</t>
  </si>
  <si>
    <t>Sp, Py, Gn, Apy, Ccp, Qtz</t>
  </si>
  <si>
    <t>kb 216</t>
  </si>
  <si>
    <t>Sp, Gn, Freib, Py, Mrc, Qtz, Cb</t>
  </si>
  <si>
    <t>David</t>
  </si>
  <si>
    <t>kb 223</t>
  </si>
  <si>
    <t>Sp, Apy, Gn, Freib, Py, Mrc, Qtz, Cb</t>
  </si>
  <si>
    <t>1/2 10</t>
  </si>
  <si>
    <t>kb 230</t>
  </si>
  <si>
    <t>Sp, Py, Gn, Apy, Ccp, Stan, Mrc, Qtz, Cb</t>
  </si>
  <si>
    <t>kb 236</t>
  </si>
  <si>
    <t>Sp, Py, Gn, Apy, Ccp, Qtz, Cb</t>
  </si>
  <si>
    <t>kb 244</t>
  </si>
  <si>
    <t>Py, Sp, Gn, Ccp, Stan, Cst, Qtz, Cb</t>
  </si>
  <si>
    <t>kb 271</t>
  </si>
  <si>
    <t xml:space="preserve">Sp, Qtz, Py, Mrc, Apy, Gn </t>
  </si>
  <si>
    <t>kb 329</t>
  </si>
  <si>
    <t>Sp, Stan, Ccp, Py, Gn, Apy, Qtz, Cb</t>
  </si>
  <si>
    <t>kb 340</t>
  </si>
  <si>
    <t>Sp, Qtz, Py, Apy, Stan, Ccp, Gn, Cb</t>
  </si>
  <si>
    <t>kb 730</t>
  </si>
  <si>
    <t>Sp, Gn, Py, Apy, Ccp, Stan, Qtz, Cb</t>
  </si>
  <si>
    <t>Loekb 01 - 07</t>
  </si>
  <si>
    <t>Qtz, Chl, Sp, Ccp, Stan, Py, Cb</t>
  </si>
  <si>
    <t>Löffler Schacht</t>
  </si>
  <si>
    <t>WSTN1004</t>
  </si>
  <si>
    <t>Sp, Stan, Ccp, Py, Apy, Gn, Po, Cst, Qtz, Cb</t>
  </si>
  <si>
    <t>Research and education mine Reiche Zeche</t>
  </si>
  <si>
    <t>Wilhelm Stehender Nord</t>
  </si>
  <si>
    <t>eb 01</t>
  </si>
  <si>
    <t>eb</t>
  </si>
  <si>
    <t>Apy, Py, Sp, Gn, Ccp, Freib, Cb, Qtz</t>
  </si>
  <si>
    <t>Brand-Erbisdorf</t>
  </si>
  <si>
    <t>Himmelfürst</t>
  </si>
  <si>
    <t>eb 02</t>
  </si>
  <si>
    <t>eb/kb?</t>
  </si>
  <si>
    <t>Sp, Gn, Py, Mrc, Cb, Qtz</t>
  </si>
  <si>
    <t>eb 03</t>
  </si>
  <si>
    <t>Py, Mrc, Gn, Sp, Freib, Ag-Sb-As sulfides, Cb, Qtz</t>
  </si>
  <si>
    <t>eb 04</t>
  </si>
  <si>
    <t>Sp, Gn, Py, Mrc, Cb</t>
  </si>
  <si>
    <t>eb 06</t>
  </si>
  <si>
    <t>Py, Mrc, Sp, Freib, Gn, Apy, Po, Cb, Qtz</t>
  </si>
  <si>
    <t>eb 08</t>
  </si>
  <si>
    <t>Py, Mrc, Apy, Sp, Gn, Cb</t>
  </si>
  <si>
    <t>eb 09</t>
  </si>
  <si>
    <t>Gn, Freib, Acan, Sp, Py, Mrc, Ag-Sb-As sulfides, Cb, Qtz</t>
  </si>
  <si>
    <t>eb 12</t>
  </si>
  <si>
    <t>Py, Mrc, Gn, Sp, Hem, Cb, Qtz</t>
  </si>
  <si>
    <t>eb 13</t>
  </si>
  <si>
    <t>Sp, Py, Mrc, Apy, Gn, Freib, Cb, Qtz</t>
  </si>
  <si>
    <t>eb 14</t>
  </si>
  <si>
    <t>Py, Mrc, Sp, Ccp, Gn, Freib, Acan, Apy, Ag-Sb-As sulfides, Cb, Qtz</t>
  </si>
  <si>
    <t>eb 16</t>
  </si>
  <si>
    <t>Gn, Freib, Acan, Ag-Sb-As sulfides, Py, Mrc, Cb</t>
  </si>
  <si>
    <t>eb 17</t>
  </si>
  <si>
    <t>Sp, Py, Mrc, Apy, Gn, Freib, Acan, Ag-Sb-As sulfides, Ccp, Cb, Qtz</t>
  </si>
  <si>
    <t>eb 18</t>
  </si>
  <si>
    <t>Sp, Py, Ccp, Mrc, Gn, Freib, Acan, Ag-Sb-As sulfides, Cb, Qtz</t>
  </si>
  <si>
    <t>eb 19</t>
  </si>
  <si>
    <t>Sp, Py, Mrc, Apy, Gn, Freib, Acan, Ag-Sb-As sulfides, Cb, Qtz</t>
  </si>
  <si>
    <t>eb 20</t>
  </si>
  <si>
    <t>Mrc, Py, Sp, Ccp, Gn, Freib, Chl, Cb, Qtz</t>
  </si>
  <si>
    <t>eb 21</t>
  </si>
  <si>
    <t>Py, Mrc, Sp, Ccp, Gn, Apy, Freib, Cb, Qtz</t>
  </si>
  <si>
    <t>kb eb 1</t>
  </si>
  <si>
    <t>kb/eb</t>
  </si>
  <si>
    <t>Py, Mrc, Pyra, Acan, Gn, Ccp, Cb, Qtz</t>
  </si>
  <si>
    <t>Lade des Bundes Flacher</t>
  </si>
  <si>
    <t>fba 01</t>
  </si>
  <si>
    <t>fba</t>
  </si>
  <si>
    <t>Gn, Apy, Py, Mrc, Qtz, Fl</t>
  </si>
  <si>
    <t>Rothenfurth</t>
  </si>
  <si>
    <t>Ferdinand Schacht</t>
  </si>
  <si>
    <t>Halsbrücker Spat</t>
  </si>
  <si>
    <t>fba 02</t>
  </si>
  <si>
    <t>Gn, Apy, Mrc, Py, Ccp, Qtz, Fl</t>
  </si>
  <si>
    <t>fba 03</t>
  </si>
  <si>
    <t>Sp, Py, Mrc, Gn, Ccp, Qtz, Brt</t>
  </si>
  <si>
    <t>fba 04</t>
  </si>
  <si>
    <t>Sp, Py, Mrc, Gn, Apy, Ccp, Qtz, Brt</t>
  </si>
  <si>
    <t>fba 05</t>
  </si>
  <si>
    <t>Sp, Py, Mrc, Gn, Apy, Ccp, Qtz, Brt, Fl</t>
  </si>
  <si>
    <t>fba 06</t>
  </si>
  <si>
    <t>Py, Mrc, Sp, Gn, Freib, Aca, Ccp, Ag-Sb-As sulfides, Fl, Qtz, Brt</t>
  </si>
  <si>
    <t>fba 07</t>
  </si>
  <si>
    <t>Sp, Ccp, Gn, Apy, Mrc, Py, Freib, Fl, Qtz</t>
  </si>
  <si>
    <t>fba 10</t>
  </si>
  <si>
    <t>Fl, Brt, Py, Gn, Sp</t>
  </si>
  <si>
    <t>Halsbrücke</t>
  </si>
  <si>
    <t>Beihilfe</t>
  </si>
  <si>
    <t>fba 11</t>
  </si>
  <si>
    <t>Gn, Freib, Ag-Sb-As sulfides, Sp, Ccp, Py, Mrc, Qtz, Fl</t>
  </si>
  <si>
    <t>fba 12</t>
  </si>
  <si>
    <t>Sp, Gn, Ccp, Py, Mrc, Qtz, Fl, Brt</t>
  </si>
  <si>
    <t>fba 13</t>
  </si>
  <si>
    <t>Sp, Py, Ccp, Gn, Qtz, Fl, Brt</t>
  </si>
  <si>
    <t>fba 14</t>
  </si>
  <si>
    <t>Sp, Gn, Mrc, Py, Qtz, Fl, Brt</t>
  </si>
  <si>
    <t>Lorenz Gegentrum</t>
  </si>
  <si>
    <t>Lorenz Gegentrum Spat</t>
  </si>
  <si>
    <t>fba 15</t>
  </si>
  <si>
    <t>Gn, Py, Qtz, Fl</t>
  </si>
  <si>
    <t>fba 16</t>
  </si>
  <si>
    <t>Gn, Sp, Ccp, Py, Fl, Qtz, Brt</t>
  </si>
  <si>
    <t>fba 17</t>
  </si>
  <si>
    <t>Sp, Gn, Mrc, Py, Brt, Fl, Qtz</t>
  </si>
  <si>
    <t>xx</t>
  </si>
  <si>
    <t>fba 18</t>
  </si>
  <si>
    <t>Sp, Gn, Mrc, Py, Ccp, Brt, Fl, Qtz</t>
  </si>
  <si>
    <t>Naundorf</t>
  </si>
  <si>
    <t>Steinbruch Buchberg</t>
  </si>
  <si>
    <t>fba 19</t>
  </si>
  <si>
    <t>Sp, Gn, Py, Mrc, Brt, Qtz, Fl</t>
  </si>
  <si>
    <t>fba 20</t>
  </si>
  <si>
    <t>Sp, Gn, Ccp, Py, Mrc, Qtz, Fl</t>
  </si>
  <si>
    <t>fba 22</t>
  </si>
  <si>
    <t>Sp, Py, Ccp, Gn, Freib, Mrc, Apy, Fl, Qtz, Brt</t>
  </si>
  <si>
    <t>fba 23</t>
  </si>
  <si>
    <t>Sp, Gn, Apy, Py, Mrc, Fl, Qtz</t>
  </si>
  <si>
    <t>fba 24</t>
  </si>
  <si>
    <t>Sp, Apy, Py, Mrc, Brt, Fl, Qtz</t>
  </si>
  <si>
    <t>fba 25</t>
  </si>
  <si>
    <t>Sp, Freib, Ag-Sb-As sulfides, Gn, Acan, Py, Mrc, Ccp, Qtz, Brt, Fl</t>
  </si>
  <si>
    <t>fba 26</t>
  </si>
  <si>
    <t>Sp, Gn, Qtz, Brt</t>
  </si>
  <si>
    <t>1σ uncertainties</t>
  </si>
  <si>
    <t>Probe</t>
  </si>
  <si>
    <t>FG kb 04 APY</t>
  </si>
  <si>
    <t>FG kb 04 SP</t>
  </si>
  <si>
    <t>FG kb 04 Galena</t>
  </si>
  <si>
    <t>FG kb 07 Py</t>
  </si>
  <si>
    <t>FG kb 07 Sp</t>
  </si>
  <si>
    <t>FG kb 07 Galena</t>
  </si>
  <si>
    <t>FG eb 03 Py</t>
  </si>
  <si>
    <t>FG eb 03 SP</t>
  </si>
  <si>
    <t>FG eb 03 Galena</t>
  </si>
  <si>
    <t>FG eb 08 SP</t>
  </si>
  <si>
    <t>FG eb 13 Py</t>
  </si>
  <si>
    <t>FG eb 13 SP</t>
  </si>
  <si>
    <t>fba 16 Galena</t>
  </si>
  <si>
    <t>fba 17 SP</t>
  </si>
  <si>
    <t>fba 18 SP</t>
  </si>
  <si>
    <t>fba 19 SP</t>
  </si>
  <si>
    <t>fba 25 Py</t>
  </si>
  <si>
    <t>fba 25 SP</t>
  </si>
  <si>
    <t>fba 25 Galena</t>
  </si>
  <si>
    <t>Datum</t>
  </si>
  <si>
    <t>δ34S Kor. [‰]</t>
  </si>
  <si>
    <t>MW</t>
  </si>
  <si>
    <t>STD</t>
  </si>
  <si>
    <t xml:space="preserve"> Säule 222:</t>
  </si>
  <si>
    <t>y=0,9908x-0,3095 Reihe 3</t>
  </si>
  <si>
    <t>Analysis</t>
  </si>
  <si>
    <t>Einwaage [mg]</t>
  </si>
  <si>
    <t>V2O5 [mg]</t>
  </si>
  <si>
    <t>Ampl [V]</t>
  </si>
  <si>
    <t>Area [Vs]</t>
  </si>
  <si>
    <t>Int.Std</t>
  </si>
  <si>
    <t>Ag2S Lab</t>
  </si>
  <si>
    <t>IAEA -S-1</t>
  </si>
  <si>
    <t>IAEA -S-2</t>
  </si>
  <si>
    <t>Blank</t>
  </si>
  <si>
    <t>CdS</t>
  </si>
  <si>
    <t>IAEA-S-3</t>
  </si>
  <si>
    <t>NBS 127</t>
  </si>
  <si>
    <t>Gemessen</t>
  </si>
  <si>
    <t>Sollwert</t>
  </si>
  <si>
    <t>Korrigiert</t>
  </si>
  <si>
    <t>Diff. Gem-Soll</t>
  </si>
  <si>
    <t>Diff. Soll-Kor.</t>
  </si>
  <si>
    <t>Einwaage</t>
  </si>
  <si>
    <t>IAEA-S-1</t>
  </si>
  <si>
    <t>IAEA-S-2</t>
  </si>
  <si>
    <t>Steigung</t>
  </si>
  <si>
    <t>Achsenabschnitt</t>
  </si>
  <si>
    <t>δ34S [‰]</t>
  </si>
  <si>
    <t>δ34S Steigung [‰]</t>
  </si>
  <si>
    <t>V2O5</t>
  </si>
  <si>
    <t>R2</t>
  </si>
  <si>
    <t>y=0,9922x-0,4465 Reihe 4</t>
  </si>
  <si>
    <t>-</t>
  </si>
  <si>
    <r>
      <t>d</t>
    </r>
    <r>
      <rPr>
        <vertAlign val="superscript"/>
        <sz val="8"/>
        <color theme="1"/>
        <rFont val="Arial"/>
        <family val="2"/>
      </rPr>
      <t>34</t>
    </r>
    <r>
      <rPr>
        <sz val="8"/>
        <color theme="1"/>
        <rFont val="Arial"/>
        <family val="2"/>
      </rPr>
      <t>S VCDT          ‰</t>
    </r>
  </si>
  <si>
    <t>EPMA and LA-ICPMS</t>
  </si>
  <si>
    <t>S33</t>
  </si>
  <si>
    <t>S34</t>
  </si>
  <si>
    <t>Zn66</t>
  </si>
  <si>
    <t>Zn68</t>
  </si>
  <si>
    <t>Sn118</t>
  </si>
  <si>
    <t>Sn119</t>
  </si>
  <si>
    <t xml:space="preserve">   No. </t>
  </si>
  <si>
    <t xml:space="preserve">   Si    </t>
  </si>
  <si>
    <t xml:space="preserve">   Al    </t>
  </si>
  <si>
    <t xml:space="preserve">   Ge    </t>
  </si>
  <si>
    <t xml:space="preserve">   Ga    </t>
  </si>
  <si>
    <t xml:space="preserve">   Cd    </t>
  </si>
  <si>
    <t xml:space="preserve">   S     </t>
  </si>
  <si>
    <t xml:space="preserve">   Sn    </t>
  </si>
  <si>
    <t xml:space="preserve">   In    </t>
  </si>
  <si>
    <t xml:space="preserve">   Ag    </t>
  </si>
  <si>
    <t xml:space="preserve">   Zn    </t>
  </si>
  <si>
    <t xml:space="preserve">   Cu    </t>
  </si>
  <si>
    <t xml:space="preserve">   Fe    </t>
  </si>
  <si>
    <t xml:space="preserve">   Mn    </t>
  </si>
  <si>
    <t xml:space="preserve">  Total  </t>
  </si>
  <si>
    <t># LA ICPMS</t>
  </si>
  <si>
    <t># Sample grains</t>
  </si>
  <si>
    <t>In (corrected)</t>
  </si>
  <si>
    <t>Table ESM 3.  Analytical conditions for EPMA measurements and mappings</t>
  </si>
  <si>
    <t>Table ESM 5.  Comparison EPMA vs. LA-ICP-MS (geometric sample means and 1σ uncertainties)</t>
  </si>
  <si>
    <t>Table ESM 6. Sulfur isotope geochemistry</t>
  </si>
  <si>
    <t>Table ESM 7.  Fluid inclusion data</t>
  </si>
  <si>
    <t>EA0244</t>
  </si>
  <si>
    <t xml:space="preserve">FG k-kb_730_001-1 </t>
  </si>
  <si>
    <t>&lt;LOD</t>
  </si>
  <si>
    <t>EA0255</t>
  </si>
  <si>
    <t>EA0256</t>
  </si>
  <si>
    <t xml:space="preserve">FG k-kb_730_004-1 </t>
  </si>
  <si>
    <t>EA0257</t>
  </si>
  <si>
    <t xml:space="preserve">FG k-kb_730_004-2 </t>
  </si>
  <si>
    <t>EA0258</t>
  </si>
  <si>
    <t xml:space="preserve">FG k-kb_730_006-1 </t>
  </si>
  <si>
    <t>EA0260</t>
  </si>
  <si>
    <t xml:space="preserve">FG k-kb_730_006-3 </t>
  </si>
  <si>
    <t>EA0261</t>
  </si>
  <si>
    <t xml:space="preserve">FG k-kb_730_007-1 </t>
  </si>
  <si>
    <t>EA0262</t>
  </si>
  <si>
    <t xml:space="preserve">FG k-kb_730_007-2 </t>
  </si>
  <si>
    <t>EA0263</t>
  </si>
  <si>
    <t xml:space="preserve">FG k-kb_730_021-1 </t>
  </si>
  <si>
    <t>EA0264</t>
  </si>
  <si>
    <t xml:space="preserve">FG k-kb_730_021-2 </t>
  </si>
  <si>
    <t>EA0267</t>
  </si>
  <si>
    <t xml:space="preserve">FG k-kb_50024_003-1 </t>
  </si>
  <si>
    <t>EA0268</t>
  </si>
  <si>
    <t xml:space="preserve">FG k-kb_50024_003-2 </t>
  </si>
  <si>
    <t>EA0269</t>
  </si>
  <si>
    <t xml:space="preserve">FG k-kb_50024_006-1 </t>
  </si>
  <si>
    <t>EA0270</t>
  </si>
  <si>
    <t xml:space="preserve">FG k-kb_50024_006-2 </t>
  </si>
  <si>
    <t>EA0272</t>
  </si>
  <si>
    <t xml:space="preserve">FG k-kb_50024_009-1 </t>
  </si>
  <si>
    <t>EA0273</t>
  </si>
  <si>
    <t xml:space="preserve">FG k-kb_50024_009-2 </t>
  </si>
  <si>
    <t>EA0274</t>
  </si>
  <si>
    <t xml:space="preserve">FG k-kb_50024_014-1 </t>
  </si>
  <si>
    <t>EA0276</t>
  </si>
  <si>
    <t xml:space="preserve">FG k-kb_50024_015-2 </t>
  </si>
  <si>
    <t>EA0277</t>
  </si>
  <si>
    <t xml:space="preserve">FG k-kb_50024_020-1 </t>
  </si>
  <si>
    <t>EA0278</t>
  </si>
  <si>
    <t xml:space="preserve">FG k-kb_50024_020-2 </t>
  </si>
  <si>
    <t>EA0279</t>
  </si>
  <si>
    <t xml:space="preserve">FG k-kb_50112_001-1 </t>
  </si>
  <si>
    <t>EA0280</t>
  </si>
  <si>
    <t xml:space="preserve">FG k-kb_50112_001-2 </t>
  </si>
  <si>
    <t>EA0281</t>
  </si>
  <si>
    <t xml:space="preserve">FG k-kb_50112_003-1 </t>
  </si>
  <si>
    <t>EA0282</t>
  </si>
  <si>
    <t xml:space="preserve">FG k-kb_50112_003-2 </t>
  </si>
  <si>
    <t>EA0283</t>
  </si>
  <si>
    <t xml:space="preserve">FG k-kb_50112_004-1 </t>
  </si>
  <si>
    <t>EA0284</t>
  </si>
  <si>
    <t xml:space="preserve">FG k-kb_50112_004-2 </t>
  </si>
  <si>
    <t>EA0285</t>
  </si>
  <si>
    <t xml:space="preserve">FG k-kb_50112_007-1 </t>
  </si>
  <si>
    <t>EA0286</t>
  </si>
  <si>
    <t xml:space="preserve">FG k-kb_50112_010-1 </t>
  </si>
  <si>
    <t>EA0288</t>
  </si>
  <si>
    <t xml:space="preserve">FG k-kb_50112_012-1 </t>
  </si>
  <si>
    <t>EA0289</t>
  </si>
  <si>
    <t xml:space="preserve">FG k-kb_50112_012-2 </t>
  </si>
  <si>
    <t>EA0290</t>
  </si>
  <si>
    <t xml:space="preserve">FG k-kb_50112_015-1 </t>
  </si>
  <si>
    <t>EA0291</t>
  </si>
  <si>
    <t xml:space="preserve">FG k-kb_50112_024-1 </t>
  </si>
  <si>
    <t>EA0292</t>
  </si>
  <si>
    <t xml:space="preserve">FG k-kb_50112_024-2 </t>
  </si>
  <si>
    <t>EA0293</t>
  </si>
  <si>
    <t xml:space="preserve">FG k-kb_50236_003-1 </t>
  </si>
  <si>
    <t>EA0295</t>
  </si>
  <si>
    <t xml:space="preserve">FG k-kb_50236_005-1 </t>
  </si>
  <si>
    <t>EA0296</t>
  </si>
  <si>
    <t xml:space="preserve">FG k-kb_50236_005-2 </t>
  </si>
  <si>
    <t>EA0297</t>
  </si>
  <si>
    <t xml:space="preserve">FG k-kb_50236_014-1 </t>
  </si>
  <si>
    <t>EA0298</t>
  </si>
  <si>
    <t xml:space="preserve">FG k-kb_50236_014-2 </t>
  </si>
  <si>
    <t>EA0299</t>
  </si>
  <si>
    <t xml:space="preserve">FG k-kb_50236_014-3 </t>
  </si>
  <si>
    <t>EA0300</t>
  </si>
  <si>
    <t xml:space="preserve">FG k-kb_50236_023-1 </t>
  </si>
  <si>
    <t>EA0301</t>
  </si>
  <si>
    <t xml:space="preserve">FG k-kb_KS-Sohle13Pr1_002-1 </t>
  </si>
  <si>
    <t>EA0302</t>
  </si>
  <si>
    <t xml:space="preserve">FG k-kb_KS-Sohle13Pr1_004-1 </t>
  </si>
  <si>
    <t>EA0304</t>
  </si>
  <si>
    <t xml:space="preserve">FG k-kb_KS-Sohle13Pr1_007-1 </t>
  </si>
  <si>
    <t>EA0305</t>
  </si>
  <si>
    <t xml:space="preserve">FG k-kb_KS-Sohle13Pr1_014-1 </t>
  </si>
  <si>
    <t>EA0306</t>
  </si>
  <si>
    <t xml:space="preserve">FG k-kb_KS-Sohle13Pr1_014-2 </t>
  </si>
  <si>
    <t>EA0307</t>
  </si>
  <si>
    <t xml:space="preserve">FG k-kb_KS-Sohle13Pr1_015-1 </t>
  </si>
  <si>
    <t>EA0308</t>
  </si>
  <si>
    <t xml:space="preserve">FG k-kb_KS-Sohle13Pr1_015-2 </t>
  </si>
  <si>
    <t>EA0309</t>
  </si>
  <si>
    <t xml:space="preserve">FG k-kb 01_001-1 </t>
  </si>
  <si>
    <t>EA0310</t>
  </si>
  <si>
    <t xml:space="preserve">FG k-kb 01_002-1 </t>
  </si>
  <si>
    <t>EA0311</t>
  </si>
  <si>
    <t xml:space="preserve">FG k-kb 01_002-2 </t>
  </si>
  <si>
    <t>EA0312</t>
  </si>
  <si>
    <t xml:space="preserve">FG k-kb 01_006-1 </t>
  </si>
  <si>
    <t>EA0313</t>
  </si>
  <si>
    <t xml:space="preserve">FG k-kb 01_006-2 </t>
  </si>
  <si>
    <t>EA0314</t>
  </si>
  <si>
    <t xml:space="preserve">FG k-kb 01_006-3 </t>
  </si>
  <si>
    <t>EA0315</t>
  </si>
  <si>
    <t xml:space="preserve">FG k-kb 01_010-1 </t>
  </si>
  <si>
    <t>EA0317</t>
  </si>
  <si>
    <t xml:space="preserve">FG k-kb 01_010-3 </t>
  </si>
  <si>
    <t>EA0318</t>
  </si>
  <si>
    <t xml:space="preserve">FG k-kb 02_001-1 </t>
  </si>
  <si>
    <t>EA0319</t>
  </si>
  <si>
    <t xml:space="preserve">FG k-kb 02_002-1 </t>
  </si>
  <si>
    <t>EA0322</t>
  </si>
  <si>
    <t xml:space="preserve">FG k-kb 02_004-2 </t>
  </si>
  <si>
    <t>EA0332</t>
  </si>
  <si>
    <t xml:space="preserve">FG KB 03_001-1 </t>
  </si>
  <si>
    <t>EA0333</t>
  </si>
  <si>
    <t xml:space="preserve">FG KB 03_001-2 </t>
  </si>
  <si>
    <t>EA0334</t>
  </si>
  <si>
    <t xml:space="preserve">FG KB 03_003-1 </t>
  </si>
  <si>
    <t>EA0335</t>
  </si>
  <si>
    <t xml:space="preserve">FG KB 03_003-2 </t>
  </si>
  <si>
    <t>EA0336</t>
  </si>
  <si>
    <t xml:space="preserve">FG KB 03_003-3 </t>
  </si>
  <si>
    <t>EA0337</t>
  </si>
  <si>
    <t xml:space="preserve">FG KB 03_007-3 </t>
  </si>
  <si>
    <t>EA0338</t>
  </si>
  <si>
    <t xml:space="preserve">FG KB 03_007-2 </t>
  </si>
  <si>
    <t>EA0340</t>
  </si>
  <si>
    <t xml:space="preserve">FG KB 04_002-1 </t>
  </si>
  <si>
    <t>EA0341</t>
  </si>
  <si>
    <t xml:space="preserve">FG KB 04_002-2 </t>
  </si>
  <si>
    <t>EA0342</t>
  </si>
  <si>
    <t xml:space="preserve">FG KB 04_003-4 </t>
  </si>
  <si>
    <t>EA0344</t>
  </si>
  <si>
    <t xml:space="preserve">FG KB 04_003-3 </t>
  </si>
  <si>
    <t>EA0346</t>
  </si>
  <si>
    <t xml:space="preserve">FG KB 04_006-1 </t>
  </si>
  <si>
    <t>EA0347</t>
  </si>
  <si>
    <t xml:space="preserve">FG KB 04_006-2 </t>
  </si>
  <si>
    <t>EA0348</t>
  </si>
  <si>
    <t xml:space="preserve">FG KB 04_006-3 </t>
  </si>
  <si>
    <t>EA0349</t>
  </si>
  <si>
    <t xml:space="preserve">FG KB 06_001-1 </t>
  </si>
  <si>
    <t>EA0350</t>
  </si>
  <si>
    <t xml:space="preserve">FG KB 06_002-1 </t>
  </si>
  <si>
    <t>EA0351</t>
  </si>
  <si>
    <t xml:space="preserve">FG KB 06_002-2 </t>
  </si>
  <si>
    <t>EA0352</t>
  </si>
  <si>
    <t xml:space="preserve">FG KB 06_015-1 </t>
  </si>
  <si>
    <t>EA0353</t>
  </si>
  <si>
    <t xml:space="preserve">FG KB 06_015-2 </t>
  </si>
  <si>
    <t>EA0354</t>
  </si>
  <si>
    <t xml:space="preserve">FG KB 06_016-1 </t>
  </si>
  <si>
    <t>EA0355</t>
  </si>
  <si>
    <t xml:space="preserve">FG KB 06_016-2 </t>
  </si>
  <si>
    <t>EA0356</t>
  </si>
  <si>
    <t xml:space="preserve">FG KB 06_016-3 </t>
  </si>
  <si>
    <t>BA0B010</t>
  </si>
  <si>
    <t xml:space="preserve">FGkbH5-001-1 </t>
  </si>
  <si>
    <t>BA0B011</t>
  </si>
  <si>
    <t xml:space="preserve">FGkbH5-001-2 </t>
  </si>
  <si>
    <t>BA0B013</t>
  </si>
  <si>
    <t xml:space="preserve">FGkbH5-002-1 </t>
  </si>
  <si>
    <t>BA0B014</t>
  </si>
  <si>
    <t xml:space="preserve">FGkbH5-004-1 </t>
  </si>
  <si>
    <t>BA0B015</t>
  </si>
  <si>
    <t xml:space="preserve">FGkbH5-005-2 </t>
  </si>
  <si>
    <t>BA0B016</t>
  </si>
  <si>
    <t xml:space="preserve">FGkbH5-005-1 </t>
  </si>
  <si>
    <t>BA0B021</t>
  </si>
  <si>
    <t xml:space="preserve">FGkbH6-02-1 </t>
  </si>
  <si>
    <t>BA0B022</t>
  </si>
  <si>
    <t xml:space="preserve">FGkbH6-02-2 </t>
  </si>
  <si>
    <t>BA0B023</t>
  </si>
  <si>
    <t xml:space="preserve">FGkbH6-04-1 </t>
  </si>
  <si>
    <t>BA0B024</t>
  </si>
  <si>
    <t xml:space="preserve">FGkbH6-04-2 </t>
  </si>
  <si>
    <t>BA0B028</t>
  </si>
  <si>
    <t xml:space="preserve">FGkbH6-09-1 </t>
  </si>
  <si>
    <t>BA0B029</t>
  </si>
  <si>
    <t xml:space="preserve">FGkbH6-09-2 </t>
  </si>
  <si>
    <t>BA0B030</t>
  </si>
  <si>
    <t xml:space="preserve">FGkbH6-13-1 </t>
  </si>
  <si>
    <t>BA0B031</t>
  </si>
  <si>
    <t xml:space="preserve">FGkbH6-13-2 </t>
  </si>
  <si>
    <t>BA0B032</t>
  </si>
  <si>
    <t xml:space="preserve">FGkbFRS8-03-1 </t>
  </si>
  <si>
    <t>BA0B033</t>
  </si>
  <si>
    <t xml:space="preserve">FGkbFRS8-03-2 </t>
  </si>
  <si>
    <t>BA0B034</t>
  </si>
  <si>
    <t xml:space="preserve">FGkbFRS8-07-1 </t>
  </si>
  <si>
    <t>BA0B035</t>
  </si>
  <si>
    <t xml:space="preserve">FGkbFRS8-07-2 </t>
  </si>
  <si>
    <t>BA0B036</t>
  </si>
  <si>
    <t xml:space="preserve">FGkbFRS8-11-1 </t>
  </si>
  <si>
    <t>BA0B037</t>
  </si>
  <si>
    <t xml:space="preserve">FGkbFRS8-11-2 </t>
  </si>
  <si>
    <t>BA0B038</t>
  </si>
  <si>
    <t xml:space="preserve">FGkbFRS8-14-1 </t>
  </si>
  <si>
    <t>BA0B039</t>
  </si>
  <si>
    <t xml:space="preserve">FGkbFRS8-14-2 </t>
  </si>
  <si>
    <t>BA0B042</t>
  </si>
  <si>
    <t xml:space="preserve">FGkbFRS19-01-2 </t>
  </si>
  <si>
    <t>BA0B043</t>
  </si>
  <si>
    <t xml:space="preserve">FGkbFRS19-01-1 </t>
  </si>
  <si>
    <t>BA0B044</t>
  </si>
  <si>
    <t xml:space="preserve">FGkbFRS19-06-1 </t>
  </si>
  <si>
    <t>BA0B046</t>
  </si>
  <si>
    <t xml:space="preserve">FGkbFRS19-06-3 </t>
  </si>
  <si>
    <t>BA0B047</t>
  </si>
  <si>
    <t xml:space="preserve">FGkbFRS19-08-1 </t>
  </si>
  <si>
    <t>BA0B048</t>
  </si>
  <si>
    <t xml:space="preserve">FGkbFRS19-08-2 </t>
  </si>
  <si>
    <t>BA0B049</t>
  </si>
  <si>
    <t xml:space="preserve">FGkbFRS19-09-1 </t>
  </si>
  <si>
    <t>BA0B050</t>
  </si>
  <si>
    <t xml:space="preserve">FGkbFRS19-09-2 </t>
  </si>
  <si>
    <t>BA0B055</t>
  </si>
  <si>
    <t xml:space="preserve">FGkbFRS19-24-1 </t>
  </si>
  <si>
    <t>BA0B056</t>
  </si>
  <si>
    <t xml:space="preserve">FGkbFRS19-24-2 </t>
  </si>
  <si>
    <t>BA0B057</t>
  </si>
  <si>
    <t xml:space="preserve">FGkb59-01-1 </t>
  </si>
  <si>
    <t>BA0B058</t>
  </si>
  <si>
    <t xml:space="preserve">FGkb59-01-2 </t>
  </si>
  <si>
    <t>BA0B060</t>
  </si>
  <si>
    <t xml:space="preserve">FGkb59-06-2 </t>
  </si>
  <si>
    <t>BA0B063</t>
  </si>
  <si>
    <t xml:space="preserve">FGkb59-08-1 </t>
  </si>
  <si>
    <t>BA0B064</t>
  </si>
  <si>
    <t xml:space="preserve">FGkb59-12-1 </t>
  </si>
  <si>
    <t>BA0B065</t>
  </si>
  <si>
    <t xml:space="preserve">FGkb59-12-2 </t>
  </si>
  <si>
    <t>BA0B068</t>
  </si>
  <si>
    <t xml:space="preserve">FGkb59-16-1 </t>
  </si>
  <si>
    <t>BA0B069</t>
  </si>
  <si>
    <t xml:space="preserve">FGkb59-16-2 </t>
  </si>
  <si>
    <t>BA0B070</t>
  </si>
  <si>
    <t xml:space="preserve">FGkb59-16-3 </t>
  </si>
  <si>
    <t>BA0B081</t>
  </si>
  <si>
    <t xml:space="preserve">FGkb182-01-1 </t>
  </si>
  <si>
    <t>BA0B082</t>
  </si>
  <si>
    <t xml:space="preserve">FGkb182-05-1 </t>
  </si>
  <si>
    <t>BA0B083</t>
  </si>
  <si>
    <t xml:space="preserve">FGkb182-05-2 </t>
  </si>
  <si>
    <t>BA0B086</t>
  </si>
  <si>
    <t xml:space="preserve">FGkb182-07-1 </t>
  </si>
  <si>
    <t>BA0B087</t>
  </si>
  <si>
    <t xml:space="preserve">FGkb182-07-2 </t>
  </si>
  <si>
    <t>BA0B088</t>
  </si>
  <si>
    <t xml:space="preserve">FGkb182-07-3 </t>
  </si>
  <si>
    <t>BA0B091</t>
  </si>
  <si>
    <t xml:space="preserve">FGkb182-21-1 </t>
  </si>
  <si>
    <t>BA0B092</t>
  </si>
  <si>
    <t xml:space="preserve">FGkb182-21-2 </t>
  </si>
  <si>
    <t>BA0B093</t>
  </si>
  <si>
    <t xml:space="preserve">FGkb189-03-1 </t>
  </si>
  <si>
    <t>BA0B095</t>
  </si>
  <si>
    <t xml:space="preserve">FGkb189-06-1 </t>
  </si>
  <si>
    <t>BA0B096</t>
  </si>
  <si>
    <t xml:space="preserve">FGkb189-09-1 </t>
  </si>
  <si>
    <t>BA0B097</t>
  </si>
  <si>
    <t xml:space="preserve">FGkb189-10-1 </t>
  </si>
  <si>
    <t>BA0B098</t>
  </si>
  <si>
    <t xml:space="preserve">FGkb189-16-1 </t>
  </si>
  <si>
    <t>BA0B102</t>
  </si>
  <si>
    <t xml:space="preserve">FGkb199-001-1 </t>
  </si>
  <si>
    <t>BA0B103</t>
  </si>
  <si>
    <t xml:space="preserve">FGkb199-001-2 </t>
  </si>
  <si>
    <t>BA0B104</t>
  </si>
  <si>
    <t xml:space="preserve">FGkb199-005-1 </t>
  </si>
  <si>
    <t>BA0B107</t>
  </si>
  <si>
    <t xml:space="preserve">FGkb199-008-1 </t>
  </si>
  <si>
    <t>BA0B108</t>
  </si>
  <si>
    <t xml:space="preserve">FGkb199-008-2 </t>
  </si>
  <si>
    <t>BA0B109</t>
  </si>
  <si>
    <t xml:space="preserve">FGkb199-009-1 </t>
  </si>
  <si>
    <t>BA0B111</t>
  </si>
  <si>
    <t xml:space="preserve">FGkb199-012-1 </t>
  </si>
  <si>
    <t>BA0B112</t>
  </si>
  <si>
    <t xml:space="preserve">FGkb199-017-1 </t>
  </si>
  <si>
    <t>BA0B113</t>
  </si>
  <si>
    <t xml:space="preserve">FGkb216-001-1 </t>
  </si>
  <si>
    <t>BA0B114</t>
  </si>
  <si>
    <t xml:space="preserve">FGkb216-001-2 </t>
  </si>
  <si>
    <t>BA0B115</t>
  </si>
  <si>
    <t xml:space="preserve">FGkb216-002-1 </t>
  </si>
  <si>
    <t>BA0B116</t>
  </si>
  <si>
    <t xml:space="preserve">FGkb216-002-2 </t>
  </si>
  <si>
    <t>BA0B117</t>
  </si>
  <si>
    <t xml:space="preserve">FGkb216-003-1 </t>
  </si>
  <si>
    <t>BA0B119</t>
  </si>
  <si>
    <t xml:space="preserve">FGkb216-003-3 </t>
  </si>
  <si>
    <t>BA0B120</t>
  </si>
  <si>
    <t xml:space="preserve">FGkb216-004-1 </t>
  </si>
  <si>
    <t>BA0B121</t>
  </si>
  <si>
    <t xml:space="preserve">FGkb216-007-1 </t>
  </si>
  <si>
    <t>BA0B124</t>
  </si>
  <si>
    <t xml:space="preserve">FGkb216-009-1 </t>
  </si>
  <si>
    <t>BA0B125</t>
  </si>
  <si>
    <t xml:space="preserve">FGkb216-009-2 </t>
  </si>
  <si>
    <t>BA0B130</t>
  </si>
  <si>
    <t xml:space="preserve">FGkb216-016-1 </t>
  </si>
  <si>
    <t>BA0B131</t>
  </si>
  <si>
    <t xml:space="preserve">FGkb216-016-2 </t>
  </si>
  <si>
    <t>BA0B134</t>
  </si>
  <si>
    <t xml:space="preserve">FGkb216-020-1 </t>
  </si>
  <si>
    <t>BA0B135</t>
  </si>
  <si>
    <t xml:space="preserve">FGkb216-020-2 </t>
  </si>
  <si>
    <t>BA0B150</t>
  </si>
  <si>
    <t xml:space="preserve">FGkb223-003-1 </t>
  </si>
  <si>
    <t>BA0B151</t>
  </si>
  <si>
    <t xml:space="preserve">FGkb223-003-2 </t>
  </si>
  <si>
    <t>BA0B152</t>
  </si>
  <si>
    <t xml:space="preserve">FGkb223-006-1 </t>
  </si>
  <si>
    <t>BA0B155</t>
  </si>
  <si>
    <t xml:space="preserve">FGkb223-011-1 </t>
  </si>
  <si>
    <t>BA0B156</t>
  </si>
  <si>
    <t xml:space="preserve">FGkb223-011-2 </t>
  </si>
  <si>
    <t>BA0B157</t>
  </si>
  <si>
    <t xml:space="preserve">FGkb223-015-1 </t>
  </si>
  <si>
    <t>BA0B160</t>
  </si>
  <si>
    <t xml:space="preserve">FGkb223-019-1 </t>
  </si>
  <si>
    <t>BA0B161</t>
  </si>
  <si>
    <t xml:space="preserve">FGkb223-019-2 </t>
  </si>
  <si>
    <t>BA0B162</t>
  </si>
  <si>
    <t xml:space="preserve">FGkb223-020-1 </t>
  </si>
  <si>
    <t>BA0B163</t>
  </si>
  <si>
    <t xml:space="preserve">FGkbW230-003-1 </t>
  </si>
  <si>
    <t>BA0B164</t>
  </si>
  <si>
    <t xml:space="preserve">FGkbW230-003-2 </t>
  </si>
  <si>
    <t>BA0B166</t>
  </si>
  <si>
    <t xml:space="preserve">FGkbW230-005-2 </t>
  </si>
  <si>
    <t>BA0B170</t>
  </si>
  <si>
    <t xml:space="preserve">FGkbW230-009-2 </t>
  </si>
  <si>
    <t>BA0B172</t>
  </si>
  <si>
    <t xml:space="preserve">FGkbW230-012-1 </t>
  </si>
  <si>
    <t>BA0B173</t>
  </si>
  <si>
    <t xml:space="preserve">FGkbW230-013-1 </t>
  </si>
  <si>
    <t>BA0B178</t>
  </si>
  <si>
    <t xml:space="preserve">FGkbW230-023-1 </t>
  </si>
  <si>
    <t>BA0B182</t>
  </si>
  <si>
    <t xml:space="preserve">FGkb236-001-1 </t>
  </si>
  <si>
    <t>BA0B183</t>
  </si>
  <si>
    <t xml:space="preserve">FGkb236-005-1 </t>
  </si>
  <si>
    <t>BA0B184</t>
  </si>
  <si>
    <t xml:space="preserve">FGkb236-006-1 </t>
  </si>
  <si>
    <t>BA0B185</t>
  </si>
  <si>
    <t xml:space="preserve">FGkb236-008-1 </t>
  </si>
  <si>
    <t>BA0B186</t>
  </si>
  <si>
    <t xml:space="preserve">FGkb236-017-1 </t>
  </si>
  <si>
    <t>BA0B187</t>
  </si>
  <si>
    <t xml:space="preserve">FGkb236-025-1 </t>
  </si>
  <si>
    <t>BA0B188</t>
  </si>
  <si>
    <t xml:space="preserve">FGkb244-001-1 </t>
  </si>
  <si>
    <t>BA0B189</t>
  </si>
  <si>
    <t xml:space="preserve">FGkb244-003-1 </t>
  </si>
  <si>
    <t>BA0B192</t>
  </si>
  <si>
    <t xml:space="preserve">FGkb244-008-1 </t>
  </si>
  <si>
    <t>BA0B193</t>
  </si>
  <si>
    <t xml:space="preserve">FGkb244-008-2 </t>
  </si>
  <si>
    <t>BA0B194</t>
  </si>
  <si>
    <t xml:space="preserve">FGkb244-018-1 </t>
  </si>
  <si>
    <t>BA0B195</t>
  </si>
  <si>
    <t xml:space="preserve">FGkb244-018-2 </t>
  </si>
  <si>
    <t>BA0B196</t>
  </si>
  <si>
    <t xml:space="preserve">FGkb244-018-3 </t>
  </si>
  <si>
    <t>BA0B197</t>
  </si>
  <si>
    <t xml:space="preserve">FGkb244-019-1 </t>
  </si>
  <si>
    <t>BA0B202</t>
  </si>
  <si>
    <t xml:space="preserve">FGkb271-001-2 </t>
  </si>
  <si>
    <t>BA0B204</t>
  </si>
  <si>
    <t xml:space="preserve">FGkb271-004-1 </t>
  </si>
  <si>
    <t>BA0B206</t>
  </si>
  <si>
    <t xml:space="preserve">FGkb271-007-2 </t>
  </si>
  <si>
    <t>BA0B212</t>
  </si>
  <si>
    <t xml:space="preserve">FGkbalt329-001-1 </t>
  </si>
  <si>
    <t>BA0B213</t>
  </si>
  <si>
    <t xml:space="preserve">FGkbalt329-001-2 </t>
  </si>
  <si>
    <t>BA0B214</t>
  </si>
  <si>
    <t xml:space="preserve">FGkbalt329-002-1 </t>
  </si>
  <si>
    <t>BA0B215</t>
  </si>
  <si>
    <t xml:space="preserve">FGkbalt329-002-2 </t>
  </si>
  <si>
    <t>BA0B216</t>
  </si>
  <si>
    <t xml:space="preserve">FGkbalt329-010-1 </t>
  </si>
  <si>
    <t>BA0B217</t>
  </si>
  <si>
    <t xml:space="preserve">FGkbalt329-010-2 </t>
  </si>
  <si>
    <t>BA0B218</t>
  </si>
  <si>
    <t xml:space="preserve">FGkbalt329-016-1 </t>
  </si>
  <si>
    <t>BA0B219</t>
  </si>
  <si>
    <t xml:space="preserve">FGkbalt329-016-2 </t>
  </si>
  <si>
    <t>BA0B220</t>
  </si>
  <si>
    <t xml:space="preserve">FGkbalt340-001-1 </t>
  </si>
  <si>
    <t>BA0B221</t>
  </si>
  <si>
    <t xml:space="preserve">FGkbalt340-001-2 </t>
  </si>
  <si>
    <t>BA0B222</t>
  </si>
  <si>
    <t xml:space="preserve">FGkbalt340-003-1 </t>
  </si>
  <si>
    <t>BA0B223</t>
  </si>
  <si>
    <t xml:space="preserve">FGkbalt340-003-2 </t>
  </si>
  <si>
    <t>BA0B226</t>
  </si>
  <si>
    <t xml:space="preserve">FGkbalt340-010-1 </t>
  </si>
  <si>
    <t>BA0B229</t>
  </si>
  <si>
    <t xml:space="preserve">FGkbalt340-010-4 </t>
  </si>
  <si>
    <t>BA0B232</t>
  </si>
  <si>
    <t xml:space="preserve">FGkbalt340-011-2 </t>
  </si>
  <si>
    <t>BA0B233</t>
  </si>
  <si>
    <t xml:space="preserve">FGkbalt340-011-3 </t>
  </si>
  <si>
    <t>BA0010</t>
  </si>
  <si>
    <t xml:space="preserve">FG-eb_01-001-1 </t>
  </si>
  <si>
    <t>BA0011</t>
  </si>
  <si>
    <t xml:space="preserve">FG-eb_01-003-1 </t>
  </si>
  <si>
    <t>BA0012</t>
  </si>
  <si>
    <t xml:space="preserve">FG-eb_01-005-1 </t>
  </si>
  <si>
    <t>BA0013</t>
  </si>
  <si>
    <t xml:space="preserve">FG-eb_01-006-1 </t>
  </si>
  <si>
    <t>BA0014</t>
  </si>
  <si>
    <t xml:space="preserve">FG-eb_01-007-1 </t>
  </si>
  <si>
    <t>BA0015</t>
  </si>
  <si>
    <t xml:space="preserve">FG-eb_01-007-2 </t>
  </si>
  <si>
    <t>BA0017</t>
  </si>
  <si>
    <t xml:space="preserve">FG-eb_01-008-2 </t>
  </si>
  <si>
    <t>BA0018</t>
  </si>
  <si>
    <t xml:space="preserve">FG-eb_01-012-1 </t>
  </si>
  <si>
    <t>BA0019</t>
  </si>
  <si>
    <t xml:space="preserve">FG-eb_01-012-2 </t>
  </si>
  <si>
    <t>BA0020</t>
  </si>
  <si>
    <t xml:space="preserve">FG-eb_01-016-1 </t>
  </si>
  <si>
    <t>BA0021</t>
  </si>
  <si>
    <t xml:space="preserve">FG-eb_01-016-2 </t>
  </si>
  <si>
    <t>BA0022</t>
  </si>
  <si>
    <t xml:space="preserve">FG-eb_01-019-1 </t>
  </si>
  <si>
    <t>BA0023</t>
  </si>
  <si>
    <t xml:space="preserve">FG-eb_01-019-2 </t>
  </si>
  <si>
    <t>BA0024</t>
  </si>
  <si>
    <t xml:space="preserve">FG-eb_02-001-1 </t>
  </si>
  <si>
    <t>BA0025</t>
  </si>
  <si>
    <t xml:space="preserve">FG-eb_02-005-1 </t>
  </si>
  <si>
    <t>BA0026</t>
  </si>
  <si>
    <t xml:space="preserve">FG-eb_02-005-2 </t>
  </si>
  <si>
    <t>BA0027</t>
  </si>
  <si>
    <t xml:space="preserve">FG-eb_02-010-1 </t>
  </si>
  <si>
    <t>BA0028</t>
  </si>
  <si>
    <t xml:space="preserve">FG-eb_02-012-1 </t>
  </si>
  <si>
    <t>BA0029</t>
  </si>
  <si>
    <t xml:space="preserve">FG-eb_02-014-1 </t>
  </si>
  <si>
    <t>BA0030</t>
  </si>
  <si>
    <t xml:space="preserve">FG-eb_02-015-1 </t>
  </si>
  <si>
    <t>BA0031</t>
  </si>
  <si>
    <t xml:space="preserve">FG-eb_02-015-2 </t>
  </si>
  <si>
    <t>BA0032</t>
  </si>
  <si>
    <t xml:space="preserve">FG-eb_02-022-1 </t>
  </si>
  <si>
    <t>BA0034</t>
  </si>
  <si>
    <t xml:space="preserve">FG-eb_02-023-2 </t>
  </si>
  <si>
    <t>BA0035</t>
  </si>
  <si>
    <t xml:space="preserve">FG-eb_03-001-1 </t>
  </si>
  <si>
    <t>BA0036</t>
  </si>
  <si>
    <t xml:space="preserve">FG-eb_03-005-1 </t>
  </si>
  <si>
    <t>BA0038</t>
  </si>
  <si>
    <t xml:space="preserve">FG-eb_03-008-1 </t>
  </si>
  <si>
    <t>BA0039</t>
  </si>
  <si>
    <t xml:space="preserve">FG-eb_03-014-1 </t>
  </si>
  <si>
    <t>BA0040</t>
  </si>
  <si>
    <t xml:space="preserve">FG-eb_03-014-2 </t>
  </si>
  <si>
    <t>BA0041</t>
  </si>
  <si>
    <t xml:space="preserve">FG-eb_03-021-1 </t>
  </si>
  <si>
    <t>BA0043</t>
  </si>
  <si>
    <t xml:space="preserve">FG-eb_03-021-3 </t>
  </si>
  <si>
    <t>BA0044</t>
  </si>
  <si>
    <t xml:space="preserve">FG-eb_03-021-4 </t>
  </si>
  <si>
    <t>BA0045</t>
  </si>
  <si>
    <t xml:space="preserve">FG-eb_03-022-1 </t>
  </si>
  <si>
    <t>BA0046</t>
  </si>
  <si>
    <t xml:space="preserve">FG-eb_03-022-2 </t>
  </si>
  <si>
    <t>BA0047</t>
  </si>
  <si>
    <t xml:space="preserve">FG-eb_03-023-1 </t>
  </si>
  <si>
    <t>BA0049</t>
  </si>
  <si>
    <t xml:space="preserve">FG-eb_04-0002-2 </t>
  </si>
  <si>
    <t>BA0051</t>
  </si>
  <si>
    <t xml:space="preserve">FG-eb_04-006-2 </t>
  </si>
  <si>
    <t>BA0054</t>
  </si>
  <si>
    <t xml:space="preserve">FG-eb_04-007-2 </t>
  </si>
  <si>
    <t>BA0055</t>
  </si>
  <si>
    <t xml:space="preserve">FG-eb_04-011-1 </t>
  </si>
  <si>
    <t>BA0056</t>
  </si>
  <si>
    <t xml:space="preserve">FG-eb_04-011-2 </t>
  </si>
  <si>
    <t>BA0058</t>
  </si>
  <si>
    <t xml:space="preserve">FG-eb_04-018-1 </t>
  </si>
  <si>
    <t>EA0077</t>
  </si>
  <si>
    <t xml:space="preserve">FG-eb_06-001-1 </t>
  </si>
  <si>
    <t>EA0078</t>
  </si>
  <si>
    <t xml:space="preserve">FG-eb_06-001-2 </t>
  </si>
  <si>
    <t>EA0079</t>
  </si>
  <si>
    <t xml:space="preserve">FG-eb_06-004-1 </t>
  </si>
  <si>
    <t>EA0080</t>
  </si>
  <si>
    <t xml:space="preserve">FG-eb_06-005-1 </t>
  </si>
  <si>
    <t>EA0081</t>
  </si>
  <si>
    <t xml:space="preserve">FG-eb_06-005-2 </t>
  </si>
  <si>
    <t>EA0091</t>
  </si>
  <si>
    <t xml:space="preserve">FG-eb_06-008-1 </t>
  </si>
  <si>
    <t>EA0092</t>
  </si>
  <si>
    <t xml:space="preserve">FG-eb_06-009-1 </t>
  </si>
  <si>
    <t>EA0095</t>
  </si>
  <si>
    <t xml:space="preserve">FG-eb_06-016-1 </t>
  </si>
  <si>
    <t>EA0097</t>
  </si>
  <si>
    <t xml:space="preserve">FG-eb_06-023-1 </t>
  </si>
  <si>
    <t>EA0098</t>
  </si>
  <si>
    <t xml:space="preserve">FG-eb_06-023-2 </t>
  </si>
  <si>
    <t>EA0099</t>
  </si>
  <si>
    <t xml:space="preserve">FG-eb_06-025-1 </t>
  </si>
  <si>
    <t>EA0100</t>
  </si>
  <si>
    <t xml:space="preserve">FG-eb_06-025-2 </t>
  </si>
  <si>
    <t>EA0101</t>
  </si>
  <si>
    <t xml:space="preserve">FG-eb_08-001-1 </t>
  </si>
  <si>
    <t>EA0102</t>
  </si>
  <si>
    <t xml:space="preserve">FG-eb_08-004-1 </t>
  </si>
  <si>
    <t>EA0103</t>
  </si>
  <si>
    <t xml:space="preserve">FG-eb_08-005-1 </t>
  </si>
  <si>
    <t>EA0104</t>
  </si>
  <si>
    <t xml:space="preserve">FG-eb_08-005-2 </t>
  </si>
  <si>
    <t>EA0107</t>
  </si>
  <si>
    <t xml:space="preserve">FG-eb_08-011-1 </t>
  </si>
  <si>
    <t>EA0109</t>
  </si>
  <si>
    <t xml:space="preserve">FG-eb_08-011-3 </t>
  </si>
  <si>
    <t>EA0112</t>
  </si>
  <si>
    <t xml:space="preserve">FG-eb_08-017-1 </t>
  </si>
  <si>
    <t>EA0114</t>
  </si>
  <si>
    <t xml:space="preserve">FG-eb_08-022-1 </t>
  </si>
  <si>
    <t>EA0115</t>
  </si>
  <si>
    <t xml:space="preserve">FG-eb_08-022-2 </t>
  </si>
  <si>
    <t>EA0116</t>
  </si>
  <si>
    <t xml:space="preserve">FG-eb_08-016-1 </t>
  </si>
  <si>
    <t>EA0119</t>
  </si>
  <si>
    <t xml:space="preserve">FG-eb_09-005-1 </t>
  </si>
  <si>
    <t>EA0120</t>
  </si>
  <si>
    <t xml:space="preserve">FG-eb_09-007-1 </t>
  </si>
  <si>
    <t>EA0122</t>
  </si>
  <si>
    <t xml:space="preserve">FG-eb_09-008-1 </t>
  </si>
  <si>
    <t>EA0123</t>
  </si>
  <si>
    <t xml:space="preserve">FG-eb_09-011-1 </t>
  </si>
  <si>
    <t>EA0124</t>
  </si>
  <si>
    <t xml:space="preserve">FG-eb_09-017-1 </t>
  </si>
  <si>
    <t>EA0125</t>
  </si>
  <si>
    <t xml:space="preserve">FG-eb_09-017-2 </t>
  </si>
  <si>
    <t>EA0126</t>
  </si>
  <si>
    <t xml:space="preserve">FG-eb_09-017-3 </t>
  </si>
  <si>
    <t>EA0127</t>
  </si>
  <si>
    <t xml:space="preserve">FG-eb_09-020-1 </t>
  </si>
  <si>
    <t>EA0129</t>
  </si>
  <si>
    <t xml:space="preserve">FG-eb_12-001-2 </t>
  </si>
  <si>
    <t>EA0132</t>
  </si>
  <si>
    <t xml:space="preserve">FG-eb_12-004-1 </t>
  </si>
  <si>
    <t>EA0133</t>
  </si>
  <si>
    <t xml:space="preserve">FG-eb_12-005-1 </t>
  </si>
  <si>
    <t>EA0134</t>
  </si>
  <si>
    <t xml:space="preserve">FG-eb_12-007-1 </t>
  </si>
  <si>
    <t>EA0136</t>
  </si>
  <si>
    <t xml:space="preserve">FG-eb_12-010-1 </t>
  </si>
  <si>
    <t>EA0140</t>
  </si>
  <si>
    <t xml:space="preserve">FG-eb_12-012-3 </t>
  </si>
  <si>
    <t>EA0142</t>
  </si>
  <si>
    <t xml:space="preserve">FG-eb_12-013-1 </t>
  </si>
  <si>
    <t>EA0144</t>
  </si>
  <si>
    <t xml:space="preserve">FG-eb_13-001-1 </t>
  </si>
  <si>
    <t>EA0146</t>
  </si>
  <si>
    <t xml:space="preserve">FG-eb_13-002-1 </t>
  </si>
  <si>
    <t>EA0147</t>
  </si>
  <si>
    <t xml:space="preserve">FG-eb_13-003-1 </t>
  </si>
  <si>
    <t>EA0148</t>
  </si>
  <si>
    <t xml:space="preserve">FG-eb_13-003-2 </t>
  </si>
  <si>
    <t>EA0149</t>
  </si>
  <si>
    <t xml:space="preserve">FG-eb_13-013-1 </t>
  </si>
  <si>
    <t>EA0150</t>
  </si>
  <si>
    <t xml:space="preserve">FG-eb_13-018-1 </t>
  </si>
  <si>
    <t>EA0153</t>
  </si>
  <si>
    <t xml:space="preserve">FG-eb_13-023-1 </t>
  </si>
  <si>
    <t>EA0154</t>
  </si>
  <si>
    <t xml:space="preserve">FG-eb_13-023-2 </t>
  </si>
  <si>
    <t>EA0155</t>
  </si>
  <si>
    <t xml:space="preserve">FG-eb_13-024-1 </t>
  </si>
  <si>
    <t>EA0156</t>
  </si>
  <si>
    <t xml:space="preserve">FG-eb_14-003-1 </t>
  </si>
  <si>
    <t>EA0157</t>
  </si>
  <si>
    <t xml:space="preserve">FG-eb_14-005-2 </t>
  </si>
  <si>
    <t>EA0158</t>
  </si>
  <si>
    <t xml:space="preserve">FG-eb_14-005-1 </t>
  </si>
  <si>
    <t>EA0159</t>
  </si>
  <si>
    <t xml:space="preserve">FG-eb_14-007-1 </t>
  </si>
  <si>
    <t>EA0160</t>
  </si>
  <si>
    <t xml:space="preserve">FG-eb_14-010-1 </t>
  </si>
  <si>
    <t>EA0161</t>
  </si>
  <si>
    <t xml:space="preserve">FG-eb_14-013-1 </t>
  </si>
  <si>
    <t>EA0162</t>
  </si>
  <si>
    <t xml:space="preserve">FG-eb_14-013-2 </t>
  </si>
  <si>
    <t>EA0172</t>
  </si>
  <si>
    <t xml:space="preserve">FG-eb_14-014-1 </t>
  </si>
  <si>
    <t>EA0173</t>
  </si>
  <si>
    <t xml:space="preserve">FG-eb_14-014-2 </t>
  </si>
  <si>
    <t>EA0174</t>
  </si>
  <si>
    <t xml:space="preserve">FG-eb_14-014-3 </t>
  </si>
  <si>
    <t>EA0176</t>
  </si>
  <si>
    <t xml:space="preserve">FG-eb_14-017-2 </t>
  </si>
  <si>
    <t>EA0177</t>
  </si>
  <si>
    <t xml:space="preserve">FG-eb_14-017-3 </t>
  </si>
  <si>
    <t>EA0178</t>
  </si>
  <si>
    <t xml:space="preserve">FG-eb_14-017-4 </t>
  </si>
  <si>
    <t>EA0179</t>
  </si>
  <si>
    <t xml:space="preserve">FG-eb_14-018-1 </t>
  </si>
  <si>
    <t>EA0180</t>
  </si>
  <si>
    <t xml:space="preserve">FG-eb_14-021-1 </t>
  </si>
  <si>
    <t>EA0181</t>
  </si>
  <si>
    <t xml:space="preserve">FG-eb_16-001-1 </t>
  </si>
  <si>
    <t>EA0182</t>
  </si>
  <si>
    <t xml:space="preserve">FG-eb_16-003-1 </t>
  </si>
  <si>
    <t>EA0183</t>
  </si>
  <si>
    <t xml:space="preserve">FG-eb_16-004-1 </t>
  </si>
  <si>
    <t>EA0184</t>
  </si>
  <si>
    <t xml:space="preserve">FG-eb_16-004-2 </t>
  </si>
  <si>
    <t>EA0185</t>
  </si>
  <si>
    <t xml:space="preserve">FG-eb_16-009-1 </t>
  </si>
  <si>
    <t>EA0186</t>
  </si>
  <si>
    <t xml:space="preserve">FG-eb_16-009-2 </t>
  </si>
  <si>
    <t>EA0187</t>
  </si>
  <si>
    <t xml:space="preserve">FG-eb_16-021-1 </t>
  </si>
  <si>
    <t>BA0188</t>
  </si>
  <si>
    <t xml:space="preserve">FG-eb_17-003-1 </t>
  </si>
  <si>
    <t>BA0189</t>
  </si>
  <si>
    <t xml:space="preserve">FG-eb_17-005-1 </t>
  </si>
  <si>
    <t>BA0190</t>
  </si>
  <si>
    <t xml:space="preserve">FG-eb_17-005-2 </t>
  </si>
  <si>
    <t>BA0191</t>
  </si>
  <si>
    <t xml:space="preserve">FG-eb_17-006-1 </t>
  </si>
  <si>
    <t>BA0192</t>
  </si>
  <si>
    <t xml:space="preserve">FG-eb_17-012-1 </t>
  </si>
  <si>
    <t>BA0193</t>
  </si>
  <si>
    <t xml:space="preserve">FG-eb_17-017-1 </t>
  </si>
  <si>
    <t>BA0194</t>
  </si>
  <si>
    <t xml:space="preserve">FG-eb_17-020-1 </t>
  </si>
  <si>
    <t>BA0195</t>
  </si>
  <si>
    <t xml:space="preserve">FG-eb_17-021-1 </t>
  </si>
  <si>
    <t>BA0196</t>
  </si>
  <si>
    <t xml:space="preserve">FG-eb_17-024-1 </t>
  </si>
  <si>
    <t>BA0197</t>
  </si>
  <si>
    <t xml:space="preserve">FG-eb_17-024-2 </t>
  </si>
  <si>
    <t>BA0198</t>
  </si>
  <si>
    <t xml:space="preserve">FG-eb_18-001-1 </t>
  </si>
  <si>
    <t>BA0199</t>
  </si>
  <si>
    <t xml:space="preserve">FG-eb_18-002-1 </t>
  </si>
  <si>
    <t>BA0200</t>
  </si>
  <si>
    <t xml:space="preserve">FG-eb_18-004-1 </t>
  </si>
  <si>
    <t>BA0201</t>
  </si>
  <si>
    <t xml:space="preserve">FG-eb_18-008-1 </t>
  </si>
  <si>
    <t>BA0202</t>
  </si>
  <si>
    <t xml:space="preserve">FG-eb_18-008-2 </t>
  </si>
  <si>
    <t>BA0203</t>
  </si>
  <si>
    <t xml:space="preserve">FG-eb_18-014-1 </t>
  </si>
  <si>
    <t>BA0205</t>
  </si>
  <si>
    <t xml:space="preserve">FG-eb_19-002-1 </t>
  </si>
  <si>
    <t>BA0206</t>
  </si>
  <si>
    <t xml:space="preserve">FG-eb_19-002-2 </t>
  </si>
  <si>
    <t>BA0208</t>
  </si>
  <si>
    <t xml:space="preserve">FG-eb_19-004-2 </t>
  </si>
  <si>
    <t>BA0209</t>
  </si>
  <si>
    <t xml:space="preserve">FG-eb_19-006-1 </t>
  </si>
  <si>
    <t>BA0210</t>
  </si>
  <si>
    <t xml:space="preserve">FG-eb_19-006-2 </t>
  </si>
  <si>
    <t>BA0212</t>
  </si>
  <si>
    <t xml:space="preserve">FG-eb_19-008-1 </t>
  </si>
  <si>
    <t>BA0213</t>
  </si>
  <si>
    <t xml:space="preserve">FG-eb_19-008-2 </t>
  </si>
  <si>
    <t>BA0214</t>
  </si>
  <si>
    <t xml:space="preserve">FG-eb_19-008-3 </t>
  </si>
  <si>
    <t>BA0215</t>
  </si>
  <si>
    <t xml:space="preserve">FG-eb_19-009-1 </t>
  </si>
  <si>
    <t>BA0216</t>
  </si>
  <si>
    <t xml:space="preserve">FG-eb_19-009-2 </t>
  </si>
  <si>
    <t>BA0217</t>
  </si>
  <si>
    <t xml:space="preserve">FG-eb_19-021-1 </t>
  </si>
  <si>
    <t>BA0218</t>
  </si>
  <si>
    <t xml:space="preserve">FG-eb_19-021-2 </t>
  </si>
  <si>
    <t>BA0219</t>
  </si>
  <si>
    <t xml:space="preserve">FG-eb_19-023-1 </t>
  </si>
  <si>
    <t>BA0220</t>
  </si>
  <si>
    <t xml:space="preserve">FG-eb_19-023-2 </t>
  </si>
  <si>
    <t>BA0222</t>
  </si>
  <si>
    <t xml:space="preserve">FG-eb_20-001-2 </t>
  </si>
  <si>
    <t>BA0223</t>
  </si>
  <si>
    <t xml:space="preserve">FG-eb_20-002-1 </t>
  </si>
  <si>
    <t>BA0224</t>
  </si>
  <si>
    <t xml:space="preserve">FG-eb_20-002-2 </t>
  </si>
  <si>
    <t>BA0225</t>
  </si>
  <si>
    <t xml:space="preserve">FG-eb_20-004-1 </t>
  </si>
  <si>
    <t>BA0226</t>
  </si>
  <si>
    <t xml:space="preserve">FG-eb_20-008-1 </t>
  </si>
  <si>
    <t>BA0227</t>
  </si>
  <si>
    <t xml:space="preserve">FG-eb_20-008-2 </t>
  </si>
  <si>
    <t>BA0229</t>
  </si>
  <si>
    <t xml:space="preserve">FG-eb_20-010-2 </t>
  </si>
  <si>
    <t>BA0230</t>
  </si>
  <si>
    <t xml:space="preserve">FG-eb_20-010-3 </t>
  </si>
  <si>
    <t>BA0231</t>
  </si>
  <si>
    <t xml:space="preserve">FG-eb_20-016-1 </t>
  </si>
  <si>
    <t>BA0232</t>
  </si>
  <si>
    <t xml:space="preserve">FG-eb_21-002-1 </t>
  </si>
  <si>
    <t>BA0233</t>
  </si>
  <si>
    <t xml:space="preserve">FG-eb_21-002-2 </t>
  </si>
  <si>
    <t>BA0234</t>
  </si>
  <si>
    <t xml:space="preserve">FG-eb_21-003-1 </t>
  </si>
  <si>
    <t>BA0235</t>
  </si>
  <si>
    <t xml:space="preserve">FG-eb_21-003-2 </t>
  </si>
  <si>
    <t>BA0236</t>
  </si>
  <si>
    <t xml:space="preserve">FG-eb_21-003-3 </t>
  </si>
  <si>
    <t>BA0239</t>
  </si>
  <si>
    <t xml:space="preserve">FG-eb_21-014-3 </t>
  </si>
  <si>
    <t>BA0241</t>
  </si>
  <si>
    <t xml:space="preserve">FG-eb_21-18-1 </t>
  </si>
  <si>
    <t>EA0242</t>
  </si>
  <si>
    <t xml:space="preserve">FG-eb_21-18-2 </t>
  </si>
  <si>
    <t>EA0243</t>
  </si>
  <si>
    <t xml:space="preserve">FG-eb_21-19-1 </t>
  </si>
  <si>
    <t>BA002</t>
  </si>
  <si>
    <t xml:space="preserve"> fba_03h_01-2 </t>
  </si>
  <si>
    <t>BA003</t>
  </si>
  <si>
    <t xml:space="preserve"> fba_03h_01-3 </t>
  </si>
  <si>
    <t>BA013</t>
  </si>
  <si>
    <t xml:space="preserve"> fba_03d_01-1 </t>
  </si>
  <si>
    <t>BA014</t>
  </si>
  <si>
    <t xml:space="preserve"> fba_03d_02-1 </t>
  </si>
  <si>
    <t>BA015</t>
  </si>
  <si>
    <t xml:space="preserve"> fba_03d_03-1 </t>
  </si>
  <si>
    <t>BA016</t>
  </si>
  <si>
    <t xml:space="preserve"> fba_03d_03-2 </t>
  </si>
  <si>
    <t>BA017</t>
  </si>
  <si>
    <t xml:space="preserve"> fba_03d_07-1 </t>
  </si>
  <si>
    <t>BA018</t>
  </si>
  <si>
    <t xml:space="preserve"> fba_03d_07-2 </t>
  </si>
  <si>
    <t>BA019</t>
  </si>
  <si>
    <t xml:space="preserve"> fba_03d_07-3 </t>
  </si>
  <si>
    <t>BA020</t>
  </si>
  <si>
    <t xml:space="preserve"> fba_03d_08-1 </t>
  </si>
  <si>
    <t>BA021</t>
  </si>
  <si>
    <t xml:space="preserve"> fba_03d_10-1 </t>
  </si>
  <si>
    <t>BA022</t>
  </si>
  <si>
    <t xml:space="preserve"> fba_03d_10-2 </t>
  </si>
  <si>
    <t>BA025</t>
  </si>
  <si>
    <t xml:space="preserve"> fba_04h_02-1 </t>
  </si>
  <si>
    <t>BA032</t>
  </si>
  <si>
    <t xml:space="preserve"> fba_04h_08-1 </t>
  </si>
  <si>
    <t>BA033</t>
  </si>
  <si>
    <t xml:space="preserve"> fba_04h_08-2 </t>
  </si>
  <si>
    <t>BA040</t>
  </si>
  <si>
    <t xml:space="preserve"> fba_04d_01-1 </t>
  </si>
  <si>
    <t>BA041</t>
  </si>
  <si>
    <t xml:space="preserve"> fba_04d_01-2 </t>
  </si>
  <si>
    <t>BA042</t>
  </si>
  <si>
    <t xml:space="preserve"> fba_04d_02-4 </t>
  </si>
  <si>
    <t>BA043</t>
  </si>
  <si>
    <t xml:space="preserve"> fba_04d_02-5 </t>
  </si>
  <si>
    <t>BA044</t>
  </si>
  <si>
    <t xml:space="preserve"> fba_04d_03-1 </t>
  </si>
  <si>
    <t>BA045</t>
  </si>
  <si>
    <t xml:space="preserve"> fba_04d_06-1 </t>
  </si>
  <si>
    <t>BA046</t>
  </si>
  <si>
    <t xml:space="preserve"> fba_04d_09-1 </t>
  </si>
  <si>
    <t>BA047</t>
  </si>
  <si>
    <t xml:space="preserve"> fba_04d_10-1 </t>
  </si>
  <si>
    <t>BA048</t>
  </si>
  <si>
    <t xml:space="preserve"> fba_05d_01-1 </t>
  </si>
  <si>
    <t>BA049</t>
  </si>
  <si>
    <t xml:space="preserve"> fba_05d_01-2 </t>
  </si>
  <si>
    <t>BA050</t>
  </si>
  <si>
    <t xml:space="preserve"> fba_05d_02-1 </t>
  </si>
  <si>
    <t>BA051</t>
  </si>
  <si>
    <t xml:space="preserve"> fba_05d_02-2 </t>
  </si>
  <si>
    <t>BA052</t>
  </si>
  <si>
    <t xml:space="preserve"> fba_05d_02-3 </t>
  </si>
  <si>
    <t>BA053</t>
  </si>
  <si>
    <t xml:space="preserve"> fba_05d_04-1 </t>
  </si>
  <si>
    <t>BA054</t>
  </si>
  <si>
    <t xml:space="preserve"> fba_05d_04-2 </t>
  </si>
  <si>
    <t>BA055</t>
  </si>
  <si>
    <t xml:space="preserve"> fba_05d_05-1 </t>
  </si>
  <si>
    <t>BA056</t>
  </si>
  <si>
    <t xml:space="preserve"> fba_05d_05-2 </t>
  </si>
  <si>
    <t>BA057</t>
  </si>
  <si>
    <t xml:space="preserve"> fba_05d_08-1 </t>
  </si>
  <si>
    <t>BA058</t>
  </si>
  <si>
    <t xml:space="preserve"> fba_05d_08-2 </t>
  </si>
  <si>
    <t>BA059</t>
  </si>
  <si>
    <t xml:space="preserve"> fba_05d_09-1 </t>
  </si>
  <si>
    <t>BA060</t>
  </si>
  <si>
    <t xml:space="preserve"> fba_05d_09-2 </t>
  </si>
  <si>
    <t>BA061</t>
  </si>
  <si>
    <t xml:space="preserve"> fba_07_01-1 </t>
  </si>
  <si>
    <t>BA062</t>
  </si>
  <si>
    <t xml:space="preserve"> fba_07_01-2 </t>
  </si>
  <si>
    <t>BA063</t>
  </si>
  <si>
    <t xml:space="preserve"> fba_07_02-1 </t>
  </si>
  <si>
    <t>BA064</t>
  </si>
  <si>
    <t xml:space="preserve"> fba_07_02-2 </t>
  </si>
  <si>
    <t>BA065</t>
  </si>
  <si>
    <t xml:space="preserve"> fba_07_03-2 </t>
  </si>
  <si>
    <t>BA066</t>
  </si>
  <si>
    <t xml:space="preserve"> fba_07_03-3 </t>
  </si>
  <si>
    <t>BA067</t>
  </si>
  <si>
    <t xml:space="preserve"> fba_07_04-1 </t>
  </si>
  <si>
    <t>BA068</t>
  </si>
  <si>
    <t xml:space="preserve"> fba_07_04-2 </t>
  </si>
  <si>
    <t>BA069</t>
  </si>
  <si>
    <t xml:space="preserve"> fba_07_07-1 </t>
  </si>
  <si>
    <t>BA070</t>
  </si>
  <si>
    <t xml:space="preserve"> fba_07_09-1 </t>
  </si>
  <si>
    <t>BA071</t>
  </si>
  <si>
    <t xml:space="preserve"> fba_07_09-3 </t>
  </si>
  <si>
    <t>BA072</t>
  </si>
  <si>
    <t xml:space="preserve"> fba_07_11-1 </t>
  </si>
  <si>
    <t>BA073</t>
  </si>
  <si>
    <t xml:space="preserve"> fba_07_12-2 </t>
  </si>
  <si>
    <t>BA074</t>
  </si>
  <si>
    <t xml:space="preserve"> fba_07_12-1 </t>
  </si>
  <si>
    <t>BA116</t>
  </si>
  <si>
    <t xml:space="preserve"> fba_18_01-1 </t>
  </si>
  <si>
    <t>BA117</t>
  </si>
  <si>
    <t xml:space="preserve"> fba_18_01-2 </t>
  </si>
  <si>
    <t>BA118</t>
  </si>
  <si>
    <t xml:space="preserve"> fba_18_02-2 </t>
  </si>
  <si>
    <t>BA119</t>
  </si>
  <si>
    <t xml:space="preserve"> fba_18_03-1 </t>
  </si>
  <si>
    <t>BA120</t>
  </si>
  <si>
    <t xml:space="preserve"> fba_18_04-1 </t>
  </si>
  <si>
    <t>BA121</t>
  </si>
  <si>
    <t xml:space="preserve"> fba_18_04-2 </t>
  </si>
  <si>
    <t>BA122</t>
  </si>
  <si>
    <t xml:space="preserve"> fba_18_04-3 </t>
  </si>
  <si>
    <t>BA123</t>
  </si>
  <si>
    <t xml:space="preserve"> fba_18_05-2 </t>
  </si>
  <si>
    <t>BA124</t>
  </si>
  <si>
    <t xml:space="preserve"> fba_18_05-1 </t>
  </si>
  <si>
    <t>BA125</t>
  </si>
  <si>
    <t xml:space="preserve"> fba_18_06-1 </t>
  </si>
  <si>
    <t>BA126</t>
  </si>
  <si>
    <t xml:space="preserve"> fba_18_06-2 </t>
  </si>
  <si>
    <t>BA127</t>
  </si>
  <si>
    <t xml:space="preserve"> fba_18_07-1 </t>
  </si>
  <si>
    <t>BA128</t>
  </si>
  <si>
    <t xml:space="preserve"> fba_18_07-2 </t>
  </si>
  <si>
    <t>BA129</t>
  </si>
  <si>
    <t xml:space="preserve"> fba_18_07-3 </t>
  </si>
  <si>
    <t>BA130</t>
  </si>
  <si>
    <t xml:space="preserve"> fba_18_09-1 </t>
  </si>
  <si>
    <t>BA131</t>
  </si>
  <si>
    <t xml:space="preserve"> fba_18_09-2 </t>
  </si>
  <si>
    <t>BA132</t>
  </si>
  <si>
    <t xml:space="preserve"> fba_18_09-3 </t>
  </si>
  <si>
    <t>BA133</t>
  </si>
  <si>
    <t xml:space="preserve"> fba_17_02-1 </t>
  </si>
  <si>
    <t>BA134</t>
  </si>
  <si>
    <t xml:space="preserve"> fba_17_03-3 </t>
  </si>
  <si>
    <t>BA135</t>
  </si>
  <si>
    <t xml:space="preserve"> fba_17_03-1 </t>
  </si>
  <si>
    <t>BA136</t>
  </si>
  <si>
    <t xml:space="preserve"> fba_17_03-2 </t>
  </si>
  <si>
    <t>BA137</t>
  </si>
  <si>
    <t xml:space="preserve"> fba_17_04-3 </t>
  </si>
  <si>
    <t>BA138</t>
  </si>
  <si>
    <t xml:space="preserve"> fba_17_04-2 </t>
  </si>
  <si>
    <t>BA139</t>
  </si>
  <si>
    <t xml:space="preserve"> fba_17_04-1 </t>
  </si>
  <si>
    <t>BA140</t>
  </si>
  <si>
    <t xml:space="preserve"> fba_17_05-1 </t>
  </si>
  <si>
    <t>BA141</t>
  </si>
  <si>
    <t xml:space="preserve"> fba_17_06-2 </t>
  </si>
  <si>
    <t>BA142</t>
  </si>
  <si>
    <t xml:space="preserve"> fba_17_06-1 </t>
  </si>
  <si>
    <t>BA143</t>
  </si>
  <si>
    <t xml:space="preserve"> fba_17_07-1 </t>
  </si>
  <si>
    <t>BA144</t>
  </si>
  <si>
    <t xml:space="preserve"> fba_17_07-2 </t>
  </si>
  <si>
    <t>BA145</t>
  </si>
  <si>
    <t xml:space="preserve"> fba_19h_01-2 </t>
  </si>
  <si>
    <t>BA146</t>
  </si>
  <si>
    <t xml:space="preserve"> fba_19h_01-1 </t>
  </si>
  <si>
    <t>BA147</t>
  </si>
  <si>
    <t xml:space="preserve"> fba_19h_03-1 </t>
  </si>
  <si>
    <t>BA148</t>
  </si>
  <si>
    <t xml:space="preserve"> fba_19h_04-1 </t>
  </si>
  <si>
    <t>BA149</t>
  </si>
  <si>
    <t xml:space="preserve"> fba_19h_05b-1 </t>
  </si>
  <si>
    <t>BA150</t>
  </si>
  <si>
    <t xml:space="preserve"> fba_19h_07-1 </t>
  </si>
  <si>
    <t>BA151</t>
  </si>
  <si>
    <t xml:space="preserve"> fba_19h_08-1 </t>
  </si>
  <si>
    <t>BA152</t>
  </si>
  <si>
    <t xml:space="preserve"> fba_19h_09-2 </t>
  </si>
  <si>
    <t>BA153</t>
  </si>
  <si>
    <t xml:space="preserve"> fba_19h_09-3 </t>
  </si>
  <si>
    <t>BA154</t>
  </si>
  <si>
    <t xml:space="preserve"> fba_19h_09-4 </t>
  </si>
  <si>
    <t>BA155</t>
  </si>
  <si>
    <t xml:space="preserve"> fba_19h_09-1 </t>
  </si>
  <si>
    <t>BA156</t>
  </si>
  <si>
    <t xml:space="preserve"> fba_19h_10-2 </t>
  </si>
  <si>
    <t>BA157</t>
  </si>
  <si>
    <t xml:space="preserve"> fba_19h_10-1 </t>
  </si>
  <si>
    <t>BA158</t>
  </si>
  <si>
    <t xml:space="preserve"> fba_19h_11-2 </t>
  </si>
  <si>
    <t>BA159</t>
  </si>
  <si>
    <t xml:space="preserve"> fba_19h_11-1 </t>
  </si>
  <si>
    <t>BA160</t>
  </si>
  <si>
    <t xml:space="preserve"> fba_19d_01b-1 </t>
  </si>
  <si>
    <t>BA161</t>
  </si>
  <si>
    <t xml:space="preserve"> fba_19d_02-1 </t>
  </si>
  <si>
    <t>BA162</t>
  </si>
  <si>
    <t xml:space="preserve"> fba_19d_02-3 </t>
  </si>
  <si>
    <t>BA163</t>
  </si>
  <si>
    <t xml:space="preserve"> fba_19d_02-2 </t>
  </si>
  <si>
    <t>BA164</t>
  </si>
  <si>
    <t xml:space="preserve"> fba_19d_03-1 </t>
  </si>
  <si>
    <t>BA165</t>
  </si>
  <si>
    <t xml:space="preserve"> fba_19d_05-2 </t>
  </si>
  <si>
    <t>BA166</t>
  </si>
  <si>
    <t xml:space="preserve"> fba_19d_05-1 </t>
  </si>
  <si>
    <t>BA167</t>
  </si>
  <si>
    <t xml:space="preserve"> fba_19d_06-2 </t>
  </si>
  <si>
    <t>BA168</t>
  </si>
  <si>
    <t xml:space="preserve"> fba_19d_06-1 </t>
  </si>
  <si>
    <t>BA169</t>
  </si>
  <si>
    <t xml:space="preserve"> fba_19d_07-1 </t>
  </si>
  <si>
    <t>BA170</t>
  </si>
  <si>
    <t xml:space="preserve"> fba_19d_09-1 </t>
  </si>
  <si>
    <t>BA171</t>
  </si>
  <si>
    <t xml:space="preserve"> fba_19d_09-2 </t>
  </si>
  <si>
    <t>BA172</t>
  </si>
  <si>
    <t xml:space="preserve"> fba_19d_10-1 </t>
  </si>
  <si>
    <t>BA173</t>
  </si>
  <si>
    <t xml:space="preserve"> fba_19d_12-1 </t>
  </si>
  <si>
    <t>BA174</t>
  </si>
  <si>
    <t xml:space="preserve"> fba_22d_01-2 </t>
  </si>
  <si>
    <t>BA175</t>
  </si>
  <si>
    <t xml:space="preserve"> fba_22d_01-1 </t>
  </si>
  <si>
    <t>BA176</t>
  </si>
  <si>
    <t xml:space="preserve"> fba_22d_02-1 </t>
  </si>
  <si>
    <t>BA177</t>
  </si>
  <si>
    <t xml:space="preserve"> fba_22d_02-3 </t>
  </si>
  <si>
    <t>BA178</t>
  </si>
  <si>
    <t xml:space="preserve"> fba_22d_02-2 </t>
  </si>
  <si>
    <t>BA179</t>
  </si>
  <si>
    <t xml:space="preserve"> fba_22d_03-1 </t>
  </si>
  <si>
    <t>BA180</t>
  </si>
  <si>
    <t xml:space="preserve"> fba_22d_03-2 </t>
  </si>
  <si>
    <t>BA181</t>
  </si>
  <si>
    <t xml:space="preserve"> fba_22d_04-1 </t>
  </si>
  <si>
    <t>BA182</t>
  </si>
  <si>
    <t xml:space="preserve"> fba_22d_04-2 </t>
  </si>
  <si>
    <t>BA183</t>
  </si>
  <si>
    <t xml:space="preserve"> fba_22h_01-2 </t>
  </si>
  <si>
    <t>BA184</t>
  </si>
  <si>
    <t xml:space="preserve"> fba_22h_01-1 </t>
  </si>
  <si>
    <t>BA185</t>
  </si>
  <si>
    <t xml:space="preserve"> fba_22h_02-2 </t>
  </si>
  <si>
    <t>BA186</t>
  </si>
  <si>
    <t xml:space="preserve"> fba_22h_02-1 </t>
  </si>
  <si>
    <t>BA187</t>
  </si>
  <si>
    <t xml:space="preserve"> fba_22h_03-1 </t>
  </si>
  <si>
    <t>BA188</t>
  </si>
  <si>
    <t xml:space="preserve"> fba_22h_04-2 </t>
  </si>
  <si>
    <t>BA189</t>
  </si>
  <si>
    <t xml:space="preserve"> fba_22h_04-1 </t>
  </si>
  <si>
    <t>BA190</t>
  </si>
  <si>
    <t xml:space="preserve"> fba_22h_05-1 </t>
  </si>
  <si>
    <t>BA191</t>
  </si>
  <si>
    <t xml:space="preserve"> fba_22h_05-2 </t>
  </si>
  <si>
    <t>BA201</t>
  </si>
  <si>
    <t xml:space="preserve"> fba_20_01-2 </t>
  </si>
  <si>
    <t>BA202</t>
  </si>
  <si>
    <t xml:space="preserve"> fba_20_01-1 </t>
  </si>
  <si>
    <t>BA203</t>
  </si>
  <si>
    <t xml:space="preserve"> fba_20_02-1 </t>
  </si>
  <si>
    <t>BA204</t>
  </si>
  <si>
    <t xml:space="preserve"> fba_20_03-1 </t>
  </si>
  <si>
    <t>BA205</t>
  </si>
  <si>
    <t xml:space="preserve"> fba_20_04-1 </t>
  </si>
  <si>
    <t>BA206</t>
  </si>
  <si>
    <t xml:space="preserve"> fba_20_05-1 </t>
  </si>
  <si>
    <t>BA207</t>
  </si>
  <si>
    <t xml:space="preserve"> fba_20_06-2 </t>
  </si>
  <si>
    <t>BA208</t>
  </si>
  <si>
    <t xml:space="preserve"> fba_20_06-1 </t>
  </si>
  <si>
    <t>BA209</t>
  </si>
  <si>
    <t xml:space="preserve"> fba_20_08-1 </t>
  </si>
  <si>
    <t>BA001</t>
  </si>
  <si>
    <t xml:space="preserve"> fba_03h_01-1 </t>
  </si>
  <si>
    <t>BA004</t>
  </si>
  <si>
    <t xml:space="preserve"> fba_03h_02-1 </t>
  </si>
  <si>
    <t>BA005</t>
  </si>
  <si>
    <t xml:space="preserve"> fba_03h_03-1 </t>
  </si>
  <si>
    <t>BA006</t>
  </si>
  <si>
    <t xml:space="preserve"> fba_03h_03-2 </t>
  </si>
  <si>
    <t>BA007</t>
  </si>
  <si>
    <t xml:space="preserve"> fba_03h_04-1 </t>
  </si>
  <si>
    <t>BA008</t>
  </si>
  <si>
    <t xml:space="preserve"> fba_03h_04-2 </t>
  </si>
  <si>
    <t>BA009</t>
  </si>
  <si>
    <t xml:space="preserve"> fba_03h_04-3 </t>
  </si>
  <si>
    <t>BA010</t>
  </si>
  <si>
    <t xml:space="preserve"> fba_03h_05-1 </t>
  </si>
  <si>
    <t>BA011</t>
  </si>
  <si>
    <t xml:space="preserve"> fba_03h_06-1 </t>
  </si>
  <si>
    <t>BA012</t>
  </si>
  <si>
    <t xml:space="preserve"> fba_03h_06-2 </t>
  </si>
  <si>
    <t>BA023</t>
  </si>
  <si>
    <t xml:space="preserve"> fba_04h_01-1 </t>
  </si>
  <si>
    <t>BA024</t>
  </si>
  <si>
    <t xml:space="preserve"> fba_04h_01-2 </t>
  </si>
  <si>
    <t>BA026</t>
  </si>
  <si>
    <t xml:space="preserve"> fba_04h_02-2 </t>
  </si>
  <si>
    <t>BA027</t>
  </si>
  <si>
    <t xml:space="preserve"> fba_04h_02-3 </t>
  </si>
  <si>
    <t>BA028</t>
  </si>
  <si>
    <t xml:space="preserve"> fba_04h_04-4 </t>
  </si>
  <si>
    <t>BA029</t>
  </si>
  <si>
    <t xml:space="preserve"> fba_04h_04-5 </t>
  </si>
  <si>
    <t>BA030</t>
  </si>
  <si>
    <t xml:space="preserve"> fba_04h_06-1 </t>
  </si>
  <si>
    <t>BA031</t>
  </si>
  <si>
    <t xml:space="preserve"> fba_04h_06-2 </t>
  </si>
  <si>
    <t>BA034</t>
  </si>
  <si>
    <t xml:space="preserve"> fba_04h_08-3 </t>
  </si>
  <si>
    <t>BA035</t>
  </si>
  <si>
    <t xml:space="preserve"> fba_04h_08-4 </t>
  </si>
  <si>
    <t>BA036</t>
  </si>
  <si>
    <t xml:space="preserve"> fba_04h_09-1 </t>
  </si>
  <si>
    <t>BA037</t>
  </si>
  <si>
    <t xml:space="preserve"> fba_04h_10-1 </t>
  </si>
  <si>
    <t>BA038</t>
  </si>
  <si>
    <t xml:space="preserve"> fba_04h_10-2 </t>
  </si>
  <si>
    <t>BA039</t>
  </si>
  <si>
    <t xml:space="preserve"> fba_04h_11-1 </t>
  </si>
  <si>
    <t>BA075</t>
  </si>
  <si>
    <t xml:space="preserve"> fba_12h_01-2 </t>
  </si>
  <si>
    <t>BA076</t>
  </si>
  <si>
    <t xml:space="preserve"> fba_12h_01-1 </t>
  </si>
  <si>
    <t>BA077</t>
  </si>
  <si>
    <t xml:space="preserve"> fba_12h_02-1 </t>
  </si>
  <si>
    <t>BA078</t>
  </si>
  <si>
    <t xml:space="preserve"> fba_12h_03-1 </t>
  </si>
  <si>
    <t>BA079</t>
  </si>
  <si>
    <t xml:space="preserve"> fba_12h_03-2 </t>
  </si>
  <si>
    <t>BA080</t>
  </si>
  <si>
    <t xml:space="preserve"> fba_12h_04-1 </t>
  </si>
  <si>
    <t>BA081</t>
  </si>
  <si>
    <t xml:space="preserve"> fba_12h_05-1 </t>
  </si>
  <si>
    <t>BA082</t>
  </si>
  <si>
    <t xml:space="preserve"> fba_12h_05-2 </t>
  </si>
  <si>
    <t>BA083</t>
  </si>
  <si>
    <t xml:space="preserve"> fba_12h_06-1 </t>
  </si>
  <si>
    <t>BA084</t>
  </si>
  <si>
    <t xml:space="preserve"> fba_12h_06-2 </t>
  </si>
  <si>
    <t>BA085</t>
  </si>
  <si>
    <t xml:space="preserve"> fba_13h_01-2 </t>
  </si>
  <si>
    <t>BA086</t>
  </si>
  <si>
    <t xml:space="preserve"> fba_13h_01-1 </t>
  </si>
  <si>
    <t>BA087</t>
  </si>
  <si>
    <t xml:space="preserve"> fba_13h_02-1 </t>
  </si>
  <si>
    <t>BA088</t>
  </si>
  <si>
    <t xml:space="preserve"> fba_13h_02-2 </t>
  </si>
  <si>
    <t>BA089</t>
  </si>
  <si>
    <t xml:space="preserve"> fba_13h_03-1 </t>
  </si>
  <si>
    <t>BA090</t>
  </si>
  <si>
    <t xml:space="preserve"> fba_13h_04-2 </t>
  </si>
  <si>
    <t>BA091</t>
  </si>
  <si>
    <t xml:space="preserve"> fba_13h_04-1 </t>
  </si>
  <si>
    <t>BA092</t>
  </si>
  <si>
    <t xml:space="preserve"> fba_13h_04-3 </t>
  </si>
  <si>
    <t>BA093</t>
  </si>
  <si>
    <t xml:space="preserve"> fba_13h_05-2 </t>
  </si>
  <si>
    <t>BA094</t>
  </si>
  <si>
    <t xml:space="preserve"> fba_13h_05-1 </t>
  </si>
  <si>
    <t>BA095</t>
  </si>
  <si>
    <t xml:space="preserve"> fba_13h_05-3 </t>
  </si>
  <si>
    <t>BA096</t>
  </si>
  <si>
    <t xml:space="preserve"> fba_13h_06-1 </t>
  </si>
  <si>
    <t>BA097</t>
  </si>
  <si>
    <t xml:space="preserve"> fba_13h_10-1 </t>
  </si>
  <si>
    <t>BA098</t>
  </si>
  <si>
    <t xml:space="preserve"> fba_13h_10-2 </t>
  </si>
  <si>
    <t>BA099</t>
  </si>
  <si>
    <t xml:space="preserve"> fba_13h_10-3 </t>
  </si>
  <si>
    <t>BA100</t>
  </si>
  <si>
    <t xml:space="preserve"> fba_13d_01-1 </t>
  </si>
  <si>
    <t>BA101</t>
  </si>
  <si>
    <t xml:space="preserve"> fba_13d_01-2 </t>
  </si>
  <si>
    <t>BA102</t>
  </si>
  <si>
    <t xml:space="preserve"> fba_13d_01-3 </t>
  </si>
  <si>
    <t>BA103</t>
  </si>
  <si>
    <t xml:space="preserve"> fba_13d_02-1 </t>
  </si>
  <si>
    <t>BA104</t>
  </si>
  <si>
    <t xml:space="preserve"> fba_13d_03-2 </t>
  </si>
  <si>
    <t>BA105</t>
  </si>
  <si>
    <t xml:space="preserve"> fba_13d_03-1 </t>
  </si>
  <si>
    <t>BA106</t>
  </si>
  <si>
    <t xml:space="preserve"> fba_13d_04-3 </t>
  </si>
  <si>
    <t>BA107</t>
  </si>
  <si>
    <t xml:space="preserve"> fba_13d_04-1 </t>
  </si>
  <si>
    <t>BA108</t>
  </si>
  <si>
    <t xml:space="preserve"> fba_13d_04-2 </t>
  </si>
  <si>
    <t>BA109</t>
  </si>
  <si>
    <t xml:space="preserve"> fba_13d_05-1 </t>
  </si>
  <si>
    <t>BA110</t>
  </si>
  <si>
    <t xml:space="preserve"> fba_13d_05-2 </t>
  </si>
  <si>
    <t>BA111</t>
  </si>
  <si>
    <t xml:space="preserve"> fba_13d_07-1 </t>
  </si>
  <si>
    <t>BA112</t>
  </si>
  <si>
    <t xml:space="preserve"> fba_13d_07-2 </t>
  </si>
  <si>
    <t>BA113</t>
  </si>
  <si>
    <t xml:space="preserve"> fba_13d_06-1 </t>
  </si>
  <si>
    <t>BA114</t>
  </si>
  <si>
    <t xml:space="preserve"> fba_13d_06-3 </t>
  </si>
  <si>
    <t>BA115</t>
  </si>
  <si>
    <t xml:space="preserve"> fba_13d_06-2 </t>
  </si>
  <si>
    <t>BA192</t>
  </si>
  <si>
    <t xml:space="preserve"> fba_23d_04-2 </t>
  </si>
  <si>
    <t>BA193</t>
  </si>
  <si>
    <t xml:space="preserve"> fba_23d_04-1 </t>
  </si>
  <si>
    <t>BA194</t>
  </si>
  <si>
    <t xml:space="preserve"> fba_23d_05-1 </t>
  </si>
  <si>
    <t>BA195</t>
  </si>
  <si>
    <t xml:space="preserve"> fba_23h_01-1 </t>
  </si>
  <si>
    <t>BA196</t>
  </si>
  <si>
    <t xml:space="preserve"> fba_23h_01-2 </t>
  </si>
  <si>
    <t>BA197</t>
  </si>
  <si>
    <t xml:space="preserve"> fba_23h_02-1 </t>
  </si>
  <si>
    <t>BA198</t>
  </si>
  <si>
    <t xml:space="preserve"> fba_23h_03-1 </t>
  </si>
  <si>
    <t>BA199</t>
  </si>
  <si>
    <t xml:space="preserve"> fba_23h_05-2 </t>
  </si>
  <si>
    <t>BA200</t>
  </si>
  <si>
    <t xml:space="preserve"> fba_23h_05-1 </t>
  </si>
  <si>
    <t>BA210</t>
  </si>
  <si>
    <t xml:space="preserve"> fba_26h_01-1 </t>
  </si>
  <si>
    <t>BA211</t>
  </si>
  <si>
    <t xml:space="preserve"> fba_26h_02-1 </t>
  </si>
  <si>
    <t>BA212</t>
  </si>
  <si>
    <t xml:space="preserve"> fba_26h_03-1 </t>
  </si>
  <si>
    <t>BA213</t>
  </si>
  <si>
    <t xml:space="preserve"> fba_26h_03-2 </t>
  </si>
  <si>
    <t>BA214</t>
  </si>
  <si>
    <t xml:space="preserve"> fba_26h_05-3 </t>
  </si>
  <si>
    <t>BA215</t>
  </si>
  <si>
    <t>BA216</t>
  </si>
  <si>
    <t xml:space="preserve"> fba_26h_05-1 </t>
  </si>
  <si>
    <t>BA217</t>
  </si>
  <si>
    <t xml:space="preserve"> fba_26h_05-2 </t>
  </si>
  <si>
    <t>BA218</t>
  </si>
  <si>
    <t xml:space="preserve"> fba_26h_06-1 </t>
  </si>
  <si>
    <t>BA219</t>
  </si>
  <si>
    <t xml:space="preserve"> fba_26h_07-1 </t>
  </si>
  <si>
    <t>BA220</t>
  </si>
  <si>
    <t xml:space="preserve"> fba_26h_07-2 </t>
  </si>
  <si>
    <t>BA221</t>
  </si>
  <si>
    <t xml:space="preserve"> fba_26h_10-2 </t>
  </si>
  <si>
    <t>BA222</t>
  </si>
  <si>
    <t xml:space="preserve"> fba_26h_10-1 </t>
  </si>
  <si>
    <t>BA223</t>
  </si>
  <si>
    <t xml:space="preserve"> fba_26d_01-2 </t>
  </si>
  <si>
    <t>BA224</t>
  </si>
  <si>
    <t xml:space="preserve"> fba_26d_01-1 </t>
  </si>
  <si>
    <t>BA225</t>
  </si>
  <si>
    <t xml:space="preserve"> fba_26d_03-1 </t>
  </si>
  <si>
    <t>BA226</t>
  </si>
  <si>
    <t xml:space="preserve"> fba_24d_03-2 </t>
  </si>
  <si>
    <t>BA227</t>
  </si>
  <si>
    <t xml:space="preserve"> fba_24d_03-1 </t>
  </si>
  <si>
    <t>BA228</t>
  </si>
  <si>
    <t>BA229</t>
  </si>
  <si>
    <t>BA230</t>
  </si>
  <si>
    <t xml:space="preserve"> fba_24h_03-3 </t>
  </si>
  <si>
    <t>BA231</t>
  </si>
  <si>
    <t xml:space="preserve"> fba_24h_03-2 </t>
  </si>
  <si>
    <t>BA232</t>
  </si>
  <si>
    <t xml:space="preserve"> fba_24h_03-1 </t>
  </si>
  <si>
    <t>BA233</t>
  </si>
  <si>
    <t xml:space="preserve"> fba_24h_02-1 </t>
  </si>
  <si>
    <t>BA234</t>
  </si>
  <si>
    <t xml:space="preserve"> fba_24h_04-2 </t>
  </si>
  <si>
    <t>BA235</t>
  </si>
  <si>
    <t xml:space="preserve"> fba_24h_04-1 </t>
  </si>
  <si>
    <t>Mn55</t>
  </si>
  <si>
    <t>Fe57</t>
  </si>
  <si>
    <t>Co59</t>
  </si>
  <si>
    <t>Cu63</t>
  </si>
  <si>
    <t>Ga69</t>
  </si>
  <si>
    <t>Ge73</t>
  </si>
  <si>
    <t>As75</t>
  </si>
  <si>
    <t>Se77</t>
  </si>
  <si>
    <t>Ag109</t>
  </si>
  <si>
    <t>Cd111</t>
  </si>
  <si>
    <t>In115</t>
  </si>
  <si>
    <t>Sb121</t>
  </si>
  <si>
    <t>Hg202</t>
  </si>
  <si>
    <t>Tl205</t>
  </si>
  <si>
    <t>Pb208</t>
  </si>
  <si>
    <t>Sphalerite type</t>
  </si>
  <si>
    <t>Table ESM 4.  LA-ICP-MS data (in µg/g)</t>
  </si>
  <si>
    <t>Corresponding EPMA data (in wt%)</t>
  </si>
  <si>
    <t>not measured</t>
  </si>
  <si>
    <t>Py</t>
  </si>
  <si>
    <t>Pyrite</t>
  </si>
  <si>
    <t>Sp</t>
  </si>
  <si>
    <t>Sphalerite</t>
  </si>
  <si>
    <t>Ccp</t>
  </si>
  <si>
    <t>Stan</t>
  </si>
  <si>
    <t>Stannite</t>
  </si>
  <si>
    <t>Cst</t>
  </si>
  <si>
    <t>Cassiterite</t>
  </si>
  <si>
    <t>Gn</t>
  </si>
  <si>
    <t>Galena</t>
  </si>
  <si>
    <t>Py, Sp, Ccp, Stan, Cst, Apy, Gn, Qtz, Cb</t>
  </si>
  <si>
    <t>Apy</t>
  </si>
  <si>
    <t>Arsenopyrite</t>
  </si>
  <si>
    <t>Qtz</t>
  </si>
  <si>
    <t>Quartz</t>
  </si>
  <si>
    <t>Cb</t>
  </si>
  <si>
    <t>Carbonate</t>
  </si>
  <si>
    <t>Mrc</t>
  </si>
  <si>
    <t>Marcasite</t>
  </si>
  <si>
    <t>Freib</t>
  </si>
  <si>
    <t>Freibergite</t>
  </si>
  <si>
    <t>Acan</t>
  </si>
  <si>
    <t>Acanthite</t>
  </si>
  <si>
    <t>Chl</t>
  </si>
  <si>
    <t>Chlorite</t>
  </si>
  <si>
    <t>Fl</t>
  </si>
  <si>
    <t>Fluorite</t>
  </si>
  <si>
    <t>Brt</t>
  </si>
  <si>
    <t>Baryte</t>
  </si>
  <si>
    <t>Hem</t>
  </si>
  <si>
    <t>Hematite</t>
  </si>
  <si>
    <t>Pyra</t>
  </si>
  <si>
    <t>Pyrargyrite</t>
  </si>
  <si>
    <t>Mineral Abbreviations</t>
  </si>
  <si>
    <t>Locality</t>
  </si>
  <si>
    <t>Loeffler Schacht</t>
  </si>
  <si>
    <t>Wilhelm Stehender</t>
  </si>
  <si>
    <t>Vein type</t>
  </si>
  <si>
    <t>Zn-Sn-Cu-In</t>
  </si>
  <si>
    <t>Ag-Sb-Pb</t>
  </si>
  <si>
    <t>sample</t>
  </si>
  <si>
    <t>Loekb07ns</t>
  </si>
  <si>
    <t>kbFRS1</t>
  </si>
  <si>
    <t>Loekb01ns</t>
  </si>
  <si>
    <t>Loekb04ns</t>
  </si>
  <si>
    <t>chip</t>
  </si>
  <si>
    <t>C</t>
  </si>
  <si>
    <t>B</t>
  </si>
  <si>
    <t>A</t>
  </si>
  <si>
    <t>mineral</t>
  </si>
  <si>
    <t>growth zone</t>
  </si>
  <si>
    <t>type</t>
  </si>
  <si>
    <t>ps1</t>
  </si>
  <si>
    <t>ps2</t>
  </si>
  <si>
    <t>ps3</t>
  </si>
  <si>
    <t>iso</t>
  </si>
  <si>
    <t>ps</t>
  </si>
  <si>
    <t>p</t>
  </si>
  <si>
    <t>FI#</t>
  </si>
  <si>
    <t>name</t>
  </si>
  <si>
    <t>vapour</t>
  </si>
  <si>
    <t>size in µm</t>
  </si>
  <si>
    <t>Tf</t>
  </si>
  <si>
    <t>T1stm</t>
  </si>
  <si>
    <t>Tmice</t>
  </si>
  <si>
    <t>decr</t>
  </si>
  <si>
    <t>Th</t>
  </si>
  <si>
    <t>Th min</t>
  </si>
  <si>
    <t>Th max</t>
  </si>
  <si>
    <t>Steele-MacInnis M, Lecumberri-Sanchez P, Bodnar RJ (2012) HokieFlincs_H2O-NaCl: A Microsoft Excel spreadsheet for interpreting microthermometric data from fluid inclusions based on the PVTX properties of H2O–NaCl. Computers &amp; Geosciences 49:334–337.</t>
  </si>
  <si>
    <t>eq. w(NaCl) % min</t>
  </si>
  <si>
    <t>eq. w(NaCl) % max</t>
  </si>
  <si>
    <t xml:space="preserve">p @ homog. (bar) </t>
  </si>
  <si>
    <t>dP/dT (bar/°C)</t>
  </si>
  <si>
    <t>remarks</t>
  </si>
  <si>
    <t>boiling FIA</t>
  </si>
  <si>
    <t>Loekb07nsQtzps11</t>
  </si>
  <si>
    <t>Loekb07nsQtzps12</t>
  </si>
  <si>
    <t>Loekb07nsQtzps13</t>
  </si>
  <si>
    <t>Loekb07nsQtzps14</t>
  </si>
  <si>
    <t>Loekb07nsQtzps15</t>
  </si>
  <si>
    <t>Loekb07nsQtzps16</t>
  </si>
  <si>
    <t>Loekb07nsQtzps17</t>
  </si>
  <si>
    <t>Loekb07nsQtzps18</t>
  </si>
  <si>
    <t>Loekb07nsQtzps21</t>
  </si>
  <si>
    <t>Loekb07nsQtzps22</t>
  </si>
  <si>
    <t>Loekb07nsQtzps23</t>
  </si>
  <si>
    <t>Loekb07nsQtzps24</t>
  </si>
  <si>
    <t>Loekb07nsQtzps25</t>
  </si>
  <si>
    <t>Loekb07nsQtzps26</t>
  </si>
  <si>
    <t>Loekb07nsQtz2ps31</t>
  </si>
  <si>
    <t>Loekb07nsQtz2ps32</t>
  </si>
  <si>
    <t>Loekb07nsQtz2ps33</t>
  </si>
  <si>
    <t>Loekb07nsQtz2ps34</t>
  </si>
  <si>
    <t>Loekb07nsQtz2ps35</t>
  </si>
  <si>
    <t>Loekb07nsQtz2ps36</t>
  </si>
  <si>
    <t>Loekb07nsQtz2ps37</t>
  </si>
  <si>
    <t>Loekb07nsQtz2ps38</t>
  </si>
  <si>
    <t>Loekb07nsQtz2ps39</t>
  </si>
  <si>
    <t>Loekb07nsQtz2ps310</t>
  </si>
  <si>
    <t>Loekb07nsQtz2ps311</t>
  </si>
  <si>
    <t>Loekb07nsQtz2ps312</t>
  </si>
  <si>
    <t>Loekb07nsQtz2ps313</t>
  </si>
  <si>
    <t>Loekb07nsQtz2ps21</t>
  </si>
  <si>
    <t>Loekb07nsQtz2ps22</t>
  </si>
  <si>
    <t>Loekb07nsQtz2ps23</t>
  </si>
  <si>
    <t>Loekb07nsQtz2ps24</t>
  </si>
  <si>
    <t>Loekb07nsQtz2ps25</t>
  </si>
  <si>
    <t>Loekb07nsQtz2ps26</t>
  </si>
  <si>
    <t>Loekb07nsQtz2ps27</t>
  </si>
  <si>
    <t>Loekb07nsQtz2ps28</t>
  </si>
  <si>
    <t>Loekb07nsQtz2ps29</t>
  </si>
  <si>
    <t>WSTN1004SpBiso</t>
  </si>
  <si>
    <t>WSTN1004SpBps1</t>
  </si>
  <si>
    <t>WSTN1004SpBps2</t>
  </si>
  <si>
    <t>WSTN1004SpBps3</t>
  </si>
  <si>
    <t>WSTN1004SpBps4</t>
  </si>
  <si>
    <t>WSTN1004SpBps5</t>
  </si>
  <si>
    <t>WSTN1004SpBps6</t>
  </si>
  <si>
    <t>WSTN1004SpBps7</t>
  </si>
  <si>
    <t>kbFRS1SpAps1</t>
  </si>
  <si>
    <t>kbFRS1SpAps2</t>
  </si>
  <si>
    <t>kbFRS1SpAps3</t>
  </si>
  <si>
    <t>kbFRS1SpAps4</t>
  </si>
  <si>
    <t>kbFRS1SpAps5</t>
  </si>
  <si>
    <t>kbFRS1SpAps6</t>
  </si>
  <si>
    <t>kbFRS1SpAps7</t>
  </si>
  <si>
    <t>Loekb01nsQtzAps11</t>
  </si>
  <si>
    <t>Loekb01nsQtzAps12</t>
  </si>
  <si>
    <t>Loekb01nsQtzAps13</t>
  </si>
  <si>
    <t>Loekb01nsQtzAps14</t>
  </si>
  <si>
    <t>Loekb01nsQtzAps15</t>
  </si>
  <si>
    <t>Loekb01nsQtzAps16</t>
  </si>
  <si>
    <t>Loekb01nsQtzAps17</t>
  </si>
  <si>
    <t>Loekb01nsQtzAps18</t>
  </si>
  <si>
    <t>Loekb01nsQtzAps19</t>
  </si>
  <si>
    <t>Loekb04nsQtzAps1</t>
  </si>
  <si>
    <t>Loekb04nsQtzAps2</t>
  </si>
  <si>
    <t>Loekb04nsQtzAps3</t>
  </si>
  <si>
    <t>Loekb04nsQtzAps4</t>
  </si>
  <si>
    <t>Loekb04nsQtzAps5</t>
  </si>
  <si>
    <t>Loekb04nsQtzAps6</t>
  </si>
  <si>
    <t>Loekb04nsQtzAps7</t>
  </si>
  <si>
    <t>Loekb04nsQtzAps8</t>
  </si>
  <si>
    <t>Loekb04nsQtzAps9</t>
  </si>
  <si>
    <t>Loekb04nsQtzAps10</t>
  </si>
  <si>
    <t>Loekb04nsQtzAps11</t>
  </si>
  <si>
    <t>Loekb04nsQtzAps12</t>
  </si>
  <si>
    <t>Loekb04nsQtzAps13</t>
  </si>
  <si>
    <t>Loekb04nsQtzAps14</t>
  </si>
  <si>
    <t>Loekb04nsQtzAps15</t>
  </si>
  <si>
    <t>Loekb04nsQtzAps16</t>
  </si>
  <si>
    <t>Loekb04nsQtzAps17</t>
  </si>
  <si>
    <t>Loekb04nsQtzAps18</t>
  </si>
  <si>
    <t>Loekb04nsQtzAps19</t>
  </si>
  <si>
    <t>Loekb04nsQtzAps20</t>
  </si>
  <si>
    <t>Loekb04nsQtzAps21</t>
  </si>
  <si>
    <t>Loekb04nsQtzAps23</t>
  </si>
  <si>
    <t>Loekb01nsQtzAp1</t>
  </si>
  <si>
    <t>Loekb01nsQtzAp2</t>
  </si>
  <si>
    <t>Loekb01nsQtzAp3</t>
  </si>
  <si>
    <t>Loekb01nsQtzAp4</t>
  </si>
  <si>
    <t>Loekb01nsQtzAp5</t>
  </si>
  <si>
    <t>Loekb01nsQtzAps1</t>
  </si>
  <si>
    <t>Loekb01nsQtzAps2</t>
  </si>
  <si>
    <t>Loekb01nsQtzAps3</t>
  </si>
  <si>
    <t>Loekb01nsQtzAps4</t>
  </si>
  <si>
    <t>Loekb01nsQtzAps5</t>
  </si>
  <si>
    <t>Loekb01nsQtzAps6</t>
  </si>
  <si>
    <t>Loekb01nsQtzAps7</t>
  </si>
  <si>
    <t>Loekb01nsQtzAps8</t>
  </si>
  <si>
    <t>Loekb01nsQtzAps9</t>
  </si>
  <si>
    <t>eb 19QtzBps1</t>
  </si>
  <si>
    <t>eb 19QtzBps2</t>
  </si>
  <si>
    <t>eb 19QtzBps3</t>
  </si>
  <si>
    <t>eb 19QtzBps4</t>
  </si>
  <si>
    <t>eb 19QtzBps5</t>
  </si>
  <si>
    <t>eb 19QtzBps6</t>
  </si>
  <si>
    <t>eb 19QtzBps7</t>
  </si>
  <si>
    <t>Volume fraction φliquid</t>
  </si>
  <si>
    <t>eq. w(NaCl) %</t>
  </si>
  <si>
    <t>rBULK  (g/cm3)</t>
  </si>
  <si>
    <t>FG</t>
  </si>
  <si>
    <t>probe</t>
  </si>
  <si>
    <t>fba_10</t>
  </si>
  <si>
    <t>fba_16a_ns</t>
  </si>
  <si>
    <t>fba_17b_ns</t>
  </si>
  <si>
    <t>fba13</t>
  </si>
  <si>
    <t>fba14</t>
  </si>
  <si>
    <t>fba15</t>
  </si>
  <si>
    <t>fba16</t>
  </si>
  <si>
    <t>fba17</t>
  </si>
  <si>
    <t>fba18</t>
  </si>
  <si>
    <t>fba19</t>
  </si>
  <si>
    <t>fba20</t>
  </si>
  <si>
    <t>E</t>
  </si>
  <si>
    <t>F</t>
  </si>
  <si>
    <t>K</t>
  </si>
  <si>
    <t>J</t>
  </si>
  <si>
    <t>N</t>
  </si>
  <si>
    <t>B1</t>
  </si>
  <si>
    <t>B+C</t>
  </si>
  <si>
    <t>H</t>
  </si>
  <si>
    <t>Min</t>
  </si>
  <si>
    <t>grain</t>
  </si>
  <si>
    <t>trail</t>
  </si>
  <si>
    <t>iso1</t>
  </si>
  <si>
    <t>p2</t>
  </si>
  <si>
    <t>p3</t>
  </si>
  <si>
    <t>p4</t>
  </si>
  <si>
    <t>p5</t>
  </si>
  <si>
    <t>p1</t>
  </si>
  <si>
    <t>p6</t>
  </si>
  <si>
    <t>p4s1</t>
  </si>
  <si>
    <t>p5s2</t>
  </si>
  <si>
    <t>p3a</t>
  </si>
  <si>
    <t>p3b</t>
  </si>
  <si>
    <t>hom/het</t>
  </si>
  <si>
    <t>size</t>
  </si>
  <si>
    <t>leaking</t>
  </si>
  <si>
    <t>phases</t>
  </si>
  <si>
    <t>daughter crystals</t>
  </si>
  <si>
    <t>cubic, green</t>
  </si>
  <si>
    <t>cubic, green (most liekly not halite)</t>
  </si>
  <si>
    <t>red, anisotropic</t>
  </si>
  <si>
    <t>greenish daughter mineral?</t>
  </si>
  <si>
    <t>red and green</t>
  </si>
  <si>
    <t>green</t>
  </si>
  <si>
    <t>green and red</t>
  </si>
  <si>
    <t>red</t>
  </si>
  <si>
    <t>yellow-red, anisotropic</t>
  </si>
  <si>
    <t>yellow, anisotropic</t>
  </si>
  <si>
    <t>red daughter crystal</t>
  </si>
  <si>
    <t>yellow daughter crystal</t>
  </si>
  <si>
    <t>comments</t>
  </si>
  <si>
    <t>greenish phase ?halite</t>
  </si>
  <si>
    <t>necking</t>
  </si>
  <si>
    <t>unclear if really primary</t>
  </si>
  <si>
    <t>metastable?</t>
  </si>
  <si>
    <t>directly on sulfide grain</t>
  </si>
  <si>
    <t>Fg</t>
  </si>
  <si>
    <t>Te</t>
  </si>
  <si>
    <t>TmHH</t>
  </si>
  <si>
    <t>metastable</t>
  </si>
  <si>
    <t>SD</t>
  </si>
  <si>
    <t>min</t>
  </si>
  <si>
    <t>max</t>
  </si>
  <si>
    <t>Rwt</t>
  </si>
  <si>
    <t>Swt</t>
  </si>
  <si>
    <t>wt% NaCl</t>
  </si>
  <si>
    <t>wt% CaCl2</t>
  </si>
  <si>
    <t>Rmol</t>
  </si>
  <si>
    <t>Smol</t>
  </si>
  <si>
    <t>XNaCl</t>
  </si>
  <si>
    <t>XCaCl2</t>
  </si>
  <si>
    <t>XNa</t>
  </si>
  <si>
    <t>XCa</t>
  </si>
  <si>
    <t>Na/(Na+Ca)</t>
  </si>
  <si>
    <t>Ca/(Na+Ca)</t>
  </si>
  <si>
    <t>wt%H2O</t>
  </si>
  <si>
    <t>XH2O</t>
  </si>
  <si>
    <t>Chalcopyrite</t>
  </si>
  <si>
    <t>fba_10FlAiso11</t>
  </si>
  <si>
    <t>fba_10FlAps21</t>
  </si>
  <si>
    <t>fba_10FlAps22</t>
  </si>
  <si>
    <t>fba_10FlAps23</t>
  </si>
  <si>
    <t>fba_10FlAps24</t>
  </si>
  <si>
    <t>fba_10FlAps25</t>
  </si>
  <si>
    <t>fba_10FlAps26</t>
  </si>
  <si>
    <t>fba_10FlAps27</t>
  </si>
  <si>
    <t>fba_10FlAps28</t>
  </si>
  <si>
    <t>fba_10FlAps29</t>
  </si>
  <si>
    <t>fba_10FlAps210</t>
  </si>
  <si>
    <t>fba_10FlAp21</t>
  </si>
  <si>
    <t>fba_10FlAps211</t>
  </si>
  <si>
    <t>fba_10FlAps212</t>
  </si>
  <si>
    <t>fba_10FlAps213</t>
  </si>
  <si>
    <t>fba_10FlEps1</t>
  </si>
  <si>
    <t>fba_10FlEps2</t>
  </si>
  <si>
    <t>fba_10FlEps3</t>
  </si>
  <si>
    <t>fba_10FlEps4</t>
  </si>
  <si>
    <t>fba_10FlAp31</t>
  </si>
  <si>
    <t>fba_10FlAp32</t>
  </si>
  <si>
    <t>fba_10FlAp33</t>
  </si>
  <si>
    <t>fba_10FlAp34</t>
  </si>
  <si>
    <t>fba_10FlAp35</t>
  </si>
  <si>
    <t>fba_10FlAp36</t>
  </si>
  <si>
    <t>fba_10FlAp37</t>
  </si>
  <si>
    <t>fba_10FlAp38</t>
  </si>
  <si>
    <t>fba_10FlAp39</t>
  </si>
  <si>
    <t>fba_10FlAp310</t>
  </si>
  <si>
    <t>fba_10FlAp311</t>
  </si>
  <si>
    <t>fba_10FlAp312</t>
  </si>
  <si>
    <t>fba_10FlAp313</t>
  </si>
  <si>
    <t>fba_10FlAp314</t>
  </si>
  <si>
    <t>fba_10FlAp315</t>
  </si>
  <si>
    <t>fba_10FlAp316</t>
  </si>
  <si>
    <t>fba_10FlAp317</t>
  </si>
  <si>
    <t>fba_10FlAp318</t>
  </si>
  <si>
    <t>fba_10FlAp319</t>
  </si>
  <si>
    <t>fba_10FlAp320</t>
  </si>
  <si>
    <t>fba_10FlAp321</t>
  </si>
  <si>
    <t>fba_10FlAp322</t>
  </si>
  <si>
    <t>fba_10FlAp323</t>
  </si>
  <si>
    <t>fba_10FlAp324</t>
  </si>
  <si>
    <t>fba_10FlAp325</t>
  </si>
  <si>
    <t>fba_10FlAp326</t>
  </si>
  <si>
    <t>fba_10FlAp327</t>
  </si>
  <si>
    <t>fba_10FlAp328</t>
  </si>
  <si>
    <t>fba_10FlAp329</t>
  </si>
  <si>
    <t>fba_10FlAp330</t>
  </si>
  <si>
    <t>fba_10FlAp331</t>
  </si>
  <si>
    <t>fba_10FlAp332</t>
  </si>
  <si>
    <t>fba_10FlAp41</t>
  </si>
  <si>
    <t>fba_10FlAp42</t>
  </si>
  <si>
    <t>fba_10FlAp43</t>
  </si>
  <si>
    <t>fba_10FlAp44</t>
  </si>
  <si>
    <t>fba_10FlAp45</t>
  </si>
  <si>
    <t>fba_10FlAp46</t>
  </si>
  <si>
    <t>fba_10FlAp47</t>
  </si>
  <si>
    <t>fba_10FlAp48</t>
  </si>
  <si>
    <t>fba_10FlAp51</t>
  </si>
  <si>
    <t>fba_10FlAp52</t>
  </si>
  <si>
    <t>fba_10FlAp53</t>
  </si>
  <si>
    <t>fba_10FlAp54</t>
  </si>
  <si>
    <t>fba_10FlAp55</t>
  </si>
  <si>
    <t>fba_10FlAp56</t>
  </si>
  <si>
    <t>fba_10FlAp57</t>
  </si>
  <si>
    <t>fba_10FlCp31</t>
  </si>
  <si>
    <t>fba_10FlCp32</t>
  </si>
  <si>
    <t>fba_10FlCp33</t>
  </si>
  <si>
    <t>fba_10FlCp34</t>
  </si>
  <si>
    <t>fba_10FlCp35</t>
  </si>
  <si>
    <t>fba_10FlCp36</t>
  </si>
  <si>
    <t>fba_10FlCp37</t>
  </si>
  <si>
    <t>fba_10FlCp38</t>
  </si>
  <si>
    <t>fba_10FlCp39</t>
  </si>
  <si>
    <t>fba_10FlCp310</t>
  </si>
  <si>
    <t>fba_10FlCp311</t>
  </si>
  <si>
    <t>fba_10FlCp312</t>
  </si>
  <si>
    <t>fba_10FlCp313</t>
  </si>
  <si>
    <t>fba_10FlCp314</t>
  </si>
  <si>
    <t>fba_10FlCp315</t>
  </si>
  <si>
    <t>fba_10FlCp316</t>
  </si>
  <si>
    <t>fba_10FlCp317</t>
  </si>
  <si>
    <t>fba_10FlCp318</t>
  </si>
  <si>
    <t>fba_10FlCp319</t>
  </si>
  <si>
    <t>fba_16a_nsFlAp11</t>
  </si>
  <si>
    <t>fba_16a_nsFlAp12</t>
  </si>
  <si>
    <t>fba_16a_nsFlAp13</t>
  </si>
  <si>
    <t>fba_16a_nsFlAp14</t>
  </si>
  <si>
    <t>fba_16a_nsFlAp15</t>
  </si>
  <si>
    <t>fba_16a_nsFlAp16</t>
  </si>
  <si>
    <t>fba_16a_nsFlAp17</t>
  </si>
  <si>
    <t>fba_16a_nsFlAp18</t>
  </si>
  <si>
    <t>fba_16a_nsFlAp19</t>
  </si>
  <si>
    <t>fba_16a_nsFlAp110</t>
  </si>
  <si>
    <t>fba_16a_nsFlAp111</t>
  </si>
  <si>
    <t>fba_16a_nsFlAp112</t>
  </si>
  <si>
    <t>fba_16a_nsFlFp21</t>
  </si>
  <si>
    <t>fba_16a_nsFlFp22</t>
  </si>
  <si>
    <t>fba_16a_nsFlFp23</t>
  </si>
  <si>
    <t>fba_16a_nsFlFp24</t>
  </si>
  <si>
    <t>fba_16a_nsFlFp25</t>
  </si>
  <si>
    <t>fba_16a_nsFlFp26</t>
  </si>
  <si>
    <t>fba_16a_nsFlFp27</t>
  </si>
  <si>
    <t>fba_16a_nsFlFps11</t>
  </si>
  <si>
    <t>fba_16a_nsFlFps12</t>
  </si>
  <si>
    <t>fba_16a_nsFlFps13</t>
  </si>
  <si>
    <t>fba_16a_nsFlFps14</t>
  </si>
  <si>
    <t>fba_16a_nsFlFps15</t>
  </si>
  <si>
    <t>fba_16a_nsFlFps16</t>
  </si>
  <si>
    <t>fba_16a_nsFlFps17</t>
  </si>
  <si>
    <t>fba_16a_nsFlFps18</t>
  </si>
  <si>
    <t>fba_16a_nsFlFps19</t>
  </si>
  <si>
    <t>fba_16a_nsFlFps110</t>
  </si>
  <si>
    <t>fba_16a_nsFlFps111</t>
  </si>
  <si>
    <t>fba_16a_nsFlFps112</t>
  </si>
  <si>
    <t>fba_16a_nsFlFps113</t>
  </si>
  <si>
    <t>fba_16a_nsFlFps114</t>
  </si>
  <si>
    <t>fba_16a_nsFlFp31</t>
  </si>
  <si>
    <t>fba_16a_nsFlFp32</t>
  </si>
  <si>
    <t>fba_16a_nsFlFp33</t>
  </si>
  <si>
    <t>fba_16a_nsFlFp34</t>
  </si>
  <si>
    <t>fba_16a_nsFlFp35</t>
  </si>
  <si>
    <t>fba_16a_nsFlFp36</t>
  </si>
  <si>
    <t>fba_16a_nsFlFp37</t>
  </si>
  <si>
    <t>fba_16a_nsFlFp38</t>
  </si>
  <si>
    <t>fba_16a_nsFlFp39</t>
  </si>
  <si>
    <t>fba_16a_nsFlKp51</t>
  </si>
  <si>
    <t>fba_16a_nsFlKp52</t>
  </si>
  <si>
    <t>fba_16a_nsFlKp53</t>
  </si>
  <si>
    <t>fba_16a_nsFlKp54</t>
  </si>
  <si>
    <t>fba_16a_nsFlKp55</t>
  </si>
  <si>
    <t>fba_16a_nsFlKp56</t>
  </si>
  <si>
    <t>fba_16a_nsFlKp57</t>
  </si>
  <si>
    <t>fba_16a_nsFlKp58</t>
  </si>
  <si>
    <t>fba_16a_nsFlKp59</t>
  </si>
  <si>
    <t>fba_16a_nsFlKp510</t>
  </si>
  <si>
    <t>fba_16a_nsFlJp51</t>
  </si>
  <si>
    <t>fba_16a_nsFlJp52</t>
  </si>
  <si>
    <t>fba_16a_nsFlJp53</t>
  </si>
  <si>
    <t>fba_16a_nsFlJp54</t>
  </si>
  <si>
    <t>fba_16a_nsFlJp55</t>
  </si>
  <si>
    <t>fba_16a_nsFlJp56</t>
  </si>
  <si>
    <t>fba_16a_nsFlJp57</t>
  </si>
  <si>
    <t>fba_16a_nsFlJp61</t>
  </si>
  <si>
    <t>fba_16a_nsFlJp62</t>
  </si>
  <si>
    <t>fba_16a_nsFlJp63</t>
  </si>
  <si>
    <t>fba_16a_nsFlJp64</t>
  </si>
  <si>
    <t>fba_16a_nsFlJp65</t>
  </si>
  <si>
    <t>fba_16a_nsFlJp66</t>
  </si>
  <si>
    <t>fba_16a_nsFlJp67</t>
  </si>
  <si>
    <t>fba_16a_nsFlJp68</t>
  </si>
  <si>
    <t>fba_16a_nsFlJp69</t>
  </si>
  <si>
    <t>fba_16a_nsFlNp61</t>
  </si>
  <si>
    <t>fba_16a_nsFlNp62</t>
  </si>
  <si>
    <t>fba_16a_nsFlNp63</t>
  </si>
  <si>
    <t>fba_16a_nsFlNp64</t>
  </si>
  <si>
    <t>fba_16a_nsFlNp65</t>
  </si>
  <si>
    <t>fba_16a_nsFlNp66</t>
  </si>
  <si>
    <t>fba_16a_nsFlNp67</t>
  </si>
  <si>
    <t>fba_16a_nsFlNp68</t>
  </si>
  <si>
    <t>fba_16a_nsFlNp69</t>
  </si>
  <si>
    <t>fba_16a_nsFlNp610</t>
  </si>
  <si>
    <t>fba_17b_nsFlFp11</t>
  </si>
  <si>
    <t>fba_17b_nsFlFp12</t>
  </si>
  <si>
    <t>fba_17b_nsFlFp13</t>
  </si>
  <si>
    <t>fba_17b_nsFlFp14</t>
  </si>
  <si>
    <t>fba_17b_nsFlFp15</t>
  </si>
  <si>
    <t>fba_17b_nsFlFp16</t>
  </si>
  <si>
    <t>fba_17b_nsFlFp17</t>
  </si>
  <si>
    <t>fba_17b_nsFlFp18</t>
  </si>
  <si>
    <t>fba_17b_nsFlEp4s11</t>
  </si>
  <si>
    <t>fba_17b_nsFlEp4s12</t>
  </si>
  <si>
    <t>fba_17b_nsFlEp4s13</t>
  </si>
  <si>
    <t>fba_17b_nsFlEp4s14</t>
  </si>
  <si>
    <t>fba_17b_nsFlEp4s15</t>
  </si>
  <si>
    <t>fba_17b_nsFlEp4s16</t>
  </si>
  <si>
    <t>fba_17b_nsFlEp5s21</t>
  </si>
  <si>
    <t>fba_17b_nsFlEp5s22</t>
  </si>
  <si>
    <t>fba_17b_nsFlEp5s23</t>
  </si>
  <si>
    <t>fba_17b_nsFlEp5s24</t>
  </si>
  <si>
    <t>fba_17b_nsFlEp5s25</t>
  </si>
  <si>
    <t>fba_17b_nsFlEp5s26</t>
  </si>
  <si>
    <t>fba_17b_nsFlEp5s27</t>
  </si>
  <si>
    <t>fba_17b_nsFlJp3a1</t>
  </si>
  <si>
    <t>fba_17b_nsFlJp3a2</t>
  </si>
  <si>
    <t>fba_17b_nsFlJp3a3</t>
  </si>
  <si>
    <t>fba_17b_nsFlJp3a4</t>
  </si>
  <si>
    <t>fba_17b_nsFlJp3a5</t>
  </si>
  <si>
    <t>fba_17b_nsFlJp3a6</t>
  </si>
  <si>
    <t>fba_17b_nsFlJp3a7</t>
  </si>
  <si>
    <t>fba_17b_nsFlJp3a8</t>
  </si>
  <si>
    <t>fba_17b_nsFlJp3b1</t>
  </si>
  <si>
    <t>fba_17b_nsFlJp3b2</t>
  </si>
  <si>
    <t>fba_17b_nsFlJp3b3</t>
  </si>
  <si>
    <t>fba_17b_nsFlJp3b4</t>
  </si>
  <si>
    <t>fba_17b_nsFlJp3b5</t>
  </si>
  <si>
    <t>fba_17b_nsFlJp3b6</t>
  </si>
  <si>
    <t>fba_17b_nsFlB1p11</t>
  </si>
  <si>
    <t>fba_17b_nsFlB1p12</t>
  </si>
  <si>
    <t>fba_17b_nsFlB1p13</t>
  </si>
  <si>
    <t>fba_17b_nsFlB1p14</t>
  </si>
  <si>
    <t>fba_17b_nsFlB1p15</t>
  </si>
  <si>
    <t>fba_17b_nsFlB1p16</t>
  </si>
  <si>
    <t>fba_17b_nsFlB1p17</t>
  </si>
  <si>
    <t>fba_17b_nsFlB1p18</t>
  </si>
  <si>
    <t>fba_17b_nsFlB1p19</t>
  </si>
  <si>
    <t>fba_17b_nsFlB1p21</t>
  </si>
  <si>
    <t>fba_17b_nsFlB1p22</t>
  </si>
  <si>
    <t>fba_17b_nsFlB1p23</t>
  </si>
  <si>
    <t>fba_17b_nsFlB1p24</t>
  </si>
  <si>
    <t>fba_17b_nsFlB1p25</t>
  </si>
  <si>
    <t>fba_17b_nsFlB1p26</t>
  </si>
  <si>
    <t>fba_17b_nsFlB1p27</t>
  </si>
  <si>
    <t>fba_17b_nsFlB1p28</t>
  </si>
  <si>
    <t>fba_17b_nsFlB1p29</t>
  </si>
  <si>
    <t>fba_17b_nsFlB1p210</t>
  </si>
  <si>
    <t>fba_17b_nsFlB1p211</t>
  </si>
  <si>
    <t>fba_17b_nsFlB1p212</t>
  </si>
  <si>
    <t>fba12SpAp1</t>
  </si>
  <si>
    <t>fba12SpAp2</t>
  </si>
  <si>
    <t>fba12SpAp3</t>
  </si>
  <si>
    <t>fba12SpAps1</t>
  </si>
  <si>
    <t>fba12SpAps2</t>
  </si>
  <si>
    <t>fba12SpAps3</t>
  </si>
  <si>
    <t>fba12SpAps4</t>
  </si>
  <si>
    <t>fba12SpAps5</t>
  </si>
  <si>
    <t>fba12SpAps6</t>
  </si>
  <si>
    <t>fba12SpAps7</t>
  </si>
  <si>
    <t>fba12SpB+Cps1</t>
  </si>
  <si>
    <t>fba12SpB+Cps2</t>
  </si>
  <si>
    <t>fba12SpB+Cps3</t>
  </si>
  <si>
    <t>fba12SpB+Cps4</t>
  </si>
  <si>
    <t>fba12SpB+Cps5</t>
  </si>
  <si>
    <t>fba12SpHps1</t>
  </si>
  <si>
    <t>fba12SpHps2</t>
  </si>
  <si>
    <t>fba12SpHps3</t>
  </si>
  <si>
    <t>fba13FlHp1</t>
  </si>
  <si>
    <t>fba14FlHp2</t>
  </si>
  <si>
    <t>fba15FlHp3</t>
  </si>
  <si>
    <t>fba16FlHp4</t>
  </si>
  <si>
    <t>fba17FlHp5</t>
  </si>
  <si>
    <t>fba18FlHp6</t>
  </si>
  <si>
    <t>fba19FlHp7</t>
  </si>
  <si>
    <t>fba20FlHp8</t>
  </si>
  <si>
    <t>Th (LV)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</si>
</sst>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13" x14ac:knownFonts="1">
    <font>
      <sz val="11"/>
      <color theme="1"/>
      <name val="Arial Narrow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Arial Narrow"/>
      <family val="2"/>
    </font>
    <font>
      <vertAlign val="superscript"/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right"/>
    </xf>
    <xf numFmtId="12" fontId="3" fillId="0" borderId="0" xfId="0" applyNumberFormat="1" applyFont="1" applyFill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/>
    <xf numFmtId="0" fontId="3" fillId="0" borderId="0" xfId="0" applyFont="1" applyBorder="1"/>
    <xf numFmtId="1" fontId="3" fillId="0" borderId="0" xfId="0" applyNumberFormat="1" applyFont="1"/>
    <xf numFmtId="2" fontId="3" fillId="0" borderId="0" xfId="0" applyNumberFormat="1" applyFont="1"/>
    <xf numFmtId="1" fontId="3" fillId="0" borderId="2" xfId="0" applyNumberFormat="1" applyFont="1" applyBorder="1"/>
    <xf numFmtId="2" fontId="3" fillId="0" borderId="2" xfId="0" applyNumberFormat="1" applyFont="1" applyBorder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4" fontId="3" fillId="0" borderId="0" xfId="0" applyNumberFormat="1" applyFont="1"/>
    <xf numFmtId="0" fontId="3" fillId="0" borderId="6" xfId="0" applyFont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/>
    </xf>
    <xf numFmtId="164" fontId="8" fillId="2" borderId="8" xfId="0" applyNumberFormat="1" applyFont="1" applyFill="1" applyBorder="1" applyAlignment="1">
      <alignment horizontal="center"/>
    </xf>
    <xf numFmtId="14" fontId="3" fillId="0" borderId="10" xfId="0" applyNumberFormat="1" applyFont="1" applyBorder="1"/>
    <xf numFmtId="0" fontId="3" fillId="0" borderId="10" xfId="0" applyFont="1" applyBorder="1" applyAlignment="1">
      <alignment horizontal="left"/>
    </xf>
    <xf numFmtId="164" fontId="8" fillId="0" borderId="10" xfId="0" applyNumberFormat="1" applyFont="1" applyBorder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165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14" fontId="3" fillId="0" borderId="8" xfId="0" applyNumberFormat="1" applyFont="1" applyBorder="1"/>
    <xf numFmtId="164" fontId="8" fillId="0" borderId="8" xfId="0" applyNumberFormat="1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0" fontId="3" fillId="0" borderId="10" xfId="0" applyFont="1" applyBorder="1"/>
    <xf numFmtId="165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3" fillId="0" borderId="8" xfId="0" applyFont="1" applyBorder="1"/>
    <xf numFmtId="165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7" xfId="0" applyFont="1" applyBorder="1"/>
    <xf numFmtId="0" fontId="9" fillId="0" borderId="0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64" fontId="10" fillId="0" borderId="17" xfId="0" applyNumberFormat="1" applyFont="1" applyBorder="1" applyAlignment="1">
      <alignment horizontal="center"/>
    </xf>
    <xf numFmtId="165" fontId="10" fillId="0" borderId="18" xfId="0" applyNumberFormat="1" applyFont="1" applyBorder="1" applyAlignment="1">
      <alignment horizontal="center"/>
    </xf>
    <xf numFmtId="0" fontId="11" fillId="0" borderId="10" xfId="0" applyFont="1" applyBorder="1"/>
    <xf numFmtId="165" fontId="11" fillId="0" borderId="10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/>
    </xf>
    <xf numFmtId="164" fontId="12" fillId="0" borderId="10" xfId="0" applyNumberFormat="1" applyFont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3" fillId="0" borderId="16" xfId="0" applyFont="1" applyBorder="1" applyAlignment="1">
      <alignment horizontal="left"/>
    </xf>
    <xf numFmtId="165" fontId="3" fillId="0" borderId="1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14" fontId="11" fillId="0" borderId="10" xfId="0" applyNumberFormat="1" applyFont="1" applyBorder="1"/>
    <xf numFmtId="0" fontId="3" fillId="0" borderId="18" xfId="0" applyFont="1" applyBorder="1" applyAlignment="1">
      <alignment horizontal="left"/>
    </xf>
    <xf numFmtId="165" fontId="3" fillId="0" borderId="18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164" fontId="3" fillId="0" borderId="0" xfId="0" applyNumberFormat="1" applyFont="1"/>
    <xf numFmtId="164" fontId="3" fillId="0" borderId="17" xfId="0" applyNumberFormat="1" applyFont="1" applyBorder="1"/>
    <xf numFmtId="165" fontId="3" fillId="0" borderId="17" xfId="0" applyNumberFormat="1" applyFont="1" applyBorder="1"/>
    <xf numFmtId="0" fontId="3" fillId="0" borderId="16" xfId="0" applyFont="1" applyBorder="1"/>
    <xf numFmtId="0" fontId="11" fillId="0" borderId="8" xfId="0" applyFont="1" applyBorder="1"/>
    <xf numFmtId="0" fontId="11" fillId="0" borderId="18" xfId="0" applyFont="1" applyBorder="1"/>
    <xf numFmtId="165" fontId="11" fillId="0" borderId="18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164" fontId="11" fillId="0" borderId="18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2" fontId="7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7" fillId="0" borderId="21" xfId="0" applyFont="1" applyBorder="1" applyAlignment="1">
      <alignment horizontal="center" wrapText="1"/>
    </xf>
    <xf numFmtId="2" fontId="7" fillId="0" borderId="22" xfId="0" applyNumberFormat="1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7" fillId="0" borderId="22" xfId="0" applyNumberFormat="1" applyFont="1" applyBorder="1" applyAlignment="1">
      <alignment horizontal="center" wrapText="1"/>
    </xf>
    <xf numFmtId="165" fontId="7" fillId="0" borderId="14" xfId="0" applyNumberFormat="1" applyFont="1" applyBorder="1" applyAlignment="1">
      <alignment horizontal="center" wrapText="1"/>
    </xf>
    <xf numFmtId="165" fontId="7" fillId="0" borderId="6" xfId="0" applyNumberFormat="1" applyFont="1" applyBorder="1" applyAlignment="1">
      <alignment horizontal="center" wrapText="1"/>
    </xf>
    <xf numFmtId="0" fontId="7" fillId="0" borderId="23" xfId="0" applyFont="1" applyBorder="1" applyAlignment="1">
      <alignment horizontal="right"/>
    </xf>
    <xf numFmtId="2" fontId="7" fillId="0" borderId="23" xfId="0" applyNumberFormat="1" applyFont="1" applyFill="1" applyBorder="1"/>
    <xf numFmtId="164" fontId="10" fillId="0" borderId="23" xfId="0" applyNumberFormat="1" applyFont="1" applyBorder="1" applyAlignment="1">
      <alignment horizontal="right"/>
    </xf>
    <xf numFmtId="2" fontId="7" fillId="0" borderId="23" xfId="0" applyNumberFormat="1" applyFont="1" applyFill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2" fontId="7" fillId="0" borderId="23" xfId="0" applyNumberFormat="1" applyFont="1" applyBorder="1"/>
    <xf numFmtId="2" fontId="7" fillId="0" borderId="23" xfId="0" applyNumberFormat="1" applyFont="1" applyBorder="1" applyAlignment="1">
      <alignment horizontal="center"/>
    </xf>
    <xf numFmtId="0" fontId="3" fillId="0" borderId="25" xfId="0" applyFont="1" applyBorder="1"/>
    <xf numFmtId="165" fontId="3" fillId="0" borderId="25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166" fontId="7" fillId="0" borderId="0" xfId="0" applyNumberFormat="1" applyFont="1" applyBorder="1"/>
    <xf numFmtId="0" fontId="7" fillId="0" borderId="23" xfId="0" applyFont="1" applyFill="1" applyBorder="1" applyAlignment="1">
      <alignment horizontal="right"/>
    </xf>
    <xf numFmtId="166" fontId="7" fillId="0" borderId="0" xfId="0" applyNumberFormat="1" applyFont="1" applyBorder="1" applyAlignment="1">
      <alignment horizontal="left"/>
    </xf>
    <xf numFmtId="0" fontId="7" fillId="0" borderId="24" xfId="0" applyFont="1" applyBorder="1" applyAlignment="1">
      <alignment horizontal="right"/>
    </xf>
    <xf numFmtId="2" fontId="7" fillId="0" borderId="24" xfId="0" applyNumberFormat="1" applyFont="1" applyFill="1" applyBorder="1"/>
    <xf numFmtId="164" fontId="10" fillId="0" borderId="24" xfId="0" applyNumberFormat="1" applyFont="1" applyBorder="1" applyAlignment="1">
      <alignment horizontal="right"/>
    </xf>
    <xf numFmtId="2" fontId="7" fillId="0" borderId="24" xfId="0" applyNumberFormat="1" applyFont="1" applyFill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0" fontId="3" fillId="0" borderId="18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2" fillId="0" borderId="0" xfId="0" applyFont="1" applyFill="1" applyAlignment="1">
      <alignment horizontal="left" vertical="center"/>
    </xf>
    <xf numFmtId="164" fontId="8" fillId="0" borderId="0" xfId="0" applyNumberFormat="1" applyFont="1"/>
    <xf numFmtId="2" fontId="8" fillId="0" borderId="0" xfId="0" applyNumberFormat="1" applyFont="1"/>
    <xf numFmtId="0" fontId="1" fillId="0" borderId="0" xfId="0" applyFont="1" applyAlignment="1">
      <alignment vertical="center"/>
    </xf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0" xfId="0" applyNumberFormat="1" applyFont="1"/>
    <xf numFmtId="2" fontId="4" fillId="0" borderId="0" xfId="0" applyNumberFormat="1" applyFont="1"/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4" fontId="4" fillId="4" borderId="0" xfId="0" applyNumberFormat="1" applyFont="1" applyFill="1"/>
    <xf numFmtId="164" fontId="1" fillId="4" borderId="0" xfId="0" applyNumberFormat="1" applyFont="1" applyFill="1"/>
    <xf numFmtId="0" fontId="4" fillId="0" borderId="3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164" fontId="3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2" fontId="3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/>
              <a:t>Fe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135833333333333"/>
                  <c:y val="1.4175479850934577E-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[1]Tabelle1!$O$3:$O$65</c:f>
                <c:numCache>
                  <c:formatCode>General</c:formatCode>
                  <c:ptCount val="63"/>
                  <c:pt idx="0">
                    <c:v>0.12662469732770662</c:v>
                  </c:pt>
                  <c:pt idx="1">
                    <c:v>0.10303014880444795</c:v>
                  </c:pt>
                  <c:pt idx="2">
                    <c:v>0.32966889510178715</c:v>
                  </c:pt>
                  <c:pt idx="3">
                    <c:v>0.34978395999054412</c:v>
                  </c:pt>
                  <c:pt idx="4">
                    <c:v>0.90361389571726569</c:v>
                  </c:pt>
                  <c:pt idx="5">
                    <c:v>0.2120454830926608</c:v>
                  </c:pt>
                  <c:pt idx="6">
                    <c:v>0.26138967725940937</c:v>
                  </c:pt>
                  <c:pt idx="7">
                    <c:v>0.31071842773374958</c:v>
                  </c:pt>
                  <c:pt idx="8">
                    <c:v>7.4894809789019259E-2</c:v>
                  </c:pt>
                  <c:pt idx="9">
                    <c:v>0.19809925794914005</c:v>
                  </c:pt>
                  <c:pt idx="10">
                    <c:v>8.6524127913034418E-2</c:v>
                  </c:pt>
                  <c:pt idx="11">
                    <c:v>1.6437840884982484</c:v>
                  </c:pt>
                  <c:pt idx="12">
                    <c:v>0.20714328277788802</c:v>
                  </c:pt>
                  <c:pt idx="13">
                    <c:v>7.4690031344365054E-2</c:v>
                  </c:pt>
                  <c:pt idx="14">
                    <c:v>2.9585778924700188</c:v>
                  </c:pt>
                  <c:pt idx="15">
                    <c:v>0.20371207524346727</c:v>
                  </c:pt>
                  <c:pt idx="16">
                    <c:v>0.52105684870654945</c:v>
                  </c:pt>
                  <c:pt idx="17">
                    <c:v>0.3462416691055541</c:v>
                  </c:pt>
                  <c:pt idx="18">
                    <c:v>1.7289968664562019</c:v>
                  </c:pt>
                  <c:pt idx="19">
                    <c:v>2.3863845929691418</c:v>
                  </c:pt>
                  <c:pt idx="20">
                    <c:v>0.27963651073015006</c:v>
                  </c:pt>
                  <c:pt idx="21">
                    <c:v>0.10369462075408407</c:v>
                  </c:pt>
                  <c:pt idx="22">
                    <c:v>2.3090730248792419</c:v>
                  </c:pt>
                  <c:pt idx="23">
                    <c:v>0.39530716046020581</c:v>
                  </c:pt>
                  <c:pt idx="24">
                    <c:v>0.19070649549766261</c:v>
                  </c:pt>
                  <c:pt idx="25">
                    <c:v>1.8772339618971294</c:v>
                  </c:pt>
                  <c:pt idx="26">
                    <c:v>2.9489951628044064</c:v>
                  </c:pt>
                  <c:pt idx="27">
                    <c:v>2.2674800938882695</c:v>
                  </c:pt>
                  <c:pt idx="28">
                    <c:v>2.9454675814750813</c:v>
                  </c:pt>
                  <c:pt idx="29">
                    <c:v>0.38532755908015021</c:v>
                  </c:pt>
                  <c:pt idx="30">
                    <c:v>0.29899588716978098</c:v>
                  </c:pt>
                  <c:pt idx="31">
                    <c:v>0.38884061892074295</c:v>
                  </c:pt>
                  <c:pt idx="32">
                    <c:v>1.0167679594799324</c:v>
                  </c:pt>
                  <c:pt idx="33">
                    <c:v>0.22324096398286791</c:v>
                  </c:pt>
                  <c:pt idx="34">
                    <c:v>0.23338798500711008</c:v>
                  </c:pt>
                  <c:pt idx="35">
                    <c:v>2.5832659730524581</c:v>
                  </c:pt>
                  <c:pt idx="36">
                    <c:v>3.0409433139954016</c:v>
                  </c:pt>
                  <c:pt idx="37">
                    <c:v>0.28435075985987579</c:v>
                  </c:pt>
                  <c:pt idx="38">
                    <c:v>0.24317905699298994</c:v>
                  </c:pt>
                  <c:pt idx="39">
                    <c:v>2.3857861095696298</c:v>
                  </c:pt>
                  <c:pt idx="40">
                    <c:v>0.38266558093793607</c:v>
                  </c:pt>
                  <c:pt idx="41">
                    <c:v>0.95667979470666675</c:v>
                  </c:pt>
                  <c:pt idx="42">
                    <c:v>0.3233845729186971</c:v>
                  </c:pt>
                  <c:pt idx="43">
                    <c:v>0.4341707139779985</c:v>
                  </c:pt>
                  <c:pt idx="44">
                    <c:v>0.22674245944563592</c:v>
                  </c:pt>
                  <c:pt idx="45">
                    <c:v>0.33212259804290523</c:v>
                  </c:pt>
                  <c:pt idx="46">
                    <c:v>0.19125145488651249</c:v>
                  </c:pt>
                  <c:pt idx="47">
                    <c:v>0.13392262488417944</c:v>
                  </c:pt>
                  <c:pt idx="48">
                    <c:v>0.12144107378122873</c:v>
                  </c:pt>
                  <c:pt idx="49">
                    <c:v>0.31260731676707088</c:v>
                  </c:pt>
                  <c:pt idx="50">
                    <c:v>0.21150755876286559</c:v>
                  </c:pt>
                  <c:pt idx="51">
                    <c:v>0.2191841078756262</c:v>
                  </c:pt>
                  <c:pt idx="52">
                    <c:v>0.20892669418509166</c:v>
                  </c:pt>
                  <c:pt idx="53">
                    <c:v>3.23438828106817E-2</c:v>
                  </c:pt>
                  <c:pt idx="54">
                    <c:v>0.12700468852520613</c:v>
                  </c:pt>
                  <c:pt idx="55">
                    <c:v>2.8412661443330784E-2</c:v>
                  </c:pt>
                  <c:pt idx="56">
                    <c:v>1.7385860265552958E-2</c:v>
                  </c:pt>
                  <c:pt idx="57">
                    <c:v>4.0775393377573146E-2</c:v>
                  </c:pt>
                  <c:pt idx="58">
                    <c:v>0.12537587433073999</c:v>
                  </c:pt>
                  <c:pt idx="59">
                    <c:v>1.7676419778155577E-2</c:v>
                  </c:pt>
                  <c:pt idx="60">
                    <c:v>1.2930719460949475E-2</c:v>
                  </c:pt>
                  <c:pt idx="61">
                    <c:v>0.34655449908107283</c:v>
                  </c:pt>
                  <c:pt idx="62">
                    <c:v>0.13001417379962846</c:v>
                  </c:pt>
                </c:numCache>
              </c:numRef>
            </c:plus>
            <c:minus>
              <c:numRef>
                <c:f>[1]Tabelle1!$O$3:$O$65</c:f>
                <c:numCache>
                  <c:formatCode>General</c:formatCode>
                  <c:ptCount val="63"/>
                  <c:pt idx="0">
                    <c:v>0.12662469732770662</c:v>
                  </c:pt>
                  <c:pt idx="1">
                    <c:v>0.10303014880444795</c:v>
                  </c:pt>
                  <c:pt idx="2">
                    <c:v>0.32966889510178715</c:v>
                  </c:pt>
                  <c:pt idx="3">
                    <c:v>0.34978395999054412</c:v>
                  </c:pt>
                  <c:pt idx="4">
                    <c:v>0.90361389571726569</c:v>
                  </c:pt>
                  <c:pt idx="5">
                    <c:v>0.2120454830926608</c:v>
                  </c:pt>
                  <c:pt idx="6">
                    <c:v>0.26138967725940937</c:v>
                  </c:pt>
                  <c:pt idx="7">
                    <c:v>0.31071842773374958</c:v>
                  </c:pt>
                  <c:pt idx="8">
                    <c:v>7.4894809789019259E-2</c:v>
                  </c:pt>
                  <c:pt idx="9">
                    <c:v>0.19809925794914005</c:v>
                  </c:pt>
                  <c:pt idx="10">
                    <c:v>8.6524127913034418E-2</c:v>
                  </c:pt>
                  <c:pt idx="11">
                    <c:v>1.6437840884982484</c:v>
                  </c:pt>
                  <c:pt idx="12">
                    <c:v>0.20714328277788802</c:v>
                  </c:pt>
                  <c:pt idx="13">
                    <c:v>7.4690031344365054E-2</c:v>
                  </c:pt>
                  <c:pt idx="14">
                    <c:v>2.9585778924700188</c:v>
                  </c:pt>
                  <c:pt idx="15">
                    <c:v>0.20371207524346727</c:v>
                  </c:pt>
                  <c:pt idx="16">
                    <c:v>0.52105684870654945</c:v>
                  </c:pt>
                  <c:pt idx="17">
                    <c:v>0.3462416691055541</c:v>
                  </c:pt>
                  <c:pt idx="18">
                    <c:v>1.7289968664562019</c:v>
                  </c:pt>
                  <c:pt idx="19">
                    <c:v>2.3863845929691418</c:v>
                  </c:pt>
                  <c:pt idx="20">
                    <c:v>0.27963651073015006</c:v>
                  </c:pt>
                  <c:pt idx="21">
                    <c:v>0.10369462075408407</c:v>
                  </c:pt>
                  <c:pt idx="22">
                    <c:v>2.3090730248792419</c:v>
                  </c:pt>
                  <c:pt idx="23">
                    <c:v>0.39530716046020581</c:v>
                  </c:pt>
                  <c:pt idx="24">
                    <c:v>0.19070649549766261</c:v>
                  </c:pt>
                  <c:pt idx="25">
                    <c:v>1.8772339618971294</c:v>
                  </c:pt>
                  <c:pt idx="26">
                    <c:v>2.9489951628044064</c:v>
                  </c:pt>
                  <c:pt idx="27">
                    <c:v>2.2674800938882695</c:v>
                  </c:pt>
                  <c:pt idx="28">
                    <c:v>2.9454675814750813</c:v>
                  </c:pt>
                  <c:pt idx="29">
                    <c:v>0.38532755908015021</c:v>
                  </c:pt>
                  <c:pt idx="30">
                    <c:v>0.29899588716978098</c:v>
                  </c:pt>
                  <c:pt idx="31">
                    <c:v>0.38884061892074295</c:v>
                  </c:pt>
                  <c:pt idx="32">
                    <c:v>1.0167679594799324</c:v>
                  </c:pt>
                  <c:pt idx="33">
                    <c:v>0.22324096398286791</c:v>
                  </c:pt>
                  <c:pt idx="34">
                    <c:v>0.23338798500711008</c:v>
                  </c:pt>
                  <c:pt idx="35">
                    <c:v>2.5832659730524581</c:v>
                  </c:pt>
                  <c:pt idx="36">
                    <c:v>3.0409433139954016</c:v>
                  </c:pt>
                  <c:pt idx="37">
                    <c:v>0.28435075985987579</c:v>
                  </c:pt>
                  <c:pt idx="38">
                    <c:v>0.24317905699298994</c:v>
                  </c:pt>
                  <c:pt idx="39">
                    <c:v>2.3857861095696298</c:v>
                  </c:pt>
                  <c:pt idx="40">
                    <c:v>0.38266558093793607</c:v>
                  </c:pt>
                  <c:pt idx="41">
                    <c:v>0.95667979470666675</c:v>
                  </c:pt>
                  <c:pt idx="42">
                    <c:v>0.3233845729186971</c:v>
                  </c:pt>
                  <c:pt idx="43">
                    <c:v>0.4341707139779985</c:v>
                  </c:pt>
                  <c:pt idx="44">
                    <c:v>0.22674245944563592</c:v>
                  </c:pt>
                  <c:pt idx="45">
                    <c:v>0.33212259804290523</c:v>
                  </c:pt>
                  <c:pt idx="46">
                    <c:v>0.19125145488651249</c:v>
                  </c:pt>
                  <c:pt idx="47">
                    <c:v>0.13392262488417944</c:v>
                  </c:pt>
                  <c:pt idx="48">
                    <c:v>0.12144107378122873</c:v>
                  </c:pt>
                  <c:pt idx="49">
                    <c:v>0.31260731676707088</c:v>
                  </c:pt>
                  <c:pt idx="50">
                    <c:v>0.21150755876286559</c:v>
                  </c:pt>
                  <c:pt idx="51">
                    <c:v>0.2191841078756262</c:v>
                  </c:pt>
                  <c:pt idx="52">
                    <c:v>0.20892669418509166</c:v>
                  </c:pt>
                  <c:pt idx="53">
                    <c:v>3.23438828106817E-2</c:v>
                  </c:pt>
                  <c:pt idx="54">
                    <c:v>0.12700468852520613</c:v>
                  </c:pt>
                  <c:pt idx="55">
                    <c:v>2.8412661443330784E-2</c:v>
                  </c:pt>
                  <c:pt idx="56">
                    <c:v>1.7385860265552958E-2</c:v>
                  </c:pt>
                  <c:pt idx="57">
                    <c:v>4.0775393377573146E-2</c:v>
                  </c:pt>
                  <c:pt idx="58">
                    <c:v>0.12537587433073999</c:v>
                  </c:pt>
                  <c:pt idx="59">
                    <c:v>1.7676419778155577E-2</c:v>
                  </c:pt>
                  <c:pt idx="60">
                    <c:v>1.2930719460949475E-2</c:v>
                  </c:pt>
                  <c:pt idx="61">
                    <c:v>0.34655449908107283</c:v>
                  </c:pt>
                  <c:pt idx="62">
                    <c:v>0.13001417379962846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[1]Tabelle1!$L$3:$L$65</c:f>
                <c:numCache>
                  <c:formatCode>General</c:formatCode>
                  <c:ptCount val="63"/>
                  <c:pt idx="0">
                    <c:v>1839.6120948959704</c:v>
                  </c:pt>
                  <c:pt idx="1">
                    <c:v>3013.2932451389788</c:v>
                  </c:pt>
                  <c:pt idx="2">
                    <c:v>2307.5746579872493</c:v>
                  </c:pt>
                  <c:pt idx="3">
                    <c:v>2715.7249035503291</c:v>
                  </c:pt>
                  <c:pt idx="4">
                    <c:v>5823.705149136953</c:v>
                  </c:pt>
                  <c:pt idx="5">
                    <c:v>2001.4330048639624</c:v>
                  </c:pt>
                  <c:pt idx="6">
                    <c:v>2375.8424869544738</c:v>
                  </c:pt>
                  <c:pt idx="7">
                    <c:v>4940.1156011836656</c:v>
                  </c:pt>
                  <c:pt idx="8">
                    <c:v>3491.2401490069237</c:v>
                  </c:pt>
                  <c:pt idx="9">
                    <c:v>1770.4177587231165</c:v>
                  </c:pt>
                  <c:pt idx="10">
                    <c:v>2696.2491568370579</c:v>
                  </c:pt>
                  <c:pt idx="11">
                    <c:v>15760.700581576617</c:v>
                  </c:pt>
                  <c:pt idx="12">
                    <c:v>2960.6708128084392</c:v>
                  </c:pt>
                  <c:pt idx="13">
                    <c:v>2321.235655342346</c:v>
                  </c:pt>
                  <c:pt idx="14">
                    <c:v>11603.303958698811</c:v>
                  </c:pt>
                  <c:pt idx="15">
                    <c:v>3060.2385647768801</c:v>
                  </c:pt>
                  <c:pt idx="16">
                    <c:v>9482.7067233376602</c:v>
                  </c:pt>
                  <c:pt idx="17">
                    <c:v>2749.2437642876121</c:v>
                  </c:pt>
                  <c:pt idx="18">
                    <c:v>13784.674456908211</c:v>
                  </c:pt>
                  <c:pt idx="19">
                    <c:v>16481.940574023516</c:v>
                  </c:pt>
                  <c:pt idx="20">
                    <c:v>2051.27217889129</c:v>
                  </c:pt>
                  <c:pt idx="21">
                    <c:v>1882.2913519275853</c:v>
                  </c:pt>
                  <c:pt idx="22">
                    <c:v>13706.400541612995</c:v>
                  </c:pt>
                  <c:pt idx="23">
                    <c:v>4652.311914294718</c:v>
                  </c:pt>
                  <c:pt idx="24">
                    <c:v>2434.4265446128211</c:v>
                  </c:pt>
                  <c:pt idx="25">
                    <c:v>13324.950698015369</c:v>
                  </c:pt>
                  <c:pt idx="26">
                    <c:v>22796.408486950477</c:v>
                  </c:pt>
                  <c:pt idx="27">
                    <c:v>13974.765371618183</c:v>
                  </c:pt>
                  <c:pt idx="28">
                    <c:v>19867.377489866576</c:v>
                  </c:pt>
                  <c:pt idx="29">
                    <c:v>3275.958194102453</c:v>
                  </c:pt>
                  <c:pt idx="30">
                    <c:v>2970.9377658716794</c:v>
                  </c:pt>
                  <c:pt idx="31">
                    <c:v>2080.9858061005725</c:v>
                  </c:pt>
                  <c:pt idx="32">
                    <c:v>4047.4960924385268</c:v>
                  </c:pt>
                  <c:pt idx="33">
                    <c:v>3010.7484026833522</c:v>
                  </c:pt>
                  <c:pt idx="34">
                    <c:v>2111.3299833208157</c:v>
                  </c:pt>
                  <c:pt idx="35">
                    <c:v>18643.451917259983</c:v>
                  </c:pt>
                  <c:pt idx="36">
                    <c:v>21258.666376476172</c:v>
                  </c:pt>
                  <c:pt idx="37">
                    <c:v>2882.5049676352537</c:v>
                  </c:pt>
                  <c:pt idx="38">
                    <c:v>2053.1235387670813</c:v>
                  </c:pt>
                  <c:pt idx="39">
                    <c:v>16748.305352542237</c:v>
                  </c:pt>
                  <c:pt idx="40">
                    <c:v>3377.6559581215665</c:v>
                  </c:pt>
                  <c:pt idx="41">
                    <c:v>7034.8025647530994</c:v>
                  </c:pt>
                  <c:pt idx="42">
                    <c:v>1391.826060675058</c:v>
                  </c:pt>
                  <c:pt idx="43">
                    <c:v>2424.7718397396134</c:v>
                  </c:pt>
                  <c:pt idx="44">
                    <c:v>1386.2544433356479</c:v>
                  </c:pt>
                  <c:pt idx="45">
                    <c:v>1544.1641074478407</c:v>
                  </c:pt>
                  <c:pt idx="46">
                    <c:v>1663.6897036729092</c:v>
                  </c:pt>
                  <c:pt idx="47">
                    <c:v>813.16887416519262</c:v>
                  </c:pt>
                  <c:pt idx="48">
                    <c:v>773.51439023704904</c:v>
                  </c:pt>
                  <c:pt idx="49">
                    <c:v>2062.2925887515794</c:v>
                  </c:pt>
                  <c:pt idx="50">
                    <c:v>799.23725757242278</c:v>
                  </c:pt>
                  <c:pt idx="51">
                    <c:v>1089.141585825367</c:v>
                  </c:pt>
                  <c:pt idx="52">
                    <c:v>1312.3303437397021</c:v>
                  </c:pt>
                  <c:pt idx="53">
                    <c:v>161.09512383533792</c:v>
                  </c:pt>
                  <c:pt idx="54">
                    <c:v>126.49308865250576</c:v>
                  </c:pt>
                  <c:pt idx="55">
                    <c:v>201.82874924127137</c:v>
                  </c:pt>
                  <c:pt idx="56">
                    <c:v>92.289708066505199</c:v>
                  </c:pt>
                  <c:pt idx="57">
                    <c:v>236.21989305133658</c:v>
                  </c:pt>
                  <c:pt idx="58">
                    <c:v>746.66744631580434</c:v>
                  </c:pt>
                  <c:pt idx="59">
                    <c:v>104.43374981788608</c:v>
                  </c:pt>
                  <c:pt idx="60">
                    <c:v>179.47986085343541</c:v>
                  </c:pt>
                  <c:pt idx="61">
                    <c:v>527.89822211135083</c:v>
                  </c:pt>
                  <c:pt idx="62">
                    <c:v>383.80134714538463</c:v>
                  </c:pt>
                </c:numCache>
              </c:numRef>
            </c:plus>
            <c:minus>
              <c:numRef>
                <c:f>[1]Tabelle1!$L$3:$L$65</c:f>
                <c:numCache>
                  <c:formatCode>General</c:formatCode>
                  <c:ptCount val="63"/>
                  <c:pt idx="0">
                    <c:v>1839.6120948959704</c:v>
                  </c:pt>
                  <c:pt idx="1">
                    <c:v>3013.2932451389788</c:v>
                  </c:pt>
                  <c:pt idx="2">
                    <c:v>2307.5746579872493</c:v>
                  </c:pt>
                  <c:pt idx="3">
                    <c:v>2715.7249035503291</c:v>
                  </c:pt>
                  <c:pt idx="4">
                    <c:v>5823.705149136953</c:v>
                  </c:pt>
                  <c:pt idx="5">
                    <c:v>2001.4330048639624</c:v>
                  </c:pt>
                  <c:pt idx="6">
                    <c:v>2375.8424869544738</c:v>
                  </c:pt>
                  <c:pt idx="7">
                    <c:v>4940.1156011836656</c:v>
                  </c:pt>
                  <c:pt idx="8">
                    <c:v>3491.2401490069237</c:v>
                  </c:pt>
                  <c:pt idx="9">
                    <c:v>1770.4177587231165</c:v>
                  </c:pt>
                  <c:pt idx="10">
                    <c:v>2696.2491568370579</c:v>
                  </c:pt>
                  <c:pt idx="11">
                    <c:v>15760.700581576617</c:v>
                  </c:pt>
                  <c:pt idx="12">
                    <c:v>2960.6708128084392</c:v>
                  </c:pt>
                  <c:pt idx="13">
                    <c:v>2321.235655342346</c:v>
                  </c:pt>
                  <c:pt idx="14">
                    <c:v>11603.303958698811</c:v>
                  </c:pt>
                  <c:pt idx="15">
                    <c:v>3060.2385647768801</c:v>
                  </c:pt>
                  <c:pt idx="16">
                    <c:v>9482.7067233376602</c:v>
                  </c:pt>
                  <c:pt idx="17">
                    <c:v>2749.2437642876121</c:v>
                  </c:pt>
                  <c:pt idx="18">
                    <c:v>13784.674456908211</c:v>
                  </c:pt>
                  <c:pt idx="19">
                    <c:v>16481.940574023516</c:v>
                  </c:pt>
                  <c:pt idx="20">
                    <c:v>2051.27217889129</c:v>
                  </c:pt>
                  <c:pt idx="21">
                    <c:v>1882.2913519275853</c:v>
                  </c:pt>
                  <c:pt idx="22">
                    <c:v>13706.400541612995</c:v>
                  </c:pt>
                  <c:pt idx="23">
                    <c:v>4652.311914294718</c:v>
                  </c:pt>
                  <c:pt idx="24">
                    <c:v>2434.4265446128211</c:v>
                  </c:pt>
                  <c:pt idx="25">
                    <c:v>13324.950698015369</c:v>
                  </c:pt>
                  <c:pt idx="26">
                    <c:v>22796.408486950477</c:v>
                  </c:pt>
                  <c:pt idx="27">
                    <c:v>13974.765371618183</c:v>
                  </c:pt>
                  <c:pt idx="28">
                    <c:v>19867.377489866576</c:v>
                  </c:pt>
                  <c:pt idx="29">
                    <c:v>3275.958194102453</c:v>
                  </c:pt>
                  <c:pt idx="30">
                    <c:v>2970.9377658716794</c:v>
                  </c:pt>
                  <c:pt idx="31">
                    <c:v>2080.9858061005725</c:v>
                  </c:pt>
                  <c:pt idx="32">
                    <c:v>4047.4960924385268</c:v>
                  </c:pt>
                  <c:pt idx="33">
                    <c:v>3010.7484026833522</c:v>
                  </c:pt>
                  <c:pt idx="34">
                    <c:v>2111.3299833208157</c:v>
                  </c:pt>
                  <c:pt idx="35">
                    <c:v>18643.451917259983</c:v>
                  </c:pt>
                  <c:pt idx="36">
                    <c:v>21258.666376476172</c:v>
                  </c:pt>
                  <c:pt idx="37">
                    <c:v>2882.5049676352537</c:v>
                  </c:pt>
                  <c:pt idx="38">
                    <c:v>2053.1235387670813</c:v>
                  </c:pt>
                  <c:pt idx="39">
                    <c:v>16748.305352542237</c:v>
                  </c:pt>
                  <c:pt idx="40">
                    <c:v>3377.6559581215665</c:v>
                  </c:pt>
                  <c:pt idx="41">
                    <c:v>7034.8025647530994</c:v>
                  </c:pt>
                  <c:pt idx="42">
                    <c:v>1391.826060675058</c:v>
                  </c:pt>
                  <c:pt idx="43">
                    <c:v>2424.7718397396134</c:v>
                  </c:pt>
                  <c:pt idx="44">
                    <c:v>1386.2544433356479</c:v>
                  </c:pt>
                  <c:pt idx="45">
                    <c:v>1544.1641074478407</c:v>
                  </c:pt>
                  <c:pt idx="46">
                    <c:v>1663.6897036729092</c:v>
                  </c:pt>
                  <c:pt idx="47">
                    <c:v>813.16887416519262</c:v>
                  </c:pt>
                  <c:pt idx="48">
                    <c:v>773.51439023704904</c:v>
                  </c:pt>
                  <c:pt idx="49">
                    <c:v>2062.2925887515794</c:v>
                  </c:pt>
                  <c:pt idx="50">
                    <c:v>799.23725757242278</c:v>
                  </c:pt>
                  <c:pt idx="51">
                    <c:v>1089.141585825367</c:v>
                  </c:pt>
                  <c:pt idx="52">
                    <c:v>1312.3303437397021</c:v>
                  </c:pt>
                  <c:pt idx="53">
                    <c:v>161.09512383533792</c:v>
                  </c:pt>
                  <c:pt idx="54">
                    <c:v>126.49308865250576</c:v>
                  </c:pt>
                  <c:pt idx="55">
                    <c:v>201.82874924127137</c:v>
                  </c:pt>
                  <c:pt idx="56">
                    <c:v>92.289708066505199</c:v>
                  </c:pt>
                  <c:pt idx="57">
                    <c:v>236.21989305133658</c:v>
                  </c:pt>
                  <c:pt idx="58">
                    <c:v>746.66744631580434</c:v>
                  </c:pt>
                  <c:pt idx="59">
                    <c:v>104.43374981788608</c:v>
                  </c:pt>
                  <c:pt idx="60">
                    <c:v>179.47986085343541</c:v>
                  </c:pt>
                  <c:pt idx="61">
                    <c:v>527.89822211135083</c:v>
                  </c:pt>
                  <c:pt idx="62">
                    <c:v>383.80134714538463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[1]Tabelle1!$D$3:$D$65</c:f>
              <c:numCache>
                <c:formatCode>General</c:formatCode>
                <c:ptCount val="63"/>
                <c:pt idx="0">
                  <c:v>92529.24504705485</c:v>
                </c:pt>
                <c:pt idx="1">
                  <c:v>88389.05905930564</c:v>
                </c:pt>
                <c:pt idx="2">
                  <c:v>99130.611754561847</c:v>
                </c:pt>
                <c:pt idx="3">
                  <c:v>96364.735658543141</c:v>
                </c:pt>
                <c:pt idx="4">
                  <c:v>100650.07856605582</c:v>
                </c:pt>
                <c:pt idx="5">
                  <c:v>93820.306053073378</c:v>
                </c:pt>
                <c:pt idx="6">
                  <c:v>99307.094845317697</c:v>
                </c:pt>
                <c:pt idx="7">
                  <c:v>101798.21099532179</c:v>
                </c:pt>
                <c:pt idx="8">
                  <c:v>98842.577323646517</c:v>
                </c:pt>
                <c:pt idx="9">
                  <c:v>87701.882840288119</c:v>
                </c:pt>
                <c:pt idx="10">
                  <c:v>105064.62547254954</c:v>
                </c:pt>
                <c:pt idx="11">
                  <c:v>80565.869129200597</c:v>
                </c:pt>
                <c:pt idx="12">
                  <c:v>99869.901084315003</c:v>
                </c:pt>
                <c:pt idx="13">
                  <c:v>95232.679454208555</c:v>
                </c:pt>
                <c:pt idx="14">
                  <c:v>71382.613408209567</c:v>
                </c:pt>
                <c:pt idx="15">
                  <c:v>104425.24561743063</c:v>
                </c:pt>
                <c:pt idx="16">
                  <c:v>110163.48517398293</c:v>
                </c:pt>
                <c:pt idx="17">
                  <c:v>103806.66682712773</c:v>
                </c:pt>
                <c:pt idx="18">
                  <c:v>84080.73223110204</c:v>
                </c:pt>
                <c:pt idx="19">
                  <c:v>77802.50826750038</c:v>
                </c:pt>
                <c:pt idx="20">
                  <c:v>95476.07267940967</c:v>
                </c:pt>
                <c:pt idx="21">
                  <c:v>103642.59879857209</c:v>
                </c:pt>
                <c:pt idx="22">
                  <c:v>91403.31550924122</c:v>
                </c:pt>
                <c:pt idx="23">
                  <c:v>95058.807739317665</c:v>
                </c:pt>
                <c:pt idx="24">
                  <c:v>97486.17322519701</c:v>
                </c:pt>
                <c:pt idx="25">
                  <c:v>86170.871186563803</c:v>
                </c:pt>
                <c:pt idx="26">
                  <c:v>18155.769860223558</c:v>
                </c:pt>
                <c:pt idx="27">
                  <c:v>94145.147895872025</c:v>
                </c:pt>
                <c:pt idx="28">
                  <c:v>46070.432437252741</c:v>
                </c:pt>
                <c:pt idx="29">
                  <c:v>96240.277291461331</c:v>
                </c:pt>
                <c:pt idx="30">
                  <c:v>86562.13768909761</c:v>
                </c:pt>
                <c:pt idx="31">
                  <c:v>94899.061936257873</c:v>
                </c:pt>
                <c:pt idx="32">
                  <c:v>78467.296381097665</c:v>
                </c:pt>
                <c:pt idx="33">
                  <c:v>94730.268798557634</c:v>
                </c:pt>
                <c:pt idx="34">
                  <c:v>86624.410468418791</c:v>
                </c:pt>
                <c:pt idx="35">
                  <c:v>31936.367475735995</c:v>
                </c:pt>
                <c:pt idx="36">
                  <c:v>66912.33539097289</c:v>
                </c:pt>
                <c:pt idx="37">
                  <c:v>91129.46386251779</c:v>
                </c:pt>
                <c:pt idx="38">
                  <c:v>79606.485351056472</c:v>
                </c:pt>
                <c:pt idx="39">
                  <c:v>37759.697889816496</c:v>
                </c:pt>
                <c:pt idx="40">
                  <c:v>89970.813433597286</c:v>
                </c:pt>
                <c:pt idx="41">
                  <c:v>97914.138376536081</c:v>
                </c:pt>
                <c:pt idx="42">
                  <c:v>9637.2701327961622</c:v>
                </c:pt>
                <c:pt idx="43">
                  <c:v>9061.917880579389</c:v>
                </c:pt>
                <c:pt idx="44">
                  <c:v>8903.8821997576379</c:v>
                </c:pt>
                <c:pt idx="45">
                  <c:v>8294.8058371715324</c:v>
                </c:pt>
                <c:pt idx="46">
                  <c:v>8719.8568713817403</c:v>
                </c:pt>
                <c:pt idx="47">
                  <c:v>7969.2114343284011</c:v>
                </c:pt>
                <c:pt idx="48">
                  <c:v>4808.0616587471604</c:v>
                </c:pt>
                <c:pt idx="49">
                  <c:v>11629.144155762071</c:v>
                </c:pt>
                <c:pt idx="50">
                  <c:v>9240.8312403658838</c:v>
                </c:pt>
                <c:pt idx="51">
                  <c:v>7784.8931474374695</c:v>
                </c:pt>
                <c:pt idx="52">
                  <c:v>7999.6344222849011</c:v>
                </c:pt>
                <c:pt idx="53">
                  <c:v>701.9535540661052</c:v>
                </c:pt>
                <c:pt idx="54">
                  <c:v>765.23608596252041</c:v>
                </c:pt>
                <c:pt idx="55">
                  <c:v>630.32939321109336</c:v>
                </c:pt>
                <c:pt idx="56">
                  <c:v>517.52476171719979</c:v>
                </c:pt>
                <c:pt idx="57">
                  <c:v>1079.5269922102602</c:v>
                </c:pt>
                <c:pt idx="58">
                  <c:v>1998.4340168410242</c:v>
                </c:pt>
                <c:pt idx="59">
                  <c:v>597.37983473204076</c:v>
                </c:pt>
                <c:pt idx="60">
                  <c:v>1059.2331225608782</c:v>
                </c:pt>
                <c:pt idx="61">
                  <c:v>676.45034805334922</c:v>
                </c:pt>
                <c:pt idx="62">
                  <c:v>1302.960467704874</c:v>
                </c:pt>
              </c:numCache>
            </c:numRef>
          </c:xVal>
          <c:yVal>
            <c:numRef>
              <c:f>[1]Tabelle1!$G$3:$G$65</c:f>
              <c:numCache>
                <c:formatCode>General</c:formatCode>
                <c:ptCount val="63"/>
                <c:pt idx="0">
                  <c:v>11.960434304298106</c:v>
                </c:pt>
                <c:pt idx="1">
                  <c:v>11.264285985939777</c:v>
                </c:pt>
                <c:pt idx="2">
                  <c:v>13.012865451789269</c:v>
                </c:pt>
                <c:pt idx="3">
                  <c:v>12.38939424782517</c:v>
                </c:pt>
                <c:pt idx="4">
                  <c:v>13.558762190893111</c:v>
                </c:pt>
                <c:pt idx="5">
                  <c:v>12.193385739983443</c:v>
                </c:pt>
                <c:pt idx="6">
                  <c:v>12.32789644367274</c:v>
                </c:pt>
                <c:pt idx="7">
                  <c:v>12.910478215994859</c:v>
                </c:pt>
                <c:pt idx="8">
                  <c:v>12.780370566435961</c:v>
                </c:pt>
                <c:pt idx="9">
                  <c:v>11.542953395542705</c:v>
                </c:pt>
                <c:pt idx="10">
                  <c:v>13.685312319991455</c:v>
                </c:pt>
                <c:pt idx="11">
                  <c:v>10.860050808745957</c:v>
                </c:pt>
                <c:pt idx="12">
                  <c:v>12.961485213790814</c:v>
                </c:pt>
                <c:pt idx="13">
                  <c:v>12.302470500148695</c:v>
                </c:pt>
                <c:pt idx="14">
                  <c:v>5.2980709401152639</c:v>
                </c:pt>
                <c:pt idx="15">
                  <c:v>13.598223403838176</c:v>
                </c:pt>
                <c:pt idx="16">
                  <c:v>13.859687251815089</c:v>
                </c:pt>
                <c:pt idx="17">
                  <c:v>13.361099503761929</c:v>
                </c:pt>
                <c:pt idx="18">
                  <c:v>10.932110580365793</c:v>
                </c:pt>
                <c:pt idx="19">
                  <c:v>9.6585616460855377</c:v>
                </c:pt>
                <c:pt idx="20">
                  <c:v>12.404215576109895</c:v>
                </c:pt>
                <c:pt idx="21">
                  <c:v>13.397976766401532</c:v>
                </c:pt>
                <c:pt idx="22">
                  <c:v>10.995713983603364</c:v>
                </c:pt>
                <c:pt idx="23">
                  <c:v>12.380364746524839</c:v>
                </c:pt>
                <c:pt idx="24">
                  <c:v>12.297930736070535</c:v>
                </c:pt>
                <c:pt idx="25">
                  <c:v>10.986864616993465</c:v>
                </c:pt>
                <c:pt idx="26">
                  <c:v>2.0229310466808794</c:v>
                </c:pt>
                <c:pt idx="27">
                  <c:v>8.7921415092203787</c:v>
                </c:pt>
                <c:pt idx="28">
                  <c:v>3.5282162590774218</c:v>
                </c:pt>
                <c:pt idx="29">
                  <c:v>12.738542721800215</c:v>
                </c:pt>
                <c:pt idx="30">
                  <c:v>11.318080572449428</c:v>
                </c:pt>
                <c:pt idx="31">
                  <c:v>12.527535813493458</c:v>
                </c:pt>
                <c:pt idx="32">
                  <c:v>10.009497967294637</c:v>
                </c:pt>
                <c:pt idx="33">
                  <c:v>12.866971432114299</c:v>
                </c:pt>
                <c:pt idx="34">
                  <c:v>11.281537143515473</c:v>
                </c:pt>
                <c:pt idx="35">
                  <c:v>3.7168645639695415</c:v>
                </c:pt>
                <c:pt idx="36">
                  <c:v>6.8614601032435845</c:v>
                </c:pt>
                <c:pt idx="37">
                  <c:v>11.86914715145322</c:v>
                </c:pt>
                <c:pt idx="38">
                  <c:v>10.275293286491555</c:v>
                </c:pt>
                <c:pt idx="39">
                  <c:v>5.5667094260987984</c:v>
                </c:pt>
                <c:pt idx="40">
                  <c:v>11.861808229922827</c:v>
                </c:pt>
                <c:pt idx="41">
                  <c:v>12.044409065051584</c:v>
                </c:pt>
                <c:pt idx="42">
                  <c:v>1.4476531238355466</c:v>
                </c:pt>
                <c:pt idx="43">
                  <c:v>1.2183953783594148</c:v>
                </c:pt>
                <c:pt idx="44">
                  <c:v>1.5098856336046271</c:v>
                </c:pt>
                <c:pt idx="45">
                  <c:v>1.5651050380109897</c:v>
                </c:pt>
                <c:pt idx="46">
                  <c:v>1.5416161541986657</c:v>
                </c:pt>
                <c:pt idx="47">
                  <c:v>1.2211968851772104</c:v>
                </c:pt>
                <c:pt idx="48">
                  <c:v>0.74763531202579181</c:v>
                </c:pt>
                <c:pt idx="49">
                  <c:v>1.9723941971335082</c:v>
                </c:pt>
                <c:pt idx="50">
                  <c:v>1.4007888650243714</c:v>
                </c:pt>
                <c:pt idx="51">
                  <c:v>1.4038453724746884</c:v>
                </c:pt>
                <c:pt idx="52">
                  <c:v>1.4080408607711004</c:v>
                </c:pt>
                <c:pt idx="53">
                  <c:v>0.12139930833617714</c:v>
                </c:pt>
                <c:pt idx="54">
                  <c:v>0.15678828169797002</c:v>
                </c:pt>
                <c:pt idx="55">
                  <c:v>9.9610479955996548E-2</c:v>
                </c:pt>
                <c:pt idx="56">
                  <c:v>8.655434604758043E-2</c:v>
                </c:pt>
                <c:pt idx="57">
                  <c:v>0.16699458040969578</c:v>
                </c:pt>
                <c:pt idx="58">
                  <c:v>0.29484015140224962</c:v>
                </c:pt>
                <c:pt idx="59">
                  <c:v>0.10187297512346391</c:v>
                </c:pt>
                <c:pt idx="60">
                  <c:v>0.19250228985188653</c:v>
                </c:pt>
                <c:pt idx="61">
                  <c:v>0.17404309811078403</c:v>
                </c:pt>
                <c:pt idx="62">
                  <c:v>0.25385308716610172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03661248"/>
        <c:axId val="-1103663968"/>
      </c:scatterChart>
      <c:valAx>
        <c:axId val="-1103661248"/>
        <c:scaling>
          <c:orientation val="minMax"/>
          <c:max val="12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LA-ICPMS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-1103663968"/>
        <c:crosses val="autoZero"/>
        <c:crossBetween val="midCat"/>
      </c:valAx>
      <c:valAx>
        <c:axId val="-110366396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EPMA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-11036612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/>
              <a:t>Mn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477333333333333"/>
                  <c:y val="-3.9313646948828503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[1]Tabelle1!$P$3:$P$65</c:f>
                <c:numCache>
                  <c:formatCode>General</c:formatCode>
                  <c:ptCount val="63"/>
                  <c:pt idx="0">
                    <c:v>3.2040588397982052E-2</c:v>
                  </c:pt>
                  <c:pt idx="1">
                    <c:v>2.9831231479031408E-2</c:v>
                  </c:pt>
                  <c:pt idx="2">
                    <c:v>6.2051109645871953E-2</c:v>
                  </c:pt>
                  <c:pt idx="3">
                    <c:v>8.9406562026136199E-2</c:v>
                  </c:pt>
                  <c:pt idx="4">
                    <c:v>0.17907278818029998</c:v>
                  </c:pt>
                  <c:pt idx="5">
                    <c:v>0.84826987853218005</c:v>
                  </c:pt>
                  <c:pt idx="6">
                    <c:v>0.19073864981522065</c:v>
                  </c:pt>
                  <c:pt idx="7">
                    <c:v>0.30391933140226479</c:v>
                  </c:pt>
                  <c:pt idx="8">
                    <c:v>7.4439287118205882E-2</c:v>
                  </c:pt>
                  <c:pt idx="9">
                    <c:v>0.10631967691824505</c:v>
                  </c:pt>
                  <c:pt idx="10">
                    <c:v>1.4382239664870624E-2</c:v>
                  </c:pt>
                  <c:pt idx="11">
                    <c:v>9.6762815688673006E-3</c:v>
                  </c:pt>
                  <c:pt idx="12">
                    <c:v>0.23840343453901841</c:v>
                  </c:pt>
                  <c:pt idx="13">
                    <c:v>0.3505108734303245</c:v>
                  </c:pt>
                  <c:pt idx="14">
                    <c:v>0.2201856381878653</c:v>
                  </c:pt>
                  <c:pt idx="15">
                    <c:v>2.6627985278650065E-2</c:v>
                  </c:pt>
                  <c:pt idx="16">
                    <c:v>0.19334185516850724</c:v>
                  </c:pt>
                  <c:pt idx="17">
                    <c:v>5.5415821747945085E-2</c:v>
                  </c:pt>
                  <c:pt idx="18">
                    <c:v>3.97185889438725E-2</c:v>
                  </c:pt>
                  <c:pt idx="19">
                    <c:v>0.38601068108422976</c:v>
                  </c:pt>
                  <c:pt idx="20">
                    <c:v>4.2225572030859825E-2</c:v>
                  </c:pt>
                  <c:pt idx="21">
                    <c:v>7.485329842060702E-2</c:v>
                  </c:pt>
                  <c:pt idx="22">
                    <c:v>9.4254428145313193E-2</c:v>
                  </c:pt>
                  <c:pt idx="23">
                    <c:v>0.11344884544733508</c:v>
                  </c:pt>
                  <c:pt idx="24">
                    <c:v>0.23902896832810877</c:v>
                  </c:pt>
                  <c:pt idx="25">
                    <c:v>5.9052623989116648E-2</c:v>
                  </c:pt>
                  <c:pt idx="26">
                    <c:v>0.10195986505799542</c:v>
                  </c:pt>
                  <c:pt idx="27">
                    <c:v>0.37499742080061177</c:v>
                  </c:pt>
                  <c:pt idx="28">
                    <c:v>0.29160356292290623</c:v>
                  </c:pt>
                  <c:pt idx="29">
                    <c:v>9.8068467193985445E-2</c:v>
                  </c:pt>
                  <c:pt idx="30">
                    <c:v>5.6267476683456108E-2</c:v>
                  </c:pt>
                  <c:pt idx="31">
                    <c:v>0.17653580476114941</c:v>
                  </c:pt>
                  <c:pt idx="32">
                    <c:v>0.2724321783949174</c:v>
                  </c:pt>
                  <c:pt idx="33">
                    <c:v>0.1041090556419885</c:v>
                  </c:pt>
                  <c:pt idx="34">
                    <c:v>9.0303952444843114E-2</c:v>
                  </c:pt>
                  <c:pt idx="35">
                    <c:v>0.18197196884727562</c:v>
                  </c:pt>
                  <c:pt idx="36">
                    <c:v>0.13424717700321795</c:v>
                  </c:pt>
                  <c:pt idx="37">
                    <c:v>0.12774723414966349</c:v>
                  </c:pt>
                  <c:pt idx="38">
                    <c:v>9.8686210857106507E-2</c:v>
                  </c:pt>
                  <c:pt idx="39">
                    <c:v>0.21317964868951397</c:v>
                  </c:pt>
                  <c:pt idx="40">
                    <c:v>0.23048120425763433</c:v>
                  </c:pt>
                  <c:pt idx="41">
                    <c:v>5.8732813467241449E-2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</c:numCache>
              </c:numRef>
            </c:plus>
            <c:minus>
              <c:numRef>
                <c:f>[1]Tabelle1!$P$3:$P$65</c:f>
                <c:numCache>
                  <c:formatCode>General</c:formatCode>
                  <c:ptCount val="63"/>
                  <c:pt idx="0">
                    <c:v>3.2040588397982052E-2</c:v>
                  </c:pt>
                  <c:pt idx="1">
                    <c:v>2.9831231479031408E-2</c:v>
                  </c:pt>
                  <c:pt idx="2">
                    <c:v>6.2051109645871953E-2</c:v>
                  </c:pt>
                  <c:pt idx="3">
                    <c:v>8.9406562026136199E-2</c:v>
                  </c:pt>
                  <c:pt idx="4">
                    <c:v>0.17907278818029998</c:v>
                  </c:pt>
                  <c:pt idx="5">
                    <c:v>0.84826987853218005</c:v>
                  </c:pt>
                  <c:pt idx="6">
                    <c:v>0.19073864981522065</c:v>
                  </c:pt>
                  <c:pt idx="7">
                    <c:v>0.30391933140226479</c:v>
                  </c:pt>
                  <c:pt idx="8">
                    <c:v>7.4439287118205882E-2</c:v>
                  </c:pt>
                  <c:pt idx="9">
                    <c:v>0.10631967691824505</c:v>
                  </c:pt>
                  <c:pt idx="10">
                    <c:v>1.4382239664870624E-2</c:v>
                  </c:pt>
                  <c:pt idx="11">
                    <c:v>9.6762815688673006E-3</c:v>
                  </c:pt>
                  <c:pt idx="12">
                    <c:v>0.23840343453901841</c:v>
                  </c:pt>
                  <c:pt idx="13">
                    <c:v>0.3505108734303245</c:v>
                  </c:pt>
                  <c:pt idx="14">
                    <c:v>0.2201856381878653</c:v>
                  </c:pt>
                  <c:pt idx="15">
                    <c:v>2.6627985278650065E-2</c:v>
                  </c:pt>
                  <c:pt idx="16">
                    <c:v>0.19334185516850724</c:v>
                  </c:pt>
                  <c:pt idx="17">
                    <c:v>5.5415821747945085E-2</c:v>
                  </c:pt>
                  <c:pt idx="18">
                    <c:v>3.97185889438725E-2</c:v>
                  </c:pt>
                  <c:pt idx="19">
                    <c:v>0.38601068108422976</c:v>
                  </c:pt>
                  <c:pt idx="20">
                    <c:v>4.2225572030859825E-2</c:v>
                  </c:pt>
                  <c:pt idx="21">
                    <c:v>7.485329842060702E-2</c:v>
                  </c:pt>
                  <c:pt idx="22">
                    <c:v>9.4254428145313193E-2</c:v>
                  </c:pt>
                  <c:pt idx="23">
                    <c:v>0.11344884544733508</c:v>
                  </c:pt>
                  <c:pt idx="24">
                    <c:v>0.23902896832810877</c:v>
                  </c:pt>
                  <c:pt idx="25">
                    <c:v>5.9052623989116648E-2</c:v>
                  </c:pt>
                  <c:pt idx="26">
                    <c:v>0.10195986505799542</c:v>
                  </c:pt>
                  <c:pt idx="27">
                    <c:v>0.37499742080061177</c:v>
                  </c:pt>
                  <c:pt idx="28">
                    <c:v>0.29160356292290623</c:v>
                  </c:pt>
                  <c:pt idx="29">
                    <c:v>9.8068467193985445E-2</c:v>
                  </c:pt>
                  <c:pt idx="30">
                    <c:v>5.6267476683456108E-2</c:v>
                  </c:pt>
                  <c:pt idx="31">
                    <c:v>0.17653580476114941</c:v>
                  </c:pt>
                  <c:pt idx="32">
                    <c:v>0.2724321783949174</c:v>
                  </c:pt>
                  <c:pt idx="33">
                    <c:v>0.1041090556419885</c:v>
                  </c:pt>
                  <c:pt idx="34">
                    <c:v>9.0303952444843114E-2</c:v>
                  </c:pt>
                  <c:pt idx="35">
                    <c:v>0.18197196884727562</c:v>
                  </c:pt>
                  <c:pt idx="36">
                    <c:v>0.13424717700321795</c:v>
                  </c:pt>
                  <c:pt idx="37">
                    <c:v>0.12774723414966349</c:v>
                  </c:pt>
                  <c:pt idx="38">
                    <c:v>9.8686210857106507E-2</c:v>
                  </c:pt>
                  <c:pt idx="39">
                    <c:v>0.21317964868951397</c:v>
                  </c:pt>
                  <c:pt idx="40">
                    <c:v>0.23048120425763433</c:v>
                  </c:pt>
                  <c:pt idx="41">
                    <c:v>5.8732813467241449E-2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[1]Tabelle1!$M$3:$M$65</c:f>
                <c:numCache>
                  <c:formatCode>General</c:formatCode>
                  <c:ptCount val="63"/>
                  <c:pt idx="0">
                    <c:v>205.87457976031843</c:v>
                  </c:pt>
                  <c:pt idx="1">
                    <c:v>193.13485200505434</c:v>
                  </c:pt>
                  <c:pt idx="2">
                    <c:v>311.59379047469213</c:v>
                  </c:pt>
                  <c:pt idx="3">
                    <c:v>521.58498620956084</c:v>
                  </c:pt>
                  <c:pt idx="4">
                    <c:v>1072.7751789580482</c:v>
                  </c:pt>
                  <c:pt idx="5">
                    <c:v>4739.1672727900268</c:v>
                  </c:pt>
                  <c:pt idx="6">
                    <c:v>1486.7461278830538</c:v>
                  </c:pt>
                  <c:pt idx="7">
                    <c:v>1750.2379638077302</c:v>
                  </c:pt>
                  <c:pt idx="8">
                    <c:v>474.42071048735033</c:v>
                  </c:pt>
                  <c:pt idx="9">
                    <c:v>458.24141166788888</c:v>
                  </c:pt>
                  <c:pt idx="10">
                    <c:v>99.175397707162688</c:v>
                  </c:pt>
                  <c:pt idx="11">
                    <c:v>110.62166381037744</c:v>
                  </c:pt>
                  <c:pt idx="12">
                    <c:v>1360.0754801566466</c:v>
                  </c:pt>
                  <c:pt idx="13">
                    <c:v>2117.7556003701247</c:v>
                  </c:pt>
                  <c:pt idx="14">
                    <c:v>1193.8943162568667</c:v>
                  </c:pt>
                  <c:pt idx="15">
                    <c:v>154.9702362065045</c:v>
                  </c:pt>
                  <c:pt idx="16">
                    <c:v>1145.0211852038001</c:v>
                  </c:pt>
                  <c:pt idx="17">
                    <c:v>347.0855023261841</c:v>
                  </c:pt>
                  <c:pt idx="18">
                    <c:v>240.55121897769072</c:v>
                  </c:pt>
                  <c:pt idx="19">
                    <c:v>2351.3490845122174</c:v>
                  </c:pt>
                  <c:pt idx="20">
                    <c:v>258.64661263865179</c:v>
                  </c:pt>
                  <c:pt idx="21">
                    <c:v>558.2586418280996</c:v>
                  </c:pt>
                  <c:pt idx="22">
                    <c:v>532.34581080049395</c:v>
                  </c:pt>
                  <c:pt idx="23">
                    <c:v>780.73769209234433</c:v>
                  </c:pt>
                  <c:pt idx="24">
                    <c:v>1457.3841548557677</c:v>
                  </c:pt>
                  <c:pt idx="25">
                    <c:v>313.99534686195557</c:v>
                  </c:pt>
                  <c:pt idx="26">
                    <c:v>717.30152496759331</c:v>
                  </c:pt>
                  <c:pt idx="27">
                    <c:v>2177.5213349088463</c:v>
                  </c:pt>
                  <c:pt idx="28">
                    <c:v>1703.2320191216484</c:v>
                  </c:pt>
                  <c:pt idx="29">
                    <c:v>586.69526262632485</c:v>
                  </c:pt>
                  <c:pt idx="30">
                    <c:v>235.67903753153621</c:v>
                  </c:pt>
                  <c:pt idx="31">
                    <c:v>1033.2422869031511</c:v>
                  </c:pt>
                  <c:pt idx="32">
                    <c:v>1521.3108849865616</c:v>
                  </c:pt>
                  <c:pt idx="33">
                    <c:v>529.16113195751791</c:v>
                  </c:pt>
                  <c:pt idx="34">
                    <c:v>522.85230758446994</c:v>
                  </c:pt>
                  <c:pt idx="35">
                    <c:v>1061.4864847384492</c:v>
                  </c:pt>
                  <c:pt idx="36">
                    <c:v>496.33210878565973</c:v>
                  </c:pt>
                  <c:pt idx="37">
                    <c:v>769.22218408464619</c:v>
                  </c:pt>
                  <c:pt idx="38">
                    <c:v>843.44334903270737</c:v>
                  </c:pt>
                  <c:pt idx="39">
                    <c:v>1190.5446955777516</c:v>
                  </c:pt>
                  <c:pt idx="40">
                    <c:v>1141.3666956775287</c:v>
                  </c:pt>
                  <c:pt idx="41">
                    <c:v>365.86746682012682</c:v>
                  </c:pt>
                  <c:pt idx="42">
                    <c:v>32.166602441588239</c:v>
                  </c:pt>
                  <c:pt idx="43">
                    <c:v>49.487011615941711</c:v>
                  </c:pt>
                  <c:pt idx="44">
                    <c:v>34.134818123882219</c:v>
                  </c:pt>
                  <c:pt idx="45">
                    <c:v>31.872355621671467</c:v>
                  </c:pt>
                  <c:pt idx="46">
                    <c:v>19.699121678663893</c:v>
                  </c:pt>
                  <c:pt idx="47">
                    <c:v>27.124522267696069</c:v>
                  </c:pt>
                  <c:pt idx="48">
                    <c:v>29.372467357888784</c:v>
                  </c:pt>
                  <c:pt idx="49">
                    <c:v>40.815328415290431</c:v>
                  </c:pt>
                  <c:pt idx="50">
                    <c:v>21.472210699028118</c:v>
                  </c:pt>
                  <c:pt idx="51">
                    <c:v>16.947033151954294</c:v>
                  </c:pt>
                  <c:pt idx="52">
                    <c:v>16.747483137074543</c:v>
                  </c:pt>
                  <c:pt idx="53">
                    <c:v>0.34012092703754049</c:v>
                  </c:pt>
                  <c:pt idx="54">
                    <c:v>0.13081065953943236</c:v>
                  </c:pt>
                  <c:pt idx="55">
                    <c:v>0.70264833964574003</c:v>
                  </c:pt>
                  <c:pt idx="56">
                    <c:v>0.34438926352153837</c:v>
                  </c:pt>
                  <c:pt idx="57">
                    <c:v>0.8106388548997292</c:v>
                  </c:pt>
                  <c:pt idx="58">
                    <c:v>1.3445391417073356</c:v>
                  </c:pt>
                  <c:pt idx="59">
                    <c:v>0.31464458813274815</c:v>
                  </c:pt>
                  <c:pt idx="60">
                    <c:v>0.70513316344208032</c:v>
                  </c:pt>
                  <c:pt idx="61">
                    <c:v>17.669982405506186</c:v>
                  </c:pt>
                  <c:pt idx="62">
                    <c:v>16.537533320224163</c:v>
                  </c:pt>
                </c:numCache>
              </c:numRef>
            </c:plus>
            <c:minus>
              <c:numRef>
                <c:f>[1]Tabelle1!$M$3:$M$65</c:f>
                <c:numCache>
                  <c:formatCode>General</c:formatCode>
                  <c:ptCount val="63"/>
                  <c:pt idx="0">
                    <c:v>205.87457976031843</c:v>
                  </c:pt>
                  <c:pt idx="1">
                    <c:v>193.13485200505434</c:v>
                  </c:pt>
                  <c:pt idx="2">
                    <c:v>311.59379047469213</c:v>
                  </c:pt>
                  <c:pt idx="3">
                    <c:v>521.58498620956084</c:v>
                  </c:pt>
                  <c:pt idx="4">
                    <c:v>1072.7751789580482</c:v>
                  </c:pt>
                  <c:pt idx="5">
                    <c:v>4739.1672727900268</c:v>
                  </c:pt>
                  <c:pt idx="6">
                    <c:v>1486.7461278830538</c:v>
                  </c:pt>
                  <c:pt idx="7">
                    <c:v>1750.2379638077302</c:v>
                  </c:pt>
                  <c:pt idx="8">
                    <c:v>474.42071048735033</c:v>
                  </c:pt>
                  <c:pt idx="9">
                    <c:v>458.24141166788888</c:v>
                  </c:pt>
                  <c:pt idx="10">
                    <c:v>99.175397707162688</c:v>
                  </c:pt>
                  <c:pt idx="11">
                    <c:v>110.62166381037744</c:v>
                  </c:pt>
                  <c:pt idx="12">
                    <c:v>1360.0754801566466</c:v>
                  </c:pt>
                  <c:pt idx="13">
                    <c:v>2117.7556003701247</c:v>
                  </c:pt>
                  <c:pt idx="14">
                    <c:v>1193.8943162568667</c:v>
                  </c:pt>
                  <c:pt idx="15">
                    <c:v>154.9702362065045</c:v>
                  </c:pt>
                  <c:pt idx="16">
                    <c:v>1145.0211852038001</c:v>
                  </c:pt>
                  <c:pt idx="17">
                    <c:v>347.0855023261841</c:v>
                  </c:pt>
                  <c:pt idx="18">
                    <c:v>240.55121897769072</c:v>
                  </c:pt>
                  <c:pt idx="19">
                    <c:v>2351.3490845122174</c:v>
                  </c:pt>
                  <c:pt idx="20">
                    <c:v>258.64661263865179</c:v>
                  </c:pt>
                  <c:pt idx="21">
                    <c:v>558.2586418280996</c:v>
                  </c:pt>
                  <c:pt idx="22">
                    <c:v>532.34581080049395</c:v>
                  </c:pt>
                  <c:pt idx="23">
                    <c:v>780.73769209234433</c:v>
                  </c:pt>
                  <c:pt idx="24">
                    <c:v>1457.3841548557677</c:v>
                  </c:pt>
                  <c:pt idx="25">
                    <c:v>313.99534686195557</c:v>
                  </c:pt>
                  <c:pt idx="26">
                    <c:v>717.30152496759331</c:v>
                  </c:pt>
                  <c:pt idx="27">
                    <c:v>2177.5213349088463</c:v>
                  </c:pt>
                  <c:pt idx="28">
                    <c:v>1703.2320191216484</c:v>
                  </c:pt>
                  <c:pt idx="29">
                    <c:v>586.69526262632485</c:v>
                  </c:pt>
                  <c:pt idx="30">
                    <c:v>235.67903753153621</c:v>
                  </c:pt>
                  <c:pt idx="31">
                    <c:v>1033.2422869031511</c:v>
                  </c:pt>
                  <c:pt idx="32">
                    <c:v>1521.3108849865616</c:v>
                  </c:pt>
                  <c:pt idx="33">
                    <c:v>529.16113195751791</c:v>
                  </c:pt>
                  <c:pt idx="34">
                    <c:v>522.85230758446994</c:v>
                  </c:pt>
                  <c:pt idx="35">
                    <c:v>1061.4864847384492</c:v>
                  </c:pt>
                  <c:pt idx="36">
                    <c:v>496.33210878565973</c:v>
                  </c:pt>
                  <c:pt idx="37">
                    <c:v>769.22218408464619</c:v>
                  </c:pt>
                  <c:pt idx="38">
                    <c:v>843.44334903270737</c:v>
                  </c:pt>
                  <c:pt idx="39">
                    <c:v>1190.5446955777516</c:v>
                  </c:pt>
                  <c:pt idx="40">
                    <c:v>1141.3666956775287</c:v>
                  </c:pt>
                  <c:pt idx="41">
                    <c:v>365.86746682012682</c:v>
                  </c:pt>
                  <c:pt idx="42">
                    <c:v>32.166602441588239</c:v>
                  </c:pt>
                  <c:pt idx="43">
                    <c:v>49.487011615941711</c:v>
                  </c:pt>
                  <c:pt idx="44">
                    <c:v>34.134818123882219</c:v>
                  </c:pt>
                  <c:pt idx="45">
                    <c:v>31.872355621671467</c:v>
                  </c:pt>
                  <c:pt idx="46">
                    <c:v>19.699121678663893</c:v>
                  </c:pt>
                  <c:pt idx="47">
                    <c:v>27.124522267696069</c:v>
                  </c:pt>
                  <c:pt idx="48">
                    <c:v>29.372467357888784</c:v>
                  </c:pt>
                  <c:pt idx="49">
                    <c:v>40.815328415290431</c:v>
                  </c:pt>
                  <c:pt idx="50">
                    <c:v>21.472210699028118</c:v>
                  </c:pt>
                  <c:pt idx="51">
                    <c:v>16.947033151954294</c:v>
                  </c:pt>
                  <c:pt idx="52">
                    <c:v>16.747483137074543</c:v>
                  </c:pt>
                  <c:pt idx="53">
                    <c:v>0.34012092703754049</c:v>
                  </c:pt>
                  <c:pt idx="54">
                    <c:v>0.13081065953943236</c:v>
                  </c:pt>
                  <c:pt idx="55">
                    <c:v>0.70264833964574003</c:v>
                  </c:pt>
                  <c:pt idx="56">
                    <c:v>0.34438926352153837</c:v>
                  </c:pt>
                  <c:pt idx="57">
                    <c:v>0.8106388548997292</c:v>
                  </c:pt>
                  <c:pt idx="58">
                    <c:v>1.3445391417073356</c:v>
                  </c:pt>
                  <c:pt idx="59">
                    <c:v>0.31464458813274815</c:v>
                  </c:pt>
                  <c:pt idx="60">
                    <c:v>0.70513316344208032</c:v>
                  </c:pt>
                  <c:pt idx="61">
                    <c:v>17.669982405506186</c:v>
                  </c:pt>
                  <c:pt idx="62">
                    <c:v>16.537533320224163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[1]Tabelle1!$E$3:$E$65</c:f>
              <c:numCache>
                <c:formatCode>General</c:formatCode>
                <c:ptCount val="63"/>
                <c:pt idx="0">
                  <c:v>1689.9378190361865</c:v>
                </c:pt>
                <c:pt idx="1">
                  <c:v>427.6138819495892</c:v>
                </c:pt>
                <c:pt idx="2">
                  <c:v>1132.8989572578819</c:v>
                </c:pt>
                <c:pt idx="3">
                  <c:v>1356.7311671354566</c:v>
                </c:pt>
                <c:pt idx="4">
                  <c:v>3347.6624616268696</c:v>
                </c:pt>
                <c:pt idx="5">
                  <c:v>10386.397366487807</c:v>
                </c:pt>
                <c:pt idx="6">
                  <c:v>12392.301519551462</c:v>
                </c:pt>
                <c:pt idx="7">
                  <c:v>8380.1615594705909</c:v>
                </c:pt>
                <c:pt idx="8">
                  <c:v>3881.6207692260177</c:v>
                </c:pt>
                <c:pt idx="9">
                  <c:v>1388.3038876645014</c:v>
                </c:pt>
                <c:pt idx="10">
                  <c:v>1013.5406065168523</c:v>
                </c:pt>
                <c:pt idx="11">
                  <c:v>679.55615720297465</c:v>
                </c:pt>
                <c:pt idx="12">
                  <c:v>2062.8054010042724</c:v>
                </c:pt>
                <c:pt idx="13">
                  <c:v>5271.6349899513889</c:v>
                </c:pt>
                <c:pt idx="14">
                  <c:v>1753.6659047192875</c:v>
                </c:pt>
                <c:pt idx="15">
                  <c:v>1169.9510860056057</c:v>
                </c:pt>
                <c:pt idx="16">
                  <c:v>2831.0835868184809</c:v>
                </c:pt>
                <c:pt idx="17">
                  <c:v>2079.8501265506493</c:v>
                </c:pt>
                <c:pt idx="18">
                  <c:v>1196.4691763556227</c:v>
                </c:pt>
                <c:pt idx="19">
                  <c:v>4277.7402928135589</c:v>
                </c:pt>
                <c:pt idx="20">
                  <c:v>1852.1084317147368</c:v>
                </c:pt>
                <c:pt idx="21">
                  <c:v>1710.6252025677406</c:v>
                </c:pt>
                <c:pt idx="22">
                  <c:v>1521.0730272606079</c:v>
                </c:pt>
                <c:pt idx="23">
                  <c:v>1488.0312467631477</c:v>
                </c:pt>
                <c:pt idx="24">
                  <c:v>3072.6244817674333</c:v>
                </c:pt>
                <c:pt idx="25">
                  <c:v>834.09398439217807</c:v>
                </c:pt>
                <c:pt idx="26">
                  <c:v>359.46013680127828</c:v>
                </c:pt>
                <c:pt idx="27">
                  <c:v>5972.1604484338186</c:v>
                </c:pt>
                <c:pt idx="28">
                  <c:v>3101.6032620018477</c:v>
                </c:pt>
                <c:pt idx="29">
                  <c:v>2386.4375023385464</c:v>
                </c:pt>
                <c:pt idx="30">
                  <c:v>3297.7078348284522</c:v>
                </c:pt>
                <c:pt idx="31">
                  <c:v>2288.300104781325</c:v>
                </c:pt>
                <c:pt idx="32">
                  <c:v>4483.8218364766208</c:v>
                </c:pt>
                <c:pt idx="33">
                  <c:v>1398.7011472683905</c:v>
                </c:pt>
                <c:pt idx="34">
                  <c:v>4201.9291755767226</c:v>
                </c:pt>
                <c:pt idx="35">
                  <c:v>1283.6774851716732</c:v>
                </c:pt>
                <c:pt idx="36">
                  <c:v>2394.5486652621739</c:v>
                </c:pt>
                <c:pt idx="37">
                  <c:v>5943.7468339757179</c:v>
                </c:pt>
                <c:pt idx="38">
                  <c:v>3771.2516500451939</c:v>
                </c:pt>
                <c:pt idx="39">
                  <c:v>1044.655671788817</c:v>
                </c:pt>
                <c:pt idx="40">
                  <c:v>1657.1478250460311</c:v>
                </c:pt>
                <c:pt idx="41">
                  <c:v>724.3250046308533</c:v>
                </c:pt>
                <c:pt idx="42">
                  <c:v>208.1610614839239</c:v>
                </c:pt>
                <c:pt idx="43">
                  <c:v>160.15576707951342</c:v>
                </c:pt>
                <c:pt idx="44">
                  <c:v>197.60296459259578</c:v>
                </c:pt>
                <c:pt idx="45">
                  <c:v>147.85792265747989</c:v>
                </c:pt>
                <c:pt idx="46">
                  <c:v>175.42534104706021</c:v>
                </c:pt>
                <c:pt idx="47">
                  <c:v>215.06850848655961</c:v>
                </c:pt>
                <c:pt idx="48">
                  <c:v>197.59152839061326</c:v>
                </c:pt>
                <c:pt idx="49">
                  <c:v>419.7409256888638</c:v>
                </c:pt>
                <c:pt idx="50">
                  <c:v>218.22275091433272</c:v>
                </c:pt>
                <c:pt idx="51">
                  <c:v>188.40593090005621</c:v>
                </c:pt>
                <c:pt idx="52">
                  <c:v>201.56958583413541</c:v>
                </c:pt>
                <c:pt idx="53">
                  <c:v>0.96111023202342505</c:v>
                </c:pt>
                <c:pt idx="54">
                  <c:v>0.84248794378989433</c:v>
                </c:pt>
                <c:pt idx="55">
                  <c:v>1.4341180727368268</c:v>
                </c:pt>
                <c:pt idx="56">
                  <c:v>1.0880906699594515</c:v>
                </c:pt>
                <c:pt idx="57">
                  <c:v>2.3801224627004065</c:v>
                </c:pt>
                <c:pt idx="58">
                  <c:v>2.8611882795198778</c:v>
                </c:pt>
                <c:pt idx="59">
                  <c:v>1.5085937478752498</c:v>
                </c:pt>
                <c:pt idx="60">
                  <c:v>1.7899791387532524</c:v>
                </c:pt>
                <c:pt idx="61">
                  <c:v>13.400717680540783</c:v>
                </c:pt>
                <c:pt idx="62">
                  <c:v>7.7530502345173735</c:v>
                </c:pt>
              </c:numCache>
            </c:numRef>
          </c:xVal>
          <c:yVal>
            <c:numRef>
              <c:f>[1]Tabelle1!$H$3:$H$65</c:f>
              <c:numCache>
                <c:formatCode>General</c:formatCode>
                <c:ptCount val="63"/>
                <c:pt idx="0">
                  <c:v>0.26142729136913834</c:v>
                </c:pt>
                <c:pt idx="1">
                  <c:v>5.0963095193591761E-2</c:v>
                </c:pt>
                <c:pt idx="2">
                  <c:v>0.1868710240475959</c:v>
                </c:pt>
                <c:pt idx="3">
                  <c:v>0.22912970948422223</c:v>
                </c:pt>
                <c:pt idx="4">
                  <c:v>0.55265833467978087</c:v>
                </c:pt>
                <c:pt idx="5">
                  <c:v>1.8668858650024454</c:v>
                </c:pt>
                <c:pt idx="6">
                  <c:v>2.0734435455475073</c:v>
                </c:pt>
                <c:pt idx="7">
                  <c:v>1.3867399391042519</c:v>
                </c:pt>
                <c:pt idx="8">
                  <c:v>0.64009010003561428</c:v>
                </c:pt>
                <c:pt idx="9">
                  <c:v>0.23636347381263054</c:v>
                </c:pt>
                <c:pt idx="10">
                  <c:v>0.16754954380714243</c:v>
                </c:pt>
                <c:pt idx="11">
                  <c:v>0.11637140451761946</c:v>
                </c:pt>
                <c:pt idx="12">
                  <c:v>0.33294785514393577</c:v>
                </c:pt>
                <c:pt idx="13">
                  <c:v>0.86829797715251555</c:v>
                </c:pt>
                <c:pt idx="14">
                  <c:v>0.11600084008723079</c:v>
                </c:pt>
                <c:pt idx="15">
                  <c:v>0.19870271625913008</c:v>
                </c:pt>
                <c:pt idx="16">
                  <c:v>0.44556269869509085</c:v>
                </c:pt>
                <c:pt idx="17">
                  <c:v>0.34243823630172077</c:v>
                </c:pt>
                <c:pt idx="18">
                  <c:v>0.19989862098040892</c:v>
                </c:pt>
                <c:pt idx="19">
                  <c:v>0.90400322594660487</c:v>
                </c:pt>
                <c:pt idx="20">
                  <c:v>0.30537996683729213</c:v>
                </c:pt>
                <c:pt idx="21">
                  <c:v>0.28331898497881475</c:v>
                </c:pt>
                <c:pt idx="22">
                  <c:v>0.20851828553580565</c:v>
                </c:pt>
                <c:pt idx="23">
                  <c:v>0.24632141211774955</c:v>
                </c:pt>
                <c:pt idx="24">
                  <c:v>0.51185701028025687</c:v>
                </c:pt>
                <c:pt idx="25">
                  <c:v>0.12014745930194178</c:v>
                </c:pt>
                <c:pt idx="26">
                  <c:v>0.13423402257920528</c:v>
                </c:pt>
                <c:pt idx="27">
                  <c:v>0.71820021705100123</c:v>
                </c:pt>
                <c:pt idx="28">
                  <c:v>0.42493820843085917</c:v>
                </c:pt>
                <c:pt idx="29">
                  <c:v>0.39181891005156122</c:v>
                </c:pt>
                <c:pt idx="30">
                  <c:v>0.57270011621683459</c:v>
                </c:pt>
                <c:pt idx="31">
                  <c:v>0.38325499846676203</c:v>
                </c:pt>
                <c:pt idx="32">
                  <c:v>0.73938379646867169</c:v>
                </c:pt>
                <c:pt idx="33">
                  <c:v>0.25324074310329636</c:v>
                </c:pt>
                <c:pt idx="34">
                  <c:v>0.70940918752530635</c:v>
                </c:pt>
                <c:pt idx="35">
                  <c:v>0.26929119648878475</c:v>
                </c:pt>
                <c:pt idx="36">
                  <c:v>0.31116049455730038</c:v>
                </c:pt>
                <c:pt idx="37">
                  <c:v>1.0051743975840957</c:v>
                </c:pt>
                <c:pt idx="38">
                  <c:v>0.56985109319859939</c:v>
                </c:pt>
                <c:pt idx="39">
                  <c:v>0.21723248518714486</c:v>
                </c:pt>
                <c:pt idx="40">
                  <c:v>0.28645987111081339</c:v>
                </c:pt>
                <c:pt idx="41">
                  <c:v>0.10349619251898318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03660704"/>
        <c:axId val="-1103657440"/>
      </c:scatterChart>
      <c:valAx>
        <c:axId val="-1103660704"/>
        <c:scaling>
          <c:orientation val="minMax"/>
          <c:max val="15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LA-ICPMS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-1103657440"/>
        <c:crosses val="autoZero"/>
        <c:crossBetween val="midCat"/>
      </c:valAx>
      <c:valAx>
        <c:axId val="-1103657440"/>
        <c:scaling>
          <c:orientation val="minMax"/>
          <c:max val="2.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EPMA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-11036607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/>
              <a:t>In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905749999999999"/>
                  <c:y val="-0.12275027777777778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[1]Tabelle1!$Q$3:$Q$65</c:f>
                <c:numCache>
                  <c:formatCode>General</c:formatCode>
                  <c:ptCount val="63"/>
                  <c:pt idx="0">
                    <c:v>3.1110255543791345E-2</c:v>
                  </c:pt>
                  <c:pt idx="1">
                    <c:v>1.1315017443781801E-2</c:v>
                  </c:pt>
                  <c:pt idx="2">
                    <c:v>4.0124590167310986E-2</c:v>
                  </c:pt>
                  <c:pt idx="3">
                    <c:v>4.5328589947919919E-2</c:v>
                  </c:pt>
                  <c:pt idx="4">
                    <c:v>9.0484055317313586E-2</c:v>
                  </c:pt>
                  <c:pt idx="5">
                    <c:v>8.8562219183276267E-3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4.4558065487630846E-2</c:v>
                  </c:pt>
                  <c:pt idx="10">
                    <c:v>6.2252245367804486E-2</c:v>
                  </c:pt>
                  <c:pt idx="11">
                    <c:v>1.47E-2</c:v>
                  </c:pt>
                  <c:pt idx="12">
                    <c:v>3.1144749557509632E-2</c:v>
                  </c:pt>
                  <c:pt idx="13">
                    <c:v>3.8149072649279442E-2</c:v>
                  </c:pt>
                  <c:pt idx="14">
                    <c:v>1.5788724616003658E-2</c:v>
                  </c:pt>
                  <c:pt idx="15">
                    <c:v>2.2019645773717598E-2</c:v>
                  </c:pt>
                  <c:pt idx="16">
                    <c:v>2.9400000000000025E-3</c:v>
                  </c:pt>
                  <c:pt idx="17">
                    <c:v>4.0159506969085178E-2</c:v>
                  </c:pt>
                  <c:pt idx="18">
                    <c:v>4.6131760792822052E-2</c:v>
                  </c:pt>
                  <c:pt idx="19">
                    <c:v>8.8512695699543592E-2</c:v>
                  </c:pt>
                  <c:pt idx="20">
                    <c:v>0</c:v>
                  </c:pt>
                  <c:pt idx="21">
                    <c:v>2.6024079960255651E-2</c:v>
                  </c:pt>
                  <c:pt idx="22">
                    <c:v>2.5704650681669775E-2</c:v>
                  </c:pt>
                  <c:pt idx="23">
                    <c:v>0</c:v>
                  </c:pt>
                  <c:pt idx="24">
                    <c:v>9.7489595855147534E-2</c:v>
                  </c:pt>
                  <c:pt idx="25">
                    <c:v>2.8150184724083028E-2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1.9162278918054956E-2</c:v>
                  </c:pt>
                  <c:pt idx="32">
                    <c:v>0</c:v>
                  </c:pt>
                  <c:pt idx="33">
                    <c:v>2.003721249187233E-2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5.8711043821981683E-3</c:v>
                  </c:pt>
                  <c:pt idx="41">
                    <c:v>3.9412486600061143E-2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</c:numCache>
              </c:numRef>
            </c:plus>
            <c:minus>
              <c:numRef>
                <c:f>[1]Tabelle1!$Q$3:$Q$65</c:f>
                <c:numCache>
                  <c:formatCode>General</c:formatCode>
                  <c:ptCount val="63"/>
                  <c:pt idx="0">
                    <c:v>3.1110255543791345E-2</c:v>
                  </c:pt>
                  <c:pt idx="1">
                    <c:v>1.1315017443781801E-2</c:v>
                  </c:pt>
                  <c:pt idx="2">
                    <c:v>4.0124590167310986E-2</c:v>
                  </c:pt>
                  <c:pt idx="3">
                    <c:v>4.5328589947919919E-2</c:v>
                  </c:pt>
                  <c:pt idx="4">
                    <c:v>9.0484055317313586E-2</c:v>
                  </c:pt>
                  <c:pt idx="5">
                    <c:v>8.8562219183276267E-3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4.4558065487630846E-2</c:v>
                  </c:pt>
                  <c:pt idx="10">
                    <c:v>6.2252245367804486E-2</c:v>
                  </c:pt>
                  <c:pt idx="11">
                    <c:v>1.47E-2</c:v>
                  </c:pt>
                  <c:pt idx="12">
                    <c:v>3.1144749557509632E-2</c:v>
                  </c:pt>
                  <c:pt idx="13">
                    <c:v>3.8149072649279442E-2</c:v>
                  </c:pt>
                  <c:pt idx="14">
                    <c:v>1.5788724616003658E-2</c:v>
                  </c:pt>
                  <c:pt idx="15">
                    <c:v>2.2019645773717598E-2</c:v>
                  </c:pt>
                  <c:pt idx="16">
                    <c:v>2.9400000000000025E-3</c:v>
                  </c:pt>
                  <c:pt idx="17">
                    <c:v>4.0159506969085178E-2</c:v>
                  </c:pt>
                  <c:pt idx="18">
                    <c:v>4.6131760792822052E-2</c:v>
                  </c:pt>
                  <c:pt idx="19">
                    <c:v>8.8512695699543592E-2</c:v>
                  </c:pt>
                  <c:pt idx="20">
                    <c:v>0</c:v>
                  </c:pt>
                  <c:pt idx="21">
                    <c:v>2.6024079960255651E-2</c:v>
                  </c:pt>
                  <c:pt idx="22">
                    <c:v>2.5704650681669775E-2</c:v>
                  </c:pt>
                  <c:pt idx="23">
                    <c:v>0</c:v>
                  </c:pt>
                  <c:pt idx="24">
                    <c:v>9.7489595855147534E-2</c:v>
                  </c:pt>
                  <c:pt idx="25">
                    <c:v>2.8150184724083028E-2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1.9162278918054956E-2</c:v>
                  </c:pt>
                  <c:pt idx="32">
                    <c:v>0</c:v>
                  </c:pt>
                  <c:pt idx="33">
                    <c:v>2.003721249187233E-2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5.8711043821981683E-3</c:v>
                  </c:pt>
                  <c:pt idx="41">
                    <c:v>3.9412486600061143E-2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[1]Tabelle1!$N$3:$N$65</c:f>
                <c:numCache>
                  <c:formatCode>General</c:formatCode>
                  <c:ptCount val="63"/>
                  <c:pt idx="0">
                    <c:v>111.15707430644299</c:v>
                  </c:pt>
                  <c:pt idx="1">
                    <c:v>53.294698127008623</c:v>
                  </c:pt>
                  <c:pt idx="2">
                    <c:v>199.96323716047073</c:v>
                  </c:pt>
                  <c:pt idx="3">
                    <c:v>237.4970619503253</c:v>
                  </c:pt>
                  <c:pt idx="4">
                    <c:v>542.41582713003959</c:v>
                  </c:pt>
                  <c:pt idx="5">
                    <c:v>51.283723050438276</c:v>
                  </c:pt>
                  <c:pt idx="6">
                    <c:v>77.900735152076834</c:v>
                  </c:pt>
                  <c:pt idx="7">
                    <c:v>6.8834108480513416</c:v>
                  </c:pt>
                  <c:pt idx="8">
                    <c:v>5.5749693286001927</c:v>
                  </c:pt>
                  <c:pt idx="9">
                    <c:v>141.79219250370306</c:v>
                  </c:pt>
                  <c:pt idx="10">
                    <c:v>271.18521926898779</c:v>
                  </c:pt>
                  <c:pt idx="11">
                    <c:v>27.256360216387911</c:v>
                  </c:pt>
                  <c:pt idx="12">
                    <c:v>161.49759340324539</c:v>
                  </c:pt>
                  <c:pt idx="13">
                    <c:v>167.48775877737216</c:v>
                  </c:pt>
                  <c:pt idx="14">
                    <c:v>70.774986304408586</c:v>
                  </c:pt>
                  <c:pt idx="15">
                    <c:v>104.34714339583114</c:v>
                  </c:pt>
                  <c:pt idx="16">
                    <c:v>104.47470065213491</c:v>
                  </c:pt>
                  <c:pt idx="17">
                    <c:v>152.06487913252286</c:v>
                  </c:pt>
                  <c:pt idx="18">
                    <c:v>208.17146592024071</c:v>
                  </c:pt>
                  <c:pt idx="19">
                    <c:v>409.32005312158253</c:v>
                  </c:pt>
                  <c:pt idx="20">
                    <c:v>52.508498127296349</c:v>
                  </c:pt>
                  <c:pt idx="21">
                    <c:v>62.212420274278422</c:v>
                  </c:pt>
                  <c:pt idx="22">
                    <c:v>133.47782397908986</c:v>
                  </c:pt>
                  <c:pt idx="23">
                    <c:v>716.02437665662853</c:v>
                  </c:pt>
                  <c:pt idx="24">
                    <c:v>485.24754702690893</c:v>
                  </c:pt>
                  <c:pt idx="25">
                    <c:v>120.88025808764623</c:v>
                  </c:pt>
                  <c:pt idx="26">
                    <c:v>5.3861195766468803</c:v>
                  </c:pt>
                  <c:pt idx="27">
                    <c:v>10.901080641832259</c:v>
                  </c:pt>
                  <c:pt idx="28">
                    <c:v>0.90935727532114852</c:v>
                  </c:pt>
                  <c:pt idx="29">
                    <c:v>85.059822130401287</c:v>
                  </c:pt>
                  <c:pt idx="30">
                    <c:v>1.3308673484314832</c:v>
                  </c:pt>
                  <c:pt idx="31">
                    <c:v>78.646428628520525</c:v>
                  </c:pt>
                  <c:pt idx="32">
                    <c:v>1.3981058975776759</c:v>
                  </c:pt>
                  <c:pt idx="33">
                    <c:v>117.93561600007935</c:v>
                  </c:pt>
                  <c:pt idx="34">
                    <c:v>2.856034484403092</c:v>
                  </c:pt>
                  <c:pt idx="35">
                    <c:v>3.2331286581183942</c:v>
                  </c:pt>
                  <c:pt idx="36">
                    <c:v>0.54135136386191463</c:v>
                  </c:pt>
                  <c:pt idx="37">
                    <c:v>0.98387862270859316</c:v>
                  </c:pt>
                  <c:pt idx="38">
                    <c:v>2.3137329175073273</c:v>
                  </c:pt>
                  <c:pt idx="39">
                    <c:v>7.0874612175853313</c:v>
                  </c:pt>
                  <c:pt idx="40">
                    <c:v>39.600425112938964</c:v>
                  </c:pt>
                  <c:pt idx="41">
                    <c:v>176.34311913718238</c:v>
                  </c:pt>
                  <c:pt idx="42">
                    <c:v>2.5169145245762614</c:v>
                  </c:pt>
                  <c:pt idx="43">
                    <c:v>9.6098393297699101</c:v>
                  </c:pt>
                  <c:pt idx="44">
                    <c:v>41.907557905932038</c:v>
                  </c:pt>
                  <c:pt idx="45">
                    <c:v>12.881684043766917</c:v>
                  </c:pt>
                  <c:pt idx="46">
                    <c:v>19.883788792611</c:v>
                  </c:pt>
                  <c:pt idx="47">
                    <c:v>588.98956695690777</c:v>
                  </c:pt>
                  <c:pt idx="48">
                    <c:v>0</c:v>
                  </c:pt>
                  <c:pt idx="49">
                    <c:v>0.69182390325836451</c:v>
                  </c:pt>
                  <c:pt idx="50">
                    <c:v>0.5102059441049891</c:v>
                  </c:pt>
                  <c:pt idx="51">
                    <c:v>0.40544551504845711</c:v>
                  </c:pt>
                  <c:pt idx="52">
                    <c:v>0</c:v>
                  </c:pt>
                  <c:pt idx="53">
                    <c:v>14.039945665084677</c:v>
                  </c:pt>
                  <c:pt idx="54">
                    <c:v>25.152586005037488</c:v>
                  </c:pt>
                  <c:pt idx="55">
                    <c:v>12.007110194969453</c:v>
                  </c:pt>
                  <c:pt idx="56">
                    <c:v>46.09677424747359</c:v>
                  </c:pt>
                  <c:pt idx="57">
                    <c:v>169.51532656684998</c:v>
                  </c:pt>
                  <c:pt idx="58">
                    <c:v>138.41325220206346</c:v>
                  </c:pt>
                  <c:pt idx="59">
                    <c:v>9.1336641940376921</c:v>
                  </c:pt>
                  <c:pt idx="60">
                    <c:v>741.96938895758183</c:v>
                  </c:pt>
                  <c:pt idx="61">
                    <c:v>0.97526795674534061</c:v>
                  </c:pt>
                  <c:pt idx="62">
                    <c:v>8.4974659682182807</c:v>
                  </c:pt>
                </c:numCache>
              </c:numRef>
            </c:plus>
            <c:minus>
              <c:numRef>
                <c:f>[1]Tabelle1!$N$3:$N$65</c:f>
                <c:numCache>
                  <c:formatCode>General</c:formatCode>
                  <c:ptCount val="63"/>
                  <c:pt idx="0">
                    <c:v>111.15707430644299</c:v>
                  </c:pt>
                  <c:pt idx="1">
                    <c:v>53.294698127008623</c:v>
                  </c:pt>
                  <c:pt idx="2">
                    <c:v>199.96323716047073</c:v>
                  </c:pt>
                  <c:pt idx="3">
                    <c:v>237.4970619503253</c:v>
                  </c:pt>
                  <c:pt idx="4">
                    <c:v>542.41582713003959</c:v>
                  </c:pt>
                  <c:pt idx="5">
                    <c:v>51.283723050438276</c:v>
                  </c:pt>
                  <c:pt idx="6">
                    <c:v>77.900735152076834</c:v>
                  </c:pt>
                  <c:pt idx="7">
                    <c:v>6.8834108480513416</c:v>
                  </c:pt>
                  <c:pt idx="8">
                    <c:v>5.5749693286001927</c:v>
                  </c:pt>
                  <c:pt idx="9">
                    <c:v>141.79219250370306</c:v>
                  </c:pt>
                  <c:pt idx="10">
                    <c:v>271.18521926898779</c:v>
                  </c:pt>
                  <c:pt idx="11">
                    <c:v>27.256360216387911</c:v>
                  </c:pt>
                  <c:pt idx="12">
                    <c:v>161.49759340324539</c:v>
                  </c:pt>
                  <c:pt idx="13">
                    <c:v>167.48775877737216</c:v>
                  </c:pt>
                  <c:pt idx="14">
                    <c:v>70.774986304408586</c:v>
                  </c:pt>
                  <c:pt idx="15">
                    <c:v>104.34714339583114</c:v>
                  </c:pt>
                  <c:pt idx="16">
                    <c:v>104.47470065213491</c:v>
                  </c:pt>
                  <c:pt idx="17">
                    <c:v>152.06487913252286</c:v>
                  </c:pt>
                  <c:pt idx="18">
                    <c:v>208.17146592024071</c:v>
                  </c:pt>
                  <c:pt idx="19">
                    <c:v>409.32005312158253</c:v>
                  </c:pt>
                  <c:pt idx="20">
                    <c:v>52.508498127296349</c:v>
                  </c:pt>
                  <c:pt idx="21">
                    <c:v>62.212420274278422</c:v>
                  </c:pt>
                  <c:pt idx="22">
                    <c:v>133.47782397908986</c:v>
                  </c:pt>
                  <c:pt idx="23">
                    <c:v>716.02437665662853</c:v>
                  </c:pt>
                  <c:pt idx="24">
                    <c:v>485.24754702690893</c:v>
                  </c:pt>
                  <c:pt idx="25">
                    <c:v>120.88025808764623</c:v>
                  </c:pt>
                  <c:pt idx="26">
                    <c:v>5.3861195766468803</c:v>
                  </c:pt>
                  <c:pt idx="27">
                    <c:v>10.901080641832259</c:v>
                  </c:pt>
                  <c:pt idx="28">
                    <c:v>0.90935727532114852</c:v>
                  </c:pt>
                  <c:pt idx="29">
                    <c:v>85.059822130401287</c:v>
                  </c:pt>
                  <c:pt idx="30">
                    <c:v>1.3308673484314832</c:v>
                  </c:pt>
                  <c:pt idx="31">
                    <c:v>78.646428628520525</c:v>
                  </c:pt>
                  <c:pt idx="32">
                    <c:v>1.3981058975776759</c:v>
                  </c:pt>
                  <c:pt idx="33">
                    <c:v>117.93561600007935</c:v>
                  </c:pt>
                  <c:pt idx="34">
                    <c:v>2.856034484403092</c:v>
                  </c:pt>
                  <c:pt idx="35">
                    <c:v>3.2331286581183942</c:v>
                  </c:pt>
                  <c:pt idx="36">
                    <c:v>0.54135136386191463</c:v>
                  </c:pt>
                  <c:pt idx="37">
                    <c:v>0.98387862270859316</c:v>
                  </c:pt>
                  <c:pt idx="38">
                    <c:v>2.3137329175073273</c:v>
                  </c:pt>
                  <c:pt idx="39">
                    <c:v>7.0874612175853313</c:v>
                  </c:pt>
                  <c:pt idx="40">
                    <c:v>39.600425112938964</c:v>
                  </c:pt>
                  <c:pt idx="41">
                    <c:v>176.34311913718238</c:v>
                  </c:pt>
                  <c:pt idx="42">
                    <c:v>2.5169145245762614</c:v>
                  </c:pt>
                  <c:pt idx="43">
                    <c:v>9.6098393297699101</c:v>
                  </c:pt>
                  <c:pt idx="44">
                    <c:v>41.907557905932038</c:v>
                  </c:pt>
                  <c:pt idx="45">
                    <c:v>12.881684043766917</c:v>
                  </c:pt>
                  <c:pt idx="46">
                    <c:v>19.883788792611</c:v>
                  </c:pt>
                  <c:pt idx="47">
                    <c:v>588.98956695690777</c:v>
                  </c:pt>
                  <c:pt idx="48">
                    <c:v>0</c:v>
                  </c:pt>
                  <c:pt idx="49">
                    <c:v>0.69182390325836451</c:v>
                  </c:pt>
                  <c:pt idx="50">
                    <c:v>0.5102059441049891</c:v>
                  </c:pt>
                  <c:pt idx="51">
                    <c:v>0.40544551504845711</c:v>
                  </c:pt>
                  <c:pt idx="52">
                    <c:v>0</c:v>
                  </c:pt>
                  <c:pt idx="53">
                    <c:v>14.039945665084677</c:v>
                  </c:pt>
                  <c:pt idx="54">
                    <c:v>25.152586005037488</c:v>
                  </c:pt>
                  <c:pt idx="55">
                    <c:v>12.007110194969453</c:v>
                  </c:pt>
                  <c:pt idx="56">
                    <c:v>46.09677424747359</c:v>
                  </c:pt>
                  <c:pt idx="57">
                    <c:v>169.51532656684998</c:v>
                  </c:pt>
                  <c:pt idx="58">
                    <c:v>138.41325220206346</c:v>
                  </c:pt>
                  <c:pt idx="59">
                    <c:v>9.1336641940376921</c:v>
                  </c:pt>
                  <c:pt idx="60">
                    <c:v>741.96938895758183</c:v>
                  </c:pt>
                  <c:pt idx="61">
                    <c:v>0.97526795674534061</c:v>
                  </c:pt>
                  <c:pt idx="62">
                    <c:v>8.4974659682182807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[1]Tabelle1!$F$3:$F$65</c:f>
              <c:numCache>
                <c:formatCode>General</c:formatCode>
                <c:ptCount val="63"/>
                <c:pt idx="0">
                  <c:v>245.49258466309877</c:v>
                </c:pt>
                <c:pt idx="1">
                  <c:v>262.67808171675728</c:v>
                </c:pt>
                <c:pt idx="2">
                  <c:v>1226.2503055622549</c:v>
                </c:pt>
                <c:pt idx="3">
                  <c:v>396.14460532186621</c:v>
                </c:pt>
                <c:pt idx="4">
                  <c:v>829.86635868083431</c:v>
                </c:pt>
                <c:pt idx="5">
                  <c:v>129.9212415174317</c:v>
                </c:pt>
                <c:pt idx="6">
                  <c:v>75.347359926214494</c:v>
                </c:pt>
                <c:pt idx="7">
                  <c:v>14.143600106458182</c:v>
                </c:pt>
                <c:pt idx="8">
                  <c:v>60.048116273330891</c:v>
                </c:pt>
                <c:pt idx="9">
                  <c:v>701.44117823443889</c:v>
                </c:pt>
                <c:pt idx="10">
                  <c:v>527.08123119564993</c:v>
                </c:pt>
                <c:pt idx="11">
                  <c:v>121.53517209319149</c:v>
                </c:pt>
                <c:pt idx="12">
                  <c:v>612.15619102476535</c:v>
                </c:pt>
                <c:pt idx="13">
                  <c:v>628.49974400811618</c:v>
                </c:pt>
                <c:pt idx="14">
                  <c:v>274.61109606072193</c:v>
                </c:pt>
                <c:pt idx="15">
                  <c:v>486.73584930588748</c:v>
                </c:pt>
                <c:pt idx="16">
                  <c:v>133.59195546219269</c:v>
                </c:pt>
                <c:pt idx="17">
                  <c:v>514.66914786234793</c:v>
                </c:pt>
                <c:pt idx="18">
                  <c:v>762.72393318678076</c:v>
                </c:pt>
                <c:pt idx="19">
                  <c:v>1060.6566478466482</c:v>
                </c:pt>
                <c:pt idx="20">
                  <c:v>67.395883887825534</c:v>
                </c:pt>
                <c:pt idx="21">
                  <c:v>468.60579884232266</c:v>
                </c:pt>
                <c:pt idx="22">
                  <c:v>252.86449410121949</c:v>
                </c:pt>
                <c:pt idx="23">
                  <c:v>1078.7003901420001</c:v>
                </c:pt>
                <c:pt idx="24">
                  <c:v>1122.6637921793601</c:v>
                </c:pt>
                <c:pt idx="25">
                  <c:v>547.41404170118756</c:v>
                </c:pt>
                <c:pt idx="26">
                  <c:v>0.71819255599486309</c:v>
                </c:pt>
                <c:pt idx="27">
                  <c:v>31.471573386284224</c:v>
                </c:pt>
                <c:pt idx="28">
                  <c:v>1.4713242271132736</c:v>
                </c:pt>
                <c:pt idx="29">
                  <c:v>46.287551755464044</c:v>
                </c:pt>
                <c:pt idx="30">
                  <c:v>2.8280644358079545</c:v>
                </c:pt>
                <c:pt idx="31">
                  <c:v>127.06870512358481</c:v>
                </c:pt>
                <c:pt idx="32">
                  <c:v>3.082618264770423</c:v>
                </c:pt>
                <c:pt idx="33">
                  <c:v>168.29022938512404</c:v>
                </c:pt>
                <c:pt idx="34">
                  <c:v>5.465772147773527</c:v>
                </c:pt>
                <c:pt idx="35">
                  <c:v>0.64756164871842015</c:v>
                </c:pt>
                <c:pt idx="36">
                  <c:v>2.6124386322464326</c:v>
                </c:pt>
                <c:pt idx="37">
                  <c:v>0.93840359626577252</c:v>
                </c:pt>
                <c:pt idx="38">
                  <c:v>2.4509599245060194</c:v>
                </c:pt>
                <c:pt idx="39">
                  <c:v>5.7301574819277938</c:v>
                </c:pt>
                <c:pt idx="40">
                  <c:v>263.5669196825159</c:v>
                </c:pt>
                <c:pt idx="41">
                  <c:v>360.19137200018355</c:v>
                </c:pt>
                <c:pt idx="42">
                  <c:v>0.23916038143376311</c:v>
                </c:pt>
                <c:pt idx="43">
                  <c:v>0.4634937927433716</c:v>
                </c:pt>
                <c:pt idx="44">
                  <c:v>3.0728979222682975</c:v>
                </c:pt>
                <c:pt idx="45">
                  <c:v>13.930451627028582</c:v>
                </c:pt>
                <c:pt idx="46">
                  <c:v>0.71453111283414783</c:v>
                </c:pt>
                <c:pt idx="47">
                  <c:v>45.396680118993125</c:v>
                </c:pt>
                <c:pt idx="48">
                  <c:v>0</c:v>
                </c:pt>
                <c:pt idx="49">
                  <c:v>9.9479277864073526E-2</c:v>
                </c:pt>
                <c:pt idx="50">
                  <c:v>0.7872408460831104</c:v>
                </c:pt>
                <c:pt idx="51">
                  <c:v>0.18987338037109294</c:v>
                </c:pt>
                <c:pt idx="52">
                  <c:v>4.3321630314040807E-2</c:v>
                </c:pt>
                <c:pt idx="53">
                  <c:v>7.3235354689960204</c:v>
                </c:pt>
                <c:pt idx="54">
                  <c:v>20.098027531167709</c:v>
                </c:pt>
                <c:pt idx="55">
                  <c:v>2.2985499069892597</c:v>
                </c:pt>
                <c:pt idx="56">
                  <c:v>4.0305819297557237</c:v>
                </c:pt>
                <c:pt idx="57">
                  <c:v>3.5265132531517902</c:v>
                </c:pt>
                <c:pt idx="58">
                  <c:v>4.9678713907323573</c:v>
                </c:pt>
                <c:pt idx="59">
                  <c:v>0.85600955141837709</c:v>
                </c:pt>
                <c:pt idx="60">
                  <c:v>26.842190430425113</c:v>
                </c:pt>
                <c:pt idx="61">
                  <c:v>0.44550453986110278</c:v>
                </c:pt>
                <c:pt idx="62">
                  <c:v>0.4467229655183329</c:v>
                </c:pt>
              </c:numCache>
            </c:numRef>
          </c:xVal>
          <c:yVal>
            <c:numRef>
              <c:f>[1]Tabelle1!$I$3:$I$65</c:f>
              <c:numCache>
                <c:formatCode>General</c:formatCode>
                <c:ptCount val="63"/>
                <c:pt idx="0">
                  <c:v>1.9863833542025405E-2</c:v>
                </c:pt>
                <c:pt idx="1">
                  <c:v>1.9664989131959205E-2</c:v>
                </c:pt>
                <c:pt idx="2">
                  <c:v>0.23311569965620157</c:v>
                </c:pt>
                <c:pt idx="3">
                  <c:v>4.4282054862786559E-2</c:v>
                </c:pt>
                <c:pt idx="4">
                  <c:v>0.14871486656212143</c:v>
                </c:pt>
                <c:pt idx="5">
                  <c:v>1.0594796911843956E-2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0.11572846468651099</c:v>
                </c:pt>
                <c:pt idx="10">
                  <c:v>6.7999165316123364E-2</c:v>
                </c:pt>
                <c:pt idx="11">
                  <c:v>4.0000000000000001E-3</c:v>
                </c:pt>
                <c:pt idx="12">
                  <c:v>0.10535029751955852</c:v>
                </c:pt>
                <c:pt idx="13">
                  <c:v>9.9466713539824281E-2</c:v>
                </c:pt>
                <c:pt idx="14">
                  <c:v>2.9434123890313579E-2</c:v>
                </c:pt>
                <c:pt idx="15">
                  <c:v>7.839623529976604E-2</c:v>
                </c:pt>
                <c:pt idx="16">
                  <c:v>3.1464265445104549E-2</c:v>
                </c:pt>
                <c:pt idx="17">
                  <c:v>7.100949149697644E-2</c:v>
                </c:pt>
                <c:pt idx="18">
                  <c:v>0.12188468051502548</c:v>
                </c:pt>
                <c:pt idx="19">
                  <c:v>0.25374373566288322</c:v>
                </c:pt>
                <c:pt idx="20">
                  <c:v>1.4999999999999999E-2</c:v>
                </c:pt>
                <c:pt idx="21">
                  <c:v>7.7069322757588737E-2</c:v>
                </c:pt>
                <c:pt idx="22">
                  <c:v>4.2648695872708142E-2</c:v>
                </c:pt>
                <c:pt idx="23">
                  <c:v>0.215</c:v>
                </c:pt>
                <c:pt idx="24">
                  <c:v>0.20056288286697013</c:v>
                </c:pt>
                <c:pt idx="25">
                  <c:v>7.9024609220913852E-2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2.7E-2</c:v>
                </c:pt>
                <c:pt idx="30">
                  <c:v>0</c:v>
                </c:pt>
                <c:pt idx="31">
                  <c:v>1.9286987920074956E-2</c:v>
                </c:pt>
                <c:pt idx="32">
                  <c:v>0</c:v>
                </c:pt>
                <c:pt idx="33">
                  <c:v>7.9590748876381696E-3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2.768404040552137E-2</c:v>
                </c:pt>
                <c:pt idx="41">
                  <c:v>4.7673328342963124E-2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03660160"/>
        <c:axId val="-1103666688"/>
      </c:scatterChart>
      <c:valAx>
        <c:axId val="-1103660160"/>
        <c:scaling>
          <c:orientation val="minMax"/>
          <c:max val="18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LA-ICPMS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-1103666688"/>
        <c:crosses val="autoZero"/>
        <c:crossBetween val="midCat"/>
      </c:valAx>
      <c:valAx>
        <c:axId val="-1103666688"/>
        <c:scaling>
          <c:orientation val="minMax"/>
          <c:max val="0.35000000000000003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EPMA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-11036601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73</xdr:row>
      <xdr:rowOff>14287</xdr:rowOff>
    </xdr:from>
    <xdr:to>
      <xdr:col>6</xdr:col>
      <xdr:colOff>561525</xdr:colOff>
      <xdr:row>99</xdr:row>
      <xdr:rowOff>99015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73</xdr:row>
      <xdr:rowOff>0</xdr:rowOff>
    </xdr:from>
    <xdr:to>
      <xdr:col>11</xdr:col>
      <xdr:colOff>447225</xdr:colOff>
      <xdr:row>99</xdr:row>
      <xdr:rowOff>114299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73</xdr:row>
      <xdr:rowOff>0</xdr:rowOff>
    </xdr:from>
    <xdr:to>
      <xdr:col>16</xdr:col>
      <xdr:colOff>561525</xdr:colOff>
      <xdr:row>99</xdr:row>
      <xdr:rowOff>114299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tthias\Dropbox\Paper%202%20Freiberg\ESM\ESM%20Comparison%20EPMA%20and%20LA-ICP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</sheetNames>
    <sheetDataSet>
      <sheetData sheetId="0">
        <row r="3">
          <cell r="D3">
            <v>92529.24504705485</v>
          </cell>
          <cell r="E3">
            <v>1689.9378190361865</v>
          </cell>
          <cell r="F3">
            <v>245.49258466309877</v>
          </cell>
          <cell r="G3">
            <v>11.960434304298106</v>
          </cell>
          <cell r="H3">
            <v>0.26142729136913834</v>
          </cell>
          <cell r="I3">
            <v>1.9863833542025405E-2</v>
          </cell>
          <cell r="L3">
            <v>1839.6120948959704</v>
          </cell>
          <cell r="M3">
            <v>205.87457976031843</v>
          </cell>
          <cell r="N3">
            <v>111.15707430644299</v>
          </cell>
          <cell r="O3">
            <v>0.12662469732770662</v>
          </cell>
          <cell r="P3">
            <v>3.2040588397982052E-2</v>
          </cell>
          <cell r="Q3">
            <v>3.1110255543791345E-2</v>
          </cell>
        </row>
        <row r="4">
          <cell r="D4">
            <v>88389.05905930564</v>
          </cell>
          <cell r="E4">
            <v>427.6138819495892</v>
          </cell>
          <cell r="F4">
            <v>262.67808171675728</v>
          </cell>
          <cell r="G4">
            <v>11.264285985939777</v>
          </cell>
          <cell r="H4">
            <v>5.0963095193591761E-2</v>
          </cell>
          <cell r="I4">
            <v>1.9664989131959205E-2</v>
          </cell>
          <cell r="L4">
            <v>3013.2932451389788</v>
          </cell>
          <cell r="M4">
            <v>193.13485200505434</v>
          </cell>
          <cell r="N4">
            <v>53.294698127008623</v>
          </cell>
          <cell r="O4">
            <v>0.10303014880444795</v>
          </cell>
          <cell r="P4">
            <v>2.9831231479031408E-2</v>
          </cell>
          <cell r="Q4">
            <v>1.1315017443781801E-2</v>
          </cell>
        </row>
        <row r="5">
          <cell r="D5">
            <v>99130.611754561847</v>
          </cell>
          <cell r="E5">
            <v>1132.8989572578819</v>
          </cell>
          <cell r="F5">
            <v>1226.2503055622549</v>
          </cell>
          <cell r="G5">
            <v>13.012865451789269</v>
          </cell>
          <cell r="H5">
            <v>0.1868710240475959</v>
          </cell>
          <cell r="I5">
            <v>0.23311569965620157</v>
          </cell>
          <cell r="L5">
            <v>2307.5746579872493</v>
          </cell>
          <cell r="M5">
            <v>311.59379047469213</v>
          </cell>
          <cell r="N5">
            <v>199.96323716047073</v>
          </cell>
          <cell r="O5">
            <v>0.32966889510178715</v>
          </cell>
          <cell r="P5">
            <v>6.2051109645871953E-2</v>
          </cell>
          <cell r="Q5">
            <v>4.0124590167310986E-2</v>
          </cell>
        </row>
        <row r="6">
          <cell r="D6">
            <v>96364.735658543141</v>
          </cell>
          <cell r="E6">
            <v>1356.7311671354566</v>
          </cell>
          <cell r="F6">
            <v>396.14460532186621</v>
          </cell>
          <cell r="G6">
            <v>12.38939424782517</v>
          </cell>
          <cell r="H6">
            <v>0.22912970948422223</v>
          </cell>
          <cell r="I6">
            <v>4.4282054862786559E-2</v>
          </cell>
          <cell r="L6">
            <v>2715.7249035503291</v>
          </cell>
          <cell r="M6">
            <v>521.58498620956084</v>
          </cell>
          <cell r="N6">
            <v>237.4970619503253</v>
          </cell>
          <cell r="O6">
            <v>0.34978395999054412</v>
          </cell>
          <cell r="P6">
            <v>8.9406562026136199E-2</v>
          </cell>
          <cell r="Q6">
            <v>4.5328589947919919E-2</v>
          </cell>
        </row>
        <row r="7">
          <cell r="D7">
            <v>100650.07856605582</v>
          </cell>
          <cell r="E7">
            <v>3347.6624616268696</v>
          </cell>
          <cell r="F7">
            <v>829.86635868083431</v>
          </cell>
          <cell r="G7">
            <v>13.558762190893111</v>
          </cell>
          <cell r="H7">
            <v>0.55265833467978087</v>
          </cell>
          <cell r="I7">
            <v>0.14871486656212143</v>
          </cell>
          <cell r="L7">
            <v>5823.705149136953</v>
          </cell>
          <cell r="M7">
            <v>1072.7751789580482</v>
          </cell>
          <cell r="N7">
            <v>542.41582713003959</v>
          </cell>
          <cell r="O7">
            <v>0.90361389571726569</v>
          </cell>
          <cell r="P7">
            <v>0.17907278818029998</v>
          </cell>
          <cell r="Q7">
            <v>9.0484055317313586E-2</v>
          </cell>
        </row>
        <row r="8">
          <cell r="D8">
            <v>93820.306053073378</v>
          </cell>
          <cell r="E8">
            <v>10386.397366487807</v>
          </cell>
          <cell r="F8">
            <v>129.9212415174317</v>
          </cell>
          <cell r="G8">
            <v>12.193385739983443</v>
          </cell>
          <cell r="H8">
            <v>1.8668858650024454</v>
          </cell>
          <cell r="I8">
            <v>1.0594796911843956E-2</v>
          </cell>
          <cell r="L8">
            <v>2001.4330048639624</v>
          </cell>
          <cell r="M8">
            <v>4739.1672727900268</v>
          </cell>
          <cell r="N8">
            <v>51.283723050438276</v>
          </cell>
          <cell r="O8">
            <v>0.2120454830926608</v>
          </cell>
          <cell r="P8">
            <v>0.84826987853218005</v>
          </cell>
          <cell r="Q8">
            <v>8.8562219183276267E-3</v>
          </cell>
        </row>
        <row r="9">
          <cell r="D9">
            <v>99307.094845317697</v>
          </cell>
          <cell r="E9">
            <v>12392.301519551462</v>
          </cell>
          <cell r="F9">
            <v>75.347359926214494</v>
          </cell>
          <cell r="G9">
            <v>12.32789644367274</v>
          </cell>
          <cell r="H9">
            <v>2.0734435455475073</v>
          </cell>
          <cell r="I9">
            <v>0</v>
          </cell>
          <cell r="L9">
            <v>2375.8424869544738</v>
          </cell>
          <cell r="M9">
            <v>1486.7461278830538</v>
          </cell>
          <cell r="N9">
            <v>77.900735152076834</v>
          </cell>
          <cell r="O9">
            <v>0.26138967725940937</v>
          </cell>
          <cell r="P9">
            <v>0.19073864981522065</v>
          </cell>
          <cell r="Q9">
            <v>0</v>
          </cell>
        </row>
        <row r="10">
          <cell r="D10">
            <v>101798.21099532179</v>
          </cell>
          <cell r="E10">
            <v>8380.1615594705909</v>
          </cell>
          <cell r="F10">
            <v>14.143600106458182</v>
          </cell>
          <cell r="G10">
            <v>12.910478215994859</v>
          </cell>
          <cell r="H10">
            <v>1.3867399391042519</v>
          </cell>
          <cell r="I10">
            <v>0</v>
          </cell>
          <cell r="L10">
            <v>4940.1156011836656</v>
          </cell>
          <cell r="M10">
            <v>1750.2379638077302</v>
          </cell>
          <cell r="N10">
            <v>6.8834108480513416</v>
          </cell>
          <cell r="O10">
            <v>0.31071842773374958</v>
          </cell>
          <cell r="P10">
            <v>0.30391933140226479</v>
          </cell>
          <cell r="Q10">
            <v>0</v>
          </cell>
        </row>
        <row r="11">
          <cell r="D11">
            <v>98842.577323646517</v>
          </cell>
          <cell r="E11">
            <v>3881.6207692260177</v>
          </cell>
          <cell r="F11">
            <v>60.048116273330891</v>
          </cell>
          <cell r="G11">
            <v>12.780370566435961</v>
          </cell>
          <cell r="H11">
            <v>0.64009010003561428</v>
          </cell>
          <cell r="I11">
            <v>0</v>
          </cell>
          <cell r="L11">
            <v>3491.2401490069237</v>
          </cell>
          <cell r="M11">
            <v>474.42071048735033</v>
          </cell>
          <cell r="N11">
            <v>5.5749693286001927</v>
          </cell>
          <cell r="O11">
            <v>7.4894809789019259E-2</v>
          </cell>
          <cell r="P11">
            <v>7.4439287118205882E-2</v>
          </cell>
          <cell r="Q11">
            <v>0</v>
          </cell>
        </row>
        <row r="12">
          <cell r="D12">
            <v>87701.882840288119</v>
          </cell>
          <cell r="E12">
            <v>1388.3038876645014</v>
          </cell>
          <cell r="F12">
            <v>701.44117823443889</v>
          </cell>
          <cell r="G12">
            <v>11.542953395542705</v>
          </cell>
          <cell r="H12">
            <v>0.23636347381263054</v>
          </cell>
          <cell r="I12">
            <v>0.11572846468651099</v>
          </cell>
          <cell r="L12">
            <v>1770.4177587231165</v>
          </cell>
          <cell r="M12">
            <v>458.24141166788888</v>
          </cell>
          <cell r="N12">
            <v>141.79219250370306</v>
          </cell>
          <cell r="O12">
            <v>0.19809925794914005</v>
          </cell>
          <cell r="P12">
            <v>0.10631967691824505</v>
          </cell>
          <cell r="Q12">
            <v>4.4558065487630846E-2</v>
          </cell>
        </row>
        <row r="13">
          <cell r="D13">
            <v>105064.62547254954</v>
          </cell>
          <cell r="E13">
            <v>1013.5406065168523</v>
          </cell>
          <cell r="F13">
            <v>527.08123119564993</v>
          </cell>
          <cell r="G13">
            <v>13.685312319991455</v>
          </cell>
          <cell r="H13">
            <v>0.16754954380714243</v>
          </cell>
          <cell r="I13">
            <v>6.7999165316123364E-2</v>
          </cell>
          <cell r="L13">
            <v>2696.2491568370579</v>
          </cell>
          <cell r="M13">
            <v>99.175397707162688</v>
          </cell>
          <cell r="N13">
            <v>271.18521926898779</v>
          </cell>
          <cell r="O13">
            <v>8.6524127913034418E-2</v>
          </cell>
          <cell r="P13">
            <v>1.4382239664870624E-2</v>
          </cell>
          <cell r="Q13">
            <v>6.2252245367804486E-2</v>
          </cell>
        </row>
        <row r="14">
          <cell r="D14">
            <v>80565.869129200597</v>
          </cell>
          <cell r="E14">
            <v>679.55615720297465</v>
          </cell>
          <cell r="F14">
            <v>121.53517209319149</v>
          </cell>
          <cell r="G14">
            <v>10.860050808745957</v>
          </cell>
          <cell r="H14">
            <v>0.11637140451761946</v>
          </cell>
          <cell r="I14">
            <v>4.0000000000000001E-3</v>
          </cell>
          <cell r="L14">
            <v>15760.700581576617</v>
          </cell>
          <cell r="M14">
            <v>110.62166381037744</v>
          </cell>
          <cell r="N14">
            <v>27.256360216387911</v>
          </cell>
          <cell r="O14">
            <v>1.6437840884982484</v>
          </cell>
          <cell r="P14">
            <v>9.6762815688673006E-3</v>
          </cell>
          <cell r="Q14">
            <v>1.47E-2</v>
          </cell>
        </row>
        <row r="15">
          <cell r="D15">
            <v>99869.901084315003</v>
          </cell>
          <cell r="E15">
            <v>2062.8054010042724</v>
          </cell>
          <cell r="F15">
            <v>612.15619102476535</v>
          </cell>
          <cell r="G15">
            <v>12.961485213790814</v>
          </cell>
          <cell r="H15">
            <v>0.33294785514393577</v>
          </cell>
          <cell r="I15">
            <v>0.10535029751955852</v>
          </cell>
          <cell r="L15">
            <v>2960.6708128084392</v>
          </cell>
          <cell r="M15">
            <v>1360.0754801566466</v>
          </cell>
          <cell r="N15">
            <v>161.49759340324539</v>
          </cell>
          <cell r="O15">
            <v>0.20714328277788802</v>
          </cell>
          <cell r="P15">
            <v>0.23840343453901841</v>
          </cell>
          <cell r="Q15">
            <v>3.1144749557509632E-2</v>
          </cell>
        </row>
        <row r="16">
          <cell r="D16">
            <v>95232.679454208555</v>
          </cell>
          <cell r="E16">
            <v>5271.6349899513889</v>
          </cell>
          <cell r="F16">
            <v>628.49974400811618</v>
          </cell>
          <cell r="G16">
            <v>12.302470500148695</v>
          </cell>
          <cell r="H16">
            <v>0.86829797715251555</v>
          </cell>
          <cell r="I16">
            <v>9.9466713539824281E-2</v>
          </cell>
          <cell r="L16">
            <v>2321.235655342346</v>
          </cell>
          <cell r="M16">
            <v>2117.7556003701247</v>
          </cell>
          <cell r="N16">
            <v>167.48775877737216</v>
          </cell>
          <cell r="O16">
            <v>7.4690031344365054E-2</v>
          </cell>
          <cell r="P16">
            <v>0.3505108734303245</v>
          </cell>
          <cell r="Q16">
            <v>3.8149072649279442E-2</v>
          </cell>
        </row>
        <row r="17">
          <cell r="D17">
            <v>71382.613408209567</v>
          </cell>
          <cell r="E17">
            <v>1753.6659047192875</v>
          </cell>
          <cell r="F17">
            <v>274.61109606072193</v>
          </cell>
          <cell r="G17">
            <v>5.2980709401152639</v>
          </cell>
          <cell r="H17">
            <v>0.11600084008723079</v>
          </cell>
          <cell r="I17">
            <v>2.9434123890313579E-2</v>
          </cell>
          <cell r="L17">
            <v>11603.303958698811</v>
          </cell>
          <cell r="M17">
            <v>1193.8943162568667</v>
          </cell>
          <cell r="N17">
            <v>70.774986304408586</v>
          </cell>
          <cell r="O17">
            <v>2.9585778924700188</v>
          </cell>
          <cell r="P17">
            <v>0.2201856381878653</v>
          </cell>
          <cell r="Q17">
            <v>1.5788724616003658E-2</v>
          </cell>
        </row>
        <row r="18">
          <cell r="D18">
            <v>104425.24561743063</v>
          </cell>
          <cell r="E18">
            <v>1169.9510860056057</v>
          </cell>
          <cell r="F18">
            <v>486.73584930588748</v>
          </cell>
          <cell r="G18">
            <v>13.598223403838176</v>
          </cell>
          <cell r="H18">
            <v>0.19870271625913008</v>
          </cell>
          <cell r="I18">
            <v>7.839623529976604E-2</v>
          </cell>
          <cell r="L18">
            <v>3060.2385647768801</v>
          </cell>
          <cell r="M18">
            <v>154.9702362065045</v>
          </cell>
          <cell r="N18">
            <v>104.34714339583114</v>
          </cell>
          <cell r="O18">
            <v>0.20371207524346727</v>
          </cell>
          <cell r="P18">
            <v>2.6627985278650065E-2</v>
          </cell>
          <cell r="Q18">
            <v>2.2019645773717598E-2</v>
          </cell>
        </row>
        <row r="19">
          <cell r="D19">
            <v>110163.48517398293</v>
          </cell>
          <cell r="E19">
            <v>2831.0835868184809</v>
          </cell>
          <cell r="F19">
            <v>133.59195546219269</v>
          </cell>
          <cell r="G19">
            <v>13.859687251815089</v>
          </cell>
          <cell r="H19">
            <v>0.44556269869509085</v>
          </cell>
          <cell r="I19">
            <v>3.1464265445104549E-2</v>
          </cell>
          <cell r="L19">
            <v>9482.7067233376602</v>
          </cell>
          <cell r="M19">
            <v>1145.0211852038001</v>
          </cell>
          <cell r="N19">
            <v>104.47470065213491</v>
          </cell>
          <cell r="O19">
            <v>0.52105684870654945</v>
          </cell>
          <cell r="P19">
            <v>0.19334185516850724</v>
          </cell>
          <cell r="Q19">
            <v>2.9400000000000025E-3</v>
          </cell>
        </row>
        <row r="20">
          <cell r="D20">
            <v>103806.66682712773</v>
          </cell>
          <cell r="E20">
            <v>2079.8501265506493</v>
          </cell>
          <cell r="F20">
            <v>514.66914786234793</v>
          </cell>
          <cell r="G20">
            <v>13.361099503761929</v>
          </cell>
          <cell r="H20">
            <v>0.34243823630172077</v>
          </cell>
          <cell r="I20">
            <v>7.100949149697644E-2</v>
          </cell>
          <cell r="L20">
            <v>2749.2437642876121</v>
          </cell>
          <cell r="M20">
            <v>347.0855023261841</v>
          </cell>
          <cell r="N20">
            <v>152.06487913252286</v>
          </cell>
          <cell r="O20">
            <v>0.3462416691055541</v>
          </cell>
          <cell r="P20">
            <v>5.5415821747945085E-2</v>
          </cell>
          <cell r="Q20">
            <v>4.0159506969085178E-2</v>
          </cell>
        </row>
        <row r="21">
          <cell r="D21">
            <v>84080.73223110204</v>
          </cell>
          <cell r="E21">
            <v>1196.4691763556227</v>
          </cell>
          <cell r="F21">
            <v>762.72393318678076</v>
          </cell>
          <cell r="G21">
            <v>10.932110580365793</v>
          </cell>
          <cell r="H21">
            <v>0.19989862098040892</v>
          </cell>
          <cell r="I21">
            <v>0.12188468051502548</v>
          </cell>
          <cell r="L21">
            <v>13784.674456908211</v>
          </cell>
          <cell r="M21">
            <v>240.55121897769072</v>
          </cell>
          <cell r="N21">
            <v>208.17146592024071</v>
          </cell>
          <cell r="O21">
            <v>1.7289968664562019</v>
          </cell>
          <cell r="P21">
            <v>3.97185889438725E-2</v>
          </cell>
          <cell r="Q21">
            <v>4.6131760792822052E-2</v>
          </cell>
        </row>
        <row r="22">
          <cell r="D22">
            <v>77802.50826750038</v>
          </cell>
          <cell r="E22">
            <v>4277.7402928135589</v>
          </cell>
          <cell r="F22">
            <v>1060.6566478466482</v>
          </cell>
          <cell r="G22">
            <v>9.6585616460855377</v>
          </cell>
          <cell r="H22">
            <v>0.90400322594660487</v>
          </cell>
          <cell r="I22">
            <v>0.25374373566288322</v>
          </cell>
          <cell r="L22">
            <v>16481.940574023516</v>
          </cell>
          <cell r="M22">
            <v>2351.3490845122174</v>
          </cell>
          <cell r="N22">
            <v>409.32005312158253</v>
          </cell>
          <cell r="O22">
            <v>2.3863845929691418</v>
          </cell>
          <cell r="P22">
            <v>0.38601068108422976</v>
          </cell>
          <cell r="Q22">
            <v>8.8512695699543592E-2</v>
          </cell>
        </row>
        <row r="23">
          <cell r="D23">
            <v>95476.07267940967</v>
          </cell>
          <cell r="E23">
            <v>1852.1084317147368</v>
          </cell>
          <cell r="F23">
            <v>67.395883887825534</v>
          </cell>
          <cell r="G23">
            <v>12.404215576109895</v>
          </cell>
          <cell r="H23">
            <v>0.30537996683729213</v>
          </cell>
          <cell r="I23">
            <v>1.4999999999999999E-2</v>
          </cell>
          <cell r="L23">
            <v>2051.27217889129</v>
          </cell>
          <cell r="M23">
            <v>258.64661263865179</v>
          </cell>
          <cell r="N23">
            <v>52.508498127296349</v>
          </cell>
          <cell r="O23">
            <v>0.27963651073015006</v>
          </cell>
          <cell r="P23">
            <v>4.2225572030859825E-2</v>
          </cell>
          <cell r="Q23">
            <v>0</v>
          </cell>
        </row>
        <row r="24">
          <cell r="D24">
            <v>103642.59879857209</v>
          </cell>
          <cell r="E24">
            <v>1710.6252025677406</v>
          </cell>
          <cell r="F24">
            <v>468.60579884232266</v>
          </cell>
          <cell r="G24">
            <v>13.397976766401532</v>
          </cell>
          <cell r="H24">
            <v>0.28331898497881475</v>
          </cell>
          <cell r="I24">
            <v>7.7069322757588737E-2</v>
          </cell>
          <cell r="L24">
            <v>1882.2913519275853</v>
          </cell>
          <cell r="M24">
            <v>558.2586418280996</v>
          </cell>
          <cell r="N24">
            <v>62.212420274278422</v>
          </cell>
          <cell r="O24">
            <v>0.10369462075408407</v>
          </cell>
          <cell r="P24">
            <v>7.485329842060702E-2</v>
          </cell>
          <cell r="Q24">
            <v>2.6024079960255651E-2</v>
          </cell>
        </row>
        <row r="25">
          <cell r="D25">
            <v>91403.31550924122</v>
          </cell>
          <cell r="E25">
            <v>1521.0730272606079</v>
          </cell>
          <cell r="F25">
            <v>252.86449410121949</v>
          </cell>
          <cell r="G25">
            <v>10.995713983603364</v>
          </cell>
          <cell r="H25">
            <v>0.20851828553580565</v>
          </cell>
          <cell r="I25">
            <v>4.2648695872708142E-2</v>
          </cell>
          <cell r="L25">
            <v>13706.400541612995</v>
          </cell>
          <cell r="M25">
            <v>532.34581080049395</v>
          </cell>
          <cell r="N25">
            <v>133.47782397908986</v>
          </cell>
          <cell r="O25">
            <v>2.3090730248792419</v>
          </cell>
          <cell r="P25">
            <v>9.4254428145313193E-2</v>
          </cell>
          <cell r="Q25">
            <v>2.5704650681669775E-2</v>
          </cell>
        </row>
        <row r="26">
          <cell r="D26">
            <v>95058.807739317665</v>
          </cell>
          <cell r="E26">
            <v>1488.0312467631477</v>
          </cell>
          <cell r="F26">
            <v>1078.7003901420001</v>
          </cell>
          <cell r="G26">
            <v>12.380364746524839</v>
          </cell>
          <cell r="H26">
            <v>0.24632141211774955</v>
          </cell>
          <cell r="I26">
            <v>0.215</v>
          </cell>
          <cell r="L26">
            <v>4652.311914294718</v>
          </cell>
          <cell r="M26">
            <v>780.73769209234433</v>
          </cell>
          <cell r="N26">
            <v>716.02437665662853</v>
          </cell>
          <cell r="O26">
            <v>0.39530716046020581</v>
          </cell>
          <cell r="P26">
            <v>0.11344884544733508</v>
          </cell>
          <cell r="Q26">
            <v>0</v>
          </cell>
        </row>
        <row r="27">
          <cell r="D27">
            <v>97486.17322519701</v>
          </cell>
          <cell r="E27">
            <v>3072.6244817674333</v>
          </cell>
          <cell r="F27">
            <v>1122.6637921793601</v>
          </cell>
          <cell r="G27">
            <v>12.297930736070535</v>
          </cell>
          <cell r="H27">
            <v>0.51185701028025687</v>
          </cell>
          <cell r="I27">
            <v>0.20056288286697013</v>
          </cell>
          <cell r="L27">
            <v>2434.4265446128211</v>
          </cell>
          <cell r="M27">
            <v>1457.3841548557677</v>
          </cell>
          <cell r="N27">
            <v>485.24754702690893</v>
          </cell>
          <cell r="O27">
            <v>0.19070649549766261</v>
          </cell>
          <cell r="P27">
            <v>0.23902896832810877</v>
          </cell>
          <cell r="Q27">
            <v>9.7489595855147534E-2</v>
          </cell>
        </row>
        <row r="28">
          <cell r="D28">
            <v>86170.871186563803</v>
          </cell>
          <cell r="E28">
            <v>834.09398439217807</v>
          </cell>
          <cell r="F28">
            <v>547.41404170118756</v>
          </cell>
          <cell r="G28">
            <v>10.986864616993465</v>
          </cell>
          <cell r="H28">
            <v>0.12014745930194178</v>
          </cell>
          <cell r="I28">
            <v>7.9024609220913852E-2</v>
          </cell>
          <cell r="L28">
            <v>13324.950698015369</v>
          </cell>
          <cell r="M28">
            <v>313.99534686195557</v>
          </cell>
          <cell r="N28">
            <v>120.88025808764623</v>
          </cell>
          <cell r="O28">
            <v>1.8772339618971294</v>
          </cell>
          <cell r="P28">
            <v>5.9052623989116648E-2</v>
          </cell>
          <cell r="Q28">
            <v>2.8150184724083028E-2</v>
          </cell>
        </row>
        <row r="29">
          <cell r="D29">
            <v>18155.769860223558</v>
          </cell>
          <cell r="E29">
            <v>359.46013680127828</v>
          </cell>
          <cell r="F29">
            <v>0.71819255599486309</v>
          </cell>
          <cell r="G29">
            <v>2.0229310466808794</v>
          </cell>
          <cell r="H29">
            <v>0.13423402257920528</v>
          </cell>
          <cell r="I29">
            <v>0</v>
          </cell>
          <cell r="L29">
            <v>22796.408486950477</v>
          </cell>
          <cell r="M29">
            <v>717.30152496759331</v>
          </cell>
          <cell r="N29">
            <v>5.3861195766468803</v>
          </cell>
          <cell r="O29">
            <v>2.9489951628044064</v>
          </cell>
          <cell r="P29">
            <v>0.10195986505799542</v>
          </cell>
          <cell r="Q29">
            <v>0</v>
          </cell>
        </row>
        <row r="30">
          <cell r="D30">
            <v>94145.147895872025</v>
          </cell>
          <cell r="E30">
            <v>5972.1604484338186</v>
          </cell>
          <cell r="F30">
            <v>31.471573386284224</v>
          </cell>
          <cell r="G30">
            <v>8.7921415092203787</v>
          </cell>
          <cell r="H30">
            <v>0.71820021705100123</v>
          </cell>
          <cell r="I30">
            <v>0</v>
          </cell>
          <cell r="L30">
            <v>13974.765371618183</v>
          </cell>
          <cell r="M30">
            <v>2177.5213349088463</v>
          </cell>
          <cell r="N30">
            <v>10.901080641832259</v>
          </cell>
          <cell r="O30">
            <v>2.2674800938882695</v>
          </cell>
          <cell r="P30">
            <v>0.37499742080061177</v>
          </cell>
          <cell r="Q30">
            <v>0</v>
          </cell>
        </row>
        <row r="31">
          <cell r="D31">
            <v>46070.432437252741</v>
          </cell>
          <cell r="E31">
            <v>3101.6032620018477</v>
          </cell>
          <cell r="F31">
            <v>1.4713242271132736</v>
          </cell>
          <cell r="G31">
            <v>3.5282162590774218</v>
          </cell>
          <cell r="H31">
            <v>0.42493820843085917</v>
          </cell>
          <cell r="I31">
            <v>0</v>
          </cell>
          <cell r="L31">
            <v>19867.377489866576</v>
          </cell>
          <cell r="M31">
            <v>1703.2320191216484</v>
          </cell>
          <cell r="N31">
            <v>0.90935727532114852</v>
          </cell>
          <cell r="O31">
            <v>2.9454675814750813</v>
          </cell>
          <cell r="P31">
            <v>0.29160356292290623</v>
          </cell>
          <cell r="Q31">
            <v>0</v>
          </cell>
        </row>
        <row r="32">
          <cell r="D32">
            <v>96240.277291461331</v>
          </cell>
          <cell r="E32">
            <v>2386.4375023385464</v>
          </cell>
          <cell r="F32">
            <v>46.287551755464044</v>
          </cell>
          <cell r="G32">
            <v>12.738542721800215</v>
          </cell>
          <cell r="H32">
            <v>0.39181891005156122</v>
          </cell>
          <cell r="I32">
            <v>2.7E-2</v>
          </cell>
          <cell r="L32">
            <v>3275.958194102453</v>
          </cell>
          <cell r="M32">
            <v>586.69526262632485</v>
          </cell>
          <cell r="N32">
            <v>85.059822130401287</v>
          </cell>
          <cell r="O32">
            <v>0.38532755908015021</v>
          </cell>
          <cell r="P32">
            <v>9.8068467193985445E-2</v>
          </cell>
          <cell r="Q32">
            <v>0</v>
          </cell>
        </row>
        <row r="33">
          <cell r="D33">
            <v>86562.13768909761</v>
          </cell>
          <cell r="E33">
            <v>3297.7078348284522</v>
          </cell>
          <cell r="F33">
            <v>2.8280644358079545</v>
          </cell>
          <cell r="G33">
            <v>11.318080572449428</v>
          </cell>
          <cell r="H33">
            <v>0.57270011621683459</v>
          </cell>
          <cell r="I33">
            <v>0</v>
          </cell>
          <cell r="L33">
            <v>2970.9377658716794</v>
          </cell>
          <cell r="M33">
            <v>235.67903753153621</v>
          </cell>
          <cell r="N33">
            <v>1.3308673484314832</v>
          </cell>
          <cell r="O33">
            <v>0.29899588716978098</v>
          </cell>
          <cell r="P33">
            <v>5.6267476683456108E-2</v>
          </cell>
          <cell r="Q33">
            <v>0</v>
          </cell>
        </row>
        <row r="34">
          <cell r="D34">
            <v>94899.061936257873</v>
          </cell>
          <cell r="E34">
            <v>2288.300104781325</v>
          </cell>
          <cell r="F34">
            <v>127.06870512358481</v>
          </cell>
          <cell r="G34">
            <v>12.527535813493458</v>
          </cell>
          <cell r="H34">
            <v>0.38325499846676203</v>
          </cell>
          <cell r="I34">
            <v>1.9286987920074956E-2</v>
          </cell>
          <cell r="L34">
            <v>2080.9858061005725</v>
          </cell>
          <cell r="M34">
            <v>1033.2422869031511</v>
          </cell>
          <cell r="N34">
            <v>78.646428628520525</v>
          </cell>
          <cell r="O34">
            <v>0.38884061892074295</v>
          </cell>
          <cell r="P34">
            <v>0.17653580476114941</v>
          </cell>
          <cell r="Q34">
            <v>1.9162278918054956E-2</v>
          </cell>
        </row>
        <row r="35">
          <cell r="D35">
            <v>78467.296381097665</v>
          </cell>
          <cell r="E35">
            <v>4483.8218364766208</v>
          </cell>
          <cell r="F35">
            <v>3.082618264770423</v>
          </cell>
          <cell r="G35">
            <v>10.009497967294637</v>
          </cell>
          <cell r="H35">
            <v>0.73938379646867169</v>
          </cell>
          <cell r="I35">
            <v>0</v>
          </cell>
          <cell r="L35">
            <v>4047.4960924385268</v>
          </cell>
          <cell r="M35">
            <v>1521.3108849865616</v>
          </cell>
          <cell r="N35">
            <v>1.3981058975776759</v>
          </cell>
          <cell r="O35">
            <v>1.0167679594799324</v>
          </cell>
          <cell r="P35">
            <v>0.2724321783949174</v>
          </cell>
          <cell r="Q35">
            <v>0</v>
          </cell>
        </row>
        <row r="36">
          <cell r="D36">
            <v>94730.268798557634</v>
          </cell>
          <cell r="E36">
            <v>1398.7011472683905</v>
          </cell>
          <cell r="F36">
            <v>168.29022938512404</v>
          </cell>
          <cell r="G36">
            <v>12.866971432114299</v>
          </cell>
          <cell r="H36">
            <v>0.25324074310329636</v>
          </cell>
          <cell r="I36">
            <v>7.9590748876381696E-3</v>
          </cell>
          <cell r="L36">
            <v>3010.7484026833522</v>
          </cell>
          <cell r="M36">
            <v>529.16113195751791</v>
          </cell>
          <cell r="N36">
            <v>117.93561600007935</v>
          </cell>
          <cell r="O36">
            <v>0.22324096398286791</v>
          </cell>
          <cell r="P36">
            <v>0.1041090556419885</v>
          </cell>
          <cell r="Q36">
            <v>2.003721249187233E-2</v>
          </cell>
        </row>
        <row r="37">
          <cell r="D37">
            <v>86624.410468418791</v>
          </cell>
          <cell r="E37">
            <v>4201.9291755767226</v>
          </cell>
          <cell r="F37">
            <v>5.465772147773527</v>
          </cell>
          <cell r="G37">
            <v>11.281537143515473</v>
          </cell>
          <cell r="H37">
            <v>0.70940918752530635</v>
          </cell>
          <cell r="I37">
            <v>0</v>
          </cell>
          <cell r="L37">
            <v>2111.3299833208157</v>
          </cell>
          <cell r="M37">
            <v>522.85230758446994</v>
          </cell>
          <cell r="N37">
            <v>2.856034484403092</v>
          </cell>
          <cell r="O37">
            <v>0.23338798500711008</v>
          </cell>
          <cell r="P37">
            <v>9.0303952444843114E-2</v>
          </cell>
          <cell r="Q37">
            <v>0</v>
          </cell>
        </row>
        <row r="38">
          <cell r="D38">
            <v>31936.367475735995</v>
          </cell>
          <cell r="E38">
            <v>1283.6774851716732</v>
          </cell>
          <cell r="F38">
            <v>0.64756164871842015</v>
          </cell>
          <cell r="G38">
            <v>3.7168645639695415</v>
          </cell>
          <cell r="H38">
            <v>0.26929119648878475</v>
          </cell>
          <cell r="I38">
            <v>0</v>
          </cell>
          <cell r="L38">
            <v>18643.451917259983</v>
          </cell>
          <cell r="M38">
            <v>1061.4864847384492</v>
          </cell>
          <cell r="N38">
            <v>3.2331286581183942</v>
          </cell>
          <cell r="O38">
            <v>2.5832659730524581</v>
          </cell>
          <cell r="P38">
            <v>0.18197196884727562</v>
          </cell>
          <cell r="Q38">
            <v>0</v>
          </cell>
        </row>
        <row r="39">
          <cell r="D39">
            <v>66912.33539097289</v>
          </cell>
          <cell r="E39">
            <v>2394.5486652621739</v>
          </cell>
          <cell r="F39">
            <v>2.6124386322464326</v>
          </cell>
          <cell r="G39">
            <v>6.8614601032435845</v>
          </cell>
          <cell r="H39">
            <v>0.31116049455730038</v>
          </cell>
          <cell r="I39">
            <v>0</v>
          </cell>
          <cell r="L39">
            <v>21258.666376476172</v>
          </cell>
          <cell r="M39">
            <v>496.33210878565973</v>
          </cell>
          <cell r="N39">
            <v>0.54135136386191463</v>
          </cell>
          <cell r="O39">
            <v>3.0409433139954016</v>
          </cell>
          <cell r="P39">
            <v>0.13424717700321795</v>
          </cell>
          <cell r="Q39">
            <v>0</v>
          </cell>
        </row>
        <row r="40">
          <cell r="D40">
            <v>91129.46386251779</v>
          </cell>
          <cell r="E40">
            <v>5943.7468339757179</v>
          </cell>
          <cell r="F40">
            <v>0.93840359626577252</v>
          </cell>
          <cell r="G40">
            <v>11.86914715145322</v>
          </cell>
          <cell r="H40">
            <v>1.0051743975840957</v>
          </cell>
          <cell r="I40">
            <v>0</v>
          </cell>
          <cell r="L40">
            <v>2882.5049676352537</v>
          </cell>
          <cell r="M40">
            <v>769.22218408464619</v>
          </cell>
          <cell r="N40">
            <v>0.98387862270859316</v>
          </cell>
          <cell r="O40">
            <v>0.28435075985987579</v>
          </cell>
          <cell r="P40">
            <v>0.12774723414966349</v>
          </cell>
          <cell r="Q40">
            <v>0</v>
          </cell>
        </row>
        <row r="41">
          <cell r="D41">
            <v>79606.485351056472</v>
          </cell>
          <cell r="E41">
            <v>3771.2516500451939</v>
          </cell>
          <cell r="F41">
            <v>2.4509599245060194</v>
          </cell>
          <cell r="G41">
            <v>10.275293286491555</v>
          </cell>
          <cell r="H41">
            <v>0.56985109319859939</v>
          </cell>
          <cell r="I41">
            <v>0</v>
          </cell>
          <cell r="L41">
            <v>2053.1235387670813</v>
          </cell>
          <cell r="M41">
            <v>843.44334903270737</v>
          </cell>
          <cell r="N41">
            <v>2.3137329175073273</v>
          </cell>
          <cell r="O41">
            <v>0.24317905699298994</v>
          </cell>
          <cell r="P41">
            <v>9.8686210857106507E-2</v>
          </cell>
          <cell r="Q41">
            <v>0</v>
          </cell>
        </row>
        <row r="42">
          <cell r="D42">
            <v>37759.697889816496</v>
          </cell>
          <cell r="E42">
            <v>1044.655671788817</v>
          </cell>
          <cell r="F42">
            <v>5.7301574819277938</v>
          </cell>
          <cell r="G42">
            <v>5.5667094260987984</v>
          </cell>
          <cell r="H42">
            <v>0.21723248518714486</v>
          </cell>
          <cell r="I42">
            <v>0</v>
          </cell>
          <cell r="L42">
            <v>16748.305352542237</v>
          </cell>
          <cell r="M42">
            <v>1190.5446955777516</v>
          </cell>
          <cell r="N42">
            <v>7.0874612175853313</v>
          </cell>
          <cell r="O42">
            <v>2.3857861095696298</v>
          </cell>
          <cell r="P42">
            <v>0.21317964868951397</v>
          </cell>
          <cell r="Q42">
            <v>0</v>
          </cell>
        </row>
        <row r="43">
          <cell r="D43">
            <v>89970.813433597286</v>
          </cell>
          <cell r="E43">
            <v>1657.1478250460311</v>
          </cell>
          <cell r="F43">
            <v>263.5669196825159</v>
          </cell>
          <cell r="G43">
            <v>11.861808229922827</v>
          </cell>
          <cell r="H43">
            <v>0.28645987111081339</v>
          </cell>
          <cell r="I43">
            <v>2.768404040552137E-2</v>
          </cell>
          <cell r="L43">
            <v>3377.6559581215665</v>
          </cell>
          <cell r="M43">
            <v>1141.3666956775287</v>
          </cell>
          <cell r="N43">
            <v>39.600425112938964</v>
          </cell>
          <cell r="O43">
            <v>0.38266558093793607</v>
          </cell>
          <cell r="P43">
            <v>0.23048120425763433</v>
          </cell>
          <cell r="Q43">
            <v>5.8711043821981683E-3</v>
          </cell>
        </row>
        <row r="44">
          <cell r="D44">
            <v>97914.138376536081</v>
          </cell>
          <cell r="E44">
            <v>724.3250046308533</v>
          </cell>
          <cell r="F44">
            <v>360.19137200018355</v>
          </cell>
          <cell r="G44">
            <v>12.044409065051584</v>
          </cell>
          <cell r="H44">
            <v>0.10349619251898318</v>
          </cell>
          <cell r="I44">
            <v>4.7673328342963124E-2</v>
          </cell>
          <cell r="L44">
            <v>7034.8025647530994</v>
          </cell>
          <cell r="M44">
            <v>365.86746682012682</v>
          </cell>
          <cell r="N44">
            <v>176.34311913718238</v>
          </cell>
          <cell r="O44">
            <v>0.95667979470666675</v>
          </cell>
          <cell r="P44">
            <v>5.8732813467241449E-2</v>
          </cell>
          <cell r="Q44">
            <v>3.9412486600061143E-2</v>
          </cell>
        </row>
        <row r="45">
          <cell r="D45">
            <v>9637.2701327961622</v>
          </cell>
          <cell r="E45">
            <v>208.1610614839239</v>
          </cell>
          <cell r="F45">
            <v>0.23916038143376311</v>
          </cell>
          <cell r="G45">
            <v>1.4476531238355466</v>
          </cell>
          <cell r="H45">
            <v>0</v>
          </cell>
          <cell r="I45">
            <v>0</v>
          </cell>
          <cell r="L45">
            <v>1391.826060675058</v>
          </cell>
          <cell r="M45">
            <v>32.166602441588239</v>
          </cell>
          <cell r="N45">
            <v>2.5169145245762614</v>
          </cell>
          <cell r="O45">
            <v>0.3233845729186971</v>
          </cell>
          <cell r="P45">
            <v>0</v>
          </cell>
          <cell r="Q45">
            <v>0</v>
          </cell>
        </row>
        <row r="46">
          <cell r="D46">
            <v>9061.917880579389</v>
          </cell>
          <cell r="E46">
            <v>160.15576707951342</v>
          </cell>
          <cell r="F46">
            <v>0.4634937927433716</v>
          </cell>
          <cell r="G46">
            <v>1.2183953783594148</v>
          </cell>
          <cell r="H46">
            <v>0</v>
          </cell>
          <cell r="I46">
            <v>0</v>
          </cell>
          <cell r="L46">
            <v>2424.7718397396134</v>
          </cell>
          <cell r="M46">
            <v>49.487011615941711</v>
          </cell>
          <cell r="N46">
            <v>9.6098393297699101</v>
          </cell>
          <cell r="O46">
            <v>0.4341707139779985</v>
          </cell>
          <cell r="P46">
            <v>0</v>
          </cell>
          <cell r="Q46">
            <v>0</v>
          </cell>
        </row>
        <row r="47">
          <cell r="D47">
            <v>8903.8821997576379</v>
          </cell>
          <cell r="E47">
            <v>197.60296459259578</v>
          </cell>
          <cell r="F47">
            <v>3.0728979222682975</v>
          </cell>
          <cell r="G47">
            <v>1.5098856336046271</v>
          </cell>
          <cell r="H47">
            <v>0</v>
          </cell>
          <cell r="I47">
            <v>0</v>
          </cell>
          <cell r="L47">
            <v>1386.2544433356479</v>
          </cell>
          <cell r="M47">
            <v>34.134818123882219</v>
          </cell>
          <cell r="N47">
            <v>41.907557905932038</v>
          </cell>
          <cell r="O47">
            <v>0.22674245944563592</v>
          </cell>
          <cell r="P47">
            <v>0</v>
          </cell>
          <cell r="Q47">
            <v>0</v>
          </cell>
        </row>
        <row r="48">
          <cell r="D48">
            <v>8294.8058371715324</v>
          </cell>
          <cell r="E48">
            <v>147.85792265747989</v>
          </cell>
          <cell r="F48">
            <v>13.930451627028582</v>
          </cell>
          <cell r="G48">
            <v>1.5651050380109897</v>
          </cell>
          <cell r="H48">
            <v>0</v>
          </cell>
          <cell r="I48">
            <v>0</v>
          </cell>
          <cell r="L48">
            <v>1544.1641074478407</v>
          </cell>
          <cell r="M48">
            <v>31.872355621671467</v>
          </cell>
          <cell r="N48">
            <v>12.881684043766917</v>
          </cell>
          <cell r="O48">
            <v>0.33212259804290523</v>
          </cell>
          <cell r="P48">
            <v>0</v>
          </cell>
          <cell r="Q48">
            <v>0</v>
          </cell>
        </row>
        <row r="49">
          <cell r="D49">
            <v>8719.8568713817403</v>
          </cell>
          <cell r="E49">
            <v>175.42534104706021</v>
          </cell>
          <cell r="F49">
            <v>0.71453111283414783</v>
          </cell>
          <cell r="G49">
            <v>1.5416161541986657</v>
          </cell>
          <cell r="H49">
            <v>0</v>
          </cell>
          <cell r="I49">
            <v>0</v>
          </cell>
          <cell r="L49">
            <v>1663.6897036729092</v>
          </cell>
          <cell r="M49">
            <v>19.699121678663893</v>
          </cell>
          <cell r="N49">
            <v>19.883788792611</v>
          </cell>
          <cell r="O49">
            <v>0.19125145488651249</v>
          </cell>
          <cell r="P49">
            <v>0</v>
          </cell>
          <cell r="Q49">
            <v>0</v>
          </cell>
        </row>
        <row r="50">
          <cell r="D50">
            <v>7969.2114343284011</v>
          </cell>
          <cell r="E50">
            <v>215.06850848655961</v>
          </cell>
          <cell r="F50">
            <v>45.396680118993125</v>
          </cell>
          <cell r="G50">
            <v>1.2211968851772104</v>
          </cell>
          <cell r="H50">
            <v>0</v>
          </cell>
          <cell r="I50">
            <v>0</v>
          </cell>
          <cell r="L50">
            <v>813.16887416519262</v>
          </cell>
          <cell r="M50">
            <v>27.124522267696069</v>
          </cell>
          <cell r="N50">
            <v>588.98956695690777</v>
          </cell>
          <cell r="O50">
            <v>0.13392262488417944</v>
          </cell>
          <cell r="P50">
            <v>0</v>
          </cell>
          <cell r="Q50">
            <v>0</v>
          </cell>
        </row>
        <row r="51">
          <cell r="D51">
            <v>4808.0616587471604</v>
          </cell>
          <cell r="E51">
            <v>197.59152839061326</v>
          </cell>
          <cell r="F51">
            <v>0</v>
          </cell>
          <cell r="G51">
            <v>0.74763531202579181</v>
          </cell>
          <cell r="H51">
            <v>0</v>
          </cell>
          <cell r="I51">
            <v>0</v>
          </cell>
          <cell r="L51">
            <v>773.51439023704904</v>
          </cell>
          <cell r="M51">
            <v>29.372467357888784</v>
          </cell>
          <cell r="N51">
            <v>0</v>
          </cell>
          <cell r="O51">
            <v>0.12144107378122873</v>
          </cell>
          <cell r="P51">
            <v>0</v>
          </cell>
          <cell r="Q51">
            <v>0</v>
          </cell>
        </row>
        <row r="52">
          <cell r="D52">
            <v>11629.144155762071</v>
          </cell>
          <cell r="E52">
            <v>419.7409256888638</v>
          </cell>
          <cell r="F52">
            <v>9.9479277864073526E-2</v>
          </cell>
          <cell r="G52">
            <v>1.9723941971335082</v>
          </cell>
          <cell r="H52">
            <v>0</v>
          </cell>
          <cell r="I52">
            <v>0</v>
          </cell>
          <cell r="L52">
            <v>2062.2925887515794</v>
          </cell>
          <cell r="M52">
            <v>40.815328415290431</v>
          </cell>
          <cell r="N52">
            <v>0.69182390325836451</v>
          </cell>
          <cell r="O52">
            <v>0.31260731676707088</v>
          </cell>
          <cell r="P52">
            <v>0</v>
          </cell>
          <cell r="Q52">
            <v>0</v>
          </cell>
        </row>
        <row r="53">
          <cell r="D53">
            <v>9240.8312403658838</v>
          </cell>
          <cell r="E53">
            <v>218.22275091433272</v>
          </cell>
          <cell r="F53">
            <v>0.7872408460831104</v>
          </cell>
          <cell r="G53">
            <v>1.4007888650243714</v>
          </cell>
          <cell r="H53">
            <v>0</v>
          </cell>
          <cell r="I53">
            <v>0</v>
          </cell>
          <cell r="L53">
            <v>799.23725757242278</v>
          </cell>
          <cell r="M53">
            <v>21.472210699028118</v>
          </cell>
          <cell r="N53">
            <v>0.5102059441049891</v>
          </cell>
          <cell r="O53">
            <v>0.21150755876286559</v>
          </cell>
          <cell r="P53">
            <v>0</v>
          </cell>
          <cell r="Q53">
            <v>0</v>
          </cell>
        </row>
        <row r="54">
          <cell r="D54">
            <v>7784.8931474374695</v>
          </cell>
          <cell r="E54">
            <v>188.40593090005621</v>
          </cell>
          <cell r="F54">
            <v>0.18987338037109294</v>
          </cell>
          <cell r="G54">
            <v>1.4038453724746884</v>
          </cell>
          <cell r="H54">
            <v>0</v>
          </cell>
          <cell r="I54">
            <v>0</v>
          </cell>
          <cell r="L54">
            <v>1089.141585825367</v>
          </cell>
          <cell r="M54">
            <v>16.947033151954294</v>
          </cell>
          <cell r="N54">
            <v>0.40544551504845711</v>
          </cell>
          <cell r="O54">
            <v>0.2191841078756262</v>
          </cell>
          <cell r="P54">
            <v>0</v>
          </cell>
          <cell r="Q54">
            <v>0</v>
          </cell>
        </row>
        <row r="55">
          <cell r="D55">
            <v>7999.6344222849011</v>
          </cell>
          <cell r="E55">
            <v>201.56958583413541</v>
          </cell>
          <cell r="F55">
            <v>4.3321630314040807E-2</v>
          </cell>
          <cell r="G55">
            <v>1.4080408607711004</v>
          </cell>
          <cell r="H55">
            <v>0</v>
          </cell>
          <cell r="I55">
            <v>0</v>
          </cell>
          <cell r="L55">
            <v>1312.3303437397021</v>
          </cell>
          <cell r="M55">
            <v>16.747483137074543</v>
          </cell>
          <cell r="N55">
            <v>0</v>
          </cell>
          <cell r="O55">
            <v>0.20892669418509166</v>
          </cell>
          <cell r="P55">
            <v>0</v>
          </cell>
          <cell r="Q55">
            <v>0</v>
          </cell>
        </row>
        <row r="56">
          <cell r="D56">
            <v>701.9535540661052</v>
          </cell>
          <cell r="E56">
            <v>0.96111023202342505</v>
          </cell>
          <cell r="F56">
            <v>7.3235354689960204</v>
          </cell>
          <cell r="G56">
            <v>0.12139930833617714</v>
          </cell>
          <cell r="H56">
            <v>0</v>
          </cell>
          <cell r="I56">
            <v>0</v>
          </cell>
          <cell r="L56">
            <v>161.09512383533792</v>
          </cell>
          <cell r="M56">
            <v>0.34012092703754049</v>
          </cell>
          <cell r="N56">
            <v>14.039945665084677</v>
          </cell>
          <cell r="O56">
            <v>3.23438828106817E-2</v>
          </cell>
          <cell r="P56">
            <v>0</v>
          </cell>
          <cell r="Q56">
            <v>0</v>
          </cell>
        </row>
        <row r="57">
          <cell r="D57">
            <v>765.23608596252041</v>
          </cell>
          <cell r="E57">
            <v>0.84248794378989433</v>
          </cell>
          <cell r="F57">
            <v>20.098027531167709</v>
          </cell>
          <cell r="G57">
            <v>0.15678828169797002</v>
          </cell>
          <cell r="H57">
            <v>0</v>
          </cell>
          <cell r="I57">
            <v>0</v>
          </cell>
          <cell r="L57">
            <v>126.49308865250576</v>
          </cell>
          <cell r="M57">
            <v>0.13081065953943236</v>
          </cell>
          <cell r="N57">
            <v>25.152586005037488</v>
          </cell>
          <cell r="O57">
            <v>0.12700468852520613</v>
          </cell>
          <cell r="P57">
            <v>0</v>
          </cell>
          <cell r="Q57">
            <v>0</v>
          </cell>
        </row>
        <row r="58">
          <cell r="D58">
            <v>630.32939321109336</v>
          </cell>
          <cell r="E58">
            <v>1.4341180727368268</v>
          </cell>
          <cell r="F58">
            <v>2.2985499069892597</v>
          </cell>
          <cell r="G58">
            <v>9.9610479955996548E-2</v>
          </cell>
          <cell r="H58">
            <v>0</v>
          </cell>
          <cell r="I58">
            <v>0</v>
          </cell>
          <cell r="L58">
            <v>201.82874924127137</v>
          </cell>
          <cell r="M58">
            <v>0.70264833964574003</v>
          </cell>
          <cell r="N58">
            <v>12.007110194969453</v>
          </cell>
          <cell r="O58">
            <v>2.8412661443330784E-2</v>
          </cell>
          <cell r="P58">
            <v>0</v>
          </cell>
          <cell r="Q58">
            <v>0</v>
          </cell>
        </row>
        <row r="59">
          <cell r="D59">
            <v>517.52476171719979</v>
          </cell>
          <cell r="E59">
            <v>1.0880906699594515</v>
          </cell>
          <cell r="F59">
            <v>4.0305819297557237</v>
          </cell>
          <cell r="G59">
            <v>8.655434604758043E-2</v>
          </cell>
          <cell r="H59">
            <v>0</v>
          </cell>
          <cell r="I59">
            <v>0</v>
          </cell>
          <cell r="L59">
            <v>92.289708066505199</v>
          </cell>
          <cell r="M59">
            <v>0.34438926352153837</v>
          </cell>
          <cell r="N59">
            <v>46.09677424747359</v>
          </cell>
          <cell r="O59">
            <v>1.7385860265552958E-2</v>
          </cell>
          <cell r="P59">
            <v>0</v>
          </cell>
          <cell r="Q59">
            <v>0</v>
          </cell>
        </row>
        <row r="60">
          <cell r="D60">
            <v>1079.5269922102602</v>
          </cell>
          <cell r="E60">
            <v>2.3801224627004065</v>
          </cell>
          <cell r="F60">
            <v>3.5265132531517902</v>
          </cell>
          <cell r="G60">
            <v>0.16699458040969578</v>
          </cell>
          <cell r="H60">
            <v>0</v>
          </cell>
          <cell r="I60">
            <v>0</v>
          </cell>
          <cell r="L60">
            <v>236.21989305133658</v>
          </cell>
          <cell r="M60">
            <v>0.8106388548997292</v>
          </cell>
          <cell r="N60">
            <v>169.51532656684998</v>
          </cell>
          <cell r="O60">
            <v>4.0775393377573146E-2</v>
          </cell>
          <cell r="P60">
            <v>0</v>
          </cell>
          <cell r="Q60">
            <v>0</v>
          </cell>
        </row>
        <row r="61">
          <cell r="D61">
            <v>1998.4340168410242</v>
          </cell>
          <cell r="E61">
            <v>2.8611882795198778</v>
          </cell>
          <cell r="F61">
            <v>4.9678713907323573</v>
          </cell>
          <cell r="G61">
            <v>0.29484015140224962</v>
          </cell>
          <cell r="H61">
            <v>0</v>
          </cell>
          <cell r="I61">
            <v>0</v>
          </cell>
          <cell r="L61">
            <v>746.66744631580434</v>
          </cell>
          <cell r="M61">
            <v>1.3445391417073356</v>
          </cell>
          <cell r="N61">
            <v>138.41325220206346</v>
          </cell>
          <cell r="O61">
            <v>0.12537587433073999</v>
          </cell>
          <cell r="P61">
            <v>0</v>
          </cell>
          <cell r="Q61">
            <v>0</v>
          </cell>
        </row>
        <row r="62">
          <cell r="D62">
            <v>597.37983473204076</v>
          </cell>
          <cell r="E62">
            <v>1.5085937478752498</v>
          </cell>
          <cell r="F62">
            <v>0.85600955141837709</v>
          </cell>
          <cell r="G62">
            <v>0.10187297512346391</v>
          </cell>
          <cell r="H62">
            <v>0</v>
          </cell>
          <cell r="I62">
            <v>0</v>
          </cell>
          <cell r="L62">
            <v>104.43374981788608</v>
          </cell>
          <cell r="M62">
            <v>0.31464458813274815</v>
          </cell>
          <cell r="N62">
            <v>9.1336641940376921</v>
          </cell>
          <cell r="O62">
            <v>1.7676419778155577E-2</v>
          </cell>
          <cell r="P62">
            <v>0</v>
          </cell>
          <cell r="Q62">
            <v>0</v>
          </cell>
        </row>
        <row r="63">
          <cell r="D63">
            <v>1059.2331225608782</v>
          </cell>
          <cell r="E63">
            <v>1.7899791387532524</v>
          </cell>
          <cell r="F63">
            <v>26.842190430425113</v>
          </cell>
          <cell r="G63">
            <v>0.19250228985188653</v>
          </cell>
          <cell r="H63">
            <v>0</v>
          </cell>
          <cell r="I63">
            <v>0</v>
          </cell>
          <cell r="L63">
            <v>179.47986085343541</v>
          </cell>
          <cell r="M63">
            <v>0.70513316344208032</v>
          </cell>
          <cell r="N63">
            <v>741.96938895758183</v>
          </cell>
          <cell r="O63">
            <v>1.2930719460949475E-2</v>
          </cell>
          <cell r="P63">
            <v>0</v>
          </cell>
          <cell r="Q63">
            <v>0</v>
          </cell>
        </row>
        <row r="64">
          <cell r="D64">
            <v>676.45034805334922</v>
          </cell>
          <cell r="E64">
            <v>13.400717680540783</v>
          </cell>
          <cell r="F64">
            <v>0.44550453986110278</v>
          </cell>
          <cell r="G64">
            <v>0.17404309811078403</v>
          </cell>
          <cell r="H64">
            <v>0</v>
          </cell>
          <cell r="I64">
            <v>0</v>
          </cell>
          <cell r="L64">
            <v>527.89822211135083</v>
          </cell>
          <cell r="M64">
            <v>17.669982405506186</v>
          </cell>
          <cell r="N64">
            <v>0.97526795674534061</v>
          </cell>
          <cell r="O64">
            <v>0.34655449908107283</v>
          </cell>
          <cell r="P64">
            <v>0</v>
          </cell>
          <cell r="Q64">
            <v>0</v>
          </cell>
        </row>
        <row r="65">
          <cell r="D65">
            <v>1302.960467704874</v>
          </cell>
          <cell r="E65">
            <v>7.7530502345173735</v>
          </cell>
          <cell r="F65">
            <v>0.4467229655183329</v>
          </cell>
          <cell r="G65">
            <v>0.25385308716610172</v>
          </cell>
          <cell r="H65">
            <v>0</v>
          </cell>
          <cell r="I65">
            <v>0</v>
          </cell>
          <cell r="L65">
            <v>383.80134714538463</v>
          </cell>
          <cell r="M65">
            <v>16.537533320224163</v>
          </cell>
          <cell r="N65">
            <v>8.4974659682182807</v>
          </cell>
          <cell r="O65">
            <v>0.13001417379962846</v>
          </cell>
          <cell r="P65">
            <v>0</v>
          </cell>
          <cell r="Q6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opLeftCell="A58" zoomScaleNormal="100" workbookViewId="0">
      <selection activeCell="N10" sqref="N10"/>
    </sheetView>
  </sheetViews>
  <sheetFormatPr baseColWidth="10" defaultRowHeight="11.25" x14ac:dyDescent="0.2"/>
  <cols>
    <col min="1" max="2" width="11.42578125" style="9"/>
    <col min="3" max="3" width="19.85546875" style="9" customWidth="1"/>
    <col min="4" max="4" width="12" style="9" bestFit="1" customWidth="1"/>
    <col min="5" max="6" width="11.42578125" style="9"/>
    <col min="7" max="7" width="23.85546875" style="9" customWidth="1"/>
    <col min="8" max="16384" width="11.42578125" style="9"/>
  </cols>
  <sheetData>
    <row r="1" spans="1:13" x14ac:dyDescent="0.2">
      <c r="A1" s="9" t="s">
        <v>0</v>
      </c>
    </row>
    <row r="3" spans="1:13" x14ac:dyDescent="0.2">
      <c r="A3" s="10" t="s">
        <v>151</v>
      </c>
      <c r="B3" s="10"/>
      <c r="C3" s="10"/>
      <c r="D3" s="10"/>
    </row>
    <row r="5" spans="1:13" ht="12" thickBot="1" x14ac:dyDescent="0.25"/>
    <row r="6" spans="1:13" ht="34.5" thickBot="1" x14ac:dyDescent="0.25">
      <c r="A6" s="20" t="s">
        <v>152</v>
      </c>
      <c r="B6" s="20" t="s">
        <v>153</v>
      </c>
      <c r="C6" s="21" t="s">
        <v>154</v>
      </c>
      <c r="D6" s="20" t="s">
        <v>155</v>
      </c>
      <c r="E6" s="21" t="s">
        <v>156</v>
      </c>
      <c r="F6" s="21" t="s">
        <v>157</v>
      </c>
      <c r="G6" s="21" t="s">
        <v>158</v>
      </c>
      <c r="H6" s="21" t="s">
        <v>390</v>
      </c>
      <c r="I6" s="21" t="s">
        <v>159</v>
      </c>
      <c r="J6" s="12"/>
      <c r="L6" s="130" t="s">
        <v>1661</v>
      </c>
      <c r="M6" s="131"/>
    </row>
    <row r="7" spans="1:13" ht="12" thickTop="1" x14ac:dyDescent="0.2">
      <c r="A7" s="13"/>
      <c r="B7" s="13"/>
      <c r="C7" s="14"/>
      <c r="D7" s="13"/>
      <c r="E7" s="13"/>
      <c r="F7" s="15"/>
      <c r="G7" s="14"/>
      <c r="H7" s="13"/>
      <c r="I7" s="13"/>
      <c r="J7" s="13"/>
    </row>
    <row r="8" spans="1:13" ht="22.5" x14ac:dyDescent="0.2">
      <c r="A8" s="11" t="s">
        <v>160</v>
      </c>
      <c r="B8" s="11" t="s">
        <v>161</v>
      </c>
      <c r="C8" s="12" t="s">
        <v>1638</v>
      </c>
      <c r="D8" s="11" t="s">
        <v>162</v>
      </c>
      <c r="E8" s="11" t="s">
        <v>163</v>
      </c>
      <c r="F8" s="11">
        <v>13</v>
      </c>
      <c r="G8" s="12" t="s">
        <v>164</v>
      </c>
      <c r="H8" s="11" t="s">
        <v>165</v>
      </c>
      <c r="I8" s="11"/>
      <c r="J8" s="11"/>
      <c r="L8" s="10" t="s">
        <v>1629</v>
      </c>
      <c r="M8" s="10" t="s">
        <v>1630</v>
      </c>
    </row>
    <row r="9" spans="1:13" ht="22.5" x14ac:dyDescent="0.2">
      <c r="A9" s="11" t="s">
        <v>166</v>
      </c>
      <c r="B9" s="11" t="s">
        <v>161</v>
      </c>
      <c r="C9" s="12" t="s">
        <v>167</v>
      </c>
      <c r="D9" s="11" t="s">
        <v>162</v>
      </c>
      <c r="E9" s="11" t="s">
        <v>163</v>
      </c>
      <c r="F9" s="11"/>
      <c r="G9" s="12" t="s">
        <v>168</v>
      </c>
      <c r="H9" s="11" t="s">
        <v>165</v>
      </c>
      <c r="I9" s="11"/>
      <c r="J9" s="11"/>
      <c r="L9" s="10" t="s">
        <v>1631</v>
      </c>
      <c r="M9" s="135" t="s">
        <v>1889</v>
      </c>
    </row>
    <row r="10" spans="1:13" ht="22.5" x14ac:dyDescent="0.2">
      <c r="A10" s="11" t="s">
        <v>169</v>
      </c>
      <c r="B10" s="11" t="s">
        <v>161</v>
      </c>
      <c r="C10" s="12" t="s">
        <v>170</v>
      </c>
      <c r="D10" s="11" t="s">
        <v>162</v>
      </c>
      <c r="E10" s="11" t="s">
        <v>171</v>
      </c>
      <c r="F10" s="11"/>
      <c r="G10" s="12" t="s">
        <v>172</v>
      </c>
      <c r="H10" s="11" t="s">
        <v>165</v>
      </c>
      <c r="I10" s="11"/>
      <c r="J10" s="11"/>
      <c r="L10" s="10" t="s">
        <v>1632</v>
      </c>
      <c r="M10" s="10" t="s">
        <v>1633</v>
      </c>
    </row>
    <row r="11" spans="1:13" ht="22.5" x14ac:dyDescent="0.2">
      <c r="A11" s="11" t="s">
        <v>173</v>
      </c>
      <c r="B11" s="11" t="s">
        <v>161</v>
      </c>
      <c r="C11" s="12" t="s">
        <v>174</v>
      </c>
      <c r="D11" s="11" t="s">
        <v>162</v>
      </c>
      <c r="E11" s="11" t="s">
        <v>163</v>
      </c>
      <c r="F11" s="11"/>
      <c r="G11" s="12"/>
      <c r="H11" s="11" t="s">
        <v>165</v>
      </c>
      <c r="I11" s="11"/>
      <c r="J11" s="11"/>
      <c r="L11" s="10" t="s">
        <v>1634</v>
      </c>
      <c r="M11" s="10" t="s">
        <v>1635</v>
      </c>
    </row>
    <row r="12" spans="1:13" ht="22.5" x14ac:dyDescent="0.2">
      <c r="A12" s="11" t="s">
        <v>175</v>
      </c>
      <c r="B12" s="11" t="s">
        <v>161</v>
      </c>
      <c r="C12" s="12" t="s">
        <v>176</v>
      </c>
      <c r="D12" s="11" t="s">
        <v>162</v>
      </c>
      <c r="E12" s="11" t="s">
        <v>163</v>
      </c>
      <c r="F12" s="11"/>
      <c r="G12" s="12"/>
      <c r="H12" s="11" t="s">
        <v>165</v>
      </c>
      <c r="I12" s="11"/>
      <c r="J12" s="11"/>
      <c r="L12" s="10" t="s">
        <v>1636</v>
      </c>
      <c r="M12" s="10" t="s">
        <v>1637</v>
      </c>
    </row>
    <row r="13" spans="1:13" ht="22.5" x14ac:dyDescent="0.2">
      <c r="A13" s="11" t="s">
        <v>177</v>
      </c>
      <c r="B13" s="11" t="s">
        <v>161</v>
      </c>
      <c r="C13" s="12" t="s">
        <v>178</v>
      </c>
      <c r="D13" s="11" t="s">
        <v>162</v>
      </c>
      <c r="E13" s="11" t="s">
        <v>163</v>
      </c>
      <c r="F13" s="11"/>
      <c r="G13" s="12"/>
      <c r="H13" s="11" t="s">
        <v>165</v>
      </c>
      <c r="I13" s="11"/>
      <c r="J13" s="11"/>
      <c r="L13" s="10" t="s">
        <v>1639</v>
      </c>
      <c r="M13" s="10" t="s">
        <v>1640</v>
      </c>
    </row>
    <row r="14" spans="1:13" ht="22.5" x14ac:dyDescent="0.2">
      <c r="A14" s="11" t="s">
        <v>179</v>
      </c>
      <c r="B14" s="11" t="s">
        <v>161</v>
      </c>
      <c r="C14" s="12" t="s">
        <v>180</v>
      </c>
      <c r="D14" s="11" t="s">
        <v>162</v>
      </c>
      <c r="E14" s="11" t="s">
        <v>163</v>
      </c>
      <c r="F14" s="11"/>
      <c r="G14" s="12"/>
      <c r="H14" s="11" t="s">
        <v>165</v>
      </c>
      <c r="I14" s="11"/>
      <c r="J14" s="11"/>
      <c r="L14" s="10" t="s">
        <v>1641</v>
      </c>
      <c r="M14" s="10" t="s">
        <v>1642</v>
      </c>
    </row>
    <row r="15" spans="1:13" x14ac:dyDescent="0.2">
      <c r="A15" s="11" t="s">
        <v>181</v>
      </c>
      <c r="B15" s="11" t="s">
        <v>161</v>
      </c>
      <c r="C15" s="12" t="s">
        <v>182</v>
      </c>
      <c r="D15" s="11" t="s">
        <v>162</v>
      </c>
      <c r="E15" s="11" t="s">
        <v>163</v>
      </c>
      <c r="F15" s="11"/>
      <c r="G15" s="12"/>
      <c r="H15" s="11" t="s">
        <v>165</v>
      </c>
      <c r="I15" s="11"/>
      <c r="J15" s="11"/>
      <c r="L15" s="10" t="s">
        <v>1643</v>
      </c>
      <c r="M15" s="10" t="s">
        <v>1644</v>
      </c>
    </row>
    <row r="16" spans="1:13" ht="22.5" x14ac:dyDescent="0.2">
      <c r="A16" s="11" t="s">
        <v>183</v>
      </c>
      <c r="B16" s="11" t="s">
        <v>161</v>
      </c>
      <c r="C16" s="12" t="s">
        <v>184</v>
      </c>
      <c r="D16" s="11" t="s">
        <v>162</v>
      </c>
      <c r="E16" s="11" t="s">
        <v>163</v>
      </c>
      <c r="F16" s="11">
        <v>13</v>
      </c>
      <c r="G16" s="12" t="s">
        <v>185</v>
      </c>
      <c r="H16" s="11" t="s">
        <v>165</v>
      </c>
      <c r="I16" s="11" t="s">
        <v>165</v>
      </c>
      <c r="J16" s="11"/>
      <c r="L16" s="10" t="s">
        <v>1647</v>
      </c>
      <c r="M16" s="10" t="s">
        <v>1648</v>
      </c>
    </row>
    <row r="17" spans="1:13" ht="22.5" x14ac:dyDescent="0.2">
      <c r="A17" s="11" t="s">
        <v>186</v>
      </c>
      <c r="B17" s="11" t="s">
        <v>161</v>
      </c>
      <c r="C17" s="12" t="s">
        <v>187</v>
      </c>
      <c r="D17" s="11" t="s">
        <v>162</v>
      </c>
      <c r="E17" s="11" t="s">
        <v>163</v>
      </c>
      <c r="F17" s="11">
        <v>12</v>
      </c>
      <c r="G17" s="12" t="s">
        <v>188</v>
      </c>
      <c r="H17" s="11" t="s">
        <v>165</v>
      </c>
      <c r="I17" s="11"/>
      <c r="J17" s="11"/>
      <c r="L17" s="10" t="s">
        <v>1649</v>
      </c>
      <c r="M17" s="10" t="s">
        <v>1650</v>
      </c>
    </row>
    <row r="18" spans="1:13" ht="22.5" x14ac:dyDescent="0.2">
      <c r="A18" s="11" t="s">
        <v>189</v>
      </c>
      <c r="B18" s="11" t="s">
        <v>161</v>
      </c>
      <c r="C18" s="12" t="s">
        <v>190</v>
      </c>
      <c r="D18" s="11" t="s">
        <v>162</v>
      </c>
      <c r="E18" s="11" t="s">
        <v>163</v>
      </c>
      <c r="F18" s="11">
        <v>12</v>
      </c>
      <c r="G18" s="12" t="s">
        <v>188</v>
      </c>
      <c r="H18" s="11" t="s">
        <v>165</v>
      </c>
      <c r="I18" s="11"/>
      <c r="J18" s="11"/>
      <c r="L18" s="10" t="s">
        <v>1651</v>
      </c>
      <c r="M18" s="10" t="s">
        <v>1652</v>
      </c>
    </row>
    <row r="19" spans="1:13" ht="22.5" x14ac:dyDescent="0.2">
      <c r="A19" s="11" t="s">
        <v>191</v>
      </c>
      <c r="B19" s="11" t="s">
        <v>161</v>
      </c>
      <c r="C19" s="12" t="s">
        <v>192</v>
      </c>
      <c r="D19" s="11" t="s">
        <v>162</v>
      </c>
      <c r="E19" s="11" t="s">
        <v>163</v>
      </c>
      <c r="F19" s="11"/>
      <c r="G19" s="12" t="s">
        <v>193</v>
      </c>
      <c r="H19" s="11" t="s">
        <v>165</v>
      </c>
      <c r="I19" s="11"/>
      <c r="J19" s="11"/>
      <c r="L19" s="10" t="s">
        <v>1653</v>
      </c>
      <c r="M19" s="10" t="s">
        <v>1654</v>
      </c>
    </row>
    <row r="20" spans="1:13" ht="22.5" x14ac:dyDescent="0.2">
      <c r="A20" s="11" t="s">
        <v>194</v>
      </c>
      <c r="B20" s="11" t="s">
        <v>161</v>
      </c>
      <c r="C20" s="12" t="s">
        <v>195</v>
      </c>
      <c r="D20" s="11" t="s">
        <v>162</v>
      </c>
      <c r="E20" s="11" t="s">
        <v>163</v>
      </c>
      <c r="F20" s="11">
        <v>13</v>
      </c>
      <c r="G20" s="12"/>
      <c r="H20" s="11" t="s">
        <v>165</v>
      </c>
      <c r="I20" s="11"/>
      <c r="J20" s="11"/>
      <c r="L20" s="10" t="s">
        <v>1655</v>
      </c>
      <c r="M20" s="10" t="s">
        <v>1656</v>
      </c>
    </row>
    <row r="21" spans="1:13" ht="22.5" x14ac:dyDescent="0.2">
      <c r="A21" s="11" t="s">
        <v>196</v>
      </c>
      <c r="B21" s="11" t="s">
        <v>161</v>
      </c>
      <c r="C21" s="12" t="s">
        <v>197</v>
      </c>
      <c r="D21" s="11" t="s">
        <v>162</v>
      </c>
      <c r="E21" s="11" t="s">
        <v>163</v>
      </c>
      <c r="F21" s="11"/>
      <c r="G21" s="12"/>
      <c r="H21" s="11" t="s">
        <v>165</v>
      </c>
      <c r="I21" s="11"/>
      <c r="J21" s="11"/>
      <c r="L21" s="10" t="s">
        <v>1657</v>
      </c>
      <c r="M21" s="10" t="s">
        <v>1658</v>
      </c>
    </row>
    <row r="22" spans="1:13" ht="22.5" x14ac:dyDescent="0.2">
      <c r="A22" s="11" t="s">
        <v>198</v>
      </c>
      <c r="B22" s="11" t="s">
        <v>161</v>
      </c>
      <c r="C22" s="12" t="s">
        <v>199</v>
      </c>
      <c r="D22" s="11" t="s">
        <v>162</v>
      </c>
      <c r="E22" s="11" t="s">
        <v>163</v>
      </c>
      <c r="F22" s="11"/>
      <c r="G22" s="12" t="s">
        <v>200</v>
      </c>
      <c r="H22" s="11" t="s">
        <v>165</v>
      </c>
      <c r="I22" s="11"/>
      <c r="J22" s="11"/>
      <c r="L22" s="10" t="s">
        <v>1659</v>
      </c>
      <c r="M22" s="10" t="s">
        <v>1660</v>
      </c>
    </row>
    <row r="23" spans="1:13" ht="22.5" x14ac:dyDescent="0.2">
      <c r="A23" s="11" t="s">
        <v>201</v>
      </c>
      <c r="B23" s="11" t="s">
        <v>161</v>
      </c>
      <c r="C23" s="12" t="s">
        <v>202</v>
      </c>
      <c r="D23" s="11" t="s">
        <v>162</v>
      </c>
      <c r="E23" s="11" t="s">
        <v>163</v>
      </c>
      <c r="F23" s="11"/>
      <c r="G23" s="12" t="s">
        <v>203</v>
      </c>
      <c r="H23" s="11" t="s">
        <v>165</v>
      </c>
      <c r="I23" s="11"/>
      <c r="J23" s="11"/>
      <c r="L23" s="10" t="s">
        <v>1627</v>
      </c>
      <c r="M23" s="10" t="s">
        <v>1628</v>
      </c>
    </row>
    <row r="24" spans="1:13" ht="22.5" x14ac:dyDescent="0.2">
      <c r="A24" s="11" t="s">
        <v>204</v>
      </c>
      <c r="B24" s="11" t="s">
        <v>161</v>
      </c>
      <c r="C24" s="12" t="s">
        <v>205</v>
      </c>
      <c r="D24" s="11" t="s">
        <v>162</v>
      </c>
      <c r="E24" s="11" t="s">
        <v>163</v>
      </c>
      <c r="F24" s="11"/>
      <c r="G24" s="12" t="s">
        <v>206</v>
      </c>
      <c r="H24" s="11" t="s">
        <v>165</v>
      </c>
      <c r="I24" s="11"/>
      <c r="J24" s="11"/>
      <c r="L24" s="10" t="s">
        <v>1645</v>
      </c>
      <c r="M24" s="10" t="s">
        <v>1646</v>
      </c>
    </row>
    <row r="25" spans="1:13" x14ac:dyDescent="0.2">
      <c r="A25" s="11" t="s">
        <v>207</v>
      </c>
      <c r="B25" s="11" t="s">
        <v>161</v>
      </c>
      <c r="C25" s="12" t="s">
        <v>208</v>
      </c>
      <c r="D25" s="11" t="s">
        <v>162</v>
      </c>
      <c r="E25" s="11" t="s">
        <v>163</v>
      </c>
      <c r="F25" s="11"/>
      <c r="G25" s="12"/>
      <c r="H25" s="11" t="s">
        <v>165</v>
      </c>
      <c r="I25" s="11"/>
      <c r="J25" s="11"/>
    </row>
    <row r="26" spans="1:13" ht="22.5" x14ac:dyDescent="0.2">
      <c r="A26" s="11" t="s">
        <v>209</v>
      </c>
      <c r="B26" s="11" t="s">
        <v>161</v>
      </c>
      <c r="C26" s="12" t="s">
        <v>210</v>
      </c>
      <c r="D26" s="11" t="s">
        <v>162</v>
      </c>
      <c r="E26" s="11" t="s">
        <v>211</v>
      </c>
      <c r="F26" s="11">
        <v>15</v>
      </c>
      <c r="G26" s="12" t="s">
        <v>168</v>
      </c>
      <c r="H26" s="11" t="s">
        <v>165</v>
      </c>
      <c r="I26" s="11"/>
      <c r="J26" s="11"/>
    </row>
    <row r="27" spans="1:13" ht="22.5" x14ac:dyDescent="0.2">
      <c r="A27" s="11" t="s">
        <v>212</v>
      </c>
      <c r="B27" s="11" t="s">
        <v>161</v>
      </c>
      <c r="C27" s="12" t="s">
        <v>213</v>
      </c>
      <c r="D27" s="11" t="s">
        <v>162</v>
      </c>
      <c r="E27" s="11" t="s">
        <v>211</v>
      </c>
      <c r="F27" s="11" t="s">
        <v>214</v>
      </c>
      <c r="G27" s="12" t="s">
        <v>188</v>
      </c>
      <c r="H27" s="11" t="s">
        <v>165</v>
      </c>
      <c r="I27" s="11"/>
      <c r="J27" s="11"/>
    </row>
    <row r="28" spans="1:13" ht="22.5" x14ac:dyDescent="0.2">
      <c r="A28" s="11" t="s">
        <v>215</v>
      </c>
      <c r="B28" s="11" t="s">
        <v>161</v>
      </c>
      <c r="C28" s="12" t="s">
        <v>216</v>
      </c>
      <c r="D28" s="11" t="s">
        <v>162</v>
      </c>
      <c r="E28" s="11" t="s">
        <v>163</v>
      </c>
      <c r="F28" s="11"/>
      <c r="G28" s="12"/>
      <c r="H28" s="11" t="s">
        <v>165</v>
      </c>
      <c r="I28" s="11"/>
      <c r="J28" s="11"/>
    </row>
    <row r="29" spans="1:13" ht="22.5" x14ac:dyDescent="0.2">
      <c r="A29" s="11" t="s">
        <v>217</v>
      </c>
      <c r="B29" s="11" t="s">
        <v>161</v>
      </c>
      <c r="C29" s="12" t="s">
        <v>218</v>
      </c>
      <c r="D29" s="11" t="s">
        <v>162</v>
      </c>
      <c r="E29" s="11" t="s">
        <v>163</v>
      </c>
      <c r="F29" s="11"/>
      <c r="G29" s="12"/>
      <c r="H29" s="11" t="s">
        <v>165</v>
      </c>
      <c r="I29" s="11"/>
      <c r="J29" s="11"/>
    </row>
    <row r="30" spans="1:13" ht="22.5" x14ac:dyDescent="0.2">
      <c r="A30" s="11" t="s">
        <v>219</v>
      </c>
      <c r="B30" s="11" t="s">
        <v>161</v>
      </c>
      <c r="C30" s="12" t="s">
        <v>220</v>
      </c>
      <c r="D30" s="11" t="s">
        <v>162</v>
      </c>
      <c r="E30" s="11" t="s">
        <v>163</v>
      </c>
      <c r="F30" s="11"/>
      <c r="G30" s="12"/>
      <c r="H30" s="11" t="s">
        <v>165</v>
      </c>
      <c r="I30" s="11"/>
      <c r="J30" s="11"/>
    </row>
    <row r="31" spans="1:13" x14ac:dyDescent="0.2">
      <c r="A31" s="11" t="s">
        <v>221</v>
      </c>
      <c r="B31" s="11" t="s">
        <v>161</v>
      </c>
      <c r="C31" s="12" t="s">
        <v>222</v>
      </c>
      <c r="D31" s="11" t="s">
        <v>162</v>
      </c>
      <c r="E31" s="11" t="s">
        <v>163</v>
      </c>
      <c r="F31" s="11">
        <v>2</v>
      </c>
      <c r="G31" s="12" t="s">
        <v>193</v>
      </c>
      <c r="H31" s="11" t="s">
        <v>165</v>
      </c>
      <c r="I31" s="11"/>
      <c r="J31" s="11"/>
    </row>
    <row r="32" spans="1:13" ht="22.5" x14ac:dyDescent="0.2">
      <c r="A32" s="11" t="s">
        <v>223</v>
      </c>
      <c r="B32" s="11" t="s">
        <v>161</v>
      </c>
      <c r="C32" s="12" t="s">
        <v>224</v>
      </c>
      <c r="D32" s="11" t="s">
        <v>162</v>
      </c>
      <c r="E32" s="11" t="s">
        <v>163</v>
      </c>
      <c r="F32" s="11"/>
      <c r="G32" s="12"/>
      <c r="H32" s="11" t="s">
        <v>165</v>
      </c>
      <c r="I32" s="11"/>
      <c r="J32" s="11"/>
    </row>
    <row r="33" spans="1:10" ht="22.5" x14ac:dyDescent="0.2">
      <c r="A33" s="11" t="s">
        <v>225</v>
      </c>
      <c r="B33" s="11" t="s">
        <v>161</v>
      </c>
      <c r="C33" s="12" t="s">
        <v>226</v>
      </c>
      <c r="D33" s="11" t="s">
        <v>162</v>
      </c>
      <c r="E33" s="11" t="s">
        <v>163</v>
      </c>
      <c r="F33" s="11"/>
      <c r="G33" s="12"/>
      <c r="H33" s="11" t="s">
        <v>165</v>
      </c>
      <c r="I33" s="11"/>
      <c r="J33" s="11"/>
    </row>
    <row r="34" spans="1:10" ht="22.5" x14ac:dyDescent="0.2">
      <c r="A34" s="11" t="s">
        <v>227</v>
      </c>
      <c r="B34" s="11" t="s">
        <v>161</v>
      </c>
      <c r="C34" s="12" t="s">
        <v>228</v>
      </c>
      <c r="D34" s="11" t="s">
        <v>162</v>
      </c>
      <c r="E34" s="11" t="s">
        <v>163</v>
      </c>
      <c r="F34" s="11"/>
      <c r="G34" s="12"/>
      <c r="H34" s="11" t="s">
        <v>165</v>
      </c>
      <c r="I34" s="11"/>
      <c r="J34" s="11"/>
    </row>
    <row r="35" spans="1:10" ht="22.5" x14ac:dyDescent="0.2">
      <c r="A35" s="11" t="s">
        <v>229</v>
      </c>
      <c r="B35" s="11" t="s">
        <v>161</v>
      </c>
      <c r="C35" s="12" t="s">
        <v>230</v>
      </c>
      <c r="D35" s="11" t="s">
        <v>162</v>
      </c>
      <c r="E35" s="11" t="s">
        <v>231</v>
      </c>
      <c r="F35" s="11"/>
      <c r="G35" s="12" t="s">
        <v>164</v>
      </c>
      <c r="H35" s="11" t="s">
        <v>165</v>
      </c>
      <c r="I35" s="11" t="s">
        <v>165</v>
      </c>
      <c r="J35" s="11"/>
    </row>
    <row r="36" spans="1:10" ht="33.75" x14ac:dyDescent="0.2">
      <c r="A36" s="11" t="s">
        <v>232</v>
      </c>
      <c r="B36" s="11" t="s">
        <v>161</v>
      </c>
      <c r="C36" s="12" t="s">
        <v>233</v>
      </c>
      <c r="D36" s="11" t="s">
        <v>162</v>
      </c>
      <c r="E36" s="12" t="s">
        <v>234</v>
      </c>
      <c r="F36" s="16">
        <v>1.5</v>
      </c>
      <c r="G36" s="12" t="s">
        <v>235</v>
      </c>
      <c r="H36" s="11" t="s">
        <v>165</v>
      </c>
      <c r="I36" s="11" t="s">
        <v>165</v>
      </c>
      <c r="J36" s="11"/>
    </row>
    <row r="37" spans="1:10" ht="22.5" x14ac:dyDescent="0.2">
      <c r="A37" s="11" t="s">
        <v>236</v>
      </c>
      <c r="B37" s="11" t="s">
        <v>237</v>
      </c>
      <c r="C37" s="12" t="s">
        <v>238</v>
      </c>
      <c r="D37" s="11" t="s">
        <v>239</v>
      </c>
      <c r="E37" s="11" t="s">
        <v>240</v>
      </c>
      <c r="F37" s="11"/>
      <c r="G37" s="12"/>
      <c r="H37" s="11" t="s">
        <v>165</v>
      </c>
      <c r="I37" s="11"/>
      <c r="J37" s="11"/>
    </row>
    <row r="38" spans="1:10" x14ac:dyDescent="0.2">
      <c r="A38" s="11" t="s">
        <v>241</v>
      </c>
      <c r="B38" s="11" t="s">
        <v>242</v>
      </c>
      <c r="C38" s="12" t="s">
        <v>243</v>
      </c>
      <c r="D38" s="11" t="s">
        <v>239</v>
      </c>
      <c r="E38" s="11" t="s">
        <v>240</v>
      </c>
      <c r="F38" s="11"/>
      <c r="G38" s="12"/>
      <c r="H38" s="11" t="s">
        <v>165</v>
      </c>
      <c r="I38" s="11"/>
      <c r="J38" s="11"/>
    </row>
    <row r="39" spans="1:10" ht="22.5" x14ac:dyDescent="0.2">
      <c r="A39" s="11" t="s">
        <v>244</v>
      </c>
      <c r="B39" s="11" t="s">
        <v>237</v>
      </c>
      <c r="C39" s="12" t="s">
        <v>245</v>
      </c>
      <c r="D39" s="11" t="s">
        <v>239</v>
      </c>
      <c r="E39" s="11" t="s">
        <v>240</v>
      </c>
      <c r="F39" s="11"/>
      <c r="G39" s="12"/>
      <c r="H39" s="11" t="s">
        <v>165</v>
      </c>
      <c r="I39" s="11"/>
      <c r="J39" s="11"/>
    </row>
    <row r="40" spans="1:10" x14ac:dyDescent="0.2">
      <c r="A40" s="11" t="s">
        <v>246</v>
      </c>
      <c r="B40" s="11" t="s">
        <v>237</v>
      </c>
      <c r="C40" s="12" t="s">
        <v>247</v>
      </c>
      <c r="D40" s="11" t="s">
        <v>239</v>
      </c>
      <c r="E40" s="11" t="s">
        <v>240</v>
      </c>
      <c r="F40" s="11"/>
      <c r="G40" s="12"/>
      <c r="H40" s="11" t="s">
        <v>165</v>
      </c>
      <c r="I40" s="11"/>
      <c r="J40" s="11"/>
    </row>
    <row r="41" spans="1:10" ht="22.5" x14ac:dyDescent="0.2">
      <c r="A41" s="11" t="s">
        <v>248</v>
      </c>
      <c r="B41" s="11" t="s">
        <v>237</v>
      </c>
      <c r="C41" s="12" t="s">
        <v>249</v>
      </c>
      <c r="D41" s="11" t="s">
        <v>239</v>
      </c>
      <c r="E41" s="11" t="s">
        <v>240</v>
      </c>
      <c r="F41" s="11"/>
      <c r="G41" s="12"/>
      <c r="H41" s="11" t="s">
        <v>165</v>
      </c>
      <c r="I41" s="11"/>
      <c r="J41" s="11"/>
    </row>
    <row r="42" spans="1:10" x14ac:dyDescent="0.2">
      <c r="A42" s="11" t="s">
        <v>250</v>
      </c>
      <c r="B42" s="11" t="s">
        <v>242</v>
      </c>
      <c r="C42" s="12" t="s">
        <v>251</v>
      </c>
      <c r="D42" s="11" t="s">
        <v>239</v>
      </c>
      <c r="E42" s="11" t="s">
        <v>240</v>
      </c>
      <c r="F42" s="11"/>
      <c r="G42" s="12"/>
      <c r="H42" s="11" t="s">
        <v>165</v>
      </c>
      <c r="I42" s="11" t="s">
        <v>165</v>
      </c>
      <c r="J42" s="11"/>
    </row>
    <row r="43" spans="1:10" ht="33.75" x14ac:dyDescent="0.2">
      <c r="A43" s="11" t="s">
        <v>252</v>
      </c>
      <c r="B43" s="11" t="s">
        <v>237</v>
      </c>
      <c r="C43" s="12" t="s">
        <v>253</v>
      </c>
      <c r="D43" s="11" t="s">
        <v>239</v>
      </c>
      <c r="E43" s="11" t="s">
        <v>240</v>
      </c>
      <c r="F43" s="11"/>
      <c r="G43" s="12"/>
      <c r="H43" s="11" t="s">
        <v>165</v>
      </c>
      <c r="I43" s="11"/>
      <c r="J43" s="11"/>
    </row>
    <row r="44" spans="1:10" ht="22.5" x14ac:dyDescent="0.2">
      <c r="A44" s="11" t="s">
        <v>254</v>
      </c>
      <c r="B44" s="11" t="s">
        <v>237</v>
      </c>
      <c r="C44" s="12" t="s">
        <v>255</v>
      </c>
      <c r="D44" s="11" t="s">
        <v>239</v>
      </c>
      <c r="E44" s="11" t="s">
        <v>240</v>
      </c>
      <c r="F44" s="11"/>
      <c r="G44" s="12"/>
      <c r="H44" s="11" t="s">
        <v>165</v>
      </c>
      <c r="I44" s="11"/>
      <c r="J44" s="11"/>
    </row>
    <row r="45" spans="1:10" ht="22.5" x14ac:dyDescent="0.2">
      <c r="A45" s="11" t="s">
        <v>256</v>
      </c>
      <c r="B45" s="11" t="s">
        <v>237</v>
      </c>
      <c r="C45" s="12" t="s">
        <v>257</v>
      </c>
      <c r="D45" s="11" t="s">
        <v>239</v>
      </c>
      <c r="E45" s="11" t="s">
        <v>240</v>
      </c>
      <c r="F45" s="11"/>
      <c r="G45" s="12"/>
      <c r="H45" s="11" t="s">
        <v>165</v>
      </c>
      <c r="I45" s="11"/>
      <c r="J45" s="11"/>
    </row>
    <row r="46" spans="1:10" ht="33.75" x14ac:dyDescent="0.2">
      <c r="A46" s="11" t="s">
        <v>258</v>
      </c>
      <c r="B46" s="11" t="s">
        <v>237</v>
      </c>
      <c r="C46" s="12" t="s">
        <v>259</v>
      </c>
      <c r="D46" s="11" t="s">
        <v>239</v>
      </c>
      <c r="E46" s="11" t="s">
        <v>240</v>
      </c>
      <c r="F46" s="11"/>
      <c r="G46" s="12"/>
      <c r="H46" s="11" t="s">
        <v>165</v>
      </c>
      <c r="I46" s="11"/>
      <c r="J46" s="11"/>
    </row>
    <row r="47" spans="1:10" ht="22.5" x14ac:dyDescent="0.2">
      <c r="A47" s="11" t="s">
        <v>260</v>
      </c>
      <c r="B47" s="11" t="s">
        <v>237</v>
      </c>
      <c r="C47" s="12" t="s">
        <v>261</v>
      </c>
      <c r="D47" s="11" t="s">
        <v>239</v>
      </c>
      <c r="E47" s="11" t="s">
        <v>240</v>
      </c>
      <c r="F47" s="11"/>
      <c r="G47" s="12"/>
      <c r="H47" s="11" t="s">
        <v>165</v>
      </c>
      <c r="I47" s="11"/>
      <c r="J47" s="11"/>
    </row>
    <row r="48" spans="1:10" ht="33.75" x14ac:dyDescent="0.2">
      <c r="A48" s="11" t="s">
        <v>262</v>
      </c>
      <c r="B48" s="11" t="s">
        <v>237</v>
      </c>
      <c r="C48" s="12" t="s">
        <v>263</v>
      </c>
      <c r="D48" s="11" t="s">
        <v>239</v>
      </c>
      <c r="E48" s="11" t="s">
        <v>240</v>
      </c>
      <c r="F48" s="11"/>
      <c r="G48" s="12"/>
      <c r="H48" s="11" t="s">
        <v>165</v>
      </c>
      <c r="I48" s="11"/>
      <c r="J48" s="11"/>
    </row>
    <row r="49" spans="1:10" ht="33.75" x14ac:dyDescent="0.2">
      <c r="A49" s="11" t="s">
        <v>264</v>
      </c>
      <c r="B49" s="11" t="s">
        <v>237</v>
      </c>
      <c r="C49" s="12" t="s">
        <v>265</v>
      </c>
      <c r="D49" s="11" t="s">
        <v>239</v>
      </c>
      <c r="E49" s="11" t="s">
        <v>240</v>
      </c>
      <c r="F49" s="11"/>
      <c r="G49" s="12"/>
      <c r="H49" s="11" t="s">
        <v>165</v>
      </c>
      <c r="I49" s="11"/>
      <c r="J49" s="11"/>
    </row>
    <row r="50" spans="1:10" ht="33.75" x14ac:dyDescent="0.2">
      <c r="A50" s="11" t="s">
        <v>266</v>
      </c>
      <c r="B50" s="11" t="s">
        <v>237</v>
      </c>
      <c r="C50" s="12" t="s">
        <v>267</v>
      </c>
      <c r="D50" s="11" t="s">
        <v>239</v>
      </c>
      <c r="E50" s="11" t="s">
        <v>240</v>
      </c>
      <c r="F50" s="11"/>
      <c r="G50" s="12"/>
      <c r="H50" s="11" t="s">
        <v>165</v>
      </c>
      <c r="I50" s="11" t="s">
        <v>165</v>
      </c>
      <c r="J50" s="11"/>
    </row>
    <row r="51" spans="1:10" ht="22.5" x14ac:dyDescent="0.2">
      <c r="A51" s="11" t="s">
        <v>268</v>
      </c>
      <c r="B51" s="11" t="s">
        <v>237</v>
      </c>
      <c r="C51" s="12" t="s">
        <v>269</v>
      </c>
      <c r="D51" s="11" t="s">
        <v>239</v>
      </c>
      <c r="E51" s="11" t="s">
        <v>240</v>
      </c>
      <c r="F51" s="11"/>
      <c r="G51" s="12"/>
      <c r="H51" s="11" t="s">
        <v>165</v>
      </c>
      <c r="I51" s="11"/>
      <c r="J51" s="11"/>
    </row>
    <row r="52" spans="1:10" ht="22.5" x14ac:dyDescent="0.2">
      <c r="A52" s="11" t="s">
        <v>270</v>
      </c>
      <c r="B52" s="11" t="s">
        <v>237</v>
      </c>
      <c r="C52" s="12" t="s">
        <v>271</v>
      </c>
      <c r="D52" s="11" t="s">
        <v>239</v>
      </c>
      <c r="E52" s="11" t="s">
        <v>240</v>
      </c>
      <c r="F52" s="11"/>
      <c r="G52" s="12"/>
      <c r="H52" s="11" t="s">
        <v>165</v>
      </c>
      <c r="I52" s="11"/>
      <c r="J52" s="11"/>
    </row>
    <row r="53" spans="1:10" ht="22.5" x14ac:dyDescent="0.2">
      <c r="A53" s="11" t="s">
        <v>272</v>
      </c>
      <c r="B53" s="11" t="s">
        <v>273</v>
      </c>
      <c r="C53" s="12" t="s">
        <v>274</v>
      </c>
      <c r="D53" s="11" t="s">
        <v>239</v>
      </c>
      <c r="E53" s="11" t="s">
        <v>240</v>
      </c>
      <c r="F53" s="11"/>
      <c r="G53" s="12" t="s">
        <v>275</v>
      </c>
      <c r="H53" s="11"/>
      <c r="I53" s="11"/>
      <c r="J53" s="11"/>
    </row>
    <row r="54" spans="1:10" x14ac:dyDescent="0.2">
      <c r="A54" s="11" t="s">
        <v>276</v>
      </c>
      <c r="B54" s="11" t="s">
        <v>277</v>
      </c>
      <c r="C54" s="12" t="s">
        <v>278</v>
      </c>
      <c r="D54" s="11" t="s">
        <v>279</v>
      </c>
      <c r="E54" s="11" t="s">
        <v>280</v>
      </c>
      <c r="F54" s="11"/>
      <c r="G54" s="12" t="s">
        <v>281</v>
      </c>
      <c r="H54" s="132" t="s">
        <v>165</v>
      </c>
      <c r="I54" s="11"/>
      <c r="J54" s="11"/>
    </row>
    <row r="55" spans="1:10" ht="22.5" x14ac:dyDescent="0.2">
      <c r="A55" s="11" t="s">
        <v>282</v>
      </c>
      <c r="B55" s="11" t="s">
        <v>277</v>
      </c>
      <c r="C55" s="12" t="s">
        <v>283</v>
      </c>
      <c r="D55" s="11" t="s">
        <v>279</v>
      </c>
      <c r="E55" s="11" t="s">
        <v>280</v>
      </c>
      <c r="F55" s="11"/>
      <c r="G55" s="12" t="s">
        <v>281</v>
      </c>
      <c r="H55" s="132" t="s">
        <v>165</v>
      </c>
      <c r="I55" s="11"/>
      <c r="J55" s="11"/>
    </row>
    <row r="56" spans="1:10" ht="22.5" x14ac:dyDescent="0.2">
      <c r="A56" s="11" t="s">
        <v>284</v>
      </c>
      <c r="B56" s="11" t="s">
        <v>277</v>
      </c>
      <c r="C56" s="12" t="s">
        <v>285</v>
      </c>
      <c r="D56" s="11" t="s">
        <v>162</v>
      </c>
      <c r="E56" s="11" t="s">
        <v>163</v>
      </c>
      <c r="F56" s="11"/>
      <c r="G56" s="12"/>
      <c r="H56" s="11" t="s">
        <v>165</v>
      </c>
      <c r="I56" s="11"/>
      <c r="J56" s="11"/>
    </row>
    <row r="57" spans="1:10" ht="22.5" x14ac:dyDescent="0.2">
      <c r="A57" s="11" t="s">
        <v>286</v>
      </c>
      <c r="B57" s="11" t="s">
        <v>277</v>
      </c>
      <c r="C57" s="12" t="s">
        <v>287</v>
      </c>
      <c r="D57" s="11" t="s">
        <v>162</v>
      </c>
      <c r="E57" s="11" t="s">
        <v>163</v>
      </c>
      <c r="F57" s="11"/>
      <c r="G57" s="12"/>
      <c r="H57" s="11" t="s">
        <v>165</v>
      </c>
      <c r="I57" s="11"/>
      <c r="J57" s="11"/>
    </row>
    <row r="58" spans="1:10" ht="22.5" x14ac:dyDescent="0.2">
      <c r="A58" s="11" t="s">
        <v>288</v>
      </c>
      <c r="B58" s="11" t="s">
        <v>277</v>
      </c>
      <c r="C58" s="12" t="s">
        <v>289</v>
      </c>
      <c r="D58" s="11" t="s">
        <v>162</v>
      </c>
      <c r="E58" s="11" t="s">
        <v>163</v>
      </c>
      <c r="F58" s="11"/>
      <c r="G58" s="12"/>
      <c r="H58" s="11" t="s">
        <v>165</v>
      </c>
      <c r="I58" s="11"/>
      <c r="J58" s="11"/>
    </row>
    <row r="59" spans="1:10" ht="33.75" x14ac:dyDescent="0.2">
      <c r="A59" s="11" t="s">
        <v>290</v>
      </c>
      <c r="B59" s="11" t="s">
        <v>277</v>
      </c>
      <c r="C59" s="12" t="s">
        <v>291</v>
      </c>
      <c r="D59" s="11" t="s">
        <v>162</v>
      </c>
      <c r="E59" s="11" t="s">
        <v>163</v>
      </c>
      <c r="F59" s="11"/>
      <c r="G59" s="12"/>
      <c r="H59" s="11"/>
      <c r="I59" s="11"/>
      <c r="J59" s="11"/>
    </row>
    <row r="60" spans="1:10" ht="22.5" x14ac:dyDescent="0.2">
      <c r="A60" s="11" t="s">
        <v>292</v>
      </c>
      <c r="B60" s="11" t="s">
        <v>277</v>
      </c>
      <c r="C60" s="12" t="s">
        <v>293</v>
      </c>
      <c r="D60" s="11" t="s">
        <v>162</v>
      </c>
      <c r="E60" s="11" t="s">
        <v>163</v>
      </c>
      <c r="F60" s="11"/>
      <c r="G60" s="12"/>
      <c r="H60" s="11" t="s">
        <v>165</v>
      </c>
      <c r="I60" s="11"/>
      <c r="J60" s="11"/>
    </row>
    <row r="61" spans="1:10" x14ac:dyDescent="0.2">
      <c r="A61" s="11" t="s">
        <v>294</v>
      </c>
      <c r="B61" s="11" t="s">
        <v>277</v>
      </c>
      <c r="C61" s="12" t="s">
        <v>295</v>
      </c>
      <c r="D61" s="11" t="s">
        <v>296</v>
      </c>
      <c r="E61" s="11" t="s">
        <v>297</v>
      </c>
      <c r="F61" s="11"/>
      <c r="G61" s="12"/>
      <c r="H61" s="132" t="s">
        <v>165</v>
      </c>
      <c r="I61" s="11" t="s">
        <v>165</v>
      </c>
      <c r="J61" s="11"/>
    </row>
    <row r="62" spans="1:10" ht="33.75" x14ac:dyDescent="0.2">
      <c r="A62" s="11" t="s">
        <v>298</v>
      </c>
      <c r="B62" s="11" t="s">
        <v>277</v>
      </c>
      <c r="C62" s="12" t="s">
        <v>299</v>
      </c>
      <c r="D62" s="11" t="s">
        <v>296</v>
      </c>
      <c r="E62" s="11" t="s">
        <v>297</v>
      </c>
      <c r="F62" s="11"/>
      <c r="G62" s="12"/>
      <c r="H62" s="11"/>
      <c r="I62" s="11"/>
      <c r="J62" s="11"/>
    </row>
    <row r="63" spans="1:10" ht="22.5" x14ac:dyDescent="0.2">
      <c r="A63" s="11" t="s">
        <v>300</v>
      </c>
      <c r="B63" s="11" t="s">
        <v>277</v>
      </c>
      <c r="C63" s="12" t="s">
        <v>301</v>
      </c>
      <c r="D63" s="11" t="s">
        <v>296</v>
      </c>
      <c r="E63" s="11" t="s">
        <v>297</v>
      </c>
      <c r="F63" s="11"/>
      <c r="G63" s="12"/>
      <c r="H63" s="11" t="s">
        <v>165</v>
      </c>
      <c r="I63" s="11" t="s">
        <v>165</v>
      </c>
      <c r="J63" s="11"/>
    </row>
    <row r="64" spans="1:10" ht="22.5" x14ac:dyDescent="0.2">
      <c r="A64" s="11" t="s">
        <v>302</v>
      </c>
      <c r="B64" s="11" t="s">
        <v>277</v>
      </c>
      <c r="C64" s="12" t="s">
        <v>303</v>
      </c>
      <c r="D64" s="11" t="s">
        <v>296</v>
      </c>
      <c r="E64" s="11" t="s">
        <v>297</v>
      </c>
      <c r="F64" s="11"/>
      <c r="G64" s="12"/>
      <c r="H64" s="11" t="s">
        <v>165</v>
      </c>
      <c r="I64" s="11"/>
      <c r="J64" s="11"/>
    </row>
    <row r="65" spans="1:10" ht="22.5" x14ac:dyDescent="0.2">
      <c r="A65" s="11" t="s">
        <v>304</v>
      </c>
      <c r="B65" s="11" t="s">
        <v>277</v>
      </c>
      <c r="C65" s="12" t="s">
        <v>305</v>
      </c>
      <c r="D65" s="11" t="s">
        <v>296</v>
      </c>
      <c r="E65" s="11" t="s">
        <v>306</v>
      </c>
      <c r="F65" s="11"/>
      <c r="G65" s="12" t="s">
        <v>307</v>
      </c>
      <c r="H65" s="11"/>
      <c r="I65" s="11"/>
      <c r="J65" s="11"/>
    </row>
    <row r="66" spans="1:10" x14ac:dyDescent="0.2">
      <c r="A66" s="11" t="s">
        <v>308</v>
      </c>
      <c r="B66" s="11" t="s">
        <v>277</v>
      </c>
      <c r="C66" s="12" t="s">
        <v>309</v>
      </c>
      <c r="D66" s="11" t="s">
        <v>296</v>
      </c>
      <c r="E66" s="11" t="s">
        <v>306</v>
      </c>
      <c r="F66" s="11"/>
      <c r="G66" s="12" t="s">
        <v>307</v>
      </c>
      <c r="H66" s="11"/>
      <c r="I66" s="11"/>
      <c r="J66" s="11"/>
    </row>
    <row r="67" spans="1:10" ht="22.5" x14ac:dyDescent="0.2">
      <c r="A67" s="11" t="s">
        <v>310</v>
      </c>
      <c r="B67" s="11" t="s">
        <v>277</v>
      </c>
      <c r="C67" s="12" t="s">
        <v>311</v>
      </c>
      <c r="D67" s="11" t="s">
        <v>296</v>
      </c>
      <c r="E67" s="11" t="s">
        <v>297</v>
      </c>
      <c r="F67" s="11"/>
      <c r="G67" s="12"/>
      <c r="H67" s="132" t="s">
        <v>165</v>
      </c>
      <c r="I67" s="11" t="s">
        <v>165</v>
      </c>
      <c r="J67" s="11"/>
    </row>
    <row r="68" spans="1:10" ht="22.5" x14ac:dyDescent="0.2">
      <c r="A68" s="11" t="s">
        <v>312</v>
      </c>
      <c r="B68" s="11" t="s">
        <v>277</v>
      </c>
      <c r="C68" s="12" t="s">
        <v>313</v>
      </c>
      <c r="D68" s="11" t="s">
        <v>296</v>
      </c>
      <c r="E68" s="11" t="s">
        <v>297</v>
      </c>
      <c r="F68" s="11"/>
      <c r="G68" s="12"/>
      <c r="H68" s="11" t="s">
        <v>165</v>
      </c>
      <c r="I68" s="11" t="s">
        <v>314</v>
      </c>
      <c r="J68" s="11"/>
    </row>
    <row r="69" spans="1:10" ht="22.5" x14ac:dyDescent="0.2">
      <c r="A69" s="11" t="s">
        <v>315</v>
      </c>
      <c r="B69" s="11" t="s">
        <v>277</v>
      </c>
      <c r="C69" s="12" t="s">
        <v>316</v>
      </c>
      <c r="D69" s="11" t="s">
        <v>317</v>
      </c>
      <c r="E69" s="11" t="s">
        <v>318</v>
      </c>
      <c r="F69" s="11"/>
      <c r="G69" s="12"/>
      <c r="H69" s="11" t="s">
        <v>165</v>
      </c>
      <c r="I69" s="11"/>
      <c r="J69" s="11"/>
    </row>
    <row r="70" spans="1:10" ht="22.5" x14ac:dyDescent="0.2">
      <c r="A70" s="11" t="s">
        <v>319</v>
      </c>
      <c r="B70" s="11" t="s">
        <v>277</v>
      </c>
      <c r="C70" s="12" t="s">
        <v>320</v>
      </c>
      <c r="D70" s="11" t="s">
        <v>296</v>
      </c>
      <c r="E70" s="11" t="s">
        <v>297</v>
      </c>
      <c r="F70" s="11"/>
      <c r="G70" s="12"/>
      <c r="H70" s="11" t="s">
        <v>165</v>
      </c>
      <c r="I70" s="11"/>
      <c r="J70" s="11"/>
    </row>
    <row r="71" spans="1:10" ht="22.5" x14ac:dyDescent="0.2">
      <c r="A71" s="11" t="s">
        <v>321</v>
      </c>
      <c r="B71" s="11" t="s">
        <v>277</v>
      </c>
      <c r="C71" s="12" t="s">
        <v>322</v>
      </c>
      <c r="D71" s="11" t="s">
        <v>162</v>
      </c>
      <c r="E71" s="11" t="s">
        <v>163</v>
      </c>
      <c r="F71" s="11"/>
      <c r="G71" s="12"/>
      <c r="H71" s="11" t="s">
        <v>165</v>
      </c>
      <c r="I71" s="11"/>
      <c r="J71" s="11"/>
    </row>
    <row r="72" spans="1:10" ht="22.5" x14ac:dyDescent="0.2">
      <c r="A72" s="11" t="s">
        <v>323</v>
      </c>
      <c r="B72" s="11" t="s">
        <v>277</v>
      </c>
      <c r="C72" s="12" t="s">
        <v>324</v>
      </c>
      <c r="D72" s="11" t="s">
        <v>162</v>
      </c>
      <c r="E72" s="11" t="s">
        <v>163</v>
      </c>
      <c r="F72" s="11"/>
      <c r="G72" s="12"/>
      <c r="H72" s="11" t="s">
        <v>165</v>
      </c>
      <c r="I72" s="11"/>
      <c r="J72" s="11"/>
    </row>
    <row r="73" spans="1:10" ht="22.5" x14ac:dyDescent="0.2">
      <c r="A73" s="11" t="s">
        <v>325</v>
      </c>
      <c r="B73" s="11" t="s">
        <v>277</v>
      </c>
      <c r="C73" s="12" t="s">
        <v>326</v>
      </c>
      <c r="D73" s="11" t="s">
        <v>296</v>
      </c>
      <c r="E73" s="11" t="s">
        <v>297</v>
      </c>
      <c r="F73" s="11"/>
      <c r="G73" s="12"/>
      <c r="H73" s="11" t="s">
        <v>165</v>
      </c>
      <c r="I73" s="11"/>
      <c r="J73" s="11"/>
    </row>
    <row r="74" spans="1:10" ht="22.5" x14ac:dyDescent="0.2">
      <c r="A74" s="11" t="s">
        <v>327</v>
      </c>
      <c r="B74" s="11" t="s">
        <v>277</v>
      </c>
      <c r="C74" s="12" t="s">
        <v>328</v>
      </c>
      <c r="D74" s="11" t="s">
        <v>296</v>
      </c>
      <c r="E74" s="11" t="s">
        <v>297</v>
      </c>
      <c r="F74" s="11"/>
      <c r="G74" s="12"/>
      <c r="H74" s="11" t="s">
        <v>165</v>
      </c>
      <c r="I74" s="11"/>
      <c r="J74" s="11"/>
    </row>
    <row r="75" spans="1:10" ht="33.75" x14ac:dyDescent="0.2">
      <c r="A75" s="11" t="s">
        <v>329</v>
      </c>
      <c r="B75" s="11" t="s">
        <v>277</v>
      </c>
      <c r="C75" s="12" t="s">
        <v>330</v>
      </c>
      <c r="D75" s="11" t="s">
        <v>296</v>
      </c>
      <c r="E75" s="11" t="s">
        <v>297</v>
      </c>
      <c r="F75" s="11"/>
      <c r="G75" s="12"/>
      <c r="H75" s="11"/>
      <c r="I75" s="11"/>
      <c r="J75" s="11"/>
    </row>
    <row r="76" spans="1:10" ht="12" thickBot="1" x14ac:dyDescent="0.25">
      <c r="A76" s="17" t="s">
        <v>331</v>
      </c>
      <c r="B76" s="17" t="s">
        <v>277</v>
      </c>
      <c r="C76" s="18" t="s">
        <v>332</v>
      </c>
      <c r="D76" s="17" t="s">
        <v>296</v>
      </c>
      <c r="E76" s="17" t="s">
        <v>297</v>
      </c>
      <c r="F76" s="17"/>
      <c r="G76" s="18"/>
      <c r="H76" s="17" t="s">
        <v>165</v>
      </c>
      <c r="I76" s="17"/>
      <c r="J76" s="1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selection activeCell="F4" sqref="F4"/>
    </sheetView>
  </sheetViews>
  <sheetFormatPr baseColWidth="10" defaultRowHeight="11.25" x14ac:dyDescent="0.2"/>
  <cols>
    <col min="1" max="16384" width="11.42578125" style="9"/>
  </cols>
  <sheetData>
    <row r="1" spans="1:5" x14ac:dyDescent="0.2">
      <c r="A1" s="9" t="s">
        <v>0</v>
      </c>
    </row>
    <row r="3" spans="1:5" x14ac:dyDescent="0.2">
      <c r="A3" s="152" t="s">
        <v>150</v>
      </c>
      <c r="B3" s="152"/>
      <c r="C3" s="152"/>
      <c r="D3" s="152"/>
    </row>
    <row r="4" spans="1:5" x14ac:dyDescent="0.2">
      <c r="A4" s="23"/>
      <c r="B4" s="23"/>
      <c r="C4" s="23"/>
      <c r="D4" s="23"/>
    </row>
    <row r="5" spans="1:5" ht="12" thickBot="1" x14ac:dyDescent="0.25"/>
    <row r="6" spans="1:5" ht="18" customHeight="1" thickBot="1" x14ac:dyDescent="0.25">
      <c r="A6" s="150" t="s">
        <v>2</v>
      </c>
      <c r="B6" s="150"/>
      <c r="C6" s="19"/>
      <c r="D6" s="150" t="s">
        <v>3</v>
      </c>
      <c r="E6" s="150"/>
    </row>
    <row r="7" spans="1:5" ht="12" thickTop="1" x14ac:dyDescent="0.2">
      <c r="A7" s="151"/>
      <c r="B7" s="151"/>
      <c r="C7" s="24"/>
      <c r="D7" s="151"/>
      <c r="E7" s="151"/>
    </row>
    <row r="8" spans="1:5" x14ac:dyDescent="0.2">
      <c r="A8" s="1" t="s">
        <v>4</v>
      </c>
      <c r="B8" s="2">
        <v>25</v>
      </c>
      <c r="C8" s="24"/>
      <c r="D8" s="1" t="s">
        <v>5</v>
      </c>
      <c r="E8" s="2" t="s">
        <v>6</v>
      </c>
    </row>
    <row r="9" spans="1:5" ht="33.75" x14ac:dyDescent="0.2">
      <c r="A9" s="1" t="s">
        <v>7</v>
      </c>
      <c r="B9" s="2">
        <v>12</v>
      </c>
      <c r="C9" s="24"/>
      <c r="D9" s="1" t="s">
        <v>8</v>
      </c>
      <c r="E9" s="2" t="s">
        <v>9</v>
      </c>
    </row>
    <row r="10" spans="1:5" ht="22.5" x14ac:dyDescent="0.2">
      <c r="A10" s="1" t="s">
        <v>10</v>
      </c>
      <c r="B10" s="2">
        <v>10</v>
      </c>
      <c r="C10" s="24"/>
      <c r="D10" s="1" t="s">
        <v>11</v>
      </c>
      <c r="E10" s="2">
        <v>1</v>
      </c>
    </row>
    <row r="11" spans="1:5" ht="33.75" x14ac:dyDescent="0.2">
      <c r="A11" s="1" t="s">
        <v>12</v>
      </c>
      <c r="B11" s="2">
        <v>5.69</v>
      </c>
      <c r="C11" s="24"/>
      <c r="D11" s="1" t="s">
        <v>13</v>
      </c>
      <c r="E11" s="2">
        <v>9</v>
      </c>
    </row>
    <row r="12" spans="1:5" ht="45" x14ac:dyDescent="0.2">
      <c r="A12" s="1" t="s">
        <v>14</v>
      </c>
      <c r="B12" s="2">
        <v>1000</v>
      </c>
      <c r="C12" s="24"/>
      <c r="D12" s="1" t="s">
        <v>15</v>
      </c>
      <c r="E12" s="2">
        <v>2000</v>
      </c>
    </row>
    <row r="13" spans="1:5" x14ac:dyDescent="0.2">
      <c r="A13" s="1" t="s">
        <v>16</v>
      </c>
      <c r="B13" s="2">
        <v>83.1</v>
      </c>
      <c r="C13" s="24"/>
      <c r="D13" s="1" t="s">
        <v>17</v>
      </c>
      <c r="E13" s="2" t="s">
        <v>18</v>
      </c>
    </row>
    <row r="14" spans="1:5" x14ac:dyDescent="0.2">
      <c r="A14" s="1" t="s">
        <v>19</v>
      </c>
      <c r="B14" s="2">
        <v>26.4</v>
      </c>
      <c r="C14" s="24"/>
      <c r="D14" s="1" t="s">
        <v>20</v>
      </c>
      <c r="E14" s="2" t="s">
        <v>21</v>
      </c>
    </row>
    <row r="15" spans="1:5" ht="33.75" x14ac:dyDescent="0.2">
      <c r="A15" s="1" t="s">
        <v>22</v>
      </c>
      <c r="B15" s="2" t="s">
        <v>67</v>
      </c>
      <c r="C15" s="24"/>
      <c r="D15" s="1" t="s">
        <v>23</v>
      </c>
      <c r="E15" s="2">
        <v>10</v>
      </c>
    </row>
    <row r="16" spans="1:5" ht="23.25" thickBot="1" x14ac:dyDescent="0.25">
      <c r="A16" s="3" t="s">
        <v>24</v>
      </c>
      <c r="B16" s="4">
        <v>16</v>
      </c>
      <c r="C16" s="3"/>
      <c r="D16" s="3" t="s">
        <v>25</v>
      </c>
      <c r="E16" s="4">
        <v>4</v>
      </c>
    </row>
  </sheetData>
  <mergeCells count="5">
    <mergeCell ref="A6:B6"/>
    <mergeCell ref="D6:E6"/>
    <mergeCell ref="A7:B7"/>
    <mergeCell ref="D7:E7"/>
    <mergeCell ref="A3:D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Normal="100" workbookViewId="0">
      <selection activeCell="A4" sqref="A4"/>
    </sheetView>
  </sheetViews>
  <sheetFormatPr baseColWidth="10" defaultRowHeight="12.75" x14ac:dyDescent="0.25"/>
  <cols>
    <col min="1" max="16384" width="11.42578125" style="22"/>
  </cols>
  <sheetData>
    <row r="1" spans="1:8" x14ac:dyDescent="0.25">
      <c r="A1" s="9" t="s">
        <v>0</v>
      </c>
    </row>
    <row r="3" spans="1:8" x14ac:dyDescent="0.25">
      <c r="A3" s="23" t="s">
        <v>415</v>
      </c>
    </row>
    <row r="4" spans="1:8" ht="13.5" thickBot="1" x14ac:dyDescent="0.3"/>
    <row r="5" spans="1:8" ht="57" thickBot="1" x14ac:dyDescent="0.3">
      <c r="A5" s="19" t="s">
        <v>26</v>
      </c>
      <c r="B5" s="19" t="s">
        <v>27</v>
      </c>
      <c r="C5" s="19" t="s">
        <v>28</v>
      </c>
      <c r="D5" s="19" t="s">
        <v>68</v>
      </c>
      <c r="E5" s="19" t="s">
        <v>29</v>
      </c>
      <c r="F5" s="19" t="s">
        <v>30</v>
      </c>
      <c r="G5" s="19" t="s">
        <v>69</v>
      </c>
      <c r="H5" s="19" t="s">
        <v>31</v>
      </c>
    </row>
    <row r="6" spans="1:8" ht="13.5" thickTop="1" x14ac:dyDescent="0.25">
      <c r="A6" s="5" t="s">
        <v>32</v>
      </c>
      <c r="B6" s="5" t="s">
        <v>33</v>
      </c>
      <c r="C6" s="6">
        <v>77.41</v>
      </c>
      <c r="D6" s="2">
        <v>20</v>
      </c>
      <c r="E6" s="6">
        <v>5</v>
      </c>
      <c r="F6" s="6">
        <v>20</v>
      </c>
      <c r="G6" s="6">
        <v>109</v>
      </c>
      <c r="H6" s="5" t="s">
        <v>34</v>
      </c>
    </row>
    <row r="7" spans="1:8" x14ac:dyDescent="0.25">
      <c r="A7" s="5" t="s">
        <v>35</v>
      </c>
      <c r="B7" s="5" t="s">
        <v>33</v>
      </c>
      <c r="C7" s="6">
        <v>90.653999999999996</v>
      </c>
      <c r="D7" s="2">
        <v>20</v>
      </c>
      <c r="E7" s="6">
        <v>5</v>
      </c>
      <c r="F7" s="6">
        <v>20</v>
      </c>
      <c r="G7" s="6">
        <v>86</v>
      </c>
      <c r="H7" s="5" t="s">
        <v>34</v>
      </c>
    </row>
    <row r="8" spans="1:8" x14ac:dyDescent="0.25">
      <c r="A8" s="5" t="s">
        <v>36</v>
      </c>
      <c r="B8" s="5" t="s">
        <v>33</v>
      </c>
      <c r="C8" s="6">
        <v>122.818</v>
      </c>
      <c r="D8" s="2">
        <v>20</v>
      </c>
      <c r="E8" s="6">
        <v>25</v>
      </c>
      <c r="F8" s="6">
        <v>50</v>
      </c>
      <c r="G8" s="6">
        <v>102</v>
      </c>
      <c r="H8" s="5" t="s">
        <v>37</v>
      </c>
    </row>
    <row r="9" spans="1:8" x14ac:dyDescent="0.25">
      <c r="A9" s="5" t="s">
        <v>38</v>
      </c>
      <c r="B9" s="5" t="s">
        <v>33</v>
      </c>
      <c r="C9" s="6">
        <v>113.501</v>
      </c>
      <c r="D9" s="2">
        <v>20</v>
      </c>
      <c r="E9" s="6">
        <v>12</v>
      </c>
      <c r="F9" s="6">
        <v>50</v>
      </c>
      <c r="G9" s="6">
        <v>116</v>
      </c>
      <c r="H9" s="5" t="s">
        <v>39</v>
      </c>
    </row>
    <row r="10" spans="1:8" x14ac:dyDescent="0.25">
      <c r="A10" s="5" t="s">
        <v>43</v>
      </c>
      <c r="B10" s="5" t="s">
        <v>41</v>
      </c>
      <c r="C10" s="6">
        <v>126.425</v>
      </c>
      <c r="D10" s="2">
        <v>20</v>
      </c>
      <c r="E10" s="6">
        <v>12</v>
      </c>
      <c r="F10" s="6">
        <v>50</v>
      </c>
      <c r="G10" s="6">
        <v>284</v>
      </c>
      <c r="H10" s="5" t="s">
        <v>44</v>
      </c>
    </row>
    <row r="11" spans="1:8" x14ac:dyDescent="0.25">
      <c r="A11" s="5" t="s">
        <v>70</v>
      </c>
      <c r="B11" s="5" t="s">
        <v>41</v>
      </c>
      <c r="C11" s="6">
        <v>162.20099999999999</v>
      </c>
      <c r="D11" s="2">
        <v>20</v>
      </c>
      <c r="E11" s="6">
        <v>17</v>
      </c>
      <c r="F11" s="6">
        <v>70</v>
      </c>
      <c r="G11" s="6">
        <v>432</v>
      </c>
      <c r="H11" s="5" t="s">
        <v>62</v>
      </c>
    </row>
    <row r="12" spans="1:8" x14ac:dyDescent="0.25">
      <c r="A12" s="5" t="s">
        <v>47</v>
      </c>
      <c r="B12" s="5" t="s">
        <v>41</v>
      </c>
      <c r="C12" s="6">
        <v>171.744</v>
      </c>
      <c r="D12" s="2">
        <v>20</v>
      </c>
      <c r="E12" s="6">
        <v>10</v>
      </c>
      <c r="F12" s="6">
        <v>20</v>
      </c>
      <c r="G12" s="6">
        <v>80</v>
      </c>
      <c r="H12" s="5" t="s">
        <v>48</v>
      </c>
    </row>
    <row r="13" spans="1:8" x14ac:dyDescent="0.25">
      <c r="A13" s="5" t="s">
        <v>40</v>
      </c>
      <c r="B13" s="5" t="s">
        <v>50</v>
      </c>
      <c r="C13" s="6">
        <v>115.57299999999999</v>
      </c>
      <c r="D13" s="2">
        <v>20</v>
      </c>
      <c r="E13" s="6">
        <v>10</v>
      </c>
      <c r="F13" s="6">
        <v>40</v>
      </c>
      <c r="G13" s="6">
        <v>142</v>
      </c>
      <c r="H13" s="5" t="s">
        <v>42</v>
      </c>
    </row>
    <row r="14" spans="1:8" x14ac:dyDescent="0.25">
      <c r="A14" s="5" t="s">
        <v>49</v>
      </c>
      <c r="B14" s="5" t="s">
        <v>50</v>
      </c>
      <c r="C14" s="6">
        <v>121.04600000000001</v>
      </c>
      <c r="D14" s="2">
        <v>20</v>
      </c>
      <c r="E14" s="6">
        <v>30</v>
      </c>
      <c r="F14" s="6">
        <v>60</v>
      </c>
      <c r="G14" s="6">
        <v>152</v>
      </c>
      <c r="H14" s="5" t="s">
        <v>51</v>
      </c>
    </row>
    <row r="15" spans="1:8" x14ac:dyDescent="0.25">
      <c r="A15" s="5" t="s">
        <v>45</v>
      </c>
      <c r="B15" s="5" t="s">
        <v>50</v>
      </c>
      <c r="C15" s="6">
        <v>133.25899999999999</v>
      </c>
      <c r="D15" s="2">
        <v>20</v>
      </c>
      <c r="E15" s="6">
        <v>10</v>
      </c>
      <c r="F15" s="6">
        <v>40</v>
      </c>
      <c r="G15" s="6">
        <v>132</v>
      </c>
      <c r="H15" s="5" t="s">
        <v>46</v>
      </c>
    </row>
    <row r="16" spans="1:8" x14ac:dyDescent="0.25">
      <c r="A16" s="5" t="s">
        <v>53</v>
      </c>
      <c r="B16" s="5" t="s">
        <v>66</v>
      </c>
      <c r="C16" s="6">
        <v>99.918999999999997</v>
      </c>
      <c r="D16" s="2">
        <v>20</v>
      </c>
      <c r="E16" s="6">
        <v>5</v>
      </c>
      <c r="F16" s="6">
        <v>20</v>
      </c>
      <c r="G16" s="6">
        <v>278</v>
      </c>
      <c r="H16" s="5" t="s">
        <v>48</v>
      </c>
    </row>
    <row r="17" spans="1:8" x14ac:dyDescent="0.25">
      <c r="A17" s="5" t="s">
        <v>55</v>
      </c>
      <c r="B17" s="5" t="s">
        <v>66</v>
      </c>
      <c r="C17" s="6">
        <v>107.259</v>
      </c>
      <c r="D17" s="2">
        <v>20</v>
      </c>
      <c r="E17" s="6">
        <v>12</v>
      </c>
      <c r="F17" s="6">
        <v>50</v>
      </c>
      <c r="G17" s="6">
        <v>145</v>
      </c>
      <c r="H17" s="5" t="s">
        <v>56</v>
      </c>
    </row>
    <row r="18" spans="1:8" x14ac:dyDescent="0.25">
      <c r="A18" s="5" t="s">
        <v>58</v>
      </c>
      <c r="B18" s="5" t="s">
        <v>66</v>
      </c>
      <c r="C18" s="6">
        <v>134.78</v>
      </c>
      <c r="D18" s="2">
        <v>20</v>
      </c>
      <c r="E18" s="6">
        <v>7</v>
      </c>
      <c r="F18" s="6">
        <v>30</v>
      </c>
      <c r="G18" s="6">
        <v>125</v>
      </c>
      <c r="H18" s="5" t="s">
        <v>57</v>
      </c>
    </row>
    <row r="19" spans="1:8" ht="13.5" thickBot="1" x14ac:dyDescent="0.3">
      <c r="A19" s="7" t="s">
        <v>59</v>
      </c>
      <c r="B19" s="7" t="s">
        <v>66</v>
      </c>
      <c r="C19" s="8">
        <v>146.35499999999999</v>
      </c>
      <c r="D19" s="4">
        <v>20</v>
      </c>
      <c r="E19" s="8">
        <v>10</v>
      </c>
      <c r="F19" s="8">
        <v>40</v>
      </c>
      <c r="G19" s="8">
        <v>108</v>
      </c>
      <c r="H19" s="7" t="s">
        <v>60</v>
      </c>
    </row>
    <row r="20" spans="1:8" ht="13.5" thickBot="1" x14ac:dyDescent="0.3">
      <c r="A20" s="153" t="s">
        <v>63</v>
      </c>
      <c r="B20" s="153"/>
      <c r="C20" s="153"/>
      <c r="D20" s="153"/>
    </row>
    <row r="21" spans="1:8" ht="68.25" thickBot="1" x14ac:dyDescent="0.3">
      <c r="A21" s="19" t="s">
        <v>26</v>
      </c>
      <c r="B21" s="19" t="s">
        <v>27</v>
      </c>
      <c r="C21" s="19" t="s">
        <v>28</v>
      </c>
      <c r="D21" s="19" t="s">
        <v>64</v>
      </c>
    </row>
    <row r="22" spans="1:8" ht="13.5" thickTop="1" x14ac:dyDescent="0.25">
      <c r="A22" s="5" t="s">
        <v>38</v>
      </c>
      <c r="B22" s="5" t="s">
        <v>33</v>
      </c>
      <c r="C22" s="6">
        <v>113.45399999999999</v>
      </c>
      <c r="D22" s="5" t="s">
        <v>39</v>
      </c>
    </row>
    <row r="23" spans="1:8" x14ac:dyDescent="0.25">
      <c r="A23" s="5" t="s">
        <v>52</v>
      </c>
      <c r="B23" s="5" t="s">
        <v>41</v>
      </c>
      <c r="C23" s="6">
        <v>174.45500000000001</v>
      </c>
      <c r="D23" s="5" t="s">
        <v>72</v>
      </c>
    </row>
    <row r="24" spans="1:8" x14ac:dyDescent="0.25">
      <c r="A24" s="5" t="s">
        <v>58</v>
      </c>
      <c r="B24" s="5" t="s">
        <v>71</v>
      </c>
      <c r="C24" s="6">
        <v>134.85900000000001</v>
      </c>
      <c r="D24" s="5" t="s">
        <v>57</v>
      </c>
    </row>
    <row r="25" spans="1:8" x14ac:dyDescent="0.25">
      <c r="A25" s="5" t="s">
        <v>55</v>
      </c>
      <c r="B25" s="5" t="s">
        <v>54</v>
      </c>
      <c r="C25" s="6">
        <v>107.354</v>
      </c>
      <c r="D25" s="5" t="s">
        <v>56</v>
      </c>
    </row>
    <row r="26" spans="1:8" x14ac:dyDescent="0.25">
      <c r="A26" s="5" t="s">
        <v>45</v>
      </c>
      <c r="B26" s="5" t="s">
        <v>61</v>
      </c>
      <c r="C26" s="6">
        <v>132.98699999999999</v>
      </c>
      <c r="D26" s="5" t="s">
        <v>46</v>
      </c>
    </row>
    <row r="27" spans="1:8" ht="13.5" thickBot="1" x14ac:dyDescent="0.3">
      <c r="A27" s="7" t="s">
        <v>1</v>
      </c>
      <c r="B27" s="7" t="s">
        <v>65</v>
      </c>
      <c r="C27" s="25"/>
      <c r="D27" s="7" t="s">
        <v>48</v>
      </c>
    </row>
  </sheetData>
  <mergeCells count="1">
    <mergeCell ref="A20:D20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3"/>
  <sheetViews>
    <sheetView topLeftCell="Z1" zoomScale="115" zoomScaleNormal="115" workbookViewId="0">
      <selection activeCell="AC48" sqref="AC48:AC603"/>
    </sheetView>
  </sheetViews>
  <sheetFormatPr baseColWidth="10" defaultRowHeight="11.25" x14ac:dyDescent="0.2"/>
  <cols>
    <col min="1" max="1" width="11.42578125" style="9"/>
    <col min="2" max="2" width="18" style="9" customWidth="1"/>
    <col min="3" max="3" width="9.42578125" style="9" customWidth="1"/>
    <col min="4" max="4" width="11.28515625" style="9" customWidth="1"/>
    <col min="5" max="6" width="10.42578125" style="9" bestFit="1" customWidth="1"/>
    <col min="7" max="8" width="11.42578125" style="9"/>
    <col min="9" max="9" width="10.42578125" style="9" bestFit="1" customWidth="1"/>
    <col min="10" max="16384" width="11.42578125" style="9"/>
  </cols>
  <sheetData>
    <row r="1" spans="1:42" x14ac:dyDescent="0.2">
      <c r="A1" s="9" t="s">
        <v>0</v>
      </c>
    </row>
    <row r="3" spans="1:42" x14ac:dyDescent="0.2">
      <c r="A3" s="9" t="s">
        <v>1624</v>
      </c>
      <c r="AB3" s="9" t="s">
        <v>1625</v>
      </c>
    </row>
    <row r="4" spans="1:42" ht="12" thickBot="1" x14ac:dyDescent="0.25"/>
    <row r="5" spans="1:42" s="10" customFormat="1" ht="27" customHeight="1" x14ac:dyDescent="0.3">
      <c r="A5" s="31" t="s">
        <v>412</v>
      </c>
      <c r="B5" s="31" t="s">
        <v>413</v>
      </c>
      <c r="C5" s="129" t="s">
        <v>1623</v>
      </c>
      <c r="D5" s="31" t="s">
        <v>152</v>
      </c>
      <c r="E5" s="31" t="s">
        <v>391</v>
      </c>
      <c r="F5" s="31" t="s">
        <v>392</v>
      </c>
      <c r="G5" s="31" t="s">
        <v>1608</v>
      </c>
      <c r="H5" s="31" t="s">
        <v>1609</v>
      </c>
      <c r="I5" s="31" t="s">
        <v>1610</v>
      </c>
      <c r="J5" s="31" t="s">
        <v>1611</v>
      </c>
      <c r="K5" s="31" t="s">
        <v>393</v>
      </c>
      <c r="L5" s="31" t="s">
        <v>394</v>
      </c>
      <c r="M5" s="31" t="s">
        <v>1612</v>
      </c>
      <c r="N5" s="31" t="s">
        <v>1613</v>
      </c>
      <c r="O5" s="31" t="s">
        <v>1614</v>
      </c>
      <c r="P5" s="31" t="s">
        <v>1615</v>
      </c>
      <c r="Q5" s="31" t="s">
        <v>1616</v>
      </c>
      <c r="R5" s="31" t="s">
        <v>1617</v>
      </c>
      <c r="S5" s="31" t="s">
        <v>1618</v>
      </c>
      <c r="T5" s="31" t="s">
        <v>395</v>
      </c>
      <c r="U5" s="31" t="s">
        <v>396</v>
      </c>
      <c r="V5" s="31" t="s">
        <v>1619</v>
      </c>
      <c r="W5" s="31" t="s">
        <v>1620</v>
      </c>
      <c r="X5" s="31" t="s">
        <v>1621</v>
      </c>
      <c r="Y5" s="31" t="s">
        <v>1622</v>
      </c>
      <c r="Z5" s="31" t="s">
        <v>414</v>
      </c>
      <c r="AB5" s="10" t="s">
        <v>397</v>
      </c>
      <c r="AC5" s="10" t="s">
        <v>398</v>
      </c>
      <c r="AD5" s="10" t="s">
        <v>399</v>
      </c>
      <c r="AE5" s="10" t="s">
        <v>400</v>
      </c>
      <c r="AF5" s="10" t="s">
        <v>401</v>
      </c>
      <c r="AG5" s="10" t="s">
        <v>402</v>
      </c>
      <c r="AH5" s="10" t="s">
        <v>403</v>
      </c>
      <c r="AI5" s="10" t="s">
        <v>404</v>
      </c>
      <c r="AJ5" s="10" t="s">
        <v>405</v>
      </c>
      <c r="AK5" s="10" t="s">
        <v>406</v>
      </c>
      <c r="AL5" s="10" t="s">
        <v>407</v>
      </c>
      <c r="AM5" s="10" t="s">
        <v>408</v>
      </c>
      <c r="AN5" s="10" t="s">
        <v>409</v>
      </c>
      <c r="AO5" s="10" t="s">
        <v>410</v>
      </c>
      <c r="AP5" s="10" t="s">
        <v>411</v>
      </c>
    </row>
    <row r="6" spans="1:42" s="10" customFormat="1" ht="8.25" customHeight="1" thickBot="1" x14ac:dyDescent="0.3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42" s="26" customFormat="1" ht="12" thickTop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s="26" customFormat="1" x14ac:dyDescent="0.2">
      <c r="A8" s="9" t="s">
        <v>419</v>
      </c>
      <c r="B8" s="9" t="s">
        <v>420</v>
      </c>
      <c r="C8" s="9" t="s">
        <v>81</v>
      </c>
      <c r="D8" s="9" t="s">
        <v>82</v>
      </c>
      <c r="E8" s="154">
        <v>299500.82373708364</v>
      </c>
      <c r="F8" s="154">
        <v>300495.06738830789</v>
      </c>
      <c r="G8" s="154">
        <v>1615.3205643430588</v>
      </c>
      <c r="H8" s="154">
        <v>92511.92273539232</v>
      </c>
      <c r="I8" s="154">
        <v>0.6819397466431556</v>
      </c>
      <c r="J8" s="154">
        <v>580.26319750488608</v>
      </c>
      <c r="K8" s="154">
        <v>535920</v>
      </c>
      <c r="L8" s="154">
        <v>536802.6606913131</v>
      </c>
      <c r="M8" s="154">
        <v>9.4499536734569691</v>
      </c>
      <c r="N8" s="154">
        <v>0.32719306153757605</v>
      </c>
      <c r="O8" s="154">
        <v>0.88596989359782263</v>
      </c>
      <c r="P8" s="154" t="s">
        <v>421</v>
      </c>
      <c r="Q8" s="154">
        <v>10.777647102679316</v>
      </c>
      <c r="R8" s="154">
        <v>5387.5794574048969</v>
      </c>
      <c r="S8" s="154">
        <v>271.05425140377173</v>
      </c>
      <c r="T8" s="154">
        <v>214.79759216309563</v>
      </c>
      <c r="U8" s="154">
        <v>215.59788739000021</v>
      </c>
      <c r="V8" s="154">
        <v>1.4309634630278638</v>
      </c>
      <c r="W8" s="154">
        <v>25.825941484956086</v>
      </c>
      <c r="X8" s="154">
        <v>1.5830718744985813E-2</v>
      </c>
      <c r="Y8" s="154">
        <v>1.8135876467185377</v>
      </c>
      <c r="Z8" s="154">
        <v>270.32393959041718</v>
      </c>
      <c r="AC8" s="26" t="s">
        <v>421</v>
      </c>
      <c r="AD8" s="26" t="s">
        <v>421</v>
      </c>
      <c r="AE8" s="26" t="s">
        <v>421</v>
      </c>
      <c r="AF8" s="26" t="s">
        <v>421</v>
      </c>
      <c r="AG8" s="156">
        <v>0.36</v>
      </c>
      <c r="AH8" s="156">
        <v>33.476999999999997</v>
      </c>
      <c r="AI8" s="156">
        <v>2.4E-2</v>
      </c>
      <c r="AJ8" s="156">
        <v>8.9999999999999993E-3</v>
      </c>
      <c r="AK8" s="26" t="s">
        <v>421</v>
      </c>
      <c r="AL8" s="156">
        <v>53.591999999999999</v>
      </c>
      <c r="AM8" s="156">
        <v>0.05</v>
      </c>
      <c r="AN8" s="156">
        <v>12.013999999999999</v>
      </c>
      <c r="AO8" s="156">
        <v>0.26300000000000001</v>
      </c>
      <c r="AP8" s="156">
        <f t="shared" ref="AP8:AP71" si="0">SUM(AC8:AO8)</f>
        <v>99.788999999999987</v>
      </c>
    </row>
    <row r="9" spans="1:42" s="26" customFormat="1" x14ac:dyDescent="0.2">
      <c r="A9" s="9" t="s">
        <v>422</v>
      </c>
      <c r="B9" s="9" t="s">
        <v>420</v>
      </c>
      <c r="C9" s="9" t="s">
        <v>81</v>
      </c>
      <c r="D9" s="9" t="s">
        <v>82</v>
      </c>
      <c r="E9" s="154">
        <v>295459.33487196179</v>
      </c>
      <c r="F9" s="154">
        <v>297070.97979405773</v>
      </c>
      <c r="G9" s="154">
        <v>1729.2307448570582</v>
      </c>
      <c r="H9" s="154">
        <v>92695.689894986732</v>
      </c>
      <c r="I9" s="154">
        <v>0.79830080525420999</v>
      </c>
      <c r="J9" s="154">
        <v>1478.7419636808866</v>
      </c>
      <c r="K9" s="154">
        <v>532600</v>
      </c>
      <c r="L9" s="154">
        <v>536152.20274523436</v>
      </c>
      <c r="M9" s="154">
        <v>8.4926040925856796</v>
      </c>
      <c r="N9" s="154">
        <v>0.31639808495468508</v>
      </c>
      <c r="O9" s="154">
        <v>0.55224774898822193</v>
      </c>
      <c r="P9" s="154" t="s">
        <v>421</v>
      </c>
      <c r="Q9" s="154">
        <v>20.970028687767197</v>
      </c>
      <c r="R9" s="154">
        <v>5654.6153712931437</v>
      </c>
      <c r="S9" s="154">
        <v>337.70749468789944</v>
      </c>
      <c r="T9" s="154">
        <v>282.51520664815575</v>
      </c>
      <c r="U9" s="154">
        <v>282.27397469092483</v>
      </c>
      <c r="V9" s="154">
        <v>0.79973083729112504</v>
      </c>
      <c r="W9" s="154">
        <v>26.906370907093496</v>
      </c>
      <c r="X9" s="154">
        <v>2.3149412889835293E-2</v>
      </c>
      <c r="Y9" s="154">
        <v>1.6774578439241623</v>
      </c>
      <c r="Z9" s="154">
        <v>336.74694298529573</v>
      </c>
      <c r="AC9" s="26" t="s">
        <v>421</v>
      </c>
      <c r="AD9" s="26" t="s">
        <v>421</v>
      </c>
      <c r="AE9" s="26" t="s">
        <v>421</v>
      </c>
      <c r="AF9" s="26" t="s">
        <v>421</v>
      </c>
      <c r="AG9" s="156">
        <v>0.43</v>
      </c>
      <c r="AH9" s="156">
        <v>33.499000000000002</v>
      </c>
      <c r="AI9" s="156">
        <v>3.5000000000000003E-2</v>
      </c>
      <c r="AJ9" s="156">
        <v>4.9000000000000002E-2</v>
      </c>
      <c r="AK9" s="26" t="s">
        <v>421</v>
      </c>
      <c r="AL9" s="156">
        <v>53.26</v>
      </c>
      <c r="AM9" s="156">
        <v>6.0999999999999999E-2</v>
      </c>
      <c r="AN9" s="156">
        <v>12.262</v>
      </c>
      <c r="AO9" s="156">
        <v>0.29499999999999998</v>
      </c>
      <c r="AP9" s="156">
        <f t="shared" si="0"/>
        <v>99.891000000000005</v>
      </c>
    </row>
    <row r="10" spans="1:42" s="26" customFormat="1" x14ac:dyDescent="0.2">
      <c r="A10" s="9" t="s">
        <v>423</v>
      </c>
      <c r="B10" s="9" t="s">
        <v>424</v>
      </c>
      <c r="C10" s="9" t="s">
        <v>81</v>
      </c>
      <c r="D10" s="9" t="s">
        <v>82</v>
      </c>
      <c r="E10" s="154">
        <v>294364.40044296224</v>
      </c>
      <c r="F10" s="154">
        <v>300076.01025266154</v>
      </c>
      <c r="G10" s="154">
        <v>1725.6362829633056</v>
      </c>
      <c r="H10" s="154">
        <v>93744.107936076689</v>
      </c>
      <c r="I10" s="154">
        <v>0.67873931139124144</v>
      </c>
      <c r="J10" s="154">
        <v>711.08791367510514</v>
      </c>
      <c r="K10" s="154">
        <v>530170</v>
      </c>
      <c r="L10" s="154">
        <v>530934.49634073023</v>
      </c>
      <c r="M10" s="154">
        <v>7.6845506028797432</v>
      </c>
      <c r="N10" s="154">
        <v>0.29640995520978453</v>
      </c>
      <c r="O10" s="154">
        <v>0.28263460545328511</v>
      </c>
      <c r="P10" s="154" t="s">
        <v>421</v>
      </c>
      <c r="Q10" s="154">
        <v>8.7000019801447603</v>
      </c>
      <c r="R10" s="154">
        <v>6080.3377079736611</v>
      </c>
      <c r="S10" s="154">
        <v>205.51229352924179</v>
      </c>
      <c r="T10" s="154">
        <v>94.732338677675656</v>
      </c>
      <c r="U10" s="154">
        <v>95.467372095007789</v>
      </c>
      <c r="V10" s="154">
        <v>0.42026524960874873</v>
      </c>
      <c r="W10" s="154">
        <v>27.040072507147443</v>
      </c>
      <c r="X10" s="154" t="s">
        <v>421</v>
      </c>
      <c r="Y10" s="154">
        <v>1.1528312604149837</v>
      </c>
      <c r="Z10" s="154">
        <v>205.19020357773769</v>
      </c>
      <c r="AC10" s="26" t="s">
        <v>421</v>
      </c>
      <c r="AD10" s="26" t="s">
        <v>421</v>
      </c>
      <c r="AE10" s="26" t="s">
        <v>421</v>
      </c>
      <c r="AF10" s="26" t="s">
        <v>421</v>
      </c>
      <c r="AG10" s="156">
        <v>0.45200000000000001</v>
      </c>
      <c r="AH10" s="156">
        <v>33.65</v>
      </c>
      <c r="AI10" s="156">
        <v>6.0000000000000001E-3</v>
      </c>
      <c r="AJ10" s="156" t="s">
        <v>421</v>
      </c>
      <c r="AK10" s="26" t="s">
        <v>421</v>
      </c>
      <c r="AL10" s="156">
        <v>53.017000000000003</v>
      </c>
      <c r="AM10" s="156">
        <v>0.63</v>
      </c>
      <c r="AN10" s="156">
        <v>11.808999999999999</v>
      </c>
      <c r="AO10" s="156">
        <v>0.26300000000000001</v>
      </c>
      <c r="AP10" s="156">
        <f t="shared" si="0"/>
        <v>99.826999999999998</v>
      </c>
    </row>
    <row r="11" spans="1:42" s="26" customFormat="1" x14ac:dyDescent="0.2">
      <c r="A11" s="9" t="s">
        <v>425</v>
      </c>
      <c r="B11" s="9" t="s">
        <v>426</v>
      </c>
      <c r="C11" s="9" t="s">
        <v>81</v>
      </c>
      <c r="D11" s="9" t="s">
        <v>82</v>
      </c>
      <c r="E11" s="154">
        <v>298220.71321169182</v>
      </c>
      <c r="F11" s="154">
        <v>294749.86981476203</v>
      </c>
      <c r="G11" s="154">
        <v>1619.9744044203901</v>
      </c>
      <c r="H11" s="154">
        <v>93800.482750681826</v>
      </c>
      <c r="I11" s="154">
        <v>0.69006332761819622</v>
      </c>
      <c r="J11" s="154">
        <v>610.69426681152777</v>
      </c>
      <c r="K11" s="154">
        <v>532070</v>
      </c>
      <c r="L11" s="154">
        <v>534647.70588155824</v>
      </c>
      <c r="M11" s="154">
        <v>8.5422324273299672</v>
      </c>
      <c r="N11" s="154" t="s">
        <v>421</v>
      </c>
      <c r="O11" s="154" t="s">
        <v>421</v>
      </c>
      <c r="P11" s="154" t="s">
        <v>421</v>
      </c>
      <c r="Q11" s="154">
        <v>9.5386888684082631</v>
      </c>
      <c r="R11" s="154">
        <v>6063.8562233464654</v>
      </c>
      <c r="S11" s="154">
        <v>224.0200347010117</v>
      </c>
      <c r="T11" s="154">
        <v>126.82646786908187</v>
      </c>
      <c r="U11" s="154">
        <v>128.40794710215539</v>
      </c>
      <c r="V11" s="154">
        <v>0.27999672878249826</v>
      </c>
      <c r="W11" s="154">
        <v>25.437452651354238</v>
      </c>
      <c r="X11" s="154">
        <v>1.9268820530890265E-2</v>
      </c>
      <c r="Y11" s="154">
        <v>2.4442135846185784</v>
      </c>
      <c r="Z11" s="154">
        <v>223.58882471025683</v>
      </c>
      <c r="AC11" s="26" t="s">
        <v>421</v>
      </c>
      <c r="AD11" s="26" t="s">
        <v>421</v>
      </c>
      <c r="AE11" s="26" t="s">
        <v>421</v>
      </c>
      <c r="AF11" s="26" t="s">
        <v>421</v>
      </c>
      <c r="AG11" s="156">
        <v>0.372</v>
      </c>
      <c r="AH11" s="156">
        <v>33.600999999999999</v>
      </c>
      <c r="AI11" s="156">
        <v>1.4E-2</v>
      </c>
      <c r="AJ11" s="156">
        <v>2E-3</v>
      </c>
      <c r="AK11" s="156">
        <v>4.0000000000000001E-3</v>
      </c>
      <c r="AL11" s="156">
        <v>53.207000000000001</v>
      </c>
      <c r="AM11" s="156">
        <v>3.4000000000000002E-2</v>
      </c>
      <c r="AN11" s="156">
        <v>11.977</v>
      </c>
      <c r="AO11" s="156">
        <v>0.26100000000000001</v>
      </c>
      <c r="AP11" s="156">
        <f t="shared" si="0"/>
        <v>99.472000000000008</v>
      </c>
    </row>
    <row r="12" spans="1:42" s="26" customFormat="1" x14ac:dyDescent="0.2">
      <c r="A12" s="9" t="s">
        <v>427</v>
      </c>
      <c r="B12" s="9" t="s">
        <v>428</v>
      </c>
      <c r="C12" s="9" t="s">
        <v>81</v>
      </c>
      <c r="D12" s="9" t="s">
        <v>82</v>
      </c>
      <c r="E12" s="154">
        <v>301416.00947076548</v>
      </c>
      <c r="F12" s="154">
        <v>298406.0239124865</v>
      </c>
      <c r="G12" s="154">
        <v>1944.7760877793216</v>
      </c>
      <c r="H12" s="154">
        <v>94506.056425738992</v>
      </c>
      <c r="I12" s="154">
        <v>0.53651353184950812</v>
      </c>
      <c r="J12" s="154">
        <v>2310.3714481762959</v>
      </c>
      <c r="K12" s="154">
        <v>531710</v>
      </c>
      <c r="L12" s="154">
        <v>538489.36799597403</v>
      </c>
      <c r="M12" s="154">
        <v>8.8908852665742693</v>
      </c>
      <c r="N12" s="154" t="s">
        <v>421</v>
      </c>
      <c r="O12" s="154" t="s">
        <v>421</v>
      </c>
      <c r="P12" s="154" t="s">
        <v>421</v>
      </c>
      <c r="Q12" s="154">
        <v>21.840707768484386</v>
      </c>
      <c r="R12" s="154">
        <v>6600.0046878237436</v>
      </c>
      <c r="S12" s="154">
        <v>455.11347200776549</v>
      </c>
      <c r="T12" s="154">
        <v>174.36912419788337</v>
      </c>
      <c r="U12" s="154">
        <v>170.42182680132532</v>
      </c>
      <c r="V12" s="154">
        <v>1.1975895021122809</v>
      </c>
      <c r="W12" s="154">
        <v>31.808236900985165</v>
      </c>
      <c r="X12" s="154" t="s">
        <v>421</v>
      </c>
      <c r="Y12" s="154">
        <v>3.4750932118376516</v>
      </c>
      <c r="Z12" s="154">
        <v>454.52061698549267</v>
      </c>
      <c r="AC12" s="26" t="s">
        <v>421</v>
      </c>
      <c r="AD12" s="26" t="s">
        <v>421</v>
      </c>
      <c r="AE12" s="26" t="s">
        <v>421</v>
      </c>
      <c r="AF12" s="26" t="s">
        <v>421</v>
      </c>
      <c r="AG12" s="156">
        <v>0.497</v>
      </c>
      <c r="AH12" s="156">
        <v>33.393999999999998</v>
      </c>
      <c r="AI12" s="156">
        <v>1.4999999999999999E-2</v>
      </c>
      <c r="AJ12" s="156">
        <v>6.0999999999999999E-2</v>
      </c>
      <c r="AK12" s="156" t="s">
        <v>421</v>
      </c>
      <c r="AL12" s="156">
        <v>53.170999999999999</v>
      </c>
      <c r="AM12" s="156">
        <v>5.3999999999999999E-2</v>
      </c>
      <c r="AN12" s="156">
        <v>12.138999999999999</v>
      </c>
      <c r="AO12" s="156">
        <v>0.26900000000000002</v>
      </c>
      <c r="AP12" s="156">
        <f t="shared" si="0"/>
        <v>99.600000000000009</v>
      </c>
    </row>
    <row r="13" spans="1:42" s="26" customFormat="1" x14ac:dyDescent="0.2">
      <c r="A13" s="9" t="s">
        <v>429</v>
      </c>
      <c r="B13" s="9" t="s">
        <v>430</v>
      </c>
      <c r="C13" s="9" t="s">
        <v>81</v>
      </c>
      <c r="D13" s="9" t="s">
        <v>82</v>
      </c>
      <c r="E13" s="154">
        <v>291685.10021338967</v>
      </c>
      <c r="F13" s="154">
        <v>294018.93958792352</v>
      </c>
      <c r="G13" s="154">
        <v>1371.6673378708988</v>
      </c>
      <c r="H13" s="154">
        <v>93165.450344796918</v>
      </c>
      <c r="I13" s="154">
        <v>0.17939941932105341</v>
      </c>
      <c r="J13" s="154">
        <v>1390.5746995316933</v>
      </c>
      <c r="K13" s="154">
        <v>528150</v>
      </c>
      <c r="L13" s="154">
        <v>529860.00221108261</v>
      </c>
      <c r="M13" s="154">
        <v>12.90655043781938</v>
      </c>
      <c r="N13" s="154">
        <v>0.3008270722818373</v>
      </c>
      <c r="O13" s="154" t="s">
        <v>421</v>
      </c>
      <c r="P13" s="154" t="s">
        <v>421</v>
      </c>
      <c r="Q13" s="154">
        <v>17.847362522015199</v>
      </c>
      <c r="R13" s="154">
        <v>6343.2648753589947</v>
      </c>
      <c r="S13" s="154">
        <v>270.96883587525735</v>
      </c>
      <c r="T13" s="154">
        <v>885.87782668780164</v>
      </c>
      <c r="U13" s="154">
        <v>907.92372672430133</v>
      </c>
      <c r="V13" s="154">
        <v>0.10770306533461653</v>
      </c>
      <c r="W13" s="154">
        <v>26.74447775658496</v>
      </c>
      <c r="X13" s="154">
        <v>1.751897387013298E-2</v>
      </c>
      <c r="Y13" s="154">
        <v>0.38935755931505212</v>
      </c>
      <c r="Z13" s="154">
        <v>267.95685126451883</v>
      </c>
      <c r="AC13" s="26" t="s">
        <v>421</v>
      </c>
      <c r="AD13" s="26" t="s">
        <v>421</v>
      </c>
      <c r="AE13" s="26" t="s">
        <v>421</v>
      </c>
      <c r="AF13" s="26" t="s">
        <v>421</v>
      </c>
      <c r="AG13" s="156">
        <v>0.42699999999999999</v>
      </c>
      <c r="AH13" s="156">
        <v>33.331000000000003</v>
      </c>
      <c r="AI13" s="156">
        <v>0.19700000000000001</v>
      </c>
      <c r="AJ13" s="156">
        <v>2.7E-2</v>
      </c>
      <c r="AK13" s="156">
        <v>1.2E-2</v>
      </c>
      <c r="AL13" s="156">
        <v>52.814999999999998</v>
      </c>
      <c r="AM13" s="156">
        <v>0.247</v>
      </c>
      <c r="AN13" s="156">
        <v>11.868</v>
      </c>
      <c r="AO13" s="156">
        <v>0.214</v>
      </c>
      <c r="AP13" s="156">
        <f t="shared" si="0"/>
        <v>99.137999999999991</v>
      </c>
    </row>
    <row r="14" spans="1:42" s="26" customFormat="1" x14ac:dyDescent="0.2">
      <c r="A14" s="9" t="s">
        <v>431</v>
      </c>
      <c r="B14" s="9" t="s">
        <v>432</v>
      </c>
      <c r="C14" s="9" t="s">
        <v>81</v>
      </c>
      <c r="D14" s="9" t="s">
        <v>82</v>
      </c>
      <c r="E14" s="154">
        <v>296173.28926833568</v>
      </c>
      <c r="F14" s="154">
        <v>293471.0604658614</v>
      </c>
      <c r="G14" s="154">
        <v>2221.543030684546</v>
      </c>
      <c r="H14" s="154">
        <v>88099.16774515016</v>
      </c>
      <c r="I14" s="154">
        <v>1.949859111420045</v>
      </c>
      <c r="J14" s="154">
        <v>2378.5143821692932</v>
      </c>
      <c r="K14" s="154">
        <v>533600</v>
      </c>
      <c r="L14" s="154">
        <v>535844.28891506325</v>
      </c>
      <c r="M14" s="154">
        <v>8.6588538243237156</v>
      </c>
      <c r="N14" s="154" t="s">
        <v>421</v>
      </c>
      <c r="O14" s="154">
        <v>0.15736533519035587</v>
      </c>
      <c r="P14" s="154">
        <v>0.88448442227080248</v>
      </c>
      <c r="Q14" s="154">
        <v>15.303329677662068</v>
      </c>
      <c r="R14" s="154">
        <v>5737.8879947376299</v>
      </c>
      <c r="S14" s="154">
        <v>129.95896292623138</v>
      </c>
      <c r="T14" s="154">
        <v>205.5333625781025</v>
      </c>
      <c r="U14" s="154">
        <v>205.43849479316626</v>
      </c>
      <c r="V14" s="154">
        <v>1.6782017596976395</v>
      </c>
      <c r="W14" s="154">
        <v>31.122691973816622</v>
      </c>
      <c r="X14" s="154" t="s">
        <v>421</v>
      </c>
      <c r="Y14" s="154">
        <v>4.2055166552856944</v>
      </c>
      <c r="Z14" s="154">
        <v>129.26014949346583</v>
      </c>
      <c r="AC14" s="26" t="s">
        <v>421</v>
      </c>
      <c r="AD14" s="26" t="s">
        <v>421</v>
      </c>
      <c r="AE14" s="26" t="s">
        <v>421</v>
      </c>
      <c r="AF14" s="26" t="s">
        <v>421</v>
      </c>
      <c r="AG14" s="156">
        <v>0.379</v>
      </c>
      <c r="AH14" s="156">
        <v>33.390999999999998</v>
      </c>
      <c r="AI14" s="156">
        <v>2.8000000000000001E-2</v>
      </c>
      <c r="AJ14" s="156" t="s">
        <v>421</v>
      </c>
      <c r="AK14" s="156" t="s">
        <v>421</v>
      </c>
      <c r="AL14" s="156">
        <v>53.36</v>
      </c>
      <c r="AM14" s="156">
        <v>0.16400000000000001</v>
      </c>
      <c r="AN14" s="156">
        <v>11.679</v>
      </c>
      <c r="AO14" s="156">
        <v>0.34799999999999998</v>
      </c>
      <c r="AP14" s="156">
        <f t="shared" si="0"/>
        <v>99.34899999999999</v>
      </c>
    </row>
    <row r="15" spans="1:42" s="26" customFormat="1" x14ac:dyDescent="0.2">
      <c r="A15" s="9" t="s">
        <v>433</v>
      </c>
      <c r="B15" s="9" t="s">
        <v>434</v>
      </c>
      <c r="C15" s="9" t="s">
        <v>81</v>
      </c>
      <c r="D15" s="9" t="s">
        <v>82</v>
      </c>
      <c r="E15" s="154">
        <v>293425.68251754891</v>
      </c>
      <c r="F15" s="154">
        <v>289045.30892162194</v>
      </c>
      <c r="G15" s="154">
        <v>2242.9060981305215</v>
      </c>
      <c r="H15" s="154">
        <v>90566.930415075723</v>
      </c>
      <c r="I15" s="154">
        <v>0.90915842541549763</v>
      </c>
      <c r="J15" s="154">
        <v>1110.4529852248331</v>
      </c>
      <c r="K15" s="154">
        <v>534030</v>
      </c>
      <c r="L15" s="154">
        <v>530934.37042579637</v>
      </c>
      <c r="M15" s="154">
        <v>8.9232062509210124</v>
      </c>
      <c r="N15" s="154" t="s">
        <v>421</v>
      </c>
      <c r="O15" s="154">
        <v>0.14437389086189825</v>
      </c>
      <c r="P15" s="154">
        <v>0.81057995137237016</v>
      </c>
      <c r="Q15" s="154">
        <v>10.291301379735021</v>
      </c>
      <c r="R15" s="154">
        <v>5730.8484944332249</v>
      </c>
      <c r="S15" s="154">
        <v>121.51454987783767</v>
      </c>
      <c r="T15" s="154">
        <v>121.72147615727843</v>
      </c>
      <c r="U15" s="154">
        <v>120.19001700028194</v>
      </c>
      <c r="V15" s="154">
        <v>1.2789124350169174</v>
      </c>
      <c r="W15" s="154">
        <v>27.380096154524761</v>
      </c>
      <c r="X15" s="154">
        <v>1.7579113486328422E-2</v>
      </c>
      <c r="Y15" s="154">
        <v>3.2773984591475571</v>
      </c>
      <c r="Z15" s="154">
        <v>121.10069685890292</v>
      </c>
      <c r="AC15" s="26" t="s">
        <v>421</v>
      </c>
      <c r="AD15" s="26" t="s">
        <v>421</v>
      </c>
      <c r="AE15" s="26" t="s">
        <v>421</v>
      </c>
      <c r="AF15" s="26" t="s">
        <v>421</v>
      </c>
      <c r="AG15" s="156">
        <v>0.37</v>
      </c>
      <c r="AH15" s="156">
        <v>33.578000000000003</v>
      </c>
      <c r="AI15" s="156">
        <v>1.2E-2</v>
      </c>
      <c r="AJ15" s="156" t="s">
        <v>421</v>
      </c>
      <c r="AK15" s="156" t="s">
        <v>421</v>
      </c>
      <c r="AL15" s="156">
        <v>53.402999999999999</v>
      </c>
      <c r="AM15" s="156">
        <v>3.7999999999999999E-2</v>
      </c>
      <c r="AN15" s="156">
        <v>11.868</v>
      </c>
      <c r="AO15" s="156">
        <v>0.34100000000000003</v>
      </c>
      <c r="AP15" s="156">
        <f t="shared" si="0"/>
        <v>99.609999999999985</v>
      </c>
    </row>
    <row r="16" spans="1:42" s="26" customFormat="1" x14ac:dyDescent="0.2">
      <c r="A16" s="9" t="s">
        <v>435</v>
      </c>
      <c r="B16" s="9" t="s">
        <v>436</v>
      </c>
      <c r="C16" s="9" t="s">
        <v>81</v>
      </c>
      <c r="D16" s="9" t="s">
        <v>82</v>
      </c>
      <c r="E16" s="154">
        <v>300199.38392596436</v>
      </c>
      <c r="F16" s="154">
        <v>301049.0095750991</v>
      </c>
      <c r="G16" s="154">
        <v>1416.4337947512599</v>
      </c>
      <c r="H16" s="154">
        <v>88459.484211646399</v>
      </c>
      <c r="I16" s="154">
        <v>0.33815859541358406</v>
      </c>
      <c r="J16" s="154">
        <v>2922.7862379631761</v>
      </c>
      <c r="K16" s="154">
        <v>535370</v>
      </c>
      <c r="L16" s="154">
        <v>534912.44716382807</v>
      </c>
      <c r="M16" s="154">
        <v>15.433649054232253</v>
      </c>
      <c r="N16" s="154">
        <v>0.23605300817899502</v>
      </c>
      <c r="O16" s="154">
        <v>0.77280305038564534</v>
      </c>
      <c r="P16" s="154">
        <v>0.94867332389452375</v>
      </c>
      <c r="Q16" s="154">
        <v>102.08907490933352</v>
      </c>
      <c r="R16" s="154">
        <v>5601.490154249911</v>
      </c>
      <c r="S16" s="154">
        <v>148.01521117465867</v>
      </c>
      <c r="T16" s="154">
        <v>1828.0737508518089</v>
      </c>
      <c r="U16" s="154">
        <v>2260.354345778559</v>
      </c>
      <c r="V16" s="154">
        <v>0.45506229808011373</v>
      </c>
      <c r="W16" s="154">
        <v>34.782994986259482</v>
      </c>
      <c r="X16" s="154">
        <v>1.6361475967529859E-2</v>
      </c>
      <c r="Y16" s="154">
        <v>8.6568000817069422</v>
      </c>
      <c r="Z16" s="154">
        <v>141.79976042176253</v>
      </c>
      <c r="AC16" s="26" t="s">
        <v>421</v>
      </c>
      <c r="AD16" s="26" t="s">
        <v>421</v>
      </c>
      <c r="AE16" s="26" t="s">
        <v>421</v>
      </c>
      <c r="AF16" s="26" t="s">
        <v>421</v>
      </c>
      <c r="AG16" s="156">
        <v>0.38300000000000001</v>
      </c>
      <c r="AH16" s="156">
        <v>33.238999999999997</v>
      </c>
      <c r="AI16" s="156">
        <v>6.3E-2</v>
      </c>
      <c r="AJ16" s="156">
        <v>7.0000000000000001E-3</v>
      </c>
      <c r="AK16" s="156" t="s">
        <v>421</v>
      </c>
      <c r="AL16" s="156">
        <v>53.536999999999999</v>
      </c>
      <c r="AM16" s="156">
        <v>0.11700000000000001</v>
      </c>
      <c r="AN16" s="156">
        <v>11.75</v>
      </c>
      <c r="AO16" s="156">
        <v>0.20699999999999999</v>
      </c>
      <c r="AP16" s="156">
        <f t="shared" si="0"/>
        <v>99.302999999999997</v>
      </c>
    </row>
    <row r="17" spans="1:42" s="26" customFormat="1" x14ac:dyDescent="0.2">
      <c r="A17" s="9" t="s">
        <v>437</v>
      </c>
      <c r="B17" s="9" t="s">
        <v>438</v>
      </c>
      <c r="C17" s="9" t="s">
        <v>81</v>
      </c>
      <c r="D17" s="9" t="s">
        <v>82</v>
      </c>
      <c r="E17" s="154">
        <v>308742.14903590834</v>
      </c>
      <c r="F17" s="154">
        <v>307391.73194321716</v>
      </c>
      <c r="G17" s="154">
        <v>1292.2830840046868</v>
      </c>
      <c r="H17" s="154">
        <v>98171.064250174793</v>
      </c>
      <c r="I17" s="154">
        <v>0.54287576403085669</v>
      </c>
      <c r="J17" s="154">
        <v>1907.1619697137664</v>
      </c>
      <c r="K17" s="154">
        <v>528270</v>
      </c>
      <c r="L17" s="154">
        <v>538299.67198159895</v>
      </c>
      <c r="M17" s="154">
        <v>12.932112769743261</v>
      </c>
      <c r="N17" s="154" t="s">
        <v>421</v>
      </c>
      <c r="O17" s="154">
        <v>0.11290028986259792</v>
      </c>
      <c r="P17" s="154">
        <v>0.62554397388096794</v>
      </c>
      <c r="Q17" s="154">
        <v>26.813318445734758</v>
      </c>
      <c r="R17" s="154">
        <v>6144.3730533170465</v>
      </c>
      <c r="S17" s="154">
        <v>706.70852163552706</v>
      </c>
      <c r="T17" s="154">
        <v>743.69915826461749</v>
      </c>
      <c r="U17" s="154">
        <v>738.78453214963633</v>
      </c>
      <c r="V17" s="154" t="s">
        <v>421</v>
      </c>
      <c r="W17" s="154">
        <v>33.594688637273677</v>
      </c>
      <c r="X17" s="154" t="s">
        <v>421</v>
      </c>
      <c r="Y17" s="154">
        <v>0.23340763786974295</v>
      </c>
      <c r="Z17" s="154">
        <v>704.17994449742741</v>
      </c>
      <c r="AC17" s="26" t="s">
        <v>421</v>
      </c>
      <c r="AD17" s="26" t="s">
        <v>421</v>
      </c>
      <c r="AE17" s="26" t="s">
        <v>421</v>
      </c>
      <c r="AF17" s="26" t="s">
        <v>421</v>
      </c>
      <c r="AG17" s="156">
        <v>0.46200000000000002</v>
      </c>
      <c r="AH17" s="156">
        <v>33.347000000000001</v>
      </c>
      <c r="AI17" s="156">
        <v>0.108</v>
      </c>
      <c r="AJ17" s="156">
        <v>0.12</v>
      </c>
      <c r="AK17" s="156">
        <v>2E-3</v>
      </c>
      <c r="AL17" s="156">
        <v>52.826999999999998</v>
      </c>
      <c r="AM17" s="156">
        <v>0.217</v>
      </c>
      <c r="AN17" s="156">
        <v>12.254</v>
      </c>
      <c r="AO17" s="156">
        <v>0.19800000000000001</v>
      </c>
      <c r="AP17" s="156">
        <f t="shared" si="0"/>
        <v>99.534999999999997</v>
      </c>
    </row>
    <row r="18" spans="1:42" s="26" customFormat="1" x14ac:dyDescent="0.2">
      <c r="A18" s="9" t="s">
        <v>439</v>
      </c>
      <c r="B18" s="9" t="s">
        <v>440</v>
      </c>
      <c r="C18" s="9" t="s">
        <v>81</v>
      </c>
      <c r="D18" s="9" t="s">
        <v>85</v>
      </c>
      <c r="E18" s="154">
        <v>301521.44040054688</v>
      </c>
      <c r="F18" s="154">
        <v>299119.82116199506</v>
      </c>
      <c r="G18" s="154">
        <v>269.53619847952871</v>
      </c>
      <c r="H18" s="154">
        <v>89046.53904705451</v>
      </c>
      <c r="I18" s="154">
        <v>39.903626949543018</v>
      </c>
      <c r="J18" s="154">
        <v>1144.048596123012</v>
      </c>
      <c r="K18" s="154">
        <v>534250</v>
      </c>
      <c r="L18" s="154">
        <v>538462.60303826735</v>
      </c>
      <c r="M18" s="154">
        <v>116.24466430282951</v>
      </c>
      <c r="N18" s="154" t="s">
        <v>421</v>
      </c>
      <c r="O18" s="154">
        <v>0.1390875821071115</v>
      </c>
      <c r="P18" s="154">
        <v>0.83163094052295417</v>
      </c>
      <c r="Q18" s="154">
        <v>3.7698514799763565</v>
      </c>
      <c r="R18" s="154">
        <v>5478.0513568048491</v>
      </c>
      <c r="S18" s="154">
        <v>309.45928892608561</v>
      </c>
      <c r="T18" s="154">
        <v>98.130461153268342</v>
      </c>
      <c r="U18" s="154">
        <v>98.319242040590908</v>
      </c>
      <c r="V18" s="154">
        <v>0.58736237402671265</v>
      </c>
      <c r="W18" s="154">
        <v>16.656259707813508</v>
      </c>
      <c r="X18" s="154" t="s">
        <v>421</v>
      </c>
      <c r="Y18" s="154">
        <v>2.1768759645141396</v>
      </c>
      <c r="Z18" s="154">
        <v>309.12564535816449</v>
      </c>
      <c r="AC18" s="26" t="s">
        <v>421</v>
      </c>
      <c r="AD18" s="26" t="s">
        <v>421</v>
      </c>
      <c r="AE18" s="26" t="s">
        <v>421</v>
      </c>
      <c r="AF18" s="26" t="s">
        <v>421</v>
      </c>
      <c r="AG18" s="156">
        <v>0.52700000000000002</v>
      </c>
      <c r="AH18" s="156">
        <v>33.402000000000001</v>
      </c>
      <c r="AI18" s="156">
        <v>2.1999999999999999E-2</v>
      </c>
      <c r="AJ18" s="156">
        <v>5.5E-2</v>
      </c>
      <c r="AK18" s="156" t="s">
        <v>421</v>
      </c>
      <c r="AL18" s="156">
        <v>53.424999999999997</v>
      </c>
      <c r="AM18" s="156">
        <v>0.93400000000000005</v>
      </c>
      <c r="AN18" s="156">
        <v>10.988</v>
      </c>
      <c r="AO18" s="156">
        <v>3.4000000000000002E-2</v>
      </c>
      <c r="AP18" s="156">
        <f t="shared" si="0"/>
        <v>99.387</v>
      </c>
    </row>
    <row r="19" spans="1:42" s="26" customFormat="1" x14ac:dyDescent="0.2">
      <c r="A19" s="9" t="s">
        <v>441</v>
      </c>
      <c r="B19" s="9" t="s">
        <v>442</v>
      </c>
      <c r="C19" s="9" t="s">
        <v>81</v>
      </c>
      <c r="D19" s="9" t="s">
        <v>85</v>
      </c>
      <c r="E19" s="154">
        <v>294222.86800257314</v>
      </c>
      <c r="F19" s="154">
        <v>298391.52229000599</v>
      </c>
      <c r="G19" s="154">
        <v>311.85255531165467</v>
      </c>
      <c r="H19" s="154">
        <v>87833.979661676203</v>
      </c>
      <c r="I19" s="154">
        <v>38.434513819335997</v>
      </c>
      <c r="J19" s="154">
        <v>676.41761071006079</v>
      </c>
      <c r="K19" s="154">
        <v>537560</v>
      </c>
      <c r="L19" s="154">
        <v>538848.53985337948</v>
      </c>
      <c r="M19" s="154">
        <v>84.104169471973904</v>
      </c>
      <c r="N19" s="154">
        <v>0.24344555721641917</v>
      </c>
      <c r="O19" s="154">
        <v>0.13733499190460252</v>
      </c>
      <c r="P19" s="154">
        <v>1.6510065679742865</v>
      </c>
      <c r="Q19" s="154">
        <v>3.8373780857323059</v>
      </c>
      <c r="R19" s="154">
        <v>5959.5816922055674</v>
      </c>
      <c r="S19" s="154">
        <v>285.56712335462021</v>
      </c>
      <c r="T19" s="154">
        <v>203.39526746098826</v>
      </c>
      <c r="U19" s="154">
        <v>202.6241227756704</v>
      </c>
      <c r="V19" s="154" t="s">
        <v>421</v>
      </c>
      <c r="W19" s="154">
        <v>17.778219816156682</v>
      </c>
      <c r="X19" s="154" t="s">
        <v>421</v>
      </c>
      <c r="Y19" s="154">
        <v>0.13293715579682006</v>
      </c>
      <c r="Z19" s="154">
        <v>284.87557944525287</v>
      </c>
      <c r="AC19" s="26" t="s">
        <v>421</v>
      </c>
      <c r="AD19" s="26" t="s">
        <v>421</v>
      </c>
      <c r="AE19" s="26" t="s">
        <v>421</v>
      </c>
      <c r="AF19" s="26" t="s">
        <v>421</v>
      </c>
      <c r="AG19" s="156">
        <v>0.67800000000000005</v>
      </c>
      <c r="AH19" s="156">
        <v>33.435000000000002</v>
      </c>
      <c r="AI19" s="156">
        <v>3.9E-2</v>
      </c>
      <c r="AJ19" s="156">
        <v>2.1000000000000001E-2</v>
      </c>
      <c r="AK19" s="156">
        <v>2.1000000000000001E-2</v>
      </c>
      <c r="AL19" s="156">
        <v>53.756</v>
      </c>
      <c r="AM19" s="156">
        <v>7.0000000000000007E-2</v>
      </c>
      <c r="AN19" s="156">
        <v>11.372</v>
      </c>
      <c r="AO19" s="156">
        <v>3.4000000000000002E-2</v>
      </c>
      <c r="AP19" s="156">
        <f t="shared" si="0"/>
        <v>99.426000000000002</v>
      </c>
    </row>
    <row r="20" spans="1:42" s="26" customFormat="1" x14ac:dyDescent="0.2">
      <c r="A20" s="9" t="s">
        <v>443</v>
      </c>
      <c r="B20" s="9" t="s">
        <v>444</v>
      </c>
      <c r="C20" s="9" t="s">
        <v>81</v>
      </c>
      <c r="D20" s="9" t="s">
        <v>85</v>
      </c>
      <c r="E20" s="154">
        <v>300926.61515177647</v>
      </c>
      <c r="F20" s="154">
        <v>294954.15971486206</v>
      </c>
      <c r="G20" s="154">
        <v>567.37697275134508</v>
      </c>
      <c r="H20" s="154">
        <v>76457.976894161518</v>
      </c>
      <c r="I20" s="154">
        <v>34.669203442205308</v>
      </c>
      <c r="J20" s="154">
        <v>1784.2716644604081</v>
      </c>
      <c r="K20" s="154">
        <v>543330</v>
      </c>
      <c r="L20" s="154">
        <v>551177.18970521225</v>
      </c>
      <c r="M20" s="154">
        <v>83.175027800764951</v>
      </c>
      <c r="N20" s="154">
        <v>0.69612091652954666</v>
      </c>
      <c r="O20" s="154">
        <v>0.26362871530438653</v>
      </c>
      <c r="P20" s="154">
        <v>1.5019618992031052</v>
      </c>
      <c r="Q20" s="154">
        <v>26.915448972750067</v>
      </c>
      <c r="R20" s="154">
        <v>5417.102103651574</v>
      </c>
      <c r="S20" s="154">
        <v>165.16244770977724</v>
      </c>
      <c r="T20" s="154">
        <v>604.62923349676691</v>
      </c>
      <c r="U20" s="154">
        <v>605.43447992346103</v>
      </c>
      <c r="V20" s="154">
        <v>1.4231443723753896</v>
      </c>
      <c r="W20" s="154">
        <v>51.677118424340378</v>
      </c>
      <c r="X20" s="154">
        <v>0.11546109619606183</v>
      </c>
      <c r="Y20" s="154">
        <v>19.150195985482071</v>
      </c>
      <c r="Z20" s="154">
        <v>163.10670831588823</v>
      </c>
      <c r="AC20" s="26" t="s">
        <v>421</v>
      </c>
      <c r="AD20" s="26" t="s">
        <v>421</v>
      </c>
      <c r="AE20" s="26" t="s">
        <v>421</v>
      </c>
      <c r="AF20" s="26" t="s">
        <v>421</v>
      </c>
      <c r="AG20" s="156">
        <v>0.58499999999999996</v>
      </c>
      <c r="AH20" s="156">
        <v>33.408000000000001</v>
      </c>
      <c r="AI20" s="156">
        <v>3.5000000000000003E-2</v>
      </c>
      <c r="AJ20" s="156" t="s">
        <v>421</v>
      </c>
      <c r="AK20" s="156">
        <v>6.0000000000000001E-3</v>
      </c>
      <c r="AL20" s="156">
        <v>54.332999999999998</v>
      </c>
      <c r="AM20" s="156">
        <v>0.19</v>
      </c>
      <c r="AN20" s="156">
        <v>10.984999999999999</v>
      </c>
      <c r="AO20" s="156">
        <v>8.6999999999999994E-2</v>
      </c>
      <c r="AP20" s="156">
        <f t="shared" si="0"/>
        <v>99.628999999999991</v>
      </c>
    </row>
    <row r="21" spans="1:42" s="26" customFormat="1" x14ac:dyDescent="0.2">
      <c r="A21" s="9" t="s">
        <v>445</v>
      </c>
      <c r="B21" s="9" t="s">
        <v>446</v>
      </c>
      <c r="C21" s="9" t="s">
        <v>81</v>
      </c>
      <c r="D21" s="9" t="s">
        <v>85</v>
      </c>
      <c r="E21" s="154">
        <v>338170.57581012702</v>
      </c>
      <c r="F21" s="154">
        <v>335437.12028675491</v>
      </c>
      <c r="G21" s="154">
        <v>489.01217605081388</v>
      </c>
      <c r="H21" s="154">
        <v>95346.866509633648</v>
      </c>
      <c r="I21" s="154">
        <v>37.315032983277156</v>
      </c>
      <c r="J21" s="154">
        <v>20896.310941097079</v>
      </c>
      <c r="K21" s="154">
        <v>539450</v>
      </c>
      <c r="L21" s="154">
        <v>543353.89396144473</v>
      </c>
      <c r="M21" s="154">
        <v>69.076234829174879</v>
      </c>
      <c r="N21" s="154">
        <v>0.65155627660679249</v>
      </c>
      <c r="O21" s="154">
        <v>2.0259168127271399</v>
      </c>
      <c r="P21" s="154">
        <v>25.115550736286551</v>
      </c>
      <c r="Q21" s="154">
        <v>495.51268352926058</v>
      </c>
      <c r="R21" s="154">
        <v>6997.4719187217243</v>
      </c>
      <c r="S21" s="154">
        <v>349.56231740772972</v>
      </c>
      <c r="T21" s="154">
        <v>872.10308382498533</v>
      </c>
      <c r="U21" s="154">
        <v>898.1938852696677</v>
      </c>
      <c r="V21" s="154">
        <v>45.314712907168278</v>
      </c>
      <c r="W21" s="154">
        <v>32.401607358811937</v>
      </c>
      <c r="X21" s="154">
        <v>1.3636635863378779</v>
      </c>
      <c r="Y21" s="154">
        <v>84935.175661732777</v>
      </c>
      <c r="Z21" s="154">
        <v>346.5971669227248</v>
      </c>
      <c r="AC21" s="26" t="s">
        <v>421</v>
      </c>
      <c r="AD21" s="26" t="s">
        <v>421</v>
      </c>
      <c r="AE21" s="26" t="s">
        <v>421</v>
      </c>
      <c r="AF21" s="26" t="s">
        <v>421</v>
      </c>
      <c r="AG21" s="156">
        <v>0.57799999999999996</v>
      </c>
      <c r="AH21" s="156">
        <v>33.356000000000002</v>
      </c>
      <c r="AI21" s="156">
        <v>7.0000000000000001E-3</v>
      </c>
      <c r="AJ21" s="156">
        <v>4.2000000000000003E-2</v>
      </c>
      <c r="AK21" s="156">
        <v>0.01</v>
      </c>
      <c r="AL21" s="156">
        <v>53.945</v>
      </c>
      <c r="AM21" s="156">
        <v>0.11799999999999999</v>
      </c>
      <c r="AN21" s="156">
        <v>11.387</v>
      </c>
      <c r="AO21" s="156">
        <v>5.8000000000000003E-2</v>
      </c>
      <c r="AP21" s="156">
        <f t="shared" si="0"/>
        <v>99.501000000000005</v>
      </c>
    </row>
    <row r="22" spans="1:42" s="26" customFormat="1" x14ac:dyDescent="0.2">
      <c r="A22" s="9" t="s">
        <v>447</v>
      </c>
      <c r="B22" s="9" t="s">
        <v>448</v>
      </c>
      <c r="C22" s="9" t="s">
        <v>81</v>
      </c>
      <c r="D22" s="9" t="s">
        <v>85</v>
      </c>
      <c r="E22" s="154">
        <v>294347.45754857693</v>
      </c>
      <c r="F22" s="154">
        <v>297653.79090058751</v>
      </c>
      <c r="G22" s="154">
        <v>665.51588305011012</v>
      </c>
      <c r="H22" s="154">
        <v>91477.585356937372</v>
      </c>
      <c r="I22" s="154">
        <v>42.469856889586609</v>
      </c>
      <c r="J22" s="154">
        <v>1562.3750842150544</v>
      </c>
      <c r="K22" s="154">
        <v>539850</v>
      </c>
      <c r="L22" s="154">
        <v>541727.15718321851</v>
      </c>
      <c r="M22" s="154">
        <v>113.31279329607969</v>
      </c>
      <c r="N22" s="154">
        <v>1.472098099775752</v>
      </c>
      <c r="O22" s="154">
        <v>0.15703865499690117</v>
      </c>
      <c r="P22" s="154">
        <v>2.2167702538194378</v>
      </c>
      <c r="Q22" s="154">
        <v>40.502982661745769</v>
      </c>
      <c r="R22" s="154">
        <v>5764.2161786168153</v>
      </c>
      <c r="S22" s="154">
        <v>223.33667549153412</v>
      </c>
      <c r="T22" s="154">
        <v>389.76759898803977</v>
      </c>
      <c r="U22" s="154">
        <v>387.09774346799838</v>
      </c>
      <c r="V22" s="154">
        <v>0.10970568443825499</v>
      </c>
      <c r="W22" s="154">
        <v>28.121678339264903</v>
      </c>
      <c r="X22" s="154">
        <v>1.8135436319524259E-2</v>
      </c>
      <c r="Y22" s="154">
        <v>18.456059304929571</v>
      </c>
      <c r="Z22" s="154">
        <v>222.01146565497478</v>
      </c>
      <c r="AC22" s="26" t="s">
        <v>421</v>
      </c>
      <c r="AD22" s="26" t="s">
        <v>421</v>
      </c>
      <c r="AE22" s="26" t="s">
        <v>421</v>
      </c>
      <c r="AF22" s="26" t="s">
        <v>421</v>
      </c>
      <c r="AG22" s="156">
        <v>0.66300000000000003</v>
      </c>
      <c r="AH22" s="156">
        <v>33.326999999999998</v>
      </c>
      <c r="AI22" s="156">
        <v>5.0999999999999997E-2</v>
      </c>
      <c r="AJ22" s="156">
        <v>5.0000000000000001E-3</v>
      </c>
      <c r="AK22" s="156" t="s">
        <v>421</v>
      </c>
      <c r="AL22" s="156">
        <v>53.984999999999999</v>
      </c>
      <c r="AM22" s="156">
        <v>7.3999999999999996E-2</v>
      </c>
      <c r="AN22" s="156">
        <v>11.397</v>
      </c>
      <c r="AO22" s="156">
        <v>3.4000000000000002E-2</v>
      </c>
      <c r="AP22" s="156">
        <f t="shared" si="0"/>
        <v>99.536000000000016</v>
      </c>
    </row>
    <row r="23" spans="1:42" s="26" customFormat="1" x14ac:dyDescent="0.2">
      <c r="A23" s="9" t="s">
        <v>449</v>
      </c>
      <c r="B23" s="9" t="s">
        <v>450</v>
      </c>
      <c r="C23" s="9" t="s">
        <v>81</v>
      </c>
      <c r="D23" s="9" t="s">
        <v>85</v>
      </c>
      <c r="E23" s="154">
        <v>300168.86837461678</v>
      </c>
      <c r="F23" s="154">
        <v>303413.87476677413</v>
      </c>
      <c r="G23" s="154">
        <v>220.16392732108713</v>
      </c>
      <c r="H23" s="154">
        <v>88581.512506148036</v>
      </c>
      <c r="I23" s="154">
        <v>38.364217583170756</v>
      </c>
      <c r="J23" s="154">
        <v>1111.6418465060287</v>
      </c>
      <c r="K23" s="154">
        <v>540440</v>
      </c>
      <c r="L23" s="154">
        <v>547457.55244895234</v>
      </c>
      <c r="M23" s="154">
        <v>179.76124441107393</v>
      </c>
      <c r="N23" s="154">
        <v>0.5656743635831839</v>
      </c>
      <c r="O23" s="154">
        <v>0.15061057844552866</v>
      </c>
      <c r="P23" s="154">
        <v>1.5667869051148733</v>
      </c>
      <c r="Q23" s="154">
        <v>9.765777576065604</v>
      </c>
      <c r="R23" s="154">
        <v>6722.7818440507472</v>
      </c>
      <c r="S23" s="154">
        <v>303.56681768673872</v>
      </c>
      <c r="T23" s="154">
        <v>378.66496372243569</v>
      </c>
      <c r="U23" s="154">
        <v>376.83273813727089</v>
      </c>
      <c r="V23" s="154">
        <v>4.5715669130111991E-2</v>
      </c>
      <c r="W23" s="154">
        <v>30.690368093353811</v>
      </c>
      <c r="X23" s="154" t="s">
        <v>421</v>
      </c>
      <c r="Y23" s="154">
        <v>0.41822808608546919</v>
      </c>
      <c r="Z23" s="154">
        <v>302.27935681008245</v>
      </c>
      <c r="AC23" s="26" t="s">
        <v>421</v>
      </c>
      <c r="AD23" s="26" t="s">
        <v>421</v>
      </c>
      <c r="AE23" s="26" t="s">
        <v>421</v>
      </c>
      <c r="AF23" s="26" t="s">
        <v>421</v>
      </c>
      <c r="AG23" s="156">
        <v>0.69</v>
      </c>
      <c r="AH23" s="156">
        <v>33.201999999999998</v>
      </c>
      <c r="AI23" s="156">
        <v>5.0000000000000001E-3</v>
      </c>
      <c r="AJ23" s="156">
        <v>3.3000000000000002E-2</v>
      </c>
      <c r="AK23" s="156">
        <v>1.0999999999999999E-2</v>
      </c>
      <c r="AL23" s="156">
        <v>54.043999999999997</v>
      </c>
      <c r="AM23" s="156">
        <v>7.4999999999999997E-2</v>
      </c>
      <c r="AN23" s="156">
        <v>11.331</v>
      </c>
      <c r="AO23" s="156">
        <v>2.5000000000000001E-2</v>
      </c>
      <c r="AP23" s="156">
        <f t="shared" si="0"/>
        <v>99.416000000000011</v>
      </c>
    </row>
    <row r="24" spans="1:42" s="26" customFormat="1" x14ac:dyDescent="0.2">
      <c r="A24" s="9" t="s">
        <v>451</v>
      </c>
      <c r="B24" s="9" t="s">
        <v>452</v>
      </c>
      <c r="C24" s="9" t="s">
        <v>81</v>
      </c>
      <c r="D24" s="9" t="s">
        <v>85</v>
      </c>
      <c r="E24" s="154">
        <v>297803.48550918896</v>
      </c>
      <c r="F24" s="154">
        <v>298750.07592369319</v>
      </c>
      <c r="G24" s="154">
        <v>993.49882978310859</v>
      </c>
      <c r="H24" s="154">
        <v>90311.704423651157</v>
      </c>
      <c r="I24" s="154">
        <v>36.039231607197941</v>
      </c>
      <c r="J24" s="154">
        <v>798.17037272287143</v>
      </c>
      <c r="K24" s="154">
        <v>541700</v>
      </c>
      <c r="L24" s="154">
        <v>538351.84384776885</v>
      </c>
      <c r="M24" s="154">
        <v>36.703785965599344</v>
      </c>
      <c r="N24" s="154" t="s">
        <v>421</v>
      </c>
      <c r="O24" s="154">
        <v>0.15473955726657082</v>
      </c>
      <c r="P24" s="154">
        <v>1.6882556388997925</v>
      </c>
      <c r="Q24" s="154">
        <v>8.2807841391992802</v>
      </c>
      <c r="R24" s="154">
        <v>5949.6972040479031</v>
      </c>
      <c r="S24" s="154">
        <v>339.32873627348386</v>
      </c>
      <c r="T24" s="154">
        <v>245.55126723000819</v>
      </c>
      <c r="U24" s="154">
        <v>260.16284142629161</v>
      </c>
      <c r="V24" s="154">
        <v>6.2900241363464726E-2</v>
      </c>
      <c r="W24" s="154">
        <v>42.118332332348956</v>
      </c>
      <c r="X24" s="154">
        <v>3.7715627169390621E-2</v>
      </c>
      <c r="Y24" s="154">
        <v>0.99514064364855948</v>
      </c>
      <c r="Z24" s="154">
        <v>338.49386196490184</v>
      </c>
      <c r="AC24" s="26" t="s">
        <v>421</v>
      </c>
      <c r="AD24" s="26" t="s">
        <v>421</v>
      </c>
      <c r="AE24" s="26" t="s">
        <v>421</v>
      </c>
      <c r="AF24" s="26" t="s">
        <v>421</v>
      </c>
      <c r="AG24" s="156">
        <v>0.56000000000000005</v>
      </c>
      <c r="AH24" s="156">
        <v>33.442999999999998</v>
      </c>
      <c r="AI24" s="156" t="s">
        <v>421</v>
      </c>
      <c r="AJ24" s="156">
        <v>1.0999999999999999E-2</v>
      </c>
      <c r="AK24" s="156" t="s">
        <v>421</v>
      </c>
      <c r="AL24" s="156">
        <v>54.17</v>
      </c>
      <c r="AM24" s="156">
        <v>2.4E-2</v>
      </c>
      <c r="AN24" s="156">
        <v>11.351000000000001</v>
      </c>
      <c r="AO24" s="156">
        <v>0.152</v>
      </c>
      <c r="AP24" s="156">
        <f t="shared" si="0"/>
        <v>99.710999999999999</v>
      </c>
    </row>
    <row r="25" spans="1:42" s="26" customFormat="1" x14ac:dyDescent="0.2">
      <c r="A25" s="9" t="s">
        <v>453</v>
      </c>
      <c r="B25" s="9" t="s">
        <v>454</v>
      </c>
      <c r="C25" s="9" t="s">
        <v>81</v>
      </c>
      <c r="D25" s="9" t="s">
        <v>85</v>
      </c>
      <c r="E25" s="154">
        <v>304856.94663368928</v>
      </c>
      <c r="F25" s="154">
        <v>305451.73674778966</v>
      </c>
      <c r="G25" s="154">
        <v>1044.6259498768795</v>
      </c>
      <c r="H25" s="154">
        <v>89854.642933198833</v>
      </c>
      <c r="I25" s="154">
        <v>36.059288942729935</v>
      </c>
      <c r="J25" s="154">
        <v>1209.9743951800544</v>
      </c>
      <c r="K25" s="154">
        <v>540060</v>
      </c>
      <c r="L25" s="154">
        <v>545654.45677659381</v>
      </c>
      <c r="M25" s="154">
        <v>33.483148185983076</v>
      </c>
      <c r="N25" s="154">
        <v>0.37517734330140257</v>
      </c>
      <c r="O25" s="154">
        <v>0.22208217782325879</v>
      </c>
      <c r="P25" s="154" t="s">
        <v>421</v>
      </c>
      <c r="Q25" s="154">
        <v>5.7622665657634258</v>
      </c>
      <c r="R25" s="154">
        <v>7066.9320292705488</v>
      </c>
      <c r="S25" s="154">
        <v>424.1829767207995</v>
      </c>
      <c r="T25" s="154">
        <v>112.98291088552479</v>
      </c>
      <c r="U25" s="154">
        <v>110.90553174879217</v>
      </c>
      <c r="V25" s="154">
        <v>5.613744315165959E-2</v>
      </c>
      <c r="W25" s="154">
        <v>30.052625729800116</v>
      </c>
      <c r="X25" s="154" t="s">
        <v>421</v>
      </c>
      <c r="Y25" s="154">
        <v>0.11588361883766017</v>
      </c>
      <c r="Z25" s="154">
        <v>423.7988348237887</v>
      </c>
      <c r="AC25" s="26" t="s">
        <v>421</v>
      </c>
      <c r="AD25" s="26" t="s">
        <v>421</v>
      </c>
      <c r="AE25" s="26" t="s">
        <v>421</v>
      </c>
      <c r="AF25" s="26" t="s">
        <v>421</v>
      </c>
      <c r="AG25" s="156">
        <v>0.47599999999999998</v>
      </c>
      <c r="AH25" s="156">
        <v>33.531999999999996</v>
      </c>
      <c r="AI25" s="156" t="s">
        <v>421</v>
      </c>
      <c r="AJ25" s="156">
        <v>3.6999999999999998E-2</v>
      </c>
      <c r="AK25" s="156">
        <v>2E-3</v>
      </c>
      <c r="AL25" s="156">
        <v>54.006</v>
      </c>
      <c r="AM25" s="156">
        <v>7.3999999999999996E-2</v>
      </c>
      <c r="AN25" s="156">
        <v>11.124000000000001</v>
      </c>
      <c r="AO25" s="156">
        <v>0.14399999999999999</v>
      </c>
      <c r="AP25" s="156">
        <f t="shared" si="0"/>
        <v>99.394999999999996</v>
      </c>
    </row>
    <row r="26" spans="1:42" s="26" customFormat="1" x14ac:dyDescent="0.2">
      <c r="A26" s="9" t="s">
        <v>455</v>
      </c>
      <c r="B26" s="9" t="s">
        <v>456</v>
      </c>
      <c r="C26" s="9" t="s">
        <v>81</v>
      </c>
      <c r="D26" s="9" t="s">
        <v>85</v>
      </c>
      <c r="E26" s="154">
        <v>307576.38181519829</v>
      </c>
      <c r="F26" s="154">
        <v>308061.3214354688</v>
      </c>
      <c r="G26" s="154">
        <v>218.97343461690718</v>
      </c>
      <c r="H26" s="154">
        <v>89830.905223041133</v>
      </c>
      <c r="I26" s="154">
        <v>38.15797710075126</v>
      </c>
      <c r="J26" s="154">
        <v>652.37201783296484</v>
      </c>
      <c r="K26" s="154">
        <v>541540</v>
      </c>
      <c r="L26" s="154">
        <v>546233.20610264561</v>
      </c>
      <c r="M26" s="154">
        <v>166.8272771034292</v>
      </c>
      <c r="N26" s="154">
        <v>0.25093002988073931</v>
      </c>
      <c r="O26" s="154">
        <v>0.13549406945577583</v>
      </c>
      <c r="P26" s="154" t="s">
        <v>421</v>
      </c>
      <c r="Q26" s="154">
        <v>5.09385594980135</v>
      </c>
      <c r="R26" s="154">
        <v>7836.0596974284035</v>
      </c>
      <c r="S26" s="154">
        <v>197.79783283782371</v>
      </c>
      <c r="T26" s="154">
        <v>211.21164370645246</v>
      </c>
      <c r="U26" s="154">
        <v>209.50063243403227</v>
      </c>
      <c r="V26" s="154" t="s">
        <v>421</v>
      </c>
      <c r="W26" s="154">
        <v>31.31262541582127</v>
      </c>
      <c r="X26" s="154" t="s">
        <v>421</v>
      </c>
      <c r="Y26" s="154">
        <v>0.10442212423686488</v>
      </c>
      <c r="Z26" s="154">
        <v>197.07971324922175</v>
      </c>
      <c r="AC26" s="26" t="s">
        <v>421</v>
      </c>
      <c r="AD26" s="26" t="s">
        <v>421</v>
      </c>
      <c r="AE26" s="26" t="s">
        <v>421</v>
      </c>
      <c r="AF26" s="26" t="s">
        <v>421</v>
      </c>
      <c r="AG26" s="156">
        <v>0.58499999999999996</v>
      </c>
      <c r="AH26" s="156">
        <v>33.243000000000002</v>
      </c>
      <c r="AI26" s="156">
        <v>2.8000000000000001E-2</v>
      </c>
      <c r="AJ26" s="156">
        <v>2.7E-2</v>
      </c>
      <c r="AK26" s="156" t="s">
        <v>421</v>
      </c>
      <c r="AL26" s="156">
        <v>54.154000000000003</v>
      </c>
      <c r="AM26" s="156">
        <v>9.2999999999999999E-2</v>
      </c>
      <c r="AN26" s="156">
        <v>11.372</v>
      </c>
      <c r="AO26" s="156">
        <v>3.3000000000000002E-2</v>
      </c>
      <c r="AP26" s="156">
        <f t="shared" si="0"/>
        <v>99.535000000000011</v>
      </c>
    </row>
    <row r="27" spans="1:42" s="26" customFormat="1" x14ac:dyDescent="0.2">
      <c r="A27" s="9" t="s">
        <v>457</v>
      </c>
      <c r="B27" s="9" t="s">
        <v>458</v>
      </c>
      <c r="C27" s="9" t="s">
        <v>81</v>
      </c>
      <c r="D27" s="9" t="s">
        <v>85</v>
      </c>
      <c r="E27" s="154">
        <v>301420.01268952526</v>
      </c>
      <c r="F27" s="154">
        <v>302045.63633696386</v>
      </c>
      <c r="G27" s="154">
        <v>263.23036304790111</v>
      </c>
      <c r="H27" s="154">
        <v>86418.784394756949</v>
      </c>
      <c r="I27" s="154">
        <v>36.28094239753316</v>
      </c>
      <c r="J27" s="154">
        <v>740.49965723539322</v>
      </c>
      <c r="K27" s="154">
        <v>540550</v>
      </c>
      <c r="L27" s="154">
        <v>546321.39983702532</v>
      </c>
      <c r="M27" s="154">
        <v>101.40578349775694</v>
      </c>
      <c r="N27" s="154">
        <v>0.25830988691379309</v>
      </c>
      <c r="O27" s="154">
        <v>0.1948029947296907</v>
      </c>
      <c r="P27" s="154" t="s">
        <v>421</v>
      </c>
      <c r="Q27" s="154">
        <v>8.1679195211902176</v>
      </c>
      <c r="R27" s="154">
        <v>5675.5695683007425</v>
      </c>
      <c r="S27" s="154">
        <v>166.36799973008712</v>
      </c>
      <c r="T27" s="154">
        <v>230.97722614502786</v>
      </c>
      <c r="U27" s="154">
        <v>225.93466506860491</v>
      </c>
      <c r="V27" s="154">
        <v>0.5467305658391286</v>
      </c>
      <c r="W27" s="154">
        <v>20.752699048757972</v>
      </c>
      <c r="X27" s="154" t="s">
        <v>421</v>
      </c>
      <c r="Y27" s="154">
        <v>0.85364733285139793</v>
      </c>
      <c r="Z27" s="154">
        <v>165.58267716119403</v>
      </c>
      <c r="AC27" s="26" t="s">
        <v>421</v>
      </c>
      <c r="AD27" s="26" t="s">
        <v>421</v>
      </c>
      <c r="AE27" s="26" t="s">
        <v>421</v>
      </c>
      <c r="AF27" s="26" t="s">
        <v>421</v>
      </c>
      <c r="AG27" s="156">
        <v>0.625</v>
      </c>
      <c r="AH27" s="156">
        <v>33.567</v>
      </c>
      <c r="AI27" s="156">
        <v>4.9000000000000002E-2</v>
      </c>
      <c r="AJ27" s="156">
        <v>5.0000000000000001E-3</v>
      </c>
      <c r="AK27" s="156">
        <v>3.0000000000000001E-3</v>
      </c>
      <c r="AL27" s="156">
        <v>54.055</v>
      </c>
      <c r="AM27" s="156">
        <v>7.2999999999999995E-2</v>
      </c>
      <c r="AN27" s="156">
        <v>11.347</v>
      </c>
      <c r="AO27" s="156">
        <v>3.3000000000000002E-2</v>
      </c>
      <c r="AP27" s="156">
        <f t="shared" si="0"/>
        <v>99.756999999999991</v>
      </c>
    </row>
    <row r="28" spans="1:42" s="26" customFormat="1" x14ac:dyDescent="0.2">
      <c r="A28" s="9" t="s">
        <v>459</v>
      </c>
      <c r="B28" s="9" t="s">
        <v>460</v>
      </c>
      <c r="C28" s="9" t="s">
        <v>81</v>
      </c>
      <c r="D28" s="9" t="s">
        <v>86</v>
      </c>
      <c r="E28" s="154">
        <v>302533.58448520862</v>
      </c>
      <c r="F28" s="154">
        <v>303537.11034856894</v>
      </c>
      <c r="G28" s="154">
        <v>1944.1516656618144</v>
      </c>
      <c r="H28" s="154">
        <v>97839.498332930787</v>
      </c>
      <c r="I28" s="154">
        <v>9.9363732633246313E-2</v>
      </c>
      <c r="J28" s="154">
        <v>4121.1053552958774</v>
      </c>
      <c r="K28" s="154">
        <v>524370</v>
      </c>
      <c r="L28" s="154">
        <v>524832.76589328283</v>
      </c>
      <c r="M28" s="154">
        <v>29.252422435356042</v>
      </c>
      <c r="N28" s="154">
        <v>0.43848558486676514</v>
      </c>
      <c r="O28" s="154">
        <v>0.12732150637598458</v>
      </c>
      <c r="P28" s="154">
        <v>0.77985516584282655</v>
      </c>
      <c r="Q28" s="154">
        <v>52.967502266770133</v>
      </c>
      <c r="R28" s="154">
        <v>5548.4670867036057</v>
      </c>
      <c r="S28" s="154">
        <v>1841.8628620473817</v>
      </c>
      <c r="T28" s="154">
        <v>1917.3549333285794</v>
      </c>
      <c r="U28" s="154">
        <v>2676.6608450482663</v>
      </c>
      <c r="V28" s="154">
        <v>4.8095099578834039E-2</v>
      </c>
      <c r="W28" s="154">
        <v>9.0135231202554422</v>
      </c>
      <c r="X28" s="154" t="s">
        <v>421</v>
      </c>
      <c r="Y28" s="154">
        <v>0.1931776501731757</v>
      </c>
      <c r="Z28" s="154">
        <v>1835.3438552740645</v>
      </c>
      <c r="AC28" s="26" t="s">
        <v>421</v>
      </c>
      <c r="AD28" s="26" t="s">
        <v>421</v>
      </c>
      <c r="AE28" s="26" t="s">
        <v>421</v>
      </c>
      <c r="AF28" s="26" t="s">
        <v>421</v>
      </c>
      <c r="AG28" s="156">
        <v>0.55700000000000005</v>
      </c>
      <c r="AH28" s="156">
        <v>33.265000000000001</v>
      </c>
      <c r="AI28" s="156">
        <v>0.17399999999999999</v>
      </c>
      <c r="AJ28" s="156">
        <v>0.34799999999999998</v>
      </c>
      <c r="AK28" s="156">
        <v>4.0000000000000001E-3</v>
      </c>
      <c r="AL28" s="156">
        <v>52.436999999999998</v>
      </c>
      <c r="AM28" s="156">
        <v>0.42899999999999999</v>
      </c>
      <c r="AN28" s="156">
        <v>12.253</v>
      </c>
      <c r="AO28" s="156">
        <v>0.35299999999999998</v>
      </c>
      <c r="AP28" s="156">
        <f t="shared" si="0"/>
        <v>99.82</v>
      </c>
    </row>
    <row r="29" spans="1:42" s="26" customFormat="1" x14ac:dyDescent="0.2">
      <c r="A29" s="9" t="s">
        <v>461</v>
      </c>
      <c r="B29" s="9" t="s">
        <v>462</v>
      </c>
      <c r="C29" s="9" t="s">
        <v>81</v>
      </c>
      <c r="D29" s="9" t="s">
        <v>86</v>
      </c>
      <c r="E29" s="154">
        <v>293982.84128314839</v>
      </c>
      <c r="F29" s="154">
        <v>296791.94900216541</v>
      </c>
      <c r="G29" s="154">
        <v>2196.8652848773099</v>
      </c>
      <c r="H29" s="154">
        <v>100079.03582922768</v>
      </c>
      <c r="I29" s="154">
        <v>8.3134332604344177E-2</v>
      </c>
      <c r="J29" s="154">
        <v>3453.9981133868087</v>
      </c>
      <c r="K29" s="154">
        <v>515760</v>
      </c>
      <c r="L29" s="154">
        <v>515218.65280416992</v>
      </c>
      <c r="M29" s="154">
        <v>28.637317344477196</v>
      </c>
      <c r="N29" s="154">
        <v>0.89806164154308332</v>
      </c>
      <c r="O29" s="154">
        <v>0.2021841078847155</v>
      </c>
      <c r="P29" s="154" t="s">
        <v>421</v>
      </c>
      <c r="Q29" s="154">
        <v>42.213925819486313</v>
      </c>
      <c r="R29" s="154">
        <v>5705.9724636875653</v>
      </c>
      <c r="S29" s="154">
        <v>1645.6306110846374</v>
      </c>
      <c r="T29" s="154">
        <v>1542.7666968399963</v>
      </c>
      <c r="U29" s="154">
        <v>2047.6288480723856</v>
      </c>
      <c r="V29" s="154" t="s">
        <v>421</v>
      </c>
      <c r="W29" s="154">
        <v>7.7474506104082925</v>
      </c>
      <c r="X29" s="154" t="s">
        <v>421</v>
      </c>
      <c r="Y29" s="154">
        <v>0.35568800868972483</v>
      </c>
      <c r="Z29" s="154">
        <v>1640.3852043153813</v>
      </c>
      <c r="AC29" s="26" t="s">
        <v>421</v>
      </c>
      <c r="AD29" s="26" t="s">
        <v>421</v>
      </c>
      <c r="AE29" s="26" t="s">
        <v>421</v>
      </c>
      <c r="AF29" s="26" t="s">
        <v>421</v>
      </c>
      <c r="AG29" s="156">
        <v>0.42299999999999999</v>
      </c>
      <c r="AH29" s="156">
        <v>33.277999999999999</v>
      </c>
      <c r="AI29" s="156">
        <v>0.21299999999999999</v>
      </c>
      <c r="AJ29" s="156">
        <v>0.35399999999999998</v>
      </c>
      <c r="AK29" s="156" t="s">
        <v>421</v>
      </c>
      <c r="AL29" s="156">
        <v>51.576000000000001</v>
      </c>
      <c r="AM29" s="156">
        <v>0.45500000000000002</v>
      </c>
      <c r="AN29" s="156">
        <v>12.786</v>
      </c>
      <c r="AO29" s="156">
        <v>0.41099999999999998</v>
      </c>
      <c r="AP29" s="156">
        <f t="shared" si="0"/>
        <v>99.495999999999995</v>
      </c>
    </row>
    <row r="30" spans="1:42" s="26" customFormat="1" x14ac:dyDescent="0.2">
      <c r="A30" s="9" t="s">
        <v>463</v>
      </c>
      <c r="B30" s="9" t="s">
        <v>464</v>
      </c>
      <c r="C30" s="9" t="s">
        <v>81</v>
      </c>
      <c r="D30" s="9" t="s">
        <v>86</v>
      </c>
      <c r="E30" s="154">
        <v>295521.95993821544</v>
      </c>
      <c r="F30" s="154">
        <v>291545.71337885968</v>
      </c>
      <c r="G30" s="154">
        <v>1422.1804873089284</v>
      </c>
      <c r="H30" s="154">
        <v>98080.745363482085</v>
      </c>
      <c r="I30" s="154">
        <v>0.10914051325405705</v>
      </c>
      <c r="J30" s="154">
        <v>2385.826302176733</v>
      </c>
      <c r="K30" s="154">
        <v>522370</v>
      </c>
      <c r="L30" s="154">
        <v>523895.15260879573</v>
      </c>
      <c r="M30" s="154">
        <v>29.619109655262072</v>
      </c>
      <c r="N30" s="154" t="s">
        <v>421</v>
      </c>
      <c r="O30" s="154" t="s">
        <v>421</v>
      </c>
      <c r="P30" s="154" t="s">
        <v>421</v>
      </c>
      <c r="Q30" s="154">
        <v>21.602023088349117</v>
      </c>
      <c r="R30" s="154">
        <v>6252.8985960901682</v>
      </c>
      <c r="S30" s="154">
        <v>1510.6147268291952</v>
      </c>
      <c r="T30" s="154">
        <v>780.89832409870974</v>
      </c>
      <c r="U30" s="154">
        <v>776.80067102207863</v>
      </c>
      <c r="V30" s="154">
        <v>3.9452875699529391E-2</v>
      </c>
      <c r="W30" s="154">
        <v>12.328936044439343</v>
      </c>
      <c r="X30" s="154" t="s">
        <v>421</v>
      </c>
      <c r="Y30" s="154">
        <v>0.20122664406176802</v>
      </c>
      <c r="Z30" s="154">
        <v>1507.9596725272595</v>
      </c>
      <c r="AC30" s="26" t="s">
        <v>421</v>
      </c>
      <c r="AD30" s="26" t="s">
        <v>421</v>
      </c>
      <c r="AE30" s="26" t="s">
        <v>421</v>
      </c>
      <c r="AF30" s="26" t="s">
        <v>421</v>
      </c>
      <c r="AG30" s="156">
        <v>0.43099999999999999</v>
      </c>
      <c r="AH30" s="156">
        <v>33.159999999999997</v>
      </c>
      <c r="AI30" s="156">
        <v>3.3000000000000002E-2</v>
      </c>
      <c r="AJ30" s="156">
        <v>0.26300000000000001</v>
      </c>
      <c r="AK30" s="156" t="s">
        <v>421</v>
      </c>
      <c r="AL30" s="156">
        <v>52.237000000000002</v>
      </c>
      <c r="AM30" s="156">
        <v>0.23100000000000001</v>
      </c>
      <c r="AN30" s="156">
        <v>12.574</v>
      </c>
      <c r="AO30" s="156">
        <v>0.245</v>
      </c>
      <c r="AP30" s="156">
        <f t="shared" si="0"/>
        <v>99.173999999999992</v>
      </c>
    </row>
    <row r="31" spans="1:42" s="26" customFormat="1" x14ac:dyDescent="0.2">
      <c r="A31" s="9" t="s">
        <v>465</v>
      </c>
      <c r="B31" s="9" t="s">
        <v>466</v>
      </c>
      <c r="C31" s="9" t="s">
        <v>81</v>
      </c>
      <c r="D31" s="9" t="s">
        <v>86</v>
      </c>
      <c r="E31" s="154">
        <v>290982.3187015453</v>
      </c>
      <c r="F31" s="154">
        <v>292550.61904950155</v>
      </c>
      <c r="G31" s="154">
        <v>1169.3494721970524</v>
      </c>
      <c r="H31" s="154">
        <v>98417.163381806953</v>
      </c>
      <c r="I31" s="154">
        <v>7.5394672099941051E-2</v>
      </c>
      <c r="J31" s="154">
        <v>1949.2391619683842</v>
      </c>
      <c r="K31" s="154">
        <v>524760</v>
      </c>
      <c r="L31" s="154">
        <v>521266.81574818637</v>
      </c>
      <c r="M31" s="154">
        <v>30.266815741337712</v>
      </c>
      <c r="N31" s="154">
        <v>0.26373723985560543</v>
      </c>
      <c r="O31" s="154" t="s">
        <v>421</v>
      </c>
      <c r="P31" s="154" t="s">
        <v>421</v>
      </c>
      <c r="Q31" s="154">
        <v>15.227274420969284</v>
      </c>
      <c r="R31" s="154">
        <v>6109.4903619992765</v>
      </c>
      <c r="S31" s="154">
        <v>1145.6774176216984</v>
      </c>
      <c r="T31" s="154">
        <v>303.53111030701632</v>
      </c>
      <c r="U31" s="154">
        <v>295.92863411238403</v>
      </c>
      <c r="V31" s="154">
        <v>0.17707661456254881</v>
      </c>
      <c r="W31" s="154">
        <v>9.9415658334362362</v>
      </c>
      <c r="X31" s="154" t="s">
        <v>421</v>
      </c>
      <c r="Y31" s="154">
        <v>1.2534259484664947</v>
      </c>
      <c r="Z31" s="154">
        <v>1144.6454118466545</v>
      </c>
      <c r="AC31" s="26" t="s">
        <v>421</v>
      </c>
      <c r="AD31" s="26" t="s">
        <v>421</v>
      </c>
      <c r="AE31" s="26" t="s">
        <v>421</v>
      </c>
      <c r="AF31" s="26" t="s">
        <v>421</v>
      </c>
      <c r="AG31" s="156">
        <v>0.496</v>
      </c>
      <c r="AH31" s="156">
        <v>33.546999999999997</v>
      </c>
      <c r="AI31" s="156">
        <v>5.3999999999999999E-2</v>
      </c>
      <c r="AJ31" s="156">
        <v>0.214</v>
      </c>
      <c r="AK31" s="156">
        <v>1.4999999999999999E-2</v>
      </c>
      <c r="AL31" s="156">
        <v>52.475999999999999</v>
      </c>
      <c r="AM31" s="156">
        <v>0.24</v>
      </c>
      <c r="AN31" s="156">
        <v>12.722</v>
      </c>
      <c r="AO31" s="156">
        <v>0.19700000000000001</v>
      </c>
      <c r="AP31" s="156">
        <f t="shared" si="0"/>
        <v>99.960999999999984</v>
      </c>
    </row>
    <row r="32" spans="1:42" s="26" customFormat="1" x14ac:dyDescent="0.2">
      <c r="A32" s="9" t="s">
        <v>467</v>
      </c>
      <c r="B32" s="9" t="s">
        <v>468</v>
      </c>
      <c r="C32" s="9" t="s">
        <v>81</v>
      </c>
      <c r="D32" s="9" t="s">
        <v>86</v>
      </c>
      <c r="E32" s="154">
        <v>295394.42060343263</v>
      </c>
      <c r="F32" s="154">
        <v>299280.06461391918</v>
      </c>
      <c r="G32" s="154">
        <v>761.97678181325705</v>
      </c>
      <c r="H32" s="154">
        <v>102267.17666268261</v>
      </c>
      <c r="I32" s="154">
        <v>5.4248617214523627E-2</v>
      </c>
      <c r="J32" s="154">
        <v>1377.0010546400927</v>
      </c>
      <c r="K32" s="154">
        <v>523590</v>
      </c>
      <c r="L32" s="154">
        <v>529129.8335734586</v>
      </c>
      <c r="M32" s="154">
        <v>26.562434969434463</v>
      </c>
      <c r="N32" s="154" t="s">
        <v>421</v>
      </c>
      <c r="O32" s="154">
        <v>0.15347681535939336</v>
      </c>
      <c r="P32" s="154" t="s">
        <v>421</v>
      </c>
      <c r="Q32" s="154">
        <v>15.812891066949096</v>
      </c>
      <c r="R32" s="154">
        <v>5984.478976465226</v>
      </c>
      <c r="S32" s="154">
        <v>872.35054749706273</v>
      </c>
      <c r="T32" s="154">
        <v>145.12932537235699</v>
      </c>
      <c r="U32" s="154">
        <v>144.68434641312979</v>
      </c>
      <c r="V32" s="154" t="s">
        <v>421</v>
      </c>
      <c r="W32" s="154">
        <v>6.9732820199905721</v>
      </c>
      <c r="X32" s="154" t="s">
        <v>421</v>
      </c>
      <c r="Y32" s="154">
        <v>0.22772359409203249</v>
      </c>
      <c r="Z32" s="154">
        <v>871.8571077907967</v>
      </c>
      <c r="AC32" s="26" t="s">
        <v>421</v>
      </c>
      <c r="AD32" s="26" t="s">
        <v>421</v>
      </c>
      <c r="AE32" s="26" t="s">
        <v>421</v>
      </c>
      <c r="AF32" s="26" t="s">
        <v>421</v>
      </c>
      <c r="AG32" s="156">
        <v>0.42599999999999999</v>
      </c>
      <c r="AH32" s="156">
        <v>33.326999999999998</v>
      </c>
      <c r="AI32" s="156">
        <v>4.4999999999999998E-2</v>
      </c>
      <c r="AJ32" s="156">
        <v>0.16500000000000001</v>
      </c>
      <c r="AK32" s="156">
        <v>2E-3</v>
      </c>
      <c r="AL32" s="156">
        <v>52.359000000000002</v>
      </c>
      <c r="AM32" s="156">
        <v>0.15</v>
      </c>
      <c r="AN32" s="156">
        <v>13.018000000000001</v>
      </c>
      <c r="AO32" s="156">
        <v>0.11899999999999999</v>
      </c>
      <c r="AP32" s="156">
        <f t="shared" si="0"/>
        <v>99.611000000000018</v>
      </c>
    </row>
    <row r="33" spans="1:42" s="26" customFormat="1" x14ac:dyDescent="0.2">
      <c r="A33" s="9" t="s">
        <v>469</v>
      </c>
      <c r="B33" s="9" t="s">
        <v>470</v>
      </c>
      <c r="C33" s="9" t="s">
        <v>81</v>
      </c>
      <c r="D33" s="9" t="s">
        <v>86</v>
      </c>
      <c r="E33" s="154">
        <v>295052.61786902719</v>
      </c>
      <c r="F33" s="154">
        <v>295823.94590901851</v>
      </c>
      <c r="G33" s="154">
        <v>957.91791497564134</v>
      </c>
      <c r="H33" s="154">
        <v>100406.51962000792</v>
      </c>
      <c r="I33" s="154">
        <v>6.8611454387943679E-2</v>
      </c>
      <c r="J33" s="154">
        <v>2139.2987385628617</v>
      </c>
      <c r="K33" s="154">
        <v>526030</v>
      </c>
      <c r="L33" s="154">
        <v>526337.25268788915</v>
      </c>
      <c r="M33" s="154">
        <v>22.821674412217021</v>
      </c>
      <c r="N33" s="154" t="s">
        <v>421</v>
      </c>
      <c r="O33" s="154">
        <v>0.13370398784301923</v>
      </c>
      <c r="P33" s="154" t="s">
        <v>421</v>
      </c>
      <c r="Q33" s="154">
        <v>25.077541900560249</v>
      </c>
      <c r="R33" s="154">
        <v>5896.0882965996916</v>
      </c>
      <c r="S33" s="154">
        <v>1472.3038199391456</v>
      </c>
      <c r="T33" s="154">
        <v>755.77062843375302</v>
      </c>
      <c r="U33" s="154">
        <v>739.73331285120742</v>
      </c>
      <c r="V33" s="154">
        <v>0.29075548263921852</v>
      </c>
      <c r="W33" s="154">
        <v>7.6846569048101676</v>
      </c>
      <c r="X33" s="154" t="s">
        <v>421</v>
      </c>
      <c r="Y33" s="154">
        <v>1.4352537634602174</v>
      </c>
      <c r="Z33" s="154">
        <v>1469.7341998024708</v>
      </c>
      <c r="AC33" s="26" t="s">
        <v>421</v>
      </c>
      <c r="AD33" s="26" t="s">
        <v>421</v>
      </c>
      <c r="AE33" s="26" t="s">
        <v>421</v>
      </c>
      <c r="AF33" s="26" t="s">
        <v>421</v>
      </c>
      <c r="AG33" s="156">
        <v>0.438</v>
      </c>
      <c r="AH33" s="156">
        <v>33.143999999999998</v>
      </c>
      <c r="AI33" s="156">
        <v>7.6999999999999999E-2</v>
      </c>
      <c r="AJ33" s="156">
        <v>0.24299999999999999</v>
      </c>
      <c r="AK33" s="156" t="s">
        <v>421</v>
      </c>
      <c r="AL33" s="156">
        <v>52.603000000000002</v>
      </c>
      <c r="AM33" s="156">
        <v>0.24199999999999999</v>
      </c>
      <c r="AN33" s="156">
        <v>12.602</v>
      </c>
      <c r="AO33" s="156">
        <v>0.16200000000000001</v>
      </c>
      <c r="AP33" s="156">
        <f t="shared" si="0"/>
        <v>99.51100000000001</v>
      </c>
    </row>
    <row r="34" spans="1:42" s="26" customFormat="1" x14ac:dyDescent="0.2">
      <c r="A34" s="9" t="s">
        <v>471</v>
      </c>
      <c r="B34" s="9" t="s">
        <v>472</v>
      </c>
      <c r="C34" s="9" t="s">
        <v>81</v>
      </c>
      <c r="D34" s="9" t="s">
        <v>86</v>
      </c>
      <c r="E34" s="154">
        <v>290984.51267177484</v>
      </c>
      <c r="F34" s="154">
        <v>288835.72460575029</v>
      </c>
      <c r="G34" s="154">
        <v>739.83873761790119</v>
      </c>
      <c r="H34" s="154">
        <v>100650.23463593841</v>
      </c>
      <c r="I34" s="154">
        <v>5.6427070993391622E-2</v>
      </c>
      <c r="J34" s="154">
        <v>2280.1363567597009</v>
      </c>
      <c r="K34" s="154">
        <v>519560.00000000006</v>
      </c>
      <c r="L34" s="154">
        <v>517647.67390332703</v>
      </c>
      <c r="M34" s="154">
        <v>26.863373563244693</v>
      </c>
      <c r="N34" s="154">
        <v>0.27453517607943817</v>
      </c>
      <c r="O34" s="154">
        <v>0.1525733633442368</v>
      </c>
      <c r="P34" s="154" t="s">
        <v>421</v>
      </c>
      <c r="Q34" s="154">
        <v>24.522095001555872</v>
      </c>
      <c r="R34" s="154">
        <v>6577.3258694942251</v>
      </c>
      <c r="S34" s="154">
        <v>1265.2010850122149</v>
      </c>
      <c r="T34" s="154">
        <v>890.24383749136211</v>
      </c>
      <c r="U34" s="154">
        <v>804.70683346211308</v>
      </c>
      <c r="V34" s="154">
        <v>0.47031570495638758</v>
      </c>
      <c r="W34" s="154">
        <v>11.35442290128487</v>
      </c>
      <c r="X34" s="154" t="s">
        <v>421</v>
      </c>
      <c r="Y34" s="154">
        <v>2.7749582172418625</v>
      </c>
      <c r="Z34" s="154">
        <v>1262.1742559647444</v>
      </c>
      <c r="AC34" s="26" t="s">
        <v>421</v>
      </c>
      <c r="AD34" s="26" t="s">
        <v>421</v>
      </c>
      <c r="AE34" s="26" t="s">
        <v>421</v>
      </c>
      <c r="AF34" s="26" t="s">
        <v>421</v>
      </c>
      <c r="AG34" s="156">
        <v>0.46600000000000003</v>
      </c>
      <c r="AH34" s="156">
        <v>33.420999999999999</v>
      </c>
      <c r="AI34" s="156">
        <v>8.4000000000000005E-2</v>
      </c>
      <c r="AJ34" s="156">
        <v>0.26</v>
      </c>
      <c r="AK34" s="156">
        <v>1E-3</v>
      </c>
      <c r="AL34" s="156">
        <v>51.956000000000003</v>
      </c>
      <c r="AM34" s="156">
        <v>0.26</v>
      </c>
      <c r="AN34" s="156">
        <v>13.177</v>
      </c>
      <c r="AO34" s="156">
        <v>0.10199999999999999</v>
      </c>
      <c r="AP34" s="156">
        <f t="shared" si="0"/>
        <v>99.727000000000004</v>
      </c>
    </row>
    <row r="35" spans="1:42" s="26" customFormat="1" x14ac:dyDescent="0.2">
      <c r="A35" s="9" t="s">
        <v>473</v>
      </c>
      <c r="B35" s="9" t="s">
        <v>474</v>
      </c>
      <c r="C35" s="9" t="s">
        <v>81</v>
      </c>
      <c r="D35" s="9" t="s">
        <v>86</v>
      </c>
      <c r="E35" s="154">
        <v>292499.09528967272</v>
      </c>
      <c r="F35" s="154">
        <v>285589.82984393527</v>
      </c>
      <c r="G35" s="154">
        <v>2384.0016581397172</v>
      </c>
      <c r="H35" s="154">
        <v>98495.132202028719</v>
      </c>
      <c r="I35" s="154">
        <v>0.12189985039478092</v>
      </c>
      <c r="J35" s="154">
        <v>2306.3318992059189</v>
      </c>
      <c r="K35" s="154">
        <v>519110</v>
      </c>
      <c r="L35" s="154">
        <v>514621.90525976144</v>
      </c>
      <c r="M35" s="154">
        <v>33.682238309682276</v>
      </c>
      <c r="N35" s="154" t="s">
        <v>421</v>
      </c>
      <c r="O35" s="154">
        <v>0.17249586832814759</v>
      </c>
      <c r="P35" s="154" t="s">
        <v>421</v>
      </c>
      <c r="Q35" s="154">
        <v>22.997987055498495</v>
      </c>
      <c r="R35" s="154">
        <v>6120.8948420870884</v>
      </c>
      <c r="S35" s="154">
        <v>1291.2590428147412</v>
      </c>
      <c r="T35" s="154">
        <v>525.6417163088355</v>
      </c>
      <c r="U35" s="154">
        <v>512.28839187770325</v>
      </c>
      <c r="V35" s="154">
        <v>0.35412038758169062</v>
      </c>
      <c r="W35" s="154">
        <v>28.470532011394543</v>
      </c>
      <c r="X35" s="154">
        <v>2.0576881103939074E-2</v>
      </c>
      <c r="Y35" s="154">
        <v>2.3855728538400798</v>
      </c>
      <c r="Z35" s="154">
        <v>1289.4718609792913</v>
      </c>
      <c r="AC35" s="26" t="s">
        <v>421</v>
      </c>
      <c r="AD35" s="26" t="s">
        <v>421</v>
      </c>
      <c r="AE35" s="26" t="s">
        <v>421</v>
      </c>
      <c r="AF35" s="26" t="s">
        <v>421</v>
      </c>
      <c r="AG35" s="156">
        <v>0.433</v>
      </c>
      <c r="AH35" s="156">
        <v>33.554000000000002</v>
      </c>
      <c r="AI35" s="156">
        <v>5.8999999999999997E-2</v>
      </c>
      <c r="AJ35" s="156">
        <v>0.24299999999999999</v>
      </c>
      <c r="AK35" s="156">
        <v>4.0000000000000001E-3</v>
      </c>
      <c r="AL35" s="156">
        <v>51.911000000000001</v>
      </c>
      <c r="AM35" s="156">
        <v>0.222</v>
      </c>
      <c r="AN35" s="156">
        <v>12.821999999999999</v>
      </c>
      <c r="AO35" s="156">
        <v>0.43</v>
      </c>
      <c r="AP35" s="156">
        <f t="shared" si="0"/>
        <v>99.678000000000011</v>
      </c>
    </row>
    <row r="36" spans="1:42" x14ac:dyDescent="0.2">
      <c r="A36" s="9" t="s">
        <v>475</v>
      </c>
      <c r="B36" s="9" t="s">
        <v>476</v>
      </c>
      <c r="C36" s="9" t="s">
        <v>81</v>
      </c>
      <c r="D36" s="9" t="s">
        <v>86</v>
      </c>
      <c r="E36" s="154">
        <v>252349.94100256378</v>
      </c>
      <c r="F36" s="154">
        <v>252970.39807652251</v>
      </c>
      <c r="G36" s="154">
        <v>801.85150511491486</v>
      </c>
      <c r="H36" s="154">
        <v>86289.305703385384</v>
      </c>
      <c r="I36" s="154">
        <v>6.1533773376831281E-2</v>
      </c>
      <c r="J36" s="154">
        <v>2013.4629809368464</v>
      </c>
      <c r="K36" s="154">
        <v>458230</v>
      </c>
      <c r="L36" s="154">
        <v>458820.45310516562</v>
      </c>
      <c r="M36" s="154">
        <v>27.416651224487335</v>
      </c>
      <c r="N36" s="154">
        <v>0.23524649935510625</v>
      </c>
      <c r="O36" s="154" t="s">
        <v>421</v>
      </c>
      <c r="P36" s="154" t="s">
        <v>421</v>
      </c>
      <c r="Q36" s="154">
        <v>22.971063662892234</v>
      </c>
      <c r="R36" s="154">
        <v>5141.4617918870281</v>
      </c>
      <c r="S36" s="154">
        <v>1548.6228643955005</v>
      </c>
      <c r="T36" s="154">
        <v>676.35317652826177</v>
      </c>
      <c r="U36" s="154">
        <v>672.86349186923769</v>
      </c>
      <c r="V36" s="154" t="s">
        <v>421</v>
      </c>
      <c r="W36" s="154">
        <v>23.359563040851729</v>
      </c>
      <c r="X36" s="154" t="s">
        <v>421</v>
      </c>
      <c r="Y36" s="154">
        <v>0.33558538818126193</v>
      </c>
      <c r="Z36" s="154">
        <v>1546.3232635953045</v>
      </c>
      <c r="AC36" s="9" t="s">
        <v>421</v>
      </c>
      <c r="AD36" s="9" t="s">
        <v>421</v>
      </c>
      <c r="AE36" s="9" t="s">
        <v>421</v>
      </c>
      <c r="AF36" s="9" t="s">
        <v>421</v>
      </c>
      <c r="AG36" s="28">
        <v>0.31</v>
      </c>
      <c r="AH36" s="28">
        <v>33.54</v>
      </c>
      <c r="AI36" s="28">
        <v>6.3E-2</v>
      </c>
      <c r="AJ36" s="28">
        <v>0.30599999999999999</v>
      </c>
      <c r="AK36" s="28" t="s">
        <v>421</v>
      </c>
      <c r="AL36" s="28">
        <v>45.823</v>
      </c>
      <c r="AM36" s="28">
        <v>4.4379999999999997</v>
      </c>
      <c r="AN36" s="28">
        <v>14.798</v>
      </c>
      <c r="AO36" s="28">
        <v>0.128</v>
      </c>
      <c r="AP36" s="156">
        <f t="shared" si="0"/>
        <v>99.406000000000006</v>
      </c>
    </row>
    <row r="37" spans="1:42" x14ac:dyDescent="0.2">
      <c r="A37" s="9" t="s">
        <v>477</v>
      </c>
      <c r="B37" s="9" t="s">
        <v>478</v>
      </c>
      <c r="C37" s="9" t="s">
        <v>81</v>
      </c>
      <c r="D37" s="9" t="s">
        <v>86</v>
      </c>
      <c r="E37" s="154">
        <v>289599.71122771653</v>
      </c>
      <c r="F37" s="154">
        <v>287361.16109932138</v>
      </c>
      <c r="G37" s="154">
        <v>930.28029450483632</v>
      </c>
      <c r="H37" s="154">
        <v>100385.1258033597</v>
      </c>
      <c r="I37" s="154">
        <v>8.5987518550928316E-2</v>
      </c>
      <c r="J37" s="154">
        <v>2108.5467413575407</v>
      </c>
      <c r="K37" s="154">
        <v>517110</v>
      </c>
      <c r="L37" s="154">
        <v>513454.402424787</v>
      </c>
      <c r="M37" s="154">
        <v>30.794755745687187</v>
      </c>
      <c r="N37" s="154" t="s">
        <v>421</v>
      </c>
      <c r="O37" s="154">
        <v>0.31480323609884803</v>
      </c>
      <c r="P37" s="154" t="s">
        <v>421</v>
      </c>
      <c r="Q37" s="154">
        <v>22.560208488627062</v>
      </c>
      <c r="R37" s="154">
        <v>6600.047094912582</v>
      </c>
      <c r="S37" s="154">
        <v>1598.3530313020212</v>
      </c>
      <c r="T37" s="154">
        <v>691.03420145287407</v>
      </c>
      <c r="U37" s="154">
        <v>684.44906023141164</v>
      </c>
      <c r="V37" s="154">
        <v>8.2662934866078272E-2</v>
      </c>
      <c r="W37" s="154">
        <v>28.807992897031358</v>
      </c>
      <c r="X37" s="154">
        <v>1.7534230252863072E-2</v>
      </c>
      <c r="Y37" s="154">
        <v>0.59297711285782473</v>
      </c>
      <c r="Z37" s="154">
        <v>1596.0035150170816</v>
      </c>
      <c r="AC37" s="9" t="s">
        <v>421</v>
      </c>
      <c r="AD37" s="9" t="s">
        <v>421</v>
      </c>
      <c r="AE37" s="9" t="s">
        <v>421</v>
      </c>
      <c r="AF37" s="9" t="s">
        <v>421</v>
      </c>
      <c r="AG37" s="28">
        <v>0.44900000000000001</v>
      </c>
      <c r="AH37" s="28">
        <v>33.838000000000001</v>
      </c>
      <c r="AI37" s="28">
        <v>9.5000000000000001E-2</v>
      </c>
      <c r="AJ37" s="28">
        <v>0.313</v>
      </c>
      <c r="AK37" s="28">
        <v>4.0000000000000001E-3</v>
      </c>
      <c r="AL37" s="28">
        <v>51.710999999999999</v>
      </c>
      <c r="AM37" s="28">
        <v>0.38100000000000001</v>
      </c>
      <c r="AN37" s="28">
        <v>13.099</v>
      </c>
      <c r="AO37" s="28">
        <v>0.14799999999999999</v>
      </c>
      <c r="AP37" s="156">
        <f t="shared" si="0"/>
        <v>100.038</v>
      </c>
    </row>
    <row r="38" spans="1:42" x14ac:dyDescent="0.2">
      <c r="A38" s="9" t="s">
        <v>479</v>
      </c>
      <c r="B38" s="9" t="s">
        <v>480</v>
      </c>
      <c r="C38" s="9" t="s">
        <v>81</v>
      </c>
      <c r="D38" s="9" t="s">
        <v>86</v>
      </c>
      <c r="E38" s="154">
        <v>288652.41405650746</v>
      </c>
      <c r="F38" s="154">
        <v>293683.42388955632</v>
      </c>
      <c r="G38" s="154">
        <v>961.55731887885713</v>
      </c>
      <c r="H38" s="154">
        <v>102488.29282150547</v>
      </c>
      <c r="I38" s="154">
        <v>0.11679616369814913</v>
      </c>
      <c r="J38" s="154">
        <v>1804.907968141539</v>
      </c>
      <c r="K38" s="154">
        <v>520870.00000000006</v>
      </c>
      <c r="L38" s="154">
        <v>520992.0265106259</v>
      </c>
      <c r="M38" s="154">
        <v>24.779630874602507</v>
      </c>
      <c r="N38" s="154" t="s">
        <v>421</v>
      </c>
      <c r="O38" s="154">
        <v>0.22525768911300811</v>
      </c>
      <c r="P38" s="154" t="s">
        <v>421</v>
      </c>
      <c r="Q38" s="154">
        <v>13.163407702008055</v>
      </c>
      <c r="R38" s="154">
        <v>6640.5661096020795</v>
      </c>
      <c r="S38" s="154">
        <v>1129.5742694116364</v>
      </c>
      <c r="T38" s="154">
        <v>240.86721501284433</v>
      </c>
      <c r="U38" s="154">
        <v>242.00205134120665</v>
      </c>
      <c r="V38" s="154">
        <v>0.11653835064732139</v>
      </c>
      <c r="W38" s="154">
        <v>25.466663563757681</v>
      </c>
      <c r="X38" s="154" t="s">
        <v>421</v>
      </c>
      <c r="Y38" s="154">
        <v>0.45002110540601054</v>
      </c>
      <c r="Z38" s="154">
        <v>1128.7553208805928</v>
      </c>
      <c r="AC38" s="9" t="s">
        <v>421</v>
      </c>
      <c r="AD38" s="9" t="s">
        <v>421</v>
      </c>
      <c r="AE38" s="9" t="s">
        <v>421</v>
      </c>
      <c r="AF38" s="28">
        <v>8.0000000000000002E-3</v>
      </c>
      <c r="AG38" s="28">
        <v>0.40799999999999997</v>
      </c>
      <c r="AH38" s="28">
        <v>33.337000000000003</v>
      </c>
      <c r="AI38" s="28">
        <v>8.9999999999999993E-3</v>
      </c>
      <c r="AJ38" s="28">
        <v>0.19600000000000001</v>
      </c>
      <c r="AK38" s="28" t="s">
        <v>421</v>
      </c>
      <c r="AL38" s="28">
        <v>52.087000000000003</v>
      </c>
      <c r="AM38" s="28">
        <v>0.17299999999999999</v>
      </c>
      <c r="AN38" s="28">
        <v>13.153</v>
      </c>
      <c r="AO38" s="28">
        <v>0.152</v>
      </c>
      <c r="AP38" s="156">
        <f t="shared" si="0"/>
        <v>99.52300000000001</v>
      </c>
    </row>
    <row r="39" spans="1:42" x14ac:dyDescent="0.2">
      <c r="A39" s="9" t="s">
        <v>481</v>
      </c>
      <c r="B39" s="9" t="s">
        <v>482</v>
      </c>
      <c r="C39" s="9" t="s">
        <v>81</v>
      </c>
      <c r="D39" s="9" t="s">
        <v>86</v>
      </c>
      <c r="E39" s="154">
        <v>294798.9776117779</v>
      </c>
      <c r="F39" s="154">
        <v>297951.11099394585</v>
      </c>
      <c r="G39" s="154">
        <v>891.86941178273287</v>
      </c>
      <c r="H39" s="154">
        <v>101530.64818595239</v>
      </c>
      <c r="I39" s="154">
        <v>6.2691860721345208E-2</v>
      </c>
      <c r="J39" s="154">
        <v>1698.068940382658</v>
      </c>
      <c r="K39" s="154">
        <v>523600</v>
      </c>
      <c r="L39" s="154">
        <v>528506.29600242246</v>
      </c>
      <c r="M39" s="154">
        <v>34.759906670334928</v>
      </c>
      <c r="N39" s="154">
        <v>0.33974105714957575</v>
      </c>
      <c r="O39" s="154">
        <v>0.16708713502249023</v>
      </c>
      <c r="P39" s="154" t="s">
        <v>421</v>
      </c>
      <c r="Q39" s="154">
        <v>15.248258551387838</v>
      </c>
      <c r="R39" s="154">
        <v>6201.5352407312621</v>
      </c>
      <c r="S39" s="154">
        <v>677.28594795612094</v>
      </c>
      <c r="T39" s="154">
        <v>160.97395131415246</v>
      </c>
      <c r="U39" s="154">
        <v>157.65658048925593</v>
      </c>
      <c r="V39" s="154">
        <v>0.39437992608281747</v>
      </c>
      <c r="W39" s="154">
        <v>14.582916450044342</v>
      </c>
      <c r="X39" s="154" t="s">
        <v>421</v>
      </c>
      <c r="Y39" s="154">
        <v>3.8204742408545811</v>
      </c>
      <c r="Z39" s="154">
        <v>676.73863652165278</v>
      </c>
      <c r="AC39" s="9" t="s">
        <v>421</v>
      </c>
      <c r="AD39" s="9" t="s">
        <v>421</v>
      </c>
      <c r="AE39" s="9" t="s">
        <v>421</v>
      </c>
      <c r="AF39" s="28" t="s">
        <v>421</v>
      </c>
      <c r="AG39" s="28">
        <v>0.41</v>
      </c>
      <c r="AH39" s="28">
        <v>33.668999999999997</v>
      </c>
      <c r="AI39" s="28">
        <v>8.0000000000000002E-3</v>
      </c>
      <c r="AJ39" s="28">
        <v>0.13100000000000001</v>
      </c>
      <c r="AK39" s="28" t="s">
        <v>421</v>
      </c>
      <c r="AL39" s="28">
        <v>52.36</v>
      </c>
      <c r="AM39" s="28">
        <v>0.109</v>
      </c>
      <c r="AN39" s="28">
        <v>13.065</v>
      </c>
      <c r="AO39" s="28">
        <v>0.14299999999999999</v>
      </c>
      <c r="AP39" s="156">
        <f t="shared" si="0"/>
        <v>99.894999999999996</v>
      </c>
    </row>
    <row r="40" spans="1:42" x14ac:dyDescent="0.2">
      <c r="A40" s="9" t="s">
        <v>483</v>
      </c>
      <c r="B40" s="9" t="s">
        <v>484</v>
      </c>
      <c r="C40" s="9" t="s">
        <v>81</v>
      </c>
      <c r="D40" s="9" t="s">
        <v>86</v>
      </c>
      <c r="E40" s="154">
        <v>299590.60687440354</v>
      </c>
      <c r="F40" s="154">
        <v>298506.55299254443</v>
      </c>
      <c r="G40" s="154">
        <v>865.67489483907502</v>
      </c>
      <c r="H40" s="154">
        <v>102935.17142044869</v>
      </c>
      <c r="I40" s="154">
        <v>6.4518425005507946E-2</v>
      </c>
      <c r="J40" s="154">
        <v>1754.1808743518757</v>
      </c>
      <c r="K40" s="154">
        <v>521870</v>
      </c>
      <c r="L40" s="154">
        <v>518779.95238221262</v>
      </c>
      <c r="M40" s="154">
        <v>26.432132857113857</v>
      </c>
      <c r="N40" s="154">
        <v>0.26777572504765756</v>
      </c>
      <c r="O40" s="154">
        <v>0.14520282243594071</v>
      </c>
      <c r="P40" s="154" t="s">
        <v>421</v>
      </c>
      <c r="Q40" s="154">
        <v>12.895778055903643</v>
      </c>
      <c r="R40" s="154">
        <v>6063.0084012963525</v>
      </c>
      <c r="S40" s="154">
        <v>696.5139603762392</v>
      </c>
      <c r="T40" s="154">
        <v>798.14083473803464</v>
      </c>
      <c r="U40" s="154">
        <v>791.40138470746615</v>
      </c>
      <c r="V40" s="154">
        <v>0.11099154142544801</v>
      </c>
      <c r="W40" s="154">
        <v>13.524180019628483</v>
      </c>
      <c r="X40" s="154" t="s">
        <v>421</v>
      </c>
      <c r="Y40" s="154">
        <v>0.6715480244284795</v>
      </c>
      <c r="Z40" s="154">
        <v>693.80028153812987</v>
      </c>
      <c r="AC40" s="9" t="s">
        <v>421</v>
      </c>
      <c r="AD40" s="9" t="s">
        <v>421</v>
      </c>
      <c r="AE40" s="9" t="s">
        <v>421</v>
      </c>
      <c r="AF40" s="28" t="s">
        <v>421</v>
      </c>
      <c r="AG40" s="28">
        <v>0.39200000000000002</v>
      </c>
      <c r="AH40" s="28">
        <v>33.622</v>
      </c>
      <c r="AI40" s="28" t="s">
        <v>421</v>
      </c>
      <c r="AJ40" s="28">
        <v>0.13900000000000001</v>
      </c>
      <c r="AK40" s="28">
        <v>4.0000000000000001E-3</v>
      </c>
      <c r="AL40" s="28">
        <v>52.186999999999998</v>
      </c>
      <c r="AM40" s="28">
        <v>0.127</v>
      </c>
      <c r="AN40" s="28">
        <v>13.259</v>
      </c>
      <c r="AO40" s="28">
        <v>0.13900000000000001</v>
      </c>
      <c r="AP40" s="156">
        <f t="shared" si="0"/>
        <v>99.868999999999986</v>
      </c>
    </row>
    <row r="41" spans="1:42" x14ac:dyDescent="0.2">
      <c r="A41" s="9" t="s">
        <v>485</v>
      </c>
      <c r="B41" s="9" t="s">
        <v>486</v>
      </c>
      <c r="C41" s="9" t="s">
        <v>81</v>
      </c>
      <c r="D41" s="9" t="s">
        <v>87</v>
      </c>
      <c r="E41" s="154">
        <v>297164.75612027379</v>
      </c>
      <c r="F41" s="154">
        <v>295707.58302901761</v>
      </c>
      <c r="G41" s="154">
        <v>1719.0022895286936</v>
      </c>
      <c r="H41" s="154">
        <v>103662.89448617499</v>
      </c>
      <c r="I41" s="154">
        <v>55.879310966802059</v>
      </c>
      <c r="J41" s="154">
        <v>1610.4699720089875</v>
      </c>
      <c r="K41" s="154">
        <v>517500</v>
      </c>
      <c r="L41" s="154">
        <v>509640.29763525131</v>
      </c>
      <c r="M41" s="154">
        <v>0.41009209470572405</v>
      </c>
      <c r="N41" s="154" t="s">
        <v>421</v>
      </c>
      <c r="O41" s="154">
        <v>0.11248431350644057</v>
      </c>
      <c r="P41" s="154">
        <v>24.174990124442374</v>
      </c>
      <c r="Q41" s="154">
        <v>24.257703257164639</v>
      </c>
      <c r="R41" s="154">
        <v>7004.0045995382388</v>
      </c>
      <c r="S41" s="154">
        <v>1168.9338796337856</v>
      </c>
      <c r="T41" s="154">
        <v>51.801774645238268</v>
      </c>
      <c r="U41" s="154">
        <v>52.891355286693376</v>
      </c>
      <c r="V41" s="154">
        <v>0.83305003616989148</v>
      </c>
      <c r="W41" s="154">
        <v>10.299180853884215</v>
      </c>
      <c r="X41" s="154">
        <v>7.5212303550248619E-2</v>
      </c>
      <c r="Y41" s="154">
        <v>1.6620479302552742</v>
      </c>
      <c r="Z41" s="154">
        <v>1168.7577535999919</v>
      </c>
      <c r="AC41" s="9" t="s">
        <v>421</v>
      </c>
      <c r="AD41" s="9" t="s">
        <v>421</v>
      </c>
      <c r="AE41" s="9" t="s">
        <v>421</v>
      </c>
      <c r="AF41" s="28" t="s">
        <v>421</v>
      </c>
      <c r="AG41" s="28">
        <v>0.432</v>
      </c>
      <c r="AH41" s="28">
        <v>33.353999999999999</v>
      </c>
      <c r="AI41" s="28" t="s">
        <v>421</v>
      </c>
      <c r="AJ41" s="28">
        <v>0.19400000000000001</v>
      </c>
      <c r="AK41" s="28" t="s">
        <v>421</v>
      </c>
      <c r="AL41" s="28">
        <v>51.75</v>
      </c>
      <c r="AM41" s="28">
        <v>0.152</v>
      </c>
      <c r="AN41" s="28">
        <v>13.385999999999999</v>
      </c>
      <c r="AO41" s="28">
        <v>0.28399999999999997</v>
      </c>
      <c r="AP41" s="156">
        <f t="shared" si="0"/>
        <v>99.552000000000007</v>
      </c>
    </row>
    <row r="42" spans="1:42" x14ac:dyDescent="0.2">
      <c r="A42" s="9" t="s">
        <v>487</v>
      </c>
      <c r="B42" s="9" t="s">
        <v>488</v>
      </c>
      <c r="C42" s="9" t="s">
        <v>81</v>
      </c>
      <c r="D42" s="9" t="s">
        <v>87</v>
      </c>
      <c r="E42" s="154">
        <v>296432.20772745996</v>
      </c>
      <c r="F42" s="154">
        <v>294161.71390545991</v>
      </c>
      <c r="G42" s="154">
        <v>1216.0423058004337</v>
      </c>
      <c r="H42" s="154">
        <v>96210.429632043073</v>
      </c>
      <c r="I42" s="154">
        <v>0.48799720088421972</v>
      </c>
      <c r="J42" s="154">
        <v>312.80382798849718</v>
      </c>
      <c r="K42" s="154">
        <v>530910</v>
      </c>
      <c r="L42" s="154">
        <v>529181.77782527183</v>
      </c>
      <c r="M42" s="154">
        <v>9.7798731498792613</v>
      </c>
      <c r="N42" s="154" t="s">
        <v>421</v>
      </c>
      <c r="O42" s="154" t="s">
        <v>421</v>
      </c>
      <c r="P42" s="154" t="s">
        <v>421</v>
      </c>
      <c r="Q42" s="154">
        <v>5.6400869956627631</v>
      </c>
      <c r="R42" s="154">
        <v>6567.3842469107867</v>
      </c>
      <c r="S42" s="154">
        <v>244.07207933698012</v>
      </c>
      <c r="T42" s="154">
        <v>30.514317034258109</v>
      </c>
      <c r="U42" s="154">
        <v>29.391561454747201</v>
      </c>
      <c r="V42" s="154" t="s">
        <v>421</v>
      </c>
      <c r="W42" s="154">
        <v>8.8665366641169872</v>
      </c>
      <c r="X42" s="154" t="s">
        <v>421</v>
      </c>
      <c r="Y42" s="154">
        <v>1.1916479800399988</v>
      </c>
      <c r="Z42" s="154">
        <v>243.96833065906364</v>
      </c>
      <c r="AC42" s="9" t="s">
        <v>421</v>
      </c>
      <c r="AD42" s="9" t="s">
        <v>421</v>
      </c>
      <c r="AE42" s="9" t="s">
        <v>421</v>
      </c>
      <c r="AF42" s="28" t="s">
        <v>421</v>
      </c>
      <c r="AG42" s="28">
        <v>0.53500000000000003</v>
      </c>
      <c r="AH42" s="28">
        <v>33.470999999999997</v>
      </c>
      <c r="AI42" s="28">
        <v>3.0000000000000001E-3</v>
      </c>
      <c r="AJ42" s="28">
        <v>7.0000000000000001E-3</v>
      </c>
      <c r="AK42" s="28">
        <v>6.0000000000000001E-3</v>
      </c>
      <c r="AL42" s="28">
        <v>53.091000000000001</v>
      </c>
      <c r="AM42" s="28">
        <v>1.2999999999999999E-2</v>
      </c>
      <c r="AN42" s="28">
        <v>12.394</v>
      </c>
      <c r="AO42" s="28">
        <v>0.19</v>
      </c>
      <c r="AP42" s="156">
        <f t="shared" si="0"/>
        <v>99.710000000000008</v>
      </c>
    </row>
    <row r="43" spans="1:42" x14ac:dyDescent="0.2">
      <c r="A43" s="9" t="s">
        <v>489</v>
      </c>
      <c r="B43" s="9" t="s">
        <v>490</v>
      </c>
      <c r="C43" s="9" t="s">
        <v>81</v>
      </c>
      <c r="D43" s="9" t="s">
        <v>87</v>
      </c>
      <c r="E43" s="154">
        <v>295398.85243568337</v>
      </c>
      <c r="F43" s="154">
        <v>293737.32450747793</v>
      </c>
      <c r="G43" s="154">
        <v>1156.5431129930646</v>
      </c>
      <c r="H43" s="154">
        <v>93737.748728280843</v>
      </c>
      <c r="I43" s="154">
        <v>0.34517613961262467</v>
      </c>
      <c r="J43" s="154">
        <v>2270.2077653719662</v>
      </c>
      <c r="K43" s="154">
        <v>532010</v>
      </c>
      <c r="L43" s="154">
        <v>535288.04452530586</v>
      </c>
      <c r="M43" s="154">
        <v>12.484282120971459</v>
      </c>
      <c r="N43" s="154" t="s">
        <v>421</v>
      </c>
      <c r="O43" s="154">
        <v>0.1552578395555842</v>
      </c>
      <c r="P43" s="154" t="s">
        <v>421</v>
      </c>
      <c r="Q43" s="154">
        <v>17.760647673200921</v>
      </c>
      <c r="R43" s="154">
        <v>6482.7159493022773</v>
      </c>
      <c r="S43" s="154">
        <v>271.70119946519327</v>
      </c>
      <c r="T43" s="154">
        <v>70.014687229345355</v>
      </c>
      <c r="U43" s="154">
        <v>68.503546332143742</v>
      </c>
      <c r="V43" s="154">
        <v>0.28133107261562501</v>
      </c>
      <c r="W43" s="154">
        <v>9.4610954534946679</v>
      </c>
      <c r="X43" s="154">
        <v>1.9424046844687268E-2</v>
      </c>
      <c r="Y43" s="154">
        <v>4.6815913550497781</v>
      </c>
      <c r="Z43" s="154">
        <v>271.46314952861349</v>
      </c>
      <c r="AC43" s="9" t="s">
        <v>421</v>
      </c>
      <c r="AD43" s="9" t="s">
        <v>421</v>
      </c>
      <c r="AE43" s="9" t="s">
        <v>421</v>
      </c>
      <c r="AF43" s="28" t="s">
        <v>421</v>
      </c>
      <c r="AG43" s="28">
        <v>0.55400000000000005</v>
      </c>
      <c r="AH43" s="28">
        <v>33.110999999999997</v>
      </c>
      <c r="AI43" s="28">
        <v>1.7999999999999999E-2</v>
      </c>
      <c r="AJ43" s="28">
        <v>3.5000000000000003E-2</v>
      </c>
      <c r="AK43" s="28" t="s">
        <v>421</v>
      </c>
      <c r="AL43" s="28">
        <v>53.201000000000001</v>
      </c>
      <c r="AM43" s="28">
        <v>0.42499999999999999</v>
      </c>
      <c r="AN43" s="28">
        <v>11.936999999999999</v>
      </c>
      <c r="AO43" s="28">
        <v>0.187</v>
      </c>
      <c r="AP43" s="156">
        <f t="shared" si="0"/>
        <v>99.467999999999989</v>
      </c>
    </row>
    <row r="44" spans="1:42" x14ac:dyDescent="0.2">
      <c r="A44" s="9" t="s">
        <v>491</v>
      </c>
      <c r="B44" s="9" t="s">
        <v>492</v>
      </c>
      <c r="C44" s="9" t="s">
        <v>81</v>
      </c>
      <c r="D44" s="9" t="s">
        <v>87</v>
      </c>
      <c r="E44" s="154">
        <v>293957.31738269428</v>
      </c>
      <c r="F44" s="154">
        <v>291204.2148475094</v>
      </c>
      <c r="G44" s="154">
        <v>1081.0251053957047</v>
      </c>
      <c r="H44" s="154">
        <v>96269.910963668299</v>
      </c>
      <c r="I44" s="154">
        <v>0.43925840987902359</v>
      </c>
      <c r="J44" s="154">
        <v>1055.9878568417605</v>
      </c>
      <c r="K44" s="154">
        <v>529850</v>
      </c>
      <c r="L44" s="154">
        <v>525855.64058826014</v>
      </c>
      <c r="M44" s="154">
        <v>10.517594776538099</v>
      </c>
      <c r="N44" s="154" t="s">
        <v>421</v>
      </c>
      <c r="O44" s="154">
        <v>0.1644150536904268</v>
      </c>
      <c r="P44" s="154" t="s">
        <v>421</v>
      </c>
      <c r="Q44" s="154">
        <v>14.63236205491412</v>
      </c>
      <c r="R44" s="154">
        <v>7006.4662634607839</v>
      </c>
      <c r="S44" s="154">
        <v>424.37032230207336</v>
      </c>
      <c r="T44" s="154">
        <v>358.75651225748823</v>
      </c>
      <c r="U44" s="154">
        <v>349.13959611400765</v>
      </c>
      <c r="V44" s="154" t="s">
        <v>421</v>
      </c>
      <c r="W44" s="154">
        <v>26.490450837997749</v>
      </c>
      <c r="X44" s="154" t="s">
        <v>421</v>
      </c>
      <c r="Y44" s="154">
        <v>0.14044647395695428</v>
      </c>
      <c r="Z44" s="154">
        <v>423.15055016039793</v>
      </c>
      <c r="AC44" s="9" t="s">
        <v>421</v>
      </c>
      <c r="AD44" s="9" t="s">
        <v>421</v>
      </c>
      <c r="AE44" s="9" t="s">
        <v>421</v>
      </c>
      <c r="AF44" s="28" t="s">
        <v>421</v>
      </c>
      <c r="AG44" s="28">
        <v>0.52200000000000002</v>
      </c>
      <c r="AH44" s="28">
        <v>33.515999999999998</v>
      </c>
      <c r="AI44" s="28">
        <v>4.2000000000000003E-2</v>
      </c>
      <c r="AJ44" s="28">
        <v>7.9000000000000001E-2</v>
      </c>
      <c r="AK44" s="28" t="s">
        <v>421</v>
      </c>
      <c r="AL44" s="28">
        <v>52.984999999999999</v>
      </c>
      <c r="AM44" s="28">
        <v>0.10299999999999999</v>
      </c>
      <c r="AN44" s="28">
        <v>12.25</v>
      </c>
      <c r="AO44" s="28">
        <v>0.186</v>
      </c>
      <c r="AP44" s="156">
        <f t="shared" si="0"/>
        <v>99.683000000000007</v>
      </c>
    </row>
    <row r="45" spans="1:42" x14ac:dyDescent="0.2">
      <c r="A45" s="9" t="s">
        <v>493</v>
      </c>
      <c r="B45" s="9" t="s">
        <v>494</v>
      </c>
      <c r="C45" s="9" t="s">
        <v>81</v>
      </c>
      <c r="D45" s="9" t="s">
        <v>87</v>
      </c>
      <c r="E45" s="154">
        <v>293442.8680348355</v>
      </c>
      <c r="F45" s="154">
        <v>293685.0577407126</v>
      </c>
      <c r="G45" s="154">
        <v>1028.4383682287698</v>
      </c>
      <c r="H45" s="154">
        <v>94129.646111427341</v>
      </c>
      <c r="I45" s="154">
        <v>0.43671965637498378</v>
      </c>
      <c r="J45" s="154">
        <v>1382.3338546676259</v>
      </c>
      <c r="K45" s="154">
        <v>531030</v>
      </c>
      <c r="L45" s="154">
        <v>536804.01194837398</v>
      </c>
      <c r="M45" s="154">
        <v>9.3039816613190389</v>
      </c>
      <c r="N45" s="154" t="s">
        <v>421</v>
      </c>
      <c r="O45" s="154" t="s">
        <v>421</v>
      </c>
      <c r="P45" s="154" t="s">
        <v>421</v>
      </c>
      <c r="Q45" s="154">
        <v>15.09780249964955</v>
      </c>
      <c r="R45" s="154">
        <v>6603.1697360164335</v>
      </c>
      <c r="S45" s="154">
        <v>399.01219311739385</v>
      </c>
      <c r="T45" s="154">
        <v>551.6627081459784</v>
      </c>
      <c r="U45" s="154">
        <v>568.83074337777111</v>
      </c>
      <c r="V45" s="154">
        <v>0.63230244428044158</v>
      </c>
      <c r="W45" s="154">
        <v>26.28946989667401</v>
      </c>
      <c r="X45" s="154">
        <v>3.1611846575995937E-2</v>
      </c>
      <c r="Y45" s="154">
        <v>1.3510668897064779</v>
      </c>
      <c r="Z45" s="154">
        <v>397.13653990969755</v>
      </c>
      <c r="AC45" s="9" t="s">
        <v>421</v>
      </c>
      <c r="AD45" s="9" t="s">
        <v>421</v>
      </c>
      <c r="AE45" s="9" t="s">
        <v>421</v>
      </c>
      <c r="AF45" s="28" t="s">
        <v>421</v>
      </c>
      <c r="AG45" s="28">
        <v>0.51</v>
      </c>
      <c r="AH45" s="28">
        <v>33.262</v>
      </c>
      <c r="AI45" s="28">
        <v>2.5999999999999999E-2</v>
      </c>
      <c r="AJ45" s="28">
        <v>5.7000000000000002E-2</v>
      </c>
      <c r="AK45" s="28" t="s">
        <v>421</v>
      </c>
      <c r="AL45" s="28">
        <v>53.103000000000002</v>
      </c>
      <c r="AM45" s="28">
        <v>7.4999999999999997E-2</v>
      </c>
      <c r="AN45" s="28">
        <v>12.198</v>
      </c>
      <c r="AO45" s="28">
        <v>0.184</v>
      </c>
      <c r="AP45" s="156">
        <f t="shared" si="0"/>
        <v>99.414999999999992</v>
      </c>
    </row>
    <row r="46" spans="1:42" x14ac:dyDescent="0.2">
      <c r="A46" s="9" t="s">
        <v>495</v>
      </c>
      <c r="B46" s="9" t="s">
        <v>496</v>
      </c>
      <c r="C46" s="9" t="s">
        <v>81</v>
      </c>
      <c r="D46" s="9" t="s">
        <v>87</v>
      </c>
      <c r="E46" s="154">
        <v>288984.64550998376</v>
      </c>
      <c r="F46" s="154">
        <v>285104.17580724164</v>
      </c>
      <c r="G46" s="154">
        <v>1061.5359391884328</v>
      </c>
      <c r="H46" s="154">
        <v>92840.701991777896</v>
      </c>
      <c r="I46" s="154">
        <v>0.52229227457696958</v>
      </c>
      <c r="J46" s="154">
        <v>768.45836164326727</v>
      </c>
      <c r="K46" s="154">
        <v>529020</v>
      </c>
      <c r="L46" s="154">
        <v>528022.52097850374</v>
      </c>
      <c r="M46" s="154">
        <v>8.4444570584073588</v>
      </c>
      <c r="N46" s="154" t="s">
        <v>421</v>
      </c>
      <c r="O46" s="154">
        <v>0.18016729862990982</v>
      </c>
      <c r="P46" s="154" t="s">
        <v>421</v>
      </c>
      <c r="Q46" s="154">
        <v>10.180817724965221</v>
      </c>
      <c r="R46" s="154">
        <v>6274.6291157637133</v>
      </c>
      <c r="S46" s="154">
        <v>339.16424163115192</v>
      </c>
      <c r="T46" s="154">
        <v>320.28857640215386</v>
      </c>
      <c r="U46" s="154">
        <v>321.86969553624698</v>
      </c>
      <c r="V46" s="154" t="s">
        <v>421</v>
      </c>
      <c r="W46" s="154">
        <v>24.941714025735916</v>
      </c>
      <c r="X46" s="154" t="s">
        <v>421</v>
      </c>
      <c r="Y46" s="154">
        <v>0.18739597537206587</v>
      </c>
      <c r="Z46" s="154">
        <v>338.07526047138458</v>
      </c>
      <c r="AC46" s="9" t="s">
        <v>421</v>
      </c>
      <c r="AD46" s="9" t="s">
        <v>421</v>
      </c>
      <c r="AE46" s="9" t="s">
        <v>421</v>
      </c>
      <c r="AF46" s="28" t="s">
        <v>421</v>
      </c>
      <c r="AG46" s="28">
        <v>0.55600000000000005</v>
      </c>
      <c r="AH46" s="28">
        <v>33.35</v>
      </c>
      <c r="AI46" s="28">
        <v>2.9000000000000001E-2</v>
      </c>
      <c r="AJ46" s="28">
        <v>3.9E-2</v>
      </c>
      <c r="AK46" s="28" t="s">
        <v>421</v>
      </c>
      <c r="AL46" s="28">
        <v>52.902000000000001</v>
      </c>
      <c r="AM46" s="28">
        <v>8.6999999999999994E-2</v>
      </c>
      <c r="AN46" s="28">
        <v>12.119</v>
      </c>
      <c r="AO46" s="28">
        <v>0.189</v>
      </c>
      <c r="AP46" s="156">
        <f t="shared" si="0"/>
        <v>99.271000000000001</v>
      </c>
    </row>
    <row r="47" spans="1:42" x14ac:dyDescent="0.2">
      <c r="A47" s="9" t="s">
        <v>497</v>
      </c>
      <c r="B47" s="9" t="s">
        <v>498</v>
      </c>
      <c r="C47" s="9" t="s">
        <v>81</v>
      </c>
      <c r="D47" s="9" t="s">
        <v>87</v>
      </c>
      <c r="E47" s="154">
        <v>293812.13684977783</v>
      </c>
      <c r="F47" s="154">
        <v>289302.87398865953</v>
      </c>
      <c r="G47" s="154">
        <v>2965.6568200660809</v>
      </c>
      <c r="H47" s="154">
        <v>98109.604529939345</v>
      </c>
      <c r="I47" s="154">
        <v>6.841904949207084</v>
      </c>
      <c r="J47" s="154">
        <v>1037.971275861436</v>
      </c>
      <c r="K47" s="154">
        <v>524280</v>
      </c>
      <c r="L47" s="154">
        <v>527050.11173454346</v>
      </c>
      <c r="M47" s="154">
        <v>8.8477907550411636</v>
      </c>
      <c r="N47" s="154" t="s">
        <v>421</v>
      </c>
      <c r="O47" s="154">
        <v>0.16365959377336364</v>
      </c>
      <c r="P47" s="154">
        <v>0.989911379917357</v>
      </c>
      <c r="Q47" s="154">
        <v>22.370808871521426</v>
      </c>
      <c r="R47" s="154">
        <v>6861.073352034372</v>
      </c>
      <c r="S47" s="154">
        <v>348.2038597257349</v>
      </c>
      <c r="T47" s="154">
        <v>17.531304898162396</v>
      </c>
      <c r="U47" s="154">
        <v>18.217131094975269</v>
      </c>
      <c r="V47" s="154">
        <v>4.7931788498164554E-2</v>
      </c>
      <c r="W47" s="154">
        <v>11.845916095074397</v>
      </c>
      <c r="X47" s="154" t="s">
        <v>421</v>
      </c>
      <c r="Y47" s="154">
        <v>1.4192203191722024</v>
      </c>
      <c r="Z47" s="154">
        <v>348.14425328908112</v>
      </c>
      <c r="AC47" s="9" t="s">
        <v>421</v>
      </c>
      <c r="AD47" s="9" t="s">
        <v>421</v>
      </c>
      <c r="AE47" s="9" t="s">
        <v>421</v>
      </c>
      <c r="AF47" s="28" t="s">
        <v>421</v>
      </c>
      <c r="AG47" s="28">
        <v>0.48799999999999999</v>
      </c>
      <c r="AH47" s="28">
        <v>33.499000000000002</v>
      </c>
      <c r="AI47" s="28" t="s">
        <v>421</v>
      </c>
      <c r="AJ47" s="28">
        <v>0.04</v>
      </c>
      <c r="AK47" s="28" t="s">
        <v>421</v>
      </c>
      <c r="AL47" s="28">
        <v>52.427999999999997</v>
      </c>
      <c r="AM47" s="28">
        <v>0.23699999999999999</v>
      </c>
      <c r="AN47" s="28">
        <v>12.494</v>
      </c>
      <c r="AO47" s="28">
        <v>0.50800000000000001</v>
      </c>
      <c r="AP47" s="156">
        <f t="shared" si="0"/>
        <v>99.693999999999988</v>
      </c>
    </row>
    <row r="48" spans="1:42" x14ac:dyDescent="0.2">
      <c r="A48" s="9" t="s">
        <v>499</v>
      </c>
      <c r="B48" s="9" t="s">
        <v>500</v>
      </c>
      <c r="C48" s="9" t="s">
        <v>81</v>
      </c>
      <c r="D48" s="9" t="s">
        <v>88</v>
      </c>
      <c r="E48" s="154">
        <v>238587.54160567702</v>
      </c>
      <c r="F48" s="154">
        <v>239524.88690312239</v>
      </c>
      <c r="G48" s="154">
        <v>2987.3984226699149</v>
      </c>
      <c r="H48" s="154">
        <v>84151.710062671002</v>
      </c>
      <c r="I48" s="154">
        <v>1.2912788393035075</v>
      </c>
      <c r="J48" s="154">
        <v>660.00531192139351</v>
      </c>
      <c r="K48" s="154">
        <v>435120</v>
      </c>
      <c r="L48" s="154">
        <v>428225.78219277301</v>
      </c>
      <c r="M48" s="154">
        <v>7.02515415674275</v>
      </c>
      <c r="N48" s="154" t="s">
        <v>421</v>
      </c>
      <c r="O48" s="154">
        <v>0.12635189508272124</v>
      </c>
      <c r="P48" s="154" t="s">
        <v>421</v>
      </c>
      <c r="Q48" s="154">
        <v>5.4150255821635565</v>
      </c>
      <c r="R48" s="154">
        <v>5779.6063502873112</v>
      </c>
      <c r="S48" s="154">
        <v>487.6186899205494</v>
      </c>
      <c r="T48" s="154">
        <v>23.272796210365872</v>
      </c>
      <c r="U48" s="154">
        <v>21.452029842001021</v>
      </c>
      <c r="V48" s="154" t="s">
        <v>421</v>
      </c>
      <c r="W48" s="154">
        <v>8.9815778305153628</v>
      </c>
      <c r="X48" s="154">
        <v>1.5745627209371692E-2</v>
      </c>
      <c r="Y48" s="154">
        <v>0.12942059333730202</v>
      </c>
      <c r="Z48" s="154">
        <v>487.53956241343417</v>
      </c>
      <c r="AC48" s="28">
        <v>3.0000000000000001E-3</v>
      </c>
      <c r="AD48" s="9" t="s">
        <v>421</v>
      </c>
      <c r="AE48" s="9" t="s">
        <v>421</v>
      </c>
      <c r="AF48" s="28" t="s">
        <v>421</v>
      </c>
      <c r="AG48" s="28">
        <v>0.374</v>
      </c>
      <c r="AH48" s="28">
        <v>33.819000000000003</v>
      </c>
      <c r="AI48" s="28">
        <v>3.5999999999999997E-2</v>
      </c>
      <c r="AJ48" s="28">
        <v>0.11</v>
      </c>
      <c r="AK48" s="28">
        <v>1.4999999999999999E-2</v>
      </c>
      <c r="AL48" s="28">
        <v>43.512</v>
      </c>
      <c r="AM48" s="28">
        <v>5.3869999999999996</v>
      </c>
      <c r="AN48" s="28">
        <v>16.189</v>
      </c>
      <c r="AO48" s="28">
        <v>0.48199999999999998</v>
      </c>
      <c r="AP48" s="156">
        <f t="shared" si="0"/>
        <v>99.926999999999992</v>
      </c>
    </row>
    <row r="49" spans="1:42" x14ac:dyDescent="0.2">
      <c r="A49" s="9" t="s">
        <v>501</v>
      </c>
      <c r="B49" s="9" t="s">
        <v>502</v>
      </c>
      <c r="C49" s="9" t="s">
        <v>81</v>
      </c>
      <c r="D49" s="9" t="s">
        <v>88</v>
      </c>
      <c r="E49" s="154">
        <v>284908.98998131766</v>
      </c>
      <c r="F49" s="154">
        <v>285705.04189958394</v>
      </c>
      <c r="G49" s="154">
        <v>1053.407186457187</v>
      </c>
      <c r="H49" s="154">
        <v>105419.83292162792</v>
      </c>
      <c r="I49" s="154">
        <v>16.973587182602426</v>
      </c>
      <c r="J49" s="154">
        <v>2262.870759223711</v>
      </c>
      <c r="K49" s="154">
        <v>506770</v>
      </c>
      <c r="L49" s="154">
        <v>504015.88820681471</v>
      </c>
      <c r="M49" s="154">
        <v>4.2274971697459911</v>
      </c>
      <c r="N49" s="154">
        <v>0.31331337055585384</v>
      </c>
      <c r="O49" s="154">
        <v>0.15676132632388631</v>
      </c>
      <c r="P49" s="154">
        <v>196.75382730673442</v>
      </c>
      <c r="Q49" s="154">
        <v>33.410121139287341</v>
      </c>
      <c r="R49" s="154">
        <v>7109.1228800004365</v>
      </c>
      <c r="S49" s="154">
        <v>2406.4002059292216</v>
      </c>
      <c r="T49" s="154">
        <v>144.28383639689562</v>
      </c>
      <c r="U49" s="154">
        <v>134.53361334911065</v>
      </c>
      <c r="V49" s="154" t="s">
        <v>421</v>
      </c>
      <c r="W49" s="154">
        <v>16.849346208092516</v>
      </c>
      <c r="X49" s="154" t="s">
        <v>421</v>
      </c>
      <c r="Y49" s="154">
        <v>0.10758139645938787</v>
      </c>
      <c r="Z49" s="154">
        <v>2405.9096408854721</v>
      </c>
      <c r="AC49" s="28" t="s">
        <v>421</v>
      </c>
      <c r="AD49" s="9" t="s">
        <v>421</v>
      </c>
      <c r="AE49" s="9" t="s">
        <v>421</v>
      </c>
      <c r="AF49" s="28" t="s">
        <v>421</v>
      </c>
      <c r="AG49" s="28">
        <v>0.76200000000000001</v>
      </c>
      <c r="AH49" s="28">
        <v>33.520000000000003</v>
      </c>
      <c r="AI49" s="28">
        <v>7.0000000000000001E-3</v>
      </c>
      <c r="AJ49" s="28">
        <v>0.4</v>
      </c>
      <c r="AK49" s="28">
        <v>8.0000000000000002E-3</v>
      </c>
      <c r="AL49" s="28">
        <v>50.677</v>
      </c>
      <c r="AM49" s="28">
        <v>0.247</v>
      </c>
      <c r="AN49" s="28">
        <v>13.864000000000001</v>
      </c>
      <c r="AO49" s="28">
        <v>0.185</v>
      </c>
      <c r="AP49" s="156">
        <f t="shared" si="0"/>
        <v>99.67</v>
      </c>
    </row>
    <row r="50" spans="1:42" x14ac:dyDescent="0.2">
      <c r="A50" s="9" t="s">
        <v>503</v>
      </c>
      <c r="B50" s="9" t="s">
        <v>504</v>
      </c>
      <c r="C50" s="9" t="s">
        <v>81</v>
      </c>
      <c r="D50" s="9" t="s">
        <v>88</v>
      </c>
      <c r="E50" s="154">
        <v>290811.20031441242</v>
      </c>
      <c r="F50" s="154">
        <v>294658.07465049007</v>
      </c>
      <c r="G50" s="154">
        <v>4725.9889232142568</v>
      </c>
      <c r="H50" s="154">
        <v>104081.56350350982</v>
      </c>
      <c r="I50" s="154">
        <v>2.0510527807708097</v>
      </c>
      <c r="J50" s="154">
        <v>1074.1416736551009</v>
      </c>
      <c r="K50" s="154">
        <v>512819.99999999994</v>
      </c>
      <c r="L50" s="154">
        <v>508018.18519201112</v>
      </c>
      <c r="M50" s="154">
        <v>4.2725044968043431</v>
      </c>
      <c r="N50" s="154" t="s">
        <v>421</v>
      </c>
      <c r="O50" s="154">
        <v>0.11802418756769632</v>
      </c>
      <c r="P50" s="154">
        <v>0.59630225505919343</v>
      </c>
      <c r="Q50" s="154">
        <v>10.130935698169282</v>
      </c>
      <c r="R50" s="154">
        <v>6591.007933140856</v>
      </c>
      <c r="S50" s="154">
        <v>823.20199832763399</v>
      </c>
      <c r="T50" s="154">
        <v>18.085929511725301</v>
      </c>
      <c r="U50" s="154">
        <v>17.818990959409575</v>
      </c>
      <c r="V50" s="154" t="s">
        <v>421</v>
      </c>
      <c r="W50" s="154">
        <v>27.787473415520282</v>
      </c>
      <c r="X50" s="154" t="s">
        <v>421</v>
      </c>
      <c r="Y50" s="154">
        <v>0.19968293585740265</v>
      </c>
      <c r="Z50" s="154">
        <v>823.14050616729412</v>
      </c>
      <c r="AC50" s="28" t="s">
        <v>421</v>
      </c>
      <c r="AD50" s="9" t="s">
        <v>421</v>
      </c>
      <c r="AE50" s="9" t="s">
        <v>421</v>
      </c>
      <c r="AF50" s="28" t="s">
        <v>421</v>
      </c>
      <c r="AG50" s="28">
        <v>0.46600000000000003</v>
      </c>
      <c r="AH50" s="28">
        <v>33.545999999999999</v>
      </c>
      <c r="AI50" s="28" t="s">
        <v>421</v>
      </c>
      <c r="AJ50" s="28">
        <v>0.14399999999999999</v>
      </c>
      <c r="AK50" s="28" t="s">
        <v>421</v>
      </c>
      <c r="AL50" s="28">
        <v>51.281999999999996</v>
      </c>
      <c r="AM50" s="28">
        <v>9.7000000000000003E-2</v>
      </c>
      <c r="AN50" s="28">
        <v>13.353999999999999</v>
      </c>
      <c r="AO50" s="28">
        <v>0.74199999999999999</v>
      </c>
      <c r="AP50" s="156">
        <f t="shared" si="0"/>
        <v>99.630999999999986</v>
      </c>
    </row>
    <row r="51" spans="1:42" x14ac:dyDescent="0.2">
      <c r="A51" s="9" t="s">
        <v>505</v>
      </c>
      <c r="B51" s="9" t="s">
        <v>506</v>
      </c>
      <c r="C51" s="9" t="s">
        <v>81</v>
      </c>
      <c r="D51" s="9" t="s">
        <v>88</v>
      </c>
      <c r="E51" s="154">
        <v>289872.78233239456</v>
      </c>
      <c r="F51" s="154">
        <v>293030.06310353783</v>
      </c>
      <c r="G51" s="154">
        <v>4169.6072124377733</v>
      </c>
      <c r="H51" s="154">
        <v>99349.077319588803</v>
      </c>
      <c r="I51" s="154">
        <v>17.137432259646022</v>
      </c>
      <c r="J51" s="154">
        <v>1824.8579173470175</v>
      </c>
      <c r="K51" s="154">
        <v>519700</v>
      </c>
      <c r="L51" s="154">
        <v>522364.35591047857</v>
      </c>
      <c r="M51" s="154">
        <v>1.8199206560881576</v>
      </c>
      <c r="N51" s="154">
        <v>0.31680406180691112</v>
      </c>
      <c r="O51" s="154" t="s">
        <v>421</v>
      </c>
      <c r="P51" s="154">
        <v>10.724986060254313</v>
      </c>
      <c r="Q51" s="154">
        <v>7.8574289586712815</v>
      </c>
      <c r="R51" s="154">
        <v>5882.73963130021</v>
      </c>
      <c r="S51" s="154">
        <v>491.18651157731728</v>
      </c>
      <c r="T51" s="154">
        <v>6.8785815099101262</v>
      </c>
      <c r="U51" s="154">
        <v>7.9302879923543701</v>
      </c>
      <c r="V51" s="154">
        <v>0.23229988880608568</v>
      </c>
      <c r="W51" s="154">
        <v>13.275426228688262</v>
      </c>
      <c r="X51" s="154" t="s">
        <v>421</v>
      </c>
      <c r="Y51" s="154">
        <v>1.4075131680902069</v>
      </c>
      <c r="Z51" s="154">
        <v>491.16312440018356</v>
      </c>
      <c r="AC51" s="28" t="s">
        <v>421</v>
      </c>
      <c r="AD51" s="9" t="s">
        <v>421</v>
      </c>
      <c r="AE51" s="9" t="s">
        <v>421</v>
      </c>
      <c r="AF51" s="28" t="s">
        <v>421</v>
      </c>
      <c r="AG51" s="28">
        <v>0.58199999999999996</v>
      </c>
      <c r="AH51" s="28">
        <v>33.951999999999998</v>
      </c>
      <c r="AI51" s="28">
        <v>1E-3</v>
      </c>
      <c r="AJ51" s="28">
        <v>7.9000000000000001E-2</v>
      </c>
      <c r="AK51" s="28" t="s">
        <v>421</v>
      </c>
      <c r="AL51" s="28">
        <v>51.97</v>
      </c>
      <c r="AM51" s="28">
        <v>6.5000000000000002E-2</v>
      </c>
      <c r="AN51" s="28">
        <v>12.750999999999999</v>
      </c>
      <c r="AO51" s="28">
        <v>0.69499999999999995</v>
      </c>
      <c r="AP51" s="156">
        <f t="shared" si="0"/>
        <v>100.095</v>
      </c>
    </row>
    <row r="52" spans="1:42" x14ac:dyDescent="0.2">
      <c r="A52" s="9" t="s">
        <v>507</v>
      </c>
      <c r="B52" s="9" t="s">
        <v>508</v>
      </c>
      <c r="C52" s="9" t="s">
        <v>81</v>
      </c>
      <c r="D52" s="9" t="s">
        <v>88</v>
      </c>
      <c r="E52" s="154">
        <v>315115.86648780858</v>
      </c>
      <c r="F52" s="154">
        <v>310938.63919051172</v>
      </c>
      <c r="G52" s="154">
        <v>4108.5978207193484</v>
      </c>
      <c r="H52" s="154">
        <v>106951.63418606172</v>
      </c>
      <c r="I52" s="154">
        <v>17.151591890975133</v>
      </c>
      <c r="J52" s="154">
        <v>12081.921539930463</v>
      </c>
      <c r="K52" s="154">
        <v>521130</v>
      </c>
      <c r="L52" s="154">
        <v>518778.7761798416</v>
      </c>
      <c r="M52" s="154">
        <v>1.6446994248583193</v>
      </c>
      <c r="N52" s="154" t="s">
        <v>421</v>
      </c>
      <c r="O52" s="154">
        <v>0.1308363187616538</v>
      </c>
      <c r="P52" s="154">
        <v>11.08799908165949</v>
      </c>
      <c r="Q52" s="154">
        <v>15.036720893550166</v>
      </c>
      <c r="R52" s="154">
        <v>6832.721384458976</v>
      </c>
      <c r="S52" s="154">
        <v>440.56620159805323</v>
      </c>
      <c r="T52" s="154">
        <v>157.31838445529388</v>
      </c>
      <c r="U52" s="154">
        <v>155.0347874041602</v>
      </c>
      <c r="V52" s="154">
        <v>1.339296281216259</v>
      </c>
      <c r="W52" s="154">
        <v>8.9004770566781417</v>
      </c>
      <c r="X52" s="154">
        <v>2.3349574694013785E-2</v>
      </c>
      <c r="Y52" s="154">
        <v>5.7508808520798294</v>
      </c>
      <c r="Z52" s="154">
        <v>440.03131909090524</v>
      </c>
      <c r="AC52" s="28" t="s">
        <v>421</v>
      </c>
      <c r="AD52" s="9" t="s">
        <v>421</v>
      </c>
      <c r="AE52" s="9" t="s">
        <v>421</v>
      </c>
      <c r="AF52" s="28" t="s">
        <v>421</v>
      </c>
      <c r="AG52" s="28">
        <v>0.57299999999999995</v>
      </c>
      <c r="AH52" s="28">
        <v>33.758000000000003</v>
      </c>
      <c r="AI52" s="28" t="s">
        <v>421</v>
      </c>
      <c r="AJ52" s="28">
        <v>6.3E-2</v>
      </c>
      <c r="AK52" s="28" t="s">
        <v>421</v>
      </c>
      <c r="AL52" s="28">
        <v>52.113</v>
      </c>
      <c r="AM52" s="28">
        <v>0.10100000000000001</v>
      </c>
      <c r="AN52" s="28">
        <v>12.71</v>
      </c>
      <c r="AO52" s="28">
        <v>0.67600000000000005</v>
      </c>
      <c r="AP52" s="156">
        <f t="shared" si="0"/>
        <v>99.994000000000014</v>
      </c>
    </row>
    <row r="53" spans="1:42" x14ac:dyDescent="0.2">
      <c r="A53" s="9" t="s">
        <v>509</v>
      </c>
      <c r="B53" s="9" t="s">
        <v>510</v>
      </c>
      <c r="C53" s="9" t="s">
        <v>81</v>
      </c>
      <c r="D53" s="9" t="s">
        <v>88</v>
      </c>
      <c r="E53" s="154">
        <v>298376.91834211745</v>
      </c>
      <c r="F53" s="154">
        <v>294357.63538921787</v>
      </c>
      <c r="G53" s="154">
        <v>3321.8075668061883</v>
      </c>
      <c r="H53" s="154">
        <v>105445.26790512673</v>
      </c>
      <c r="I53" s="154">
        <v>3.8385915361626894</v>
      </c>
      <c r="J53" s="154">
        <v>2149.6837410482508</v>
      </c>
      <c r="K53" s="154">
        <v>509799.99999999994</v>
      </c>
      <c r="L53" s="154">
        <v>518488.66860912304</v>
      </c>
      <c r="M53" s="154">
        <v>6.3130106841977858</v>
      </c>
      <c r="N53" s="154" t="s">
        <v>421</v>
      </c>
      <c r="O53" s="154">
        <v>0.15525294910434431</v>
      </c>
      <c r="P53" s="154">
        <v>1.835745558757415</v>
      </c>
      <c r="Q53" s="154">
        <v>18.911332125386796</v>
      </c>
      <c r="R53" s="154">
        <v>5634.955792858028</v>
      </c>
      <c r="S53" s="154">
        <v>1584.0611295743381</v>
      </c>
      <c r="T53" s="154">
        <v>16.803947327989757</v>
      </c>
      <c r="U53" s="154">
        <v>16.968525623496397</v>
      </c>
      <c r="V53" s="154" t="s">
        <v>421</v>
      </c>
      <c r="W53" s="154">
        <v>9.4360980172013456</v>
      </c>
      <c r="X53" s="154" t="s">
        <v>421</v>
      </c>
      <c r="Y53" s="154">
        <v>0.15082569019583783</v>
      </c>
      <c r="Z53" s="154">
        <v>1584.003996153423</v>
      </c>
      <c r="AC53" s="28" t="s">
        <v>421</v>
      </c>
      <c r="AD53" s="9" t="s">
        <v>421</v>
      </c>
      <c r="AE53" s="9" t="s">
        <v>421</v>
      </c>
      <c r="AF53" s="28" t="s">
        <v>421</v>
      </c>
      <c r="AG53" s="28">
        <v>0.55900000000000005</v>
      </c>
      <c r="AH53" s="28">
        <v>33.923000000000002</v>
      </c>
      <c r="AI53" s="28" t="s">
        <v>421</v>
      </c>
      <c r="AJ53" s="28">
        <v>0.28499999999999998</v>
      </c>
      <c r="AK53" s="28">
        <v>6.0000000000000001E-3</v>
      </c>
      <c r="AL53" s="28">
        <v>50.98</v>
      </c>
      <c r="AM53" s="28">
        <v>0.19</v>
      </c>
      <c r="AN53" s="28">
        <v>13.503</v>
      </c>
      <c r="AO53" s="28">
        <v>0.53100000000000003</v>
      </c>
      <c r="AP53" s="156">
        <f t="shared" si="0"/>
        <v>99.97699999999999</v>
      </c>
    </row>
    <row r="54" spans="1:42" x14ac:dyDescent="0.2">
      <c r="A54" s="9" t="s">
        <v>511</v>
      </c>
      <c r="B54" s="9" t="s">
        <v>512</v>
      </c>
      <c r="C54" s="9" t="s">
        <v>81</v>
      </c>
      <c r="D54" s="9" t="s">
        <v>88</v>
      </c>
      <c r="E54" s="154">
        <v>301455.63114682515</v>
      </c>
      <c r="F54" s="154">
        <v>302593.7709269686</v>
      </c>
      <c r="G54" s="154">
        <v>5567.3210547126037</v>
      </c>
      <c r="H54" s="154">
        <v>101148.95335802464</v>
      </c>
      <c r="I54" s="154">
        <v>6.8662221225001199</v>
      </c>
      <c r="J54" s="154">
        <v>6285.4953519118581</v>
      </c>
      <c r="K54" s="154">
        <v>514210</v>
      </c>
      <c r="L54" s="154">
        <v>514105.73816998757</v>
      </c>
      <c r="M54" s="154">
        <v>4.0922037190563429</v>
      </c>
      <c r="N54" s="154">
        <v>0.30289250005974178</v>
      </c>
      <c r="O54" s="154">
        <v>0.18203260608973387</v>
      </c>
      <c r="P54" s="154">
        <v>11.332447540808165</v>
      </c>
      <c r="Q54" s="154">
        <v>23.940576222043017</v>
      </c>
      <c r="R54" s="154">
        <v>6548.7272108276238</v>
      </c>
      <c r="S54" s="154">
        <v>820.26961547830786</v>
      </c>
      <c r="T54" s="154">
        <v>71.246422973075823</v>
      </c>
      <c r="U54" s="154">
        <v>68.865044402301578</v>
      </c>
      <c r="V54" s="154">
        <v>4.5924962147206534</v>
      </c>
      <c r="W54" s="154">
        <v>7.7551173752644189</v>
      </c>
      <c r="X54" s="154">
        <v>3.9126940033996749E-2</v>
      </c>
      <c r="Y54" s="154">
        <v>4.7336709888014434</v>
      </c>
      <c r="Z54" s="154">
        <v>820.02737764019935</v>
      </c>
      <c r="AC54" s="28" t="s">
        <v>421</v>
      </c>
      <c r="AD54" s="9" t="s">
        <v>421</v>
      </c>
      <c r="AE54" s="9" t="s">
        <v>421</v>
      </c>
      <c r="AF54" s="28" t="s">
        <v>421</v>
      </c>
      <c r="AG54" s="28">
        <v>0.52800000000000002</v>
      </c>
      <c r="AH54" s="28">
        <v>33.582999999999998</v>
      </c>
      <c r="AI54" s="28" t="s">
        <v>421</v>
      </c>
      <c r="AJ54" s="28">
        <v>0.17899999999999999</v>
      </c>
      <c r="AK54" s="28" t="s">
        <v>421</v>
      </c>
      <c r="AL54" s="28">
        <v>51.420999999999999</v>
      </c>
      <c r="AM54" s="28">
        <v>0.16500000000000001</v>
      </c>
      <c r="AN54" s="28">
        <v>12.843999999999999</v>
      </c>
      <c r="AO54" s="28">
        <v>0.95399999999999996</v>
      </c>
      <c r="AP54" s="156">
        <f t="shared" si="0"/>
        <v>99.673999999999992</v>
      </c>
    </row>
    <row r="55" spans="1:42" x14ac:dyDescent="0.2">
      <c r="A55" s="9" t="s">
        <v>513</v>
      </c>
      <c r="B55" s="9" t="s">
        <v>514</v>
      </c>
      <c r="C55" s="9" t="s">
        <v>81</v>
      </c>
      <c r="D55" s="9" t="s">
        <v>89</v>
      </c>
      <c r="E55" s="154">
        <v>290598.68635627412</v>
      </c>
      <c r="F55" s="154">
        <v>288670.18554002605</v>
      </c>
      <c r="G55" s="154">
        <v>4767.787195174591</v>
      </c>
      <c r="H55" s="154">
        <v>95062.184158984572</v>
      </c>
      <c r="I55" s="154">
        <v>5.9870465216968141</v>
      </c>
      <c r="J55" s="154">
        <v>437.79398758562917</v>
      </c>
      <c r="K55" s="154">
        <v>528610</v>
      </c>
      <c r="L55" s="154">
        <v>526845.04617133283</v>
      </c>
      <c r="M55" s="154">
        <v>5.5163544263739164</v>
      </c>
      <c r="N55" s="154" t="s">
        <v>421</v>
      </c>
      <c r="O55" s="154" t="s">
        <v>421</v>
      </c>
      <c r="P55" s="154">
        <v>0.86310856001881775</v>
      </c>
      <c r="Q55" s="154">
        <v>11.421627796747844</v>
      </c>
      <c r="R55" s="154">
        <v>4024.5532022222824</v>
      </c>
      <c r="S55" s="154">
        <v>239.9895668595949</v>
      </c>
      <c r="T55" s="154">
        <v>146.22576377384988</v>
      </c>
      <c r="U55" s="154">
        <v>146.14355473492085</v>
      </c>
      <c r="V55" s="154">
        <v>8.8437798397979189E-2</v>
      </c>
      <c r="W55" s="154">
        <v>4.5228707261333465</v>
      </c>
      <c r="X55" s="154" t="s">
        <v>421</v>
      </c>
      <c r="Y55" s="154">
        <v>0.2257368004193267</v>
      </c>
      <c r="Z55" s="154">
        <v>239.49239926276383</v>
      </c>
      <c r="AC55" s="28" t="s">
        <v>421</v>
      </c>
      <c r="AD55" s="9" t="s">
        <v>421</v>
      </c>
      <c r="AE55" s="9" t="s">
        <v>421</v>
      </c>
      <c r="AF55" s="28" t="s">
        <v>421</v>
      </c>
      <c r="AG55" s="28">
        <v>0.219</v>
      </c>
      <c r="AH55" s="28">
        <v>33.564</v>
      </c>
      <c r="AI55" s="28">
        <v>1.9E-2</v>
      </c>
      <c r="AJ55" s="28">
        <v>1.4E-2</v>
      </c>
      <c r="AK55" s="28" t="s">
        <v>421</v>
      </c>
      <c r="AL55" s="28">
        <v>52.860999999999997</v>
      </c>
      <c r="AM55" s="28">
        <v>2.7E-2</v>
      </c>
      <c r="AN55" s="28">
        <v>12.183</v>
      </c>
      <c r="AO55" s="28">
        <v>0.80400000000000005</v>
      </c>
      <c r="AP55" s="156">
        <f t="shared" si="0"/>
        <v>99.691000000000003</v>
      </c>
    </row>
    <row r="56" spans="1:42" x14ac:dyDescent="0.2">
      <c r="A56" s="9" t="s">
        <v>515</v>
      </c>
      <c r="B56" s="9" t="s">
        <v>516</v>
      </c>
      <c r="C56" s="9" t="s">
        <v>81</v>
      </c>
      <c r="D56" s="9" t="s">
        <v>89</v>
      </c>
      <c r="E56" s="154">
        <v>286678.83111342735</v>
      </c>
      <c r="F56" s="154">
        <v>288359.95195134828</v>
      </c>
      <c r="G56" s="154">
        <v>19599.275664673147</v>
      </c>
      <c r="H56" s="154">
        <v>93494.669934302408</v>
      </c>
      <c r="I56" s="154">
        <v>4.5497061382586015</v>
      </c>
      <c r="J56" s="154">
        <v>88.071631609098702</v>
      </c>
      <c r="K56" s="154">
        <v>502990</v>
      </c>
      <c r="L56" s="154">
        <v>503130.84439418587</v>
      </c>
      <c r="M56" s="154">
        <v>2.7827935186030408</v>
      </c>
      <c r="N56" s="154" t="s">
        <v>421</v>
      </c>
      <c r="O56" s="154" t="s">
        <v>421</v>
      </c>
      <c r="P56" s="154" t="s">
        <v>421</v>
      </c>
      <c r="Q56" s="154">
        <v>1.9156172010937711</v>
      </c>
      <c r="R56" s="154">
        <v>3803.5121790922817</v>
      </c>
      <c r="S56" s="154">
        <v>73.04377979202944</v>
      </c>
      <c r="T56" s="154">
        <v>9.1245995799129904</v>
      </c>
      <c r="U56" s="154">
        <v>9.1100651955069374</v>
      </c>
      <c r="V56" s="154">
        <v>4.402554323668998E-2</v>
      </c>
      <c r="W56" s="154">
        <v>3.8292793416219286</v>
      </c>
      <c r="X56" s="154" t="s">
        <v>421</v>
      </c>
      <c r="Y56" s="154">
        <v>0.18066760343952645</v>
      </c>
      <c r="Z56" s="154">
        <v>73.01275615345773</v>
      </c>
      <c r="AC56" s="28" t="s">
        <v>421</v>
      </c>
      <c r="AD56" s="9" t="s">
        <v>421</v>
      </c>
      <c r="AE56" s="9" t="s">
        <v>421</v>
      </c>
      <c r="AF56" s="28" t="s">
        <v>421</v>
      </c>
      <c r="AG56" s="28">
        <v>0.20200000000000001</v>
      </c>
      <c r="AH56" s="28">
        <v>33.204000000000001</v>
      </c>
      <c r="AI56" s="28">
        <v>6.0000000000000001E-3</v>
      </c>
      <c r="AJ56" s="28" t="s">
        <v>421</v>
      </c>
      <c r="AK56" s="28" t="s">
        <v>421</v>
      </c>
      <c r="AL56" s="28">
        <v>50.298999999999999</v>
      </c>
      <c r="AM56" s="28">
        <v>5.0000000000000001E-3</v>
      </c>
      <c r="AN56" s="28">
        <v>12.275</v>
      </c>
      <c r="AO56" s="28">
        <v>3.3940000000000001</v>
      </c>
      <c r="AP56" s="156">
        <f t="shared" si="0"/>
        <v>99.385000000000005</v>
      </c>
    </row>
    <row r="57" spans="1:42" x14ac:dyDescent="0.2">
      <c r="A57" s="9" t="s">
        <v>517</v>
      </c>
      <c r="B57" s="9" t="s">
        <v>518</v>
      </c>
      <c r="C57" s="9" t="s">
        <v>81</v>
      </c>
      <c r="D57" s="9" t="s">
        <v>89</v>
      </c>
      <c r="E57" s="154">
        <v>282863.99773504026</v>
      </c>
      <c r="F57" s="154">
        <v>284882.59621174616</v>
      </c>
      <c r="G57" s="154">
        <v>18737.931488218237</v>
      </c>
      <c r="H57" s="154">
        <v>94284.062560044884</v>
      </c>
      <c r="I57" s="154">
        <v>4.7733786131897249</v>
      </c>
      <c r="J57" s="154">
        <v>89.070763805806067</v>
      </c>
      <c r="K57" s="154">
        <v>500310</v>
      </c>
      <c r="L57" s="154">
        <v>504967.6942047578</v>
      </c>
      <c r="M57" s="154">
        <v>2.9425123315526069</v>
      </c>
      <c r="N57" s="154" t="s">
        <v>421</v>
      </c>
      <c r="O57" s="154">
        <v>0.13963113458548845</v>
      </c>
      <c r="P57" s="154" t="s">
        <v>421</v>
      </c>
      <c r="Q57" s="154">
        <v>1.3068649467374929</v>
      </c>
      <c r="R57" s="154">
        <v>3806.7223283117851</v>
      </c>
      <c r="S57" s="154">
        <v>68.092522034492191</v>
      </c>
      <c r="T57" s="154">
        <v>14.621965438083315</v>
      </c>
      <c r="U57" s="154">
        <v>14.53274432850087</v>
      </c>
      <c r="V57" s="154">
        <v>4.5269898935051692E-2</v>
      </c>
      <c r="W57" s="154">
        <v>3.1947476476003405</v>
      </c>
      <c r="X57" s="154" t="s">
        <v>421</v>
      </c>
      <c r="Y57" s="154">
        <v>0.20271225731274348</v>
      </c>
      <c r="Z57" s="154">
        <v>68.042807352002711</v>
      </c>
      <c r="AC57" s="28" t="s">
        <v>421</v>
      </c>
      <c r="AD57" s="9" t="s">
        <v>421</v>
      </c>
      <c r="AE57" s="9" t="s">
        <v>421</v>
      </c>
      <c r="AF57" s="28" t="s">
        <v>421</v>
      </c>
      <c r="AG57" s="28">
        <v>0.191</v>
      </c>
      <c r="AH57" s="28">
        <v>33.798000000000002</v>
      </c>
      <c r="AI57" s="28">
        <v>1E-3</v>
      </c>
      <c r="AJ57" s="28" t="s">
        <v>421</v>
      </c>
      <c r="AK57" s="28" t="s">
        <v>421</v>
      </c>
      <c r="AL57" s="28">
        <v>50.030999999999999</v>
      </c>
      <c r="AM57" s="28">
        <v>6.0000000000000001E-3</v>
      </c>
      <c r="AN57" s="28">
        <v>12.478999999999999</v>
      </c>
      <c r="AO57" s="28">
        <v>3.3290000000000002</v>
      </c>
      <c r="AP57" s="156">
        <f t="shared" si="0"/>
        <v>99.834999999999994</v>
      </c>
    </row>
    <row r="58" spans="1:42" x14ac:dyDescent="0.2">
      <c r="A58" s="9" t="s">
        <v>519</v>
      </c>
      <c r="B58" s="9" t="s">
        <v>520</v>
      </c>
      <c r="C58" s="9" t="s">
        <v>81</v>
      </c>
      <c r="D58" s="9" t="s">
        <v>89</v>
      </c>
      <c r="E58" s="154">
        <v>284268.36952840019</v>
      </c>
      <c r="F58" s="154">
        <v>285477.74736053369</v>
      </c>
      <c r="G58" s="154">
        <v>6588.7876955370712</v>
      </c>
      <c r="H58" s="154">
        <v>90920.159830492907</v>
      </c>
      <c r="I58" s="154">
        <v>5.5046758758490899</v>
      </c>
      <c r="J58" s="154">
        <v>655.89500830330439</v>
      </c>
      <c r="K58" s="154">
        <v>528990</v>
      </c>
      <c r="L58" s="154">
        <v>527056.06867419032</v>
      </c>
      <c r="M58" s="154">
        <v>6.0503844199084433</v>
      </c>
      <c r="N58" s="154" t="s">
        <v>421</v>
      </c>
      <c r="O58" s="154">
        <v>0.13641816641400537</v>
      </c>
      <c r="P58" s="154" t="s">
        <v>421</v>
      </c>
      <c r="Q58" s="154">
        <v>7.2397966472983111</v>
      </c>
      <c r="R58" s="154">
        <v>3674.4766883849084</v>
      </c>
      <c r="S58" s="154">
        <v>178.8686688506852</v>
      </c>
      <c r="T58" s="154">
        <v>369.93178839039206</v>
      </c>
      <c r="U58" s="154">
        <v>365.40138016363187</v>
      </c>
      <c r="V58" s="154">
        <v>0.23446164080006765</v>
      </c>
      <c r="W58" s="154">
        <v>4.1261853824267938</v>
      </c>
      <c r="X58" s="154" t="s">
        <v>421</v>
      </c>
      <c r="Y58" s="154">
        <v>0.48105550015068527</v>
      </c>
      <c r="Z58" s="154">
        <v>177.61090077015785</v>
      </c>
      <c r="AC58" s="28" t="s">
        <v>421</v>
      </c>
      <c r="AD58" s="9" t="s">
        <v>421</v>
      </c>
      <c r="AE58" s="9" t="s">
        <v>421</v>
      </c>
      <c r="AF58" s="28" t="s">
        <v>421</v>
      </c>
      <c r="AG58" s="28">
        <v>0.161</v>
      </c>
      <c r="AH58" s="28">
        <v>33.914999999999999</v>
      </c>
      <c r="AI58" s="28">
        <v>1.6E-2</v>
      </c>
      <c r="AJ58" s="28">
        <v>1.2E-2</v>
      </c>
      <c r="AK58" s="28" t="s">
        <v>421</v>
      </c>
      <c r="AL58" s="28">
        <v>52.899000000000001</v>
      </c>
      <c r="AM58" s="28">
        <v>4.2000000000000003E-2</v>
      </c>
      <c r="AN58" s="28">
        <v>11.805</v>
      </c>
      <c r="AO58" s="28">
        <v>1.2809999999999999</v>
      </c>
      <c r="AP58" s="156">
        <f t="shared" si="0"/>
        <v>100.131</v>
      </c>
    </row>
    <row r="59" spans="1:42" x14ac:dyDescent="0.2">
      <c r="A59" s="9" t="s">
        <v>521</v>
      </c>
      <c r="B59" s="9" t="s">
        <v>522</v>
      </c>
      <c r="C59" s="9" t="s">
        <v>81</v>
      </c>
      <c r="D59" s="9" t="s">
        <v>89</v>
      </c>
      <c r="E59" s="154">
        <v>284958.34185565374</v>
      </c>
      <c r="F59" s="154">
        <v>280649.02565415757</v>
      </c>
      <c r="G59" s="154">
        <v>6446.1878878286689</v>
      </c>
      <c r="H59" s="154">
        <v>88774.738419646572</v>
      </c>
      <c r="I59" s="154">
        <v>5.577285882166942</v>
      </c>
      <c r="J59" s="154">
        <v>1080.3435714059117</v>
      </c>
      <c r="K59" s="154">
        <v>526700</v>
      </c>
      <c r="L59" s="154">
        <v>524004.01851333538</v>
      </c>
      <c r="M59" s="154">
        <v>6.3809832480949984</v>
      </c>
      <c r="N59" s="154" t="s">
        <v>421</v>
      </c>
      <c r="O59" s="154">
        <v>0.14747492618131933</v>
      </c>
      <c r="P59" s="154" t="s">
        <v>421</v>
      </c>
      <c r="Q59" s="154">
        <v>27.382293781140483</v>
      </c>
      <c r="R59" s="154">
        <v>3689.1862814432952</v>
      </c>
      <c r="S59" s="154">
        <v>219.10529741923315</v>
      </c>
      <c r="T59" s="154">
        <v>734.27778975380772</v>
      </c>
      <c r="U59" s="154">
        <v>722.31247500163931</v>
      </c>
      <c r="V59" s="154">
        <v>7.1950242450354113E-2</v>
      </c>
      <c r="W59" s="154">
        <v>4.4074587242750063</v>
      </c>
      <c r="X59" s="154" t="s">
        <v>421</v>
      </c>
      <c r="Y59" s="154">
        <v>0.3258645865691206</v>
      </c>
      <c r="Z59" s="154">
        <v>216.6087529340702</v>
      </c>
      <c r="AC59" s="28" t="s">
        <v>421</v>
      </c>
      <c r="AD59" s="9" t="s">
        <v>421</v>
      </c>
      <c r="AE59" s="9" t="s">
        <v>421</v>
      </c>
      <c r="AF59" s="28" t="s">
        <v>421</v>
      </c>
      <c r="AG59" s="28">
        <v>0.19800000000000001</v>
      </c>
      <c r="AH59" s="28">
        <v>33.886000000000003</v>
      </c>
      <c r="AI59" s="28">
        <v>0.157</v>
      </c>
      <c r="AJ59" s="28">
        <v>2.5000000000000001E-2</v>
      </c>
      <c r="AK59" s="28" t="s">
        <v>421</v>
      </c>
      <c r="AL59" s="28">
        <v>52.67</v>
      </c>
      <c r="AM59" s="28">
        <v>0.14599999999999999</v>
      </c>
      <c r="AN59" s="28">
        <v>11.829000000000001</v>
      </c>
      <c r="AO59" s="28">
        <v>1.2470000000000001</v>
      </c>
      <c r="AP59" s="156">
        <f t="shared" si="0"/>
        <v>100.158</v>
      </c>
    </row>
    <row r="60" spans="1:42" x14ac:dyDescent="0.2">
      <c r="A60" s="9" t="s">
        <v>523</v>
      </c>
      <c r="B60" s="9" t="s">
        <v>524</v>
      </c>
      <c r="C60" s="9" t="s">
        <v>81</v>
      </c>
      <c r="D60" s="9" t="s">
        <v>89</v>
      </c>
      <c r="E60" s="154">
        <v>304394.87744471751</v>
      </c>
      <c r="F60" s="154">
        <v>301163.61812431074</v>
      </c>
      <c r="G60" s="154">
        <v>5708.244827936086</v>
      </c>
      <c r="H60" s="154">
        <v>96544.151800813343</v>
      </c>
      <c r="I60" s="154">
        <v>6.1199826131684611</v>
      </c>
      <c r="J60" s="154">
        <v>7905.9860274119674</v>
      </c>
      <c r="K60" s="154">
        <v>528980</v>
      </c>
      <c r="L60" s="154">
        <v>531444.47412824654</v>
      </c>
      <c r="M60" s="154">
        <v>5.3854612079113249</v>
      </c>
      <c r="N60" s="154">
        <v>0.40449439710257268</v>
      </c>
      <c r="O60" s="154">
        <v>0.15066705578404099</v>
      </c>
      <c r="P60" s="154" t="s">
        <v>421</v>
      </c>
      <c r="Q60" s="154">
        <v>22.434470798153413</v>
      </c>
      <c r="R60" s="154">
        <v>3951.073641606125</v>
      </c>
      <c r="S60" s="154">
        <v>225.01625875049464</v>
      </c>
      <c r="T60" s="154">
        <v>7643.0800021356436</v>
      </c>
      <c r="U60" s="154">
        <v>7256.9519037269447</v>
      </c>
      <c r="V60" s="154">
        <v>0.18337617961082495</v>
      </c>
      <c r="W60" s="154">
        <v>2.7834068509655721</v>
      </c>
      <c r="X60" s="154" t="s">
        <v>421</v>
      </c>
      <c r="Y60" s="154">
        <v>0.4653997643888324</v>
      </c>
      <c r="Z60" s="154">
        <v>199.02978674323344</v>
      </c>
      <c r="AC60" s="28" t="s">
        <v>421</v>
      </c>
      <c r="AD60" s="9" t="s">
        <v>421</v>
      </c>
      <c r="AE60" s="9" t="s">
        <v>421</v>
      </c>
      <c r="AF60" s="28" t="s">
        <v>421</v>
      </c>
      <c r="AG60" s="28">
        <v>0.193</v>
      </c>
      <c r="AH60" s="28">
        <v>32.689</v>
      </c>
      <c r="AI60" s="28">
        <v>5.8999999999999997E-2</v>
      </c>
      <c r="AJ60" s="28">
        <v>3.0000000000000001E-3</v>
      </c>
      <c r="AK60" s="28" t="s">
        <v>421</v>
      </c>
      <c r="AL60" s="28">
        <v>52.898000000000003</v>
      </c>
      <c r="AM60" s="28">
        <v>8.6999999999999994E-2</v>
      </c>
      <c r="AN60" s="28">
        <v>11.962</v>
      </c>
      <c r="AO60" s="28">
        <v>0.94799999999999995</v>
      </c>
      <c r="AP60" s="156">
        <f t="shared" si="0"/>
        <v>98.838999999999999</v>
      </c>
    </row>
    <row r="61" spans="1:42" x14ac:dyDescent="0.2">
      <c r="A61" s="9" t="s">
        <v>525</v>
      </c>
      <c r="B61" s="9" t="s">
        <v>526</v>
      </c>
      <c r="C61" s="9" t="s">
        <v>81</v>
      </c>
      <c r="D61" s="9" t="s">
        <v>89</v>
      </c>
      <c r="E61" s="154">
        <v>283362.68613348989</v>
      </c>
      <c r="F61" s="154">
        <v>283519.86744786752</v>
      </c>
      <c r="G61" s="154">
        <v>16696.156799157732</v>
      </c>
      <c r="H61" s="154">
        <v>97717.292095157129</v>
      </c>
      <c r="I61" s="154">
        <v>4.2206037878153104</v>
      </c>
      <c r="J61" s="154">
        <v>322.45889127677822</v>
      </c>
      <c r="K61" s="154">
        <v>502950</v>
      </c>
      <c r="L61" s="154">
        <v>503718.61466964975</v>
      </c>
      <c r="M61" s="154">
        <v>3.5928052773451573</v>
      </c>
      <c r="N61" s="154" t="s">
        <v>421</v>
      </c>
      <c r="O61" s="154">
        <v>0.28483674023690186</v>
      </c>
      <c r="P61" s="154" t="s">
        <v>421</v>
      </c>
      <c r="Q61" s="154">
        <v>3.2228981866110953</v>
      </c>
      <c r="R61" s="154">
        <v>3709.7779106243788</v>
      </c>
      <c r="S61" s="154">
        <v>78.334008513607088</v>
      </c>
      <c r="T61" s="154">
        <v>163.38692527514087</v>
      </c>
      <c r="U61" s="154">
        <v>169.25495380152898</v>
      </c>
      <c r="V61" s="154" t="s">
        <v>421</v>
      </c>
      <c r="W61" s="154">
        <v>3.5962352198940426</v>
      </c>
      <c r="X61" s="154">
        <v>1.691262090551059E-2</v>
      </c>
      <c r="Y61" s="154">
        <v>0.29981100523836884</v>
      </c>
      <c r="Z61" s="154">
        <v>77.77849296767161</v>
      </c>
      <c r="AC61" s="28" t="s">
        <v>421</v>
      </c>
      <c r="AD61" s="9" t="s">
        <v>421</v>
      </c>
      <c r="AE61" s="9" t="s">
        <v>421</v>
      </c>
      <c r="AF61" s="28" t="s">
        <v>421</v>
      </c>
      <c r="AG61" s="28">
        <v>0.20799999999999999</v>
      </c>
      <c r="AH61" s="28">
        <v>33.921999999999997</v>
      </c>
      <c r="AI61" s="28">
        <v>2E-3</v>
      </c>
      <c r="AJ61" s="28" t="s">
        <v>421</v>
      </c>
      <c r="AK61" s="28" t="s">
        <v>421</v>
      </c>
      <c r="AL61" s="28">
        <v>50.295000000000002</v>
      </c>
      <c r="AM61" s="28" t="s">
        <v>421</v>
      </c>
      <c r="AN61" s="28">
        <v>12.430999999999999</v>
      </c>
      <c r="AO61" s="28">
        <v>3.0070000000000001</v>
      </c>
      <c r="AP61" s="156">
        <f t="shared" si="0"/>
        <v>99.864999999999995</v>
      </c>
    </row>
    <row r="62" spans="1:42" x14ac:dyDescent="0.2">
      <c r="A62" s="9" t="s">
        <v>527</v>
      </c>
      <c r="B62" s="9" t="s">
        <v>528</v>
      </c>
      <c r="C62" s="9" t="s">
        <v>81</v>
      </c>
      <c r="D62" s="9" t="s">
        <v>89</v>
      </c>
      <c r="E62" s="154">
        <v>284863.49314958451</v>
      </c>
      <c r="F62" s="154">
        <v>283771.35627318401</v>
      </c>
      <c r="G62" s="154">
        <v>19107.917636187976</v>
      </c>
      <c r="H62" s="154">
        <v>94079.466823353374</v>
      </c>
      <c r="I62" s="154">
        <v>3.5621620361061801</v>
      </c>
      <c r="J62" s="154">
        <v>5028.7510356890834</v>
      </c>
      <c r="K62" s="154">
        <v>497180.00000000006</v>
      </c>
      <c r="L62" s="154">
        <v>501939.14816022065</v>
      </c>
      <c r="M62" s="154">
        <v>2.2142817592120028</v>
      </c>
      <c r="N62" s="154" t="s">
        <v>421</v>
      </c>
      <c r="O62" s="154">
        <v>0.1898426137293677</v>
      </c>
      <c r="P62" s="154" t="s">
        <v>421</v>
      </c>
      <c r="Q62" s="154">
        <v>9.4747539859933845</v>
      </c>
      <c r="R62" s="154">
        <v>4156.8547027431759</v>
      </c>
      <c r="S62" s="154">
        <v>114.8174993208482</v>
      </c>
      <c r="T62" s="154">
        <v>74.775444957890642</v>
      </c>
      <c r="U62" s="154">
        <v>74.473403941900187</v>
      </c>
      <c r="V62" s="154">
        <v>7.8736867977939511</v>
      </c>
      <c r="W62" s="154">
        <v>3.4892035988230869</v>
      </c>
      <c r="X62" s="154">
        <v>0.11071349891530938</v>
      </c>
      <c r="Y62" s="154">
        <v>8.2890593875567014</v>
      </c>
      <c r="Z62" s="154">
        <v>114.56326280799136</v>
      </c>
      <c r="AC62" s="28" t="s">
        <v>421</v>
      </c>
      <c r="AD62" s="9" t="s">
        <v>421</v>
      </c>
      <c r="AE62" s="9" t="s">
        <v>421</v>
      </c>
      <c r="AF62" s="28" t="s">
        <v>421</v>
      </c>
      <c r="AG62" s="28">
        <v>0.221</v>
      </c>
      <c r="AH62" s="28">
        <v>33.533999999999999</v>
      </c>
      <c r="AI62" s="28" t="s">
        <v>421</v>
      </c>
      <c r="AJ62" s="28" t="s">
        <v>421</v>
      </c>
      <c r="AK62" s="28" t="s">
        <v>421</v>
      </c>
      <c r="AL62" s="28">
        <v>49.718000000000004</v>
      </c>
      <c r="AM62" s="28">
        <v>1.2999999999999999E-2</v>
      </c>
      <c r="AN62" s="28">
        <v>12.61</v>
      </c>
      <c r="AO62" s="28">
        <v>3.5670000000000002</v>
      </c>
      <c r="AP62" s="156">
        <f t="shared" si="0"/>
        <v>99.663000000000011</v>
      </c>
    </row>
    <row r="63" spans="1:42" x14ac:dyDescent="0.2">
      <c r="A63" s="9" t="s">
        <v>529</v>
      </c>
      <c r="B63" s="9" t="s">
        <v>530</v>
      </c>
      <c r="C63" s="9" t="s">
        <v>81</v>
      </c>
      <c r="D63" s="9" t="s">
        <v>90</v>
      </c>
      <c r="E63" s="154">
        <v>300281.53920519381</v>
      </c>
      <c r="F63" s="154">
        <v>291618.81058123906</v>
      </c>
      <c r="G63" s="154">
        <v>13939.400024462966</v>
      </c>
      <c r="H63" s="154">
        <v>97078.074679927871</v>
      </c>
      <c r="I63" s="154">
        <v>0.19892800038097791</v>
      </c>
      <c r="J63" s="154">
        <v>404.68528449821298</v>
      </c>
      <c r="K63" s="154">
        <v>511400</v>
      </c>
      <c r="L63" s="154">
        <v>508165.17046181276</v>
      </c>
      <c r="M63" s="154">
        <v>7.0082119649064394</v>
      </c>
      <c r="N63" s="154" t="s">
        <v>421</v>
      </c>
      <c r="O63" s="154">
        <v>0.17457183335880219</v>
      </c>
      <c r="P63" s="154" t="s">
        <v>421</v>
      </c>
      <c r="Q63" s="154">
        <v>5.2423048015867542</v>
      </c>
      <c r="R63" s="154">
        <v>3917.4601304282291</v>
      </c>
      <c r="S63" s="154">
        <v>28.608835456678978</v>
      </c>
      <c r="T63" s="154">
        <v>78.476455473488087</v>
      </c>
      <c r="U63" s="154">
        <v>76.347814268082345</v>
      </c>
      <c r="V63" s="154">
        <v>8.7741814138694044E-2</v>
      </c>
      <c r="W63" s="154">
        <v>4.7582468023047548</v>
      </c>
      <c r="X63" s="154" t="s">
        <v>421</v>
      </c>
      <c r="Y63" s="154">
        <v>0.44697616814285634</v>
      </c>
      <c r="Z63" s="154">
        <v>28.342015508069117</v>
      </c>
      <c r="AC63" s="28" t="s">
        <v>421</v>
      </c>
      <c r="AD63" s="9" t="s">
        <v>421</v>
      </c>
      <c r="AE63" s="9" t="s">
        <v>421</v>
      </c>
      <c r="AF63" s="28" t="s">
        <v>421</v>
      </c>
      <c r="AG63" s="28">
        <v>0.16300000000000001</v>
      </c>
      <c r="AH63" s="28">
        <v>33.459000000000003</v>
      </c>
      <c r="AI63" s="28" t="s">
        <v>421</v>
      </c>
      <c r="AJ63" s="28" t="s">
        <v>421</v>
      </c>
      <c r="AK63" s="28" t="s">
        <v>421</v>
      </c>
      <c r="AL63" s="28">
        <v>51.14</v>
      </c>
      <c r="AM63" s="28">
        <v>1.7000000000000001E-2</v>
      </c>
      <c r="AN63" s="28">
        <v>12.582000000000001</v>
      </c>
      <c r="AO63" s="28">
        <v>2.2490000000000001</v>
      </c>
      <c r="AP63" s="156">
        <f t="shared" si="0"/>
        <v>99.609999999999985</v>
      </c>
    </row>
    <row r="64" spans="1:42" x14ac:dyDescent="0.2">
      <c r="A64" s="9" t="s">
        <v>531</v>
      </c>
      <c r="B64" s="9" t="s">
        <v>532</v>
      </c>
      <c r="C64" s="9" t="s">
        <v>81</v>
      </c>
      <c r="D64" s="9" t="s">
        <v>90</v>
      </c>
      <c r="E64" s="154">
        <v>302976.21462396707</v>
      </c>
      <c r="F64" s="154">
        <v>301986.9481602661</v>
      </c>
      <c r="G64" s="154">
        <v>11868.233682726059</v>
      </c>
      <c r="H64" s="154">
        <v>99648.989352775025</v>
      </c>
      <c r="I64" s="154">
        <v>0.2655392835981894</v>
      </c>
      <c r="J64" s="154">
        <v>2200.8697946390248</v>
      </c>
      <c r="K64" s="154">
        <v>516340</v>
      </c>
      <c r="L64" s="154">
        <v>521129.67683160753</v>
      </c>
      <c r="M64" s="154">
        <v>10.43968205041241</v>
      </c>
      <c r="N64" s="154" t="s">
        <v>421</v>
      </c>
      <c r="O64" s="154" t="s">
        <v>421</v>
      </c>
      <c r="P64" s="154" t="s">
        <v>421</v>
      </c>
      <c r="Q64" s="154">
        <v>11.946585198577976</v>
      </c>
      <c r="R64" s="154">
        <v>4131.0435640266642</v>
      </c>
      <c r="S64" s="154">
        <v>92.920806106804221</v>
      </c>
      <c r="T64" s="154">
        <v>352.19402976130635</v>
      </c>
      <c r="U64" s="154">
        <v>347.51995184750166</v>
      </c>
      <c r="V64" s="154">
        <v>0.36497413399206419</v>
      </c>
      <c r="W64" s="154">
        <v>3.6585533999695588</v>
      </c>
      <c r="X64" s="154" t="s">
        <v>421</v>
      </c>
      <c r="Y64" s="154">
        <v>1.3568366744339075</v>
      </c>
      <c r="Z64" s="154">
        <v>91.723346405615786</v>
      </c>
      <c r="AC64" s="28" t="s">
        <v>421</v>
      </c>
      <c r="AD64" s="9" t="s">
        <v>421</v>
      </c>
      <c r="AE64" s="9" t="s">
        <v>421</v>
      </c>
      <c r="AF64" s="28" t="s">
        <v>421</v>
      </c>
      <c r="AG64" s="28">
        <v>0.20799999999999999</v>
      </c>
      <c r="AH64" s="28">
        <v>33.558</v>
      </c>
      <c r="AI64" s="28" t="s">
        <v>421</v>
      </c>
      <c r="AJ64" s="28" t="s">
        <v>421</v>
      </c>
      <c r="AK64" s="28" t="s">
        <v>421</v>
      </c>
      <c r="AL64" s="28">
        <v>51.634</v>
      </c>
      <c r="AM64" s="28">
        <v>2.7E-2</v>
      </c>
      <c r="AN64" s="28">
        <v>12.129</v>
      </c>
      <c r="AO64" s="28">
        <v>2.073</v>
      </c>
      <c r="AP64" s="156">
        <f t="shared" si="0"/>
        <v>99.629000000000005</v>
      </c>
    </row>
    <row r="65" spans="1:42" x14ac:dyDescent="0.2">
      <c r="A65" s="9" t="s">
        <v>533</v>
      </c>
      <c r="B65" s="9" t="s">
        <v>534</v>
      </c>
      <c r="C65" s="9" t="s">
        <v>81</v>
      </c>
      <c r="D65" s="9" t="s">
        <v>90</v>
      </c>
      <c r="E65" s="154">
        <v>307413.10789028689</v>
      </c>
      <c r="F65" s="154">
        <v>298096.21865793405</v>
      </c>
      <c r="G65" s="154">
        <v>11503.387381241553</v>
      </c>
      <c r="H65" s="154">
        <v>101238.75096968215</v>
      </c>
      <c r="I65" s="154">
        <v>0.64517243961296888</v>
      </c>
      <c r="J65" s="154">
        <v>4382.2900345495709</v>
      </c>
      <c r="K65" s="154">
        <v>516850</v>
      </c>
      <c r="L65" s="154">
        <v>517368.54838066036</v>
      </c>
      <c r="M65" s="154">
        <v>2.9658288868826106</v>
      </c>
      <c r="N65" s="154" t="s">
        <v>421</v>
      </c>
      <c r="O65" s="154">
        <v>0.15216176084967284</v>
      </c>
      <c r="P65" s="154" t="s">
        <v>421</v>
      </c>
      <c r="Q65" s="154">
        <v>10.203898532339904</v>
      </c>
      <c r="R65" s="154">
        <v>4173.9913105775358</v>
      </c>
      <c r="S65" s="154">
        <v>166.19327226535401</v>
      </c>
      <c r="T65" s="154">
        <v>483.80453611127069</v>
      </c>
      <c r="U65" s="154">
        <v>485.73038919228816</v>
      </c>
      <c r="V65" s="154">
        <v>0.27314276962201178</v>
      </c>
      <c r="W65" s="154">
        <v>2.7934570510056829</v>
      </c>
      <c r="X65" s="154" t="s">
        <v>421</v>
      </c>
      <c r="Y65" s="154">
        <v>0.78597991351805307</v>
      </c>
      <c r="Z65" s="154">
        <v>164.54833684257568</v>
      </c>
      <c r="AC65" s="28" t="s">
        <v>421</v>
      </c>
      <c r="AD65" s="9" t="s">
        <v>421</v>
      </c>
      <c r="AE65" s="9" t="s">
        <v>421</v>
      </c>
      <c r="AF65" s="28" t="s">
        <v>421</v>
      </c>
      <c r="AG65" s="28">
        <v>0.222</v>
      </c>
      <c r="AH65" s="28">
        <v>33.4</v>
      </c>
      <c r="AI65" s="28">
        <v>5.2999999999999999E-2</v>
      </c>
      <c r="AJ65" s="28" t="s">
        <v>421</v>
      </c>
      <c r="AK65" s="28" t="s">
        <v>421</v>
      </c>
      <c r="AL65" s="28">
        <v>51.685000000000002</v>
      </c>
      <c r="AM65" s="28">
        <v>0.111</v>
      </c>
      <c r="AN65" s="28">
        <v>12.276999999999999</v>
      </c>
      <c r="AO65" s="28">
        <v>1.9119999999999999</v>
      </c>
      <c r="AP65" s="156">
        <f t="shared" si="0"/>
        <v>99.660000000000011</v>
      </c>
    </row>
    <row r="66" spans="1:42" x14ac:dyDescent="0.2">
      <c r="A66" s="9" t="s">
        <v>535</v>
      </c>
      <c r="B66" s="9" t="s">
        <v>536</v>
      </c>
      <c r="C66" s="9" t="s">
        <v>81</v>
      </c>
      <c r="D66" s="9" t="s">
        <v>91</v>
      </c>
      <c r="E66" s="154">
        <v>298264.6922713166</v>
      </c>
      <c r="F66" s="154">
        <v>292011.45660591935</v>
      </c>
      <c r="G66" s="154">
        <v>10181.603587012039</v>
      </c>
      <c r="H66" s="154">
        <v>99301.299166595811</v>
      </c>
      <c r="I66" s="154" t="s">
        <v>421</v>
      </c>
      <c r="J66" s="154">
        <v>1916.3195279683011</v>
      </c>
      <c r="K66" s="154">
        <v>509320</v>
      </c>
      <c r="L66" s="154">
        <v>514491.13334933436</v>
      </c>
      <c r="M66" s="154">
        <v>11.843281570424644</v>
      </c>
      <c r="N66" s="154">
        <v>0.2553275447439558</v>
      </c>
      <c r="O66" s="154" t="s">
        <v>421</v>
      </c>
      <c r="P66" s="154">
        <v>0.8628567211206245</v>
      </c>
      <c r="Q66" s="154">
        <v>13.661385700955023</v>
      </c>
      <c r="R66" s="154">
        <v>3270.315037157503</v>
      </c>
      <c r="S66" s="154">
        <v>13.891754499834144</v>
      </c>
      <c r="T66" s="154">
        <v>1358.0976753651391</v>
      </c>
      <c r="U66" s="154">
        <v>1902.458491394977</v>
      </c>
      <c r="V66" s="154">
        <v>0.3985111308325025</v>
      </c>
      <c r="W66" s="154">
        <v>2.2125402886779111</v>
      </c>
      <c r="X66" s="154">
        <v>1.7506675933428043E-2</v>
      </c>
      <c r="Y66" s="154">
        <v>1.1423341319198295</v>
      </c>
      <c r="Z66" s="154">
        <v>9.2742224035926704</v>
      </c>
      <c r="AC66" s="28" t="s">
        <v>421</v>
      </c>
      <c r="AD66" s="9" t="s">
        <v>421</v>
      </c>
      <c r="AE66" s="9" t="s">
        <v>421</v>
      </c>
      <c r="AF66" s="28" t="s">
        <v>421</v>
      </c>
      <c r="AG66" s="28">
        <v>0.155</v>
      </c>
      <c r="AH66" s="28">
        <v>33.738</v>
      </c>
      <c r="AI66" s="28">
        <v>0.215</v>
      </c>
      <c r="AJ66" s="28" t="s">
        <v>421</v>
      </c>
      <c r="AK66" s="28" t="s">
        <v>421</v>
      </c>
      <c r="AL66" s="28">
        <v>50.932000000000002</v>
      </c>
      <c r="AM66" s="28">
        <v>0.26900000000000002</v>
      </c>
      <c r="AN66" s="28">
        <v>13.016999999999999</v>
      </c>
      <c r="AO66" s="28">
        <v>1.714</v>
      </c>
      <c r="AP66" s="156">
        <f t="shared" si="0"/>
        <v>100.04</v>
      </c>
    </row>
    <row r="67" spans="1:42" x14ac:dyDescent="0.2">
      <c r="A67" s="9" t="s">
        <v>537</v>
      </c>
      <c r="B67" s="9" t="s">
        <v>538</v>
      </c>
      <c r="C67" s="9" t="s">
        <v>81</v>
      </c>
      <c r="D67" s="9" t="s">
        <v>91</v>
      </c>
      <c r="E67" s="154">
        <v>294816.86005004932</v>
      </c>
      <c r="F67" s="154">
        <v>290362.02264637646</v>
      </c>
      <c r="G67" s="154">
        <v>10145.638393797084</v>
      </c>
      <c r="H67" s="154">
        <v>98001.589865679489</v>
      </c>
      <c r="I67" s="154">
        <v>2.6377841362469182E-2</v>
      </c>
      <c r="J67" s="154">
        <v>362.121019054979</v>
      </c>
      <c r="K67" s="154">
        <v>516719.99999999994</v>
      </c>
      <c r="L67" s="154">
        <v>513803.98878763756</v>
      </c>
      <c r="M67" s="154">
        <v>8.536481571888169</v>
      </c>
      <c r="N67" s="154" t="s">
        <v>421</v>
      </c>
      <c r="O67" s="154" t="s">
        <v>421</v>
      </c>
      <c r="P67" s="154" t="s">
        <v>421</v>
      </c>
      <c r="Q67" s="154">
        <v>4.3027486540099265</v>
      </c>
      <c r="R67" s="154">
        <v>3296.4678630129933</v>
      </c>
      <c r="S67" s="154">
        <v>12.20528536027799</v>
      </c>
      <c r="T67" s="154">
        <v>201.62838192073178</v>
      </c>
      <c r="U67" s="154">
        <v>176.77886652263527</v>
      </c>
      <c r="V67" s="154">
        <v>0.20466574522900144</v>
      </c>
      <c r="W67" s="154">
        <v>1.9167787396282401</v>
      </c>
      <c r="X67" s="154">
        <v>1.6082850649041566E-2</v>
      </c>
      <c r="Y67" s="154">
        <v>0.76727739149213536</v>
      </c>
      <c r="Z67" s="154">
        <v>11.519748861747502</v>
      </c>
      <c r="AC67" s="28" t="s">
        <v>421</v>
      </c>
      <c r="AD67" s="9" t="s">
        <v>421</v>
      </c>
      <c r="AE67" s="9" t="s">
        <v>421</v>
      </c>
      <c r="AF67" s="28" t="s">
        <v>421</v>
      </c>
      <c r="AG67" s="28">
        <v>0.189</v>
      </c>
      <c r="AH67" s="28">
        <v>34.100999999999999</v>
      </c>
      <c r="AI67" s="28">
        <v>0.01</v>
      </c>
      <c r="AJ67" s="28" t="s">
        <v>421</v>
      </c>
      <c r="AK67" s="28" t="s">
        <v>421</v>
      </c>
      <c r="AL67" s="28">
        <v>51.671999999999997</v>
      </c>
      <c r="AM67" s="28">
        <v>3.6999999999999998E-2</v>
      </c>
      <c r="AN67" s="28">
        <v>12.705</v>
      </c>
      <c r="AO67" s="28">
        <v>1.6819999999999999</v>
      </c>
      <c r="AP67" s="156">
        <f t="shared" si="0"/>
        <v>100.396</v>
      </c>
    </row>
    <row r="68" spans="1:42" x14ac:dyDescent="0.2">
      <c r="A68" s="9" t="s">
        <v>539</v>
      </c>
      <c r="B68" s="9" t="s">
        <v>540</v>
      </c>
      <c r="C68" s="9" t="s">
        <v>81</v>
      </c>
      <c r="D68" s="9" t="s">
        <v>91</v>
      </c>
      <c r="E68" s="154">
        <v>295284.6001086703</v>
      </c>
      <c r="F68" s="154">
        <v>289072.1201297912</v>
      </c>
      <c r="G68" s="154">
        <v>10227.008872449658</v>
      </c>
      <c r="H68" s="154">
        <v>98003.541319216907</v>
      </c>
      <c r="I68" s="154">
        <v>0.12792955507031892</v>
      </c>
      <c r="J68" s="154">
        <v>230.2125420316591</v>
      </c>
      <c r="K68" s="154">
        <v>513810</v>
      </c>
      <c r="L68" s="154">
        <v>513362.44497887959</v>
      </c>
      <c r="M68" s="154">
        <v>6.5995764841030971</v>
      </c>
      <c r="N68" s="154" t="s">
        <v>421</v>
      </c>
      <c r="O68" s="154">
        <v>0.14214891129577867</v>
      </c>
      <c r="P68" s="154" t="s">
        <v>421</v>
      </c>
      <c r="Q68" s="154">
        <v>5.8253538151592004</v>
      </c>
      <c r="R68" s="154">
        <v>3810.9233006689774</v>
      </c>
      <c r="S68" s="154">
        <v>10.886326391846781</v>
      </c>
      <c r="T68" s="154">
        <v>153.72401136654202</v>
      </c>
      <c r="U68" s="154">
        <v>147.37879831659845</v>
      </c>
      <c r="V68" s="154" t="s">
        <v>421</v>
      </c>
      <c r="W68" s="154">
        <v>4.1949053315317189</v>
      </c>
      <c r="X68" s="154" t="s">
        <v>421</v>
      </c>
      <c r="Y68" s="154">
        <v>0.16473285632834078</v>
      </c>
      <c r="Z68" s="154">
        <v>10.363664753200538</v>
      </c>
      <c r="AC68" s="28" t="s">
        <v>421</v>
      </c>
      <c r="AD68" s="9" t="s">
        <v>421</v>
      </c>
      <c r="AE68" s="9" t="s">
        <v>421</v>
      </c>
      <c r="AF68" s="28">
        <v>0.02</v>
      </c>
      <c r="AG68" s="28">
        <v>0.17799999999999999</v>
      </c>
      <c r="AH68" s="28">
        <v>33.643999999999998</v>
      </c>
      <c r="AI68" s="28">
        <v>1.2999999999999999E-2</v>
      </c>
      <c r="AJ68" s="28" t="s">
        <v>421</v>
      </c>
      <c r="AK68" s="28" t="s">
        <v>421</v>
      </c>
      <c r="AL68" s="28">
        <v>51.381</v>
      </c>
      <c r="AM68" s="28">
        <v>0.02</v>
      </c>
      <c r="AN68" s="28">
        <v>12.775</v>
      </c>
      <c r="AO68" s="28">
        <v>1.6850000000000001</v>
      </c>
      <c r="AP68" s="156">
        <f t="shared" si="0"/>
        <v>99.715999999999994</v>
      </c>
    </row>
    <row r="69" spans="1:42" x14ac:dyDescent="0.2">
      <c r="A69" s="9" t="s">
        <v>541</v>
      </c>
      <c r="B69" s="9" t="s">
        <v>542</v>
      </c>
      <c r="C69" s="9" t="s">
        <v>81</v>
      </c>
      <c r="D69" s="9" t="s">
        <v>91</v>
      </c>
      <c r="E69" s="154">
        <v>326917.16658554063</v>
      </c>
      <c r="F69" s="154">
        <v>321075.69923401863</v>
      </c>
      <c r="G69" s="154">
        <v>9881.5536360747246</v>
      </c>
      <c r="H69" s="154">
        <v>116835.3743283404</v>
      </c>
      <c r="I69" s="154">
        <v>0.15053974029844946</v>
      </c>
      <c r="J69" s="154">
        <v>9741.8231021587326</v>
      </c>
      <c r="K69" s="154">
        <v>515060</v>
      </c>
      <c r="L69" s="154">
        <v>521622.62356419262</v>
      </c>
      <c r="M69" s="154">
        <v>8.3026968518506763</v>
      </c>
      <c r="N69" s="154" t="s">
        <v>421</v>
      </c>
      <c r="O69" s="154">
        <v>0.20856066420994784</v>
      </c>
      <c r="P69" s="154" t="s">
        <v>421</v>
      </c>
      <c r="Q69" s="154">
        <v>19.248381935180777</v>
      </c>
      <c r="R69" s="154">
        <v>3841.1461011187548</v>
      </c>
      <c r="S69" s="154">
        <v>12.910312482216115</v>
      </c>
      <c r="T69" s="154">
        <v>806.07203692975395</v>
      </c>
      <c r="U69" s="154">
        <v>869.54652543169311</v>
      </c>
      <c r="V69" s="154">
        <v>0.24066357097962249</v>
      </c>
      <c r="W69" s="154">
        <v>2.1098611499313353</v>
      </c>
      <c r="X69" s="154" t="s">
        <v>421</v>
      </c>
      <c r="Y69" s="154">
        <v>2.9573941622269651</v>
      </c>
      <c r="Z69" s="154">
        <v>10.169667556654952</v>
      </c>
      <c r="AC69" s="28" t="s">
        <v>421</v>
      </c>
      <c r="AD69" s="9" t="s">
        <v>421</v>
      </c>
      <c r="AE69" s="9" t="s">
        <v>421</v>
      </c>
      <c r="AF69" s="28" t="s">
        <v>421</v>
      </c>
      <c r="AG69" s="28">
        <v>0.21199999999999999</v>
      </c>
      <c r="AH69" s="28">
        <v>33.630000000000003</v>
      </c>
      <c r="AI69" s="28">
        <v>2.1000000000000001E-2</v>
      </c>
      <c r="AJ69" s="28" t="s">
        <v>421</v>
      </c>
      <c r="AK69" s="28" t="s">
        <v>421</v>
      </c>
      <c r="AL69" s="28">
        <v>51.506</v>
      </c>
      <c r="AM69" s="28">
        <v>5.2999999999999999E-2</v>
      </c>
      <c r="AN69" s="28">
        <v>12.648</v>
      </c>
      <c r="AO69" s="28">
        <v>1.6479999999999999</v>
      </c>
      <c r="AP69" s="156">
        <f t="shared" si="0"/>
        <v>99.717999999999989</v>
      </c>
    </row>
    <row r="70" spans="1:42" x14ac:dyDescent="0.2">
      <c r="A70" s="9" t="s">
        <v>543</v>
      </c>
      <c r="B70" s="9" t="s">
        <v>544</v>
      </c>
      <c r="C70" s="9" t="s">
        <v>81</v>
      </c>
      <c r="D70" s="9" t="s">
        <v>91</v>
      </c>
      <c r="E70" s="154">
        <v>298021.34306555463</v>
      </c>
      <c r="F70" s="154">
        <v>293417.62377711647</v>
      </c>
      <c r="G70" s="154">
        <v>9990.1201093912678</v>
      </c>
      <c r="H70" s="154">
        <v>99652.552663692317</v>
      </c>
      <c r="I70" s="154">
        <v>0.11437472377546874</v>
      </c>
      <c r="J70" s="154">
        <v>214.77804988346011</v>
      </c>
      <c r="K70" s="154">
        <v>516049.99999999994</v>
      </c>
      <c r="L70" s="154">
        <v>515559.96347543987</v>
      </c>
      <c r="M70" s="154">
        <v>8.9436643873652599</v>
      </c>
      <c r="N70" s="154" t="s">
        <v>421</v>
      </c>
      <c r="O70" s="154">
        <v>0.13360184354462917</v>
      </c>
      <c r="P70" s="154" t="s">
        <v>421</v>
      </c>
      <c r="Q70" s="154">
        <v>6.9767604046505944</v>
      </c>
      <c r="R70" s="154">
        <v>3716.7921914134449</v>
      </c>
      <c r="S70" s="154">
        <v>13.876560093409633</v>
      </c>
      <c r="T70" s="154">
        <v>137.38297451339537</v>
      </c>
      <c r="U70" s="154">
        <v>133.95914468629564</v>
      </c>
      <c r="V70" s="154" t="s">
        <v>421</v>
      </c>
      <c r="W70" s="154">
        <v>4.3103149241272058</v>
      </c>
      <c r="X70" s="154" t="s">
        <v>421</v>
      </c>
      <c r="Y70" s="154">
        <v>0.2418665308496025</v>
      </c>
      <c r="Z70" s="154">
        <v>13.409457980064088</v>
      </c>
      <c r="AC70" s="28" t="s">
        <v>421</v>
      </c>
      <c r="AD70" s="9" t="s">
        <v>421</v>
      </c>
      <c r="AE70" s="9" t="s">
        <v>421</v>
      </c>
      <c r="AF70" s="28" t="s">
        <v>421</v>
      </c>
      <c r="AG70" s="28">
        <v>0.24199999999999999</v>
      </c>
      <c r="AH70" s="28">
        <v>33.311</v>
      </c>
      <c r="AI70" s="28">
        <v>1.9E-2</v>
      </c>
      <c r="AJ70" s="28" t="s">
        <v>421</v>
      </c>
      <c r="AK70" s="28" t="s">
        <v>421</v>
      </c>
      <c r="AL70" s="28">
        <v>51.604999999999997</v>
      </c>
      <c r="AM70" s="28">
        <v>5.2999999999999999E-2</v>
      </c>
      <c r="AN70" s="28">
        <v>12.353</v>
      </c>
      <c r="AO70" s="28">
        <v>1.704</v>
      </c>
      <c r="AP70" s="156">
        <f t="shared" si="0"/>
        <v>99.286999999999978</v>
      </c>
    </row>
    <row r="71" spans="1:42" x14ac:dyDescent="0.2">
      <c r="A71" s="9" t="s">
        <v>545</v>
      </c>
      <c r="B71" s="9" t="s">
        <v>546</v>
      </c>
      <c r="C71" s="9" t="s">
        <v>81</v>
      </c>
      <c r="D71" s="9" t="s">
        <v>91</v>
      </c>
      <c r="E71" s="154">
        <v>283141.57600655209</v>
      </c>
      <c r="F71" s="154">
        <v>284006.7523750235</v>
      </c>
      <c r="G71" s="154">
        <v>4610.8966339586614</v>
      </c>
      <c r="H71" s="154">
        <v>101033.02809703263</v>
      </c>
      <c r="I71" s="154" t="s">
        <v>421</v>
      </c>
      <c r="J71" s="154">
        <v>2035.2673935667694</v>
      </c>
      <c r="K71" s="154">
        <v>514189.99999999994</v>
      </c>
      <c r="L71" s="154">
        <v>515780.97580846521</v>
      </c>
      <c r="M71" s="154">
        <v>10.257126036042678</v>
      </c>
      <c r="N71" s="154" t="s">
        <v>421</v>
      </c>
      <c r="O71" s="154">
        <v>1.1033868244783454</v>
      </c>
      <c r="P71" s="154" t="s">
        <v>421</v>
      </c>
      <c r="Q71" s="154">
        <v>20.980346200381476</v>
      </c>
      <c r="R71" s="154">
        <v>4525.7452060755204</v>
      </c>
      <c r="S71" s="154">
        <v>36.16957687620588</v>
      </c>
      <c r="T71" s="154">
        <v>788.87236990822873</v>
      </c>
      <c r="U71" s="154">
        <v>878.31884909262499</v>
      </c>
      <c r="V71" s="154">
        <v>4.8942857596590814</v>
      </c>
      <c r="W71" s="154">
        <v>1.9297216412588711</v>
      </c>
      <c r="X71" s="154">
        <v>1.7143618295356707E-2</v>
      </c>
      <c r="Y71" s="154">
        <v>3.0955021456110465</v>
      </c>
      <c r="Z71" s="154">
        <v>33.487410818517901</v>
      </c>
      <c r="AC71" s="28" t="s">
        <v>421</v>
      </c>
      <c r="AD71" s="9" t="s">
        <v>421</v>
      </c>
      <c r="AE71" s="9" t="s">
        <v>421</v>
      </c>
      <c r="AF71" s="28" t="s">
        <v>421</v>
      </c>
      <c r="AG71" s="28">
        <v>0.26900000000000002</v>
      </c>
      <c r="AH71" s="28">
        <v>33.209000000000003</v>
      </c>
      <c r="AI71" s="28">
        <v>0.127</v>
      </c>
      <c r="AJ71" s="28" t="s">
        <v>421</v>
      </c>
      <c r="AK71" s="28" t="s">
        <v>421</v>
      </c>
      <c r="AL71" s="28">
        <v>51.418999999999997</v>
      </c>
      <c r="AM71" s="28">
        <v>0.13100000000000001</v>
      </c>
      <c r="AN71" s="28">
        <v>13.506</v>
      </c>
      <c r="AO71" s="28">
        <v>0.74299999999999999</v>
      </c>
      <c r="AP71" s="156">
        <f t="shared" si="0"/>
        <v>99.403999999999996</v>
      </c>
    </row>
    <row r="72" spans="1:42" x14ac:dyDescent="0.2">
      <c r="A72" s="9" t="s">
        <v>547</v>
      </c>
      <c r="B72" s="9" t="s">
        <v>548</v>
      </c>
      <c r="C72" s="9" t="s">
        <v>81</v>
      </c>
      <c r="D72" s="9" t="s">
        <v>91</v>
      </c>
      <c r="E72" s="154">
        <v>285944.8231203077</v>
      </c>
      <c r="F72" s="154">
        <v>284388.25465705636</v>
      </c>
      <c r="G72" s="154">
        <v>6035.8885920921375</v>
      </c>
      <c r="H72" s="154">
        <v>100977.60080954427</v>
      </c>
      <c r="I72" s="154">
        <v>2.2556391381167842E-2</v>
      </c>
      <c r="J72" s="154">
        <v>726.37891669136411</v>
      </c>
      <c r="K72" s="154">
        <v>515580</v>
      </c>
      <c r="L72" s="154">
        <v>520520.49199630215</v>
      </c>
      <c r="M72" s="154">
        <v>12.073516439336506</v>
      </c>
      <c r="N72" s="154">
        <v>0.26166040088288089</v>
      </c>
      <c r="O72" s="154" t="s">
        <v>421</v>
      </c>
      <c r="P72" s="154" t="s">
        <v>421</v>
      </c>
      <c r="Q72" s="154">
        <v>7.753040334153539</v>
      </c>
      <c r="R72" s="154">
        <v>4379.965718497956</v>
      </c>
      <c r="S72" s="154">
        <v>24.648340117191047</v>
      </c>
      <c r="T72" s="154">
        <v>663.72844282037636</v>
      </c>
      <c r="U72" s="154">
        <v>493.94304038771094</v>
      </c>
      <c r="V72" s="154" t="s">
        <v>421</v>
      </c>
      <c r="W72" s="154">
        <v>1.79219071424643</v>
      </c>
      <c r="X72" s="154" t="s">
        <v>421</v>
      </c>
      <c r="Y72" s="154">
        <v>0.39254536211510743</v>
      </c>
      <c r="Z72" s="154">
        <v>22.391663411601769</v>
      </c>
      <c r="AC72" s="28" t="s">
        <v>421</v>
      </c>
      <c r="AD72" s="9" t="s">
        <v>421</v>
      </c>
      <c r="AE72" s="9" t="s">
        <v>421</v>
      </c>
      <c r="AF72" s="28" t="s">
        <v>421</v>
      </c>
      <c r="AG72" s="28">
        <v>0.26</v>
      </c>
      <c r="AH72" s="28">
        <v>33.627000000000002</v>
      </c>
      <c r="AI72" s="28">
        <v>1.0999999999999999E-2</v>
      </c>
      <c r="AJ72" s="28" t="s">
        <v>421</v>
      </c>
      <c r="AK72" s="28" t="s">
        <v>421</v>
      </c>
      <c r="AL72" s="28">
        <v>51.558</v>
      </c>
      <c r="AM72" s="28">
        <v>7.0000000000000001E-3</v>
      </c>
      <c r="AN72" s="28">
        <v>13.41</v>
      </c>
      <c r="AO72" s="28">
        <v>0.97299999999999998</v>
      </c>
      <c r="AP72" s="156">
        <f t="shared" ref="AP72:AP135" si="1">SUM(AC72:AO72)</f>
        <v>99.846000000000004</v>
      </c>
    </row>
    <row r="73" spans="1:42" x14ac:dyDescent="0.2">
      <c r="A73" s="9" t="s">
        <v>549</v>
      </c>
      <c r="B73" s="9" t="s">
        <v>550</v>
      </c>
      <c r="C73" s="9" t="s">
        <v>81</v>
      </c>
      <c r="D73" s="9" t="s">
        <v>92</v>
      </c>
      <c r="E73" s="154">
        <v>307276.06773638685</v>
      </c>
      <c r="F73" s="154">
        <v>296089.80453648267</v>
      </c>
      <c r="G73" s="154">
        <v>3494.8724633102011</v>
      </c>
      <c r="H73" s="154">
        <v>106280.20217040753</v>
      </c>
      <c r="I73" s="154">
        <v>26.836072407206672</v>
      </c>
      <c r="J73" s="154">
        <v>80.671062019737661</v>
      </c>
      <c r="K73" s="154">
        <v>524260</v>
      </c>
      <c r="L73" s="154">
        <v>528265.87203429919</v>
      </c>
      <c r="M73" s="154">
        <v>5.8224876741991984</v>
      </c>
      <c r="N73" s="154">
        <v>0.25816349892332408</v>
      </c>
      <c r="O73" s="154">
        <v>0.13322314449800912</v>
      </c>
      <c r="P73" s="154" t="s">
        <v>421</v>
      </c>
      <c r="Q73" s="154">
        <v>1.4800251206818025</v>
      </c>
      <c r="R73" s="154">
        <v>3685.6452703562472</v>
      </c>
      <c r="S73" s="154">
        <v>65.416190266832515</v>
      </c>
      <c r="T73" s="154">
        <v>4.1838271393423554</v>
      </c>
      <c r="U73" s="154">
        <v>4.4461101386781978</v>
      </c>
      <c r="V73" s="154" t="s">
        <v>421</v>
      </c>
      <c r="W73" s="154">
        <v>10.047356066504205</v>
      </c>
      <c r="X73" s="154" t="s">
        <v>421</v>
      </c>
      <c r="Y73" s="154">
        <v>3.2002519066777744</v>
      </c>
      <c r="Z73" s="154">
        <v>65.401965254558746</v>
      </c>
      <c r="AC73" s="28" t="s">
        <v>421</v>
      </c>
      <c r="AD73" s="9" t="s">
        <v>421</v>
      </c>
      <c r="AE73" s="9" t="s">
        <v>421</v>
      </c>
      <c r="AF73" s="28" t="s">
        <v>421</v>
      </c>
      <c r="AG73" s="28">
        <v>0.19</v>
      </c>
      <c r="AH73" s="28">
        <v>33.468000000000004</v>
      </c>
      <c r="AI73" s="28" t="s">
        <v>421</v>
      </c>
      <c r="AJ73" s="28" t="s">
        <v>421</v>
      </c>
      <c r="AK73" s="28" t="s">
        <v>421</v>
      </c>
      <c r="AL73" s="28">
        <v>52.426000000000002</v>
      </c>
      <c r="AM73" s="28">
        <v>2.5000000000000001E-2</v>
      </c>
      <c r="AN73" s="28">
        <v>12.88</v>
      </c>
      <c r="AO73" s="28">
        <v>0.56799999999999995</v>
      </c>
      <c r="AP73" s="156">
        <f t="shared" si="1"/>
        <v>99.557000000000002</v>
      </c>
    </row>
    <row r="74" spans="1:42" x14ac:dyDescent="0.2">
      <c r="A74" s="9" t="s">
        <v>551</v>
      </c>
      <c r="B74" s="9" t="s">
        <v>552</v>
      </c>
      <c r="C74" s="9" t="s">
        <v>81</v>
      </c>
      <c r="D74" s="9" t="s">
        <v>92</v>
      </c>
      <c r="E74" s="154">
        <v>309842.31718904222</v>
      </c>
      <c r="F74" s="154">
        <v>278865.6607518291</v>
      </c>
      <c r="G74" s="154">
        <v>3368.0125828512</v>
      </c>
      <c r="H74" s="154">
        <v>104305.97463188467</v>
      </c>
      <c r="I74" s="154">
        <v>25.861935982144065</v>
      </c>
      <c r="J74" s="154">
        <v>258.85407531141641</v>
      </c>
      <c r="K74" s="154">
        <v>524500</v>
      </c>
      <c r="L74" s="154">
        <v>524201.31835688307</v>
      </c>
      <c r="M74" s="154">
        <v>3.6998548542064786</v>
      </c>
      <c r="N74" s="154" t="s">
        <v>421</v>
      </c>
      <c r="O74" s="154">
        <v>1.8559326023305995</v>
      </c>
      <c r="P74" s="154">
        <v>0.83980802537439192</v>
      </c>
      <c r="Q74" s="154">
        <v>3.9596340330673501</v>
      </c>
      <c r="R74" s="154">
        <v>3695.0381586515773</v>
      </c>
      <c r="S74" s="154">
        <v>71.354033885584428</v>
      </c>
      <c r="T74" s="154">
        <v>7.1288180887214256</v>
      </c>
      <c r="U74" s="154">
        <v>6.7294389409231261</v>
      </c>
      <c r="V74" s="154">
        <v>0.46447320350439936</v>
      </c>
      <c r="W74" s="154">
        <v>16.480870288883718</v>
      </c>
      <c r="X74" s="154" t="s">
        <v>421</v>
      </c>
      <c r="Y74" s="154">
        <v>13.416188670329337</v>
      </c>
      <c r="Z74" s="154">
        <v>71.329795904082772</v>
      </c>
      <c r="AC74" s="28" t="s">
        <v>421</v>
      </c>
      <c r="AD74" s="9" t="s">
        <v>421</v>
      </c>
      <c r="AE74" s="9" t="s">
        <v>421</v>
      </c>
      <c r="AF74" s="28" t="s">
        <v>421</v>
      </c>
      <c r="AG74" s="28">
        <v>0.17499999999999999</v>
      </c>
      <c r="AH74" s="28">
        <v>33.442999999999998</v>
      </c>
      <c r="AI74" s="28" t="s">
        <v>421</v>
      </c>
      <c r="AJ74" s="28" t="s">
        <v>421</v>
      </c>
      <c r="AK74" s="28" t="s">
        <v>421</v>
      </c>
      <c r="AL74" s="28">
        <v>52.45</v>
      </c>
      <c r="AM74" s="28">
        <v>1.7000000000000001E-2</v>
      </c>
      <c r="AN74" s="28">
        <v>12.77</v>
      </c>
      <c r="AO74" s="28">
        <v>0.56200000000000006</v>
      </c>
      <c r="AP74" s="156">
        <f t="shared" si="1"/>
        <v>99.416999999999987</v>
      </c>
    </row>
    <row r="75" spans="1:42" x14ac:dyDescent="0.2">
      <c r="A75" s="9" t="s">
        <v>553</v>
      </c>
      <c r="B75" s="9" t="s">
        <v>554</v>
      </c>
      <c r="C75" s="9" t="s">
        <v>81</v>
      </c>
      <c r="D75" s="9" t="s">
        <v>92</v>
      </c>
      <c r="E75" s="154">
        <v>282044.77000035788</v>
      </c>
      <c r="F75" s="154">
        <v>282281.70474543632</v>
      </c>
      <c r="G75" s="154">
        <v>4783.832269536626</v>
      </c>
      <c r="H75" s="154">
        <v>94400.065352927908</v>
      </c>
      <c r="I75" s="154">
        <v>17.831906020699041</v>
      </c>
      <c r="J75" s="154">
        <v>623.09591297826739</v>
      </c>
      <c r="K75" s="154">
        <v>522730.00000000006</v>
      </c>
      <c r="L75" s="154">
        <v>523870.98619675805</v>
      </c>
      <c r="M75" s="154">
        <v>4.4623094067878197</v>
      </c>
      <c r="N75" s="154">
        <v>0.28890483855398158</v>
      </c>
      <c r="O75" s="154">
        <v>0.14910632186860356</v>
      </c>
      <c r="P75" s="154">
        <v>1.2155424080559489</v>
      </c>
      <c r="Q75" s="154">
        <v>10.145525257390368</v>
      </c>
      <c r="R75" s="154">
        <v>4446.2310710465026</v>
      </c>
      <c r="S75" s="154">
        <v>64.421302550296005</v>
      </c>
      <c r="T75" s="154">
        <v>12.109018445788516</v>
      </c>
      <c r="U75" s="154">
        <v>11.042829668888379</v>
      </c>
      <c r="V75" s="154">
        <v>2.6201720820731471</v>
      </c>
      <c r="W75" s="154">
        <v>5.2193672210897537</v>
      </c>
      <c r="X75" s="154">
        <v>1.9227183830609906E-2</v>
      </c>
      <c r="Y75" s="154">
        <v>3.8494026348993104</v>
      </c>
      <c r="Z75" s="154">
        <v>64.380131887580319</v>
      </c>
      <c r="AC75" s="28" t="s">
        <v>421</v>
      </c>
      <c r="AD75" s="9" t="s">
        <v>421</v>
      </c>
      <c r="AE75" s="9" t="s">
        <v>421</v>
      </c>
      <c r="AF75" s="28" t="s">
        <v>421</v>
      </c>
      <c r="AG75" s="28">
        <v>0.26400000000000001</v>
      </c>
      <c r="AH75" s="28">
        <v>33.457999999999998</v>
      </c>
      <c r="AI75" s="28">
        <v>8.0000000000000002E-3</v>
      </c>
      <c r="AJ75" s="28" t="s">
        <v>421</v>
      </c>
      <c r="AK75" s="28" t="s">
        <v>421</v>
      </c>
      <c r="AL75" s="28">
        <v>52.273000000000003</v>
      </c>
      <c r="AM75" s="28" t="s">
        <v>421</v>
      </c>
      <c r="AN75" s="28">
        <v>12.657999999999999</v>
      </c>
      <c r="AO75" s="28">
        <v>0.79800000000000004</v>
      </c>
      <c r="AP75" s="156">
        <f t="shared" si="1"/>
        <v>99.459000000000017</v>
      </c>
    </row>
    <row r="76" spans="1:42" x14ac:dyDescent="0.2">
      <c r="A76" s="9" t="s">
        <v>555</v>
      </c>
      <c r="B76" s="9" t="s">
        <v>556</v>
      </c>
      <c r="C76" s="9" t="s">
        <v>81</v>
      </c>
      <c r="D76" s="9" t="s">
        <v>92</v>
      </c>
      <c r="E76" s="154">
        <v>283382.00115795928</v>
      </c>
      <c r="F76" s="154">
        <v>281384.45719315636</v>
      </c>
      <c r="G76" s="154">
        <v>4421.0502057037666</v>
      </c>
      <c r="H76" s="154">
        <v>93831.110610194708</v>
      </c>
      <c r="I76" s="154">
        <v>18.173447987484529</v>
      </c>
      <c r="J76" s="154">
        <v>1383.117559526853</v>
      </c>
      <c r="K76" s="154">
        <v>523960</v>
      </c>
      <c r="L76" s="154">
        <v>525560.45601027552</v>
      </c>
      <c r="M76" s="154">
        <v>5.7144894850789045</v>
      </c>
      <c r="N76" s="154" t="s">
        <v>421</v>
      </c>
      <c r="O76" s="154">
        <v>0.14074348336650527</v>
      </c>
      <c r="P76" s="154">
        <v>1.6384222422776085</v>
      </c>
      <c r="Q76" s="154">
        <v>17.719916216095314</v>
      </c>
      <c r="R76" s="154">
        <v>4379.3535847346693</v>
      </c>
      <c r="S76" s="154">
        <v>63.877709598009048</v>
      </c>
      <c r="T76" s="154">
        <v>95.519926938137743</v>
      </c>
      <c r="U76" s="154">
        <v>91.71165066239702</v>
      </c>
      <c r="V76" s="154">
        <v>4.6106622576787801</v>
      </c>
      <c r="W76" s="154">
        <v>4.4740758146789359</v>
      </c>
      <c r="X76" s="154">
        <v>0.10634929703553499</v>
      </c>
      <c r="Y76" s="154">
        <v>8.0485738075483795</v>
      </c>
      <c r="Z76" s="154">
        <v>63.55294184641938</v>
      </c>
      <c r="AC76" s="28" t="s">
        <v>421</v>
      </c>
      <c r="AD76" s="9" t="s">
        <v>421</v>
      </c>
      <c r="AE76" s="9" t="s">
        <v>421</v>
      </c>
      <c r="AF76" s="28" t="s">
        <v>421</v>
      </c>
      <c r="AG76" s="28">
        <v>0.25700000000000001</v>
      </c>
      <c r="AH76" s="28">
        <v>33.591999999999999</v>
      </c>
      <c r="AI76" s="28" t="s">
        <v>421</v>
      </c>
      <c r="AJ76" s="28" t="s">
        <v>421</v>
      </c>
      <c r="AK76" s="28" t="s">
        <v>421</v>
      </c>
      <c r="AL76" s="28">
        <v>52.396000000000001</v>
      </c>
      <c r="AM76" s="28">
        <v>3.2000000000000001E-2</v>
      </c>
      <c r="AN76" s="28">
        <v>12.629</v>
      </c>
      <c r="AO76" s="28">
        <v>0.73799999999999999</v>
      </c>
      <c r="AP76" s="156">
        <f t="shared" si="1"/>
        <v>99.644000000000005</v>
      </c>
    </row>
    <row r="77" spans="1:42" x14ac:dyDescent="0.2">
      <c r="A77" s="9" t="s">
        <v>557</v>
      </c>
      <c r="B77" s="9" t="s">
        <v>558</v>
      </c>
      <c r="C77" s="9" t="s">
        <v>81</v>
      </c>
      <c r="D77" s="9" t="s">
        <v>92</v>
      </c>
      <c r="E77" s="154">
        <v>288358.3812876984</v>
      </c>
      <c r="F77" s="154">
        <v>281288.86657087872</v>
      </c>
      <c r="G77" s="154">
        <v>4550.9225634359309</v>
      </c>
      <c r="H77" s="154">
        <v>97901.637386107221</v>
      </c>
      <c r="I77" s="154">
        <v>16.902109669567746</v>
      </c>
      <c r="J77" s="154">
        <v>253.1595897555024</v>
      </c>
      <c r="K77" s="154">
        <v>522909.99999999994</v>
      </c>
      <c r="L77" s="154">
        <v>521228.14004736353</v>
      </c>
      <c r="M77" s="154">
        <v>5.2322090397623136</v>
      </c>
      <c r="N77" s="154" t="s">
        <v>421</v>
      </c>
      <c r="O77" s="154">
        <v>0.14346402684652357</v>
      </c>
      <c r="P77" s="154">
        <v>0.92961118350215688</v>
      </c>
      <c r="Q77" s="154">
        <v>3.8953057384043044</v>
      </c>
      <c r="R77" s="154">
        <v>4425.8285953967661</v>
      </c>
      <c r="S77" s="154">
        <v>53.975071467078642</v>
      </c>
      <c r="T77" s="154">
        <v>147.61218795044843</v>
      </c>
      <c r="U77" s="154">
        <v>146.43249489832903</v>
      </c>
      <c r="V77" s="154">
        <v>0.12144739988537867</v>
      </c>
      <c r="W77" s="154">
        <v>3.5023894769642103</v>
      </c>
      <c r="X77" s="154">
        <v>1.5916355849564849E-2</v>
      </c>
      <c r="Y77" s="154">
        <v>0.87275498533595564</v>
      </c>
      <c r="Z77" s="154">
        <v>53.473190028047121</v>
      </c>
      <c r="AC77" s="28" t="s">
        <v>421</v>
      </c>
      <c r="AD77" s="9" t="s">
        <v>421</v>
      </c>
      <c r="AE77" s="9" t="s">
        <v>421</v>
      </c>
      <c r="AF77" s="28" t="s">
        <v>421</v>
      </c>
      <c r="AG77" s="28">
        <v>0.223</v>
      </c>
      <c r="AH77" s="28">
        <v>33.220999999999997</v>
      </c>
      <c r="AI77" s="28">
        <v>2.3E-2</v>
      </c>
      <c r="AJ77" s="28" t="s">
        <v>421</v>
      </c>
      <c r="AK77" s="28" t="s">
        <v>421</v>
      </c>
      <c r="AL77" s="28">
        <v>52.290999999999997</v>
      </c>
      <c r="AM77" s="28">
        <v>6.0000000000000001E-3</v>
      </c>
      <c r="AN77" s="28">
        <v>12.85</v>
      </c>
      <c r="AO77" s="28">
        <v>0.71199999999999997</v>
      </c>
      <c r="AP77" s="156">
        <f t="shared" si="1"/>
        <v>99.325999999999993</v>
      </c>
    </row>
    <row r="78" spans="1:42" x14ac:dyDescent="0.2">
      <c r="A78" s="9" t="s">
        <v>559</v>
      </c>
      <c r="B78" s="9" t="s">
        <v>560</v>
      </c>
      <c r="C78" s="9" t="s">
        <v>81</v>
      </c>
      <c r="D78" s="9" t="s">
        <v>92</v>
      </c>
      <c r="E78" s="154">
        <v>281006.76393719029</v>
      </c>
      <c r="F78" s="154">
        <v>278879.50181463599</v>
      </c>
      <c r="G78" s="154">
        <v>3655.7807391305291</v>
      </c>
      <c r="H78" s="154">
        <v>98521.791066793405</v>
      </c>
      <c r="I78" s="154">
        <v>18.97853831886253</v>
      </c>
      <c r="J78" s="154">
        <v>349.76988451604808</v>
      </c>
      <c r="K78" s="154">
        <v>524110</v>
      </c>
      <c r="L78" s="154">
        <v>520229.18282029318</v>
      </c>
      <c r="M78" s="154">
        <v>5.7497006533003185</v>
      </c>
      <c r="N78" s="154">
        <v>0.30436108282267244</v>
      </c>
      <c r="O78" s="154">
        <v>0.16675687000751085</v>
      </c>
      <c r="P78" s="154">
        <v>0.98412039882640701</v>
      </c>
      <c r="Q78" s="154">
        <v>6.6845750271703865</v>
      </c>
      <c r="R78" s="154">
        <v>4409.9907247317742</v>
      </c>
      <c r="S78" s="154">
        <v>58.620723438870208</v>
      </c>
      <c r="T78" s="154">
        <v>165.58716172324719</v>
      </c>
      <c r="U78" s="154">
        <v>160.51631060086268</v>
      </c>
      <c r="V78" s="154">
        <v>2.6237828353866401</v>
      </c>
      <c r="W78" s="154">
        <v>3.388266003263686</v>
      </c>
      <c r="X78" s="154">
        <v>7.2112319433171868E-2</v>
      </c>
      <c r="Y78" s="154">
        <v>9.8222220960378195</v>
      </c>
      <c r="Z78" s="154">
        <v>58.057727089011166</v>
      </c>
      <c r="AC78" s="28" t="s">
        <v>421</v>
      </c>
      <c r="AD78" s="9" t="s">
        <v>421</v>
      </c>
      <c r="AE78" s="9" t="s">
        <v>421</v>
      </c>
      <c r="AF78" s="28" t="s">
        <v>421</v>
      </c>
      <c r="AG78" s="28">
        <v>0.26900000000000002</v>
      </c>
      <c r="AH78" s="28">
        <v>33.338999999999999</v>
      </c>
      <c r="AI78" s="28">
        <v>1.6E-2</v>
      </c>
      <c r="AJ78" s="28" t="s">
        <v>421</v>
      </c>
      <c r="AK78" s="28" t="s">
        <v>421</v>
      </c>
      <c r="AL78" s="28">
        <v>52.411000000000001</v>
      </c>
      <c r="AM78" s="28">
        <v>1.9E-2</v>
      </c>
      <c r="AN78" s="28">
        <v>12.868</v>
      </c>
      <c r="AO78" s="28">
        <v>0.59799999999999998</v>
      </c>
      <c r="AP78" s="156">
        <f t="shared" si="1"/>
        <v>99.52</v>
      </c>
    </row>
    <row r="79" spans="1:42" x14ac:dyDescent="0.2">
      <c r="A79" s="9" t="s">
        <v>561</v>
      </c>
      <c r="B79" s="9" t="s">
        <v>562</v>
      </c>
      <c r="C79" s="9" t="s">
        <v>81</v>
      </c>
      <c r="D79" s="9" t="s">
        <v>92</v>
      </c>
      <c r="E79" s="154">
        <v>279620.80864038999</v>
      </c>
      <c r="F79" s="154">
        <v>277915.71010727814</v>
      </c>
      <c r="G79" s="154">
        <v>3205.5732581445923</v>
      </c>
      <c r="H79" s="154">
        <v>97320.75399150372</v>
      </c>
      <c r="I79" s="154">
        <v>19.200761175456542</v>
      </c>
      <c r="J79" s="154">
        <v>1066.7833820346777</v>
      </c>
      <c r="K79" s="154">
        <v>524480</v>
      </c>
      <c r="L79" s="154">
        <v>526623.89467069821</v>
      </c>
      <c r="M79" s="154">
        <v>6.907694304415168</v>
      </c>
      <c r="N79" s="154" t="s">
        <v>421</v>
      </c>
      <c r="O79" s="154" t="s">
        <v>421</v>
      </c>
      <c r="P79" s="154">
        <v>1.6116996092318627</v>
      </c>
      <c r="Q79" s="154">
        <v>11.942174418846935</v>
      </c>
      <c r="R79" s="154">
        <v>4435.2631408622856</v>
      </c>
      <c r="S79" s="154">
        <v>49.248650236192397</v>
      </c>
      <c r="T79" s="154">
        <v>512.48537591004936</v>
      </c>
      <c r="U79" s="154">
        <v>507.35083390101971</v>
      </c>
      <c r="V79" s="154">
        <v>1.0610478886648198</v>
      </c>
      <c r="W79" s="154">
        <v>2.9649956978347189</v>
      </c>
      <c r="X79" s="154">
        <v>4.4348447391113925E-2</v>
      </c>
      <c r="Y79" s="154">
        <v>2.6971903479577866</v>
      </c>
      <c r="Z79" s="154">
        <v>47.506199958098229</v>
      </c>
      <c r="AC79" s="28" t="s">
        <v>421</v>
      </c>
      <c r="AD79" s="9" t="s">
        <v>421</v>
      </c>
      <c r="AE79" s="9" t="s">
        <v>421</v>
      </c>
      <c r="AF79" s="28" t="s">
        <v>421</v>
      </c>
      <c r="AG79" s="28">
        <v>0.26600000000000001</v>
      </c>
      <c r="AH79" s="28">
        <v>33.478000000000002</v>
      </c>
      <c r="AI79" s="28">
        <v>0.04</v>
      </c>
      <c r="AJ79" s="28" t="s">
        <v>421</v>
      </c>
      <c r="AK79" s="28" t="s">
        <v>421</v>
      </c>
      <c r="AL79" s="28">
        <v>52.448</v>
      </c>
      <c r="AM79" s="28">
        <v>0.05</v>
      </c>
      <c r="AN79" s="28">
        <v>12.81</v>
      </c>
      <c r="AO79" s="28">
        <v>0.55000000000000004</v>
      </c>
      <c r="AP79" s="156">
        <f t="shared" si="1"/>
        <v>99.641999999999996</v>
      </c>
    </row>
    <row r="80" spans="1:42" x14ac:dyDescent="0.2">
      <c r="A80" s="9" t="s">
        <v>563</v>
      </c>
      <c r="B80" s="9" t="s">
        <v>564</v>
      </c>
      <c r="C80" s="9" t="s">
        <v>81</v>
      </c>
      <c r="D80" s="9" t="s">
        <v>93</v>
      </c>
      <c r="E80" s="154">
        <v>275827.19302806573</v>
      </c>
      <c r="F80" s="154">
        <v>276329.61688554101</v>
      </c>
      <c r="G80" s="154">
        <v>1179.8370794585712</v>
      </c>
      <c r="H80" s="154">
        <v>92242.515288489056</v>
      </c>
      <c r="I80" s="154">
        <v>54.078023069080423</v>
      </c>
      <c r="J80" s="154">
        <v>948.95400365260241</v>
      </c>
      <c r="K80" s="154">
        <v>533160</v>
      </c>
      <c r="L80" s="154">
        <v>539619.43894492043</v>
      </c>
      <c r="M80" s="154">
        <v>3.5998172475057282</v>
      </c>
      <c r="N80" s="154">
        <v>0.26885567846109665</v>
      </c>
      <c r="O80" s="154" t="s">
        <v>421</v>
      </c>
      <c r="P80" s="154" t="s">
        <v>421</v>
      </c>
      <c r="Q80" s="154">
        <v>10.846211310314416</v>
      </c>
      <c r="R80" s="154">
        <v>5959.1903917399895</v>
      </c>
      <c r="S80" s="154">
        <v>407.84823669431847</v>
      </c>
      <c r="T80" s="154">
        <v>49.359666918808301</v>
      </c>
      <c r="U80" s="154">
        <v>50.200588688886135</v>
      </c>
      <c r="V80" s="154" t="s">
        <v>421</v>
      </c>
      <c r="W80" s="154">
        <v>3.0914132031809363</v>
      </c>
      <c r="X80" s="154" t="s">
        <v>421</v>
      </c>
      <c r="Y80" s="154">
        <v>0.58594941289776636</v>
      </c>
      <c r="Z80" s="154">
        <v>407.68041382679451</v>
      </c>
      <c r="AC80" s="28" t="s">
        <v>421</v>
      </c>
      <c r="AD80" s="9" t="s">
        <v>421</v>
      </c>
      <c r="AE80" s="9" t="s">
        <v>421</v>
      </c>
      <c r="AF80" s="28" t="s">
        <v>421</v>
      </c>
      <c r="AG80" s="28">
        <v>0.53700000000000003</v>
      </c>
      <c r="AH80" s="28">
        <v>33.512</v>
      </c>
      <c r="AI80" s="28">
        <v>2.5999999999999999E-2</v>
      </c>
      <c r="AJ80" s="28">
        <v>2.9000000000000001E-2</v>
      </c>
      <c r="AK80" s="28">
        <v>2E-3</v>
      </c>
      <c r="AL80" s="28">
        <v>53.316000000000003</v>
      </c>
      <c r="AM80" s="28">
        <v>6.0999999999999999E-2</v>
      </c>
      <c r="AN80" s="28">
        <v>12.148999999999999</v>
      </c>
      <c r="AO80" s="28">
        <v>0.18</v>
      </c>
      <c r="AP80" s="156">
        <f t="shared" si="1"/>
        <v>99.812000000000026</v>
      </c>
    </row>
    <row r="81" spans="1:42" x14ac:dyDescent="0.2">
      <c r="A81" s="9" t="s">
        <v>565</v>
      </c>
      <c r="B81" s="9" t="s">
        <v>566</v>
      </c>
      <c r="C81" s="9" t="s">
        <v>81</v>
      </c>
      <c r="D81" s="9" t="s">
        <v>93</v>
      </c>
      <c r="E81" s="154">
        <v>280787.15049687127</v>
      </c>
      <c r="F81" s="154">
        <v>280046.85578959913</v>
      </c>
      <c r="G81" s="154">
        <v>1935.766521023565</v>
      </c>
      <c r="H81" s="154">
        <v>84354.046596671338</v>
      </c>
      <c r="I81" s="154">
        <v>79.838340994484298</v>
      </c>
      <c r="J81" s="154">
        <v>1400.6595455887407</v>
      </c>
      <c r="K81" s="154">
        <v>533370</v>
      </c>
      <c r="L81" s="154">
        <v>534109.1216035533</v>
      </c>
      <c r="M81" s="154">
        <v>3.6555013385080333</v>
      </c>
      <c r="N81" s="154">
        <v>0.26821999183838213</v>
      </c>
      <c r="O81" s="154" t="s">
        <v>421</v>
      </c>
      <c r="P81" s="154">
        <v>0.79989590077717176</v>
      </c>
      <c r="Q81" s="154">
        <v>10.544782500459831</v>
      </c>
      <c r="R81" s="154">
        <v>5775.2335260763239</v>
      </c>
      <c r="S81" s="154">
        <v>826.71164781648781</v>
      </c>
      <c r="T81" s="154">
        <v>3.080589601790229</v>
      </c>
      <c r="U81" s="154">
        <v>2.6916516398906203</v>
      </c>
      <c r="V81" s="154">
        <v>0.21893076041695969</v>
      </c>
      <c r="W81" s="154">
        <v>3.6589963003161654</v>
      </c>
      <c r="X81" s="154" t="s">
        <v>421</v>
      </c>
      <c r="Y81" s="154">
        <v>3.458136082191317</v>
      </c>
      <c r="Z81" s="154">
        <v>826.70117381184173</v>
      </c>
      <c r="AC81" s="28" t="s">
        <v>421</v>
      </c>
      <c r="AD81" s="9" t="s">
        <v>421</v>
      </c>
      <c r="AE81" s="9" t="s">
        <v>421</v>
      </c>
      <c r="AF81" s="28" t="s">
        <v>421</v>
      </c>
      <c r="AG81" s="28">
        <v>0.54600000000000004</v>
      </c>
      <c r="AH81" s="28">
        <v>33.216000000000001</v>
      </c>
      <c r="AI81" s="28" t="s">
        <v>421</v>
      </c>
      <c r="AJ81" s="28">
        <v>0.13600000000000001</v>
      </c>
      <c r="AK81" s="28" t="s">
        <v>421</v>
      </c>
      <c r="AL81" s="28">
        <v>53.337000000000003</v>
      </c>
      <c r="AM81" s="28">
        <v>0.42299999999999999</v>
      </c>
      <c r="AN81" s="28">
        <v>11.191000000000001</v>
      </c>
      <c r="AO81" s="28">
        <v>0.60599999999999998</v>
      </c>
      <c r="AP81" s="156">
        <f t="shared" si="1"/>
        <v>99.455000000000013</v>
      </c>
    </row>
    <row r="82" spans="1:42" x14ac:dyDescent="0.2">
      <c r="A82" s="9" t="s">
        <v>567</v>
      </c>
      <c r="B82" s="9" t="s">
        <v>568</v>
      </c>
      <c r="C82" s="9" t="s">
        <v>81</v>
      </c>
      <c r="D82" s="9" t="s">
        <v>93</v>
      </c>
      <c r="E82" s="154">
        <v>296033.6336847269</v>
      </c>
      <c r="F82" s="154">
        <v>288345.09718114382</v>
      </c>
      <c r="G82" s="154">
        <v>2488.8140694862827</v>
      </c>
      <c r="H82" s="154">
        <v>84424.617600259837</v>
      </c>
      <c r="I82" s="154">
        <v>95.006287885515633</v>
      </c>
      <c r="J82" s="154">
        <v>1606.0129919173926</v>
      </c>
      <c r="K82" s="154">
        <v>540040</v>
      </c>
      <c r="L82" s="154">
        <v>531651.92718547001</v>
      </c>
      <c r="M82" s="154">
        <v>0.68120189790878027</v>
      </c>
      <c r="N82" s="154" t="s">
        <v>421</v>
      </c>
      <c r="O82" s="154" t="s">
        <v>421</v>
      </c>
      <c r="P82" s="154" t="s">
        <v>421</v>
      </c>
      <c r="Q82" s="154">
        <v>9.9534574270024301</v>
      </c>
      <c r="R82" s="154">
        <v>5824.8225627132233</v>
      </c>
      <c r="S82" s="154">
        <v>539.36177266834898</v>
      </c>
      <c r="T82" s="154">
        <v>3.6434328634255446</v>
      </c>
      <c r="U82" s="154">
        <v>3.7923441052228752</v>
      </c>
      <c r="V82" s="154">
        <v>1.1647747107556143</v>
      </c>
      <c r="W82" s="154">
        <v>3.3599842055758367</v>
      </c>
      <c r="X82" s="154">
        <v>1.4933962663539722E-2</v>
      </c>
      <c r="Y82" s="154">
        <v>6.1897514816412542</v>
      </c>
      <c r="Z82" s="154">
        <v>539.34938499661337</v>
      </c>
      <c r="AC82" s="28" t="s">
        <v>421</v>
      </c>
      <c r="AD82" s="9" t="s">
        <v>421</v>
      </c>
      <c r="AE82" s="9" t="s">
        <v>421</v>
      </c>
      <c r="AF82" s="28" t="s">
        <v>421</v>
      </c>
      <c r="AG82" s="28">
        <v>0.57199999999999995</v>
      </c>
      <c r="AH82" s="28">
        <v>33.427</v>
      </c>
      <c r="AI82" s="28" t="s">
        <v>421</v>
      </c>
      <c r="AJ82" s="28">
        <v>9.5000000000000001E-2</v>
      </c>
      <c r="AK82" s="28" t="s">
        <v>421</v>
      </c>
      <c r="AL82" s="28">
        <v>54.003999999999998</v>
      </c>
      <c r="AM82" s="28">
        <v>7.1999999999999995E-2</v>
      </c>
      <c r="AN82" s="28">
        <v>11.382</v>
      </c>
      <c r="AO82" s="28">
        <v>0.317</v>
      </c>
      <c r="AP82" s="156">
        <f t="shared" si="1"/>
        <v>99.869</v>
      </c>
    </row>
    <row r="83" spans="1:42" x14ac:dyDescent="0.2">
      <c r="A83" s="9" t="s">
        <v>569</v>
      </c>
      <c r="B83" s="9" t="s">
        <v>570</v>
      </c>
      <c r="C83" s="9" t="s">
        <v>81</v>
      </c>
      <c r="D83" s="9" t="s">
        <v>93</v>
      </c>
      <c r="E83" s="154">
        <v>284902.80694290571</v>
      </c>
      <c r="F83" s="154">
        <v>282661.99819915532</v>
      </c>
      <c r="G83" s="154">
        <v>977.75090488962053</v>
      </c>
      <c r="H83" s="154">
        <v>87941.707526067286</v>
      </c>
      <c r="I83" s="154">
        <v>84.980232739064746</v>
      </c>
      <c r="J83" s="154">
        <v>995.44435929035365</v>
      </c>
      <c r="K83" s="154">
        <v>539020</v>
      </c>
      <c r="L83" s="154">
        <v>538607.54791203956</v>
      </c>
      <c r="M83" s="154">
        <v>1.7815168623098336</v>
      </c>
      <c r="N83" s="154" t="s">
        <v>421</v>
      </c>
      <c r="O83" s="154">
        <v>0.14358088109956402</v>
      </c>
      <c r="P83" s="154" t="s">
        <v>421</v>
      </c>
      <c r="Q83" s="154">
        <v>17.348424250880825</v>
      </c>
      <c r="R83" s="154">
        <v>5734.0541169921607</v>
      </c>
      <c r="S83" s="154">
        <v>771.17575705623835</v>
      </c>
      <c r="T83" s="154">
        <v>3.8135029310055226</v>
      </c>
      <c r="U83" s="154">
        <v>4.1710888041479297</v>
      </c>
      <c r="V83" s="154">
        <v>5.0702353955344323E-2</v>
      </c>
      <c r="W83" s="154">
        <v>4.2065548732191633</v>
      </c>
      <c r="X83" s="154">
        <v>1.643430207495011E-2</v>
      </c>
      <c r="Y83" s="154">
        <v>0.18488967961253647</v>
      </c>
      <c r="Z83" s="154">
        <v>771.16279114627298</v>
      </c>
      <c r="AC83" s="28" t="s">
        <v>421</v>
      </c>
      <c r="AD83" s="9" t="s">
        <v>421</v>
      </c>
      <c r="AE83" s="9" t="s">
        <v>421</v>
      </c>
      <c r="AF83" s="28" t="s">
        <v>421</v>
      </c>
      <c r="AG83" s="28">
        <v>0.56000000000000005</v>
      </c>
      <c r="AH83" s="28">
        <v>33.426000000000002</v>
      </c>
      <c r="AI83" s="28" t="s">
        <v>421</v>
      </c>
      <c r="AJ83" s="28">
        <v>0.13800000000000001</v>
      </c>
      <c r="AK83" s="28">
        <v>1E-3</v>
      </c>
      <c r="AL83" s="28">
        <v>53.902000000000001</v>
      </c>
      <c r="AM83" s="28">
        <v>9.1999999999999998E-2</v>
      </c>
      <c r="AN83" s="28">
        <v>11.484</v>
      </c>
      <c r="AO83" s="28">
        <v>0.16400000000000001</v>
      </c>
      <c r="AP83" s="156">
        <f t="shared" si="1"/>
        <v>99.766999999999996</v>
      </c>
    </row>
    <row r="84" spans="1:42" x14ac:dyDescent="0.2">
      <c r="A84" s="9" t="s">
        <v>571</v>
      </c>
      <c r="B84" s="9" t="s">
        <v>572</v>
      </c>
      <c r="C84" s="9" t="s">
        <v>81</v>
      </c>
      <c r="D84" s="9" t="s">
        <v>93</v>
      </c>
      <c r="E84" s="154">
        <v>290327.28077889094</v>
      </c>
      <c r="F84" s="154">
        <v>286148.6574242498</v>
      </c>
      <c r="G84" s="154">
        <v>2364.8322727496957</v>
      </c>
      <c r="H84" s="154">
        <v>89378.177588211198</v>
      </c>
      <c r="I84" s="154">
        <v>82.528884342985094</v>
      </c>
      <c r="J84" s="154">
        <v>1322.8068909764825</v>
      </c>
      <c r="K84" s="154">
        <v>537720</v>
      </c>
      <c r="L84" s="154">
        <v>540090.61381537293</v>
      </c>
      <c r="M84" s="154">
        <v>3.1601515258904147</v>
      </c>
      <c r="N84" s="154" t="s">
        <v>421</v>
      </c>
      <c r="O84" s="154" t="s">
        <v>421</v>
      </c>
      <c r="P84" s="154">
        <v>1.693733851157073</v>
      </c>
      <c r="Q84" s="154">
        <v>16.403215835370879</v>
      </c>
      <c r="R84" s="154">
        <v>5470.714703753737</v>
      </c>
      <c r="S84" s="154">
        <v>1013.1098480603412</v>
      </c>
      <c r="T84" s="154">
        <v>2.7140419023660884</v>
      </c>
      <c r="U84" s="154">
        <v>2.6194762798842235</v>
      </c>
      <c r="V84" s="154">
        <v>4.2011501149055518E-2</v>
      </c>
      <c r="W84" s="154">
        <v>3.7051957660660517</v>
      </c>
      <c r="X84" s="154" t="s">
        <v>421</v>
      </c>
      <c r="Y84" s="154">
        <v>0.2164290885530912</v>
      </c>
      <c r="Z84" s="154">
        <v>1013.1006203178731</v>
      </c>
      <c r="AC84" s="28" t="s">
        <v>421</v>
      </c>
      <c r="AD84" s="9" t="s">
        <v>421</v>
      </c>
      <c r="AE84" s="9" t="s">
        <v>421</v>
      </c>
      <c r="AF84" s="28" t="s">
        <v>421</v>
      </c>
      <c r="AG84" s="28">
        <v>0.60099999999999998</v>
      </c>
      <c r="AH84" s="28">
        <v>33.231999999999999</v>
      </c>
      <c r="AI84" s="28" t="s">
        <v>421</v>
      </c>
      <c r="AJ84" s="28">
        <v>0.13200000000000001</v>
      </c>
      <c r="AK84" s="28" t="s">
        <v>421</v>
      </c>
      <c r="AL84" s="28">
        <v>53.771999999999998</v>
      </c>
      <c r="AM84" s="28">
        <v>9.2999999999999999E-2</v>
      </c>
      <c r="AN84" s="28">
        <v>11.472</v>
      </c>
      <c r="AO84" s="28">
        <v>0.28199999999999997</v>
      </c>
      <c r="AP84" s="156">
        <f t="shared" si="1"/>
        <v>99.583999999999989</v>
      </c>
    </row>
    <row r="85" spans="1:42" x14ac:dyDescent="0.2">
      <c r="A85" s="9" t="s">
        <v>573</v>
      </c>
      <c r="B85" s="9" t="s">
        <v>574</v>
      </c>
      <c r="C85" s="9" t="s">
        <v>81</v>
      </c>
      <c r="D85" s="9" t="s">
        <v>93</v>
      </c>
      <c r="E85" s="154">
        <v>284278.74163595855</v>
      </c>
      <c r="F85" s="154">
        <v>280387.55198750435</v>
      </c>
      <c r="G85" s="154">
        <v>1308.9113236968426</v>
      </c>
      <c r="H85" s="154">
        <v>88137.390816158804</v>
      </c>
      <c r="I85" s="154">
        <v>84.26132149132718</v>
      </c>
      <c r="J85" s="154">
        <v>822.79381179852305</v>
      </c>
      <c r="K85" s="154">
        <v>536800</v>
      </c>
      <c r="L85" s="154">
        <v>535716.20237246389</v>
      </c>
      <c r="M85" s="154">
        <v>1.0452251549687221</v>
      </c>
      <c r="N85" s="154" t="s">
        <v>421</v>
      </c>
      <c r="O85" s="154">
        <v>0.15683046358763741</v>
      </c>
      <c r="P85" s="154">
        <v>0.88644305700488957</v>
      </c>
      <c r="Q85" s="154">
        <v>10.967619766723079</v>
      </c>
      <c r="R85" s="154">
        <v>6981.8783145492325</v>
      </c>
      <c r="S85" s="154">
        <v>633.17824334356351</v>
      </c>
      <c r="T85" s="154">
        <v>2.8219404165482329</v>
      </c>
      <c r="U85" s="154">
        <v>2.7045469096039141</v>
      </c>
      <c r="V85" s="154">
        <v>2.2311439367561405</v>
      </c>
      <c r="W85" s="154">
        <v>5.1800460874651613</v>
      </c>
      <c r="X85" s="154">
        <v>1.8729954098330011E-2</v>
      </c>
      <c r="Y85" s="154">
        <v>1.2151720602240215</v>
      </c>
      <c r="Z85" s="154">
        <v>633.16864874614726</v>
      </c>
      <c r="AC85" s="28" t="s">
        <v>421</v>
      </c>
      <c r="AD85" s="9" t="s">
        <v>421</v>
      </c>
      <c r="AE85" s="9" t="s">
        <v>421</v>
      </c>
      <c r="AF85" s="28" t="s">
        <v>421</v>
      </c>
      <c r="AG85" s="28">
        <v>0.59499999999999997</v>
      </c>
      <c r="AH85" s="28">
        <v>33.093000000000004</v>
      </c>
      <c r="AI85" s="28">
        <v>5.0000000000000001E-3</v>
      </c>
      <c r="AJ85" s="28">
        <v>9.7000000000000003E-2</v>
      </c>
      <c r="AK85" s="28" t="s">
        <v>421</v>
      </c>
      <c r="AL85" s="28">
        <v>53.68</v>
      </c>
      <c r="AM85" s="28">
        <v>6.2E-2</v>
      </c>
      <c r="AN85" s="28">
        <v>11.391</v>
      </c>
      <c r="AO85" s="28">
        <v>0.28100000000000003</v>
      </c>
      <c r="AP85" s="156">
        <f t="shared" si="1"/>
        <v>99.204000000000008</v>
      </c>
    </row>
    <row r="86" spans="1:42" x14ac:dyDescent="0.2">
      <c r="A86" s="9" t="s">
        <v>575</v>
      </c>
      <c r="B86" s="9" t="s">
        <v>576</v>
      </c>
      <c r="C86" s="9" t="s">
        <v>81</v>
      </c>
      <c r="D86" s="9" t="s">
        <v>93</v>
      </c>
      <c r="E86" s="154">
        <v>282753.2067067094</v>
      </c>
      <c r="F86" s="154">
        <v>280637.8164947005</v>
      </c>
      <c r="G86" s="154">
        <v>825.3453706563688</v>
      </c>
      <c r="H86" s="154">
        <v>87893.191834190337</v>
      </c>
      <c r="I86" s="154">
        <v>75.163348118160457</v>
      </c>
      <c r="J86" s="154">
        <v>1260.5362744889105</v>
      </c>
      <c r="K86" s="154">
        <v>532370</v>
      </c>
      <c r="L86" s="154">
        <v>529416.16923471377</v>
      </c>
      <c r="M86" s="154">
        <v>4.9123436836183316</v>
      </c>
      <c r="N86" s="154" t="s">
        <v>421</v>
      </c>
      <c r="O86" s="154">
        <v>0.12582089766891494</v>
      </c>
      <c r="P86" s="154">
        <v>1.2384656311612929</v>
      </c>
      <c r="Q86" s="154">
        <v>19.188586616374469</v>
      </c>
      <c r="R86" s="154">
        <v>5907.9733059393275</v>
      </c>
      <c r="S86" s="154">
        <v>954.04924961074005</v>
      </c>
      <c r="T86" s="154">
        <v>3.0723798075657558</v>
      </c>
      <c r="U86" s="154">
        <v>2.890330994085395</v>
      </c>
      <c r="V86" s="154" t="s">
        <v>421</v>
      </c>
      <c r="W86" s="154">
        <v>5.716438346244189</v>
      </c>
      <c r="X86" s="154" t="s">
        <v>421</v>
      </c>
      <c r="Y86" s="154">
        <v>0.14505193248422732</v>
      </c>
      <c r="Z86" s="154">
        <v>954.03880351939438</v>
      </c>
      <c r="AC86" s="28" t="s">
        <v>421</v>
      </c>
      <c r="AD86" s="9" t="s">
        <v>421</v>
      </c>
      <c r="AE86" s="9" t="s">
        <v>421</v>
      </c>
      <c r="AF86" s="28" t="s">
        <v>421</v>
      </c>
      <c r="AG86" s="28">
        <v>0.68600000000000005</v>
      </c>
      <c r="AH86" s="28">
        <v>33.4</v>
      </c>
      <c r="AI86" s="28" t="s">
        <v>421</v>
      </c>
      <c r="AJ86" s="28">
        <v>0.22500000000000001</v>
      </c>
      <c r="AK86" s="28">
        <v>5.0000000000000001E-3</v>
      </c>
      <c r="AL86" s="28">
        <v>53.237000000000002</v>
      </c>
      <c r="AM86" s="28">
        <v>0.14199999999999999</v>
      </c>
      <c r="AN86" s="28">
        <v>11.669</v>
      </c>
      <c r="AO86" s="28">
        <v>0.13300000000000001</v>
      </c>
      <c r="AP86" s="156">
        <f t="shared" si="1"/>
        <v>99.496999999999986</v>
      </c>
    </row>
    <row r="87" spans="1:42" x14ac:dyDescent="0.2">
      <c r="A87" s="9" t="s">
        <v>577</v>
      </c>
      <c r="B87" s="9" t="s">
        <v>578</v>
      </c>
      <c r="C87" s="9" t="s">
        <v>81</v>
      </c>
      <c r="D87" s="9" t="s">
        <v>93</v>
      </c>
      <c r="E87" s="154">
        <v>282417.21355431119</v>
      </c>
      <c r="F87" s="154">
        <v>282188.24825829407</v>
      </c>
      <c r="G87" s="154">
        <v>971.92854039666975</v>
      </c>
      <c r="H87" s="154">
        <v>87503.084502640166</v>
      </c>
      <c r="I87" s="154">
        <v>77.284321013012658</v>
      </c>
      <c r="J87" s="154">
        <v>863.63865182479969</v>
      </c>
      <c r="K87" s="154">
        <v>533930</v>
      </c>
      <c r="L87" s="154">
        <v>532068.34539439366</v>
      </c>
      <c r="M87" s="154">
        <v>3.6511919574328306</v>
      </c>
      <c r="N87" s="154">
        <v>0.23435377622487374</v>
      </c>
      <c r="O87" s="154">
        <v>0.15526579812232599</v>
      </c>
      <c r="P87" s="154">
        <v>1.029379592946214</v>
      </c>
      <c r="Q87" s="154">
        <v>12.883716963298596</v>
      </c>
      <c r="R87" s="154">
        <v>5727.402329919033</v>
      </c>
      <c r="S87" s="154">
        <v>683.14381821070867</v>
      </c>
      <c r="T87" s="154">
        <v>2.2024488028736329</v>
      </c>
      <c r="U87" s="154">
        <v>2.1534005236760674</v>
      </c>
      <c r="V87" s="154" t="s">
        <v>421</v>
      </c>
      <c r="W87" s="154">
        <v>5.5747120509438801</v>
      </c>
      <c r="X87" s="154" t="s">
        <v>421</v>
      </c>
      <c r="Y87" s="154">
        <v>0.13312669395818127</v>
      </c>
      <c r="Z87" s="154">
        <v>683.13632988477889</v>
      </c>
      <c r="AC87" s="28" t="s">
        <v>421</v>
      </c>
      <c r="AD87" s="9" t="s">
        <v>421</v>
      </c>
      <c r="AE87" s="9" t="s">
        <v>421</v>
      </c>
      <c r="AF87" s="28" t="s">
        <v>421</v>
      </c>
      <c r="AG87" s="28">
        <v>0.64700000000000002</v>
      </c>
      <c r="AH87" s="28">
        <v>33.624000000000002</v>
      </c>
      <c r="AI87" s="28">
        <v>3.0000000000000001E-3</v>
      </c>
      <c r="AJ87" s="28">
        <v>0.216</v>
      </c>
      <c r="AK87" s="28" t="s">
        <v>421</v>
      </c>
      <c r="AL87" s="28">
        <v>53.393000000000001</v>
      </c>
      <c r="AM87" s="28">
        <v>0.128</v>
      </c>
      <c r="AN87" s="28">
        <v>11.63</v>
      </c>
      <c r="AO87" s="28">
        <v>0.16300000000000001</v>
      </c>
      <c r="AP87" s="156">
        <f t="shared" si="1"/>
        <v>99.804000000000002</v>
      </c>
    </row>
    <row r="88" spans="1:42" x14ac:dyDescent="0.2">
      <c r="A88" s="9" t="s">
        <v>579</v>
      </c>
      <c r="B88" s="9" t="s">
        <v>580</v>
      </c>
      <c r="C88" s="9" t="s">
        <v>81</v>
      </c>
      <c r="D88" s="9" t="s">
        <v>94</v>
      </c>
      <c r="E88" s="154">
        <v>307955.63577084814</v>
      </c>
      <c r="F88" s="154">
        <v>307913.14125251269</v>
      </c>
      <c r="G88" s="154">
        <v>900.15820898543529</v>
      </c>
      <c r="H88" s="154">
        <v>103004.77966398977</v>
      </c>
      <c r="I88" s="154">
        <v>35.415087968278073</v>
      </c>
      <c r="J88" s="154">
        <v>312.14257748500995</v>
      </c>
      <c r="K88" s="154">
        <v>519610</v>
      </c>
      <c r="L88" s="154">
        <v>521662.87835992913</v>
      </c>
      <c r="M88" s="154">
        <v>3.1900631690514833</v>
      </c>
      <c r="N88" s="154" t="s">
        <v>421</v>
      </c>
      <c r="O88" s="154">
        <v>0.18879025480407749</v>
      </c>
      <c r="P88" s="154">
        <v>8.7785309193697554</v>
      </c>
      <c r="Q88" s="154">
        <v>3.0124504235315057</v>
      </c>
      <c r="R88" s="154">
        <v>5283.2125157257333</v>
      </c>
      <c r="S88" s="154">
        <v>253.1000717770649</v>
      </c>
      <c r="T88" s="154">
        <v>20.790669153107288</v>
      </c>
      <c r="U88" s="154">
        <v>19.805470110399444</v>
      </c>
      <c r="V88" s="154" t="s">
        <v>421</v>
      </c>
      <c r="W88" s="154">
        <v>10.766428565845022</v>
      </c>
      <c r="X88" s="154" t="s">
        <v>421</v>
      </c>
      <c r="Y88" s="154">
        <v>0.13831889693608787</v>
      </c>
      <c r="Z88" s="154">
        <v>253.02938350194432</v>
      </c>
      <c r="AC88" s="28" t="s">
        <v>421</v>
      </c>
      <c r="AD88" s="9" t="s">
        <v>421</v>
      </c>
      <c r="AE88" s="9" t="s">
        <v>421</v>
      </c>
      <c r="AF88" s="28" t="s">
        <v>421</v>
      </c>
      <c r="AG88" s="28">
        <v>0.51900000000000002</v>
      </c>
      <c r="AH88" s="28">
        <v>33.365000000000002</v>
      </c>
      <c r="AI88" s="28">
        <v>0.01</v>
      </c>
      <c r="AJ88" s="28">
        <v>2.3E-2</v>
      </c>
      <c r="AK88" s="28" t="s">
        <v>421</v>
      </c>
      <c r="AL88" s="28">
        <v>51.960999999999999</v>
      </c>
      <c r="AM88" s="28">
        <v>1.2999999999999999E-2</v>
      </c>
      <c r="AN88" s="28">
        <v>13.608000000000001</v>
      </c>
      <c r="AO88" s="28">
        <v>0.152</v>
      </c>
      <c r="AP88" s="156">
        <f t="shared" si="1"/>
        <v>99.65100000000001</v>
      </c>
    </row>
    <row r="89" spans="1:42" x14ac:dyDescent="0.2">
      <c r="A89" s="9" t="s">
        <v>581</v>
      </c>
      <c r="B89" s="9" t="s">
        <v>582</v>
      </c>
      <c r="C89" s="9" t="s">
        <v>81</v>
      </c>
      <c r="D89" s="9" t="s">
        <v>94</v>
      </c>
      <c r="E89" s="154">
        <v>302349.01259961637</v>
      </c>
      <c r="F89" s="154">
        <v>300445.37411184184</v>
      </c>
      <c r="G89" s="154">
        <v>889.49810489878234</v>
      </c>
      <c r="H89" s="154">
        <v>100755.29471262482</v>
      </c>
      <c r="I89" s="154">
        <v>36.017444331832479</v>
      </c>
      <c r="J89" s="154">
        <v>350.96827989743548</v>
      </c>
      <c r="K89" s="154">
        <v>515180</v>
      </c>
      <c r="L89" s="154">
        <v>509300.22003761801</v>
      </c>
      <c r="M89" s="154">
        <v>2.6987351922840226</v>
      </c>
      <c r="N89" s="154" t="s">
        <v>421</v>
      </c>
      <c r="O89" s="154" t="s">
        <v>421</v>
      </c>
      <c r="P89" s="154">
        <v>9.2488667704681422</v>
      </c>
      <c r="Q89" s="154">
        <v>2.8903896599690553</v>
      </c>
      <c r="R89" s="154">
        <v>5227.1147500512279</v>
      </c>
      <c r="S89" s="154">
        <v>267.98264093363349</v>
      </c>
      <c r="T89" s="154">
        <v>11.363182509131464</v>
      </c>
      <c r="U89" s="154">
        <v>11.354235388294381</v>
      </c>
      <c r="V89" s="154" t="s">
        <v>421</v>
      </c>
      <c r="W89" s="154">
        <v>9.8754381437579326</v>
      </c>
      <c r="X89" s="154" t="s">
        <v>421</v>
      </c>
      <c r="Y89" s="154">
        <v>0.38607708845280064</v>
      </c>
      <c r="Z89" s="154">
        <v>267.94400611310243</v>
      </c>
      <c r="AC89" s="28" t="s">
        <v>421</v>
      </c>
      <c r="AD89" s="9" t="s">
        <v>421</v>
      </c>
      <c r="AE89" s="9" t="s">
        <v>421</v>
      </c>
      <c r="AF89" s="28" t="s">
        <v>421</v>
      </c>
      <c r="AG89" s="28">
        <v>0.55600000000000005</v>
      </c>
      <c r="AH89" s="28">
        <v>33.531999999999996</v>
      </c>
      <c r="AI89" s="28">
        <v>8.0000000000000002E-3</v>
      </c>
      <c r="AJ89" s="28">
        <v>1.4E-2</v>
      </c>
      <c r="AK89" s="28" t="s">
        <v>421</v>
      </c>
      <c r="AL89" s="28">
        <v>51.518000000000001</v>
      </c>
      <c r="AM89" s="28">
        <v>2.4E-2</v>
      </c>
      <c r="AN89" s="28">
        <v>13.606</v>
      </c>
      <c r="AO89" s="28">
        <v>0.151</v>
      </c>
      <c r="AP89" s="156">
        <f t="shared" si="1"/>
        <v>99.408999999999992</v>
      </c>
    </row>
    <row r="90" spans="1:42" x14ac:dyDescent="0.2">
      <c r="A90" s="9" t="s">
        <v>583</v>
      </c>
      <c r="B90" s="9" t="s">
        <v>584</v>
      </c>
      <c r="C90" s="9" t="s">
        <v>81</v>
      </c>
      <c r="D90" s="9" t="s">
        <v>94</v>
      </c>
      <c r="E90" s="154">
        <v>317737.88308504643</v>
      </c>
      <c r="F90" s="154">
        <v>316153.11636327574</v>
      </c>
      <c r="G90" s="154">
        <v>970.54830237318436</v>
      </c>
      <c r="H90" s="154">
        <v>109346.7330238482</v>
      </c>
      <c r="I90" s="154">
        <v>36.271281564493243</v>
      </c>
      <c r="J90" s="154">
        <v>779.16179535226763</v>
      </c>
      <c r="K90" s="154">
        <v>515870.00000000006</v>
      </c>
      <c r="L90" s="154">
        <v>518038.26818621112</v>
      </c>
      <c r="M90" s="154">
        <v>2.4025955744015137</v>
      </c>
      <c r="N90" s="154" t="s">
        <v>421</v>
      </c>
      <c r="O90" s="154">
        <v>0.14408114980056544</v>
      </c>
      <c r="P90" s="154">
        <v>16.049597823197885</v>
      </c>
      <c r="Q90" s="154">
        <v>10.529905014829774</v>
      </c>
      <c r="R90" s="154">
        <v>6242.9797241553088</v>
      </c>
      <c r="S90" s="154">
        <v>547.30380451100223</v>
      </c>
      <c r="T90" s="154">
        <v>7.0946924114795173</v>
      </c>
      <c r="U90" s="154">
        <v>6.8271651118502099</v>
      </c>
      <c r="V90" s="154" t="s">
        <v>421</v>
      </c>
      <c r="W90" s="154">
        <v>10.962607327934736</v>
      </c>
      <c r="X90" s="154">
        <v>1.8853665582430641E-2</v>
      </c>
      <c r="Y90" s="154">
        <v>6.0038537181228417E-2</v>
      </c>
      <c r="Z90" s="154">
        <v>547.27968255680321</v>
      </c>
      <c r="AC90" s="28" t="s">
        <v>421</v>
      </c>
      <c r="AD90" s="9" t="s">
        <v>421</v>
      </c>
      <c r="AE90" s="9" t="s">
        <v>421</v>
      </c>
      <c r="AF90" s="28" t="s">
        <v>421</v>
      </c>
      <c r="AG90" s="28">
        <v>0.622</v>
      </c>
      <c r="AH90" s="28">
        <v>33.465000000000003</v>
      </c>
      <c r="AI90" s="28" t="s">
        <v>421</v>
      </c>
      <c r="AJ90" s="28">
        <v>9.7000000000000003E-2</v>
      </c>
      <c r="AK90" s="28">
        <v>2E-3</v>
      </c>
      <c r="AL90" s="28">
        <v>51.587000000000003</v>
      </c>
      <c r="AM90" s="28">
        <v>5.3999999999999999E-2</v>
      </c>
      <c r="AN90" s="28">
        <v>13.737</v>
      </c>
      <c r="AO90" s="28">
        <v>0.158</v>
      </c>
      <c r="AP90" s="156">
        <f t="shared" si="1"/>
        <v>99.722000000000008</v>
      </c>
    </row>
    <row r="91" spans="1:42" x14ac:dyDescent="0.2">
      <c r="A91" s="9" t="s">
        <v>585</v>
      </c>
      <c r="B91" s="9" t="s">
        <v>586</v>
      </c>
      <c r="C91" s="9" t="s">
        <v>81</v>
      </c>
      <c r="D91" s="9" t="s">
        <v>94</v>
      </c>
      <c r="E91" s="154">
        <v>307517.87422423431</v>
      </c>
      <c r="F91" s="154">
        <v>307178.49079375534</v>
      </c>
      <c r="G91" s="154">
        <v>1212.0266950860625</v>
      </c>
      <c r="H91" s="154">
        <v>108876.27434481088</v>
      </c>
      <c r="I91" s="154">
        <v>39.916996811435453</v>
      </c>
      <c r="J91" s="154">
        <v>1682.5783953438988</v>
      </c>
      <c r="K91" s="154">
        <v>511730</v>
      </c>
      <c r="L91" s="154">
        <v>512231.86702408385</v>
      </c>
      <c r="M91" s="154">
        <v>3.1214329416152982</v>
      </c>
      <c r="N91" s="154">
        <v>0.25686027049275928</v>
      </c>
      <c r="O91" s="154">
        <v>0.14596975059530098</v>
      </c>
      <c r="P91" s="154">
        <v>16.182971466340717</v>
      </c>
      <c r="Q91" s="154">
        <v>23.594250862396542</v>
      </c>
      <c r="R91" s="154">
        <v>7094.2780992887883</v>
      </c>
      <c r="S91" s="154">
        <v>1085.3221698658201</v>
      </c>
      <c r="T91" s="154">
        <v>84.203485467740336</v>
      </c>
      <c r="U91" s="154">
        <v>82.330495001253524</v>
      </c>
      <c r="V91" s="154" t="s">
        <v>421</v>
      </c>
      <c r="W91" s="154">
        <v>7.6765051767469341</v>
      </c>
      <c r="X91" s="154">
        <v>1.6891016100871847E-2</v>
      </c>
      <c r="Y91" s="154">
        <v>0.10122230855580069</v>
      </c>
      <c r="Z91" s="154">
        <v>1085.0358780152299</v>
      </c>
      <c r="AC91" s="28" t="s">
        <v>421</v>
      </c>
      <c r="AD91" s="9" t="s">
        <v>421</v>
      </c>
      <c r="AE91" s="9" t="s">
        <v>421</v>
      </c>
      <c r="AF91" s="28" t="s">
        <v>421</v>
      </c>
      <c r="AG91" s="28">
        <v>0.71799999999999997</v>
      </c>
      <c r="AH91" s="28">
        <v>33.265000000000001</v>
      </c>
      <c r="AI91" s="28">
        <v>3.0000000000000001E-3</v>
      </c>
      <c r="AJ91" s="28">
        <v>0.20100000000000001</v>
      </c>
      <c r="AK91" s="28">
        <v>5.0000000000000001E-3</v>
      </c>
      <c r="AL91" s="28">
        <v>51.173000000000002</v>
      </c>
      <c r="AM91" s="28">
        <v>0.13600000000000001</v>
      </c>
      <c r="AN91" s="28">
        <v>13.877000000000001</v>
      </c>
      <c r="AO91" s="28">
        <v>0.191</v>
      </c>
      <c r="AP91" s="156">
        <f t="shared" si="1"/>
        <v>99.569000000000003</v>
      </c>
    </row>
    <row r="92" spans="1:42" x14ac:dyDescent="0.2">
      <c r="A92" s="9" t="s">
        <v>587</v>
      </c>
      <c r="B92" s="9" t="s">
        <v>588</v>
      </c>
      <c r="C92" s="9" t="s">
        <v>81</v>
      </c>
      <c r="D92" s="9" t="s">
        <v>94</v>
      </c>
      <c r="E92" s="154">
        <v>304872.55902930466</v>
      </c>
      <c r="F92" s="154">
        <v>305638.47011013533</v>
      </c>
      <c r="G92" s="154">
        <v>1088.6466931822363</v>
      </c>
      <c r="H92" s="154">
        <v>104488.16711502992</v>
      </c>
      <c r="I92" s="154">
        <v>43.971951062602052</v>
      </c>
      <c r="J92" s="154">
        <v>825.82606160078979</v>
      </c>
      <c r="K92" s="154">
        <v>515630</v>
      </c>
      <c r="L92" s="154">
        <v>524003.6831710168</v>
      </c>
      <c r="M92" s="154">
        <v>2.1073275714104329</v>
      </c>
      <c r="N92" s="154" t="s">
        <v>421</v>
      </c>
      <c r="O92" s="154">
        <v>0.12645634682775697</v>
      </c>
      <c r="P92" s="154">
        <v>13.644576785764528</v>
      </c>
      <c r="Q92" s="154">
        <v>9.6596089677252781</v>
      </c>
      <c r="R92" s="154">
        <v>6522.3822937388431</v>
      </c>
      <c r="S92" s="154">
        <v>576.15578559926439</v>
      </c>
      <c r="T92" s="154">
        <v>8.9258885643607826</v>
      </c>
      <c r="U92" s="154">
        <v>9.0441381549328739</v>
      </c>
      <c r="V92" s="154" t="s">
        <v>421</v>
      </c>
      <c r="W92" s="154">
        <v>5.9438057801183257</v>
      </c>
      <c r="X92" s="154" t="s">
        <v>421</v>
      </c>
      <c r="Y92" s="154">
        <v>9.8667791181508827E-2</v>
      </c>
      <c r="Z92" s="154">
        <v>576.12543757814558</v>
      </c>
      <c r="AC92" s="28" t="s">
        <v>421</v>
      </c>
      <c r="AD92" s="9" t="s">
        <v>421</v>
      </c>
      <c r="AE92" s="9" t="s">
        <v>421</v>
      </c>
      <c r="AF92" s="28" t="s">
        <v>421</v>
      </c>
      <c r="AG92" s="28">
        <v>0.66900000000000004</v>
      </c>
      <c r="AH92" s="28">
        <v>33.115000000000002</v>
      </c>
      <c r="AI92" s="28">
        <v>5.0000000000000001E-3</v>
      </c>
      <c r="AJ92" s="28">
        <v>8.6999999999999994E-2</v>
      </c>
      <c r="AK92" s="28" t="s">
        <v>421</v>
      </c>
      <c r="AL92" s="28">
        <v>51.563000000000002</v>
      </c>
      <c r="AM92" s="28">
        <v>7.4999999999999997E-2</v>
      </c>
      <c r="AN92" s="28">
        <v>13.603</v>
      </c>
      <c r="AO92" s="28">
        <v>0.189</v>
      </c>
      <c r="AP92" s="156">
        <f t="shared" si="1"/>
        <v>99.305999999999997</v>
      </c>
    </row>
    <row r="93" spans="1:42" x14ac:dyDescent="0.2">
      <c r="A93" s="9" t="s">
        <v>589</v>
      </c>
      <c r="B93" s="9" t="s">
        <v>590</v>
      </c>
      <c r="C93" s="9" t="s">
        <v>81</v>
      </c>
      <c r="D93" s="9" t="s">
        <v>94</v>
      </c>
      <c r="E93" s="154">
        <v>300399.63949890743</v>
      </c>
      <c r="F93" s="154">
        <v>302310.07457989169</v>
      </c>
      <c r="G93" s="154">
        <v>1057.2233510669985</v>
      </c>
      <c r="H93" s="154">
        <v>104185.59367315505</v>
      </c>
      <c r="I93" s="154">
        <v>44.1769007127591</v>
      </c>
      <c r="J93" s="154">
        <v>1354.4939413424565</v>
      </c>
      <c r="K93" s="154">
        <v>514810</v>
      </c>
      <c r="L93" s="154">
        <v>516359.93634145102</v>
      </c>
      <c r="M93" s="154">
        <v>3.1325268631905074</v>
      </c>
      <c r="N93" s="154" t="s">
        <v>421</v>
      </c>
      <c r="O93" s="154" t="s">
        <v>421</v>
      </c>
      <c r="P93" s="154">
        <v>7.5760343165050426</v>
      </c>
      <c r="Q93" s="154">
        <v>10.9077093428258</v>
      </c>
      <c r="R93" s="154">
        <v>6446.1196792465107</v>
      </c>
      <c r="S93" s="154">
        <v>924.55908282623159</v>
      </c>
      <c r="T93" s="154">
        <v>34.334216841477279</v>
      </c>
      <c r="U93" s="154">
        <v>34.16721717147383</v>
      </c>
      <c r="V93" s="154" t="s">
        <v>421</v>
      </c>
      <c r="W93" s="154">
        <v>6.0445262174979719</v>
      </c>
      <c r="X93" s="154" t="s">
        <v>421</v>
      </c>
      <c r="Y93" s="154">
        <v>0.12781876716933693</v>
      </c>
      <c r="Z93" s="154">
        <v>924.44234648897054</v>
      </c>
      <c r="AC93" s="28" t="s">
        <v>421</v>
      </c>
      <c r="AD93" s="9" t="s">
        <v>421</v>
      </c>
      <c r="AE93" s="9" t="s">
        <v>421</v>
      </c>
      <c r="AF93" s="28" t="s">
        <v>421</v>
      </c>
      <c r="AG93" s="28">
        <v>0.70699999999999996</v>
      </c>
      <c r="AH93" s="28">
        <v>33.353999999999999</v>
      </c>
      <c r="AI93" s="28">
        <v>3.0000000000000001E-3</v>
      </c>
      <c r="AJ93" s="28">
        <v>0.18099999999999999</v>
      </c>
      <c r="AK93" s="28" t="s">
        <v>421</v>
      </c>
      <c r="AL93" s="28">
        <v>51.481000000000002</v>
      </c>
      <c r="AM93" s="28">
        <v>0.121</v>
      </c>
      <c r="AN93" s="28">
        <v>13.683</v>
      </c>
      <c r="AO93" s="28">
        <v>0.16900000000000001</v>
      </c>
      <c r="AP93" s="156">
        <f t="shared" si="1"/>
        <v>99.698999999999998</v>
      </c>
    </row>
    <row r="94" spans="1:42" x14ac:dyDescent="0.2">
      <c r="A94" s="9" t="s">
        <v>591</v>
      </c>
      <c r="B94" s="9" t="s">
        <v>592</v>
      </c>
      <c r="C94" s="9" t="s">
        <v>81</v>
      </c>
      <c r="D94" s="9" t="s">
        <v>95</v>
      </c>
      <c r="E94" s="154">
        <v>376110.04259625118</v>
      </c>
      <c r="F94" s="154">
        <v>482002.19304931234</v>
      </c>
      <c r="G94" s="154">
        <v>621.50024728822882</v>
      </c>
      <c r="H94" s="154">
        <v>60621.903799544743</v>
      </c>
      <c r="I94" s="154">
        <v>52.342668311702809</v>
      </c>
      <c r="J94" s="154">
        <v>41935.999469749258</v>
      </c>
      <c r="K94" s="154">
        <v>526050</v>
      </c>
      <c r="L94" s="154">
        <v>527702.48668091313</v>
      </c>
      <c r="M94" s="154">
        <v>11.982793274122814</v>
      </c>
      <c r="N94" s="154" t="s">
        <v>421</v>
      </c>
      <c r="O94" s="154" t="s">
        <v>421</v>
      </c>
      <c r="P94" s="154" t="s">
        <v>421</v>
      </c>
      <c r="Q94" s="154">
        <v>271.8423892303482</v>
      </c>
      <c r="R94" s="154">
        <v>6911.0659952600681</v>
      </c>
      <c r="S94" s="154">
        <v>117.32361766153115</v>
      </c>
      <c r="T94" s="154">
        <v>25.192776868315939</v>
      </c>
      <c r="U94" s="154">
        <v>19.917950561804613</v>
      </c>
      <c r="V94" s="154">
        <v>1.522876652630645</v>
      </c>
      <c r="W94" s="154">
        <v>252.17336564406656</v>
      </c>
      <c r="X94" s="154" t="s">
        <v>421</v>
      </c>
      <c r="Y94" s="154">
        <v>28.683470362400222</v>
      </c>
      <c r="Z94" s="154">
        <v>117.23796222017887</v>
      </c>
      <c r="AC94" s="28" t="s">
        <v>421</v>
      </c>
      <c r="AD94" s="9" t="s">
        <v>421</v>
      </c>
      <c r="AE94" s="9" t="s">
        <v>421</v>
      </c>
      <c r="AF94" s="28" t="s">
        <v>421</v>
      </c>
      <c r="AG94" s="28">
        <v>0.69299999999999995</v>
      </c>
      <c r="AH94" s="28">
        <v>33.207999999999998</v>
      </c>
      <c r="AI94" s="28" t="s">
        <v>421</v>
      </c>
      <c r="AJ94" s="28" t="s">
        <v>421</v>
      </c>
      <c r="AK94" s="28">
        <v>4.9000000000000002E-2</v>
      </c>
      <c r="AL94" s="28">
        <v>52.604999999999997</v>
      </c>
      <c r="AM94" s="28">
        <v>5.407</v>
      </c>
      <c r="AN94" s="28">
        <v>7.6260000000000003</v>
      </c>
      <c r="AO94" s="28">
        <v>0.1</v>
      </c>
      <c r="AP94" s="156">
        <f t="shared" si="1"/>
        <v>99.687999999999988</v>
      </c>
    </row>
    <row r="95" spans="1:42" x14ac:dyDescent="0.2">
      <c r="A95" s="9" t="s">
        <v>593</v>
      </c>
      <c r="B95" s="9" t="s">
        <v>594</v>
      </c>
      <c r="C95" s="9" t="s">
        <v>81</v>
      </c>
      <c r="D95" s="9" t="s">
        <v>95</v>
      </c>
      <c r="E95" s="154">
        <v>340983.77088350011</v>
      </c>
      <c r="F95" s="154">
        <v>311774.35425525595</v>
      </c>
      <c r="G95" s="154">
        <v>851.04588604157027</v>
      </c>
      <c r="H95" s="154">
        <v>102611.97985220933</v>
      </c>
      <c r="I95" s="154">
        <v>99.81868846224198</v>
      </c>
      <c r="J95" s="154">
        <v>150.98435574893273</v>
      </c>
      <c r="K95" s="154">
        <v>526260</v>
      </c>
      <c r="L95" s="154">
        <v>531383.7008608398</v>
      </c>
      <c r="M95" s="154">
        <v>12.179223130699743</v>
      </c>
      <c r="N95" s="154" t="s">
        <v>421</v>
      </c>
      <c r="O95" s="154">
        <v>0.47844341858768841</v>
      </c>
      <c r="P95" s="154">
        <v>3.3064507912774284</v>
      </c>
      <c r="Q95" s="154">
        <v>2.2740426218291927</v>
      </c>
      <c r="R95" s="154">
        <v>5792.3619113390023</v>
      </c>
      <c r="S95" s="154">
        <v>119.43460699204986</v>
      </c>
      <c r="T95" s="154">
        <v>6.5092822798612504</v>
      </c>
      <c r="U95" s="154">
        <v>6.3007485599654718</v>
      </c>
      <c r="V95" s="154" t="s">
        <v>421</v>
      </c>
      <c r="W95" s="154">
        <v>84.015268851650205</v>
      </c>
      <c r="X95" s="154" t="s">
        <v>421</v>
      </c>
      <c r="Y95" s="154">
        <v>9.5690794207086061</v>
      </c>
      <c r="Z95" s="154">
        <v>119.41247543229834</v>
      </c>
      <c r="AC95" s="28" t="s">
        <v>421</v>
      </c>
      <c r="AD95" s="9" t="s">
        <v>421</v>
      </c>
      <c r="AE95" s="9" t="s">
        <v>421</v>
      </c>
      <c r="AF95" s="28" t="s">
        <v>421</v>
      </c>
      <c r="AG95" s="28">
        <v>0.64600000000000002</v>
      </c>
      <c r="AH95" s="28">
        <v>33.344000000000001</v>
      </c>
      <c r="AI95" s="28" t="s">
        <v>421</v>
      </c>
      <c r="AJ95" s="28" t="s">
        <v>421</v>
      </c>
      <c r="AK95" s="28">
        <v>4.0000000000000001E-3</v>
      </c>
      <c r="AL95" s="28">
        <v>52.625999999999998</v>
      </c>
      <c r="AM95" s="28">
        <v>1.2E-2</v>
      </c>
      <c r="AN95" s="28">
        <v>12.438000000000001</v>
      </c>
      <c r="AO95" s="28">
        <v>0.125</v>
      </c>
      <c r="AP95" s="156">
        <f t="shared" si="1"/>
        <v>99.195000000000007</v>
      </c>
    </row>
    <row r="96" spans="1:42" x14ac:dyDescent="0.2">
      <c r="A96" s="9" t="s">
        <v>595</v>
      </c>
      <c r="B96" s="9" t="s">
        <v>596</v>
      </c>
      <c r="C96" s="9" t="s">
        <v>81</v>
      </c>
      <c r="D96" s="9" t="s">
        <v>95</v>
      </c>
      <c r="E96" s="154">
        <v>306558.8679266859</v>
      </c>
      <c r="F96" s="154">
        <v>310484.44654721563</v>
      </c>
      <c r="G96" s="154">
        <v>806.33891056543382</v>
      </c>
      <c r="H96" s="154">
        <v>99590.242230907854</v>
      </c>
      <c r="I96" s="154">
        <v>99.007778430150751</v>
      </c>
      <c r="J96" s="154">
        <v>379.30463704781386</v>
      </c>
      <c r="K96" s="154">
        <v>527630</v>
      </c>
      <c r="L96" s="154">
        <v>535975.25426842319</v>
      </c>
      <c r="M96" s="154">
        <v>3.2329569270036163</v>
      </c>
      <c r="N96" s="154" t="s">
        <v>421</v>
      </c>
      <c r="O96" s="154">
        <v>0.14384869965158636</v>
      </c>
      <c r="P96" s="154">
        <v>0.92154357668941056</v>
      </c>
      <c r="Q96" s="154">
        <v>2.9659287238298302</v>
      </c>
      <c r="R96" s="154">
        <v>5301.102417860644</v>
      </c>
      <c r="S96" s="154">
        <v>128.99302586391198</v>
      </c>
      <c r="T96" s="154">
        <v>26.843371924010825</v>
      </c>
      <c r="U96" s="154">
        <v>26.86318317394252</v>
      </c>
      <c r="V96" s="154" t="s">
        <v>421</v>
      </c>
      <c r="W96" s="154">
        <v>9.288426249818249</v>
      </c>
      <c r="X96" s="154" t="s">
        <v>421</v>
      </c>
      <c r="Y96" s="154">
        <v>0.38013498669009133</v>
      </c>
      <c r="Z96" s="154">
        <v>128.90175839937035</v>
      </c>
      <c r="AC96" s="28" t="s">
        <v>421</v>
      </c>
      <c r="AD96" s="9" t="s">
        <v>421</v>
      </c>
      <c r="AE96" s="9" t="s">
        <v>421</v>
      </c>
      <c r="AF96" s="28" t="s">
        <v>421</v>
      </c>
      <c r="AG96" s="28">
        <v>0.51300000000000001</v>
      </c>
      <c r="AH96" s="28">
        <v>33.128999999999998</v>
      </c>
      <c r="AI96" s="28" t="s">
        <v>421</v>
      </c>
      <c r="AJ96" s="28" t="s">
        <v>421</v>
      </c>
      <c r="AK96" s="28">
        <v>3.0000000000000001E-3</v>
      </c>
      <c r="AL96" s="28">
        <v>52.762999999999998</v>
      </c>
      <c r="AM96" s="28">
        <v>2.4E-2</v>
      </c>
      <c r="AN96" s="28">
        <v>12.659000000000001</v>
      </c>
      <c r="AO96" s="28">
        <v>0.13800000000000001</v>
      </c>
      <c r="AP96" s="156">
        <f t="shared" si="1"/>
        <v>99.228999999999999</v>
      </c>
    </row>
    <row r="97" spans="1:42" x14ac:dyDescent="0.2">
      <c r="A97" s="9" t="s">
        <v>597</v>
      </c>
      <c r="B97" s="9" t="s">
        <v>598</v>
      </c>
      <c r="C97" s="9" t="s">
        <v>81</v>
      </c>
      <c r="D97" s="9" t="s">
        <v>95</v>
      </c>
      <c r="E97" s="154">
        <v>304364.06287495128</v>
      </c>
      <c r="F97" s="154">
        <v>304291.73529870831</v>
      </c>
      <c r="G97" s="154">
        <v>653.09429782806421</v>
      </c>
      <c r="H97" s="154">
        <v>67073.946182925851</v>
      </c>
      <c r="I97" s="154">
        <v>68.787172926355552</v>
      </c>
      <c r="J97" s="154">
        <v>29348.758457418196</v>
      </c>
      <c r="K97" s="154">
        <v>528760</v>
      </c>
      <c r="L97" s="154">
        <v>527517.39930302685</v>
      </c>
      <c r="M97" s="154">
        <v>6.5720495844050806</v>
      </c>
      <c r="N97" s="154">
        <v>0.20881039133444465</v>
      </c>
      <c r="O97" s="154">
        <v>0.24722314287494673</v>
      </c>
      <c r="P97" s="154">
        <v>0.8877882344842144</v>
      </c>
      <c r="Q97" s="154">
        <v>236.08330680028661</v>
      </c>
      <c r="R97" s="154">
        <v>6057.951986243861</v>
      </c>
      <c r="S97" s="154">
        <v>106.11711714806027</v>
      </c>
      <c r="T97" s="154">
        <v>69.027447958620968</v>
      </c>
      <c r="U97" s="154">
        <v>68.269381677297204</v>
      </c>
      <c r="V97" s="154">
        <v>3.5948696658960921</v>
      </c>
      <c r="W97" s="154">
        <v>13.930675134592732</v>
      </c>
      <c r="X97" s="154">
        <v>6.1374558666688783E-2</v>
      </c>
      <c r="Y97" s="154">
        <v>49.568521598850921</v>
      </c>
      <c r="Z97" s="154">
        <v>105.88242382500096</v>
      </c>
      <c r="AC97" s="28" t="s">
        <v>421</v>
      </c>
      <c r="AD97" s="9" t="s">
        <v>421</v>
      </c>
      <c r="AE97" s="9" t="s">
        <v>421</v>
      </c>
      <c r="AF97" s="28" t="s">
        <v>421</v>
      </c>
      <c r="AG97" s="28">
        <v>0.54400000000000004</v>
      </c>
      <c r="AH97" s="28">
        <v>33.353000000000002</v>
      </c>
      <c r="AI97" s="28">
        <v>0.01</v>
      </c>
      <c r="AJ97" s="28" t="s">
        <v>421</v>
      </c>
      <c r="AK97" s="28" t="s">
        <v>421</v>
      </c>
      <c r="AL97" s="28">
        <v>52.875999999999998</v>
      </c>
      <c r="AM97" s="28">
        <v>9.2999999999999999E-2</v>
      </c>
      <c r="AN97" s="28">
        <v>12.663</v>
      </c>
      <c r="AO97" s="28">
        <v>0.11899999999999999</v>
      </c>
      <c r="AP97" s="156">
        <f t="shared" si="1"/>
        <v>99.657999999999987</v>
      </c>
    </row>
    <row r="98" spans="1:42" x14ac:dyDescent="0.2">
      <c r="A98" s="9" t="s">
        <v>599</v>
      </c>
      <c r="B98" s="9" t="s">
        <v>600</v>
      </c>
      <c r="C98" s="9" t="s">
        <v>81</v>
      </c>
      <c r="D98" s="9" t="s">
        <v>95</v>
      </c>
      <c r="E98" s="154">
        <v>311313.23343402491</v>
      </c>
      <c r="F98" s="154">
        <v>305766.04854233912</v>
      </c>
      <c r="G98" s="154">
        <v>745.99590689243973</v>
      </c>
      <c r="H98" s="154">
        <v>92791.499319486189</v>
      </c>
      <c r="I98" s="154">
        <v>95.75915811559986</v>
      </c>
      <c r="J98" s="154">
        <v>4057.5238977778185</v>
      </c>
      <c r="K98" s="154">
        <v>527130</v>
      </c>
      <c r="L98" s="154">
        <v>531941.97325369017</v>
      </c>
      <c r="M98" s="154">
        <v>5.6996767185928645</v>
      </c>
      <c r="N98" s="154" t="s">
        <v>421</v>
      </c>
      <c r="O98" s="154">
        <v>0.14930212019577033</v>
      </c>
      <c r="P98" s="154">
        <v>3.1732729931271044</v>
      </c>
      <c r="Q98" s="154">
        <v>22.891635810946699</v>
      </c>
      <c r="R98" s="154">
        <v>5677.3069342108565</v>
      </c>
      <c r="S98" s="154">
        <v>212.92655821092501</v>
      </c>
      <c r="T98" s="154">
        <v>59.884689275819703</v>
      </c>
      <c r="U98" s="154">
        <v>60.60542896301056</v>
      </c>
      <c r="V98" s="154">
        <v>0.34504365186713237</v>
      </c>
      <c r="W98" s="154">
        <v>7.7144725797415079</v>
      </c>
      <c r="X98" s="154">
        <v>2.5205830774098298E-2</v>
      </c>
      <c r="Y98" s="154">
        <v>5.4985769664212212</v>
      </c>
      <c r="Z98" s="154">
        <v>212.72295026738723</v>
      </c>
      <c r="AC98" s="28" t="s">
        <v>421</v>
      </c>
      <c r="AD98" s="9" t="s">
        <v>421</v>
      </c>
      <c r="AE98" s="9" t="s">
        <v>421</v>
      </c>
      <c r="AF98" s="28" t="s">
        <v>421</v>
      </c>
      <c r="AG98" s="28">
        <v>0.57099999999999995</v>
      </c>
      <c r="AH98" s="28">
        <v>33.101999999999997</v>
      </c>
      <c r="AI98" s="28" t="s">
        <v>421</v>
      </c>
      <c r="AJ98" s="28">
        <v>1.6E-2</v>
      </c>
      <c r="AK98" s="28" t="s">
        <v>421</v>
      </c>
      <c r="AL98" s="28">
        <v>52.713000000000001</v>
      </c>
      <c r="AM98" s="28">
        <v>1.4339999999999999</v>
      </c>
      <c r="AN98" s="28">
        <v>11.326000000000001</v>
      </c>
      <c r="AO98" s="28">
        <v>0.11799999999999999</v>
      </c>
      <c r="AP98" s="156">
        <f t="shared" si="1"/>
        <v>99.279999999999973</v>
      </c>
    </row>
    <row r="99" spans="1:42" x14ac:dyDescent="0.2">
      <c r="A99" s="9" t="s">
        <v>601</v>
      </c>
      <c r="B99" s="9" t="s">
        <v>602</v>
      </c>
      <c r="C99" s="9" t="s">
        <v>81</v>
      </c>
      <c r="D99" s="9" t="s">
        <v>95</v>
      </c>
      <c r="E99" s="154">
        <v>335947.01390220277</v>
      </c>
      <c r="F99" s="154">
        <v>308923.48654876323</v>
      </c>
      <c r="G99" s="154">
        <v>799.37912251620617</v>
      </c>
      <c r="H99" s="154">
        <v>103909.90198081832</v>
      </c>
      <c r="I99" s="154">
        <v>100.77530266455712</v>
      </c>
      <c r="J99" s="154">
        <v>172.20016277854086</v>
      </c>
      <c r="K99" s="154">
        <v>528350</v>
      </c>
      <c r="L99" s="154">
        <v>526494.49787967536</v>
      </c>
      <c r="M99" s="154">
        <v>9.7739526085989539</v>
      </c>
      <c r="N99" s="154" t="s">
        <v>421</v>
      </c>
      <c r="O99" s="154">
        <v>3.9434912322313154</v>
      </c>
      <c r="P99" s="154">
        <v>2.5741577327652823</v>
      </c>
      <c r="Q99" s="154">
        <v>1.7067669454613754</v>
      </c>
      <c r="R99" s="154">
        <v>5595.8108198297268</v>
      </c>
      <c r="S99" s="154">
        <v>128.29003645571788</v>
      </c>
      <c r="T99" s="154">
        <v>18.488543546327097</v>
      </c>
      <c r="U99" s="154">
        <v>17.148941869635202</v>
      </c>
      <c r="V99" s="154" t="s">
        <v>421</v>
      </c>
      <c r="W99" s="154">
        <v>72.183075492473577</v>
      </c>
      <c r="X99" s="154" t="s">
        <v>421</v>
      </c>
      <c r="Y99" s="154">
        <v>5.3687923282859895</v>
      </c>
      <c r="Z99" s="154">
        <v>128.22717540766038</v>
      </c>
      <c r="AC99" s="28" t="s">
        <v>421</v>
      </c>
      <c r="AD99" s="9" t="s">
        <v>421</v>
      </c>
      <c r="AE99" s="9" t="s">
        <v>421</v>
      </c>
      <c r="AF99" s="28" t="s">
        <v>421</v>
      </c>
      <c r="AG99" s="28">
        <v>0.629</v>
      </c>
      <c r="AH99" s="28">
        <v>33.116</v>
      </c>
      <c r="AI99" s="28">
        <v>2E-3</v>
      </c>
      <c r="AJ99" s="28" t="s">
        <v>421</v>
      </c>
      <c r="AK99" s="28" t="s">
        <v>421</v>
      </c>
      <c r="AL99" s="28">
        <v>52.835000000000001</v>
      </c>
      <c r="AM99" s="28">
        <v>0.01</v>
      </c>
      <c r="AN99" s="28">
        <v>12.476000000000001</v>
      </c>
      <c r="AO99" s="28">
        <v>0.11600000000000001</v>
      </c>
      <c r="AP99" s="156">
        <f t="shared" si="1"/>
        <v>99.183999999999997</v>
      </c>
    </row>
    <row r="100" spans="1:42" x14ac:dyDescent="0.2">
      <c r="A100" s="9" t="s">
        <v>603</v>
      </c>
      <c r="B100" s="9" t="s">
        <v>604</v>
      </c>
      <c r="C100" s="9" t="s">
        <v>81</v>
      </c>
      <c r="D100" s="9" t="s">
        <v>95</v>
      </c>
      <c r="E100" s="154">
        <v>317634.37695508538</v>
      </c>
      <c r="F100" s="154">
        <v>418174.34249784908</v>
      </c>
      <c r="G100" s="154">
        <v>355.19389182661706</v>
      </c>
      <c r="H100" s="154">
        <v>45032.749892700296</v>
      </c>
      <c r="I100" s="154">
        <v>19.551105514125798</v>
      </c>
      <c r="J100" s="154">
        <v>40018.269339776285</v>
      </c>
      <c r="K100" s="154">
        <v>523790</v>
      </c>
      <c r="L100" s="154">
        <v>515577.75202776626</v>
      </c>
      <c r="M100" s="154">
        <v>4.1199857808712501</v>
      </c>
      <c r="N100" s="154" t="s">
        <v>421</v>
      </c>
      <c r="O100" s="154">
        <v>2.0934732701956595</v>
      </c>
      <c r="P100" s="154" t="s">
        <v>421</v>
      </c>
      <c r="Q100" s="154">
        <v>260.11856805001565</v>
      </c>
      <c r="R100" s="154">
        <v>7628.6286975719322</v>
      </c>
      <c r="S100" s="154">
        <v>73.596291917715277</v>
      </c>
      <c r="T100" s="154">
        <v>96.835803535180162</v>
      </c>
      <c r="U100" s="154">
        <v>91.609832653954513</v>
      </c>
      <c r="V100" s="154">
        <v>5.8200851617666061</v>
      </c>
      <c r="W100" s="154">
        <v>77.570899813011096</v>
      </c>
      <c r="X100" s="154">
        <v>0.1357189567859052</v>
      </c>
      <c r="Y100" s="154">
        <v>48.699299460112293</v>
      </c>
      <c r="Z100" s="154">
        <v>73.267050185695666</v>
      </c>
      <c r="AC100" s="28" t="s">
        <v>421</v>
      </c>
      <c r="AD100" s="9" t="s">
        <v>421</v>
      </c>
      <c r="AE100" s="9" t="s">
        <v>421</v>
      </c>
      <c r="AF100" s="28" t="s">
        <v>421</v>
      </c>
      <c r="AG100" s="28">
        <v>0.67200000000000004</v>
      </c>
      <c r="AH100" s="28">
        <v>32.901000000000003</v>
      </c>
      <c r="AI100" s="28">
        <v>5.0000000000000001E-3</v>
      </c>
      <c r="AJ100" s="28" t="s">
        <v>421</v>
      </c>
      <c r="AK100" s="28">
        <v>7.1999999999999995E-2</v>
      </c>
      <c r="AL100" s="28">
        <v>52.378999999999998</v>
      </c>
      <c r="AM100" s="28">
        <v>6.5170000000000003</v>
      </c>
      <c r="AN100" s="28">
        <v>7.085</v>
      </c>
      <c r="AO100" s="28">
        <v>9.5000000000000001E-2</v>
      </c>
      <c r="AP100" s="156">
        <f t="shared" si="1"/>
        <v>99.725999999999985</v>
      </c>
    </row>
    <row r="101" spans="1:42" x14ac:dyDescent="0.2">
      <c r="A101" s="9" t="s">
        <v>605</v>
      </c>
      <c r="B101" s="9" t="s">
        <v>606</v>
      </c>
      <c r="C101" s="9" t="s">
        <v>81</v>
      </c>
      <c r="D101" s="9" t="s">
        <v>95</v>
      </c>
      <c r="E101" s="154">
        <v>299507.4824721592</v>
      </c>
      <c r="F101" s="154">
        <v>302131.84284286055</v>
      </c>
      <c r="G101" s="154">
        <v>770.83297997874911</v>
      </c>
      <c r="H101" s="154">
        <v>98382.282119428375</v>
      </c>
      <c r="I101" s="154">
        <v>96.504202231303793</v>
      </c>
      <c r="J101" s="154">
        <v>308.36672270650519</v>
      </c>
      <c r="K101" s="154">
        <v>527160</v>
      </c>
      <c r="L101" s="154">
        <v>526850.24783012213</v>
      </c>
      <c r="M101" s="154">
        <v>5.775421419845034</v>
      </c>
      <c r="N101" s="154" t="s">
        <v>421</v>
      </c>
      <c r="O101" s="154" t="s">
        <v>421</v>
      </c>
      <c r="P101" s="154">
        <v>1.0587913254000556</v>
      </c>
      <c r="Q101" s="154">
        <v>3.1822724964775184</v>
      </c>
      <c r="R101" s="154">
        <v>5721.0792896028861</v>
      </c>
      <c r="S101" s="154">
        <v>125.00580256501541</v>
      </c>
      <c r="T101" s="154">
        <v>102.98048969993721</v>
      </c>
      <c r="U101" s="154">
        <v>102.11861167073495</v>
      </c>
      <c r="V101" s="154" t="s">
        <v>421</v>
      </c>
      <c r="W101" s="154">
        <v>7.862860465160554</v>
      </c>
      <c r="X101" s="154" t="s">
        <v>421</v>
      </c>
      <c r="Y101" s="154">
        <v>0.14277437866344853</v>
      </c>
      <c r="Z101" s="154">
        <v>124.65566890003562</v>
      </c>
      <c r="AC101" s="28" t="s">
        <v>421</v>
      </c>
      <c r="AD101" s="9" t="s">
        <v>421</v>
      </c>
      <c r="AE101" s="9" t="s">
        <v>421</v>
      </c>
      <c r="AF101" s="28" t="s">
        <v>421</v>
      </c>
      <c r="AG101" s="28">
        <v>0.64400000000000002</v>
      </c>
      <c r="AH101" s="28">
        <v>33.194000000000003</v>
      </c>
      <c r="AI101" s="28">
        <v>1.2999999999999999E-2</v>
      </c>
      <c r="AJ101" s="28">
        <v>1E-3</v>
      </c>
      <c r="AK101" s="28" t="s">
        <v>421</v>
      </c>
      <c r="AL101" s="28">
        <v>52.716000000000001</v>
      </c>
      <c r="AM101" s="28">
        <v>1.4E-2</v>
      </c>
      <c r="AN101" s="28">
        <v>12.711</v>
      </c>
      <c r="AO101" s="28">
        <v>0.126</v>
      </c>
      <c r="AP101" s="156">
        <f t="shared" si="1"/>
        <v>99.418999999999997</v>
      </c>
    </row>
    <row r="102" spans="1:42" x14ac:dyDescent="0.2">
      <c r="A102" s="9" t="s">
        <v>607</v>
      </c>
      <c r="B102" s="9" t="s">
        <v>608</v>
      </c>
      <c r="C102" s="9" t="s">
        <v>81</v>
      </c>
      <c r="D102" s="9" t="s">
        <v>96</v>
      </c>
      <c r="E102" s="154">
        <v>303988.83618157852</v>
      </c>
      <c r="F102" s="154">
        <v>304373.33484836883</v>
      </c>
      <c r="G102" s="154">
        <v>859.7091633230624</v>
      </c>
      <c r="H102" s="154">
        <v>100404.46152000899</v>
      </c>
      <c r="I102" s="154">
        <v>26.13612675172314</v>
      </c>
      <c r="J102" s="154">
        <v>958.68336545668637</v>
      </c>
      <c r="K102" s="154">
        <v>523130</v>
      </c>
      <c r="L102" s="154">
        <v>520993.81736682821</v>
      </c>
      <c r="M102" s="154">
        <v>1.0620524291617448</v>
      </c>
      <c r="N102" s="154" t="s">
        <v>421</v>
      </c>
      <c r="O102" s="154" t="s">
        <v>421</v>
      </c>
      <c r="P102" s="154">
        <v>36.263476164127731</v>
      </c>
      <c r="Q102" s="154">
        <v>10.510144434008101</v>
      </c>
      <c r="R102" s="154">
        <v>6295.9445009254914</v>
      </c>
      <c r="S102" s="154">
        <v>654.78532719780378</v>
      </c>
      <c r="T102" s="154">
        <v>2.9535080847098505</v>
      </c>
      <c r="U102" s="154">
        <v>2.9124443227773011</v>
      </c>
      <c r="V102" s="154">
        <v>4.9088629561812008E-2</v>
      </c>
      <c r="W102" s="154">
        <v>10.794516637399507</v>
      </c>
      <c r="X102" s="154" t="s">
        <v>421</v>
      </c>
      <c r="Y102" s="154">
        <v>0.37571814973359507</v>
      </c>
      <c r="Z102" s="154">
        <v>654.77528527031575</v>
      </c>
      <c r="AC102" s="28" t="s">
        <v>421</v>
      </c>
      <c r="AD102" s="9" t="s">
        <v>421</v>
      </c>
      <c r="AE102" s="9" t="s">
        <v>421</v>
      </c>
      <c r="AF102" s="28" t="s">
        <v>421</v>
      </c>
      <c r="AG102" s="28">
        <v>0.60099999999999998</v>
      </c>
      <c r="AH102" s="28">
        <v>33.116</v>
      </c>
      <c r="AI102" s="28" t="s">
        <v>421</v>
      </c>
      <c r="AJ102" s="28">
        <v>0.122</v>
      </c>
      <c r="AK102" s="28">
        <v>7.0000000000000001E-3</v>
      </c>
      <c r="AL102" s="28">
        <v>52.313000000000002</v>
      </c>
      <c r="AM102" s="28">
        <v>7.3999999999999996E-2</v>
      </c>
      <c r="AN102" s="28">
        <v>13.048999999999999</v>
      </c>
      <c r="AO102" s="28">
        <v>0.13300000000000001</v>
      </c>
      <c r="AP102" s="156">
        <f t="shared" si="1"/>
        <v>99.414999999999978</v>
      </c>
    </row>
    <row r="103" spans="1:42" x14ac:dyDescent="0.2">
      <c r="A103" s="9" t="s">
        <v>609</v>
      </c>
      <c r="B103" s="9" t="s">
        <v>610</v>
      </c>
      <c r="C103" s="9" t="s">
        <v>81</v>
      </c>
      <c r="D103" s="9" t="s">
        <v>96</v>
      </c>
      <c r="E103" s="154">
        <v>303536.91935314919</v>
      </c>
      <c r="F103" s="154">
        <v>298178.55761384882</v>
      </c>
      <c r="G103" s="154">
        <v>891.34858812087214</v>
      </c>
      <c r="H103" s="154">
        <v>100458.20366988373</v>
      </c>
      <c r="I103" s="154">
        <v>26.482198396056084</v>
      </c>
      <c r="J103" s="154">
        <v>932.09970138493861</v>
      </c>
      <c r="K103" s="154">
        <v>522660</v>
      </c>
      <c r="L103" s="154">
        <v>517543.22410739487</v>
      </c>
      <c r="M103" s="154">
        <v>1.1893943869304393</v>
      </c>
      <c r="N103" s="154" t="s">
        <v>421</v>
      </c>
      <c r="O103" s="154" t="s">
        <v>421</v>
      </c>
      <c r="P103" s="154">
        <v>26.24229167013285</v>
      </c>
      <c r="Q103" s="154">
        <v>8.8106285237142998</v>
      </c>
      <c r="R103" s="154">
        <v>6187.2109503174233</v>
      </c>
      <c r="S103" s="154">
        <v>669.10798273850082</v>
      </c>
      <c r="T103" s="154">
        <v>3.7663075163140896</v>
      </c>
      <c r="U103" s="154">
        <v>3.508312915462537</v>
      </c>
      <c r="V103" s="154" t="s">
        <v>421</v>
      </c>
      <c r="W103" s="154">
        <v>10.666680220871758</v>
      </c>
      <c r="X103" s="154" t="s">
        <v>421</v>
      </c>
      <c r="Y103" s="154">
        <v>0.11926524991145071</v>
      </c>
      <c r="Z103" s="154">
        <v>669.09517729294532</v>
      </c>
      <c r="AC103" s="28" t="s">
        <v>421</v>
      </c>
      <c r="AD103" s="9" t="s">
        <v>421</v>
      </c>
      <c r="AE103" s="9" t="s">
        <v>421</v>
      </c>
      <c r="AF103" s="28" t="s">
        <v>421</v>
      </c>
      <c r="AG103" s="28">
        <v>0.57599999999999996</v>
      </c>
      <c r="AH103" s="28">
        <v>33.319000000000003</v>
      </c>
      <c r="AI103" s="28" t="s">
        <v>421</v>
      </c>
      <c r="AJ103" s="28">
        <v>0.109</v>
      </c>
      <c r="AK103" s="28" t="s">
        <v>421</v>
      </c>
      <c r="AL103" s="28">
        <v>52.265999999999998</v>
      </c>
      <c r="AM103" s="28">
        <v>6.3E-2</v>
      </c>
      <c r="AN103" s="28">
        <v>12.952</v>
      </c>
      <c r="AO103" s="28">
        <v>0.14000000000000001</v>
      </c>
      <c r="AP103" s="156">
        <f t="shared" si="1"/>
        <v>99.425000000000011</v>
      </c>
    </row>
    <row r="104" spans="1:42" x14ac:dyDescent="0.2">
      <c r="A104" s="9" t="s">
        <v>611</v>
      </c>
      <c r="B104" s="9" t="s">
        <v>612</v>
      </c>
      <c r="C104" s="9" t="s">
        <v>81</v>
      </c>
      <c r="D104" s="9" t="s">
        <v>96</v>
      </c>
      <c r="E104" s="154">
        <v>304719.89244500012</v>
      </c>
      <c r="F104" s="154">
        <v>305638.99588986527</v>
      </c>
      <c r="G104" s="154">
        <v>5330.3655027648947</v>
      </c>
      <c r="H104" s="154">
        <v>101414.91030375693</v>
      </c>
      <c r="I104" s="154">
        <v>35.948143975012727</v>
      </c>
      <c r="J104" s="154">
        <v>742.85138504846589</v>
      </c>
      <c r="K104" s="154">
        <v>514739.99999999994</v>
      </c>
      <c r="L104" s="154">
        <v>514765.74091661262</v>
      </c>
      <c r="M104" s="154">
        <v>1.0102513839148568</v>
      </c>
      <c r="N104" s="154" t="s">
        <v>421</v>
      </c>
      <c r="O104" s="154">
        <v>0.12646166000278217</v>
      </c>
      <c r="P104" s="154">
        <v>1.1781130125901489</v>
      </c>
      <c r="Q104" s="154">
        <v>9.2860819983085907</v>
      </c>
      <c r="R104" s="154">
        <v>5976.5910342219786</v>
      </c>
      <c r="S104" s="154">
        <v>513.46241049331093</v>
      </c>
      <c r="T104" s="154">
        <v>3.757442781398098</v>
      </c>
      <c r="U104" s="154">
        <v>3.2830149619045379</v>
      </c>
      <c r="V104" s="154">
        <v>4.4898043568367352E-2</v>
      </c>
      <c r="W104" s="154">
        <v>8.7893440184022893</v>
      </c>
      <c r="X104" s="154" t="s">
        <v>421</v>
      </c>
      <c r="Y104" s="154">
        <v>0.22358348105710976</v>
      </c>
      <c r="Z104" s="154">
        <v>513.44963518785414</v>
      </c>
      <c r="AC104" s="28" t="s">
        <v>421</v>
      </c>
      <c r="AD104" s="9" t="s">
        <v>421</v>
      </c>
      <c r="AE104" s="9" t="s">
        <v>421</v>
      </c>
      <c r="AF104" s="28" t="s">
        <v>421</v>
      </c>
      <c r="AG104" s="28">
        <v>0.47099999999999997</v>
      </c>
      <c r="AH104" s="28">
        <v>33.209000000000003</v>
      </c>
      <c r="AI104" s="28" t="s">
        <v>421</v>
      </c>
      <c r="AJ104" s="28">
        <v>8.5000000000000006E-2</v>
      </c>
      <c r="AK104" s="28" t="s">
        <v>421</v>
      </c>
      <c r="AL104" s="28">
        <v>51.473999999999997</v>
      </c>
      <c r="AM104" s="28">
        <v>6.4000000000000001E-2</v>
      </c>
      <c r="AN104" s="28">
        <v>12.994999999999999</v>
      </c>
      <c r="AO104" s="28">
        <v>0.85799999999999998</v>
      </c>
      <c r="AP104" s="156">
        <f t="shared" si="1"/>
        <v>99.156000000000006</v>
      </c>
    </row>
    <row r="105" spans="1:42" x14ac:dyDescent="0.2">
      <c r="A105" s="9" t="s">
        <v>613</v>
      </c>
      <c r="B105" s="9" t="s">
        <v>614</v>
      </c>
      <c r="C105" s="9" t="s">
        <v>81</v>
      </c>
      <c r="D105" s="9" t="s">
        <v>96</v>
      </c>
      <c r="E105" s="154">
        <v>298092.60999739316</v>
      </c>
      <c r="F105" s="154">
        <v>295580.24820939347</v>
      </c>
      <c r="G105" s="154">
        <v>5914.399047833881</v>
      </c>
      <c r="H105" s="154">
        <v>90191.096605987303</v>
      </c>
      <c r="I105" s="154">
        <v>24.246457113736849</v>
      </c>
      <c r="J105" s="154">
        <v>2070.1666167744684</v>
      </c>
      <c r="K105" s="154">
        <v>520700</v>
      </c>
      <c r="L105" s="154">
        <v>534135.26514533279</v>
      </c>
      <c r="M105" s="154">
        <v>2.0007319882885133</v>
      </c>
      <c r="N105" s="154" t="s">
        <v>421</v>
      </c>
      <c r="O105" s="154">
        <v>0.13847927176578148</v>
      </c>
      <c r="P105" s="154">
        <v>0.94100671059854013</v>
      </c>
      <c r="Q105" s="154">
        <v>40.732922777133048</v>
      </c>
      <c r="R105" s="154">
        <v>5810.4616015216097</v>
      </c>
      <c r="S105" s="154">
        <v>529.33983696973633</v>
      </c>
      <c r="T105" s="154">
        <v>4.7029973277586468</v>
      </c>
      <c r="U105" s="154">
        <v>4.4214713779264194</v>
      </c>
      <c r="V105" s="154">
        <v>4.2675336440874137E-2</v>
      </c>
      <c r="W105" s="154">
        <v>10.413423664578353</v>
      </c>
      <c r="X105" s="154" t="s">
        <v>421</v>
      </c>
      <c r="Y105" s="154">
        <v>1.7918187796537512</v>
      </c>
      <c r="Z105" s="154">
        <v>529.32384677882192</v>
      </c>
      <c r="AC105" s="28" t="s">
        <v>421</v>
      </c>
      <c r="AD105" s="9" t="s">
        <v>421</v>
      </c>
      <c r="AE105" s="9" t="s">
        <v>421</v>
      </c>
      <c r="AF105" s="28" t="s">
        <v>421</v>
      </c>
      <c r="AG105" s="28">
        <v>0.51500000000000001</v>
      </c>
      <c r="AH105" s="28">
        <v>33.043999999999997</v>
      </c>
      <c r="AI105" s="28" t="s">
        <v>421</v>
      </c>
      <c r="AJ105" s="28">
        <v>9.4E-2</v>
      </c>
      <c r="AK105" s="28" t="s">
        <v>421</v>
      </c>
      <c r="AL105" s="28">
        <v>52.07</v>
      </c>
      <c r="AM105" s="28">
        <v>0.08</v>
      </c>
      <c r="AN105" s="28">
        <v>12.468</v>
      </c>
      <c r="AO105" s="28">
        <v>1.0569999999999999</v>
      </c>
      <c r="AP105" s="156">
        <f t="shared" si="1"/>
        <v>99.328000000000003</v>
      </c>
    </row>
    <row r="106" spans="1:42" x14ac:dyDescent="0.2">
      <c r="A106" s="9" t="s">
        <v>615</v>
      </c>
      <c r="B106" s="9" t="s">
        <v>616</v>
      </c>
      <c r="C106" s="9" t="s">
        <v>81</v>
      </c>
      <c r="D106" s="9" t="s">
        <v>96</v>
      </c>
      <c r="E106" s="154">
        <v>303141.52156795654</v>
      </c>
      <c r="F106" s="154">
        <v>298216.36148240784</v>
      </c>
      <c r="G106" s="154">
        <v>1319.0843996375463</v>
      </c>
      <c r="H106" s="154">
        <v>104471.79276179313</v>
      </c>
      <c r="I106" s="154">
        <v>31.544400273627005</v>
      </c>
      <c r="J106" s="154">
        <v>1337.1542086523134</v>
      </c>
      <c r="K106" s="154">
        <v>516930</v>
      </c>
      <c r="L106" s="154">
        <v>517603.91590284317</v>
      </c>
      <c r="M106" s="154">
        <v>1.1356678439360453</v>
      </c>
      <c r="N106" s="154" t="s">
        <v>421</v>
      </c>
      <c r="O106" s="154">
        <v>0.17977758919743847</v>
      </c>
      <c r="P106" s="154">
        <v>47.868817834602872</v>
      </c>
      <c r="Q106" s="154">
        <v>14.714670465841349</v>
      </c>
      <c r="R106" s="154">
        <v>6831.5552976434592</v>
      </c>
      <c r="S106" s="154">
        <v>958.47383413692171</v>
      </c>
      <c r="T106" s="154">
        <v>6.0397186484938699</v>
      </c>
      <c r="U106" s="154">
        <v>5.8814806395582417</v>
      </c>
      <c r="V106" s="154" t="s">
        <v>421</v>
      </c>
      <c r="W106" s="154">
        <v>5.4972326578845712</v>
      </c>
      <c r="X106" s="154" t="s">
        <v>421</v>
      </c>
      <c r="Y106" s="154">
        <v>9.4974734372821029E-2</v>
      </c>
      <c r="Z106" s="154">
        <v>958.45329909351688</v>
      </c>
      <c r="AC106" s="28" t="s">
        <v>421</v>
      </c>
      <c r="AD106" s="9" t="s">
        <v>421</v>
      </c>
      <c r="AE106" s="9" t="s">
        <v>421</v>
      </c>
      <c r="AF106" s="28" t="s">
        <v>421</v>
      </c>
      <c r="AG106" s="28">
        <v>0.70399999999999996</v>
      </c>
      <c r="AH106" s="28">
        <v>33.402000000000001</v>
      </c>
      <c r="AI106" s="28" t="s">
        <v>421</v>
      </c>
      <c r="AJ106" s="28">
        <v>0.17199999999999999</v>
      </c>
      <c r="AK106" s="28" t="s">
        <v>421</v>
      </c>
      <c r="AL106" s="28">
        <v>51.692999999999998</v>
      </c>
      <c r="AM106" s="28">
        <v>0.115</v>
      </c>
      <c r="AN106" s="28">
        <v>13.473000000000001</v>
      </c>
      <c r="AO106" s="28">
        <v>0.20300000000000001</v>
      </c>
      <c r="AP106" s="156">
        <f t="shared" si="1"/>
        <v>99.762</v>
      </c>
    </row>
    <row r="107" spans="1:42" x14ac:dyDescent="0.2">
      <c r="A107" s="9" t="s">
        <v>617</v>
      </c>
      <c r="B107" s="9" t="s">
        <v>618</v>
      </c>
      <c r="C107" s="9" t="s">
        <v>81</v>
      </c>
      <c r="D107" s="9" t="s">
        <v>96</v>
      </c>
      <c r="E107" s="154">
        <v>304431.28401525208</v>
      </c>
      <c r="F107" s="154">
        <v>301969.27068296296</v>
      </c>
      <c r="G107" s="154">
        <v>1657.8542731214079</v>
      </c>
      <c r="H107" s="154">
        <v>102329.00730163202</v>
      </c>
      <c r="I107" s="154">
        <v>33.467699570189986</v>
      </c>
      <c r="J107" s="154">
        <v>1441.2365720623661</v>
      </c>
      <c r="K107" s="154">
        <v>516360</v>
      </c>
      <c r="L107" s="154">
        <v>524797.73694503552</v>
      </c>
      <c r="M107" s="154">
        <v>1.1240261859362661</v>
      </c>
      <c r="N107" s="154" t="s">
        <v>421</v>
      </c>
      <c r="O107" s="154">
        <v>0.1500966914113675</v>
      </c>
      <c r="P107" s="154">
        <v>43.745337340280159</v>
      </c>
      <c r="Q107" s="154">
        <v>12.860379957704669</v>
      </c>
      <c r="R107" s="154">
        <v>6839.1860393684701</v>
      </c>
      <c r="S107" s="154">
        <v>1021.0744133035083</v>
      </c>
      <c r="T107" s="154">
        <v>8.101358505589106</v>
      </c>
      <c r="U107" s="154">
        <v>7.8575295623317523</v>
      </c>
      <c r="V107" s="154">
        <v>5.4336529416904519E-2</v>
      </c>
      <c r="W107" s="154">
        <v>7.3429899578620743</v>
      </c>
      <c r="X107" s="154" t="s">
        <v>421</v>
      </c>
      <c r="Y107" s="154">
        <v>0.20106264271144828</v>
      </c>
      <c r="Z107" s="154">
        <v>1021.0468686845893</v>
      </c>
      <c r="AC107" s="28" t="s">
        <v>421</v>
      </c>
      <c r="AD107" s="9" t="s">
        <v>421</v>
      </c>
      <c r="AE107" s="9" t="s">
        <v>421</v>
      </c>
      <c r="AF107" s="28" t="s">
        <v>421</v>
      </c>
      <c r="AG107" s="28">
        <v>0.71199999999999997</v>
      </c>
      <c r="AH107" s="28">
        <v>33.402000000000001</v>
      </c>
      <c r="AI107" s="28" t="s">
        <v>421</v>
      </c>
      <c r="AJ107" s="28">
        <v>0.185</v>
      </c>
      <c r="AK107" s="28">
        <v>6.0000000000000001E-3</v>
      </c>
      <c r="AL107" s="28">
        <v>51.636000000000003</v>
      </c>
      <c r="AM107" s="28">
        <v>0.112</v>
      </c>
      <c r="AN107" s="28">
        <v>13.188000000000001</v>
      </c>
      <c r="AO107" s="28">
        <v>0.26400000000000001</v>
      </c>
      <c r="AP107" s="156">
        <f t="shared" si="1"/>
        <v>99.504999999999995</v>
      </c>
    </row>
    <row r="108" spans="1:42" x14ac:dyDescent="0.2">
      <c r="A108" s="9" t="s">
        <v>619</v>
      </c>
      <c r="B108" s="9" t="s">
        <v>620</v>
      </c>
      <c r="C108" s="9" t="s">
        <v>81</v>
      </c>
      <c r="D108" s="9" t="s">
        <v>96</v>
      </c>
      <c r="E108" s="154">
        <v>296859.40816089598</v>
      </c>
      <c r="F108" s="154">
        <v>295733.700526673</v>
      </c>
      <c r="G108" s="154">
        <v>2614.9454356019737</v>
      </c>
      <c r="H108" s="154">
        <v>98815.503404532472</v>
      </c>
      <c r="I108" s="154">
        <v>47.92185690776919</v>
      </c>
      <c r="J108" s="154">
        <v>574.64649322326306</v>
      </c>
      <c r="K108" s="154">
        <v>521950</v>
      </c>
      <c r="L108" s="154">
        <v>526806.23405472294</v>
      </c>
      <c r="M108" s="154">
        <v>0.63845701269490929</v>
      </c>
      <c r="N108" s="154" t="s">
        <v>421</v>
      </c>
      <c r="O108" s="154" t="s">
        <v>421</v>
      </c>
      <c r="P108" s="154">
        <v>2.001133569423958</v>
      </c>
      <c r="Q108" s="154">
        <v>6.5443987804142711</v>
      </c>
      <c r="R108" s="154">
        <v>6197.0751415626846</v>
      </c>
      <c r="S108" s="154">
        <v>409.6875039487079</v>
      </c>
      <c r="T108" s="154">
        <v>2.630436204821248</v>
      </c>
      <c r="U108" s="154">
        <v>2.5840303247737801</v>
      </c>
      <c r="V108" s="154" t="s">
        <v>421</v>
      </c>
      <c r="W108" s="154">
        <v>6.5529291591393299</v>
      </c>
      <c r="X108" s="154" t="s">
        <v>421</v>
      </c>
      <c r="Y108" s="154">
        <v>0.31659637374840854</v>
      </c>
      <c r="Z108" s="154">
        <v>409.6785604656115</v>
      </c>
      <c r="AC108" s="28" t="s">
        <v>421</v>
      </c>
      <c r="AD108" s="9" t="s">
        <v>421</v>
      </c>
      <c r="AE108" s="9" t="s">
        <v>421</v>
      </c>
      <c r="AF108" s="28" t="s">
        <v>421</v>
      </c>
      <c r="AG108" s="28">
        <v>0.53</v>
      </c>
      <c r="AH108" s="28">
        <v>33.368000000000002</v>
      </c>
      <c r="AI108" s="28" t="s">
        <v>421</v>
      </c>
      <c r="AJ108" s="28">
        <v>6.8000000000000005E-2</v>
      </c>
      <c r="AK108" s="28">
        <v>3.0000000000000001E-3</v>
      </c>
      <c r="AL108" s="28">
        <v>52.195</v>
      </c>
      <c r="AM108" s="28">
        <v>4.8000000000000001E-2</v>
      </c>
      <c r="AN108" s="28">
        <v>12.744999999999999</v>
      </c>
      <c r="AO108" s="28">
        <v>0.40600000000000003</v>
      </c>
      <c r="AP108" s="156">
        <f t="shared" si="1"/>
        <v>99.363000000000014</v>
      </c>
    </row>
    <row r="109" spans="1:42" x14ac:dyDescent="0.2">
      <c r="A109" s="9" t="s">
        <v>621</v>
      </c>
      <c r="B109" s="9" t="s">
        <v>622</v>
      </c>
      <c r="C109" s="9" t="s">
        <v>81</v>
      </c>
      <c r="D109" s="9" t="s">
        <v>96</v>
      </c>
      <c r="E109" s="154">
        <v>295796.03156559792</v>
      </c>
      <c r="F109" s="154">
        <v>297140.77221224032</v>
      </c>
      <c r="G109" s="154">
        <v>2373.1094073118206</v>
      </c>
      <c r="H109" s="154">
        <v>101543.04071982762</v>
      </c>
      <c r="I109" s="154">
        <v>47.664303256333049</v>
      </c>
      <c r="J109" s="154">
        <v>591.27797014727969</v>
      </c>
      <c r="K109" s="154">
        <v>523549.99999999994</v>
      </c>
      <c r="L109" s="154">
        <v>526690.52317716531</v>
      </c>
      <c r="M109" s="154">
        <v>0.81005816921524454</v>
      </c>
      <c r="N109" s="154" t="s">
        <v>421</v>
      </c>
      <c r="O109" s="154">
        <v>0.1497469288132611</v>
      </c>
      <c r="P109" s="154">
        <v>2.656266914338866</v>
      </c>
      <c r="Q109" s="154">
        <v>10.811643363298627</v>
      </c>
      <c r="R109" s="154">
        <v>6280.5904917109565</v>
      </c>
      <c r="S109" s="154">
        <v>413.09390169844733</v>
      </c>
      <c r="T109" s="154">
        <v>2.846239385289139</v>
      </c>
      <c r="U109" s="154">
        <v>2.7749270991876109</v>
      </c>
      <c r="V109" s="154" t="s">
        <v>421</v>
      </c>
      <c r="W109" s="154">
        <v>5.3916498690099903</v>
      </c>
      <c r="X109" s="154" t="s">
        <v>421</v>
      </c>
      <c r="Y109" s="154">
        <v>0.37459851003539774</v>
      </c>
      <c r="Z109" s="154">
        <v>413.08422448453734</v>
      </c>
      <c r="AC109" s="28" t="s">
        <v>421</v>
      </c>
      <c r="AD109" s="9" t="s">
        <v>421</v>
      </c>
      <c r="AE109" s="9" t="s">
        <v>421</v>
      </c>
      <c r="AF109" s="28" t="s">
        <v>421</v>
      </c>
      <c r="AG109" s="28">
        <v>0.52800000000000002</v>
      </c>
      <c r="AH109" s="28">
        <v>33.387999999999998</v>
      </c>
      <c r="AI109" s="28" t="s">
        <v>421</v>
      </c>
      <c r="AJ109" s="28">
        <v>6.6000000000000003E-2</v>
      </c>
      <c r="AK109" s="28" t="s">
        <v>421</v>
      </c>
      <c r="AL109" s="28">
        <v>52.354999999999997</v>
      </c>
      <c r="AM109" s="28">
        <v>4.2999999999999997E-2</v>
      </c>
      <c r="AN109" s="28">
        <v>12.846</v>
      </c>
      <c r="AO109" s="28">
        <v>0.41099999999999998</v>
      </c>
      <c r="AP109" s="156">
        <f t="shared" si="1"/>
        <v>99.637</v>
      </c>
    </row>
    <row r="110" spans="1:42" x14ac:dyDescent="0.2">
      <c r="A110" s="9" t="s">
        <v>623</v>
      </c>
      <c r="B110" s="9" t="s">
        <v>624</v>
      </c>
      <c r="C110" s="9" t="s">
        <v>81</v>
      </c>
      <c r="D110" s="9" t="s">
        <v>97</v>
      </c>
      <c r="E110" s="154">
        <v>314121.20401038963</v>
      </c>
      <c r="F110" s="154">
        <v>320574.93351724587</v>
      </c>
      <c r="G110" s="154">
        <v>2049.438508578447</v>
      </c>
      <c r="H110" s="154">
        <v>105181.37764307907</v>
      </c>
      <c r="I110" s="154">
        <v>0.48850080343910457</v>
      </c>
      <c r="J110" s="154">
        <v>7027.4328026173634</v>
      </c>
      <c r="K110" s="154">
        <v>530230</v>
      </c>
      <c r="L110" s="154">
        <v>536376.43723325047</v>
      </c>
      <c r="M110" s="154">
        <v>20.866690551976102</v>
      </c>
      <c r="N110" s="154" t="s">
        <v>421</v>
      </c>
      <c r="O110" s="154">
        <v>0.18176057417328959</v>
      </c>
      <c r="P110" s="154" t="s">
        <v>421</v>
      </c>
      <c r="Q110" s="154">
        <v>19.216030028190989</v>
      </c>
      <c r="R110" s="154">
        <v>5819.9781890984377</v>
      </c>
      <c r="S110" s="154">
        <v>775.14473354173231</v>
      </c>
      <c r="T110" s="154">
        <v>382.85588485402792</v>
      </c>
      <c r="U110" s="154">
        <v>383.57086405869597</v>
      </c>
      <c r="V110" s="154">
        <v>1.3200413418221779</v>
      </c>
      <c r="W110" s="154">
        <v>6.8874552758991943</v>
      </c>
      <c r="X110" s="154" t="s">
        <v>421</v>
      </c>
      <c r="Y110" s="154">
        <v>4.3289938083910053</v>
      </c>
      <c r="Z110" s="154">
        <v>773.84302353322857</v>
      </c>
      <c r="AC110" s="28" t="s">
        <v>421</v>
      </c>
      <c r="AD110" s="9" t="s">
        <v>421</v>
      </c>
      <c r="AE110" s="9" t="s">
        <v>421</v>
      </c>
      <c r="AF110" s="28" t="s">
        <v>421</v>
      </c>
      <c r="AG110" s="28">
        <v>0.34499999999999997</v>
      </c>
      <c r="AH110" s="28">
        <v>33.347000000000001</v>
      </c>
      <c r="AI110" s="28">
        <v>0.01</v>
      </c>
      <c r="AJ110" s="28">
        <v>0.11</v>
      </c>
      <c r="AK110" s="28">
        <v>3.0000000000000001E-3</v>
      </c>
      <c r="AL110" s="28">
        <v>53.023000000000003</v>
      </c>
      <c r="AM110" s="28">
        <v>0.107</v>
      </c>
      <c r="AN110" s="28">
        <v>12.23</v>
      </c>
      <c r="AO110" s="28">
        <v>0.33600000000000002</v>
      </c>
      <c r="AP110" s="156">
        <f t="shared" si="1"/>
        <v>99.510999999999996</v>
      </c>
    </row>
    <row r="111" spans="1:42" x14ac:dyDescent="0.2">
      <c r="A111" s="9" t="s">
        <v>625</v>
      </c>
      <c r="B111" s="9" t="s">
        <v>626</v>
      </c>
      <c r="C111" s="9" t="s">
        <v>81</v>
      </c>
      <c r="D111" s="9" t="s">
        <v>97</v>
      </c>
      <c r="E111" s="154">
        <v>313009.02051254327</v>
      </c>
      <c r="F111" s="154">
        <v>309079.43849695224</v>
      </c>
      <c r="G111" s="154">
        <v>2085.722773084447</v>
      </c>
      <c r="H111" s="154">
        <v>96514.322781625335</v>
      </c>
      <c r="I111" s="154">
        <v>0.42431367170433526</v>
      </c>
      <c r="J111" s="154">
        <v>1171.7731391056693</v>
      </c>
      <c r="K111" s="154">
        <v>530470</v>
      </c>
      <c r="L111" s="154">
        <v>533609.12984425714</v>
      </c>
      <c r="M111" s="154">
        <v>18.920827570200256</v>
      </c>
      <c r="N111" s="154">
        <v>0.50015786294372699</v>
      </c>
      <c r="O111" s="154">
        <v>0.17654277300010213</v>
      </c>
      <c r="P111" s="154" t="s">
        <v>421</v>
      </c>
      <c r="Q111" s="154">
        <v>7.8283877345394925</v>
      </c>
      <c r="R111" s="154">
        <v>5865.7705838845059</v>
      </c>
      <c r="S111" s="154">
        <v>714.47977796319401</v>
      </c>
      <c r="T111" s="154">
        <v>76.937937716991939</v>
      </c>
      <c r="U111" s="154">
        <v>77.334778177387491</v>
      </c>
      <c r="V111" s="154">
        <v>0.26184241281673865</v>
      </c>
      <c r="W111" s="154">
        <v>8.7959333855757045</v>
      </c>
      <c r="X111" s="154" t="s">
        <v>421</v>
      </c>
      <c r="Y111" s="154">
        <v>0.98974513719365442</v>
      </c>
      <c r="Z111" s="154">
        <v>714.21818897495621</v>
      </c>
      <c r="AC111" s="28" t="s">
        <v>421</v>
      </c>
      <c r="AD111" s="9" t="s">
        <v>421</v>
      </c>
      <c r="AE111" s="9" t="s">
        <v>421</v>
      </c>
      <c r="AF111" s="28" t="s">
        <v>421</v>
      </c>
      <c r="AG111" s="28">
        <v>0.34799999999999998</v>
      </c>
      <c r="AH111" s="28">
        <v>33.200000000000003</v>
      </c>
      <c r="AI111" s="28">
        <v>1E-3</v>
      </c>
      <c r="AJ111" s="28">
        <v>0.13100000000000001</v>
      </c>
      <c r="AK111" s="28" t="s">
        <v>421</v>
      </c>
      <c r="AL111" s="28">
        <v>53.046999999999997</v>
      </c>
      <c r="AM111" s="28">
        <v>0.129</v>
      </c>
      <c r="AN111" s="28">
        <v>12.212999999999999</v>
      </c>
      <c r="AO111" s="28">
        <v>0.32300000000000001</v>
      </c>
      <c r="AP111" s="156">
        <f t="shared" si="1"/>
        <v>99.391999999999996</v>
      </c>
    </row>
    <row r="112" spans="1:42" x14ac:dyDescent="0.2">
      <c r="A112" s="9" t="s">
        <v>627</v>
      </c>
      <c r="B112" s="9" t="s">
        <v>628</v>
      </c>
      <c r="C112" s="9" t="s">
        <v>81</v>
      </c>
      <c r="D112" s="9" t="s">
        <v>97</v>
      </c>
      <c r="E112" s="154">
        <v>303122.54047484777</v>
      </c>
      <c r="F112" s="154">
        <v>303521.2766611767</v>
      </c>
      <c r="G112" s="154">
        <v>9119.0847619626766</v>
      </c>
      <c r="H112" s="154">
        <v>93803.316911330156</v>
      </c>
      <c r="I112" s="154">
        <v>13.557423895939822</v>
      </c>
      <c r="J112" s="154">
        <v>956.04412869425516</v>
      </c>
      <c r="K112" s="154">
        <v>516350</v>
      </c>
      <c r="L112" s="154">
        <v>519765.48387018981</v>
      </c>
      <c r="M112" s="154">
        <v>15.73525557129329</v>
      </c>
      <c r="N112" s="154" t="s">
        <v>421</v>
      </c>
      <c r="O112" s="154">
        <v>0.15260321237578353</v>
      </c>
      <c r="P112" s="154">
        <v>0.95054721745802806</v>
      </c>
      <c r="Q112" s="154">
        <v>9.0887437353419234</v>
      </c>
      <c r="R112" s="154">
        <v>5917.0655600206046</v>
      </c>
      <c r="S112" s="154">
        <v>564.02811765140882</v>
      </c>
      <c r="T112" s="154">
        <v>4.2479856878443476</v>
      </c>
      <c r="U112" s="154">
        <v>4.5303137577064856</v>
      </c>
      <c r="V112" s="154">
        <v>0.42954259005433826</v>
      </c>
      <c r="W112" s="154">
        <v>6.8163588690276784</v>
      </c>
      <c r="X112" s="154" t="s">
        <v>421</v>
      </c>
      <c r="Y112" s="154">
        <v>2.0058999506357016</v>
      </c>
      <c r="Z112" s="154">
        <v>564.01367450007012</v>
      </c>
      <c r="AC112" s="28" t="s">
        <v>421</v>
      </c>
      <c r="AD112" s="9" t="s">
        <v>421</v>
      </c>
      <c r="AE112" s="9" t="s">
        <v>421</v>
      </c>
      <c r="AF112" s="28" t="s">
        <v>421</v>
      </c>
      <c r="AG112" s="28">
        <v>0.35899999999999999</v>
      </c>
      <c r="AH112" s="28">
        <v>33.552999999999997</v>
      </c>
      <c r="AI112" s="28">
        <v>6.0000000000000001E-3</v>
      </c>
      <c r="AJ112" s="28">
        <v>8.6999999999999994E-2</v>
      </c>
      <c r="AK112" s="28" t="s">
        <v>421</v>
      </c>
      <c r="AL112" s="28">
        <v>51.634999999999998</v>
      </c>
      <c r="AM112" s="28">
        <v>8.5999999999999993E-2</v>
      </c>
      <c r="AN112" s="28">
        <v>12.351000000000001</v>
      </c>
      <c r="AO112" s="28">
        <v>1.532</v>
      </c>
      <c r="AP112" s="156">
        <f t="shared" si="1"/>
        <v>99.608999999999995</v>
      </c>
    </row>
    <row r="113" spans="1:42" x14ac:dyDescent="0.2">
      <c r="A113" s="9" t="s">
        <v>629</v>
      </c>
      <c r="B113" s="9" t="s">
        <v>630</v>
      </c>
      <c r="C113" s="9" t="s">
        <v>81</v>
      </c>
      <c r="D113" s="9" t="s">
        <v>97</v>
      </c>
      <c r="E113" s="154">
        <v>306110.67313146539</v>
      </c>
      <c r="F113" s="154">
        <v>301162.835116075</v>
      </c>
      <c r="G113" s="154">
        <v>9276.8488363288252</v>
      </c>
      <c r="H113" s="154">
        <v>94166.999715862577</v>
      </c>
      <c r="I113" s="154">
        <v>13.837810748612354</v>
      </c>
      <c r="J113" s="154">
        <v>2128.1935640784941</v>
      </c>
      <c r="K113" s="154">
        <v>515500</v>
      </c>
      <c r="L113" s="154">
        <v>526510.6307541366</v>
      </c>
      <c r="M113" s="154">
        <v>15.243330063956517</v>
      </c>
      <c r="N113" s="154">
        <v>0.29194631666580506</v>
      </c>
      <c r="O113" s="154">
        <v>0.14307818443940112</v>
      </c>
      <c r="P113" s="154" t="s">
        <v>421</v>
      </c>
      <c r="Q113" s="154">
        <v>31.506737289093561</v>
      </c>
      <c r="R113" s="154">
        <v>6202.6751686078369</v>
      </c>
      <c r="S113" s="154">
        <v>582.92880687392585</v>
      </c>
      <c r="T113" s="154">
        <v>22.032152443982213</v>
      </c>
      <c r="U113" s="154">
        <v>20.604961468596983</v>
      </c>
      <c r="V113" s="154">
        <v>3.8948762987799777</v>
      </c>
      <c r="W113" s="154">
        <v>7.2741256243449683</v>
      </c>
      <c r="X113" s="154">
        <v>1.8615085281300885E-2</v>
      </c>
      <c r="Y113" s="154">
        <v>5.4268193812187091</v>
      </c>
      <c r="Z113" s="154">
        <v>582.8538975556163</v>
      </c>
      <c r="AC113" s="28" t="s">
        <v>421</v>
      </c>
      <c r="AD113" s="9" t="s">
        <v>421</v>
      </c>
      <c r="AE113" s="9" t="s">
        <v>421</v>
      </c>
      <c r="AF113" s="28" t="s">
        <v>421</v>
      </c>
      <c r="AG113" s="28">
        <v>0.40100000000000002</v>
      </c>
      <c r="AH113" s="28">
        <v>32.96</v>
      </c>
      <c r="AI113" s="28" t="s">
        <v>421</v>
      </c>
      <c r="AJ113" s="28">
        <v>0.1</v>
      </c>
      <c r="AK113" s="28" t="s">
        <v>421</v>
      </c>
      <c r="AL113" s="28">
        <v>51.55</v>
      </c>
      <c r="AM113" s="28">
        <v>9.2999999999999999E-2</v>
      </c>
      <c r="AN113" s="28">
        <v>12.31</v>
      </c>
      <c r="AO113" s="28">
        <v>1.5229999999999999</v>
      </c>
      <c r="AP113" s="156">
        <f t="shared" si="1"/>
        <v>98.936999999999998</v>
      </c>
    </row>
    <row r="114" spans="1:42" x14ac:dyDescent="0.2">
      <c r="A114" s="9" t="s">
        <v>631</v>
      </c>
      <c r="B114" s="9" t="s">
        <v>632</v>
      </c>
      <c r="C114" s="9" t="s">
        <v>81</v>
      </c>
      <c r="D114" s="9" t="s">
        <v>97</v>
      </c>
      <c r="E114" s="154">
        <v>309243.12369722361</v>
      </c>
      <c r="F114" s="154">
        <v>299032.52561230958</v>
      </c>
      <c r="G114" s="154">
        <v>6973.4447662230104</v>
      </c>
      <c r="H114" s="154">
        <v>95459.775580820875</v>
      </c>
      <c r="I114" s="154">
        <v>6.6876434918054333</v>
      </c>
      <c r="J114" s="154">
        <v>1669.5630548368154</v>
      </c>
      <c r="K114" s="154">
        <v>519829.99999999994</v>
      </c>
      <c r="L114" s="154">
        <v>520312.50992283435</v>
      </c>
      <c r="M114" s="154">
        <v>9.8058483424221041</v>
      </c>
      <c r="N114" s="154">
        <v>0.27690048743342954</v>
      </c>
      <c r="O114" s="154">
        <v>0.14200346776964826</v>
      </c>
      <c r="P114" s="154">
        <v>1.9309752321534219</v>
      </c>
      <c r="Q114" s="154">
        <v>20.703196369723706</v>
      </c>
      <c r="R114" s="154">
        <v>6137.9439275918157</v>
      </c>
      <c r="S114" s="154">
        <v>1213.6890508574236</v>
      </c>
      <c r="T114" s="154">
        <v>6.6261742631069973</v>
      </c>
      <c r="U114" s="154">
        <v>6.5294594330640203</v>
      </c>
      <c r="V114" s="154" t="s">
        <v>421</v>
      </c>
      <c r="W114" s="154">
        <v>5.9975192329968294</v>
      </c>
      <c r="X114" s="154" t="s">
        <v>421</v>
      </c>
      <c r="Y114" s="154">
        <v>0.23435561837762353</v>
      </c>
      <c r="Z114" s="154">
        <v>1213.6665218649291</v>
      </c>
      <c r="AC114" s="28" t="s">
        <v>421</v>
      </c>
      <c r="AD114" s="9" t="s">
        <v>421</v>
      </c>
      <c r="AE114" s="9" t="s">
        <v>421</v>
      </c>
      <c r="AF114" s="28" t="s">
        <v>421</v>
      </c>
      <c r="AG114" s="28">
        <v>0.41799999999999998</v>
      </c>
      <c r="AH114" s="28">
        <v>33.273000000000003</v>
      </c>
      <c r="AI114" s="28">
        <v>4.0000000000000001E-3</v>
      </c>
      <c r="AJ114" s="28">
        <v>0.24099999999999999</v>
      </c>
      <c r="AK114" s="28" t="s">
        <v>421</v>
      </c>
      <c r="AL114" s="28">
        <v>51.982999999999997</v>
      </c>
      <c r="AM114" s="28">
        <v>0.152</v>
      </c>
      <c r="AN114" s="28">
        <v>12.462</v>
      </c>
      <c r="AO114" s="28">
        <v>1.1639999999999999</v>
      </c>
      <c r="AP114" s="156">
        <f t="shared" si="1"/>
        <v>99.697000000000003</v>
      </c>
    </row>
    <row r="115" spans="1:42" x14ac:dyDescent="0.2">
      <c r="A115" s="9" t="s">
        <v>633</v>
      </c>
      <c r="B115" s="9" t="s">
        <v>634</v>
      </c>
      <c r="C115" s="9" t="s">
        <v>81</v>
      </c>
      <c r="D115" s="9" t="s">
        <v>97</v>
      </c>
      <c r="E115" s="154">
        <v>293696.00512213446</v>
      </c>
      <c r="F115" s="154">
        <v>293239.48667355982</v>
      </c>
      <c r="G115" s="154">
        <v>7322.5161032436672</v>
      </c>
      <c r="H115" s="154">
        <v>95381.456622052647</v>
      </c>
      <c r="I115" s="154">
        <v>8.5044365114692528</v>
      </c>
      <c r="J115" s="154">
        <v>1435.1091369672856</v>
      </c>
      <c r="K115" s="154">
        <v>516440</v>
      </c>
      <c r="L115" s="154">
        <v>516875.59142050601</v>
      </c>
      <c r="M115" s="154">
        <v>12.043866656911403</v>
      </c>
      <c r="N115" s="154" t="s">
        <v>421</v>
      </c>
      <c r="O115" s="154">
        <v>0.15374944034472382</v>
      </c>
      <c r="P115" s="154">
        <v>0.86741619575749784</v>
      </c>
      <c r="Q115" s="154">
        <v>17.15850255846734</v>
      </c>
      <c r="R115" s="154">
        <v>6207.6721992663288</v>
      </c>
      <c r="S115" s="154">
        <v>1039.6902781371716</v>
      </c>
      <c r="T115" s="154">
        <v>7.8697191729423661</v>
      </c>
      <c r="U115" s="154">
        <v>8.6771511045121432</v>
      </c>
      <c r="V115" s="154" t="s">
        <v>421</v>
      </c>
      <c r="W115" s="154">
        <v>5.8758930303709542</v>
      </c>
      <c r="X115" s="154" t="s">
        <v>421</v>
      </c>
      <c r="Y115" s="154">
        <v>0.10419093218329314</v>
      </c>
      <c r="Z115" s="154">
        <v>1039.6635210919835</v>
      </c>
      <c r="AC115" s="28" t="s">
        <v>421</v>
      </c>
      <c r="AD115" s="9" t="s">
        <v>421</v>
      </c>
      <c r="AE115" s="9" t="s">
        <v>421</v>
      </c>
      <c r="AF115" s="28" t="s">
        <v>421</v>
      </c>
      <c r="AG115" s="28">
        <v>0.42099999999999999</v>
      </c>
      <c r="AH115" s="28">
        <v>33.238999999999997</v>
      </c>
      <c r="AI115" s="28" t="s">
        <v>421</v>
      </c>
      <c r="AJ115" s="28">
        <v>0.193</v>
      </c>
      <c r="AK115" s="28" t="s">
        <v>421</v>
      </c>
      <c r="AL115" s="28">
        <v>51.643999999999998</v>
      </c>
      <c r="AM115" s="28">
        <v>0.13400000000000001</v>
      </c>
      <c r="AN115" s="28">
        <v>12.525</v>
      </c>
      <c r="AO115" s="28">
        <v>1.2410000000000001</v>
      </c>
      <c r="AP115" s="156">
        <f t="shared" si="1"/>
        <v>99.396999999999991</v>
      </c>
    </row>
    <row r="116" spans="1:42" x14ac:dyDescent="0.2">
      <c r="A116" s="9" t="s">
        <v>635</v>
      </c>
      <c r="B116" s="9" t="s">
        <v>636</v>
      </c>
      <c r="C116" s="9" t="s">
        <v>81</v>
      </c>
      <c r="D116" s="9" t="s">
        <v>97</v>
      </c>
      <c r="E116" s="154">
        <v>301967.40379323781</v>
      </c>
      <c r="F116" s="154">
        <v>296223.23417216848</v>
      </c>
      <c r="G116" s="154">
        <v>3013.9880012503882</v>
      </c>
      <c r="H116" s="154">
        <v>93733.087296486134</v>
      </c>
      <c r="I116" s="154">
        <v>1.1745667644717448</v>
      </c>
      <c r="J116" s="154">
        <v>1929.2578666476763</v>
      </c>
      <c r="K116" s="154">
        <v>530000</v>
      </c>
      <c r="L116" s="154">
        <v>531745.79535804281</v>
      </c>
      <c r="M116" s="154">
        <v>17.392993579689325</v>
      </c>
      <c r="N116" s="154" t="s">
        <v>421</v>
      </c>
      <c r="O116" s="154" t="s">
        <v>421</v>
      </c>
      <c r="P116" s="154" t="s">
        <v>421</v>
      </c>
      <c r="Q116" s="154">
        <v>16.018054438608932</v>
      </c>
      <c r="R116" s="154">
        <v>5863.809147416262</v>
      </c>
      <c r="S116" s="154">
        <v>543.57186090954076</v>
      </c>
      <c r="T116" s="154">
        <v>834.17298440352647</v>
      </c>
      <c r="U116" s="154">
        <v>821.66362360421715</v>
      </c>
      <c r="V116" s="154">
        <v>0.16791094259130249</v>
      </c>
      <c r="W116" s="154">
        <v>5.9522257344896454</v>
      </c>
      <c r="X116" s="154" t="s">
        <v>421</v>
      </c>
      <c r="Y116" s="154">
        <v>2.0588328227384505</v>
      </c>
      <c r="Z116" s="154">
        <v>540.73567276256881</v>
      </c>
      <c r="AC116" s="28" t="s">
        <v>421</v>
      </c>
      <c r="AD116" s="9" t="s">
        <v>421</v>
      </c>
      <c r="AE116" s="9" t="s">
        <v>421</v>
      </c>
      <c r="AF116" s="28" t="s">
        <v>421</v>
      </c>
      <c r="AG116" s="28">
        <v>0.41099999999999998</v>
      </c>
      <c r="AH116" s="28">
        <v>33.533999999999999</v>
      </c>
      <c r="AI116" s="28">
        <v>0.14299999999999999</v>
      </c>
      <c r="AJ116" s="28">
        <v>7.6999999999999999E-2</v>
      </c>
      <c r="AK116" s="28" t="s">
        <v>421</v>
      </c>
      <c r="AL116" s="28">
        <v>53</v>
      </c>
      <c r="AM116" s="28">
        <v>0.23100000000000001</v>
      </c>
      <c r="AN116" s="28">
        <v>12.315</v>
      </c>
      <c r="AO116" s="28">
        <v>0.501</v>
      </c>
      <c r="AP116" s="156">
        <f t="shared" si="1"/>
        <v>100.21199999999999</v>
      </c>
    </row>
    <row r="117" spans="1:42" x14ac:dyDescent="0.2">
      <c r="A117" s="9" t="s">
        <v>637</v>
      </c>
      <c r="B117" s="9" t="s">
        <v>638</v>
      </c>
      <c r="C117" s="9" t="s">
        <v>81</v>
      </c>
      <c r="D117" s="9" t="s">
        <v>97</v>
      </c>
      <c r="E117" s="154">
        <v>298579.62817639625</v>
      </c>
      <c r="F117" s="154">
        <v>293627.56774538348</v>
      </c>
      <c r="G117" s="154">
        <v>2925.1913136423182</v>
      </c>
      <c r="H117" s="154">
        <v>92768.826542255571</v>
      </c>
      <c r="I117" s="154">
        <v>1.113880846050489</v>
      </c>
      <c r="J117" s="154">
        <v>1507.6071510544245</v>
      </c>
      <c r="K117" s="154">
        <v>529040</v>
      </c>
      <c r="L117" s="154">
        <v>531843.91700337885</v>
      </c>
      <c r="M117" s="154">
        <v>17.162727351066991</v>
      </c>
      <c r="N117" s="154" t="s">
        <v>421</v>
      </c>
      <c r="O117" s="154" t="s">
        <v>421</v>
      </c>
      <c r="P117" s="154" t="s">
        <v>421</v>
      </c>
      <c r="Q117" s="154">
        <v>12.734542583449626</v>
      </c>
      <c r="R117" s="154">
        <v>5733.9629636588079</v>
      </c>
      <c r="S117" s="154">
        <v>432.2993452850323</v>
      </c>
      <c r="T117" s="154">
        <v>608.65890834323704</v>
      </c>
      <c r="U117" s="154">
        <v>587.54459842742494</v>
      </c>
      <c r="V117" s="154">
        <v>4.2173893115830544E-2</v>
      </c>
      <c r="W117" s="154">
        <v>5.4646209982324354</v>
      </c>
      <c r="X117" s="154" t="s">
        <v>421</v>
      </c>
      <c r="Y117" s="154">
        <v>6.8178264906328048</v>
      </c>
      <c r="Z117" s="154">
        <v>430.22990499666531</v>
      </c>
      <c r="AC117" s="28" t="s">
        <v>421</v>
      </c>
      <c r="AD117" s="9" t="s">
        <v>421</v>
      </c>
      <c r="AE117" s="9" t="s">
        <v>421</v>
      </c>
      <c r="AF117" s="28" t="s">
        <v>421</v>
      </c>
      <c r="AG117" s="28">
        <v>0.379</v>
      </c>
      <c r="AH117" s="28">
        <v>33.140999999999998</v>
      </c>
      <c r="AI117" s="28">
        <v>0.09</v>
      </c>
      <c r="AJ117" s="28">
        <v>5.8000000000000003E-2</v>
      </c>
      <c r="AK117" s="28" t="s">
        <v>421</v>
      </c>
      <c r="AL117" s="28">
        <v>52.904000000000003</v>
      </c>
      <c r="AM117" s="28">
        <v>0.13800000000000001</v>
      </c>
      <c r="AN117" s="28">
        <v>12.206</v>
      </c>
      <c r="AO117" s="28">
        <v>0.48899999999999999</v>
      </c>
      <c r="AP117" s="156">
        <f t="shared" si="1"/>
        <v>99.405000000000015</v>
      </c>
    </row>
    <row r="118" spans="1:42" x14ac:dyDescent="0.2">
      <c r="A118" s="9" t="s">
        <v>639</v>
      </c>
      <c r="B118" s="9" t="s">
        <v>640</v>
      </c>
      <c r="C118" s="9" t="s">
        <v>81</v>
      </c>
      <c r="D118" s="9" t="s">
        <v>97</v>
      </c>
      <c r="E118" s="154">
        <v>294025.35311380011</v>
      </c>
      <c r="F118" s="154">
        <v>289226.83302918845</v>
      </c>
      <c r="G118" s="154">
        <v>10166.955314537332</v>
      </c>
      <c r="H118" s="154">
        <v>91581.100006710258</v>
      </c>
      <c r="I118" s="154">
        <v>10.739060155940692</v>
      </c>
      <c r="J118" s="154">
        <v>674.90388357846928</v>
      </c>
      <c r="K118" s="154">
        <v>517269.99999999994</v>
      </c>
      <c r="L118" s="154">
        <v>514505.02243881521</v>
      </c>
      <c r="M118" s="154">
        <v>1.1017786826427514</v>
      </c>
      <c r="N118" s="154" t="s">
        <v>421</v>
      </c>
      <c r="O118" s="154">
        <v>0.14179730019698233</v>
      </c>
      <c r="P118" s="154">
        <v>1.8601451470054851</v>
      </c>
      <c r="Q118" s="154">
        <v>7.2810642748129641</v>
      </c>
      <c r="R118" s="154">
        <v>5626.1192198756225</v>
      </c>
      <c r="S118" s="154">
        <v>441.50300035107671</v>
      </c>
      <c r="T118" s="154">
        <v>3.5309444727034038</v>
      </c>
      <c r="U118" s="154">
        <v>3.1730382074591228</v>
      </c>
      <c r="V118" s="154">
        <v>0.24713639306461982</v>
      </c>
      <c r="W118" s="154">
        <v>6.5202914430375687</v>
      </c>
      <c r="X118" s="154" t="s">
        <v>421</v>
      </c>
      <c r="Y118" s="154">
        <v>1.2354448973183492</v>
      </c>
      <c r="Z118" s="154">
        <v>441.49099513986954</v>
      </c>
      <c r="AC118" s="28" t="s">
        <v>421</v>
      </c>
      <c r="AD118" s="9" t="s">
        <v>421</v>
      </c>
      <c r="AE118" s="9" t="s">
        <v>421</v>
      </c>
      <c r="AF118" s="28" t="s">
        <v>421</v>
      </c>
      <c r="AG118" s="28">
        <v>0.39100000000000001</v>
      </c>
      <c r="AH118" s="28">
        <v>33.159999999999997</v>
      </c>
      <c r="AI118" s="28" t="s">
        <v>421</v>
      </c>
      <c r="AJ118" s="28">
        <v>9.0999999999999998E-2</v>
      </c>
      <c r="AK118" s="28" t="s">
        <v>421</v>
      </c>
      <c r="AL118" s="28">
        <v>51.726999999999997</v>
      </c>
      <c r="AM118" s="28">
        <v>0.13700000000000001</v>
      </c>
      <c r="AN118" s="28">
        <v>12.128</v>
      </c>
      <c r="AO118" s="28">
        <v>1.677</v>
      </c>
      <c r="AP118" s="156">
        <f t="shared" si="1"/>
        <v>99.311000000000007</v>
      </c>
    </row>
    <row r="119" spans="1:42" x14ac:dyDescent="0.2">
      <c r="A119" s="9" t="s">
        <v>641</v>
      </c>
      <c r="B119" s="9" t="s">
        <v>642</v>
      </c>
      <c r="C119" s="9" t="s">
        <v>81</v>
      </c>
      <c r="D119" s="9" t="s">
        <v>97</v>
      </c>
      <c r="E119" s="154">
        <v>293487.64574755554</v>
      </c>
      <c r="F119" s="154">
        <v>301903.81692374946</v>
      </c>
      <c r="G119" s="154">
        <v>10014.187107534406</v>
      </c>
      <c r="H119" s="154">
        <v>94368.55090525189</v>
      </c>
      <c r="I119" s="154">
        <v>13.56770102145288</v>
      </c>
      <c r="J119" s="154">
        <v>573.93021899691951</v>
      </c>
      <c r="K119" s="154">
        <v>519980</v>
      </c>
      <c r="L119" s="154">
        <v>524146.44039064605</v>
      </c>
      <c r="M119" s="154">
        <v>0.29439127971545076</v>
      </c>
      <c r="N119" s="154">
        <v>0.27540936771070151</v>
      </c>
      <c r="O119" s="154" t="s">
        <v>421</v>
      </c>
      <c r="P119" s="154">
        <v>2.7773097435423382</v>
      </c>
      <c r="Q119" s="154">
        <v>6.6806407345245891</v>
      </c>
      <c r="R119" s="154">
        <v>5732.9415037745357</v>
      </c>
      <c r="S119" s="154">
        <v>408.44165222928285</v>
      </c>
      <c r="T119" s="154">
        <v>3.2455825108252734</v>
      </c>
      <c r="U119" s="154">
        <v>3.6359531216443761</v>
      </c>
      <c r="V119" s="154">
        <v>9.460491940563974E-2</v>
      </c>
      <c r="W119" s="154">
        <v>5.7990191835764184</v>
      </c>
      <c r="X119" s="154" t="s">
        <v>421</v>
      </c>
      <c r="Y119" s="154">
        <v>1.2019053635599939</v>
      </c>
      <c r="Z119" s="154">
        <v>408.43061724874605</v>
      </c>
      <c r="AC119" s="28" t="s">
        <v>421</v>
      </c>
      <c r="AD119" s="9" t="s">
        <v>421</v>
      </c>
      <c r="AE119" s="9" t="s">
        <v>421</v>
      </c>
      <c r="AF119" s="28" t="s">
        <v>421</v>
      </c>
      <c r="AG119" s="28">
        <v>0.375</v>
      </c>
      <c r="AH119" s="28">
        <v>33.43</v>
      </c>
      <c r="AI119" s="28" t="s">
        <v>421</v>
      </c>
      <c r="AJ119" s="28">
        <v>0.04</v>
      </c>
      <c r="AK119" s="28" t="s">
        <v>421</v>
      </c>
      <c r="AL119" s="28">
        <v>51.997999999999998</v>
      </c>
      <c r="AM119" s="28">
        <v>4.1000000000000002E-2</v>
      </c>
      <c r="AN119" s="28">
        <v>12.29</v>
      </c>
      <c r="AO119" s="28">
        <v>1.621</v>
      </c>
      <c r="AP119" s="156">
        <f t="shared" si="1"/>
        <v>99.794999999999973</v>
      </c>
    </row>
    <row r="120" spans="1:42" x14ac:dyDescent="0.2">
      <c r="A120" s="9" t="s">
        <v>643</v>
      </c>
      <c r="B120" s="9" t="s">
        <v>644</v>
      </c>
      <c r="C120" s="9" t="s">
        <v>81</v>
      </c>
      <c r="D120" s="9" t="s">
        <v>98</v>
      </c>
      <c r="E120" s="154">
        <v>361528.41963124945</v>
      </c>
      <c r="F120" s="154">
        <v>459401.08683171135</v>
      </c>
      <c r="G120" s="154">
        <v>851.5414363987212</v>
      </c>
      <c r="H120" s="154">
        <v>44251.678208623372</v>
      </c>
      <c r="I120" s="154">
        <v>43.611784879919824</v>
      </c>
      <c r="J120" s="154">
        <v>494.94204013377578</v>
      </c>
      <c r="K120" s="154">
        <v>656870</v>
      </c>
      <c r="L120" s="154">
        <v>636132.89874535089</v>
      </c>
      <c r="M120" s="154">
        <v>0.71210084095880066</v>
      </c>
      <c r="N120" s="154">
        <v>3.0093137915998605</v>
      </c>
      <c r="O120" s="154">
        <v>14.187026607902526</v>
      </c>
      <c r="P120" s="154" t="s">
        <v>421</v>
      </c>
      <c r="Q120" s="154">
        <v>18.887129598153731</v>
      </c>
      <c r="R120" s="154">
        <v>7280.7143622707172</v>
      </c>
      <c r="S120" s="154">
        <v>88.201264540503601</v>
      </c>
      <c r="T120" s="154">
        <v>36.396616100771837</v>
      </c>
      <c r="U120" s="154">
        <v>41.745291341227571</v>
      </c>
      <c r="V120" s="154">
        <v>6.3335691422398055</v>
      </c>
      <c r="W120" s="154">
        <v>186.32221844476237</v>
      </c>
      <c r="X120" s="154" t="s">
        <v>421</v>
      </c>
      <c r="Y120" s="154">
        <v>71.662611890708618</v>
      </c>
      <c r="Z120" s="154">
        <v>88.077516045760973</v>
      </c>
      <c r="AC120" s="28" t="s">
        <v>421</v>
      </c>
      <c r="AD120" s="9" t="s">
        <v>421</v>
      </c>
      <c r="AE120" s="9" t="s">
        <v>421</v>
      </c>
      <c r="AF120" s="28" t="s">
        <v>421</v>
      </c>
      <c r="AG120" s="28">
        <v>0.63900000000000001</v>
      </c>
      <c r="AH120" s="28">
        <v>32.618000000000002</v>
      </c>
      <c r="AI120" s="28" t="s">
        <v>421</v>
      </c>
      <c r="AJ120" s="28" t="s">
        <v>421</v>
      </c>
      <c r="AK120" s="28">
        <v>0.01</v>
      </c>
      <c r="AL120" s="28">
        <v>65.686999999999998</v>
      </c>
      <c r="AM120" s="28">
        <v>6.0000000000000001E-3</v>
      </c>
      <c r="AN120" s="28">
        <v>0.58599999999999997</v>
      </c>
      <c r="AO120" s="28">
        <v>8.0000000000000002E-3</v>
      </c>
      <c r="AP120" s="156">
        <f t="shared" si="1"/>
        <v>99.554000000000002</v>
      </c>
    </row>
    <row r="121" spans="1:42" x14ac:dyDescent="0.2">
      <c r="A121" s="9" t="s">
        <v>645</v>
      </c>
      <c r="B121" s="9" t="s">
        <v>646</v>
      </c>
      <c r="C121" s="9" t="s">
        <v>81</v>
      </c>
      <c r="D121" s="9" t="s">
        <v>98</v>
      </c>
      <c r="E121" s="154">
        <v>300092.93533883558</v>
      </c>
      <c r="F121" s="154">
        <v>298617.5687903373</v>
      </c>
      <c r="G121" s="154">
        <v>1568.0088493542632</v>
      </c>
      <c r="H121" s="154">
        <v>70448.698345030731</v>
      </c>
      <c r="I121" s="154">
        <v>161.32039595929805</v>
      </c>
      <c r="J121" s="154">
        <v>290.33922245741434</v>
      </c>
      <c r="K121" s="154">
        <v>565580</v>
      </c>
      <c r="L121" s="154">
        <v>573296.91499008983</v>
      </c>
      <c r="M121" s="154">
        <v>1.1947265642150042</v>
      </c>
      <c r="N121" s="154">
        <v>0.27857431608410932</v>
      </c>
      <c r="O121" s="154" t="s">
        <v>421</v>
      </c>
      <c r="P121" s="154">
        <v>0.97177684322984681</v>
      </c>
      <c r="Q121" s="154">
        <v>18.030784885325502</v>
      </c>
      <c r="R121" s="154">
        <v>6554.687027005989</v>
      </c>
      <c r="S121" s="154">
        <v>189.67626184063138</v>
      </c>
      <c r="T121" s="154">
        <v>9.8226041926890506</v>
      </c>
      <c r="U121" s="154">
        <v>9.5029802752217272</v>
      </c>
      <c r="V121" s="154">
        <v>6.3031192711984554E-2</v>
      </c>
      <c r="W121" s="154">
        <v>10.717696505658081</v>
      </c>
      <c r="X121" s="154" t="s">
        <v>421</v>
      </c>
      <c r="Y121" s="154">
        <v>0.93867851879102515</v>
      </c>
      <c r="Z121" s="154">
        <v>189.64286498637625</v>
      </c>
      <c r="AC121" s="28" t="s">
        <v>421</v>
      </c>
      <c r="AD121" s="9" t="s">
        <v>421</v>
      </c>
      <c r="AE121" s="9" t="s">
        <v>421</v>
      </c>
      <c r="AF121" s="28" t="s">
        <v>421</v>
      </c>
      <c r="AG121" s="28">
        <v>0.44900000000000001</v>
      </c>
      <c r="AH121" s="28">
        <v>33.155000000000001</v>
      </c>
      <c r="AI121" s="28">
        <v>7.0000000000000001E-3</v>
      </c>
      <c r="AJ121" s="28">
        <v>5.0000000000000001E-3</v>
      </c>
      <c r="AK121" s="28" t="s">
        <v>421</v>
      </c>
      <c r="AL121" s="28">
        <v>56.558</v>
      </c>
      <c r="AM121" s="28">
        <v>1.4E-2</v>
      </c>
      <c r="AN121" s="28">
        <v>8.8770000000000007</v>
      </c>
      <c r="AO121" s="28">
        <v>0.24199999999999999</v>
      </c>
      <c r="AP121" s="156">
        <f t="shared" si="1"/>
        <v>99.307000000000002</v>
      </c>
    </row>
    <row r="122" spans="1:42" x14ac:dyDescent="0.2">
      <c r="A122" s="9" t="s">
        <v>647</v>
      </c>
      <c r="B122" s="9" t="s">
        <v>648</v>
      </c>
      <c r="C122" s="9" t="s">
        <v>81</v>
      </c>
      <c r="D122" s="9" t="s">
        <v>98</v>
      </c>
      <c r="E122" s="154">
        <v>294884.49692204711</v>
      </c>
      <c r="F122" s="154">
        <v>294313.49261329597</v>
      </c>
      <c r="G122" s="154">
        <v>925.87075165338695</v>
      </c>
      <c r="H122" s="154">
        <v>86373.250609394032</v>
      </c>
      <c r="I122" s="154">
        <v>80.054582385827572</v>
      </c>
      <c r="J122" s="154">
        <v>580.38501593789238</v>
      </c>
      <c r="K122" s="154">
        <v>536770</v>
      </c>
      <c r="L122" s="154">
        <v>542976.26624698739</v>
      </c>
      <c r="M122" s="154">
        <v>0.95011600785371497</v>
      </c>
      <c r="N122" s="154" t="s">
        <v>421</v>
      </c>
      <c r="O122" s="154">
        <v>0.16066595958584384</v>
      </c>
      <c r="P122" s="154">
        <v>0.97147690590484559</v>
      </c>
      <c r="Q122" s="154">
        <v>6.9332012544593606</v>
      </c>
      <c r="R122" s="154">
        <v>6285.9544294805592</v>
      </c>
      <c r="S122" s="154">
        <v>285.66363964411676</v>
      </c>
      <c r="T122" s="154">
        <v>1.4414982278555131</v>
      </c>
      <c r="U122" s="154">
        <v>1.510934413580258</v>
      </c>
      <c r="V122" s="154">
        <v>9.6652120466924396E-2</v>
      </c>
      <c r="W122" s="154">
        <v>6.7592339909860559</v>
      </c>
      <c r="X122" s="154" t="s">
        <v>421</v>
      </c>
      <c r="Y122" s="154">
        <v>4.4916553205627263</v>
      </c>
      <c r="Z122" s="154">
        <v>285.65873855014206</v>
      </c>
      <c r="AC122" s="28" t="s">
        <v>421</v>
      </c>
      <c r="AD122" s="9" t="s">
        <v>421</v>
      </c>
      <c r="AE122" s="9" t="s">
        <v>421</v>
      </c>
      <c r="AF122" s="28" t="s">
        <v>421</v>
      </c>
      <c r="AG122" s="28">
        <v>0.59099999999999997</v>
      </c>
      <c r="AH122" s="28">
        <v>33.25</v>
      </c>
      <c r="AI122" s="28">
        <v>3.0000000000000001E-3</v>
      </c>
      <c r="AJ122" s="28">
        <v>3.3000000000000002E-2</v>
      </c>
      <c r="AK122" s="28">
        <v>2E-3</v>
      </c>
      <c r="AL122" s="28">
        <v>53.677</v>
      </c>
      <c r="AM122" s="28">
        <v>6.4000000000000001E-2</v>
      </c>
      <c r="AN122" s="28">
        <v>11.2</v>
      </c>
      <c r="AO122" s="28">
        <v>0.152</v>
      </c>
      <c r="AP122" s="156">
        <f t="shared" si="1"/>
        <v>98.972000000000008</v>
      </c>
    </row>
    <row r="123" spans="1:42" x14ac:dyDescent="0.2">
      <c r="A123" s="9" t="s">
        <v>649</v>
      </c>
      <c r="B123" s="9" t="s">
        <v>650</v>
      </c>
      <c r="C123" s="9" t="s">
        <v>81</v>
      </c>
      <c r="D123" s="9" t="s">
        <v>98</v>
      </c>
      <c r="E123" s="154">
        <v>304062.55051809037</v>
      </c>
      <c r="F123" s="154">
        <v>301088.23140774615</v>
      </c>
      <c r="G123" s="154">
        <v>6792.5923384138341</v>
      </c>
      <c r="H123" s="154">
        <v>98751.699340336811</v>
      </c>
      <c r="I123" s="154">
        <v>218.69841232415698</v>
      </c>
      <c r="J123" s="154">
        <v>612.31629332478008</v>
      </c>
      <c r="K123" s="154">
        <v>518630</v>
      </c>
      <c r="L123" s="154">
        <v>517642.21488114342</v>
      </c>
      <c r="M123" s="154">
        <v>0.17120487538933399</v>
      </c>
      <c r="N123" s="154" t="s">
        <v>421</v>
      </c>
      <c r="O123" s="154">
        <v>0.17360761078787681</v>
      </c>
      <c r="P123" s="154">
        <v>1.0474735810663722</v>
      </c>
      <c r="Q123" s="154">
        <v>5.9599649971919959</v>
      </c>
      <c r="R123" s="154">
        <v>6725.4603333410869</v>
      </c>
      <c r="S123" s="154">
        <v>447.26591682489948</v>
      </c>
      <c r="T123" s="154">
        <v>1.4952475441933322</v>
      </c>
      <c r="U123" s="154">
        <v>1.7359910525823388</v>
      </c>
      <c r="V123" s="154" t="s">
        <v>421</v>
      </c>
      <c r="W123" s="154">
        <v>5.9488864096866338</v>
      </c>
      <c r="X123" s="154" t="s">
        <v>421</v>
      </c>
      <c r="Y123" s="154">
        <v>0.10884448117140053</v>
      </c>
      <c r="Z123" s="154">
        <v>447.2608329832492</v>
      </c>
      <c r="AC123" s="28" t="s">
        <v>421</v>
      </c>
      <c r="AD123" s="9" t="s">
        <v>421</v>
      </c>
      <c r="AE123" s="9" t="s">
        <v>421</v>
      </c>
      <c r="AF123" s="28" t="s">
        <v>421</v>
      </c>
      <c r="AG123" s="28">
        <v>0.50900000000000001</v>
      </c>
      <c r="AH123" s="28">
        <v>33.393999999999998</v>
      </c>
      <c r="AI123" s="28" t="s">
        <v>421</v>
      </c>
      <c r="AJ123" s="28">
        <v>7.6999999999999999E-2</v>
      </c>
      <c r="AK123" s="28" t="s">
        <v>421</v>
      </c>
      <c r="AL123" s="28">
        <v>51.863</v>
      </c>
      <c r="AM123" s="28">
        <v>4.2999999999999997E-2</v>
      </c>
      <c r="AN123" s="28">
        <v>12.523999999999999</v>
      </c>
      <c r="AO123" s="28">
        <v>1.1299999999999999</v>
      </c>
      <c r="AP123" s="156">
        <f t="shared" si="1"/>
        <v>99.539999999999992</v>
      </c>
    </row>
    <row r="124" spans="1:42" x14ac:dyDescent="0.2">
      <c r="A124" s="9" t="s">
        <v>651</v>
      </c>
      <c r="B124" s="9" t="s">
        <v>652</v>
      </c>
      <c r="C124" s="9" t="s">
        <v>81</v>
      </c>
      <c r="D124" s="9" t="s">
        <v>98</v>
      </c>
      <c r="E124" s="154">
        <v>301141.30758760619</v>
      </c>
      <c r="F124" s="154">
        <v>302402.42201367463</v>
      </c>
      <c r="G124" s="154">
        <v>2463.791504397786</v>
      </c>
      <c r="H124" s="154">
        <v>82429.024816874968</v>
      </c>
      <c r="I124" s="154">
        <v>201.80761801571509</v>
      </c>
      <c r="J124" s="154">
        <v>511.12365273864037</v>
      </c>
      <c r="K124" s="154">
        <v>546450</v>
      </c>
      <c r="L124" s="154">
        <v>550541.41884605971</v>
      </c>
      <c r="M124" s="154">
        <v>0.39248686537510685</v>
      </c>
      <c r="N124" s="154">
        <v>0.28898997539960891</v>
      </c>
      <c r="O124" s="154">
        <v>0.14266709083197493</v>
      </c>
      <c r="P124" s="154">
        <v>3.3570403623233283</v>
      </c>
      <c r="Q124" s="154">
        <v>10.896975502966052</v>
      </c>
      <c r="R124" s="154">
        <v>5969.4466849820174</v>
      </c>
      <c r="S124" s="154">
        <v>360.79221086547818</v>
      </c>
      <c r="T124" s="154">
        <v>1.3572188044080051</v>
      </c>
      <c r="U124" s="154">
        <v>1.3601423260498324</v>
      </c>
      <c r="V124" s="154" t="s">
        <v>421</v>
      </c>
      <c r="W124" s="154">
        <v>7.1035720345751754</v>
      </c>
      <c r="X124" s="154" t="s">
        <v>421</v>
      </c>
      <c r="Y124" s="154">
        <v>0.25536345266176891</v>
      </c>
      <c r="Z124" s="154">
        <v>360.78759632154322</v>
      </c>
      <c r="AC124" s="28" t="s">
        <v>421</v>
      </c>
      <c r="AD124" s="9" t="s">
        <v>421</v>
      </c>
      <c r="AE124" s="9" t="s">
        <v>421</v>
      </c>
      <c r="AF124" s="28" t="s">
        <v>421</v>
      </c>
      <c r="AG124" s="28">
        <v>0.48199999999999998</v>
      </c>
      <c r="AH124" s="28">
        <v>33.171999999999997</v>
      </c>
      <c r="AI124" s="28" t="s">
        <v>421</v>
      </c>
      <c r="AJ124" s="28">
        <v>4.7E-2</v>
      </c>
      <c r="AK124" s="28">
        <v>0.01</v>
      </c>
      <c r="AL124" s="28">
        <v>54.645000000000003</v>
      </c>
      <c r="AM124" s="28">
        <v>3.4000000000000002E-2</v>
      </c>
      <c r="AN124" s="28">
        <v>10.704000000000001</v>
      </c>
      <c r="AO124" s="28">
        <v>0.40100000000000002</v>
      </c>
      <c r="AP124" s="156">
        <f t="shared" si="1"/>
        <v>99.49499999999999</v>
      </c>
    </row>
    <row r="125" spans="1:42" x14ac:dyDescent="0.2">
      <c r="A125" s="9" t="s">
        <v>653</v>
      </c>
      <c r="B125" s="9" t="s">
        <v>654</v>
      </c>
      <c r="C125" s="9" t="s">
        <v>81</v>
      </c>
      <c r="D125" s="9" t="s">
        <v>98</v>
      </c>
      <c r="E125" s="154">
        <v>301416.3283619071</v>
      </c>
      <c r="F125" s="154">
        <v>294374.77187052311</v>
      </c>
      <c r="G125" s="154">
        <v>2379.8585946792405</v>
      </c>
      <c r="H125" s="154">
        <v>84815.53727178913</v>
      </c>
      <c r="I125" s="154">
        <v>208.62374555584768</v>
      </c>
      <c r="J125" s="154">
        <v>599.20338542910326</v>
      </c>
      <c r="K125" s="154">
        <v>541190</v>
      </c>
      <c r="L125" s="154">
        <v>540182.32359873096</v>
      </c>
      <c r="M125" s="154">
        <v>0.55232115138998961</v>
      </c>
      <c r="N125" s="154" t="s">
        <v>421</v>
      </c>
      <c r="O125" s="154">
        <v>0.14790369929995278</v>
      </c>
      <c r="P125" s="154">
        <v>3.5692357764457467</v>
      </c>
      <c r="Q125" s="154">
        <v>9.9853019462454178</v>
      </c>
      <c r="R125" s="154">
        <v>5966.1952198649269</v>
      </c>
      <c r="S125" s="154">
        <v>402.85467614770641</v>
      </c>
      <c r="T125" s="154">
        <v>5.7577724795005611</v>
      </c>
      <c r="U125" s="154">
        <v>5.9663808481012826</v>
      </c>
      <c r="V125" s="154">
        <v>0.3386475938428688</v>
      </c>
      <c r="W125" s="154">
        <v>7.3242424892582623</v>
      </c>
      <c r="X125" s="154" t="s">
        <v>421</v>
      </c>
      <c r="Y125" s="154">
        <v>1.8545535069781811</v>
      </c>
      <c r="Z125" s="154">
        <v>402.83509972127609</v>
      </c>
      <c r="AC125" s="28" t="s">
        <v>421</v>
      </c>
      <c r="AD125" s="9" t="s">
        <v>421</v>
      </c>
      <c r="AE125" s="9" t="s">
        <v>421</v>
      </c>
      <c r="AF125" s="28" t="s">
        <v>421</v>
      </c>
      <c r="AG125" s="28">
        <v>0.39900000000000002</v>
      </c>
      <c r="AH125" s="28">
        <v>33.085999999999999</v>
      </c>
      <c r="AI125" s="28" t="s">
        <v>421</v>
      </c>
      <c r="AJ125" s="28">
        <v>5.6000000000000001E-2</v>
      </c>
      <c r="AK125" s="28" t="s">
        <v>421</v>
      </c>
      <c r="AL125" s="28">
        <v>54.119</v>
      </c>
      <c r="AM125" s="28">
        <v>0.05</v>
      </c>
      <c r="AN125" s="28">
        <v>11.206</v>
      </c>
      <c r="AO125" s="28">
        <v>0.40200000000000002</v>
      </c>
      <c r="AP125" s="156">
        <f t="shared" si="1"/>
        <v>99.317999999999998</v>
      </c>
    </row>
    <row r="126" spans="1:42" x14ac:dyDescent="0.2">
      <c r="A126" s="9" t="s">
        <v>655</v>
      </c>
      <c r="B126" s="9" t="s">
        <v>656</v>
      </c>
      <c r="C126" s="9" t="s">
        <v>81</v>
      </c>
      <c r="D126" s="9" t="s">
        <v>98</v>
      </c>
      <c r="E126" s="154">
        <v>295806.35048912041</v>
      </c>
      <c r="F126" s="154">
        <v>294625.05031002767</v>
      </c>
      <c r="G126" s="154">
        <v>1708.520208890827</v>
      </c>
      <c r="H126" s="154">
        <v>74352.423459767873</v>
      </c>
      <c r="I126" s="154">
        <v>186.86026024352532</v>
      </c>
      <c r="J126" s="154">
        <v>295.11727513537721</v>
      </c>
      <c r="K126" s="154">
        <v>561570</v>
      </c>
      <c r="L126" s="154">
        <v>561928.33616158483</v>
      </c>
      <c r="M126" s="154">
        <v>0.83254465650840037</v>
      </c>
      <c r="N126" s="154" t="s">
        <v>421</v>
      </c>
      <c r="O126" s="154">
        <v>0.31773112520967994</v>
      </c>
      <c r="P126" s="154">
        <v>1.0429593841349112</v>
      </c>
      <c r="Q126" s="154">
        <v>2.8847667142360174</v>
      </c>
      <c r="R126" s="154">
        <v>6531.5890554558819</v>
      </c>
      <c r="S126" s="154">
        <v>287.89288853140442</v>
      </c>
      <c r="T126" s="154">
        <v>1.9883394881444334</v>
      </c>
      <c r="U126" s="154">
        <v>2.0772801513732522</v>
      </c>
      <c r="V126" s="154" t="s">
        <v>421</v>
      </c>
      <c r="W126" s="154">
        <v>10.486130884201854</v>
      </c>
      <c r="X126" s="154" t="s">
        <v>421</v>
      </c>
      <c r="Y126" s="154">
        <v>0.17085362352584751</v>
      </c>
      <c r="Z126" s="154">
        <v>287.88612817714471</v>
      </c>
      <c r="AC126" s="28" t="s">
        <v>421</v>
      </c>
      <c r="AD126" s="9" t="s">
        <v>421</v>
      </c>
      <c r="AE126" s="9" t="s">
        <v>421</v>
      </c>
      <c r="AF126" s="28" t="s">
        <v>421</v>
      </c>
      <c r="AG126" s="28">
        <v>0.50800000000000001</v>
      </c>
      <c r="AH126" s="28">
        <v>33.228999999999999</v>
      </c>
      <c r="AI126" s="28" t="s">
        <v>421</v>
      </c>
      <c r="AJ126" s="28">
        <v>3.9E-2</v>
      </c>
      <c r="AK126" s="28" t="s">
        <v>421</v>
      </c>
      <c r="AL126" s="28">
        <v>56.156999999999996</v>
      </c>
      <c r="AM126" s="28">
        <v>0.02</v>
      </c>
      <c r="AN126" s="28">
        <v>9.4979999999999993</v>
      </c>
      <c r="AO126" s="28">
        <v>0.27500000000000002</v>
      </c>
      <c r="AP126" s="156">
        <f t="shared" si="1"/>
        <v>99.725999999999999</v>
      </c>
    </row>
    <row r="127" spans="1:42" x14ac:dyDescent="0.2">
      <c r="A127" s="9" t="s">
        <v>657</v>
      </c>
      <c r="B127" s="9" t="s">
        <v>658</v>
      </c>
      <c r="C127" s="9" t="s">
        <v>81</v>
      </c>
      <c r="D127" s="9" t="s">
        <v>98</v>
      </c>
      <c r="E127" s="154">
        <v>295210.81594186818</v>
      </c>
      <c r="F127" s="154">
        <v>294273.49137129483</v>
      </c>
      <c r="G127" s="154">
        <v>1658.0917763604323</v>
      </c>
      <c r="H127" s="154">
        <v>72389.527751330097</v>
      </c>
      <c r="I127" s="154">
        <v>164.47098822608524</v>
      </c>
      <c r="J127" s="154">
        <v>368.65393515596787</v>
      </c>
      <c r="K127" s="154">
        <v>563270</v>
      </c>
      <c r="L127" s="154">
        <v>568931.83938916423</v>
      </c>
      <c r="M127" s="154">
        <v>0.71477111394172965</v>
      </c>
      <c r="N127" s="154">
        <v>0.30448490830278269</v>
      </c>
      <c r="O127" s="154">
        <v>0.1657115938068095</v>
      </c>
      <c r="P127" s="154">
        <v>1.0907464067359769</v>
      </c>
      <c r="Q127" s="154">
        <v>2.9982352026695023</v>
      </c>
      <c r="R127" s="154">
        <v>6344.1796282879523</v>
      </c>
      <c r="S127" s="154">
        <v>309.68915183844842</v>
      </c>
      <c r="T127" s="154">
        <v>2.0111039098787611</v>
      </c>
      <c r="U127" s="154">
        <v>1.7691818522883895</v>
      </c>
      <c r="V127" s="154">
        <v>0.26694623920333993</v>
      </c>
      <c r="W127" s="154">
        <v>11.590188760470928</v>
      </c>
      <c r="X127" s="154" t="s">
        <v>421</v>
      </c>
      <c r="Y127" s="154">
        <v>2.4327279987004657</v>
      </c>
      <c r="Z127" s="154">
        <v>309.68231408515481</v>
      </c>
      <c r="AC127" s="28" t="s">
        <v>421</v>
      </c>
      <c r="AD127" s="9" t="s">
        <v>421</v>
      </c>
      <c r="AE127" s="9" t="s">
        <v>421</v>
      </c>
      <c r="AF127" s="28" t="s">
        <v>421</v>
      </c>
      <c r="AG127" s="28">
        <v>0.51</v>
      </c>
      <c r="AH127" s="28">
        <v>33.043999999999997</v>
      </c>
      <c r="AI127" s="28">
        <v>4.0000000000000001E-3</v>
      </c>
      <c r="AJ127" s="28">
        <v>1.7999999999999999E-2</v>
      </c>
      <c r="AK127" s="28" t="s">
        <v>421</v>
      </c>
      <c r="AL127" s="28">
        <v>56.326999999999998</v>
      </c>
      <c r="AM127" s="28">
        <v>4.3999999999999997E-2</v>
      </c>
      <c r="AN127" s="28">
        <v>9.0329999999999995</v>
      </c>
      <c r="AO127" s="28">
        <v>0.25800000000000001</v>
      </c>
      <c r="AP127" s="156">
        <f t="shared" si="1"/>
        <v>99.237999999999985</v>
      </c>
    </row>
    <row r="128" spans="1:42" x14ac:dyDescent="0.2">
      <c r="A128" s="9" t="s">
        <v>659</v>
      </c>
      <c r="B128" s="9" t="s">
        <v>660</v>
      </c>
      <c r="C128" s="9" t="s">
        <v>81</v>
      </c>
      <c r="D128" s="9" t="s">
        <v>98</v>
      </c>
      <c r="E128" s="154">
        <v>348487.84712564695</v>
      </c>
      <c r="F128" s="154">
        <v>464127.30521764595</v>
      </c>
      <c r="G128" s="154">
        <v>1124.5990763850425</v>
      </c>
      <c r="H128" s="154">
        <v>48092.680479933522</v>
      </c>
      <c r="I128" s="154">
        <v>78.82875063258389</v>
      </c>
      <c r="J128" s="154">
        <v>253.98698059908614</v>
      </c>
      <c r="K128" s="154">
        <v>663700</v>
      </c>
      <c r="L128" s="154">
        <v>672524.55787247675</v>
      </c>
      <c r="M128" s="154">
        <v>0.61799635002311493</v>
      </c>
      <c r="N128" s="154" t="s">
        <v>421</v>
      </c>
      <c r="O128" s="154" t="s">
        <v>421</v>
      </c>
      <c r="P128" s="154" t="s">
        <v>421</v>
      </c>
      <c r="Q128" s="154">
        <v>2.1475995165406658</v>
      </c>
      <c r="R128" s="154">
        <v>7581.5180789303213</v>
      </c>
      <c r="S128" s="154">
        <v>321.17890917290777</v>
      </c>
      <c r="T128" s="154">
        <v>2.2355910725302039</v>
      </c>
      <c r="U128" s="154">
        <v>4.0008977146712432</v>
      </c>
      <c r="V128" s="154" t="s">
        <v>421</v>
      </c>
      <c r="W128" s="154">
        <v>94.963886736883822</v>
      </c>
      <c r="X128" s="154" t="s">
        <v>421</v>
      </c>
      <c r="Y128" s="154" t="s">
        <v>421</v>
      </c>
      <c r="Z128" s="154">
        <v>321.17130816326119</v>
      </c>
      <c r="AC128" s="28" t="s">
        <v>421</v>
      </c>
      <c r="AD128" s="9" t="s">
        <v>421</v>
      </c>
      <c r="AE128" s="9" t="s">
        <v>421</v>
      </c>
      <c r="AF128" s="28" t="s">
        <v>421</v>
      </c>
      <c r="AG128" s="28">
        <v>0.27200000000000002</v>
      </c>
      <c r="AH128" s="28">
        <v>32.619</v>
      </c>
      <c r="AI128" s="28" t="s">
        <v>421</v>
      </c>
      <c r="AJ128" s="28">
        <v>2.4E-2</v>
      </c>
      <c r="AK128" s="28" t="s">
        <v>421</v>
      </c>
      <c r="AL128" s="28">
        <v>66.37</v>
      </c>
      <c r="AM128" s="28">
        <v>3.0000000000000001E-3</v>
      </c>
      <c r="AN128" s="28">
        <v>0.438</v>
      </c>
      <c r="AO128" s="28">
        <v>1E-3</v>
      </c>
      <c r="AP128" s="156">
        <f t="shared" si="1"/>
        <v>99.727000000000004</v>
      </c>
    </row>
    <row r="129" spans="1:42" x14ac:dyDescent="0.2">
      <c r="A129" s="9" t="s">
        <v>661</v>
      </c>
      <c r="B129" s="9" t="s">
        <v>662</v>
      </c>
      <c r="C129" s="9" t="s">
        <v>81</v>
      </c>
      <c r="D129" s="9" t="s">
        <v>99</v>
      </c>
      <c r="E129" s="154">
        <v>295043.46463045152</v>
      </c>
      <c r="F129" s="154">
        <v>291363.93779161922</v>
      </c>
      <c r="G129" s="154">
        <v>1511.3656249548749</v>
      </c>
      <c r="H129" s="154">
        <v>107268.18892029861</v>
      </c>
      <c r="I129" s="154">
        <v>92.323255215757243</v>
      </c>
      <c r="J129" s="154">
        <v>520.56779211283208</v>
      </c>
      <c r="K129" s="154">
        <v>519690</v>
      </c>
      <c r="L129" s="154">
        <v>519173.29636562499</v>
      </c>
      <c r="M129" s="154">
        <v>0.51263499276072355</v>
      </c>
      <c r="N129" s="154" t="s">
        <v>421</v>
      </c>
      <c r="O129" s="154" t="s">
        <v>421</v>
      </c>
      <c r="P129" s="154">
        <v>1.995530909703255</v>
      </c>
      <c r="Q129" s="154">
        <v>6.2620900962342114</v>
      </c>
      <c r="R129" s="154">
        <v>6493.3472831497729</v>
      </c>
      <c r="S129" s="154">
        <v>364.79232135670401</v>
      </c>
      <c r="T129" s="154">
        <v>4.5007970844555514</v>
      </c>
      <c r="U129" s="154">
        <v>4.7711413866177503</v>
      </c>
      <c r="V129" s="154" t="s">
        <v>421</v>
      </c>
      <c r="W129" s="154">
        <v>7.6018692355570021</v>
      </c>
      <c r="X129" s="154" t="s">
        <v>421</v>
      </c>
      <c r="Y129" s="154">
        <v>0.4559752126541794</v>
      </c>
      <c r="Z129" s="154">
        <v>364.77701864661685</v>
      </c>
      <c r="AC129" s="28" t="s">
        <v>421</v>
      </c>
      <c r="AD129" s="9" t="s">
        <v>421</v>
      </c>
      <c r="AE129" s="9" t="s">
        <v>421</v>
      </c>
      <c r="AF129" s="28" t="s">
        <v>421</v>
      </c>
      <c r="AG129" s="28">
        <v>0.432</v>
      </c>
      <c r="AH129" s="28">
        <v>33.527999999999999</v>
      </c>
      <c r="AI129" s="28">
        <v>4.0000000000000001E-3</v>
      </c>
      <c r="AJ129" s="28">
        <v>6.2E-2</v>
      </c>
      <c r="AK129" s="28">
        <v>1.2E-2</v>
      </c>
      <c r="AL129" s="28">
        <v>51.969000000000001</v>
      </c>
      <c r="AM129" s="28">
        <v>3.2000000000000001E-2</v>
      </c>
      <c r="AN129" s="28">
        <v>13.475</v>
      </c>
      <c r="AO129" s="28">
        <v>0.26</v>
      </c>
      <c r="AP129" s="156">
        <f t="shared" si="1"/>
        <v>99.774000000000001</v>
      </c>
    </row>
    <row r="130" spans="1:42" x14ac:dyDescent="0.2">
      <c r="A130" s="9" t="s">
        <v>663</v>
      </c>
      <c r="B130" s="9" t="s">
        <v>664</v>
      </c>
      <c r="C130" s="9" t="s">
        <v>81</v>
      </c>
      <c r="D130" s="9" t="s">
        <v>99</v>
      </c>
      <c r="E130" s="154">
        <v>294044.40011204756</v>
      </c>
      <c r="F130" s="154">
        <v>289198.24989994831</v>
      </c>
      <c r="G130" s="154">
        <v>1383.7524612254815</v>
      </c>
      <c r="H130" s="154">
        <v>101400.53038085374</v>
      </c>
      <c r="I130" s="154">
        <v>83.992559861680604</v>
      </c>
      <c r="J130" s="154">
        <v>762.75866479658907</v>
      </c>
      <c r="K130" s="154">
        <v>521550</v>
      </c>
      <c r="L130" s="154">
        <v>524225.15135497914</v>
      </c>
      <c r="M130" s="154">
        <v>1.3026902344565061</v>
      </c>
      <c r="N130" s="154" t="s">
        <v>421</v>
      </c>
      <c r="O130" s="154">
        <v>0.15887222859088795</v>
      </c>
      <c r="P130" s="154">
        <v>2.0706594300176135</v>
      </c>
      <c r="Q130" s="154">
        <v>11.960913426439978</v>
      </c>
      <c r="R130" s="154">
        <v>6082.3494487811431</v>
      </c>
      <c r="S130" s="154">
        <v>300.40655032099625</v>
      </c>
      <c r="T130" s="154">
        <v>4.9874330391587636</v>
      </c>
      <c r="U130" s="154">
        <v>5.5645716276213157</v>
      </c>
      <c r="V130" s="154">
        <v>4.9160353756823892E-2</v>
      </c>
      <c r="W130" s="154">
        <v>5.3470394293930781</v>
      </c>
      <c r="X130" s="154" t="s">
        <v>421</v>
      </c>
      <c r="Y130" s="154">
        <v>0.55183192934687175</v>
      </c>
      <c r="Z130" s="154">
        <v>300.38959304866313</v>
      </c>
      <c r="AC130" s="28" t="s">
        <v>421</v>
      </c>
      <c r="AD130" s="9" t="s">
        <v>421</v>
      </c>
      <c r="AE130" s="9" t="s">
        <v>421</v>
      </c>
      <c r="AF130" s="28" t="s">
        <v>421</v>
      </c>
      <c r="AG130" s="28">
        <v>0.47099999999999997</v>
      </c>
      <c r="AH130" s="28">
        <v>33.343000000000004</v>
      </c>
      <c r="AI130" s="28" t="s">
        <v>421</v>
      </c>
      <c r="AJ130" s="28">
        <v>3.6999999999999998E-2</v>
      </c>
      <c r="AK130" s="28">
        <v>3.0000000000000001E-3</v>
      </c>
      <c r="AL130" s="28">
        <v>52.155000000000001</v>
      </c>
      <c r="AM130" s="28">
        <v>1.9E-2</v>
      </c>
      <c r="AN130" s="28">
        <v>13.186999999999999</v>
      </c>
      <c r="AO130" s="28">
        <v>0.22900000000000001</v>
      </c>
      <c r="AP130" s="156">
        <f t="shared" si="1"/>
        <v>99.444000000000003</v>
      </c>
    </row>
    <row r="131" spans="1:42" x14ac:dyDescent="0.2">
      <c r="A131" s="9" t="s">
        <v>665</v>
      </c>
      <c r="B131" s="9" t="s">
        <v>666</v>
      </c>
      <c r="C131" s="9" t="s">
        <v>81</v>
      </c>
      <c r="D131" s="9" t="s">
        <v>99</v>
      </c>
      <c r="E131" s="154">
        <v>289529.84814598528</v>
      </c>
      <c r="F131" s="154">
        <v>292130.37968052912</v>
      </c>
      <c r="G131" s="154">
        <v>1273.2844081676742</v>
      </c>
      <c r="H131" s="154">
        <v>100384.89166297212</v>
      </c>
      <c r="I131" s="154">
        <v>86.950132751403629</v>
      </c>
      <c r="J131" s="154">
        <v>1367.4769877355011</v>
      </c>
      <c r="K131" s="154">
        <v>521840</v>
      </c>
      <c r="L131" s="154">
        <v>526885.98853285634</v>
      </c>
      <c r="M131" s="154">
        <v>0.7729694099330171</v>
      </c>
      <c r="N131" s="154" t="s">
        <v>421</v>
      </c>
      <c r="O131" s="154">
        <v>0.2898466723890345</v>
      </c>
      <c r="P131" s="154">
        <v>1.8568141063749679</v>
      </c>
      <c r="Q131" s="154">
        <v>32.40011211770517</v>
      </c>
      <c r="R131" s="154">
        <v>6294.7957964565212</v>
      </c>
      <c r="S131" s="154">
        <v>327.5802732870419</v>
      </c>
      <c r="T131" s="154">
        <v>4.515076325906306</v>
      </c>
      <c r="U131" s="154">
        <v>6.040926689001985</v>
      </c>
      <c r="V131" s="154">
        <v>4.6699648771201176E-2</v>
      </c>
      <c r="W131" s="154">
        <v>4.4932501690598778</v>
      </c>
      <c r="X131" s="154">
        <v>1.6992367011552337E-2</v>
      </c>
      <c r="Y131" s="154">
        <v>3.3255467664634293</v>
      </c>
      <c r="Z131" s="154">
        <v>327.56492202753384</v>
      </c>
      <c r="AC131" s="28" t="s">
        <v>421</v>
      </c>
      <c r="AD131" s="9" t="s">
        <v>421</v>
      </c>
      <c r="AE131" s="9" t="s">
        <v>421</v>
      </c>
      <c r="AF131" s="28" t="s">
        <v>421</v>
      </c>
      <c r="AG131" s="28">
        <v>0.42699999999999999</v>
      </c>
      <c r="AH131" s="28">
        <v>33.454000000000001</v>
      </c>
      <c r="AI131" s="28" t="s">
        <v>421</v>
      </c>
      <c r="AJ131" s="28">
        <v>4.9000000000000002E-2</v>
      </c>
      <c r="AK131" s="28">
        <v>0.01</v>
      </c>
      <c r="AL131" s="28">
        <v>52.183999999999997</v>
      </c>
      <c r="AM131" s="28">
        <v>6.3E-2</v>
      </c>
      <c r="AN131" s="28">
        <v>13.336</v>
      </c>
      <c r="AO131" s="28">
        <v>0.23300000000000001</v>
      </c>
      <c r="AP131" s="156">
        <f t="shared" si="1"/>
        <v>99.756</v>
      </c>
    </row>
    <row r="132" spans="1:42" x14ac:dyDescent="0.2">
      <c r="A132" s="9" t="s">
        <v>667</v>
      </c>
      <c r="B132" s="9" t="s">
        <v>668</v>
      </c>
      <c r="C132" s="9" t="s">
        <v>81</v>
      </c>
      <c r="D132" s="9" t="s">
        <v>99</v>
      </c>
      <c r="E132" s="154">
        <v>286382.31164501369</v>
      </c>
      <c r="F132" s="154">
        <v>286628.37976659625</v>
      </c>
      <c r="G132" s="154">
        <v>1197.4188146396511</v>
      </c>
      <c r="H132" s="154">
        <v>103976.94036982619</v>
      </c>
      <c r="I132" s="154">
        <v>9.2170496958965451</v>
      </c>
      <c r="J132" s="154">
        <v>860.46644094035639</v>
      </c>
      <c r="K132" s="154">
        <v>516960</v>
      </c>
      <c r="L132" s="154">
        <v>515627.96922228945</v>
      </c>
      <c r="M132" s="154">
        <v>1.9532233605823452</v>
      </c>
      <c r="N132" s="154" t="s">
        <v>421</v>
      </c>
      <c r="O132" s="154">
        <v>0.30671114468486194</v>
      </c>
      <c r="P132" s="154">
        <v>1.0020997356359058</v>
      </c>
      <c r="Q132" s="154">
        <v>26.855935615357879</v>
      </c>
      <c r="R132" s="154">
        <v>6618.2678558328626</v>
      </c>
      <c r="S132" s="154">
        <v>615.13583383973491</v>
      </c>
      <c r="T132" s="154">
        <v>7.395831587325878</v>
      </c>
      <c r="U132" s="154">
        <v>7.3505731848423519</v>
      </c>
      <c r="V132" s="154" t="s">
        <v>421</v>
      </c>
      <c r="W132" s="154">
        <v>3.9375246458274091</v>
      </c>
      <c r="X132" s="154" t="s">
        <v>421</v>
      </c>
      <c r="Y132" s="154">
        <v>0.82103545396294053</v>
      </c>
      <c r="Z132" s="154">
        <v>615.11068801233796</v>
      </c>
      <c r="AC132" s="28" t="s">
        <v>421</v>
      </c>
      <c r="AD132" s="9" t="s">
        <v>421</v>
      </c>
      <c r="AE132" s="9" t="s">
        <v>421</v>
      </c>
      <c r="AF132" s="28" t="s">
        <v>421</v>
      </c>
      <c r="AG132" s="28">
        <v>0.51700000000000002</v>
      </c>
      <c r="AH132" s="28">
        <v>33.402999999999999</v>
      </c>
      <c r="AI132" s="28" t="s">
        <v>421</v>
      </c>
      <c r="AJ132" s="28">
        <v>0.10100000000000001</v>
      </c>
      <c r="AK132" s="28">
        <v>8.0000000000000002E-3</v>
      </c>
      <c r="AL132" s="28">
        <v>51.695999999999998</v>
      </c>
      <c r="AM132" s="28">
        <v>0.08</v>
      </c>
      <c r="AN132" s="28">
        <v>13.706</v>
      </c>
      <c r="AO132" s="28">
        <v>0.19500000000000001</v>
      </c>
      <c r="AP132" s="156">
        <f t="shared" si="1"/>
        <v>99.705999999999989</v>
      </c>
    </row>
    <row r="133" spans="1:42" x14ac:dyDescent="0.2">
      <c r="A133" s="9" t="s">
        <v>669</v>
      </c>
      <c r="B133" s="9" t="s">
        <v>670</v>
      </c>
      <c r="C133" s="9" t="s">
        <v>81</v>
      </c>
      <c r="D133" s="9" t="s">
        <v>99</v>
      </c>
      <c r="E133" s="154">
        <v>287448.2545370849</v>
      </c>
      <c r="F133" s="154">
        <v>356573.37657029461</v>
      </c>
      <c r="G133" s="154">
        <v>1207.5568458946175</v>
      </c>
      <c r="H133" s="154">
        <v>99921.970255725755</v>
      </c>
      <c r="I133" s="154">
        <v>8.692831732917913</v>
      </c>
      <c r="J133" s="154">
        <v>1019.1110599811204</v>
      </c>
      <c r="K133" s="154">
        <v>517640</v>
      </c>
      <c r="L133" s="154">
        <v>514166.21727651701</v>
      </c>
      <c r="M133" s="154">
        <v>2.3908205423325035</v>
      </c>
      <c r="N133" s="154" t="s">
        <v>421</v>
      </c>
      <c r="O133" s="154" t="s">
        <v>421</v>
      </c>
      <c r="P133" s="154" t="s">
        <v>421</v>
      </c>
      <c r="Q133" s="154">
        <v>29.839375314331939</v>
      </c>
      <c r="R133" s="154">
        <v>7527.8441284010469</v>
      </c>
      <c r="S133" s="154">
        <v>622.63180324645259</v>
      </c>
      <c r="T133" s="154">
        <v>7.8905028151662018</v>
      </c>
      <c r="U133" s="154">
        <v>8.7039442134443501</v>
      </c>
      <c r="V133" s="154" t="s">
        <v>421</v>
      </c>
      <c r="W133" s="154">
        <v>7.3274682460422422</v>
      </c>
      <c r="X133" s="154" t="s">
        <v>421</v>
      </c>
      <c r="Y133" s="154">
        <v>0.80708318315312932</v>
      </c>
      <c r="Z133" s="154">
        <v>622.60497553688106</v>
      </c>
      <c r="AC133" s="28" t="s">
        <v>421</v>
      </c>
      <c r="AD133" s="9" t="s">
        <v>421</v>
      </c>
      <c r="AE133" s="9" t="s">
        <v>421</v>
      </c>
      <c r="AF133" s="28" t="s">
        <v>421</v>
      </c>
      <c r="AG133" s="28">
        <v>0.53600000000000003</v>
      </c>
      <c r="AH133" s="28">
        <v>33.366999999999997</v>
      </c>
      <c r="AI133" s="28">
        <v>2E-3</v>
      </c>
      <c r="AJ133" s="28">
        <v>9.2999999999999999E-2</v>
      </c>
      <c r="AK133" s="28">
        <v>2E-3</v>
      </c>
      <c r="AL133" s="28">
        <v>51.764000000000003</v>
      </c>
      <c r="AM133" s="28">
        <v>0.157</v>
      </c>
      <c r="AN133" s="28">
        <v>13.422000000000001</v>
      </c>
      <c r="AO133" s="28">
        <v>0.2</v>
      </c>
      <c r="AP133" s="156">
        <f t="shared" si="1"/>
        <v>99.543000000000006</v>
      </c>
    </row>
    <row r="134" spans="1:42" x14ac:dyDescent="0.2">
      <c r="A134" s="9" t="s">
        <v>671</v>
      </c>
      <c r="B134" s="9" t="s">
        <v>672</v>
      </c>
      <c r="C134" s="9" t="s">
        <v>81</v>
      </c>
      <c r="D134" s="9" t="s">
        <v>99</v>
      </c>
      <c r="E134" s="154">
        <v>291325.75697212067</v>
      </c>
      <c r="F134" s="154">
        <v>294338.84533630707</v>
      </c>
      <c r="G134" s="154">
        <v>1197.8438131772773</v>
      </c>
      <c r="H134" s="154">
        <v>112842.15840868613</v>
      </c>
      <c r="I134" s="154">
        <v>9.2986529422659423</v>
      </c>
      <c r="J134" s="154">
        <v>1690.8232800057503</v>
      </c>
      <c r="K134" s="154">
        <v>516569.99999999994</v>
      </c>
      <c r="L134" s="154">
        <v>518608.72493173089</v>
      </c>
      <c r="M134" s="154">
        <v>2.4671023658355216</v>
      </c>
      <c r="N134" s="154" t="s">
        <v>421</v>
      </c>
      <c r="O134" s="154">
        <v>0.17833931163082034</v>
      </c>
      <c r="P134" s="154" t="s">
        <v>421</v>
      </c>
      <c r="Q134" s="154">
        <v>44.909222831854727</v>
      </c>
      <c r="R134" s="154">
        <v>7081.8914758714782</v>
      </c>
      <c r="S134" s="154">
        <v>657.56783829061123</v>
      </c>
      <c r="T134" s="154">
        <v>18.469910965864329</v>
      </c>
      <c r="U134" s="154">
        <v>32.300210230905215</v>
      </c>
      <c r="V134" s="154" t="s">
        <v>421</v>
      </c>
      <c r="W134" s="154">
        <v>3.9880462126191842</v>
      </c>
      <c r="X134" s="154" t="s">
        <v>421</v>
      </c>
      <c r="Y134" s="154">
        <v>1.4872802458715866</v>
      </c>
      <c r="Z134" s="154">
        <v>657.50504059332729</v>
      </c>
      <c r="AC134" s="28" t="s">
        <v>421</v>
      </c>
      <c r="AD134" s="9" t="s">
        <v>421</v>
      </c>
      <c r="AE134" s="9" t="s">
        <v>421</v>
      </c>
      <c r="AF134" s="28" t="s">
        <v>421</v>
      </c>
      <c r="AG134" s="28">
        <v>0.49299999999999999</v>
      </c>
      <c r="AH134" s="28">
        <v>33.238</v>
      </c>
      <c r="AI134" s="28">
        <v>1.0999999999999999E-2</v>
      </c>
      <c r="AJ134" s="28">
        <v>0.13</v>
      </c>
      <c r="AK134" s="28" t="s">
        <v>421</v>
      </c>
      <c r="AL134" s="28">
        <v>51.656999999999996</v>
      </c>
      <c r="AM134" s="28">
        <v>0.106</v>
      </c>
      <c r="AN134" s="28">
        <v>13.723000000000001</v>
      </c>
      <c r="AO134" s="28">
        <v>0.19700000000000001</v>
      </c>
      <c r="AP134" s="156">
        <f t="shared" si="1"/>
        <v>99.554999999999993</v>
      </c>
    </row>
    <row r="135" spans="1:42" x14ac:dyDescent="0.2">
      <c r="A135" s="9" t="s">
        <v>673</v>
      </c>
      <c r="B135" s="9" t="s">
        <v>674</v>
      </c>
      <c r="C135" s="9" t="s">
        <v>81</v>
      </c>
      <c r="D135" s="9" t="s">
        <v>99</v>
      </c>
      <c r="E135" s="154">
        <v>284274.76972171618</v>
      </c>
      <c r="F135" s="154">
        <v>285751.61484648578</v>
      </c>
      <c r="G135" s="154">
        <v>884.15837259099021</v>
      </c>
      <c r="H135" s="154">
        <v>107438.37455107007</v>
      </c>
      <c r="I135" s="154">
        <v>21.586451400090468</v>
      </c>
      <c r="J135" s="154">
        <v>866.96170482648699</v>
      </c>
      <c r="K135" s="154">
        <v>513480</v>
      </c>
      <c r="L135" s="154">
        <v>516540.0060201874</v>
      </c>
      <c r="M135" s="154">
        <v>2.0950680208135117</v>
      </c>
      <c r="N135" s="154" t="s">
        <v>421</v>
      </c>
      <c r="O135" s="154">
        <v>0.14515083143726032</v>
      </c>
      <c r="P135" s="154" t="s">
        <v>421</v>
      </c>
      <c r="Q135" s="154">
        <v>11.105336224287955</v>
      </c>
      <c r="R135" s="154">
        <v>5584.5996203045461</v>
      </c>
      <c r="S135" s="154">
        <v>620.78016678845438</v>
      </c>
      <c r="T135" s="154">
        <v>7.7458433285878954</v>
      </c>
      <c r="U135" s="154">
        <v>8.2844321534777787</v>
      </c>
      <c r="V135" s="154" t="s">
        <v>421</v>
      </c>
      <c r="W135" s="154">
        <v>4.0787481689922087</v>
      </c>
      <c r="X135" s="154" t="s">
        <v>421</v>
      </c>
      <c r="Y135" s="154">
        <v>0.3196596955045134</v>
      </c>
      <c r="Z135" s="154">
        <v>620.75383092113714</v>
      </c>
      <c r="AC135" s="28" t="s">
        <v>421</v>
      </c>
      <c r="AD135" s="9" t="s">
        <v>421</v>
      </c>
      <c r="AE135" s="9" t="s">
        <v>421</v>
      </c>
      <c r="AF135" s="28" t="s">
        <v>421</v>
      </c>
      <c r="AG135" s="28">
        <v>0.52700000000000002</v>
      </c>
      <c r="AH135" s="28">
        <v>33.421999999999997</v>
      </c>
      <c r="AI135" s="28" t="s">
        <v>421</v>
      </c>
      <c r="AJ135" s="28">
        <v>9.9000000000000005E-2</v>
      </c>
      <c r="AK135" s="28" t="s">
        <v>421</v>
      </c>
      <c r="AL135" s="28">
        <v>51.347999999999999</v>
      </c>
      <c r="AM135" s="28">
        <v>6.6000000000000003E-2</v>
      </c>
      <c r="AN135" s="28">
        <v>13.941000000000001</v>
      </c>
      <c r="AO135" s="28">
        <v>0.15</v>
      </c>
      <c r="AP135" s="156">
        <f t="shared" si="1"/>
        <v>99.552999999999997</v>
      </c>
    </row>
    <row r="136" spans="1:42" x14ac:dyDescent="0.2">
      <c r="A136" s="9" t="s">
        <v>675</v>
      </c>
      <c r="B136" s="9" t="s">
        <v>676</v>
      </c>
      <c r="C136" s="9" t="s">
        <v>81</v>
      </c>
      <c r="D136" s="9" t="s">
        <v>99</v>
      </c>
      <c r="E136" s="154">
        <v>284106.63243046933</v>
      </c>
      <c r="F136" s="154">
        <v>282715.61868053558</v>
      </c>
      <c r="G136" s="154">
        <v>860.80414860399378</v>
      </c>
      <c r="H136" s="154">
        <v>102810.07540517185</v>
      </c>
      <c r="I136" s="154">
        <v>19.912099521848194</v>
      </c>
      <c r="J136" s="154">
        <v>1360.7196514976802</v>
      </c>
      <c r="K136" s="154">
        <v>512690</v>
      </c>
      <c r="L136" s="154">
        <v>511198.2214149895</v>
      </c>
      <c r="M136" s="154">
        <v>1.6661661991771537</v>
      </c>
      <c r="N136" s="154" t="s">
        <v>421</v>
      </c>
      <c r="O136" s="154">
        <v>0.19464741923328679</v>
      </c>
      <c r="P136" s="154" t="s">
        <v>421</v>
      </c>
      <c r="Q136" s="154">
        <v>32.062098329798346</v>
      </c>
      <c r="R136" s="154">
        <v>7046.5483025057438</v>
      </c>
      <c r="S136" s="154">
        <v>561.51537790385703</v>
      </c>
      <c r="T136" s="154">
        <v>3.4512697364345257</v>
      </c>
      <c r="U136" s="154">
        <v>3.7377892049054346</v>
      </c>
      <c r="V136" s="154">
        <v>0.1093507431080363</v>
      </c>
      <c r="W136" s="154">
        <v>4.0291344795125923</v>
      </c>
      <c r="X136" s="154" t="s">
        <v>421</v>
      </c>
      <c r="Y136" s="154">
        <v>0.8149399169310948</v>
      </c>
      <c r="Z136" s="154">
        <v>561.50364358675313</v>
      </c>
      <c r="AC136" s="28" t="s">
        <v>421</v>
      </c>
      <c r="AD136" s="9" t="s">
        <v>421</v>
      </c>
      <c r="AE136" s="9" t="s">
        <v>421</v>
      </c>
      <c r="AF136" s="28" t="s">
        <v>421</v>
      </c>
      <c r="AG136" s="28">
        <v>0.48499999999999999</v>
      </c>
      <c r="AH136" s="28">
        <v>33.429000000000002</v>
      </c>
      <c r="AI136" s="28">
        <v>1E-3</v>
      </c>
      <c r="AJ136" s="28">
        <v>0.105</v>
      </c>
      <c r="AK136" s="28" t="s">
        <v>421</v>
      </c>
      <c r="AL136" s="28">
        <v>51.268999999999998</v>
      </c>
      <c r="AM136" s="28">
        <v>7.6999999999999999E-2</v>
      </c>
      <c r="AN136" s="28">
        <v>14.018000000000001</v>
      </c>
      <c r="AO136" s="28">
        <v>0.152</v>
      </c>
      <c r="AP136" s="156">
        <f t="shared" ref="AP136:AP199" si="2">SUM(AC136:AO136)</f>
        <v>99.535999999999987</v>
      </c>
    </row>
    <row r="137" spans="1:42" x14ac:dyDescent="0.2">
      <c r="A137" s="9" t="s">
        <v>677</v>
      </c>
      <c r="B137" s="9" t="s">
        <v>678</v>
      </c>
      <c r="C137" s="9" t="s">
        <v>81</v>
      </c>
      <c r="D137" s="9" t="s">
        <v>100</v>
      </c>
      <c r="E137" s="154">
        <v>299052.72876710544</v>
      </c>
      <c r="F137" s="154">
        <v>303639.27773820766</v>
      </c>
      <c r="G137" s="154">
        <v>4930.4619295578495</v>
      </c>
      <c r="H137" s="154">
        <v>101741.48098371926</v>
      </c>
      <c r="I137" s="154">
        <v>37.534777955504687</v>
      </c>
      <c r="J137" s="154">
        <v>1692.0636036703272</v>
      </c>
      <c r="K137" s="154">
        <v>518930</v>
      </c>
      <c r="L137" s="154">
        <v>526359.65167196654</v>
      </c>
      <c r="M137" s="154">
        <v>0.84094778416126148</v>
      </c>
      <c r="N137" s="154">
        <v>0.32604696099152347</v>
      </c>
      <c r="O137" s="154">
        <v>0.19155836901036793</v>
      </c>
      <c r="P137" s="154">
        <v>0.99548131351884206</v>
      </c>
      <c r="Q137" s="154">
        <v>3.5096850119530227</v>
      </c>
      <c r="R137" s="154">
        <v>3870.7883776992089</v>
      </c>
      <c r="S137" s="154">
        <v>77.155485442737429</v>
      </c>
      <c r="T137" s="154">
        <v>9.8016000670557624</v>
      </c>
      <c r="U137" s="154">
        <v>8.985241712762404</v>
      </c>
      <c r="V137" s="154">
        <v>0.1278354550956334</v>
      </c>
      <c r="W137" s="154">
        <v>6.2217859738912589</v>
      </c>
      <c r="X137" s="154">
        <v>2.1303635153326148E-2</v>
      </c>
      <c r="Y137" s="154">
        <v>6.0578267669205879</v>
      </c>
      <c r="Z137" s="154">
        <v>77.122160002509446</v>
      </c>
      <c r="AC137" s="28" t="s">
        <v>421</v>
      </c>
      <c r="AD137" s="9" t="s">
        <v>421</v>
      </c>
      <c r="AE137" s="9" t="s">
        <v>421</v>
      </c>
      <c r="AF137" s="28" t="s">
        <v>421</v>
      </c>
      <c r="AG137" s="28">
        <v>0.18</v>
      </c>
      <c r="AH137" s="28">
        <v>33.520000000000003</v>
      </c>
      <c r="AI137" s="28">
        <v>6.0000000000000001E-3</v>
      </c>
      <c r="AJ137" s="28" t="s">
        <v>421</v>
      </c>
      <c r="AK137" s="28" t="s">
        <v>421</v>
      </c>
      <c r="AL137" s="28">
        <v>51.893000000000001</v>
      </c>
      <c r="AM137" s="28">
        <v>0.14299999999999999</v>
      </c>
      <c r="AN137" s="28">
        <v>13.172000000000001</v>
      </c>
      <c r="AO137" s="28">
        <v>0.81599999999999995</v>
      </c>
      <c r="AP137" s="156">
        <f t="shared" si="2"/>
        <v>99.73</v>
      </c>
    </row>
    <row r="138" spans="1:42" x14ac:dyDescent="0.2">
      <c r="A138" s="9" t="s">
        <v>679</v>
      </c>
      <c r="B138" s="9" t="s">
        <v>680</v>
      </c>
      <c r="C138" s="9" t="s">
        <v>81</v>
      </c>
      <c r="D138" s="9" t="s">
        <v>100</v>
      </c>
      <c r="E138" s="154">
        <v>295388.26817477855</v>
      </c>
      <c r="F138" s="154">
        <v>291582.79591290548</v>
      </c>
      <c r="G138" s="154">
        <v>3183.0209803530074</v>
      </c>
      <c r="H138" s="154">
        <v>100398.75648293634</v>
      </c>
      <c r="I138" s="154">
        <v>20.747222778109698</v>
      </c>
      <c r="J138" s="154">
        <v>2115.4896077894514</v>
      </c>
      <c r="K138" s="154">
        <v>515870.00000000006</v>
      </c>
      <c r="L138" s="154">
        <v>517619.93568558746</v>
      </c>
      <c r="M138" s="154">
        <v>0.651142423738717</v>
      </c>
      <c r="N138" s="154" t="s">
        <v>421</v>
      </c>
      <c r="O138" s="154">
        <v>0.42068829251081402</v>
      </c>
      <c r="P138" s="154">
        <v>21.536073810458312</v>
      </c>
      <c r="Q138" s="154">
        <v>9.5187280492773017</v>
      </c>
      <c r="R138" s="154">
        <v>4467.1765304721093</v>
      </c>
      <c r="S138" s="154">
        <v>73.804966552447141</v>
      </c>
      <c r="T138" s="154">
        <v>3.818364433670165</v>
      </c>
      <c r="U138" s="154">
        <v>5.2573087943549677</v>
      </c>
      <c r="V138" s="154">
        <v>0.14489320963408009</v>
      </c>
      <c r="W138" s="154">
        <v>4.4511540934346421</v>
      </c>
      <c r="X138" s="154" t="s">
        <v>421</v>
      </c>
      <c r="Y138" s="154">
        <v>1.0844753105033329</v>
      </c>
      <c r="Z138" s="154">
        <v>73.791984113372664</v>
      </c>
      <c r="AC138" s="28" t="s">
        <v>421</v>
      </c>
      <c r="AD138" s="9" t="s">
        <v>421</v>
      </c>
      <c r="AE138" s="9" t="s">
        <v>421</v>
      </c>
      <c r="AF138" s="28" t="s">
        <v>421</v>
      </c>
      <c r="AG138" s="28">
        <v>0.246</v>
      </c>
      <c r="AH138" s="28">
        <v>33.406999999999996</v>
      </c>
      <c r="AI138" s="28" t="s">
        <v>421</v>
      </c>
      <c r="AJ138" s="28" t="s">
        <v>421</v>
      </c>
      <c r="AK138" s="28" t="s">
        <v>421</v>
      </c>
      <c r="AL138" s="28">
        <v>51.587000000000003</v>
      </c>
      <c r="AM138" s="28">
        <v>0.129</v>
      </c>
      <c r="AN138" s="28">
        <v>13.805</v>
      </c>
      <c r="AO138" s="28">
        <v>0.56100000000000005</v>
      </c>
      <c r="AP138" s="156">
        <f t="shared" si="2"/>
        <v>99.735000000000014</v>
      </c>
    </row>
    <row r="139" spans="1:42" x14ac:dyDescent="0.2">
      <c r="A139" s="9" t="s">
        <v>681</v>
      </c>
      <c r="B139" s="9" t="s">
        <v>682</v>
      </c>
      <c r="C139" s="9" t="s">
        <v>81</v>
      </c>
      <c r="D139" s="9" t="s">
        <v>100</v>
      </c>
      <c r="E139" s="154">
        <v>330868.27050821838</v>
      </c>
      <c r="F139" s="154">
        <v>406971.635319867</v>
      </c>
      <c r="G139" s="154">
        <v>1717.5881444429035</v>
      </c>
      <c r="H139" s="154">
        <v>126842.86905367949</v>
      </c>
      <c r="I139" s="154">
        <v>29.519914122534967</v>
      </c>
      <c r="J139" s="154">
        <v>3887.922194882512</v>
      </c>
      <c r="K139" s="154">
        <v>494390</v>
      </c>
      <c r="L139" s="154">
        <v>493365.38132671756</v>
      </c>
      <c r="M139" s="154">
        <v>1.325347843463951</v>
      </c>
      <c r="N139" s="154" t="s">
        <v>421</v>
      </c>
      <c r="O139" s="154">
        <v>9.9554021723999444</v>
      </c>
      <c r="P139" s="154">
        <v>1.9904183071138817</v>
      </c>
      <c r="Q139" s="154">
        <v>30.545547628662767</v>
      </c>
      <c r="R139" s="154">
        <v>3384.1401021621455</v>
      </c>
      <c r="S139" s="154">
        <v>310.73476596567548</v>
      </c>
      <c r="T139" s="154">
        <v>13.242000832114915</v>
      </c>
      <c r="U139" s="154">
        <v>13.203149050334595</v>
      </c>
      <c r="V139" s="154" t="s">
        <v>421</v>
      </c>
      <c r="W139" s="154">
        <v>47.018719817714576</v>
      </c>
      <c r="X139" s="154" t="s">
        <v>421</v>
      </c>
      <c r="Y139" s="154">
        <v>4.227397282512424</v>
      </c>
      <c r="Z139" s="154">
        <v>310.6897431628463</v>
      </c>
      <c r="AC139" s="28" t="s">
        <v>421</v>
      </c>
      <c r="AD139" s="9" t="s">
        <v>421</v>
      </c>
      <c r="AE139" s="9" t="s">
        <v>421</v>
      </c>
      <c r="AF139" s="28" t="s">
        <v>421</v>
      </c>
      <c r="AG139" s="28">
        <v>0.183</v>
      </c>
      <c r="AH139" s="28">
        <v>33.433999999999997</v>
      </c>
      <c r="AI139" s="28">
        <v>1.4E-2</v>
      </c>
      <c r="AJ139" s="28">
        <v>3.3000000000000002E-2</v>
      </c>
      <c r="AK139" s="28" t="s">
        <v>421</v>
      </c>
      <c r="AL139" s="28">
        <v>49.439</v>
      </c>
      <c r="AM139" s="28">
        <v>7.6999999999999999E-2</v>
      </c>
      <c r="AN139" s="28">
        <v>14.724</v>
      </c>
      <c r="AO139" s="28">
        <v>0.25700000000000001</v>
      </c>
      <c r="AP139" s="156">
        <f t="shared" si="2"/>
        <v>98.161000000000016</v>
      </c>
    </row>
    <row r="140" spans="1:42" x14ac:dyDescent="0.2">
      <c r="A140" s="9" t="s">
        <v>683</v>
      </c>
      <c r="B140" s="9" t="s">
        <v>684</v>
      </c>
      <c r="C140" s="9" t="s">
        <v>81</v>
      </c>
      <c r="D140" s="9" t="s">
        <v>100</v>
      </c>
      <c r="E140" s="154">
        <v>292943.72449609573</v>
      </c>
      <c r="F140" s="154">
        <v>288365.66911101999</v>
      </c>
      <c r="G140" s="154">
        <v>1918.9257362689766</v>
      </c>
      <c r="H140" s="154">
        <v>108931.70003512932</v>
      </c>
      <c r="I140" s="154">
        <v>53.151681566475027</v>
      </c>
      <c r="J140" s="154">
        <v>339.91522643390516</v>
      </c>
      <c r="K140" s="154">
        <v>513200</v>
      </c>
      <c r="L140" s="154">
        <v>511295.72217522841</v>
      </c>
      <c r="M140" s="154">
        <v>0.38283348534192368</v>
      </c>
      <c r="N140" s="154">
        <v>0.545621340815719</v>
      </c>
      <c r="O140" s="154" t="s">
        <v>421</v>
      </c>
      <c r="P140" s="154">
        <v>1.081642802919571</v>
      </c>
      <c r="Q140" s="154">
        <v>4.7987027423359958</v>
      </c>
      <c r="R140" s="154">
        <v>5769.0500466345684</v>
      </c>
      <c r="S140" s="154">
        <v>280.29944110782941</v>
      </c>
      <c r="T140" s="154">
        <v>1.4127769268356052</v>
      </c>
      <c r="U140" s="154">
        <v>1.3025652146765854</v>
      </c>
      <c r="V140" s="154">
        <v>5.2852648831481629E-2</v>
      </c>
      <c r="W140" s="154">
        <v>4.3083635399166784</v>
      </c>
      <c r="X140" s="154" t="s">
        <v>421</v>
      </c>
      <c r="Y140" s="154">
        <v>0.16712725903743927</v>
      </c>
      <c r="Z140" s="154">
        <v>280.29463766627816</v>
      </c>
      <c r="AC140" s="28" t="s">
        <v>421</v>
      </c>
      <c r="AD140" s="9" t="s">
        <v>421</v>
      </c>
      <c r="AE140" s="9" t="s">
        <v>421</v>
      </c>
      <c r="AF140" s="28" t="s">
        <v>421</v>
      </c>
      <c r="AG140" s="28">
        <v>0.34699999999999998</v>
      </c>
      <c r="AH140" s="28">
        <v>33.536999999999999</v>
      </c>
      <c r="AI140" s="28" t="s">
        <v>421</v>
      </c>
      <c r="AJ140" s="28">
        <v>0.03</v>
      </c>
      <c r="AK140" s="28" t="s">
        <v>421</v>
      </c>
      <c r="AL140" s="28">
        <v>51.32</v>
      </c>
      <c r="AM140" s="28">
        <v>3.7999999999999999E-2</v>
      </c>
      <c r="AN140" s="28">
        <v>14.131</v>
      </c>
      <c r="AO140" s="28">
        <v>0.32100000000000001</v>
      </c>
      <c r="AP140" s="156">
        <f t="shared" si="2"/>
        <v>99.724000000000004</v>
      </c>
    </row>
    <row r="141" spans="1:42" x14ac:dyDescent="0.2">
      <c r="A141" s="9" t="s">
        <v>685</v>
      </c>
      <c r="B141" s="9" t="s">
        <v>686</v>
      </c>
      <c r="C141" s="9" t="s">
        <v>81</v>
      </c>
      <c r="D141" s="9" t="s">
        <v>100</v>
      </c>
      <c r="E141" s="154">
        <v>349447.17057456967</v>
      </c>
      <c r="F141" s="154">
        <v>460760.45325219323</v>
      </c>
      <c r="G141" s="154">
        <v>3516.0832356648261</v>
      </c>
      <c r="H141" s="154">
        <v>114958.63748037838</v>
      </c>
      <c r="I141" s="154">
        <v>23.728857195709608</v>
      </c>
      <c r="J141" s="154">
        <v>1104.212109149621</v>
      </c>
      <c r="K141" s="154">
        <v>515330</v>
      </c>
      <c r="L141" s="154">
        <v>513058.83082550147</v>
      </c>
      <c r="M141" s="154">
        <v>0.52846239504847869</v>
      </c>
      <c r="N141" s="154" t="s">
        <v>421</v>
      </c>
      <c r="O141" s="154">
        <v>0.66039920499829052</v>
      </c>
      <c r="P141" s="154">
        <v>2.0828548000676745</v>
      </c>
      <c r="Q141" s="154">
        <v>14.673209925568255</v>
      </c>
      <c r="R141" s="154">
        <v>4054.526552198578</v>
      </c>
      <c r="S141" s="154">
        <v>85.873781222101258</v>
      </c>
      <c r="T141" s="154">
        <v>5.1829176338753351</v>
      </c>
      <c r="U141" s="154">
        <v>5.092841356352074</v>
      </c>
      <c r="V141" s="154">
        <v>0.1679122421849796</v>
      </c>
      <c r="W141" s="154">
        <v>82.499375285275704</v>
      </c>
      <c r="X141" s="154">
        <v>1.8228003492490149E-2</v>
      </c>
      <c r="Y141" s="154">
        <v>27.291255536788086</v>
      </c>
      <c r="Z141" s="154">
        <v>85.856159302146082</v>
      </c>
      <c r="AC141" s="28" t="s">
        <v>421</v>
      </c>
      <c r="AD141" s="9" t="s">
        <v>421</v>
      </c>
      <c r="AE141" s="9" t="s">
        <v>421</v>
      </c>
      <c r="AF141" s="28" t="s">
        <v>421</v>
      </c>
      <c r="AG141" s="28">
        <v>0.26</v>
      </c>
      <c r="AH141" s="28">
        <v>33.475999999999999</v>
      </c>
      <c r="AI141" s="28">
        <v>3.0000000000000001E-3</v>
      </c>
      <c r="AJ141" s="28" t="s">
        <v>421</v>
      </c>
      <c r="AK141" s="28" t="s">
        <v>421</v>
      </c>
      <c r="AL141" s="28">
        <v>51.533000000000001</v>
      </c>
      <c r="AM141" s="28">
        <v>1.7999999999999999E-2</v>
      </c>
      <c r="AN141" s="28">
        <v>13.516999999999999</v>
      </c>
      <c r="AO141" s="28">
        <v>0.46500000000000002</v>
      </c>
      <c r="AP141" s="156">
        <f t="shared" si="2"/>
        <v>99.271999999999991</v>
      </c>
    </row>
    <row r="142" spans="1:42" x14ac:dyDescent="0.2">
      <c r="A142" s="9" t="s">
        <v>687</v>
      </c>
      <c r="B142" s="9" t="s">
        <v>688</v>
      </c>
      <c r="C142" s="9" t="s">
        <v>81</v>
      </c>
      <c r="D142" s="9" t="s">
        <v>101</v>
      </c>
      <c r="E142" s="154">
        <v>287625.01559830923</v>
      </c>
      <c r="F142" s="154">
        <v>284999.1076889307</v>
      </c>
      <c r="G142" s="154">
        <v>1420.46703841675</v>
      </c>
      <c r="H142" s="154">
        <v>107811.54894097726</v>
      </c>
      <c r="I142" s="154">
        <v>5.4369557853100261</v>
      </c>
      <c r="J142" s="154">
        <v>1396.9084481681687</v>
      </c>
      <c r="K142" s="154">
        <v>510900.00000000006</v>
      </c>
      <c r="L142" s="154">
        <v>512836.75544006564</v>
      </c>
      <c r="M142" s="154">
        <v>1.9397065132857285</v>
      </c>
      <c r="N142" s="154" t="s">
        <v>421</v>
      </c>
      <c r="O142" s="154" t="s">
        <v>421</v>
      </c>
      <c r="P142" s="154" t="s">
        <v>421</v>
      </c>
      <c r="Q142" s="154">
        <v>20.937934419786252</v>
      </c>
      <c r="R142" s="154">
        <v>7154.9604723020511</v>
      </c>
      <c r="S142" s="154">
        <v>1034.3190695637513</v>
      </c>
      <c r="T142" s="154">
        <v>9.5983257426137261</v>
      </c>
      <c r="U142" s="154">
        <v>9.3492643107834201</v>
      </c>
      <c r="V142" s="154" t="s">
        <v>421</v>
      </c>
      <c r="W142" s="154">
        <v>5.9114099017510693</v>
      </c>
      <c r="X142" s="154" t="s">
        <v>421</v>
      </c>
      <c r="Y142" s="154">
        <v>0.16317803464926861</v>
      </c>
      <c r="Z142" s="154">
        <v>1034.2864352562265</v>
      </c>
      <c r="AC142" s="28" t="s">
        <v>421</v>
      </c>
      <c r="AD142" s="9" t="s">
        <v>421</v>
      </c>
      <c r="AE142" s="9" t="s">
        <v>421</v>
      </c>
      <c r="AF142" s="28" t="s">
        <v>421</v>
      </c>
      <c r="AG142" s="28">
        <v>0.44800000000000001</v>
      </c>
      <c r="AH142" s="28">
        <v>33.402000000000001</v>
      </c>
      <c r="AI142" s="28">
        <v>1.0999999999999999E-2</v>
      </c>
      <c r="AJ142" s="28">
        <v>0.217</v>
      </c>
      <c r="AK142" s="28" t="s">
        <v>421</v>
      </c>
      <c r="AL142" s="28">
        <v>51.09</v>
      </c>
      <c r="AM142" s="28">
        <v>0.129</v>
      </c>
      <c r="AN142" s="28">
        <v>13.942</v>
      </c>
      <c r="AO142" s="28">
        <v>0.22900000000000001</v>
      </c>
      <c r="AP142" s="156">
        <f t="shared" si="2"/>
        <v>99.468000000000004</v>
      </c>
    </row>
    <row r="143" spans="1:42" x14ac:dyDescent="0.2">
      <c r="A143" s="9" t="s">
        <v>689</v>
      </c>
      <c r="B143" s="9" t="s">
        <v>690</v>
      </c>
      <c r="C143" s="9" t="s">
        <v>81</v>
      </c>
      <c r="D143" s="9" t="s">
        <v>101</v>
      </c>
      <c r="E143" s="154">
        <v>284042.34801789618</v>
      </c>
      <c r="F143" s="154">
        <v>282518.14758644736</v>
      </c>
      <c r="G143" s="154">
        <v>1548.3007418068216</v>
      </c>
      <c r="H143" s="154">
        <v>107593.37980659994</v>
      </c>
      <c r="I143" s="154">
        <v>6.7474061505284677</v>
      </c>
      <c r="J143" s="154">
        <v>837.29914626548691</v>
      </c>
      <c r="K143" s="154">
        <v>512770</v>
      </c>
      <c r="L143" s="154">
        <v>519188.69574202044</v>
      </c>
      <c r="M143" s="154">
        <v>1.3484538277782969</v>
      </c>
      <c r="N143" s="154" t="s">
        <v>421</v>
      </c>
      <c r="O143" s="154" t="s">
        <v>421</v>
      </c>
      <c r="P143" s="154" t="s">
        <v>421</v>
      </c>
      <c r="Q143" s="154">
        <v>10.696190425812405</v>
      </c>
      <c r="R143" s="154">
        <v>6777.9173957411849</v>
      </c>
      <c r="S143" s="154">
        <v>494.58070267187725</v>
      </c>
      <c r="T143" s="154">
        <v>5.9281084260266974</v>
      </c>
      <c r="U143" s="154">
        <v>5.3577339552065526</v>
      </c>
      <c r="V143" s="154">
        <v>4.9970038953682405E-2</v>
      </c>
      <c r="W143" s="154">
        <v>6.1873934888149469</v>
      </c>
      <c r="X143" s="154" t="s">
        <v>421</v>
      </c>
      <c r="Y143" s="154">
        <v>0.42681366843711066</v>
      </c>
      <c r="Z143" s="154">
        <v>494.56054710322877</v>
      </c>
      <c r="AC143" s="28" t="s">
        <v>421</v>
      </c>
      <c r="AD143" s="9" t="s">
        <v>421</v>
      </c>
      <c r="AE143" s="9" t="s">
        <v>421</v>
      </c>
      <c r="AF143" s="28" t="s">
        <v>421</v>
      </c>
      <c r="AG143" s="28">
        <v>0.45900000000000002</v>
      </c>
      <c r="AH143" s="28">
        <v>33.19</v>
      </c>
      <c r="AI143" s="28">
        <v>4.0000000000000001E-3</v>
      </c>
      <c r="AJ143" s="28">
        <v>6.9000000000000006E-2</v>
      </c>
      <c r="AK143" s="28" t="s">
        <v>421</v>
      </c>
      <c r="AL143" s="28">
        <v>51.277000000000001</v>
      </c>
      <c r="AM143" s="28">
        <v>3.9E-2</v>
      </c>
      <c r="AN143" s="28">
        <v>13.939</v>
      </c>
      <c r="AO143" s="28">
        <v>0.26</v>
      </c>
      <c r="AP143" s="156">
        <f t="shared" si="2"/>
        <v>99.237000000000009</v>
      </c>
    </row>
    <row r="144" spans="1:42" x14ac:dyDescent="0.2">
      <c r="A144" s="9" t="s">
        <v>691</v>
      </c>
      <c r="B144" s="9" t="s">
        <v>692</v>
      </c>
      <c r="C144" s="9" t="s">
        <v>81</v>
      </c>
      <c r="D144" s="9" t="s">
        <v>101</v>
      </c>
      <c r="E144" s="154">
        <v>289503.40556666307</v>
      </c>
      <c r="F144" s="154">
        <v>284936.72438392031</v>
      </c>
      <c r="G144" s="154">
        <v>2479.6906548782486</v>
      </c>
      <c r="H144" s="154">
        <v>104251.54387684728</v>
      </c>
      <c r="I144" s="154">
        <v>22.93601664541427</v>
      </c>
      <c r="J144" s="154">
        <v>1575.8644960753293</v>
      </c>
      <c r="K144" s="154">
        <v>517010</v>
      </c>
      <c r="L144" s="154">
        <v>518885.83158601815</v>
      </c>
      <c r="M144" s="154">
        <v>7.4369863981318272</v>
      </c>
      <c r="N144" s="154" t="s">
        <v>421</v>
      </c>
      <c r="O144" s="154" t="s">
        <v>421</v>
      </c>
      <c r="P144" s="154" t="s">
        <v>421</v>
      </c>
      <c r="Q144" s="154">
        <v>30.946107306266075</v>
      </c>
      <c r="R144" s="154">
        <v>6462.6305615503934</v>
      </c>
      <c r="S144" s="154">
        <v>617.79016779758331</v>
      </c>
      <c r="T144" s="154">
        <v>561.14225326205269</v>
      </c>
      <c r="U144" s="154">
        <v>543.53181910209832</v>
      </c>
      <c r="V144" s="154" t="s">
        <v>421</v>
      </c>
      <c r="W144" s="154">
        <v>5.5420809198747483</v>
      </c>
      <c r="X144" s="154" t="s">
        <v>421</v>
      </c>
      <c r="Y144" s="154">
        <v>0.15769193345662019</v>
      </c>
      <c r="Z144" s="154">
        <v>615.88228413649233</v>
      </c>
      <c r="AC144" s="28" t="s">
        <v>421</v>
      </c>
      <c r="AD144" s="9" t="s">
        <v>421</v>
      </c>
      <c r="AE144" s="9" t="s">
        <v>421</v>
      </c>
      <c r="AF144" s="28" t="s">
        <v>421</v>
      </c>
      <c r="AG144" s="28">
        <v>0.46200000000000002</v>
      </c>
      <c r="AH144" s="28">
        <v>33.450000000000003</v>
      </c>
      <c r="AI144" s="28">
        <v>5.7000000000000002E-2</v>
      </c>
      <c r="AJ144" s="28">
        <v>9.6000000000000002E-2</v>
      </c>
      <c r="AK144" s="28" t="s">
        <v>421</v>
      </c>
      <c r="AL144" s="28">
        <v>51.701000000000001</v>
      </c>
      <c r="AM144" s="28">
        <v>0.111</v>
      </c>
      <c r="AN144" s="28">
        <v>13.359</v>
      </c>
      <c r="AO144" s="28">
        <v>0.40600000000000003</v>
      </c>
      <c r="AP144" s="156">
        <f t="shared" si="2"/>
        <v>99.64200000000001</v>
      </c>
    </row>
    <row r="145" spans="1:42" x14ac:dyDescent="0.2">
      <c r="A145" s="9" t="s">
        <v>693</v>
      </c>
      <c r="B145" s="9" t="s">
        <v>694</v>
      </c>
      <c r="C145" s="9" t="s">
        <v>81</v>
      </c>
      <c r="D145" s="9" t="s">
        <v>101</v>
      </c>
      <c r="E145" s="154">
        <v>285725.81266389851</v>
      </c>
      <c r="F145" s="154">
        <v>292355.92883271066</v>
      </c>
      <c r="G145" s="154">
        <v>2482.3299062882152</v>
      </c>
      <c r="H145" s="154">
        <v>101719.95198760329</v>
      </c>
      <c r="I145" s="154">
        <v>2.3913714734359908</v>
      </c>
      <c r="J145" s="154">
        <v>863.21517976454368</v>
      </c>
      <c r="K145" s="154">
        <v>522340</v>
      </c>
      <c r="L145" s="154">
        <v>526999.47988106858</v>
      </c>
      <c r="M145" s="154">
        <v>4.6844132182547327</v>
      </c>
      <c r="N145" s="154">
        <v>0.27206710590182592</v>
      </c>
      <c r="O145" s="154" t="s">
        <v>421</v>
      </c>
      <c r="P145" s="154">
        <v>1.0645048882325976</v>
      </c>
      <c r="Q145" s="154">
        <v>41.779536742951436</v>
      </c>
      <c r="R145" s="154">
        <v>6464.7664804382139</v>
      </c>
      <c r="S145" s="154">
        <v>487.11002125911807</v>
      </c>
      <c r="T145" s="154">
        <v>77.385420382528068</v>
      </c>
      <c r="U145" s="154">
        <v>77.556823628681968</v>
      </c>
      <c r="V145" s="154" t="s">
        <v>421</v>
      </c>
      <c r="W145" s="154">
        <v>6.8764069054685431</v>
      </c>
      <c r="X145" s="154" t="s">
        <v>421</v>
      </c>
      <c r="Y145" s="154">
        <v>2.9012180012304829</v>
      </c>
      <c r="Z145" s="154">
        <v>486.84691082981749</v>
      </c>
      <c r="AC145" s="28" t="s">
        <v>421</v>
      </c>
      <c r="AD145" s="9" t="s">
        <v>421</v>
      </c>
      <c r="AE145" s="9" t="s">
        <v>421</v>
      </c>
      <c r="AF145" s="28" t="s">
        <v>421</v>
      </c>
      <c r="AG145" s="28">
        <v>0.38200000000000001</v>
      </c>
      <c r="AH145" s="28">
        <v>33.375999999999998</v>
      </c>
      <c r="AI145" s="28">
        <v>1.2E-2</v>
      </c>
      <c r="AJ145" s="28">
        <v>7.1999999999999995E-2</v>
      </c>
      <c r="AK145" s="28">
        <v>2E-3</v>
      </c>
      <c r="AL145" s="28">
        <v>52.234000000000002</v>
      </c>
      <c r="AM145" s="28">
        <v>6.0999999999999999E-2</v>
      </c>
      <c r="AN145" s="28">
        <v>13.068</v>
      </c>
      <c r="AO145" s="28">
        <v>0.41399999999999998</v>
      </c>
      <c r="AP145" s="156">
        <f t="shared" si="2"/>
        <v>99.621000000000009</v>
      </c>
    </row>
    <row r="146" spans="1:42" x14ac:dyDescent="0.2">
      <c r="A146" s="9" t="s">
        <v>695</v>
      </c>
      <c r="B146" s="9" t="s">
        <v>696</v>
      </c>
      <c r="C146" s="9" t="s">
        <v>81</v>
      </c>
      <c r="D146" s="9" t="s">
        <v>101</v>
      </c>
      <c r="E146" s="154">
        <v>287185.84295025986</v>
      </c>
      <c r="F146" s="154">
        <v>286323.1130808398</v>
      </c>
      <c r="G146" s="154">
        <v>2374.8855825175433</v>
      </c>
      <c r="H146" s="154">
        <v>101317.46073273674</v>
      </c>
      <c r="I146" s="154">
        <v>1.9528050714938459</v>
      </c>
      <c r="J146" s="154">
        <v>2440.8223094107552</v>
      </c>
      <c r="K146" s="154">
        <v>524080</v>
      </c>
      <c r="L146" s="154">
        <v>520732.25139947986</v>
      </c>
      <c r="M146" s="154">
        <v>6.1869128779892986</v>
      </c>
      <c r="N146" s="154" t="s">
        <v>421</v>
      </c>
      <c r="O146" s="154">
        <v>0.15703384266828702</v>
      </c>
      <c r="P146" s="154">
        <v>1.1237675886409555</v>
      </c>
      <c r="Q146" s="154">
        <v>27.971353994033723</v>
      </c>
      <c r="R146" s="154">
        <v>6376.1213913078554</v>
      </c>
      <c r="S146" s="154">
        <v>569.63330057670385</v>
      </c>
      <c r="T146" s="154">
        <v>22.421795347711846</v>
      </c>
      <c r="U146" s="154">
        <v>22.669603098468073</v>
      </c>
      <c r="V146" s="154">
        <v>0.42410005256012545</v>
      </c>
      <c r="W146" s="154">
        <v>6.3545961323813982</v>
      </c>
      <c r="X146" s="154">
        <v>3.3157653655048157E-2</v>
      </c>
      <c r="Y146" s="154">
        <v>4.7713170525707316</v>
      </c>
      <c r="Z146" s="154">
        <v>569.55706647252157</v>
      </c>
      <c r="AC146" s="28" t="s">
        <v>421</v>
      </c>
      <c r="AD146" s="9" t="s">
        <v>421</v>
      </c>
      <c r="AE146" s="9" t="s">
        <v>421</v>
      </c>
      <c r="AF146" s="28" t="s">
        <v>421</v>
      </c>
      <c r="AG146" s="28">
        <v>0.39800000000000002</v>
      </c>
      <c r="AH146" s="28">
        <v>33.35</v>
      </c>
      <c r="AI146" s="28">
        <v>1.7999999999999999E-2</v>
      </c>
      <c r="AJ146" s="28">
        <v>9.0999999999999998E-2</v>
      </c>
      <c r="AK146" s="28">
        <v>5.0000000000000001E-3</v>
      </c>
      <c r="AL146" s="28">
        <v>52.408000000000001</v>
      </c>
      <c r="AM146" s="28">
        <v>9.6000000000000002E-2</v>
      </c>
      <c r="AN146" s="28">
        <v>13.044</v>
      </c>
      <c r="AO146" s="28">
        <v>0.38500000000000001</v>
      </c>
      <c r="AP146" s="156">
        <f t="shared" si="2"/>
        <v>99.795000000000016</v>
      </c>
    </row>
    <row r="147" spans="1:42" x14ac:dyDescent="0.2">
      <c r="A147" s="9" t="s">
        <v>697</v>
      </c>
      <c r="B147" s="9" t="s">
        <v>698</v>
      </c>
      <c r="C147" s="9" t="s">
        <v>81</v>
      </c>
      <c r="D147" s="9" t="s">
        <v>101</v>
      </c>
      <c r="E147" s="154">
        <v>287554.28114444256</v>
      </c>
      <c r="F147" s="154">
        <v>287796.53131035611</v>
      </c>
      <c r="G147" s="154">
        <v>2511.6828068114733</v>
      </c>
      <c r="H147" s="154">
        <v>107897.18090526813</v>
      </c>
      <c r="I147" s="154">
        <v>62.471623981437546</v>
      </c>
      <c r="J147" s="154">
        <v>647.41066928337295</v>
      </c>
      <c r="K147" s="154">
        <v>516450.00000000006</v>
      </c>
      <c r="L147" s="154">
        <v>516786.87454817776</v>
      </c>
      <c r="M147" s="154">
        <v>0.58241682314155852</v>
      </c>
      <c r="N147" s="154">
        <v>0.73311012792233154</v>
      </c>
      <c r="O147" s="154">
        <v>0.16650935758810451</v>
      </c>
      <c r="P147" s="154">
        <v>1.9620663065577946</v>
      </c>
      <c r="Q147" s="154">
        <v>11.875944533340075</v>
      </c>
      <c r="R147" s="154">
        <v>7030.6572850155599</v>
      </c>
      <c r="S147" s="154">
        <v>450.58127234071105</v>
      </c>
      <c r="T147" s="154">
        <v>3.7766728286537878</v>
      </c>
      <c r="U147" s="154">
        <v>3.7039705528054827</v>
      </c>
      <c r="V147" s="154" t="s">
        <v>421</v>
      </c>
      <c r="W147" s="154">
        <v>4.189464580023146</v>
      </c>
      <c r="X147" s="154" t="s">
        <v>421</v>
      </c>
      <c r="Y147" s="154">
        <v>0.24963882878709309</v>
      </c>
      <c r="Z147" s="154">
        <v>450.56843165309363</v>
      </c>
      <c r="AC147" s="28" t="s">
        <v>421</v>
      </c>
      <c r="AD147" s="9" t="s">
        <v>421</v>
      </c>
      <c r="AE147" s="9" t="s">
        <v>421</v>
      </c>
      <c r="AF147" s="28" t="s">
        <v>421</v>
      </c>
      <c r="AG147" s="28">
        <v>0.41799999999999998</v>
      </c>
      <c r="AH147" s="28">
        <v>33.747999999999998</v>
      </c>
      <c r="AI147" s="28" t="s">
        <v>421</v>
      </c>
      <c r="AJ147" s="28">
        <v>6.6000000000000003E-2</v>
      </c>
      <c r="AK147" s="28" t="s">
        <v>421</v>
      </c>
      <c r="AL147" s="28">
        <v>51.645000000000003</v>
      </c>
      <c r="AM147" s="28">
        <v>5.7000000000000002E-2</v>
      </c>
      <c r="AN147" s="28">
        <v>13.589</v>
      </c>
      <c r="AO147" s="28">
        <v>0.4</v>
      </c>
      <c r="AP147" s="156">
        <f t="shared" si="2"/>
        <v>99.923000000000016</v>
      </c>
    </row>
    <row r="148" spans="1:42" x14ac:dyDescent="0.2">
      <c r="A148" s="9" t="s">
        <v>699</v>
      </c>
      <c r="B148" s="9" t="s">
        <v>700</v>
      </c>
      <c r="C148" s="9" t="s">
        <v>81</v>
      </c>
      <c r="D148" s="9" t="s">
        <v>101</v>
      </c>
      <c r="E148" s="154">
        <v>276685.54644123156</v>
      </c>
      <c r="F148" s="154">
        <v>279418.97419698403</v>
      </c>
      <c r="G148" s="154">
        <v>2618.0015778156385</v>
      </c>
      <c r="H148" s="154">
        <v>96570.882296067721</v>
      </c>
      <c r="I148" s="154">
        <v>1.5444286734146422</v>
      </c>
      <c r="J148" s="154">
        <v>455.42670611792624</v>
      </c>
      <c r="K148" s="154">
        <v>530480</v>
      </c>
      <c r="L148" s="154">
        <v>530907.72118527198</v>
      </c>
      <c r="M148" s="154">
        <v>6.1532093754920538</v>
      </c>
      <c r="N148" s="154" t="s">
        <v>421</v>
      </c>
      <c r="O148" s="154">
        <v>0.16035229551344035</v>
      </c>
      <c r="P148" s="154" t="s">
        <v>421</v>
      </c>
      <c r="Q148" s="154">
        <v>7.2295809083543245</v>
      </c>
      <c r="R148" s="154">
        <v>6052.6276873917841</v>
      </c>
      <c r="S148" s="154">
        <v>295.3985498590805</v>
      </c>
      <c r="T148" s="154">
        <v>104.64454453445606</v>
      </c>
      <c r="U148" s="154">
        <v>108.49880202951543</v>
      </c>
      <c r="V148" s="154" t="s">
        <v>421</v>
      </c>
      <c r="W148" s="154">
        <v>6.1670719534989553</v>
      </c>
      <c r="X148" s="154" t="s">
        <v>421</v>
      </c>
      <c r="Y148" s="154">
        <v>0.46633812141417719</v>
      </c>
      <c r="Z148" s="154">
        <v>295.04275840766337</v>
      </c>
      <c r="AC148" s="28" t="s">
        <v>421</v>
      </c>
      <c r="AD148" s="9" t="s">
        <v>421</v>
      </c>
      <c r="AE148" s="9" t="s">
        <v>421</v>
      </c>
      <c r="AF148" s="28" t="s">
        <v>421</v>
      </c>
      <c r="AG148" s="28">
        <v>0.33400000000000002</v>
      </c>
      <c r="AH148" s="28">
        <v>33.334000000000003</v>
      </c>
      <c r="AI148" s="28">
        <v>3.0000000000000001E-3</v>
      </c>
      <c r="AJ148" s="28">
        <v>1.6E-2</v>
      </c>
      <c r="AK148" s="28" t="s">
        <v>421</v>
      </c>
      <c r="AL148" s="28">
        <v>53.048000000000002</v>
      </c>
      <c r="AM148" s="28">
        <v>4.2000000000000003E-2</v>
      </c>
      <c r="AN148" s="28">
        <v>12.465</v>
      </c>
      <c r="AO148" s="28">
        <v>0.432</v>
      </c>
      <c r="AP148" s="156">
        <f t="shared" si="2"/>
        <v>99.674000000000021</v>
      </c>
    </row>
    <row r="149" spans="1:42" x14ac:dyDescent="0.2">
      <c r="A149" s="9" t="s">
        <v>701</v>
      </c>
      <c r="B149" s="9" t="s">
        <v>702</v>
      </c>
      <c r="C149" s="9" t="s">
        <v>81</v>
      </c>
      <c r="D149" s="9" t="s">
        <v>101</v>
      </c>
      <c r="E149" s="154">
        <v>280891.66663396399</v>
      </c>
      <c r="F149" s="154">
        <v>282262.68787035975</v>
      </c>
      <c r="G149" s="154">
        <v>1656.2864643069402</v>
      </c>
      <c r="H149" s="154">
        <v>103829.77174464059</v>
      </c>
      <c r="I149" s="154">
        <v>93.187457244971284</v>
      </c>
      <c r="J149" s="154">
        <v>607.4582965462215</v>
      </c>
      <c r="K149" s="154">
        <v>516920</v>
      </c>
      <c r="L149" s="154">
        <v>512810.73592448985</v>
      </c>
      <c r="M149" s="154">
        <v>0.66136545112806422</v>
      </c>
      <c r="N149" s="154">
        <v>0.26445191638164428</v>
      </c>
      <c r="O149" s="154">
        <v>0.15498747069777802</v>
      </c>
      <c r="P149" s="154">
        <v>2.5110651103487296</v>
      </c>
      <c r="Q149" s="154">
        <v>12.557813104754802</v>
      </c>
      <c r="R149" s="154">
        <v>6426.9744384928963</v>
      </c>
      <c r="S149" s="154">
        <v>423.94063263063117</v>
      </c>
      <c r="T149" s="154">
        <v>3.8344024102819407</v>
      </c>
      <c r="U149" s="154">
        <v>3.8189569179141247</v>
      </c>
      <c r="V149" s="154">
        <v>6.2593860966839984E-2</v>
      </c>
      <c r="W149" s="154">
        <v>5.7152985058500079</v>
      </c>
      <c r="X149" s="154" t="s">
        <v>421</v>
      </c>
      <c r="Y149" s="154">
        <v>0.23493829802467492</v>
      </c>
      <c r="Z149" s="154">
        <v>423.9275956624362</v>
      </c>
      <c r="AC149" s="28" t="s">
        <v>421</v>
      </c>
      <c r="AD149" s="9" t="s">
        <v>421</v>
      </c>
      <c r="AE149" s="9" t="s">
        <v>421</v>
      </c>
      <c r="AF149" s="28" t="s">
        <v>421</v>
      </c>
      <c r="AG149" s="28">
        <v>0.41599999999999998</v>
      </c>
      <c r="AH149" s="28">
        <v>33.417000000000002</v>
      </c>
      <c r="AI149" s="28">
        <v>6.0000000000000001E-3</v>
      </c>
      <c r="AJ149" s="28">
        <v>6.5000000000000002E-2</v>
      </c>
      <c r="AK149" s="28" t="s">
        <v>421</v>
      </c>
      <c r="AL149" s="28">
        <v>51.692</v>
      </c>
      <c r="AM149" s="28">
        <v>4.4999999999999998E-2</v>
      </c>
      <c r="AN149" s="28">
        <v>13.548999999999999</v>
      </c>
      <c r="AO149" s="28">
        <v>0.28399999999999997</v>
      </c>
      <c r="AP149" s="156">
        <f t="shared" si="2"/>
        <v>99.474000000000004</v>
      </c>
    </row>
    <row r="150" spans="1:42" x14ac:dyDescent="0.2">
      <c r="A150" s="9" t="s">
        <v>703</v>
      </c>
      <c r="B150" s="9" t="s">
        <v>704</v>
      </c>
      <c r="C150" s="9" t="s">
        <v>81</v>
      </c>
      <c r="D150" s="9" t="s">
        <v>102</v>
      </c>
      <c r="E150" s="154">
        <v>289053.61376078462</v>
      </c>
      <c r="F150" s="154">
        <v>290306.76153497054</v>
      </c>
      <c r="G150" s="154">
        <v>1340.1995112662173</v>
      </c>
      <c r="H150" s="154">
        <v>115005.44505234929</v>
      </c>
      <c r="I150" s="154">
        <v>100.30705191846755</v>
      </c>
      <c r="J150" s="154">
        <v>2514.2729081446005</v>
      </c>
      <c r="K150" s="154">
        <v>506620</v>
      </c>
      <c r="L150" s="154">
        <v>509883.21490667033</v>
      </c>
      <c r="M150" s="154">
        <v>1.7988422178777779</v>
      </c>
      <c r="N150" s="154" t="s">
        <v>421</v>
      </c>
      <c r="O150" s="154">
        <v>0.34454203810834688</v>
      </c>
      <c r="P150" s="154">
        <v>17.527043184715353</v>
      </c>
      <c r="Q150" s="154">
        <v>7.3732610453159593</v>
      </c>
      <c r="R150" s="154">
        <v>7596.903154471288</v>
      </c>
      <c r="S150" s="154">
        <v>1637.7417707638444</v>
      </c>
      <c r="T150" s="154">
        <v>31.195856579254254</v>
      </c>
      <c r="U150" s="154">
        <v>31.010447859765133</v>
      </c>
      <c r="V150" s="154">
        <v>5.3903434341973477E-2</v>
      </c>
      <c r="W150" s="154">
        <v>6.7367422259937424</v>
      </c>
      <c r="X150" s="154" t="s">
        <v>421</v>
      </c>
      <c r="Y150" s="154">
        <v>7.8099377713888127E-2</v>
      </c>
      <c r="Z150" s="154">
        <v>1637.6357048514749</v>
      </c>
      <c r="AC150" s="28" t="s">
        <v>421</v>
      </c>
      <c r="AD150" s="9" t="s">
        <v>421</v>
      </c>
      <c r="AE150" s="9" t="s">
        <v>421</v>
      </c>
      <c r="AF150" s="28" t="s">
        <v>421</v>
      </c>
      <c r="AG150" s="28">
        <v>0.49399999999999999</v>
      </c>
      <c r="AH150" s="28">
        <v>33.292999999999999</v>
      </c>
      <c r="AI150" s="28" t="s">
        <v>421</v>
      </c>
      <c r="AJ150" s="28">
        <v>0.28899999999999998</v>
      </c>
      <c r="AK150" s="28" t="s">
        <v>421</v>
      </c>
      <c r="AL150" s="28">
        <v>50.661999999999999</v>
      </c>
      <c r="AM150" s="28">
        <v>0.21</v>
      </c>
      <c r="AN150" s="28">
        <v>14.27</v>
      </c>
      <c r="AO150" s="28">
        <v>0.216</v>
      </c>
      <c r="AP150" s="156">
        <f t="shared" si="2"/>
        <v>99.433999999999983</v>
      </c>
    </row>
    <row r="151" spans="1:42" x14ac:dyDescent="0.2">
      <c r="A151" s="9" t="s">
        <v>705</v>
      </c>
      <c r="B151" s="9" t="s">
        <v>706</v>
      </c>
      <c r="C151" s="9" t="s">
        <v>81</v>
      </c>
      <c r="D151" s="9" t="s">
        <v>102</v>
      </c>
      <c r="E151" s="154">
        <v>268521.86280449521</v>
      </c>
      <c r="F151" s="154">
        <v>365334.29143789411</v>
      </c>
      <c r="G151" s="154">
        <v>157.8896611345599</v>
      </c>
      <c r="H151" s="154">
        <v>34179.686989685462</v>
      </c>
      <c r="I151" s="154">
        <v>13.164906360349875</v>
      </c>
      <c r="J151" s="154">
        <v>30872.774790649055</v>
      </c>
      <c r="K151" s="154">
        <v>512180.00000000006</v>
      </c>
      <c r="L151" s="154">
        <v>504345.91231186589</v>
      </c>
      <c r="M151" s="154">
        <v>0.86923503973395722</v>
      </c>
      <c r="N151" s="154" t="s">
        <v>421</v>
      </c>
      <c r="O151" s="154">
        <v>1.1986600748893126</v>
      </c>
      <c r="P151" s="154">
        <v>13.246462470551801</v>
      </c>
      <c r="Q151" s="154">
        <v>131.1105311392657</v>
      </c>
      <c r="R151" s="154">
        <v>5577.8734536351121</v>
      </c>
      <c r="S151" s="154">
        <v>1192.8628974047467</v>
      </c>
      <c r="T151" s="154">
        <v>45.627402272422501</v>
      </c>
      <c r="U151" s="154">
        <v>46.089495938774022</v>
      </c>
      <c r="V151" s="154">
        <v>3.3265986230971025</v>
      </c>
      <c r="W151" s="154">
        <v>61.565935119527644</v>
      </c>
      <c r="X151" s="154">
        <v>0.11403435155857855</v>
      </c>
      <c r="Y151" s="154">
        <v>43.509008213332088</v>
      </c>
      <c r="Z151" s="154">
        <v>1192.7077642370205</v>
      </c>
      <c r="AC151" s="28" t="s">
        <v>421</v>
      </c>
      <c r="AD151" s="9" t="s">
        <v>421</v>
      </c>
      <c r="AE151" s="9" t="s">
        <v>421</v>
      </c>
      <c r="AF151" s="28" t="s">
        <v>421</v>
      </c>
      <c r="AG151" s="28">
        <v>0.59599999999999997</v>
      </c>
      <c r="AH151" s="28">
        <v>33.241999999999997</v>
      </c>
      <c r="AI151" s="28" t="s">
        <v>421</v>
      </c>
      <c r="AJ151" s="28">
        <v>0.27</v>
      </c>
      <c r="AK151" s="28">
        <v>3.1E-2</v>
      </c>
      <c r="AL151" s="28">
        <v>51.218000000000004</v>
      </c>
      <c r="AM151" s="28">
        <v>7.649</v>
      </c>
      <c r="AN151" s="28">
        <v>7.0439999999999996</v>
      </c>
      <c r="AO151" s="28">
        <v>4.5999999999999999E-2</v>
      </c>
      <c r="AP151" s="156">
        <f t="shared" si="2"/>
        <v>100.096</v>
      </c>
    </row>
    <row r="152" spans="1:42" x14ac:dyDescent="0.2">
      <c r="A152" s="9" t="s">
        <v>707</v>
      </c>
      <c r="B152" s="9" t="s">
        <v>708</v>
      </c>
      <c r="C152" s="9" t="s">
        <v>81</v>
      </c>
      <c r="D152" s="9" t="s">
        <v>102</v>
      </c>
      <c r="E152" s="154">
        <v>311657.51877229539</v>
      </c>
      <c r="F152" s="154">
        <v>413645.48888246698</v>
      </c>
      <c r="G152" s="154">
        <v>983.67035779876198</v>
      </c>
      <c r="H152" s="154">
        <v>57539.529551856271</v>
      </c>
      <c r="I152" s="154">
        <v>18.73195454186564</v>
      </c>
      <c r="J152" s="154">
        <v>29677.108764758745</v>
      </c>
      <c r="K152" s="154">
        <v>523720</v>
      </c>
      <c r="L152" s="154">
        <v>535727.54680227558</v>
      </c>
      <c r="M152" s="154">
        <v>11.188138145643745</v>
      </c>
      <c r="N152" s="154" t="s">
        <v>421</v>
      </c>
      <c r="O152" s="154">
        <v>3.8390545528557691</v>
      </c>
      <c r="P152" s="154">
        <v>7.4598984043742833</v>
      </c>
      <c r="Q152" s="154">
        <v>142.49593558158992</v>
      </c>
      <c r="R152" s="154">
        <v>4598.6335410629426</v>
      </c>
      <c r="S152" s="154">
        <v>1069.8260539152357</v>
      </c>
      <c r="T152" s="154">
        <v>50.829611250154606</v>
      </c>
      <c r="U152" s="154">
        <v>53.472255260933132</v>
      </c>
      <c r="V152" s="154">
        <v>0.76797365103052573</v>
      </c>
      <c r="W152" s="154">
        <v>175.81911299065757</v>
      </c>
      <c r="X152" s="154" t="s">
        <v>421</v>
      </c>
      <c r="Y152" s="154">
        <v>137.07911193948911</v>
      </c>
      <c r="Z152" s="154">
        <v>1069.6532332369852</v>
      </c>
      <c r="AC152" s="28" t="s">
        <v>421</v>
      </c>
      <c r="AD152" s="9" t="s">
        <v>421</v>
      </c>
      <c r="AE152" s="9" t="s">
        <v>421</v>
      </c>
      <c r="AF152" s="28" t="s">
        <v>421</v>
      </c>
      <c r="AG152" s="28">
        <v>0.40799999999999997</v>
      </c>
      <c r="AH152" s="28">
        <v>33.207000000000001</v>
      </c>
      <c r="AI152" s="28" t="s">
        <v>421</v>
      </c>
      <c r="AJ152" s="28">
        <v>0.19400000000000001</v>
      </c>
      <c r="AK152" s="28">
        <v>2.5999999999999999E-2</v>
      </c>
      <c r="AL152" s="28">
        <v>52.372</v>
      </c>
      <c r="AM152" s="28">
        <v>6.952</v>
      </c>
      <c r="AN152" s="28">
        <v>6.758</v>
      </c>
      <c r="AO152" s="28">
        <v>0.2</v>
      </c>
      <c r="AP152" s="156">
        <f t="shared" si="2"/>
        <v>100.117</v>
      </c>
    </row>
    <row r="153" spans="1:42" x14ac:dyDescent="0.2">
      <c r="A153" s="9" t="s">
        <v>709</v>
      </c>
      <c r="B153" s="9" t="s">
        <v>710</v>
      </c>
      <c r="C153" s="9" t="s">
        <v>81</v>
      </c>
      <c r="D153" s="9" t="s">
        <v>102</v>
      </c>
      <c r="E153" s="154">
        <v>295931.17747474799</v>
      </c>
      <c r="F153" s="154">
        <v>296482.61933493626</v>
      </c>
      <c r="G153" s="154">
        <v>1638.5229005169219</v>
      </c>
      <c r="H153" s="154">
        <v>107296.60294745104</v>
      </c>
      <c r="I153" s="154">
        <v>98.763179578976803</v>
      </c>
      <c r="J153" s="154">
        <v>1569.9531078859661</v>
      </c>
      <c r="K153" s="154">
        <v>513519.99999999994</v>
      </c>
      <c r="L153" s="154">
        <v>512977.32154524868</v>
      </c>
      <c r="M153" s="154">
        <v>1.0803361977951342</v>
      </c>
      <c r="N153" s="154" t="s">
        <v>421</v>
      </c>
      <c r="O153" s="154" t="s">
        <v>421</v>
      </c>
      <c r="P153" s="154">
        <v>12.288309713390204</v>
      </c>
      <c r="Q153" s="154">
        <v>11.304795919563318</v>
      </c>
      <c r="R153" s="154">
        <v>7220.1426206138622</v>
      </c>
      <c r="S153" s="154">
        <v>1146.2741171467376</v>
      </c>
      <c r="T153" s="154">
        <v>8.4390835433732505</v>
      </c>
      <c r="U153" s="154">
        <v>8.2588190807762487</v>
      </c>
      <c r="V153" s="154">
        <v>4.7832205923941835E-2</v>
      </c>
      <c r="W153" s="154">
        <v>5.2653299409956089</v>
      </c>
      <c r="X153" s="154" t="s">
        <v>421</v>
      </c>
      <c r="Y153" s="154">
        <v>8.0607050679912126E-2</v>
      </c>
      <c r="Z153" s="154">
        <v>1146.2454242626902</v>
      </c>
      <c r="AC153" s="28" t="s">
        <v>421</v>
      </c>
      <c r="AD153" s="9" t="s">
        <v>421</v>
      </c>
      <c r="AE153" s="9" t="s">
        <v>421</v>
      </c>
      <c r="AF153" s="28" t="s">
        <v>421</v>
      </c>
      <c r="AG153" s="28">
        <v>0.53200000000000003</v>
      </c>
      <c r="AH153" s="28">
        <v>33.445999999999998</v>
      </c>
      <c r="AI153" s="28">
        <v>2E-3</v>
      </c>
      <c r="AJ153" s="28">
        <v>0.217</v>
      </c>
      <c r="AK153" s="28" t="s">
        <v>421</v>
      </c>
      <c r="AL153" s="28">
        <v>51.351999999999997</v>
      </c>
      <c r="AM153" s="28">
        <v>0.128</v>
      </c>
      <c r="AN153" s="28">
        <v>13.888999999999999</v>
      </c>
      <c r="AO153" s="28">
        <v>0.25900000000000001</v>
      </c>
      <c r="AP153" s="156">
        <f t="shared" si="2"/>
        <v>99.824999999999989</v>
      </c>
    </row>
    <row r="154" spans="1:42" x14ac:dyDescent="0.2">
      <c r="A154" s="9" t="s">
        <v>711</v>
      </c>
      <c r="B154" s="9" t="s">
        <v>712</v>
      </c>
      <c r="C154" s="9" t="s">
        <v>81</v>
      </c>
      <c r="D154" s="9" t="s">
        <v>102</v>
      </c>
      <c r="E154" s="154">
        <v>292115.81631128973</v>
      </c>
      <c r="F154" s="154">
        <v>289020.19262328919</v>
      </c>
      <c r="G154" s="154">
        <v>1850.4130503483539</v>
      </c>
      <c r="H154" s="154">
        <v>101584.95043650088</v>
      </c>
      <c r="I154" s="154">
        <v>105.90776645890537</v>
      </c>
      <c r="J154" s="154">
        <v>662.13777513099626</v>
      </c>
      <c r="K154" s="154">
        <v>517520</v>
      </c>
      <c r="L154" s="154">
        <v>510648.23904398567</v>
      </c>
      <c r="M154" s="154">
        <v>0.59968537119163512</v>
      </c>
      <c r="N154" s="154">
        <v>0.27260189381745681</v>
      </c>
      <c r="O154" s="154">
        <v>0.15012745467395114</v>
      </c>
      <c r="P154" s="154">
        <v>2.4591452318603966</v>
      </c>
      <c r="Q154" s="154">
        <v>4.6022809476399349</v>
      </c>
      <c r="R154" s="154">
        <v>6429.2062810612269</v>
      </c>
      <c r="S154" s="154">
        <v>440.60850608143011</v>
      </c>
      <c r="T154" s="154">
        <v>5.7645779432531965</v>
      </c>
      <c r="U154" s="154">
        <v>6.1642901495859395</v>
      </c>
      <c r="V154" s="154">
        <v>4.4163094574732817E-2</v>
      </c>
      <c r="W154" s="154">
        <v>3.8072259827002721</v>
      </c>
      <c r="X154" s="154" t="s">
        <v>421</v>
      </c>
      <c r="Y154" s="154">
        <v>0.10564514938168224</v>
      </c>
      <c r="Z154" s="154">
        <v>440.58890651642304</v>
      </c>
      <c r="AC154" s="28" t="s">
        <v>421</v>
      </c>
      <c r="AD154" s="9" t="s">
        <v>421</v>
      </c>
      <c r="AE154" s="9" t="s">
        <v>421</v>
      </c>
      <c r="AF154" s="28" t="s">
        <v>421</v>
      </c>
      <c r="AG154" s="28">
        <v>0.49</v>
      </c>
      <c r="AH154" s="28">
        <v>33.345999999999997</v>
      </c>
      <c r="AI154" s="28">
        <v>1E-3</v>
      </c>
      <c r="AJ154" s="28">
        <v>4.1000000000000002E-2</v>
      </c>
      <c r="AK154" s="28">
        <v>1E-3</v>
      </c>
      <c r="AL154" s="28">
        <v>51.752000000000002</v>
      </c>
      <c r="AM154" s="28">
        <v>0.11899999999999999</v>
      </c>
      <c r="AN154" s="28">
        <v>13.316000000000001</v>
      </c>
      <c r="AO154" s="28">
        <v>0.307</v>
      </c>
      <c r="AP154" s="156">
        <f t="shared" si="2"/>
        <v>99.373000000000005</v>
      </c>
    </row>
    <row r="155" spans="1:42" x14ac:dyDescent="0.2">
      <c r="A155" s="9" t="s">
        <v>713</v>
      </c>
      <c r="B155" s="9" t="s">
        <v>714</v>
      </c>
      <c r="C155" s="9" t="s">
        <v>81</v>
      </c>
      <c r="D155" s="9" t="s">
        <v>102</v>
      </c>
      <c r="E155" s="154">
        <v>311066.71681676863</v>
      </c>
      <c r="F155" s="154">
        <v>411683.46389167366</v>
      </c>
      <c r="G155" s="154">
        <v>1595.4029879876221</v>
      </c>
      <c r="H155" s="154">
        <v>85458.7445013377</v>
      </c>
      <c r="I155" s="154">
        <v>71.984780049573686</v>
      </c>
      <c r="J155" s="154">
        <v>40280.632956160385</v>
      </c>
      <c r="K155" s="154">
        <v>510510</v>
      </c>
      <c r="L155" s="154">
        <v>522449.91513538489</v>
      </c>
      <c r="M155" s="154">
        <v>2.2379374508120464</v>
      </c>
      <c r="N155" s="154" t="s">
        <v>421</v>
      </c>
      <c r="O155" s="154">
        <v>1.4431384298780394</v>
      </c>
      <c r="P155" s="154">
        <v>0.61749404184601608</v>
      </c>
      <c r="Q155" s="154">
        <v>183.53562841992334</v>
      </c>
      <c r="R155" s="154">
        <v>5966.2139837832347</v>
      </c>
      <c r="S155" s="154">
        <v>400.16372286980658</v>
      </c>
      <c r="T155" s="154">
        <v>11.827741205787476</v>
      </c>
      <c r="U155" s="154">
        <v>10.093310602616777</v>
      </c>
      <c r="V155" s="154">
        <v>1.3001857819802454</v>
      </c>
      <c r="W155" s="154">
        <v>14.930894722414303</v>
      </c>
      <c r="X155" s="154">
        <v>0.21196859464588089</v>
      </c>
      <c r="Y155" s="154">
        <v>37.13398218276577</v>
      </c>
      <c r="Z155" s="154">
        <v>400.12350854970691</v>
      </c>
      <c r="AC155" s="28" t="s">
        <v>421</v>
      </c>
      <c r="AD155" s="9" t="s">
        <v>421</v>
      </c>
      <c r="AE155" s="9" t="s">
        <v>421</v>
      </c>
      <c r="AF155" s="28" t="s">
        <v>421</v>
      </c>
      <c r="AG155" s="28">
        <v>0.28699999999999998</v>
      </c>
      <c r="AH155" s="28">
        <v>33.155999999999999</v>
      </c>
      <c r="AI155" s="28" t="s">
        <v>421</v>
      </c>
      <c r="AJ155" s="28">
        <v>3.9E-2</v>
      </c>
      <c r="AK155" s="28">
        <v>2.5999999999999999E-2</v>
      </c>
      <c r="AL155" s="28">
        <v>51.051000000000002</v>
      </c>
      <c r="AM155" s="28">
        <v>7.3550000000000004</v>
      </c>
      <c r="AN155" s="28">
        <v>7.5010000000000003</v>
      </c>
      <c r="AO155" s="28">
        <v>0.159</v>
      </c>
      <c r="AP155" s="156">
        <f t="shared" si="2"/>
        <v>99.574000000000012</v>
      </c>
    </row>
    <row r="156" spans="1:42" x14ac:dyDescent="0.2">
      <c r="A156" s="9" t="s">
        <v>715</v>
      </c>
      <c r="B156" s="9" t="s">
        <v>716</v>
      </c>
      <c r="C156" s="9" t="s">
        <v>81</v>
      </c>
      <c r="D156" s="9" t="s">
        <v>102</v>
      </c>
      <c r="E156" s="154">
        <v>289824.28949519945</v>
      </c>
      <c r="F156" s="154">
        <v>287546.70311457815</v>
      </c>
      <c r="G156" s="154">
        <v>1440.0410040396573</v>
      </c>
      <c r="H156" s="154">
        <v>107326.36563553504</v>
      </c>
      <c r="I156" s="154">
        <v>115.34037226287592</v>
      </c>
      <c r="J156" s="154">
        <v>1147.0623220969239</v>
      </c>
      <c r="K156" s="154">
        <v>509690</v>
      </c>
      <c r="L156" s="154">
        <v>510650.01113674126</v>
      </c>
      <c r="M156" s="154">
        <v>3.1680230199060002</v>
      </c>
      <c r="N156" s="154" t="s">
        <v>421</v>
      </c>
      <c r="O156" s="154">
        <v>0.16261279587532054</v>
      </c>
      <c r="P156" s="154">
        <v>5.3542595848881103</v>
      </c>
      <c r="Q156" s="154">
        <v>4.8276499145717526</v>
      </c>
      <c r="R156" s="154">
        <v>6777.2798216554193</v>
      </c>
      <c r="S156" s="154">
        <v>809.5462283914386</v>
      </c>
      <c r="T156" s="154">
        <v>9.7723879997145442</v>
      </c>
      <c r="U156" s="154">
        <v>10.348361434698147</v>
      </c>
      <c r="V156" s="154" t="s">
        <v>421</v>
      </c>
      <c r="W156" s="154">
        <v>2.9999694447187601</v>
      </c>
      <c r="X156" s="154" t="s">
        <v>421</v>
      </c>
      <c r="Y156" s="154">
        <v>0.10867218740410954</v>
      </c>
      <c r="Z156" s="154">
        <v>809.51300227223953</v>
      </c>
      <c r="AC156" s="28" t="s">
        <v>421</v>
      </c>
      <c r="AD156" s="9" t="s">
        <v>421</v>
      </c>
      <c r="AE156" s="9" t="s">
        <v>421</v>
      </c>
      <c r="AF156" s="28" t="s">
        <v>421</v>
      </c>
      <c r="AG156" s="28">
        <v>0.56000000000000005</v>
      </c>
      <c r="AH156" s="28">
        <v>33.42</v>
      </c>
      <c r="AI156" s="28" t="s">
        <v>421</v>
      </c>
      <c r="AJ156" s="28">
        <v>0.158</v>
      </c>
      <c r="AK156" s="28" t="s">
        <v>421</v>
      </c>
      <c r="AL156" s="28">
        <v>50.969000000000001</v>
      </c>
      <c r="AM156" s="28">
        <v>9.7000000000000003E-2</v>
      </c>
      <c r="AN156" s="28">
        <v>14.157</v>
      </c>
      <c r="AO156" s="28">
        <v>0.24199999999999999</v>
      </c>
      <c r="AP156" s="156">
        <f t="shared" si="2"/>
        <v>99.602999999999994</v>
      </c>
    </row>
    <row r="157" spans="1:42" x14ac:dyDescent="0.2">
      <c r="A157" s="9" t="s">
        <v>717</v>
      </c>
      <c r="B157" s="9" t="s">
        <v>718</v>
      </c>
      <c r="C157" s="9" t="s">
        <v>81</v>
      </c>
      <c r="D157" s="9" t="s">
        <v>102</v>
      </c>
      <c r="E157" s="154">
        <v>287124.15190978738</v>
      </c>
      <c r="F157" s="154">
        <v>290122.50777737942</v>
      </c>
      <c r="G157" s="154">
        <v>1284.3474443538612</v>
      </c>
      <c r="H157" s="154">
        <v>108721.97590497715</v>
      </c>
      <c r="I157" s="154">
        <v>97.228751670431578</v>
      </c>
      <c r="J157" s="154">
        <v>1575.7676753227011</v>
      </c>
      <c r="K157" s="154">
        <v>509650.00000000006</v>
      </c>
      <c r="L157" s="154">
        <v>515362.8495488303</v>
      </c>
      <c r="M157" s="154">
        <v>1.2787119786607863</v>
      </c>
      <c r="N157" s="154" t="s">
        <v>421</v>
      </c>
      <c r="O157" s="154" t="s">
        <v>421</v>
      </c>
      <c r="P157" s="154">
        <v>9.8650494316770629</v>
      </c>
      <c r="Q157" s="154">
        <v>16.383371523051323</v>
      </c>
      <c r="R157" s="154">
        <v>6058.0628693699064</v>
      </c>
      <c r="S157" s="154">
        <v>1148.5430401916046</v>
      </c>
      <c r="T157" s="154">
        <v>9.900253812991874</v>
      </c>
      <c r="U157" s="154">
        <v>9.9475333764137677</v>
      </c>
      <c r="V157" s="154" t="s">
        <v>421</v>
      </c>
      <c r="W157" s="154">
        <v>3.0939090455637834</v>
      </c>
      <c r="X157" s="154" t="s">
        <v>421</v>
      </c>
      <c r="Y157" s="154">
        <v>5.5225367466246275E-2</v>
      </c>
      <c r="Z157" s="154">
        <v>1148.5093793286405</v>
      </c>
      <c r="AC157" s="28" t="s">
        <v>421</v>
      </c>
      <c r="AD157" s="9" t="s">
        <v>421</v>
      </c>
      <c r="AE157" s="9" t="s">
        <v>421</v>
      </c>
      <c r="AF157" s="28" t="s">
        <v>421</v>
      </c>
      <c r="AG157" s="28">
        <v>0.46500000000000002</v>
      </c>
      <c r="AH157" s="28">
        <v>33.624000000000002</v>
      </c>
      <c r="AI157" s="28" t="s">
        <v>421</v>
      </c>
      <c r="AJ157" s="28">
        <v>0.224</v>
      </c>
      <c r="AK157" s="28">
        <v>5.0000000000000001E-3</v>
      </c>
      <c r="AL157" s="28">
        <v>50.965000000000003</v>
      </c>
      <c r="AM157" s="28">
        <v>0.151</v>
      </c>
      <c r="AN157" s="28">
        <v>14.108000000000001</v>
      </c>
      <c r="AO157" s="28">
        <v>0.21</v>
      </c>
      <c r="AP157" s="156">
        <f t="shared" si="2"/>
        <v>99.75200000000001</v>
      </c>
    </row>
    <row r="158" spans="1:42" x14ac:dyDescent="0.2">
      <c r="A158" s="9" t="s">
        <v>719</v>
      </c>
      <c r="B158" s="9" t="s">
        <v>720</v>
      </c>
      <c r="C158" s="9" t="s">
        <v>81</v>
      </c>
      <c r="D158" s="9" t="s">
        <v>102</v>
      </c>
      <c r="E158" s="154">
        <v>286438.57219981466</v>
      </c>
      <c r="F158" s="154">
        <v>288532.61473526777</v>
      </c>
      <c r="G158" s="154">
        <v>1731.331379154876</v>
      </c>
      <c r="H158" s="154">
        <v>106820.25919478382</v>
      </c>
      <c r="I158" s="154">
        <v>105.33133250809325</v>
      </c>
      <c r="J158" s="154">
        <v>1049.960682571563</v>
      </c>
      <c r="K158" s="154">
        <v>510120</v>
      </c>
      <c r="L158" s="154">
        <v>511689.07340310403</v>
      </c>
      <c r="M158" s="154">
        <v>2.4424119274886236</v>
      </c>
      <c r="N158" s="154" t="s">
        <v>421</v>
      </c>
      <c r="O158" s="154">
        <v>0.31029756405470299</v>
      </c>
      <c r="P158" s="154">
        <v>7.2745592285786769</v>
      </c>
      <c r="Q158" s="154">
        <v>8.7246520296773351</v>
      </c>
      <c r="R158" s="154">
        <v>7408.2417579552293</v>
      </c>
      <c r="S158" s="154">
        <v>676.11525838523301</v>
      </c>
      <c r="T158" s="154">
        <v>13.420225015675072</v>
      </c>
      <c r="U158" s="154">
        <v>13.537093283053931</v>
      </c>
      <c r="V158" s="154">
        <v>4.5825853465138344E-2</v>
      </c>
      <c r="W158" s="154">
        <v>5.5287970195880733</v>
      </c>
      <c r="X158" s="154">
        <v>1.7726509899484592E-2</v>
      </c>
      <c r="Y158" s="154">
        <v>0.22961713425928648</v>
      </c>
      <c r="Z158" s="154">
        <v>676.06962962017974</v>
      </c>
      <c r="AC158" s="28" t="s">
        <v>421</v>
      </c>
      <c r="AD158" s="9" t="s">
        <v>421</v>
      </c>
      <c r="AE158" s="9" t="s">
        <v>421</v>
      </c>
      <c r="AF158" s="28" t="s">
        <v>421</v>
      </c>
      <c r="AG158" s="28">
        <v>0.50800000000000001</v>
      </c>
      <c r="AH158" s="28">
        <v>33.378999999999998</v>
      </c>
      <c r="AI158" s="28" t="s">
        <v>421</v>
      </c>
      <c r="AJ158" s="28">
        <v>0.125</v>
      </c>
      <c r="AK158" s="28" t="s">
        <v>421</v>
      </c>
      <c r="AL158" s="28">
        <v>51.012</v>
      </c>
      <c r="AM158" s="28">
        <v>9.4E-2</v>
      </c>
      <c r="AN158" s="28">
        <v>14.175000000000001</v>
      </c>
      <c r="AO158" s="28">
        <v>0.29699999999999999</v>
      </c>
      <c r="AP158" s="156">
        <f t="shared" si="2"/>
        <v>99.589999999999989</v>
      </c>
    </row>
    <row r="159" spans="1:42" x14ac:dyDescent="0.2">
      <c r="A159" s="9" t="s">
        <v>721</v>
      </c>
      <c r="B159" s="9" t="s">
        <v>722</v>
      </c>
      <c r="C159" s="9" t="s">
        <v>81</v>
      </c>
      <c r="D159" s="9" t="s">
        <v>102</v>
      </c>
      <c r="E159" s="154">
        <v>291752.54687676817</v>
      </c>
      <c r="F159" s="154">
        <v>288525.33225118578</v>
      </c>
      <c r="G159" s="154">
        <v>949.95967481574257</v>
      </c>
      <c r="H159" s="154">
        <v>57596.227322345228</v>
      </c>
      <c r="I159" s="154">
        <v>49.757119141729028</v>
      </c>
      <c r="J159" s="154">
        <v>64497.819282416494</v>
      </c>
      <c r="K159" s="154">
        <v>507180.00000000006</v>
      </c>
      <c r="L159" s="154">
        <v>506593.74779747153</v>
      </c>
      <c r="M159" s="154">
        <v>2.7547492338416144</v>
      </c>
      <c r="N159" s="154" t="s">
        <v>421</v>
      </c>
      <c r="O159" s="154">
        <v>0.55457859331783366</v>
      </c>
      <c r="P159" s="154">
        <v>2.5329791873809171</v>
      </c>
      <c r="Q159" s="154">
        <v>252.64497274306623</v>
      </c>
      <c r="R159" s="154">
        <v>6861.7030057200964</v>
      </c>
      <c r="S159" s="154">
        <v>710.08337495568082</v>
      </c>
      <c r="T159" s="154">
        <v>33.839565979173017</v>
      </c>
      <c r="U159" s="154">
        <v>34.980894953534936</v>
      </c>
      <c r="V159" s="154">
        <v>0.87830973094518361</v>
      </c>
      <c r="W159" s="154">
        <v>4.1650175459614012</v>
      </c>
      <c r="X159" s="154">
        <v>1.9180838740742889E-2</v>
      </c>
      <c r="Y159" s="154">
        <v>20.403585735953868</v>
      </c>
      <c r="Z159" s="154">
        <v>709.96832043135169</v>
      </c>
      <c r="AC159" s="28" t="s">
        <v>421</v>
      </c>
      <c r="AD159" s="9" t="s">
        <v>421</v>
      </c>
      <c r="AE159" s="9" t="s">
        <v>421</v>
      </c>
      <c r="AF159" s="28" t="s">
        <v>421</v>
      </c>
      <c r="AG159" s="28">
        <v>0.55300000000000005</v>
      </c>
      <c r="AH159" s="28">
        <v>33.148000000000003</v>
      </c>
      <c r="AI159" s="28">
        <v>0.01</v>
      </c>
      <c r="AJ159" s="28">
        <v>0.13</v>
      </c>
      <c r="AK159" s="28">
        <v>3.5999999999999997E-2</v>
      </c>
      <c r="AL159" s="28">
        <v>50.718000000000004</v>
      </c>
      <c r="AM159" s="28">
        <v>7.8010000000000002</v>
      </c>
      <c r="AN159" s="28">
        <v>7.375</v>
      </c>
      <c r="AO159" s="28">
        <v>0.16400000000000001</v>
      </c>
      <c r="AP159" s="156">
        <f t="shared" si="2"/>
        <v>99.935000000000002</v>
      </c>
    </row>
    <row r="160" spans="1:42" x14ac:dyDescent="0.2">
      <c r="A160" s="9" t="s">
        <v>723</v>
      </c>
      <c r="B160" s="9" t="s">
        <v>724</v>
      </c>
      <c r="C160" s="9" t="s">
        <v>81</v>
      </c>
      <c r="D160" s="9" t="s">
        <v>102</v>
      </c>
      <c r="E160" s="154">
        <v>284586.85627488984</v>
      </c>
      <c r="F160" s="154">
        <v>287113.66033092636</v>
      </c>
      <c r="G160" s="154">
        <v>1776.0413517365503</v>
      </c>
      <c r="H160" s="154">
        <v>101767.00522648533</v>
      </c>
      <c r="I160" s="154">
        <v>105.66562213494988</v>
      </c>
      <c r="J160" s="154">
        <v>432.77145120654058</v>
      </c>
      <c r="K160" s="154">
        <v>520830</v>
      </c>
      <c r="L160" s="154">
        <v>530206.94445815438</v>
      </c>
      <c r="M160" s="154">
        <v>1.2956330014061088</v>
      </c>
      <c r="N160" s="154">
        <v>0.28879878766993589</v>
      </c>
      <c r="O160" s="154">
        <v>0.14651965254104971</v>
      </c>
      <c r="P160" s="154">
        <v>1.9476313281160245</v>
      </c>
      <c r="Q160" s="154">
        <v>2.6085447984218835</v>
      </c>
      <c r="R160" s="154">
        <v>6779.4920424485781</v>
      </c>
      <c r="S160" s="154">
        <v>288.64951868124081</v>
      </c>
      <c r="T160" s="154">
        <v>3.9491408040527176</v>
      </c>
      <c r="U160" s="154">
        <v>3.7185379187031655</v>
      </c>
      <c r="V160" s="154">
        <v>4.8622171226567271E-2</v>
      </c>
      <c r="W160" s="154">
        <v>4.250360043544771</v>
      </c>
      <c r="X160" s="154" t="s">
        <v>421</v>
      </c>
      <c r="Y160" s="154">
        <v>0.13226082169141515</v>
      </c>
      <c r="Z160" s="154">
        <v>288.63609160250701</v>
      </c>
      <c r="AC160" s="28" t="s">
        <v>421</v>
      </c>
      <c r="AD160" s="9" t="s">
        <v>421</v>
      </c>
      <c r="AE160" s="9" t="s">
        <v>421</v>
      </c>
      <c r="AF160" s="28" t="s">
        <v>421</v>
      </c>
      <c r="AG160" s="28">
        <v>0.47499999999999998</v>
      </c>
      <c r="AH160" s="28">
        <v>33.441000000000003</v>
      </c>
      <c r="AI160" s="28">
        <v>3.0000000000000001E-3</v>
      </c>
      <c r="AJ160" s="28">
        <v>3.5000000000000003E-2</v>
      </c>
      <c r="AK160" s="28" t="s">
        <v>421</v>
      </c>
      <c r="AL160" s="28">
        <v>52.082999999999998</v>
      </c>
      <c r="AM160" s="28">
        <v>3.5000000000000003E-2</v>
      </c>
      <c r="AN160" s="28">
        <v>13.268000000000001</v>
      </c>
      <c r="AO160" s="28">
        <v>0.307</v>
      </c>
      <c r="AP160" s="156">
        <f t="shared" si="2"/>
        <v>99.647000000000006</v>
      </c>
    </row>
    <row r="161" spans="1:42" x14ac:dyDescent="0.2">
      <c r="A161" s="9" t="s">
        <v>725</v>
      </c>
      <c r="B161" s="9" t="s">
        <v>726</v>
      </c>
      <c r="C161" s="9" t="s">
        <v>81</v>
      </c>
      <c r="D161" s="9" t="s">
        <v>102</v>
      </c>
      <c r="E161" s="154">
        <v>282234.11143353034</v>
      </c>
      <c r="F161" s="154">
        <v>281572.98067307577</v>
      </c>
      <c r="G161" s="154">
        <v>1759.1357104090744</v>
      </c>
      <c r="H161" s="154">
        <v>101213.12516683292</v>
      </c>
      <c r="I161" s="154">
        <v>103.39724035616095</v>
      </c>
      <c r="J161" s="154">
        <v>607.45474125811756</v>
      </c>
      <c r="K161" s="154">
        <v>522020</v>
      </c>
      <c r="L161" s="154">
        <v>522197.77280617686</v>
      </c>
      <c r="M161" s="154">
        <v>0.50463312360126922</v>
      </c>
      <c r="N161" s="154" t="s">
        <v>421</v>
      </c>
      <c r="O161" s="154" t="s">
        <v>421</v>
      </c>
      <c r="P161" s="154">
        <v>2.2871810893752706</v>
      </c>
      <c r="Q161" s="154">
        <v>4.5719330506520954</v>
      </c>
      <c r="R161" s="154">
        <v>6817.1202425272277</v>
      </c>
      <c r="S161" s="154">
        <v>354.23009593433773</v>
      </c>
      <c r="T161" s="154">
        <v>3.2401375628476914</v>
      </c>
      <c r="U161" s="154">
        <v>3.5558957149457089</v>
      </c>
      <c r="V161" s="154">
        <v>4.9842469078793486E-2</v>
      </c>
      <c r="W161" s="154">
        <v>3.4809044342635747</v>
      </c>
      <c r="X161" s="154" t="s">
        <v>421</v>
      </c>
      <c r="Y161" s="154">
        <v>0.26034695952847209</v>
      </c>
      <c r="Z161" s="154">
        <v>354.21907946662407</v>
      </c>
      <c r="AC161" s="28" t="s">
        <v>421</v>
      </c>
      <c r="AD161" s="9" t="s">
        <v>421</v>
      </c>
      <c r="AE161" s="9" t="s">
        <v>421</v>
      </c>
      <c r="AF161" s="28" t="s">
        <v>421</v>
      </c>
      <c r="AG161" s="28">
        <v>0.46</v>
      </c>
      <c r="AH161" s="28">
        <v>33.484999999999999</v>
      </c>
      <c r="AI161" s="28">
        <v>0.01</v>
      </c>
      <c r="AJ161" s="28">
        <v>3.9E-2</v>
      </c>
      <c r="AK161" s="28" t="s">
        <v>421</v>
      </c>
      <c r="AL161" s="28">
        <v>52.201999999999998</v>
      </c>
      <c r="AM161" s="28">
        <v>6.0999999999999999E-2</v>
      </c>
      <c r="AN161" s="28">
        <v>13.211</v>
      </c>
      <c r="AO161" s="28">
        <v>0.30199999999999999</v>
      </c>
      <c r="AP161" s="156">
        <f t="shared" si="2"/>
        <v>99.77000000000001</v>
      </c>
    </row>
    <row r="162" spans="1:42" x14ac:dyDescent="0.2">
      <c r="A162" s="9" t="s">
        <v>727</v>
      </c>
      <c r="B162" s="9" t="s">
        <v>728</v>
      </c>
      <c r="C162" s="9" t="s">
        <v>81</v>
      </c>
      <c r="D162" s="9" t="s">
        <v>102</v>
      </c>
      <c r="E162" s="154">
        <v>280802.98062692536</v>
      </c>
      <c r="F162" s="154">
        <v>282164.92881561851</v>
      </c>
      <c r="G162" s="154">
        <v>1286.9209323929842</v>
      </c>
      <c r="H162" s="154">
        <v>105011.27215283642</v>
      </c>
      <c r="I162" s="154">
        <v>96.827818507446096</v>
      </c>
      <c r="J162" s="154">
        <v>1486.1851272886026</v>
      </c>
      <c r="K162" s="154">
        <v>511980</v>
      </c>
      <c r="L162" s="154">
        <v>512755.24071942444</v>
      </c>
      <c r="M162" s="154">
        <v>1.196153074937564</v>
      </c>
      <c r="N162" s="154">
        <v>0.28980731903885315</v>
      </c>
      <c r="O162" s="154">
        <v>0.15771285524842868</v>
      </c>
      <c r="P162" s="154">
        <v>21.504832947268675</v>
      </c>
      <c r="Q162" s="154">
        <v>9.8106428095636407</v>
      </c>
      <c r="R162" s="154">
        <v>6516.2140838816895</v>
      </c>
      <c r="S162" s="154">
        <v>1060.3067378442884</v>
      </c>
      <c r="T162" s="154">
        <v>6.2498356514926154</v>
      </c>
      <c r="U162" s="154">
        <v>6.2376490076898836</v>
      </c>
      <c r="V162" s="154">
        <v>4.7052922072266273E-2</v>
      </c>
      <c r="W162" s="154">
        <v>3.8211819265826539</v>
      </c>
      <c r="X162" s="154" t="s">
        <v>421</v>
      </c>
      <c r="Y162" s="154">
        <v>0.15479213427961869</v>
      </c>
      <c r="Z162" s="154">
        <v>1060.2854884030733</v>
      </c>
      <c r="AC162" s="28" t="s">
        <v>421</v>
      </c>
      <c r="AD162" s="9" t="s">
        <v>421</v>
      </c>
      <c r="AE162" s="9" t="s">
        <v>421</v>
      </c>
      <c r="AF162" s="28" t="s">
        <v>421</v>
      </c>
      <c r="AG162" s="28">
        <v>0.53800000000000003</v>
      </c>
      <c r="AH162" s="28">
        <v>33.402000000000001</v>
      </c>
      <c r="AI162" s="28" t="s">
        <v>421</v>
      </c>
      <c r="AJ162" s="28">
        <v>0.188</v>
      </c>
      <c r="AK162" s="28">
        <v>4.0000000000000001E-3</v>
      </c>
      <c r="AL162" s="28">
        <v>51.198</v>
      </c>
      <c r="AM162" s="28">
        <v>0.15</v>
      </c>
      <c r="AN162" s="28">
        <v>13.776</v>
      </c>
      <c r="AO162" s="28">
        <v>0.20899999999999999</v>
      </c>
      <c r="AP162" s="156">
        <f t="shared" si="2"/>
        <v>99.465000000000003</v>
      </c>
    </row>
    <row r="163" spans="1:42" x14ac:dyDescent="0.2">
      <c r="A163" s="9" t="s">
        <v>729</v>
      </c>
      <c r="B163" s="9" t="s">
        <v>730</v>
      </c>
      <c r="C163" s="9" t="s">
        <v>81</v>
      </c>
      <c r="D163" s="9" t="s">
        <v>102</v>
      </c>
      <c r="E163" s="154">
        <v>286446.22590120527</v>
      </c>
      <c r="F163" s="154">
        <v>287077.40779774502</v>
      </c>
      <c r="G163" s="154">
        <v>1000.4832830700974</v>
      </c>
      <c r="H163" s="154">
        <v>53947.953502267868</v>
      </c>
      <c r="I163" s="154">
        <v>37.817472941118986</v>
      </c>
      <c r="J163" s="154">
        <v>60610.553418395692</v>
      </c>
      <c r="K163" s="154">
        <v>508170</v>
      </c>
      <c r="L163" s="154">
        <v>513568.88470207143</v>
      </c>
      <c r="M163" s="154">
        <v>1.3430115564783485</v>
      </c>
      <c r="N163" s="154" t="s">
        <v>421</v>
      </c>
      <c r="O163" s="154">
        <v>0.41483203556358711</v>
      </c>
      <c r="P163" s="154">
        <v>24.82617690300231</v>
      </c>
      <c r="Q163" s="154">
        <v>278.55961824340648</v>
      </c>
      <c r="R163" s="154">
        <v>6050.1349109637795</v>
      </c>
      <c r="S163" s="154">
        <v>1104.1372995592385</v>
      </c>
      <c r="T163" s="154">
        <v>10.178987515194594</v>
      </c>
      <c r="U163" s="154">
        <v>10.261690070198608</v>
      </c>
      <c r="V163" s="154">
        <v>2.1699134368858148</v>
      </c>
      <c r="W163" s="154">
        <v>3.0448796400004263</v>
      </c>
      <c r="X163" s="154">
        <v>6.0342240251087899E-2</v>
      </c>
      <c r="Y163" s="154">
        <v>13.240021995804208</v>
      </c>
      <c r="Z163" s="154">
        <v>1104.1026910016869</v>
      </c>
      <c r="AC163" s="28" t="s">
        <v>421</v>
      </c>
      <c r="AD163" s="9" t="s">
        <v>421</v>
      </c>
      <c r="AE163" s="9" t="s">
        <v>421</v>
      </c>
      <c r="AF163" s="28" t="s">
        <v>421</v>
      </c>
      <c r="AG163" s="28">
        <v>0.505</v>
      </c>
      <c r="AH163" s="28">
        <v>33.084000000000003</v>
      </c>
      <c r="AI163" s="28" t="s">
        <v>421</v>
      </c>
      <c r="AJ163" s="28">
        <v>0.20599999999999999</v>
      </c>
      <c r="AK163" s="28">
        <v>0.04</v>
      </c>
      <c r="AL163" s="28">
        <v>50.817</v>
      </c>
      <c r="AM163" s="28">
        <v>7.851</v>
      </c>
      <c r="AN163" s="28">
        <v>7.3289999999999997</v>
      </c>
      <c r="AO163" s="28">
        <v>0.13500000000000001</v>
      </c>
      <c r="AP163" s="156">
        <f t="shared" si="2"/>
        <v>99.967000000000013</v>
      </c>
    </row>
    <row r="164" spans="1:42" x14ac:dyDescent="0.2">
      <c r="A164" s="9" t="s">
        <v>731</v>
      </c>
      <c r="B164" s="9" t="s">
        <v>732</v>
      </c>
      <c r="C164" s="9" t="s">
        <v>81</v>
      </c>
      <c r="D164" s="9" t="s">
        <v>103</v>
      </c>
      <c r="E164" s="154">
        <v>291225.60410805698</v>
      </c>
      <c r="F164" s="154">
        <v>289227.51487636246</v>
      </c>
      <c r="G164" s="154">
        <v>10892.240899319078</v>
      </c>
      <c r="H164" s="154">
        <v>97153.827099569913</v>
      </c>
      <c r="I164" s="154">
        <v>0.6560083480822434</v>
      </c>
      <c r="J164" s="154">
        <v>2637.7008210719296</v>
      </c>
      <c r="K164" s="154">
        <v>509769.99999999994</v>
      </c>
      <c r="L164" s="154">
        <v>512617.36897121917</v>
      </c>
      <c r="M164" s="154">
        <v>7.6374190485910365</v>
      </c>
      <c r="N164" s="154" t="s">
        <v>421</v>
      </c>
      <c r="O164" s="154">
        <v>0.17570274629198168</v>
      </c>
      <c r="P164" s="154">
        <v>1.1020675775540607</v>
      </c>
      <c r="Q164" s="154">
        <v>28.362548283977187</v>
      </c>
      <c r="R164" s="154">
        <v>7318.4606162996806</v>
      </c>
      <c r="S164" s="154">
        <v>1550.3627753505511</v>
      </c>
      <c r="T164" s="154">
        <v>19.192622006486097</v>
      </c>
      <c r="U164" s="154">
        <v>19.654262951396156</v>
      </c>
      <c r="V164" s="154">
        <v>0.54101274913062813</v>
      </c>
      <c r="W164" s="154">
        <v>5.6379151244027419</v>
      </c>
      <c r="X164" s="154" t="s">
        <v>421</v>
      </c>
      <c r="Y164" s="154">
        <v>2.595868132717575</v>
      </c>
      <c r="Z164" s="154">
        <v>1550.297520435729</v>
      </c>
      <c r="AC164" s="28" t="s">
        <v>421</v>
      </c>
      <c r="AD164" s="9" t="s">
        <v>421</v>
      </c>
      <c r="AE164" s="9" t="s">
        <v>421</v>
      </c>
      <c r="AF164" s="28" t="s">
        <v>421</v>
      </c>
      <c r="AG164" s="28">
        <v>0.57799999999999996</v>
      </c>
      <c r="AH164" s="28">
        <v>33.289000000000001</v>
      </c>
      <c r="AI164" s="28" t="s">
        <v>421</v>
      </c>
      <c r="AJ164" s="28">
        <v>0.26400000000000001</v>
      </c>
      <c r="AK164" s="28" t="s">
        <v>421</v>
      </c>
      <c r="AL164" s="28">
        <v>50.976999999999997</v>
      </c>
      <c r="AM164" s="28">
        <v>0.254</v>
      </c>
      <c r="AN164" s="28">
        <v>12.23</v>
      </c>
      <c r="AO164" s="28">
        <v>1.5980000000000001</v>
      </c>
      <c r="AP164" s="156">
        <f t="shared" si="2"/>
        <v>99.190000000000012</v>
      </c>
    </row>
    <row r="165" spans="1:42" x14ac:dyDescent="0.2">
      <c r="A165" s="9" t="s">
        <v>733</v>
      </c>
      <c r="B165" s="9" t="s">
        <v>734</v>
      </c>
      <c r="C165" s="9" t="s">
        <v>81</v>
      </c>
      <c r="D165" s="9" t="s">
        <v>103</v>
      </c>
      <c r="E165" s="154">
        <v>309531.47126654029</v>
      </c>
      <c r="F165" s="154">
        <v>299387.80541639024</v>
      </c>
      <c r="G165" s="154">
        <v>29.135756228963984</v>
      </c>
      <c r="H165" s="154">
        <v>19520.796860462357</v>
      </c>
      <c r="I165" s="154" t="s">
        <v>421</v>
      </c>
      <c r="J165" s="154">
        <v>1586.4023862784038</v>
      </c>
      <c r="K165" s="154">
        <v>636550</v>
      </c>
      <c r="L165" s="154">
        <v>634429.66407679336</v>
      </c>
      <c r="M165" s="154">
        <v>1.7266382321313141</v>
      </c>
      <c r="N165" s="154">
        <v>55.163075814721154</v>
      </c>
      <c r="O165" s="154">
        <v>16.850219625865922</v>
      </c>
      <c r="P165" s="154">
        <v>0.92036877418671204</v>
      </c>
      <c r="Q165" s="154">
        <v>20.317448173900342</v>
      </c>
      <c r="R165" s="154">
        <v>6188.9816865178846</v>
      </c>
      <c r="S165" s="154">
        <v>208.97763130812746</v>
      </c>
      <c r="T165" s="154">
        <v>232.28254817858584</v>
      </c>
      <c r="U165" s="154">
        <v>231.68390334327646</v>
      </c>
      <c r="V165" s="154">
        <v>40.306101609928277</v>
      </c>
      <c r="W165" s="154">
        <v>28.803985539174239</v>
      </c>
      <c r="X165" s="154">
        <v>1.0957409633314412</v>
      </c>
      <c r="Y165" s="154">
        <v>238.22153221253578</v>
      </c>
      <c r="Z165" s="154">
        <v>208.18787064432027</v>
      </c>
      <c r="AC165" s="28" t="s">
        <v>421</v>
      </c>
      <c r="AD165" s="9" t="s">
        <v>421</v>
      </c>
      <c r="AE165" s="9" t="s">
        <v>421</v>
      </c>
      <c r="AF165" s="28" t="s">
        <v>421</v>
      </c>
      <c r="AG165" s="28">
        <v>0.19400000000000001</v>
      </c>
      <c r="AH165" s="28">
        <v>32.674999999999997</v>
      </c>
      <c r="AI165" s="28">
        <v>7.0000000000000001E-3</v>
      </c>
      <c r="AJ165" s="28" t="s">
        <v>421</v>
      </c>
      <c r="AK165" s="28" t="s">
        <v>421</v>
      </c>
      <c r="AL165" s="28">
        <v>63.655000000000001</v>
      </c>
      <c r="AM165" s="28">
        <v>7.2999999999999995E-2</v>
      </c>
      <c r="AN165" s="28">
        <v>2.3039999999999998</v>
      </c>
      <c r="AO165" s="28">
        <v>3.3000000000000002E-2</v>
      </c>
      <c r="AP165" s="156">
        <f t="shared" si="2"/>
        <v>98.941000000000003</v>
      </c>
    </row>
    <row r="166" spans="1:42" x14ac:dyDescent="0.2">
      <c r="A166" s="9" t="s">
        <v>735</v>
      </c>
      <c r="B166" s="9" t="s">
        <v>736</v>
      </c>
      <c r="C166" s="9" t="s">
        <v>81</v>
      </c>
      <c r="D166" s="9" t="s">
        <v>103</v>
      </c>
      <c r="E166" s="154">
        <v>302838.66459389834</v>
      </c>
      <c r="F166" s="154">
        <v>301048.98204027337</v>
      </c>
      <c r="G166" s="154">
        <v>8880.6013807827767</v>
      </c>
      <c r="H166" s="154">
        <v>100319.34796022797</v>
      </c>
      <c r="I166" s="154">
        <v>1.6544836714793114</v>
      </c>
      <c r="J166" s="154">
        <v>2480.2763245498668</v>
      </c>
      <c r="K166" s="154">
        <v>513459.99999999994</v>
      </c>
      <c r="L166" s="154">
        <v>515162.93245890003</v>
      </c>
      <c r="M166" s="154">
        <v>6.7070673491906181</v>
      </c>
      <c r="N166" s="154">
        <v>0.2866522047691803</v>
      </c>
      <c r="O166" s="154">
        <v>0.16695639352976901</v>
      </c>
      <c r="P166" s="154" t="s">
        <v>421</v>
      </c>
      <c r="Q166" s="154">
        <v>15.493385151697415</v>
      </c>
      <c r="R166" s="154">
        <v>7245.0479761070847</v>
      </c>
      <c r="S166" s="154">
        <v>1793.8322883466678</v>
      </c>
      <c r="T166" s="154">
        <v>25.866639042035917</v>
      </c>
      <c r="U166" s="154">
        <v>26.522360029176127</v>
      </c>
      <c r="V166" s="154" t="s">
        <v>421</v>
      </c>
      <c r="W166" s="154">
        <v>4.0666278286451245</v>
      </c>
      <c r="X166" s="154" t="s">
        <v>421</v>
      </c>
      <c r="Y166" s="154">
        <v>0.37846559506719846</v>
      </c>
      <c r="Z166" s="154">
        <v>1793.7443417739248</v>
      </c>
      <c r="AC166" s="28" t="s">
        <v>421</v>
      </c>
      <c r="AD166" s="9" t="s">
        <v>421</v>
      </c>
      <c r="AE166" s="9" t="s">
        <v>421</v>
      </c>
      <c r="AF166" s="28" t="s">
        <v>421</v>
      </c>
      <c r="AG166" s="28">
        <v>0.50900000000000001</v>
      </c>
      <c r="AH166" s="28">
        <v>33.493000000000002</v>
      </c>
      <c r="AI166" s="28" t="s">
        <v>421</v>
      </c>
      <c r="AJ166" s="28">
        <v>0.372</v>
      </c>
      <c r="AK166" s="28">
        <v>1E-3</v>
      </c>
      <c r="AL166" s="28">
        <v>51.345999999999997</v>
      </c>
      <c r="AM166" s="28">
        <v>0.22</v>
      </c>
      <c r="AN166" s="28">
        <v>12.701000000000001</v>
      </c>
      <c r="AO166" s="28">
        <v>1.1759999999999999</v>
      </c>
      <c r="AP166" s="156">
        <f t="shared" si="2"/>
        <v>99.817999999999998</v>
      </c>
    </row>
    <row r="167" spans="1:42" x14ac:dyDescent="0.2">
      <c r="A167" s="9" t="s">
        <v>737</v>
      </c>
      <c r="B167" s="9" t="s">
        <v>738</v>
      </c>
      <c r="C167" s="9" t="s">
        <v>81</v>
      </c>
      <c r="D167" s="9" t="s">
        <v>103</v>
      </c>
      <c r="E167" s="154">
        <v>291236.47511558636</v>
      </c>
      <c r="F167" s="154">
        <v>381187.4656154954</v>
      </c>
      <c r="G167" s="154">
        <v>6292.3899421370534</v>
      </c>
      <c r="H167" s="154">
        <v>78476.995631199912</v>
      </c>
      <c r="I167" s="154">
        <v>0.19001958238068994</v>
      </c>
      <c r="J167" s="154">
        <v>37806.151369323466</v>
      </c>
      <c r="K167" s="154">
        <v>502930</v>
      </c>
      <c r="L167" s="154">
        <v>502944.45635100664</v>
      </c>
      <c r="M167" s="154">
        <v>7.5373670307464211</v>
      </c>
      <c r="N167" s="154" t="s">
        <v>421</v>
      </c>
      <c r="O167" s="154">
        <v>1.8619767734519475</v>
      </c>
      <c r="P167" s="154" t="s">
        <v>421</v>
      </c>
      <c r="Q167" s="154">
        <v>310.56894952254748</v>
      </c>
      <c r="R167" s="154">
        <v>7620.5573565595796</v>
      </c>
      <c r="S167" s="154">
        <v>1686.3618069423658</v>
      </c>
      <c r="T167" s="154">
        <v>25.578052713333861</v>
      </c>
      <c r="U167" s="154">
        <v>24.005055465561991</v>
      </c>
      <c r="V167" s="154">
        <v>4.8571264715487761</v>
      </c>
      <c r="W167" s="154">
        <v>13.34623375628022</v>
      </c>
      <c r="X167" s="154">
        <v>0.23070160486483213</v>
      </c>
      <c r="Y167" s="154">
        <v>32.38805121132944</v>
      </c>
      <c r="Z167" s="154">
        <v>1686.2748415631404</v>
      </c>
      <c r="AC167" s="28" t="s">
        <v>421</v>
      </c>
      <c r="AD167" s="9" t="s">
        <v>421</v>
      </c>
      <c r="AE167" s="9" t="s">
        <v>421</v>
      </c>
      <c r="AF167" s="28" t="s">
        <v>421</v>
      </c>
      <c r="AG167" s="28">
        <v>0.69799999999999995</v>
      </c>
      <c r="AH167" s="28">
        <v>33.234999999999999</v>
      </c>
      <c r="AI167" s="28" t="s">
        <v>421</v>
      </c>
      <c r="AJ167" s="28">
        <v>0.39200000000000002</v>
      </c>
      <c r="AK167" s="28">
        <v>0.09</v>
      </c>
      <c r="AL167" s="28">
        <v>50.292999999999999</v>
      </c>
      <c r="AM167" s="28">
        <v>7.0069999999999997</v>
      </c>
      <c r="AN167" s="28">
        <v>6.88</v>
      </c>
      <c r="AO167" s="28">
        <v>1.5529999999999999</v>
      </c>
      <c r="AP167" s="156">
        <f t="shared" si="2"/>
        <v>100.148</v>
      </c>
    </row>
    <row r="168" spans="1:42" x14ac:dyDescent="0.2">
      <c r="A168" s="9" t="s">
        <v>739</v>
      </c>
      <c r="B168" s="9" t="s">
        <v>740</v>
      </c>
      <c r="C168" s="9" t="s">
        <v>81</v>
      </c>
      <c r="D168" s="9" t="s">
        <v>103</v>
      </c>
      <c r="E168" s="154">
        <v>283121.23411967506</v>
      </c>
      <c r="F168" s="154">
        <v>284491.82930815365</v>
      </c>
      <c r="G168" s="154">
        <v>10663.925956490939</v>
      </c>
      <c r="H168" s="154">
        <v>89740.813677815342</v>
      </c>
      <c r="I168" s="154">
        <v>0.76370154642380661</v>
      </c>
      <c r="J168" s="154">
        <v>5917.5148676891586</v>
      </c>
      <c r="K168" s="154">
        <v>504610</v>
      </c>
      <c r="L168" s="154">
        <v>506846.60968514008</v>
      </c>
      <c r="M168" s="154">
        <v>6.0790392660176558</v>
      </c>
      <c r="N168" s="154" t="s">
        <v>421</v>
      </c>
      <c r="O168" s="154">
        <v>0.29164554786217495</v>
      </c>
      <c r="P168" s="154" t="s">
        <v>421</v>
      </c>
      <c r="Q168" s="154">
        <v>64.277553448022445</v>
      </c>
      <c r="R168" s="154">
        <v>6438.5650276584738</v>
      </c>
      <c r="S168" s="154">
        <v>1901.066435981737</v>
      </c>
      <c r="T168" s="154">
        <v>18.119496072249035</v>
      </c>
      <c r="U168" s="154">
        <v>16.763134640100187</v>
      </c>
      <c r="V168" s="154">
        <v>1.2231613761279503</v>
      </c>
      <c r="W168" s="154">
        <v>3.9686530615453464</v>
      </c>
      <c r="X168" s="154" t="s">
        <v>421</v>
      </c>
      <c r="Y168" s="154">
        <v>3.7927129082693241</v>
      </c>
      <c r="Z168" s="154">
        <v>1901.0048296950913</v>
      </c>
      <c r="AC168" s="28" t="s">
        <v>421</v>
      </c>
      <c r="AD168" s="9" t="s">
        <v>421</v>
      </c>
      <c r="AE168" s="9" t="s">
        <v>421</v>
      </c>
      <c r="AF168" s="28">
        <v>1E-3</v>
      </c>
      <c r="AG168" s="28">
        <v>0.47599999999999998</v>
      </c>
      <c r="AH168" s="28">
        <v>33.069000000000003</v>
      </c>
      <c r="AI168" s="28" t="s">
        <v>421</v>
      </c>
      <c r="AJ168" s="28">
        <v>0.45500000000000002</v>
      </c>
      <c r="AK168" s="28" t="s">
        <v>421</v>
      </c>
      <c r="AL168" s="28">
        <v>50.460999999999999</v>
      </c>
      <c r="AM168" s="28">
        <v>0.313</v>
      </c>
      <c r="AN168" s="28">
        <v>12.445</v>
      </c>
      <c r="AO168" s="28">
        <v>1.859</v>
      </c>
      <c r="AP168" s="156">
        <f t="shared" si="2"/>
        <v>99.078999999999994</v>
      </c>
    </row>
    <row r="169" spans="1:42" x14ac:dyDescent="0.2">
      <c r="A169" s="9" t="s">
        <v>741</v>
      </c>
      <c r="B169" s="9" t="s">
        <v>742</v>
      </c>
      <c r="C169" s="9" t="s">
        <v>81</v>
      </c>
      <c r="D169" s="9" t="s">
        <v>103</v>
      </c>
      <c r="E169" s="154">
        <v>282134.53184545797</v>
      </c>
      <c r="F169" s="154">
        <v>283626.74277306034</v>
      </c>
      <c r="G169" s="154">
        <v>4228.3142883003275</v>
      </c>
      <c r="H169" s="154">
        <v>98425.260869837366</v>
      </c>
      <c r="I169" s="154">
        <v>6.0395598287756327</v>
      </c>
      <c r="J169" s="154">
        <v>800.53442216731708</v>
      </c>
      <c r="K169" s="154">
        <v>519540</v>
      </c>
      <c r="L169" s="154">
        <v>518865.00204970688</v>
      </c>
      <c r="M169" s="154">
        <v>2.843896684723084</v>
      </c>
      <c r="N169" s="154" t="s">
        <v>421</v>
      </c>
      <c r="O169" s="154">
        <v>8.1222984325545561E-2</v>
      </c>
      <c r="P169" s="154">
        <v>3.0070381041486578</v>
      </c>
      <c r="Q169" s="154">
        <v>8.3747866288045056</v>
      </c>
      <c r="R169" s="154">
        <v>6869.5055438876389</v>
      </c>
      <c r="S169" s="154">
        <v>563.65497126818718</v>
      </c>
      <c r="T169" s="154">
        <v>13.197470647728352</v>
      </c>
      <c r="U169" s="154">
        <v>12.922585668063373</v>
      </c>
      <c r="V169" s="154">
        <v>5.081915369833033E-2</v>
      </c>
      <c r="W169" s="154">
        <v>4.8620430892220279</v>
      </c>
      <c r="X169" s="154" t="s">
        <v>421</v>
      </c>
      <c r="Y169" s="154">
        <v>0.29803803847842825</v>
      </c>
      <c r="Z169" s="154">
        <v>563.6100998679849</v>
      </c>
      <c r="AC169" s="28" t="s">
        <v>421</v>
      </c>
      <c r="AD169" s="9" t="s">
        <v>421</v>
      </c>
      <c r="AE169" s="9" t="s">
        <v>421</v>
      </c>
      <c r="AF169" s="28" t="s">
        <v>421</v>
      </c>
      <c r="AG169" s="28">
        <v>0.47899999999999998</v>
      </c>
      <c r="AH169" s="28">
        <v>33.299999999999997</v>
      </c>
      <c r="AI169" s="28" t="s">
        <v>421</v>
      </c>
      <c r="AJ169" s="28">
        <v>9.5000000000000001E-2</v>
      </c>
      <c r="AK169" s="28" t="s">
        <v>421</v>
      </c>
      <c r="AL169" s="28">
        <v>51.954000000000001</v>
      </c>
      <c r="AM169" s="28">
        <v>5.1999999999999998E-2</v>
      </c>
      <c r="AN169" s="28">
        <v>12.816000000000001</v>
      </c>
      <c r="AO169" s="28">
        <v>0.77200000000000002</v>
      </c>
      <c r="AP169" s="156">
        <f t="shared" si="2"/>
        <v>99.468000000000018</v>
      </c>
    </row>
    <row r="170" spans="1:42" x14ac:dyDescent="0.2">
      <c r="A170" s="9" t="s">
        <v>743</v>
      </c>
      <c r="B170" s="9" t="s">
        <v>744</v>
      </c>
      <c r="C170" s="9" t="s">
        <v>81</v>
      </c>
      <c r="D170" s="9" t="s">
        <v>103</v>
      </c>
      <c r="E170" s="154">
        <v>280703.48099993175</v>
      </c>
      <c r="F170" s="154">
        <v>282106.12693269184</v>
      </c>
      <c r="G170" s="154">
        <v>10123.355588831006</v>
      </c>
      <c r="H170" s="154">
        <v>93078.790673687981</v>
      </c>
      <c r="I170" s="154">
        <v>1.3151824191248498</v>
      </c>
      <c r="J170" s="154">
        <v>2208.4832023214958</v>
      </c>
      <c r="K170" s="154">
        <v>512310</v>
      </c>
      <c r="L170" s="154">
        <v>517195.79451848695</v>
      </c>
      <c r="M170" s="154">
        <v>5.7280084740206387</v>
      </c>
      <c r="N170" s="154" t="s">
        <v>421</v>
      </c>
      <c r="O170" s="154" t="s">
        <v>421</v>
      </c>
      <c r="P170" s="154">
        <v>0.92536709264421313</v>
      </c>
      <c r="Q170" s="154">
        <v>17.801224194535688</v>
      </c>
      <c r="R170" s="154">
        <v>6432.5868124353929</v>
      </c>
      <c r="S170" s="154">
        <v>1556.463339800137</v>
      </c>
      <c r="T170" s="154">
        <v>12.114142071594509</v>
      </c>
      <c r="U170" s="154">
        <v>12.213232029337361</v>
      </c>
      <c r="V170" s="154">
        <v>0.51771290002685766</v>
      </c>
      <c r="W170" s="154">
        <v>6.0694144528631186</v>
      </c>
      <c r="X170" s="154" t="s">
        <v>421</v>
      </c>
      <c r="Y170" s="154">
        <v>3.1065824663931445</v>
      </c>
      <c r="Z170" s="154">
        <v>1556.4221517170936</v>
      </c>
      <c r="AC170" s="28" t="s">
        <v>421</v>
      </c>
      <c r="AD170" s="9" t="s">
        <v>421</v>
      </c>
      <c r="AE170" s="9" t="s">
        <v>421</v>
      </c>
      <c r="AF170" s="28" t="s">
        <v>421</v>
      </c>
      <c r="AG170" s="28">
        <v>0.53300000000000003</v>
      </c>
      <c r="AH170" s="28">
        <v>33.308999999999997</v>
      </c>
      <c r="AI170" s="28">
        <v>7.0000000000000001E-3</v>
      </c>
      <c r="AJ170" s="28">
        <v>0.29799999999999999</v>
      </c>
      <c r="AK170" s="28" t="s">
        <v>421</v>
      </c>
      <c r="AL170" s="28">
        <v>51.231000000000002</v>
      </c>
      <c r="AM170" s="28">
        <v>0.182</v>
      </c>
      <c r="AN170" s="28">
        <v>12.215</v>
      </c>
      <c r="AO170" s="28">
        <v>1.7210000000000001</v>
      </c>
      <c r="AP170" s="156">
        <f t="shared" si="2"/>
        <v>99.496000000000009</v>
      </c>
    </row>
    <row r="171" spans="1:42" x14ac:dyDescent="0.2">
      <c r="A171" s="9" t="s">
        <v>745</v>
      </c>
      <c r="B171" s="9" t="s">
        <v>746</v>
      </c>
      <c r="C171" s="9" t="s">
        <v>81</v>
      </c>
      <c r="D171" s="9" t="s">
        <v>103</v>
      </c>
      <c r="E171" s="154">
        <v>281006.49174556107</v>
      </c>
      <c r="F171" s="154">
        <v>347593.3304293257</v>
      </c>
      <c r="G171" s="154">
        <v>9463.5607377252418</v>
      </c>
      <c r="H171" s="154">
        <v>90407.839330860268</v>
      </c>
      <c r="I171" s="154">
        <v>1.2683844945956948</v>
      </c>
      <c r="J171" s="154">
        <v>2233.5767820781452</v>
      </c>
      <c r="K171" s="154">
        <v>512600</v>
      </c>
      <c r="L171" s="154">
        <v>512476.11512586306</v>
      </c>
      <c r="M171" s="154">
        <v>5.5916632754866287</v>
      </c>
      <c r="N171" s="154">
        <v>0.43074282010970061</v>
      </c>
      <c r="O171" s="154" t="s">
        <v>421</v>
      </c>
      <c r="P171" s="154">
        <v>1.7729389645274383</v>
      </c>
      <c r="Q171" s="154">
        <v>18.220299540138011</v>
      </c>
      <c r="R171" s="154">
        <v>6863.0151502997151</v>
      </c>
      <c r="S171" s="154">
        <v>1616.330231437217</v>
      </c>
      <c r="T171" s="154">
        <v>12.977798448092843</v>
      </c>
      <c r="U171" s="154">
        <v>13.478980187795132</v>
      </c>
      <c r="V171" s="154">
        <v>0.28273705277374461</v>
      </c>
      <c r="W171" s="154">
        <v>12.193078267322097</v>
      </c>
      <c r="X171" s="154" t="s">
        <v>421</v>
      </c>
      <c r="Y171" s="154">
        <v>18.468630242737376</v>
      </c>
      <c r="Z171" s="154">
        <v>1616.2861069224934</v>
      </c>
      <c r="AC171" s="28" t="s">
        <v>421</v>
      </c>
      <c r="AD171" s="9" t="s">
        <v>421</v>
      </c>
      <c r="AE171" s="9" t="s">
        <v>421</v>
      </c>
      <c r="AF171" s="28" t="s">
        <v>421</v>
      </c>
      <c r="AG171" s="28">
        <v>0.47899999999999998</v>
      </c>
      <c r="AH171" s="28">
        <v>33.29</v>
      </c>
      <c r="AI171" s="28" t="s">
        <v>421</v>
      </c>
      <c r="AJ171" s="28">
        <v>0.30399999999999999</v>
      </c>
      <c r="AK171" s="28" t="s">
        <v>421</v>
      </c>
      <c r="AL171" s="28">
        <v>51.26</v>
      </c>
      <c r="AM171" s="28">
        <v>0.22500000000000001</v>
      </c>
      <c r="AN171" s="28">
        <v>12.201000000000001</v>
      </c>
      <c r="AO171" s="28">
        <v>1.7070000000000001</v>
      </c>
      <c r="AP171" s="156">
        <f t="shared" si="2"/>
        <v>99.46599999999998</v>
      </c>
    </row>
    <row r="172" spans="1:42" x14ac:dyDescent="0.2">
      <c r="A172" s="9" t="s">
        <v>747</v>
      </c>
      <c r="B172" s="9" t="s">
        <v>748</v>
      </c>
      <c r="C172" s="9" t="s">
        <v>81</v>
      </c>
      <c r="D172" s="9" t="s">
        <v>103</v>
      </c>
      <c r="E172" s="154">
        <v>278575.57652659679</v>
      </c>
      <c r="F172" s="154">
        <v>282333.2942380702</v>
      </c>
      <c r="G172" s="154">
        <v>6261.30335021685</v>
      </c>
      <c r="H172" s="154">
        <v>94124.885646002323</v>
      </c>
      <c r="I172" s="154">
        <v>4.0799346766562783</v>
      </c>
      <c r="J172" s="154">
        <v>897.20009056210779</v>
      </c>
      <c r="K172" s="154">
        <v>519290</v>
      </c>
      <c r="L172" s="154">
        <v>521497.37368586654</v>
      </c>
      <c r="M172" s="154">
        <v>0.41312533072156055</v>
      </c>
      <c r="N172" s="154" t="s">
        <v>421</v>
      </c>
      <c r="O172" s="154">
        <v>0.16219063672730843</v>
      </c>
      <c r="P172" s="154">
        <v>9.2544334206458476</v>
      </c>
      <c r="Q172" s="154">
        <v>12.066871044058738</v>
      </c>
      <c r="R172" s="154">
        <v>6787.9143957156284</v>
      </c>
      <c r="S172" s="154">
        <v>645.68168380743748</v>
      </c>
      <c r="T172" s="154">
        <v>5.2965316640178424</v>
      </c>
      <c r="U172" s="154">
        <v>5.5429221214400233</v>
      </c>
      <c r="V172" s="154" t="s">
        <v>421</v>
      </c>
      <c r="W172" s="154">
        <v>4.2645322280347235</v>
      </c>
      <c r="X172" s="154" t="s">
        <v>421</v>
      </c>
      <c r="Y172" s="154">
        <v>10.592297130682319</v>
      </c>
      <c r="Z172" s="154">
        <v>645.66367559977982</v>
      </c>
      <c r="AC172" s="28" t="s">
        <v>421</v>
      </c>
      <c r="AD172" s="9" t="s">
        <v>421</v>
      </c>
      <c r="AE172" s="9" t="s">
        <v>421</v>
      </c>
      <c r="AF172" s="28" t="s">
        <v>421</v>
      </c>
      <c r="AG172" s="28">
        <v>0.47</v>
      </c>
      <c r="AH172" s="28">
        <v>33.526000000000003</v>
      </c>
      <c r="AI172" s="28">
        <v>5.0000000000000001E-3</v>
      </c>
      <c r="AJ172" s="28">
        <v>0.114</v>
      </c>
      <c r="AK172" s="28" t="s">
        <v>421</v>
      </c>
      <c r="AL172" s="28">
        <v>51.929000000000002</v>
      </c>
      <c r="AM172" s="28">
        <v>6.3E-2</v>
      </c>
      <c r="AN172" s="28">
        <v>12.497999999999999</v>
      </c>
      <c r="AO172" s="28">
        <v>0.99299999999999999</v>
      </c>
      <c r="AP172" s="156">
        <f t="shared" si="2"/>
        <v>99.598000000000013</v>
      </c>
    </row>
    <row r="173" spans="1:42" x14ac:dyDescent="0.2">
      <c r="A173" s="9" t="s">
        <v>749</v>
      </c>
      <c r="B173" s="9" t="s">
        <v>750</v>
      </c>
      <c r="C173" s="9" t="s">
        <v>81</v>
      </c>
      <c r="D173" s="9" t="s">
        <v>104</v>
      </c>
      <c r="E173" s="154">
        <v>294640.78313421871</v>
      </c>
      <c r="F173" s="154">
        <v>290045.10421648441</v>
      </c>
      <c r="G173" s="154">
        <v>2005.4246650794373</v>
      </c>
      <c r="H173" s="154">
        <v>94870.42700963479</v>
      </c>
      <c r="I173" s="154">
        <v>0.67927026138878588</v>
      </c>
      <c r="J173" s="154">
        <v>599.7660109179908</v>
      </c>
      <c r="K173" s="154">
        <v>535060</v>
      </c>
      <c r="L173" s="154">
        <v>545887.50748360925</v>
      </c>
      <c r="M173" s="154">
        <v>18.623212196119816</v>
      </c>
      <c r="N173" s="154" t="s">
        <v>421</v>
      </c>
      <c r="O173" s="154" t="s">
        <v>421</v>
      </c>
      <c r="P173" s="154" t="s">
        <v>421</v>
      </c>
      <c r="Q173" s="154">
        <v>6.1412195453548941</v>
      </c>
      <c r="R173" s="154">
        <v>5489.514623150847</v>
      </c>
      <c r="S173" s="154">
        <v>143.14709453602711</v>
      </c>
      <c r="T173" s="154">
        <v>333.86068287667638</v>
      </c>
      <c r="U173" s="154">
        <v>336.09411530805102</v>
      </c>
      <c r="V173" s="154">
        <v>9.9392811080662141E-2</v>
      </c>
      <c r="W173" s="154">
        <v>5.9547945173154622</v>
      </c>
      <c r="X173" s="154" t="s">
        <v>421</v>
      </c>
      <c r="Y173" s="154">
        <v>0.66545458363496723</v>
      </c>
      <c r="Z173" s="154">
        <v>142.01196821424642</v>
      </c>
      <c r="AC173" s="28" t="s">
        <v>421</v>
      </c>
      <c r="AD173" s="9" t="s">
        <v>421</v>
      </c>
      <c r="AE173" s="9" t="s">
        <v>421</v>
      </c>
      <c r="AF173" s="28" t="s">
        <v>421</v>
      </c>
      <c r="AG173" s="28">
        <v>0.40400000000000003</v>
      </c>
      <c r="AH173" s="28">
        <v>33.265999999999998</v>
      </c>
      <c r="AI173" s="28">
        <v>3.0000000000000001E-3</v>
      </c>
      <c r="AJ173" s="28" t="s">
        <v>421</v>
      </c>
      <c r="AK173" s="28">
        <v>2E-3</v>
      </c>
      <c r="AL173" s="28">
        <v>53.506</v>
      </c>
      <c r="AM173" s="28">
        <v>1.7999999999999999E-2</v>
      </c>
      <c r="AN173" s="28">
        <v>12.002000000000001</v>
      </c>
      <c r="AO173" s="28">
        <v>0.33900000000000002</v>
      </c>
      <c r="AP173" s="156">
        <f t="shared" si="2"/>
        <v>99.54</v>
      </c>
    </row>
    <row r="174" spans="1:42" x14ac:dyDescent="0.2">
      <c r="A174" s="9" t="s">
        <v>751</v>
      </c>
      <c r="B174" s="9" t="s">
        <v>752</v>
      </c>
      <c r="C174" s="9" t="s">
        <v>81</v>
      </c>
      <c r="D174" s="9" t="s">
        <v>104</v>
      </c>
      <c r="E174" s="154">
        <v>295996.82188499346</v>
      </c>
      <c r="F174" s="154">
        <v>291754.34256988129</v>
      </c>
      <c r="G174" s="154">
        <v>2166.7552179236573</v>
      </c>
      <c r="H174" s="154">
        <v>92290.494430692052</v>
      </c>
      <c r="I174" s="154">
        <v>1.0964526067129088</v>
      </c>
      <c r="J174" s="154">
        <v>670.33486539541138</v>
      </c>
      <c r="K174" s="154">
        <v>535770</v>
      </c>
      <c r="L174" s="154">
        <v>538271.88724808337</v>
      </c>
      <c r="M174" s="154">
        <v>17.606539813226348</v>
      </c>
      <c r="N174" s="154">
        <v>0.35754441066225762</v>
      </c>
      <c r="O174" s="154" t="s">
        <v>421</v>
      </c>
      <c r="P174" s="154" t="s">
        <v>421</v>
      </c>
      <c r="Q174" s="154">
        <v>6.8559040475031088</v>
      </c>
      <c r="R174" s="154">
        <v>5699.6587104068667</v>
      </c>
      <c r="S174" s="154">
        <v>228.42604333321805</v>
      </c>
      <c r="T174" s="154">
        <v>304.62038663240844</v>
      </c>
      <c r="U174" s="154">
        <v>316.87001056087342</v>
      </c>
      <c r="V174" s="154">
        <v>6.5039005097160596E-2</v>
      </c>
      <c r="W174" s="154">
        <v>6.144949429206747</v>
      </c>
      <c r="X174" s="154" t="s">
        <v>421</v>
      </c>
      <c r="Y174" s="154">
        <v>1.365372257926019</v>
      </c>
      <c r="Z174" s="154">
        <v>227.39033401866786</v>
      </c>
      <c r="AC174" s="28" t="s">
        <v>421</v>
      </c>
      <c r="AD174" s="9" t="s">
        <v>421</v>
      </c>
      <c r="AE174" s="9" t="s">
        <v>421</v>
      </c>
      <c r="AF174" s="28" t="s">
        <v>421</v>
      </c>
      <c r="AG174" s="28">
        <v>0.34399999999999997</v>
      </c>
      <c r="AH174" s="28">
        <v>33.387</v>
      </c>
      <c r="AI174" s="28">
        <v>1.4E-2</v>
      </c>
      <c r="AJ174" s="28">
        <v>1.4999999999999999E-2</v>
      </c>
      <c r="AK174" s="28" t="s">
        <v>421</v>
      </c>
      <c r="AL174" s="28">
        <v>53.576999999999998</v>
      </c>
      <c r="AM174" s="28">
        <v>2.8000000000000001E-2</v>
      </c>
      <c r="AN174" s="28">
        <v>11.869</v>
      </c>
      <c r="AO174" s="28">
        <v>0.35299999999999998</v>
      </c>
      <c r="AP174" s="156">
        <f t="shared" si="2"/>
        <v>99.587000000000003</v>
      </c>
    </row>
    <row r="175" spans="1:42" x14ac:dyDescent="0.2">
      <c r="A175" s="9" t="s">
        <v>753</v>
      </c>
      <c r="B175" s="9" t="s">
        <v>754</v>
      </c>
      <c r="C175" s="9" t="s">
        <v>81</v>
      </c>
      <c r="D175" s="9" t="s">
        <v>104</v>
      </c>
      <c r="E175" s="154">
        <v>289892.76564821677</v>
      </c>
      <c r="F175" s="154">
        <v>292779.02124094794</v>
      </c>
      <c r="G175" s="154">
        <v>1915.2786051661151</v>
      </c>
      <c r="H175" s="154">
        <v>96373.195722130244</v>
      </c>
      <c r="I175" s="154">
        <v>0.14074073815734561</v>
      </c>
      <c r="J175" s="154">
        <v>1797.9625423981854</v>
      </c>
      <c r="K175" s="154">
        <v>525830</v>
      </c>
      <c r="L175" s="154">
        <v>531245.63095696201</v>
      </c>
      <c r="M175" s="154">
        <v>19.707521283059783</v>
      </c>
      <c r="N175" s="154">
        <v>0.32409516368290814</v>
      </c>
      <c r="O175" s="154" t="s">
        <v>421</v>
      </c>
      <c r="P175" s="154" t="s">
        <v>421</v>
      </c>
      <c r="Q175" s="154">
        <v>22.393126357587235</v>
      </c>
      <c r="R175" s="154">
        <v>5402.0280496753476</v>
      </c>
      <c r="S175" s="154">
        <v>32.852608529001962</v>
      </c>
      <c r="T175" s="154">
        <v>1456.1769677322625</v>
      </c>
      <c r="U175" s="154">
        <v>1879.6637345323213</v>
      </c>
      <c r="V175" s="154" t="s">
        <v>421</v>
      </c>
      <c r="W175" s="154">
        <v>3.5619285288568356</v>
      </c>
      <c r="X175" s="154" t="s">
        <v>421</v>
      </c>
      <c r="Y175" s="154">
        <v>0.2144192659950338</v>
      </c>
      <c r="Z175" s="154">
        <v>27.901606838712269</v>
      </c>
      <c r="AC175" s="28" t="s">
        <v>421</v>
      </c>
      <c r="AD175" s="9" t="s">
        <v>421</v>
      </c>
      <c r="AE175" s="9" t="s">
        <v>421</v>
      </c>
      <c r="AF175" s="28" t="s">
        <v>421</v>
      </c>
      <c r="AG175" s="28">
        <v>0.33900000000000002</v>
      </c>
      <c r="AH175" s="28">
        <v>33.417999999999999</v>
      </c>
      <c r="AI175" s="28">
        <v>9.5000000000000001E-2</v>
      </c>
      <c r="AJ175" s="28" t="s">
        <v>421</v>
      </c>
      <c r="AK175" s="28" t="s">
        <v>421</v>
      </c>
      <c r="AL175" s="28">
        <v>52.582999999999998</v>
      </c>
      <c r="AM175" s="28">
        <v>0.112</v>
      </c>
      <c r="AN175" s="28">
        <v>12.442</v>
      </c>
      <c r="AO175" s="28">
        <v>0.311</v>
      </c>
      <c r="AP175" s="156">
        <f t="shared" si="2"/>
        <v>99.300000000000011</v>
      </c>
    </row>
    <row r="176" spans="1:42" x14ac:dyDescent="0.2">
      <c r="A176" s="9" t="s">
        <v>755</v>
      </c>
      <c r="B176" s="9" t="s">
        <v>756</v>
      </c>
      <c r="C176" s="9" t="s">
        <v>81</v>
      </c>
      <c r="D176" s="9" t="s">
        <v>104</v>
      </c>
      <c r="E176" s="154">
        <v>292020.75279713928</v>
      </c>
      <c r="F176" s="154">
        <v>288872.50864389731</v>
      </c>
      <c r="G176" s="154">
        <v>2270.9890449797085</v>
      </c>
      <c r="H176" s="154">
        <v>96955.932419282355</v>
      </c>
      <c r="I176" s="154">
        <v>2.5189060649736126</v>
      </c>
      <c r="J176" s="154">
        <v>2536.938932136964</v>
      </c>
      <c r="K176" s="154">
        <v>522520</v>
      </c>
      <c r="L176" s="154">
        <v>523651.0212657635</v>
      </c>
      <c r="M176" s="154">
        <v>16.962195948213846</v>
      </c>
      <c r="N176" s="154">
        <v>0.31365989516307746</v>
      </c>
      <c r="O176" s="154">
        <v>0.15898686624274269</v>
      </c>
      <c r="P176" s="154" t="s">
        <v>421</v>
      </c>
      <c r="Q176" s="154">
        <v>58.600165123500055</v>
      </c>
      <c r="R176" s="154">
        <v>5340.0599259443261</v>
      </c>
      <c r="S176" s="154">
        <v>75.894668106070725</v>
      </c>
      <c r="T176" s="154">
        <v>1444.427966453851</v>
      </c>
      <c r="U176" s="154">
        <v>1989.4992662053248</v>
      </c>
      <c r="V176" s="154">
        <v>5.178880835492513E-2</v>
      </c>
      <c r="W176" s="154">
        <v>2.3185952129422529</v>
      </c>
      <c r="X176" s="154" t="s">
        <v>421</v>
      </c>
      <c r="Y176" s="154">
        <v>0.15103472019955977</v>
      </c>
      <c r="Z176" s="154">
        <v>70.983613020127635</v>
      </c>
      <c r="AC176" s="28" t="s">
        <v>421</v>
      </c>
      <c r="AD176" s="9" t="s">
        <v>421</v>
      </c>
      <c r="AE176" s="9" t="s">
        <v>421</v>
      </c>
      <c r="AF176" s="28" t="s">
        <v>421</v>
      </c>
      <c r="AG176" s="28">
        <v>0.34100000000000003</v>
      </c>
      <c r="AH176" s="28">
        <v>33.273000000000003</v>
      </c>
      <c r="AI176" s="28">
        <v>0.20599999999999999</v>
      </c>
      <c r="AJ176" s="28" t="s">
        <v>421</v>
      </c>
      <c r="AK176" s="28" t="s">
        <v>421</v>
      </c>
      <c r="AL176" s="28">
        <v>52.252000000000002</v>
      </c>
      <c r="AM176" s="28">
        <v>0.247</v>
      </c>
      <c r="AN176" s="28">
        <v>12.443</v>
      </c>
      <c r="AO176" s="28">
        <v>0.36599999999999999</v>
      </c>
      <c r="AP176" s="156">
        <f t="shared" si="2"/>
        <v>99.128</v>
      </c>
    </row>
    <row r="177" spans="1:42" x14ac:dyDescent="0.2">
      <c r="A177" s="9" t="s">
        <v>757</v>
      </c>
      <c r="B177" s="9" t="s">
        <v>758</v>
      </c>
      <c r="C177" s="9" t="s">
        <v>81</v>
      </c>
      <c r="D177" s="9" t="s">
        <v>104</v>
      </c>
      <c r="E177" s="154">
        <v>284731.71658692928</v>
      </c>
      <c r="F177" s="154">
        <v>285456.92600334331</v>
      </c>
      <c r="G177" s="154">
        <v>1682.5635102115514</v>
      </c>
      <c r="H177" s="154">
        <v>96994.509097815157</v>
      </c>
      <c r="I177" s="154">
        <v>0.20203353754369976</v>
      </c>
      <c r="J177" s="154">
        <v>2411.381534058758</v>
      </c>
      <c r="K177" s="154">
        <v>524610</v>
      </c>
      <c r="L177" s="154">
        <v>526990.44392726046</v>
      </c>
      <c r="M177" s="154">
        <v>18.214608444298264</v>
      </c>
      <c r="N177" s="154">
        <v>0.26599261154048859</v>
      </c>
      <c r="O177" s="154" t="s">
        <v>421</v>
      </c>
      <c r="P177" s="154">
        <v>0.91196235184329111</v>
      </c>
      <c r="Q177" s="154">
        <v>38.015802114258427</v>
      </c>
      <c r="R177" s="154">
        <v>5327.8890510900101</v>
      </c>
      <c r="S177" s="154">
        <v>20.233388612968511</v>
      </c>
      <c r="T177" s="154">
        <v>1462.0902213860702</v>
      </c>
      <c r="U177" s="154">
        <v>1913.00773626875</v>
      </c>
      <c r="V177" s="154">
        <v>4.852912779540184E-2</v>
      </c>
      <c r="W177" s="154">
        <v>4.0376999096962587</v>
      </c>
      <c r="X177" s="154" t="s">
        <v>421</v>
      </c>
      <c r="Y177" s="154">
        <v>0.20794820362307356</v>
      </c>
      <c r="Z177" s="154">
        <v>15.262281860255872</v>
      </c>
      <c r="AC177" s="28" t="s">
        <v>421</v>
      </c>
      <c r="AD177" s="9" t="s">
        <v>421</v>
      </c>
      <c r="AE177" s="9" t="s">
        <v>421</v>
      </c>
      <c r="AF177" s="28" t="s">
        <v>421</v>
      </c>
      <c r="AG177" s="28">
        <v>0.33700000000000002</v>
      </c>
      <c r="AH177" s="28">
        <v>33.613</v>
      </c>
      <c r="AI177" s="28">
        <v>0.253</v>
      </c>
      <c r="AJ177" s="28" t="s">
        <v>421</v>
      </c>
      <c r="AK177" s="28">
        <v>2E-3</v>
      </c>
      <c r="AL177" s="28">
        <v>52.460999999999999</v>
      </c>
      <c r="AM177" s="28">
        <v>0.254</v>
      </c>
      <c r="AN177" s="28">
        <v>12.526</v>
      </c>
      <c r="AO177" s="28">
        <v>0.28399999999999997</v>
      </c>
      <c r="AP177" s="156">
        <f t="shared" si="2"/>
        <v>99.73</v>
      </c>
    </row>
    <row r="178" spans="1:42" x14ac:dyDescent="0.2">
      <c r="A178" s="9" t="s">
        <v>759</v>
      </c>
      <c r="B178" s="9" t="s">
        <v>760</v>
      </c>
      <c r="C178" s="9" t="s">
        <v>81</v>
      </c>
      <c r="D178" s="9" t="s">
        <v>104</v>
      </c>
      <c r="E178" s="154">
        <v>283424.77105109429</v>
      </c>
      <c r="F178" s="154">
        <v>283931.56304447318</v>
      </c>
      <c r="G178" s="154">
        <v>1929.792649554232</v>
      </c>
      <c r="H178" s="154">
        <v>99429.879880037392</v>
      </c>
      <c r="I178" s="154">
        <v>0.5591324089025248</v>
      </c>
      <c r="J178" s="154">
        <v>336.73867663502608</v>
      </c>
      <c r="K178" s="154">
        <v>522800</v>
      </c>
      <c r="L178" s="154">
        <v>523748.76781678735</v>
      </c>
      <c r="M178" s="154">
        <v>17.603993524565929</v>
      </c>
      <c r="N178" s="154" t="s">
        <v>421</v>
      </c>
      <c r="O178" s="154" t="s">
        <v>421</v>
      </c>
      <c r="P178" s="154" t="s">
        <v>421</v>
      </c>
      <c r="Q178" s="154">
        <v>3.0892521102581765</v>
      </c>
      <c r="R178" s="154">
        <v>4920.7431481009598</v>
      </c>
      <c r="S178" s="154">
        <v>83.105705184214642</v>
      </c>
      <c r="T178" s="154">
        <v>187.62393165085874</v>
      </c>
      <c r="U178" s="154">
        <v>195.68499213346834</v>
      </c>
      <c r="V178" s="154">
        <v>4.808396968171276E-2</v>
      </c>
      <c r="W178" s="154">
        <v>4.4616664884575057</v>
      </c>
      <c r="X178" s="154" t="s">
        <v>421</v>
      </c>
      <c r="Y178" s="154">
        <v>0.1073917357132947</v>
      </c>
      <c r="Z178" s="154">
        <v>82.467783816601724</v>
      </c>
      <c r="AC178" s="28" t="s">
        <v>421</v>
      </c>
      <c r="AD178" s="9" t="s">
        <v>421</v>
      </c>
      <c r="AE178" s="9" t="s">
        <v>421</v>
      </c>
      <c r="AF178" s="28" t="s">
        <v>421</v>
      </c>
      <c r="AG178" s="28">
        <v>0.27500000000000002</v>
      </c>
      <c r="AH178" s="28">
        <v>33.433</v>
      </c>
      <c r="AI178" s="28">
        <v>5.3999999999999999E-2</v>
      </c>
      <c r="AJ178" s="28" t="s">
        <v>421</v>
      </c>
      <c r="AK178" s="28" t="s">
        <v>421</v>
      </c>
      <c r="AL178" s="28">
        <v>52.28</v>
      </c>
      <c r="AM178" s="28">
        <v>4.5999999999999999E-2</v>
      </c>
      <c r="AN178" s="28">
        <v>13.003</v>
      </c>
      <c r="AO178" s="28">
        <v>0.32500000000000001</v>
      </c>
      <c r="AP178" s="156">
        <f t="shared" si="2"/>
        <v>99.416000000000011</v>
      </c>
    </row>
    <row r="179" spans="1:42" x14ac:dyDescent="0.2">
      <c r="A179" s="9" t="s">
        <v>761</v>
      </c>
      <c r="B179" s="9" t="s">
        <v>762</v>
      </c>
      <c r="C179" s="9" t="s">
        <v>81</v>
      </c>
      <c r="D179" s="9" t="s">
        <v>104</v>
      </c>
      <c r="E179" s="154">
        <v>269253.36575786863</v>
      </c>
      <c r="F179" s="154">
        <v>271705.9562731483</v>
      </c>
      <c r="G179" s="154">
        <v>1218.2026734982821</v>
      </c>
      <c r="H179" s="154">
        <v>91659.880143855189</v>
      </c>
      <c r="I179" s="154">
        <v>0.17673716004755691</v>
      </c>
      <c r="J179" s="154">
        <v>3068.7116312651538</v>
      </c>
      <c r="K179" s="154">
        <v>487410</v>
      </c>
      <c r="L179" s="154">
        <v>486793.30167267</v>
      </c>
      <c r="M179" s="154">
        <v>19.309976498872757</v>
      </c>
      <c r="N179" s="154" t="s">
        <v>421</v>
      </c>
      <c r="O179" s="154" t="s">
        <v>421</v>
      </c>
      <c r="P179" s="154" t="s">
        <v>421</v>
      </c>
      <c r="Q179" s="154">
        <v>54.22190554502982</v>
      </c>
      <c r="R179" s="154">
        <v>5272.9376189839204</v>
      </c>
      <c r="S179" s="154">
        <v>86.732359000694245</v>
      </c>
      <c r="T179" s="154">
        <v>2433.1926414491113</v>
      </c>
      <c r="U179" s="154">
        <v>3547.6419834979138</v>
      </c>
      <c r="V179" s="154">
        <v>3.8121976938310493</v>
      </c>
      <c r="W179" s="154">
        <v>3.7208118638310754</v>
      </c>
      <c r="X179" s="154" t="s">
        <v>421</v>
      </c>
      <c r="Y179" s="154">
        <v>0.38387159211288124</v>
      </c>
      <c r="Z179" s="154">
        <v>78.459504019767266</v>
      </c>
      <c r="AC179" s="28" t="s">
        <v>421</v>
      </c>
      <c r="AD179" s="9" t="s">
        <v>421</v>
      </c>
      <c r="AE179" s="9" t="s">
        <v>421</v>
      </c>
      <c r="AF179" s="28" t="s">
        <v>421</v>
      </c>
      <c r="AG179" s="28">
        <v>0.32800000000000001</v>
      </c>
      <c r="AH179" s="28">
        <v>33.073999999999998</v>
      </c>
      <c r="AI179" s="28">
        <v>2.3860000000000001</v>
      </c>
      <c r="AJ179" s="28" t="s">
        <v>421</v>
      </c>
      <c r="AK179" s="28">
        <v>6.6000000000000003E-2</v>
      </c>
      <c r="AL179" s="28">
        <v>48.741</v>
      </c>
      <c r="AM179" s="28">
        <v>2.5270000000000001</v>
      </c>
      <c r="AN179" s="28">
        <v>12.579000000000001</v>
      </c>
      <c r="AO179" s="28">
        <v>0.19700000000000001</v>
      </c>
      <c r="AP179" s="156">
        <f t="shared" si="2"/>
        <v>99.897999999999996</v>
      </c>
    </row>
    <row r="180" spans="1:42" x14ac:dyDescent="0.2">
      <c r="A180" s="9" t="s">
        <v>763</v>
      </c>
      <c r="B180" s="9" t="s">
        <v>764</v>
      </c>
      <c r="C180" s="9" t="s">
        <v>81</v>
      </c>
      <c r="D180" s="9" t="s">
        <v>105</v>
      </c>
      <c r="E180" s="154">
        <v>289844.79592130583</v>
      </c>
      <c r="F180" s="154">
        <v>291033.23681573506</v>
      </c>
      <c r="G180" s="154">
        <v>1483.1295576076304</v>
      </c>
      <c r="H180" s="154">
        <v>108278.58388376169</v>
      </c>
      <c r="I180" s="154">
        <v>33.702409842799632</v>
      </c>
      <c r="J180" s="154">
        <v>390.18825642951452</v>
      </c>
      <c r="K180" s="154">
        <v>518060</v>
      </c>
      <c r="L180" s="154">
        <v>523675.9449392531</v>
      </c>
      <c r="M180" s="154">
        <v>1.7825552047836832</v>
      </c>
      <c r="N180" s="154" t="s">
        <v>421</v>
      </c>
      <c r="O180" s="154" t="s">
        <v>421</v>
      </c>
      <c r="P180" s="154">
        <v>3.070236751398864</v>
      </c>
      <c r="Q180" s="154">
        <v>2.3794027823066188</v>
      </c>
      <c r="R180" s="154">
        <v>5374.8447767443522</v>
      </c>
      <c r="S180" s="154">
        <v>366.56015212083474</v>
      </c>
      <c r="T180" s="154">
        <v>4.0736298453830777</v>
      </c>
      <c r="U180" s="154">
        <v>4.3828925558302423</v>
      </c>
      <c r="V180" s="154">
        <v>5.5499390001816529E-2</v>
      </c>
      <c r="W180" s="154">
        <v>5.6015103384613578</v>
      </c>
      <c r="X180" s="154" t="s">
        <v>421</v>
      </c>
      <c r="Y180" s="154">
        <v>3.7537909784057778E-2</v>
      </c>
      <c r="Z180" s="154">
        <v>366.54630177936042</v>
      </c>
      <c r="AC180" s="28" t="s">
        <v>421</v>
      </c>
      <c r="AD180" s="9" t="s">
        <v>421</v>
      </c>
      <c r="AE180" s="9" t="s">
        <v>421</v>
      </c>
      <c r="AF180" s="28" t="s">
        <v>421</v>
      </c>
      <c r="AG180" s="28">
        <v>0.28799999999999998</v>
      </c>
      <c r="AH180" s="28">
        <v>33.456000000000003</v>
      </c>
      <c r="AI180" s="28">
        <v>2E-3</v>
      </c>
      <c r="AJ180" s="28">
        <v>3.5000000000000003E-2</v>
      </c>
      <c r="AK180" s="28" t="s">
        <v>421</v>
      </c>
      <c r="AL180" s="28">
        <v>51.805999999999997</v>
      </c>
      <c r="AM180" s="28">
        <v>1.7000000000000001E-2</v>
      </c>
      <c r="AN180" s="28">
        <v>13.489000000000001</v>
      </c>
      <c r="AO180" s="28">
        <v>0.246</v>
      </c>
      <c r="AP180" s="156">
        <f t="shared" si="2"/>
        <v>99.338999999999984</v>
      </c>
    </row>
    <row r="181" spans="1:42" x14ac:dyDescent="0.2">
      <c r="A181" s="9" t="s">
        <v>765</v>
      </c>
      <c r="B181" s="9" t="s">
        <v>766</v>
      </c>
      <c r="C181" s="9" t="s">
        <v>81</v>
      </c>
      <c r="D181" s="9" t="s">
        <v>105</v>
      </c>
      <c r="E181" s="154">
        <v>290121.56466005655</v>
      </c>
      <c r="F181" s="154">
        <v>294343.49560061004</v>
      </c>
      <c r="G181" s="154">
        <v>1256.0550024779661</v>
      </c>
      <c r="H181" s="154">
        <v>103628.66622334052</v>
      </c>
      <c r="I181" s="154">
        <v>8.4417307012684031</v>
      </c>
      <c r="J181" s="154">
        <v>1532.1580112421134</v>
      </c>
      <c r="K181" s="154">
        <v>517360</v>
      </c>
      <c r="L181" s="154">
        <v>526138.33690294274</v>
      </c>
      <c r="M181" s="154">
        <v>10.588339867182182</v>
      </c>
      <c r="N181" s="154" t="s">
        <v>421</v>
      </c>
      <c r="O181" s="154">
        <v>0.14008890309929561</v>
      </c>
      <c r="P181" s="154">
        <v>1.6647577147720147</v>
      </c>
      <c r="Q181" s="154">
        <v>22.603655255880785</v>
      </c>
      <c r="R181" s="154">
        <v>5488.5368210341921</v>
      </c>
      <c r="S181" s="154">
        <v>557.28632462441794</v>
      </c>
      <c r="T181" s="154">
        <v>649.70686287141518</v>
      </c>
      <c r="U181" s="154">
        <v>642.37810838796122</v>
      </c>
      <c r="V181" s="154">
        <v>4.3167153330984427E-2</v>
      </c>
      <c r="W181" s="154">
        <v>3.3279643881656384</v>
      </c>
      <c r="X181" s="154" t="s">
        <v>421</v>
      </c>
      <c r="Y181" s="154">
        <v>5.3843585114834641E-2</v>
      </c>
      <c r="Z181" s="154">
        <v>555.07732129065516</v>
      </c>
      <c r="AC181" s="28" t="s">
        <v>421</v>
      </c>
      <c r="AD181" s="9" t="s">
        <v>421</v>
      </c>
      <c r="AE181" s="9" t="s">
        <v>421</v>
      </c>
      <c r="AF181" s="28" t="s">
        <v>421</v>
      </c>
      <c r="AG181" s="28">
        <v>0.52400000000000002</v>
      </c>
      <c r="AH181" s="28">
        <v>33.018999999999998</v>
      </c>
      <c r="AI181" s="28">
        <v>1.0999999999999999E-2</v>
      </c>
      <c r="AJ181" s="28">
        <v>0.13100000000000001</v>
      </c>
      <c r="AK181" s="28">
        <v>4.0000000000000001E-3</v>
      </c>
      <c r="AL181" s="28">
        <v>51.735999999999997</v>
      </c>
      <c r="AM181" s="28">
        <v>9.7000000000000003E-2</v>
      </c>
      <c r="AN181" s="28">
        <v>13.497</v>
      </c>
      <c r="AO181" s="28">
        <v>0.217</v>
      </c>
      <c r="AP181" s="156">
        <f t="shared" si="2"/>
        <v>99.23599999999999</v>
      </c>
    </row>
    <row r="182" spans="1:42" x14ac:dyDescent="0.2">
      <c r="A182" s="9" t="s">
        <v>767</v>
      </c>
      <c r="B182" s="9" t="s">
        <v>768</v>
      </c>
      <c r="C182" s="9" t="s">
        <v>81</v>
      </c>
      <c r="D182" s="9" t="s">
        <v>105</v>
      </c>
      <c r="E182" s="154">
        <v>286321.83883953473</v>
      </c>
      <c r="F182" s="154">
        <v>288939.51235071657</v>
      </c>
      <c r="G182" s="154">
        <v>3087.8188866492756</v>
      </c>
      <c r="H182" s="154">
        <v>102765.68059604544</v>
      </c>
      <c r="I182" s="154">
        <v>34.287929320869601</v>
      </c>
      <c r="J182" s="154">
        <v>677.40131777966212</v>
      </c>
      <c r="K182" s="154">
        <v>518130</v>
      </c>
      <c r="L182" s="154">
        <v>520896.76089417201</v>
      </c>
      <c r="M182" s="154">
        <v>1.7727722679929643</v>
      </c>
      <c r="N182" s="154" t="s">
        <v>421</v>
      </c>
      <c r="O182" s="154">
        <v>0.16096855976234412</v>
      </c>
      <c r="P182" s="154">
        <v>1.8169158576392788</v>
      </c>
      <c r="Q182" s="154">
        <v>8.1621765866171163</v>
      </c>
      <c r="R182" s="154">
        <v>6174.6850605804966</v>
      </c>
      <c r="S182" s="154">
        <v>472.53453787609033</v>
      </c>
      <c r="T182" s="154">
        <v>8.4497732468804294</v>
      </c>
      <c r="U182" s="154">
        <v>8.9052286922366566</v>
      </c>
      <c r="V182" s="154">
        <v>4.8869100606460242E-2</v>
      </c>
      <c r="W182" s="154">
        <v>3.2351747763231375</v>
      </c>
      <c r="X182" s="154" t="s">
        <v>421</v>
      </c>
      <c r="Y182" s="154">
        <v>0.13414953162798018</v>
      </c>
      <c r="Z182" s="154">
        <v>472.50580864705091</v>
      </c>
      <c r="AC182" s="28" t="s">
        <v>421</v>
      </c>
      <c r="AD182" s="9" t="s">
        <v>421</v>
      </c>
      <c r="AE182" s="9" t="s">
        <v>421</v>
      </c>
      <c r="AF182" s="28" t="s">
        <v>421</v>
      </c>
      <c r="AG182" s="28">
        <v>0.42399999999999999</v>
      </c>
      <c r="AH182" s="28">
        <v>33.286999999999999</v>
      </c>
      <c r="AI182" s="28" t="s">
        <v>421</v>
      </c>
      <c r="AJ182" s="28">
        <v>7.2999999999999995E-2</v>
      </c>
      <c r="AK182" s="28" t="s">
        <v>421</v>
      </c>
      <c r="AL182" s="28">
        <v>51.813000000000002</v>
      </c>
      <c r="AM182" s="28">
        <v>6.2E-2</v>
      </c>
      <c r="AN182" s="28">
        <v>13.378</v>
      </c>
      <c r="AO182" s="28">
        <v>0.45400000000000001</v>
      </c>
      <c r="AP182" s="156">
        <f t="shared" si="2"/>
        <v>99.491</v>
      </c>
    </row>
    <row r="183" spans="1:42" x14ac:dyDescent="0.2">
      <c r="A183" s="9" t="s">
        <v>769</v>
      </c>
      <c r="B183" s="9" t="s">
        <v>770</v>
      </c>
      <c r="C183" s="9" t="s">
        <v>81</v>
      </c>
      <c r="D183" s="9" t="s">
        <v>105</v>
      </c>
      <c r="E183" s="154">
        <v>286812.45958415355</v>
      </c>
      <c r="F183" s="154">
        <v>285915.57728890993</v>
      </c>
      <c r="G183" s="154">
        <v>1204.8134863529283</v>
      </c>
      <c r="H183" s="154">
        <v>102526.015982857</v>
      </c>
      <c r="I183" s="154">
        <v>27.779968156476883</v>
      </c>
      <c r="J183" s="154">
        <v>711.06469487733989</v>
      </c>
      <c r="K183" s="154">
        <v>522849.99999999994</v>
      </c>
      <c r="L183" s="154">
        <v>520393.30439507304</v>
      </c>
      <c r="M183" s="154">
        <v>4.1688739412816425</v>
      </c>
      <c r="N183" s="154" t="s">
        <v>421</v>
      </c>
      <c r="O183" s="154">
        <v>0.15969507468306607</v>
      </c>
      <c r="P183" s="154">
        <v>1.8594446800512543</v>
      </c>
      <c r="Q183" s="154">
        <v>7.289246730048343</v>
      </c>
      <c r="R183" s="154">
        <v>6564.242045687467</v>
      </c>
      <c r="S183" s="154">
        <v>453.7069047700611</v>
      </c>
      <c r="T183" s="154">
        <v>56.53657536208469</v>
      </c>
      <c r="U183" s="154">
        <v>56.579031264984401</v>
      </c>
      <c r="V183" s="154" t="s">
        <v>421</v>
      </c>
      <c r="W183" s="154">
        <v>2.0297030409751322</v>
      </c>
      <c r="X183" s="154" t="s">
        <v>421</v>
      </c>
      <c r="Y183" s="154">
        <v>2.9278946215205565E-2</v>
      </c>
      <c r="Z183" s="154">
        <v>453.51468041383004</v>
      </c>
      <c r="AC183" s="28" t="s">
        <v>421</v>
      </c>
      <c r="AD183" s="9" t="s">
        <v>421</v>
      </c>
      <c r="AE183" s="9" t="s">
        <v>421</v>
      </c>
      <c r="AF183" s="28" t="s">
        <v>421</v>
      </c>
      <c r="AG183" s="28">
        <v>0.47699999999999998</v>
      </c>
      <c r="AH183" s="28">
        <v>33.587000000000003</v>
      </c>
      <c r="AI183" s="28">
        <v>1.7999999999999999E-2</v>
      </c>
      <c r="AJ183" s="28">
        <v>9.2999999999999999E-2</v>
      </c>
      <c r="AK183" s="28" t="s">
        <v>421</v>
      </c>
      <c r="AL183" s="28">
        <v>52.284999999999997</v>
      </c>
      <c r="AM183" s="28">
        <v>0.08</v>
      </c>
      <c r="AN183" s="28">
        <v>13.23</v>
      </c>
      <c r="AO183" s="28">
        <v>0.20399999999999999</v>
      </c>
      <c r="AP183" s="156">
        <f t="shared" si="2"/>
        <v>99.974000000000004</v>
      </c>
    </row>
    <row r="184" spans="1:42" x14ac:dyDescent="0.2">
      <c r="A184" s="9" t="s">
        <v>771</v>
      </c>
      <c r="B184" s="9" t="s">
        <v>772</v>
      </c>
      <c r="C184" s="9" t="s">
        <v>81</v>
      </c>
      <c r="D184" s="9" t="s">
        <v>105</v>
      </c>
      <c r="E184" s="154">
        <v>290351.09533332603</v>
      </c>
      <c r="F184" s="154">
        <v>289589.33364214562</v>
      </c>
      <c r="G184" s="154">
        <v>1947.66924638464</v>
      </c>
      <c r="H184" s="154">
        <v>101671.39710812227</v>
      </c>
      <c r="I184" s="154">
        <v>27.353054275943112</v>
      </c>
      <c r="J184" s="154">
        <v>586.59752735835377</v>
      </c>
      <c r="K184" s="154">
        <v>518910</v>
      </c>
      <c r="L184" s="154">
        <v>524784.72244374664</v>
      </c>
      <c r="M184" s="154">
        <v>2.5282241656635107</v>
      </c>
      <c r="N184" s="154" t="s">
        <v>421</v>
      </c>
      <c r="O184" s="154">
        <v>0.15759778256006718</v>
      </c>
      <c r="P184" s="154">
        <v>1.9215785596272927</v>
      </c>
      <c r="Q184" s="154">
        <v>8.0692637886157765</v>
      </c>
      <c r="R184" s="154">
        <v>6338.1798563173788</v>
      </c>
      <c r="S184" s="154">
        <v>426.6332417575295</v>
      </c>
      <c r="T184" s="154">
        <v>12.278958077053668</v>
      </c>
      <c r="U184" s="154">
        <v>12.310876429174698</v>
      </c>
      <c r="V184" s="154" t="s">
        <v>421</v>
      </c>
      <c r="W184" s="154">
        <v>3.5146815965711151</v>
      </c>
      <c r="X184" s="154" t="s">
        <v>421</v>
      </c>
      <c r="Y184" s="154">
        <v>2.9816820622501114E-2</v>
      </c>
      <c r="Z184" s="154">
        <v>426.5914933000675</v>
      </c>
      <c r="AC184" s="28" t="s">
        <v>421</v>
      </c>
      <c r="AD184" s="9" t="s">
        <v>421</v>
      </c>
      <c r="AE184" s="9" t="s">
        <v>421</v>
      </c>
      <c r="AF184" s="28" t="s">
        <v>421</v>
      </c>
      <c r="AG184" s="28">
        <v>0.42</v>
      </c>
      <c r="AH184" s="28">
        <v>33.072000000000003</v>
      </c>
      <c r="AI184" s="28" t="s">
        <v>421</v>
      </c>
      <c r="AJ184" s="28">
        <v>6.8000000000000005E-2</v>
      </c>
      <c r="AK184" s="28" t="s">
        <v>421</v>
      </c>
      <c r="AL184" s="28">
        <v>51.890999999999998</v>
      </c>
      <c r="AM184" s="28">
        <v>0.03</v>
      </c>
      <c r="AN184" s="28">
        <v>13.262</v>
      </c>
      <c r="AO184" s="28">
        <v>0.33</v>
      </c>
      <c r="AP184" s="156">
        <f t="shared" si="2"/>
        <v>99.072999999999993</v>
      </c>
    </row>
    <row r="185" spans="1:42" x14ac:dyDescent="0.2">
      <c r="A185" s="9" t="s">
        <v>773</v>
      </c>
      <c r="B185" s="9" t="s">
        <v>774</v>
      </c>
      <c r="C185" s="9" t="s">
        <v>81</v>
      </c>
      <c r="D185" s="9" t="s">
        <v>105</v>
      </c>
      <c r="E185" s="154">
        <v>285817.15799077641</v>
      </c>
      <c r="F185" s="154">
        <v>288045.3024284626</v>
      </c>
      <c r="G185" s="154">
        <v>1856.3275200008036</v>
      </c>
      <c r="H185" s="154">
        <v>103116.06074991674</v>
      </c>
      <c r="I185" s="154">
        <v>35.12891769935068</v>
      </c>
      <c r="J185" s="154">
        <v>775.92733843955284</v>
      </c>
      <c r="K185" s="154">
        <v>518420</v>
      </c>
      <c r="L185" s="154">
        <v>518484.30524748092</v>
      </c>
      <c r="M185" s="154">
        <v>1.2886247913723916</v>
      </c>
      <c r="N185" s="154" t="s">
        <v>421</v>
      </c>
      <c r="O185" s="154" t="s">
        <v>421</v>
      </c>
      <c r="P185" s="154">
        <v>2.5064840389950001</v>
      </c>
      <c r="Q185" s="154">
        <v>9.9654147258075234</v>
      </c>
      <c r="R185" s="154">
        <v>6260.4921137477695</v>
      </c>
      <c r="S185" s="154">
        <v>569.33096561795435</v>
      </c>
      <c r="T185" s="154">
        <v>4.5776705634329238</v>
      </c>
      <c r="U185" s="154">
        <v>4.1091029323452881</v>
      </c>
      <c r="V185" s="154">
        <v>4.7229532594153523E-2</v>
      </c>
      <c r="W185" s="154">
        <v>5.4350173945636131</v>
      </c>
      <c r="X185" s="154" t="s">
        <v>421</v>
      </c>
      <c r="Y185" s="154">
        <v>6.9444095591133112E-2</v>
      </c>
      <c r="Z185" s="154">
        <v>569.31540153803871</v>
      </c>
      <c r="AC185" s="28" t="s">
        <v>421</v>
      </c>
      <c r="AD185" s="9" t="s">
        <v>421</v>
      </c>
      <c r="AE185" s="9" t="s">
        <v>421</v>
      </c>
      <c r="AF185" s="28" t="s">
        <v>421</v>
      </c>
      <c r="AG185" s="28">
        <v>0.39200000000000002</v>
      </c>
      <c r="AH185" s="28">
        <v>33.49</v>
      </c>
      <c r="AI185" s="28" t="s">
        <v>421</v>
      </c>
      <c r="AJ185" s="28">
        <v>9.9000000000000005E-2</v>
      </c>
      <c r="AK185" s="28">
        <v>5.0000000000000001E-3</v>
      </c>
      <c r="AL185" s="28">
        <v>51.841999999999999</v>
      </c>
      <c r="AM185" s="28">
        <v>6.2E-2</v>
      </c>
      <c r="AN185" s="28">
        <v>13.535</v>
      </c>
      <c r="AO185" s="28">
        <v>0.317</v>
      </c>
      <c r="AP185" s="156">
        <f t="shared" si="2"/>
        <v>99.74199999999999</v>
      </c>
    </row>
    <row r="186" spans="1:42" x14ac:dyDescent="0.2">
      <c r="A186" s="9" t="s">
        <v>775</v>
      </c>
      <c r="B186" s="9" t="s">
        <v>776</v>
      </c>
      <c r="C186" s="9" t="s">
        <v>81</v>
      </c>
      <c r="D186" s="9" t="s">
        <v>106</v>
      </c>
      <c r="E186" s="154">
        <v>287263.98474554636</v>
      </c>
      <c r="F186" s="154">
        <v>294160.09561595425</v>
      </c>
      <c r="G186" s="154">
        <v>2050.5500552941635</v>
      </c>
      <c r="H186" s="154">
        <v>101280.57681820021</v>
      </c>
      <c r="I186" s="154">
        <v>7.1768126114215605</v>
      </c>
      <c r="J186" s="154">
        <v>420.18322012012595</v>
      </c>
      <c r="K186" s="154">
        <v>522969.99999999994</v>
      </c>
      <c r="L186" s="154">
        <v>528327.26519627776</v>
      </c>
      <c r="M186" s="154">
        <v>5.9563969903978089</v>
      </c>
      <c r="N186" s="154" t="s">
        <v>421</v>
      </c>
      <c r="O186" s="154" t="s">
        <v>421</v>
      </c>
      <c r="P186" s="154" t="s">
        <v>421</v>
      </c>
      <c r="Q186" s="154">
        <v>5.0422232647148624</v>
      </c>
      <c r="R186" s="154">
        <v>6605.2578317204061</v>
      </c>
      <c r="S186" s="154">
        <v>341.48701571907981</v>
      </c>
      <c r="T186" s="154">
        <v>2.1573846649208659</v>
      </c>
      <c r="U186" s="154">
        <v>2.1742407747669104</v>
      </c>
      <c r="V186" s="154">
        <v>0.10440738963740105</v>
      </c>
      <c r="W186" s="154">
        <v>4.7510930648439897</v>
      </c>
      <c r="X186" s="154" t="s">
        <v>421</v>
      </c>
      <c r="Y186" s="154">
        <v>1.0318879079230232</v>
      </c>
      <c r="Z186" s="154">
        <v>341.47968061121907</v>
      </c>
      <c r="AC186" s="28" t="s">
        <v>421</v>
      </c>
      <c r="AD186" s="9" t="s">
        <v>421</v>
      </c>
      <c r="AE186" s="9" t="s">
        <v>421</v>
      </c>
      <c r="AF186" s="28" t="s">
        <v>421</v>
      </c>
      <c r="AG186" s="28">
        <v>0.433</v>
      </c>
      <c r="AH186" s="28">
        <v>33.890999999999998</v>
      </c>
      <c r="AI186" s="28">
        <v>5.0000000000000001E-3</v>
      </c>
      <c r="AJ186" s="28">
        <v>3.9E-2</v>
      </c>
      <c r="AK186" s="28" t="s">
        <v>421</v>
      </c>
      <c r="AL186" s="28">
        <v>52.296999999999997</v>
      </c>
      <c r="AM186" s="28">
        <v>0.02</v>
      </c>
      <c r="AN186" s="28">
        <v>12.983000000000001</v>
      </c>
      <c r="AO186" s="28">
        <v>0.317</v>
      </c>
      <c r="AP186" s="156">
        <f t="shared" si="2"/>
        <v>99.984999999999985</v>
      </c>
    </row>
    <row r="187" spans="1:42" x14ac:dyDescent="0.2">
      <c r="A187" s="9" t="s">
        <v>777</v>
      </c>
      <c r="B187" s="9" t="s">
        <v>778</v>
      </c>
      <c r="C187" s="9" t="s">
        <v>81</v>
      </c>
      <c r="D187" s="9" t="s">
        <v>106</v>
      </c>
      <c r="E187" s="154">
        <v>304380.85959693941</v>
      </c>
      <c r="F187" s="154">
        <v>313647.96079506289</v>
      </c>
      <c r="G187" s="154">
        <v>2932.9634531641814</v>
      </c>
      <c r="H187" s="154">
        <v>108261.9452623902</v>
      </c>
      <c r="I187" s="154">
        <v>17.213762410591503</v>
      </c>
      <c r="J187" s="154">
        <v>6958.5912328757731</v>
      </c>
      <c r="K187" s="154">
        <v>523180</v>
      </c>
      <c r="L187" s="154">
        <v>520278.35534000833</v>
      </c>
      <c r="M187" s="154">
        <v>0.95135124320816955</v>
      </c>
      <c r="N187" s="154" t="s">
        <v>421</v>
      </c>
      <c r="O187" s="154">
        <v>0.19817789992033247</v>
      </c>
      <c r="P187" s="154">
        <v>1.4125935258162894</v>
      </c>
      <c r="Q187" s="154">
        <v>15.942968259912893</v>
      </c>
      <c r="R187" s="154">
        <v>6071.880132150106</v>
      </c>
      <c r="S187" s="154">
        <v>242.9002742811445</v>
      </c>
      <c r="T187" s="154">
        <v>44.269936486721278</v>
      </c>
      <c r="U187" s="154">
        <v>46.255964281153794</v>
      </c>
      <c r="V187" s="154">
        <v>0.71687621686392222</v>
      </c>
      <c r="W187" s="154">
        <v>5.5256709254892691</v>
      </c>
      <c r="X187" s="154" t="s">
        <v>421</v>
      </c>
      <c r="Y187" s="154">
        <v>4.3183906667981473</v>
      </c>
      <c r="Z187" s="154">
        <v>242.74975649708966</v>
      </c>
      <c r="AC187" s="28" t="s">
        <v>421</v>
      </c>
      <c r="AD187" s="9" t="s">
        <v>421</v>
      </c>
      <c r="AE187" s="9" t="s">
        <v>421</v>
      </c>
      <c r="AF187" s="28">
        <v>4.0000000000000001E-3</v>
      </c>
      <c r="AG187" s="28">
        <v>0.33700000000000002</v>
      </c>
      <c r="AH187" s="28">
        <v>33.280999999999999</v>
      </c>
      <c r="AI187" s="28">
        <v>4.0000000000000001E-3</v>
      </c>
      <c r="AJ187" s="28">
        <v>0.01</v>
      </c>
      <c r="AK187" s="28" t="s">
        <v>421</v>
      </c>
      <c r="AL187" s="28">
        <v>52.317999999999998</v>
      </c>
      <c r="AM187" s="28">
        <v>0.02</v>
      </c>
      <c r="AN187" s="28">
        <v>12.919</v>
      </c>
      <c r="AO187" s="28">
        <v>0.48699999999999999</v>
      </c>
      <c r="AP187" s="156">
        <f t="shared" si="2"/>
        <v>99.379999999999981</v>
      </c>
    </row>
    <row r="188" spans="1:42" x14ac:dyDescent="0.2">
      <c r="A188" s="9" t="s">
        <v>779</v>
      </c>
      <c r="B188" s="9" t="s">
        <v>780</v>
      </c>
      <c r="C188" s="9" t="s">
        <v>81</v>
      </c>
      <c r="D188" s="9" t="s">
        <v>106</v>
      </c>
      <c r="E188" s="154">
        <v>288190.37610296626</v>
      </c>
      <c r="F188" s="154">
        <v>290594.5596791901</v>
      </c>
      <c r="G188" s="154">
        <v>2091.2025083450067</v>
      </c>
      <c r="H188" s="154">
        <v>99360.468759575466</v>
      </c>
      <c r="I188" s="154">
        <v>10.305131243321567</v>
      </c>
      <c r="J188" s="154">
        <v>776.78345154532735</v>
      </c>
      <c r="K188" s="154">
        <v>526240</v>
      </c>
      <c r="L188" s="154">
        <v>526748.45202563517</v>
      </c>
      <c r="M188" s="154">
        <v>4.1840776016419072</v>
      </c>
      <c r="N188" s="154" t="s">
        <v>421</v>
      </c>
      <c r="O188" s="154" t="s">
        <v>421</v>
      </c>
      <c r="P188" s="154">
        <v>2.4963648324711487</v>
      </c>
      <c r="Q188" s="154">
        <v>23.430388517416144</v>
      </c>
      <c r="R188" s="154">
        <v>6758.1052647945753</v>
      </c>
      <c r="S188" s="154">
        <v>367.64435042285561</v>
      </c>
      <c r="T188" s="154">
        <v>2.2434899885103601</v>
      </c>
      <c r="U188" s="154">
        <v>2.0582102595210214</v>
      </c>
      <c r="V188" s="154">
        <v>0.20184991685838605</v>
      </c>
      <c r="W188" s="154">
        <v>3.6862160295383899</v>
      </c>
      <c r="X188" s="154" t="s">
        <v>421</v>
      </c>
      <c r="Y188" s="154">
        <v>5.6853529485811558</v>
      </c>
      <c r="Z188" s="154">
        <v>367.63672255689465</v>
      </c>
      <c r="AC188" s="28" t="s">
        <v>421</v>
      </c>
      <c r="AD188" s="9" t="s">
        <v>421</v>
      </c>
      <c r="AE188" s="9" t="s">
        <v>421</v>
      </c>
      <c r="AF188" s="28" t="s">
        <v>421</v>
      </c>
      <c r="AG188" s="28">
        <v>0.46500000000000002</v>
      </c>
      <c r="AH188" s="28">
        <v>33.548999999999999</v>
      </c>
      <c r="AI188" s="28" t="s">
        <v>421</v>
      </c>
      <c r="AJ188" s="28">
        <v>6.2E-2</v>
      </c>
      <c r="AK188" s="28">
        <v>7.0000000000000001E-3</v>
      </c>
      <c r="AL188" s="28">
        <v>52.624000000000002</v>
      </c>
      <c r="AM188" s="28">
        <v>5.3999999999999999E-2</v>
      </c>
      <c r="AN188" s="28">
        <v>12.61</v>
      </c>
      <c r="AO188" s="28">
        <v>0.34100000000000003</v>
      </c>
      <c r="AP188" s="156">
        <f t="shared" si="2"/>
        <v>99.711999999999989</v>
      </c>
    </row>
    <row r="189" spans="1:42" x14ac:dyDescent="0.2">
      <c r="A189" s="9" t="s">
        <v>781</v>
      </c>
      <c r="B189" s="9" t="s">
        <v>782</v>
      </c>
      <c r="C189" s="9" t="s">
        <v>81</v>
      </c>
      <c r="D189" s="9" t="s">
        <v>106</v>
      </c>
      <c r="E189" s="154">
        <v>289462.43882021913</v>
      </c>
      <c r="F189" s="154">
        <v>290585.12903682701</v>
      </c>
      <c r="G189" s="154">
        <v>2162.0396150245074</v>
      </c>
      <c r="H189" s="154">
        <v>95063.141430977106</v>
      </c>
      <c r="I189" s="154">
        <v>10.734357074752781</v>
      </c>
      <c r="J189" s="154">
        <v>1185.7325296119145</v>
      </c>
      <c r="K189" s="154">
        <v>527660</v>
      </c>
      <c r="L189" s="154">
        <v>533740.20991539361</v>
      </c>
      <c r="M189" s="154">
        <v>4.8063782515242712</v>
      </c>
      <c r="N189" s="154" t="s">
        <v>421</v>
      </c>
      <c r="O189" s="154" t="s">
        <v>421</v>
      </c>
      <c r="P189" s="154">
        <v>1.9540814977875722</v>
      </c>
      <c r="Q189" s="154">
        <v>30.724047031247775</v>
      </c>
      <c r="R189" s="154">
        <v>6684.5853108195079</v>
      </c>
      <c r="S189" s="154">
        <v>325.70185459062617</v>
      </c>
      <c r="T189" s="154">
        <v>24.454400742249206</v>
      </c>
      <c r="U189" s="154">
        <v>25.468239449565583</v>
      </c>
      <c r="V189" s="154">
        <v>2.933311805404641</v>
      </c>
      <c r="W189" s="154">
        <v>3.9689617589138702</v>
      </c>
      <c r="X189" s="154">
        <v>4.0405164031148126E-2</v>
      </c>
      <c r="Y189" s="154">
        <v>9.4724205578173244</v>
      </c>
      <c r="Z189" s="154">
        <v>325.61870962810252</v>
      </c>
      <c r="AC189" s="28" t="s">
        <v>421</v>
      </c>
      <c r="AD189" s="9" t="s">
        <v>421</v>
      </c>
      <c r="AE189" s="9" t="s">
        <v>421</v>
      </c>
      <c r="AF189" s="28" t="s">
        <v>421</v>
      </c>
      <c r="AG189" s="28">
        <v>0.40699999999999997</v>
      </c>
      <c r="AH189" s="28">
        <v>33.615000000000002</v>
      </c>
      <c r="AI189" s="28" t="s">
        <v>421</v>
      </c>
      <c r="AJ189" s="28">
        <v>3.3000000000000002E-2</v>
      </c>
      <c r="AK189" s="28" t="s">
        <v>421</v>
      </c>
      <c r="AL189" s="28">
        <v>52.765999999999998</v>
      </c>
      <c r="AM189" s="28">
        <v>3.9E-2</v>
      </c>
      <c r="AN189" s="28">
        <v>12.635999999999999</v>
      </c>
      <c r="AO189" s="28">
        <v>0.34599999999999997</v>
      </c>
      <c r="AP189" s="156">
        <f t="shared" si="2"/>
        <v>99.841999999999999</v>
      </c>
    </row>
    <row r="190" spans="1:42" x14ac:dyDescent="0.2">
      <c r="A190" s="9" t="s">
        <v>783</v>
      </c>
      <c r="B190" s="9" t="s">
        <v>784</v>
      </c>
      <c r="C190" s="9" t="s">
        <v>81</v>
      </c>
      <c r="D190" s="9" t="s">
        <v>106</v>
      </c>
      <c r="E190" s="154">
        <v>311937.35397631756</v>
      </c>
      <c r="F190" s="154">
        <v>416015.6903574866</v>
      </c>
      <c r="G190" s="154">
        <v>272.62802348594414</v>
      </c>
      <c r="H190" s="154">
        <v>46082.530955756549</v>
      </c>
      <c r="I190" s="154">
        <v>8.4229241710833194E-2</v>
      </c>
      <c r="J190" s="154">
        <v>123.70867459628101</v>
      </c>
      <c r="K190" s="154">
        <v>628590</v>
      </c>
      <c r="L190" s="154">
        <v>631394.76335945202</v>
      </c>
      <c r="M190" s="154">
        <v>86.213432924404344</v>
      </c>
      <c r="N190" s="154">
        <v>26.121801002668693</v>
      </c>
      <c r="O190" s="154">
        <v>1.0821792715085505</v>
      </c>
      <c r="P190" s="154">
        <v>4.4004608545344679</v>
      </c>
      <c r="Q190" s="154">
        <v>4.3641798465782333</v>
      </c>
      <c r="R190" s="154">
        <v>1291.5134012516189</v>
      </c>
      <c r="S190" s="154">
        <v>12.630457239145642</v>
      </c>
      <c r="T190" s="154">
        <v>33.769743520835704</v>
      </c>
      <c r="U190" s="154">
        <v>36.328043042565319</v>
      </c>
      <c r="V190" s="154">
        <v>0.53036295163491565</v>
      </c>
      <c r="W190" s="154">
        <v>63.131553128369724</v>
      </c>
      <c r="X190" s="154">
        <v>9.4784587672322021E-2</v>
      </c>
      <c r="Y190" s="154">
        <v>9.0473029599007457</v>
      </c>
      <c r="Z190" s="154">
        <v>12.5156401111748</v>
      </c>
      <c r="AC190" s="28" t="s">
        <v>421</v>
      </c>
      <c r="AD190" s="9" t="s">
        <v>421</v>
      </c>
      <c r="AE190" s="9" t="s">
        <v>421</v>
      </c>
      <c r="AF190" s="28" t="s">
        <v>421</v>
      </c>
      <c r="AG190" s="28">
        <v>0.10299999999999999</v>
      </c>
      <c r="AH190" s="28">
        <v>32.981000000000002</v>
      </c>
      <c r="AI190" s="28">
        <v>7.0000000000000001E-3</v>
      </c>
      <c r="AJ190" s="28" t="s">
        <v>421</v>
      </c>
      <c r="AK190" s="28" t="s">
        <v>421</v>
      </c>
      <c r="AL190" s="28">
        <v>62.859000000000002</v>
      </c>
      <c r="AM190" s="28">
        <v>3.0000000000000001E-3</v>
      </c>
      <c r="AN190" s="28">
        <v>3.53</v>
      </c>
      <c r="AO190" s="28">
        <v>1.0999999999999999E-2</v>
      </c>
      <c r="AP190" s="156">
        <f t="shared" si="2"/>
        <v>99.494</v>
      </c>
    </row>
    <row r="191" spans="1:42" x14ac:dyDescent="0.2">
      <c r="A191" s="9" t="s">
        <v>785</v>
      </c>
      <c r="B191" s="9" t="s">
        <v>786</v>
      </c>
      <c r="C191" s="9" t="s">
        <v>81</v>
      </c>
      <c r="D191" s="9" t="s">
        <v>106</v>
      </c>
      <c r="E191" s="154">
        <v>291335.39381466014</v>
      </c>
      <c r="F191" s="154">
        <v>295942.52822223515</v>
      </c>
      <c r="G191" s="154">
        <v>1723.209645468434</v>
      </c>
      <c r="H191" s="154">
        <v>100240.65577500744</v>
      </c>
      <c r="I191" s="154">
        <v>22.185794529602919</v>
      </c>
      <c r="J191" s="154">
        <v>1257.3050582629951</v>
      </c>
      <c r="K191" s="154">
        <v>521290</v>
      </c>
      <c r="L191" s="154">
        <v>526791.81807338272</v>
      </c>
      <c r="M191" s="154">
        <v>3.6369896518556244</v>
      </c>
      <c r="N191" s="154" t="s">
        <v>421</v>
      </c>
      <c r="O191" s="154">
        <v>0.16249583794682876</v>
      </c>
      <c r="P191" s="154">
        <v>5.587146764000658</v>
      </c>
      <c r="Q191" s="154">
        <v>25.117749944145384</v>
      </c>
      <c r="R191" s="154">
        <v>6459.7392565200898</v>
      </c>
      <c r="S191" s="154">
        <v>583.10749986854842</v>
      </c>
      <c r="T191" s="154">
        <v>42.709355281113758</v>
      </c>
      <c r="U191" s="154">
        <v>43.85409974773993</v>
      </c>
      <c r="V191" s="154">
        <v>1.2042041107441845</v>
      </c>
      <c r="W191" s="154">
        <v>4.6627797063742138</v>
      </c>
      <c r="X191" s="154">
        <v>3.1414737025341623E-2</v>
      </c>
      <c r="Y191" s="154">
        <v>4.5094694765327414</v>
      </c>
      <c r="Z191" s="154">
        <v>582.96228806059264</v>
      </c>
      <c r="AC191" s="28" t="s">
        <v>421</v>
      </c>
      <c r="AD191" s="9" t="s">
        <v>421</v>
      </c>
      <c r="AE191" s="9" t="s">
        <v>421</v>
      </c>
      <c r="AF191" s="28" t="s">
        <v>421</v>
      </c>
      <c r="AG191" s="28">
        <v>0.42299999999999999</v>
      </c>
      <c r="AH191" s="28">
        <v>33.331000000000003</v>
      </c>
      <c r="AI191" s="28">
        <v>1.4999999999999999E-2</v>
      </c>
      <c r="AJ191" s="28">
        <v>0.11</v>
      </c>
      <c r="AK191" s="28" t="s">
        <v>421</v>
      </c>
      <c r="AL191" s="28">
        <v>52.128999999999998</v>
      </c>
      <c r="AM191" s="28">
        <v>8.7999999999999995E-2</v>
      </c>
      <c r="AN191" s="28">
        <v>13.071999999999999</v>
      </c>
      <c r="AO191" s="28">
        <v>0.28599999999999998</v>
      </c>
      <c r="AP191" s="156">
        <f t="shared" si="2"/>
        <v>99.454000000000008</v>
      </c>
    </row>
    <row r="192" spans="1:42" x14ac:dyDescent="0.2">
      <c r="A192" s="9" t="s">
        <v>787</v>
      </c>
      <c r="B192" s="9" t="s">
        <v>788</v>
      </c>
      <c r="C192" s="9" t="s">
        <v>81</v>
      </c>
      <c r="D192" s="9" t="s">
        <v>106</v>
      </c>
      <c r="E192" s="154">
        <v>281868.74535509618</v>
      </c>
      <c r="F192" s="154">
        <v>363502.9474822444</v>
      </c>
      <c r="G192" s="154">
        <v>1684.9170910117257</v>
      </c>
      <c r="H192" s="154">
        <v>97775.798809757587</v>
      </c>
      <c r="I192" s="154">
        <v>20.775033885356638</v>
      </c>
      <c r="J192" s="154">
        <v>2129.5585806493073</v>
      </c>
      <c r="K192" s="154">
        <v>520270</v>
      </c>
      <c r="L192" s="154">
        <v>523107.61318927945</v>
      </c>
      <c r="M192" s="154">
        <v>2.5953805976246915</v>
      </c>
      <c r="N192" s="154" t="s">
        <v>421</v>
      </c>
      <c r="O192" s="154">
        <v>1.9031213625243175</v>
      </c>
      <c r="P192" s="154">
        <v>6.9588236468030749</v>
      </c>
      <c r="Q192" s="154">
        <v>57.018871146991017</v>
      </c>
      <c r="R192" s="154">
        <v>6311.0822347641761</v>
      </c>
      <c r="S192" s="154">
        <v>631.95965823591143</v>
      </c>
      <c r="T192" s="154">
        <v>28.043637019886088</v>
      </c>
      <c r="U192" s="154">
        <v>26.908857753354134</v>
      </c>
      <c r="V192" s="154">
        <v>3.3523878583197049</v>
      </c>
      <c r="W192" s="154">
        <v>7.3368120268474177</v>
      </c>
      <c r="X192" s="154">
        <v>0.10888923784181113</v>
      </c>
      <c r="Y192" s="154">
        <v>15.192959173148699</v>
      </c>
      <c r="Z192" s="154">
        <v>631.86430987004383</v>
      </c>
      <c r="AC192" s="28" t="s">
        <v>421</v>
      </c>
      <c r="AD192" s="9" t="s">
        <v>421</v>
      </c>
      <c r="AE192" s="9" t="s">
        <v>421</v>
      </c>
      <c r="AF192" s="28" t="s">
        <v>421</v>
      </c>
      <c r="AG192" s="28">
        <v>0.46500000000000002</v>
      </c>
      <c r="AH192" s="28">
        <v>33.438000000000002</v>
      </c>
      <c r="AI192" s="28">
        <v>1E-3</v>
      </c>
      <c r="AJ192" s="28">
        <v>8.5999999999999993E-2</v>
      </c>
      <c r="AK192" s="28" t="s">
        <v>421</v>
      </c>
      <c r="AL192" s="28">
        <v>52.027000000000001</v>
      </c>
      <c r="AM192" s="28">
        <v>7.0999999999999994E-2</v>
      </c>
      <c r="AN192" s="28">
        <v>13.18</v>
      </c>
      <c r="AO192" s="28">
        <v>0.29699999999999999</v>
      </c>
      <c r="AP192" s="156">
        <f t="shared" si="2"/>
        <v>99.564999999999998</v>
      </c>
    </row>
    <row r="193" spans="1:42" x14ac:dyDescent="0.2">
      <c r="A193" s="9" t="s">
        <v>789</v>
      </c>
      <c r="B193" s="9" t="s">
        <v>790</v>
      </c>
      <c r="C193" s="9" t="s">
        <v>81</v>
      </c>
      <c r="D193" s="9" t="s">
        <v>106</v>
      </c>
      <c r="E193" s="154">
        <v>288677.46495060966</v>
      </c>
      <c r="F193" s="154">
        <v>298928.39908024319</v>
      </c>
      <c r="G193" s="154">
        <v>1331.302075395515</v>
      </c>
      <c r="H193" s="154">
        <v>104149.26600475454</v>
      </c>
      <c r="I193" s="154">
        <v>11.562343805061497</v>
      </c>
      <c r="J193" s="154">
        <v>418.84670978792821</v>
      </c>
      <c r="K193" s="154">
        <v>522190</v>
      </c>
      <c r="L193" s="154">
        <v>530203.01413090818</v>
      </c>
      <c r="M193" s="154">
        <v>4.346537451850268</v>
      </c>
      <c r="N193" s="154" t="s">
        <v>421</v>
      </c>
      <c r="O193" s="154">
        <v>0.17361343591114986</v>
      </c>
      <c r="P193" s="154">
        <v>1.0735366115279221</v>
      </c>
      <c r="Q193" s="154">
        <v>5.3624350019776452</v>
      </c>
      <c r="R193" s="154">
        <v>6790.4680410799756</v>
      </c>
      <c r="S193" s="154">
        <v>365.409147506046</v>
      </c>
      <c r="T193" s="154">
        <v>11.34721339698428</v>
      </c>
      <c r="U193" s="154">
        <v>12.106623107277571</v>
      </c>
      <c r="V193" s="154">
        <v>5.0365964681847591E-2</v>
      </c>
      <c r="W193" s="154">
        <v>5.4554291670550805</v>
      </c>
      <c r="X193" s="154" t="s">
        <v>421</v>
      </c>
      <c r="Y193" s="154">
        <v>0.14306540736343187</v>
      </c>
      <c r="Z193" s="154">
        <v>365.37056698049628</v>
      </c>
      <c r="AC193" s="28" t="s">
        <v>421</v>
      </c>
      <c r="AD193" s="9" t="s">
        <v>421</v>
      </c>
      <c r="AE193" s="9" t="s">
        <v>421</v>
      </c>
      <c r="AF193" s="28" t="s">
        <v>421</v>
      </c>
      <c r="AG193" s="28">
        <v>0.45100000000000001</v>
      </c>
      <c r="AH193" s="28">
        <v>33.558</v>
      </c>
      <c r="AI193" s="28">
        <v>3.0000000000000001E-3</v>
      </c>
      <c r="AJ193" s="28">
        <v>3.4000000000000002E-2</v>
      </c>
      <c r="AK193" s="28" t="s">
        <v>421</v>
      </c>
      <c r="AL193" s="28">
        <v>52.219000000000001</v>
      </c>
      <c r="AM193" s="28">
        <v>2.4E-2</v>
      </c>
      <c r="AN193" s="28">
        <v>13.147</v>
      </c>
      <c r="AO193" s="28">
        <v>0.21</v>
      </c>
      <c r="AP193" s="156">
        <f t="shared" si="2"/>
        <v>99.646000000000001</v>
      </c>
    </row>
    <row r="194" spans="1:42" x14ac:dyDescent="0.2">
      <c r="A194" s="9" t="s">
        <v>791</v>
      </c>
      <c r="B194" s="9" t="s">
        <v>792</v>
      </c>
      <c r="C194" s="9" t="s">
        <v>81</v>
      </c>
      <c r="D194" s="9" t="s">
        <v>107</v>
      </c>
      <c r="E194" s="154">
        <v>285242.51355699857</v>
      </c>
      <c r="F194" s="154">
        <v>284549.37642675347</v>
      </c>
      <c r="G194" s="154">
        <v>2372.776601786325</v>
      </c>
      <c r="H194" s="154">
        <v>90476.632425015152</v>
      </c>
      <c r="I194" s="154" t="s">
        <v>421</v>
      </c>
      <c r="J194" s="154">
        <v>1258.036209810321</v>
      </c>
      <c r="K194" s="154">
        <v>519590.00000000006</v>
      </c>
      <c r="L194" s="154">
        <v>527063.82918787585</v>
      </c>
      <c r="M194" s="154">
        <v>24.806458837625719</v>
      </c>
      <c r="N194" s="154" t="s">
        <v>421</v>
      </c>
      <c r="O194" s="154">
        <v>0.30653225877539358</v>
      </c>
      <c r="P194" s="154" t="s">
        <v>421</v>
      </c>
      <c r="Q194" s="154">
        <v>18.171126510269396</v>
      </c>
      <c r="R194" s="154">
        <v>5633.6342224059836</v>
      </c>
      <c r="S194" s="154">
        <v>59.23207495581164</v>
      </c>
      <c r="T194" s="154">
        <v>987.13610829741287</v>
      </c>
      <c r="U194" s="154">
        <v>1008.3944685301352</v>
      </c>
      <c r="V194" s="154">
        <v>0.92592518433322613</v>
      </c>
      <c r="W194" s="154">
        <v>5.2186271395643109</v>
      </c>
      <c r="X194" s="154">
        <v>1.9059522675339089E-2</v>
      </c>
      <c r="Y194" s="154">
        <v>3.0626011262773702</v>
      </c>
      <c r="Z194" s="154">
        <v>55.875812187600438</v>
      </c>
      <c r="AC194" s="28" t="s">
        <v>421</v>
      </c>
      <c r="AD194" s="9" t="s">
        <v>421</v>
      </c>
      <c r="AE194" s="9" t="s">
        <v>421</v>
      </c>
      <c r="AF194" s="28" t="s">
        <v>421</v>
      </c>
      <c r="AG194" s="28">
        <v>0.38</v>
      </c>
      <c r="AH194" s="28">
        <v>33.238999999999997</v>
      </c>
      <c r="AI194" s="28">
        <v>0.75800000000000001</v>
      </c>
      <c r="AJ194" s="28" t="s">
        <v>421</v>
      </c>
      <c r="AK194" s="28">
        <v>1E-3</v>
      </c>
      <c r="AL194" s="28">
        <v>51.959000000000003</v>
      </c>
      <c r="AM194" s="28">
        <v>0.86899999999999999</v>
      </c>
      <c r="AN194" s="28">
        <v>12.007</v>
      </c>
      <c r="AO194" s="28">
        <v>0.373</v>
      </c>
      <c r="AP194" s="156">
        <f t="shared" si="2"/>
        <v>99.586000000000013</v>
      </c>
    </row>
    <row r="195" spans="1:42" x14ac:dyDescent="0.2">
      <c r="A195" s="9" t="s">
        <v>793</v>
      </c>
      <c r="B195" s="9" t="s">
        <v>794</v>
      </c>
      <c r="C195" s="9" t="s">
        <v>81</v>
      </c>
      <c r="D195" s="9" t="s">
        <v>107</v>
      </c>
      <c r="E195" s="154">
        <v>293611.30763848714</v>
      </c>
      <c r="F195" s="154">
        <v>292331.87061176909</v>
      </c>
      <c r="G195" s="154">
        <v>1206.0533366781401</v>
      </c>
      <c r="H195" s="154">
        <v>98299.957948764277</v>
      </c>
      <c r="I195" s="154">
        <v>0.14003239871850703</v>
      </c>
      <c r="J195" s="154">
        <v>2793.8430797567526</v>
      </c>
      <c r="K195" s="154">
        <v>523150</v>
      </c>
      <c r="L195" s="154">
        <v>524466.23998802097</v>
      </c>
      <c r="M195" s="154">
        <v>24.22048838141415</v>
      </c>
      <c r="N195" s="154">
        <v>0.32881924475180696</v>
      </c>
      <c r="O195" s="154">
        <v>0.20935035455105391</v>
      </c>
      <c r="P195" s="154" t="s">
        <v>421</v>
      </c>
      <c r="Q195" s="154">
        <v>59.915842672116618</v>
      </c>
      <c r="R195" s="154">
        <v>6617.2164372036641</v>
      </c>
      <c r="S195" s="154">
        <v>1171.4121840326168</v>
      </c>
      <c r="T195" s="154">
        <v>1520.4340934852075</v>
      </c>
      <c r="U195" s="154">
        <v>1515.5329971241215</v>
      </c>
      <c r="V195" s="154" t="s">
        <v>421</v>
      </c>
      <c r="W195" s="154">
        <v>4.8281297557388134</v>
      </c>
      <c r="X195" s="154" t="s">
        <v>421</v>
      </c>
      <c r="Y195" s="154">
        <v>0.14281273274502229</v>
      </c>
      <c r="Z195" s="154">
        <v>1166.2427081147671</v>
      </c>
      <c r="AC195" s="28" t="s">
        <v>421</v>
      </c>
      <c r="AD195" s="9" t="s">
        <v>421</v>
      </c>
      <c r="AE195" s="9" t="s">
        <v>421</v>
      </c>
      <c r="AF195" s="28" t="s">
        <v>421</v>
      </c>
      <c r="AG195" s="28">
        <v>0.43099999999999999</v>
      </c>
      <c r="AH195" s="28">
        <v>33.423000000000002</v>
      </c>
      <c r="AI195" s="28">
        <v>0.14099999999999999</v>
      </c>
      <c r="AJ195" s="28">
        <v>0.215</v>
      </c>
      <c r="AK195" s="28">
        <v>5.0000000000000001E-3</v>
      </c>
      <c r="AL195" s="28">
        <v>52.314999999999998</v>
      </c>
      <c r="AM195" s="28">
        <v>0.30599999999999999</v>
      </c>
      <c r="AN195" s="28">
        <v>12.696999999999999</v>
      </c>
      <c r="AO195" s="28">
        <v>0.21199999999999999</v>
      </c>
      <c r="AP195" s="156">
        <f t="shared" si="2"/>
        <v>99.745000000000005</v>
      </c>
    </row>
    <row r="196" spans="1:42" x14ac:dyDescent="0.2">
      <c r="A196" s="9" t="s">
        <v>795</v>
      </c>
      <c r="B196" s="9" t="s">
        <v>796</v>
      </c>
      <c r="C196" s="9" t="s">
        <v>81</v>
      </c>
      <c r="D196" s="9" t="s">
        <v>107</v>
      </c>
      <c r="E196" s="154">
        <v>288348.26444294321</v>
      </c>
      <c r="F196" s="154">
        <v>291074.60569241241</v>
      </c>
      <c r="G196" s="154">
        <v>1151.3643739906956</v>
      </c>
      <c r="H196" s="154">
        <v>96580.028473526632</v>
      </c>
      <c r="I196" s="154">
        <v>5.8434676184128349E-2</v>
      </c>
      <c r="J196" s="154">
        <v>2358.8136153365003</v>
      </c>
      <c r="K196" s="154">
        <v>530820</v>
      </c>
      <c r="L196" s="154">
        <v>536935.19786156155</v>
      </c>
      <c r="M196" s="154">
        <v>31.097550644083903</v>
      </c>
      <c r="N196" s="154">
        <v>0.32366877790221338</v>
      </c>
      <c r="O196" s="154">
        <v>0.19017128320050644</v>
      </c>
      <c r="P196" s="154">
        <v>1.0286241694756981</v>
      </c>
      <c r="Q196" s="154">
        <v>37.206350491484969</v>
      </c>
      <c r="R196" s="154">
        <v>5913.7442112897515</v>
      </c>
      <c r="S196" s="154">
        <v>92.435523154262356</v>
      </c>
      <c r="T196" s="154">
        <v>1430.540306123117</v>
      </c>
      <c r="U196" s="154">
        <v>1924.9031326114839</v>
      </c>
      <c r="V196" s="154">
        <v>0.18352420849648407</v>
      </c>
      <c r="W196" s="154">
        <v>3.7201271091520169</v>
      </c>
      <c r="X196" s="154" t="s">
        <v>421</v>
      </c>
      <c r="Y196" s="154">
        <v>0.43106222932929833</v>
      </c>
      <c r="Z196" s="154">
        <v>87.571686113443761</v>
      </c>
      <c r="AC196" s="28" t="s">
        <v>421</v>
      </c>
      <c r="AD196" s="9" t="s">
        <v>421</v>
      </c>
      <c r="AE196" s="9" t="s">
        <v>421</v>
      </c>
      <c r="AF196" s="28" t="s">
        <v>421</v>
      </c>
      <c r="AG196" s="28">
        <v>0.34499999999999997</v>
      </c>
      <c r="AH196" s="28">
        <v>33.200000000000003</v>
      </c>
      <c r="AI196" s="28">
        <v>6.0999999999999999E-2</v>
      </c>
      <c r="AJ196" s="28" t="s">
        <v>421</v>
      </c>
      <c r="AK196" s="28" t="s">
        <v>421</v>
      </c>
      <c r="AL196" s="28">
        <v>53.082000000000001</v>
      </c>
      <c r="AM196" s="28">
        <v>8.4000000000000005E-2</v>
      </c>
      <c r="AN196" s="28">
        <v>12.446999999999999</v>
      </c>
      <c r="AO196" s="28">
        <v>0.189</v>
      </c>
      <c r="AP196" s="156">
        <f t="shared" si="2"/>
        <v>99.408000000000001</v>
      </c>
    </row>
    <row r="197" spans="1:42" x14ac:dyDescent="0.2">
      <c r="A197" s="9" t="s">
        <v>797</v>
      </c>
      <c r="B197" s="9" t="s">
        <v>798</v>
      </c>
      <c r="C197" s="9" t="s">
        <v>81</v>
      </c>
      <c r="D197" s="9" t="s">
        <v>108</v>
      </c>
      <c r="E197" s="154">
        <v>305980.45099744247</v>
      </c>
      <c r="F197" s="154">
        <v>288346.23961727787</v>
      </c>
      <c r="G197" s="154">
        <v>1516.384551462678</v>
      </c>
      <c r="H197" s="154">
        <v>96929.353698071034</v>
      </c>
      <c r="I197" s="154">
        <v>0.25246642085314841</v>
      </c>
      <c r="J197" s="154">
        <v>1795.9653920926826</v>
      </c>
      <c r="K197" s="154">
        <v>527450</v>
      </c>
      <c r="L197" s="154">
        <v>512212.79256962612</v>
      </c>
      <c r="M197" s="154">
        <v>18.026736334899706</v>
      </c>
      <c r="N197" s="154" t="s">
        <v>421</v>
      </c>
      <c r="O197" s="154">
        <v>2.5287723207682893</v>
      </c>
      <c r="P197" s="154" t="s">
        <v>421</v>
      </c>
      <c r="Q197" s="154">
        <v>15.892839353465588</v>
      </c>
      <c r="R197" s="154">
        <v>5673.8870793428996</v>
      </c>
      <c r="S197" s="154">
        <v>843.16099233845546</v>
      </c>
      <c r="T197" s="154">
        <v>192.28663520878177</v>
      </c>
      <c r="U197" s="154">
        <v>191.71474765237608</v>
      </c>
      <c r="V197" s="154">
        <v>0.44649219602199763</v>
      </c>
      <c r="W197" s="154">
        <v>24.624509587429376</v>
      </c>
      <c r="X197" s="154" t="s">
        <v>421</v>
      </c>
      <c r="Y197" s="154">
        <v>14.195858978495227</v>
      </c>
      <c r="Z197" s="154">
        <v>842.5072177787456</v>
      </c>
      <c r="AC197" s="28" t="s">
        <v>421</v>
      </c>
      <c r="AD197" s="9" t="s">
        <v>421</v>
      </c>
      <c r="AE197" s="9" t="s">
        <v>421</v>
      </c>
      <c r="AF197" s="28" t="s">
        <v>421</v>
      </c>
      <c r="AG197" s="28">
        <v>0.44600000000000001</v>
      </c>
      <c r="AH197" s="28">
        <v>33.301000000000002</v>
      </c>
      <c r="AI197" s="28">
        <v>1.4E-2</v>
      </c>
      <c r="AJ197" s="28">
        <v>0.16600000000000001</v>
      </c>
      <c r="AK197" s="28" t="s">
        <v>421</v>
      </c>
      <c r="AL197" s="28">
        <v>52.744999999999997</v>
      </c>
      <c r="AM197" s="28">
        <v>0.114</v>
      </c>
      <c r="AN197" s="28">
        <v>12.377000000000001</v>
      </c>
      <c r="AO197" s="28">
        <v>0.23799999999999999</v>
      </c>
      <c r="AP197" s="156">
        <f t="shared" si="2"/>
        <v>99.400999999999996</v>
      </c>
    </row>
    <row r="198" spans="1:42" x14ac:dyDescent="0.2">
      <c r="A198" s="9" t="s">
        <v>799</v>
      </c>
      <c r="B198" s="9" t="s">
        <v>800</v>
      </c>
      <c r="C198" s="9" t="s">
        <v>81</v>
      </c>
      <c r="D198" s="9" t="s">
        <v>108</v>
      </c>
      <c r="E198" s="154">
        <v>294230.91062449676</v>
      </c>
      <c r="F198" s="154">
        <v>290133.93614081154</v>
      </c>
      <c r="G198" s="154">
        <v>2021.67947814031</v>
      </c>
      <c r="H198" s="154">
        <v>98375.651012477581</v>
      </c>
      <c r="I198" s="154">
        <v>0.80182240027115603</v>
      </c>
      <c r="J198" s="154">
        <v>1567.9986729875397</v>
      </c>
      <c r="K198" s="154">
        <v>525650</v>
      </c>
      <c r="L198" s="154">
        <v>534050.82217353978</v>
      </c>
      <c r="M198" s="154">
        <v>14.419087763309143</v>
      </c>
      <c r="N198" s="154" t="s">
        <v>421</v>
      </c>
      <c r="O198" s="154">
        <v>0.16837005708064728</v>
      </c>
      <c r="P198" s="154" t="s">
        <v>421</v>
      </c>
      <c r="Q198" s="154">
        <v>15.440402471712032</v>
      </c>
      <c r="R198" s="154">
        <v>6802.1130433716107</v>
      </c>
      <c r="S198" s="154">
        <v>1000.9890152168192</v>
      </c>
      <c r="T198" s="154">
        <v>96.918767283827492</v>
      </c>
      <c r="U198" s="154">
        <v>96.454015135036784</v>
      </c>
      <c r="V198" s="154">
        <v>0.15385389626187251</v>
      </c>
      <c r="W198" s="154">
        <v>4.907362769592801</v>
      </c>
      <c r="X198" s="154" t="s">
        <v>421</v>
      </c>
      <c r="Y198" s="154">
        <v>1.4148039485213064</v>
      </c>
      <c r="Z198" s="154">
        <v>1000.6594914080542</v>
      </c>
      <c r="AC198" s="28" t="s">
        <v>421</v>
      </c>
      <c r="AD198" s="9" t="s">
        <v>421</v>
      </c>
      <c r="AE198" s="9" t="s">
        <v>421</v>
      </c>
      <c r="AF198" s="28" t="s">
        <v>421</v>
      </c>
      <c r="AG198" s="28">
        <v>0.44600000000000001</v>
      </c>
      <c r="AH198" s="28">
        <v>33.460999999999999</v>
      </c>
      <c r="AI198" s="28" t="s">
        <v>421</v>
      </c>
      <c r="AJ198" s="28">
        <v>0.16200000000000001</v>
      </c>
      <c r="AK198" s="28">
        <v>2E-3</v>
      </c>
      <c r="AL198" s="28">
        <v>52.564999999999998</v>
      </c>
      <c r="AM198" s="28">
        <v>0.13100000000000001</v>
      </c>
      <c r="AN198" s="28">
        <v>12.61</v>
      </c>
      <c r="AO198" s="28">
        <v>0.35299999999999998</v>
      </c>
      <c r="AP198" s="156">
        <f t="shared" si="2"/>
        <v>99.72999999999999</v>
      </c>
    </row>
    <row r="199" spans="1:42" x14ac:dyDescent="0.2">
      <c r="A199" s="9" t="s">
        <v>801</v>
      </c>
      <c r="B199" s="9" t="s">
        <v>802</v>
      </c>
      <c r="C199" s="9" t="s">
        <v>81</v>
      </c>
      <c r="D199" s="9" t="s">
        <v>108</v>
      </c>
      <c r="E199" s="154">
        <v>291430.35021543707</v>
      </c>
      <c r="F199" s="154">
        <v>287544.83307962434</v>
      </c>
      <c r="G199" s="154">
        <v>1990.9033603624105</v>
      </c>
      <c r="H199" s="154">
        <v>96703.860866981908</v>
      </c>
      <c r="I199" s="154">
        <v>6.4573601516496951E-2</v>
      </c>
      <c r="J199" s="154">
        <v>1419.3790135500858</v>
      </c>
      <c r="K199" s="154">
        <v>526590</v>
      </c>
      <c r="L199" s="154">
        <v>530217.62555608118</v>
      </c>
      <c r="M199" s="154">
        <v>10.428093401141707</v>
      </c>
      <c r="N199" s="154">
        <v>0.28772349712686424</v>
      </c>
      <c r="O199" s="154">
        <v>0.16650670365331155</v>
      </c>
      <c r="P199" s="154">
        <v>1.4193513126161736</v>
      </c>
      <c r="Q199" s="154">
        <v>14.04496048314301</v>
      </c>
      <c r="R199" s="154">
        <v>6360.1179337118583</v>
      </c>
      <c r="S199" s="154">
        <v>932.31261383805236</v>
      </c>
      <c r="T199" s="154">
        <v>92.042314178549645</v>
      </c>
      <c r="U199" s="154">
        <v>92.572517703596318</v>
      </c>
      <c r="V199" s="154">
        <v>0.12630725426757219</v>
      </c>
      <c r="W199" s="154">
        <v>4.4863610389770701</v>
      </c>
      <c r="X199" s="154" t="s">
        <v>421</v>
      </c>
      <c r="Y199" s="154">
        <v>1.0278829958612734</v>
      </c>
      <c r="Z199" s="154">
        <v>931.99966996984529</v>
      </c>
      <c r="AC199" s="28" t="s">
        <v>421</v>
      </c>
      <c r="AD199" s="9" t="s">
        <v>421</v>
      </c>
      <c r="AE199" s="9" t="s">
        <v>421</v>
      </c>
      <c r="AF199" s="28" t="s">
        <v>421</v>
      </c>
      <c r="AG199" s="28">
        <v>0.45800000000000002</v>
      </c>
      <c r="AH199" s="28">
        <v>33.503</v>
      </c>
      <c r="AI199" s="28">
        <v>0.02</v>
      </c>
      <c r="AJ199" s="28">
        <v>0.155</v>
      </c>
      <c r="AK199" s="28">
        <v>8.9999999999999993E-3</v>
      </c>
      <c r="AL199" s="28">
        <v>52.658999999999999</v>
      </c>
      <c r="AM199" s="28">
        <v>0.128</v>
      </c>
      <c r="AN199" s="28">
        <v>12.672000000000001</v>
      </c>
      <c r="AO199" s="28">
        <v>0.32200000000000001</v>
      </c>
      <c r="AP199" s="156">
        <f t="shared" si="2"/>
        <v>99.926000000000002</v>
      </c>
    </row>
    <row r="200" spans="1:42" x14ac:dyDescent="0.2">
      <c r="A200" s="9" t="s">
        <v>803</v>
      </c>
      <c r="B200" s="9" t="s">
        <v>804</v>
      </c>
      <c r="C200" s="9" t="s">
        <v>81</v>
      </c>
      <c r="D200" s="9" t="s">
        <v>108</v>
      </c>
      <c r="E200" s="154">
        <v>284492.93613097322</v>
      </c>
      <c r="F200" s="154">
        <v>287009.23526030994</v>
      </c>
      <c r="G200" s="154">
        <v>3323.2998858075007</v>
      </c>
      <c r="H200" s="154">
        <v>96280.393298872907</v>
      </c>
      <c r="I200" s="154">
        <v>0.47655426755383146</v>
      </c>
      <c r="J200" s="154">
        <v>1195.1523697547993</v>
      </c>
      <c r="K200" s="154">
        <v>524140</v>
      </c>
      <c r="L200" s="154">
        <v>522224.97304231388</v>
      </c>
      <c r="M200" s="154">
        <v>13.913417050159799</v>
      </c>
      <c r="N200" s="154">
        <v>0.33885349730441217</v>
      </c>
      <c r="O200" s="154" t="s">
        <v>421</v>
      </c>
      <c r="P200" s="154" t="s">
        <v>421</v>
      </c>
      <c r="Q200" s="154">
        <v>11.310986228248264</v>
      </c>
      <c r="R200" s="154">
        <v>6321.8285225308819</v>
      </c>
      <c r="S200" s="154">
        <v>541.21118119566404</v>
      </c>
      <c r="T200" s="154">
        <v>311.40777499015837</v>
      </c>
      <c r="U200" s="154">
        <v>310.12483195680937</v>
      </c>
      <c r="V200" s="154">
        <v>0.10980634809724565</v>
      </c>
      <c r="W200" s="154">
        <v>3.9755897134854177</v>
      </c>
      <c r="X200" s="154" t="s">
        <v>421</v>
      </c>
      <c r="Y200" s="154">
        <v>0.72210853140936382</v>
      </c>
      <c r="Z200" s="154">
        <v>540.15239476069746</v>
      </c>
      <c r="AC200" s="28" t="s">
        <v>421</v>
      </c>
      <c r="AD200" s="9" t="s">
        <v>421</v>
      </c>
      <c r="AE200" s="9" t="s">
        <v>421</v>
      </c>
      <c r="AF200" s="28" t="s">
        <v>421</v>
      </c>
      <c r="AG200" s="28">
        <v>0.36599999999999999</v>
      </c>
      <c r="AH200" s="28">
        <v>33.576999999999998</v>
      </c>
      <c r="AI200" s="28">
        <v>2.1000000000000001E-2</v>
      </c>
      <c r="AJ200" s="28">
        <v>7.6999999999999999E-2</v>
      </c>
      <c r="AK200" s="28" t="s">
        <v>421</v>
      </c>
      <c r="AL200" s="28">
        <v>52.414000000000001</v>
      </c>
      <c r="AM200" s="28">
        <v>9.8000000000000004E-2</v>
      </c>
      <c r="AN200" s="28">
        <v>12.436</v>
      </c>
      <c r="AO200" s="28">
        <v>0.56299999999999994</v>
      </c>
      <c r="AP200" s="156">
        <f t="shared" ref="AP200:AP263" si="3">SUM(AC200:AO200)</f>
        <v>99.552000000000007</v>
      </c>
    </row>
    <row r="201" spans="1:42" x14ac:dyDescent="0.2">
      <c r="A201" s="9" t="s">
        <v>805</v>
      </c>
      <c r="B201" s="9" t="s">
        <v>806</v>
      </c>
      <c r="C201" s="9" t="s">
        <v>81</v>
      </c>
      <c r="D201" s="9" t="s">
        <v>108</v>
      </c>
      <c r="E201" s="154">
        <v>286648.6765725002</v>
      </c>
      <c r="F201" s="154">
        <v>365152.16119350592</v>
      </c>
      <c r="G201" s="154">
        <v>6214.658994482761</v>
      </c>
      <c r="H201" s="154">
        <v>96133.196435683029</v>
      </c>
      <c r="I201" s="154">
        <v>1.3453554986885636</v>
      </c>
      <c r="J201" s="154">
        <v>1641.5711816763569</v>
      </c>
      <c r="K201" s="154">
        <v>524520</v>
      </c>
      <c r="L201" s="154">
        <v>521007.1742175172</v>
      </c>
      <c r="M201" s="154">
        <v>10.735846894824135</v>
      </c>
      <c r="N201" s="154" t="s">
        <v>421</v>
      </c>
      <c r="O201" s="154" t="s">
        <v>421</v>
      </c>
      <c r="P201" s="154">
        <v>1.6340220724876839</v>
      </c>
      <c r="Q201" s="154">
        <v>14.088875094617292</v>
      </c>
      <c r="R201" s="154">
        <v>6881.7330237677706</v>
      </c>
      <c r="S201" s="154">
        <v>991.66533787079823</v>
      </c>
      <c r="T201" s="154">
        <v>146.20541344168171</v>
      </c>
      <c r="U201" s="154">
        <v>145.20825360284408</v>
      </c>
      <c r="V201" s="154">
        <v>0.56875594918786221</v>
      </c>
      <c r="W201" s="154">
        <v>10.434857949082391</v>
      </c>
      <c r="X201" s="154" t="s">
        <v>421</v>
      </c>
      <c r="Y201" s="154">
        <v>1.3930125581811059</v>
      </c>
      <c r="Z201" s="154">
        <v>991.16823946509646</v>
      </c>
      <c r="AC201" s="28" t="s">
        <v>421</v>
      </c>
      <c r="AD201" s="9" t="s">
        <v>421</v>
      </c>
      <c r="AE201" s="9" t="s">
        <v>421</v>
      </c>
      <c r="AF201" s="28" t="s">
        <v>421</v>
      </c>
      <c r="AG201" s="28">
        <v>0.40200000000000002</v>
      </c>
      <c r="AH201" s="28">
        <v>33.241</v>
      </c>
      <c r="AI201" s="28" t="s">
        <v>421</v>
      </c>
      <c r="AJ201" s="28">
        <v>0.20200000000000001</v>
      </c>
      <c r="AK201" s="28" t="s">
        <v>421</v>
      </c>
      <c r="AL201" s="28">
        <v>52.451999999999998</v>
      </c>
      <c r="AM201" s="28">
        <v>0.14599999999999999</v>
      </c>
      <c r="AN201" s="28">
        <v>11.986000000000001</v>
      </c>
      <c r="AO201" s="28">
        <v>1.127</v>
      </c>
      <c r="AP201" s="156">
        <f t="shared" si="3"/>
        <v>99.555999999999997</v>
      </c>
    </row>
    <row r="202" spans="1:42" x14ac:dyDescent="0.2">
      <c r="A202" s="9" t="s">
        <v>807</v>
      </c>
      <c r="B202" s="9" t="s">
        <v>808</v>
      </c>
      <c r="C202" s="9" t="s">
        <v>81</v>
      </c>
      <c r="D202" s="9" t="s">
        <v>108</v>
      </c>
      <c r="E202" s="154">
        <v>290833.15364067024</v>
      </c>
      <c r="F202" s="154">
        <v>304668.13916134217</v>
      </c>
      <c r="G202" s="154">
        <v>6121.8142008095829</v>
      </c>
      <c r="H202" s="154">
        <v>93234.327438039632</v>
      </c>
      <c r="I202" s="154">
        <v>1.204984239479419</v>
      </c>
      <c r="J202" s="154">
        <v>2620.6754676629521</v>
      </c>
      <c r="K202" s="154">
        <v>526310</v>
      </c>
      <c r="L202" s="154">
        <v>528940.12644576828</v>
      </c>
      <c r="M202" s="154">
        <v>10.024550200022093</v>
      </c>
      <c r="N202" s="154" t="s">
        <v>421</v>
      </c>
      <c r="O202" s="154" t="s">
        <v>421</v>
      </c>
      <c r="P202" s="154">
        <v>4.9741297593030946</v>
      </c>
      <c r="Q202" s="154">
        <v>20.106847803555208</v>
      </c>
      <c r="R202" s="154">
        <v>7121.7662096901813</v>
      </c>
      <c r="S202" s="154">
        <v>1151.6675694104474</v>
      </c>
      <c r="T202" s="154">
        <v>127.59417037060804</v>
      </c>
      <c r="U202" s="154">
        <v>119.81383103573964</v>
      </c>
      <c r="V202" s="154">
        <v>1.8699673125882958</v>
      </c>
      <c r="W202" s="154">
        <v>5.366098773116625</v>
      </c>
      <c r="X202" s="154" t="s">
        <v>421</v>
      </c>
      <c r="Y202" s="154">
        <v>4.7988623608046996</v>
      </c>
      <c r="Z202" s="154">
        <v>1151.2337492311874</v>
      </c>
      <c r="AC202" s="28" t="s">
        <v>421</v>
      </c>
      <c r="AD202" s="9" t="s">
        <v>421</v>
      </c>
      <c r="AE202" s="9" t="s">
        <v>421</v>
      </c>
      <c r="AF202" s="28" t="s">
        <v>421</v>
      </c>
      <c r="AG202" s="28">
        <v>0.51</v>
      </c>
      <c r="AH202" s="28">
        <v>33.386000000000003</v>
      </c>
      <c r="AI202" s="28">
        <v>1.4E-2</v>
      </c>
      <c r="AJ202" s="28">
        <v>0.20200000000000001</v>
      </c>
      <c r="AK202" s="28" t="s">
        <v>421</v>
      </c>
      <c r="AL202" s="28">
        <v>52.631</v>
      </c>
      <c r="AM202" s="28">
        <v>0.14699999999999999</v>
      </c>
      <c r="AN202" s="28">
        <v>12.045</v>
      </c>
      <c r="AO202" s="28">
        <v>0.93700000000000006</v>
      </c>
      <c r="AP202" s="156">
        <f t="shared" si="3"/>
        <v>99.872</v>
      </c>
    </row>
    <row r="203" spans="1:42" x14ac:dyDescent="0.2">
      <c r="A203" s="9" t="s">
        <v>809</v>
      </c>
      <c r="B203" s="9" t="s">
        <v>810</v>
      </c>
      <c r="C203" s="9" t="s">
        <v>81</v>
      </c>
      <c r="D203" s="9" t="s">
        <v>108</v>
      </c>
      <c r="E203" s="154">
        <v>290178.39801962633</v>
      </c>
      <c r="F203" s="154">
        <v>297416.6969595073</v>
      </c>
      <c r="G203" s="154">
        <v>1769.6969887219193</v>
      </c>
      <c r="H203" s="154">
        <v>97221.796007305995</v>
      </c>
      <c r="I203" s="154">
        <v>1.3058198342863814</v>
      </c>
      <c r="J203" s="154">
        <v>2524.0080445332014</v>
      </c>
      <c r="K203" s="154">
        <v>522020</v>
      </c>
      <c r="L203" s="154">
        <v>528494.80994574458</v>
      </c>
      <c r="M203" s="154">
        <v>13.160731668150303</v>
      </c>
      <c r="N203" s="154" t="s">
        <v>421</v>
      </c>
      <c r="O203" s="154">
        <v>0.15402281419320873</v>
      </c>
      <c r="P203" s="154">
        <v>2.6746441443057125</v>
      </c>
      <c r="Q203" s="154">
        <v>28.256367866659389</v>
      </c>
      <c r="R203" s="154">
        <v>7054.3065538197316</v>
      </c>
      <c r="S203" s="154">
        <v>1944.8563095656336</v>
      </c>
      <c r="T203" s="154">
        <v>33.616274384697242</v>
      </c>
      <c r="U203" s="154">
        <v>34.495186702157476</v>
      </c>
      <c r="V203" s="154">
        <v>0.1415977329919258</v>
      </c>
      <c r="W203" s="154">
        <v>5.802875215552298</v>
      </c>
      <c r="X203" s="154" t="s">
        <v>421</v>
      </c>
      <c r="Y203" s="154">
        <v>0.58755004331878857</v>
      </c>
      <c r="Z203" s="154">
        <v>1944.7420142327258</v>
      </c>
      <c r="AC203" s="28" t="s">
        <v>421</v>
      </c>
      <c r="AD203" s="9" t="s">
        <v>421</v>
      </c>
      <c r="AE203" s="9" t="s">
        <v>421</v>
      </c>
      <c r="AF203" s="28" t="s">
        <v>421</v>
      </c>
      <c r="AG203" s="28">
        <v>0.58199999999999996</v>
      </c>
      <c r="AH203" s="28">
        <v>33.357999999999997</v>
      </c>
      <c r="AI203" s="28" t="s">
        <v>421</v>
      </c>
      <c r="AJ203" s="28">
        <v>0.40799999999999997</v>
      </c>
      <c r="AK203" s="28" t="s">
        <v>421</v>
      </c>
      <c r="AL203" s="28">
        <v>52.201999999999998</v>
      </c>
      <c r="AM203" s="28">
        <v>0.26100000000000001</v>
      </c>
      <c r="AN203" s="28">
        <v>12.307</v>
      </c>
      <c r="AO203" s="28">
        <v>0.32300000000000001</v>
      </c>
      <c r="AP203" s="156">
        <f t="shared" si="3"/>
        <v>99.440999999999988</v>
      </c>
    </row>
    <row r="204" spans="1:42" x14ac:dyDescent="0.2">
      <c r="A204" s="9" t="s">
        <v>811</v>
      </c>
      <c r="B204" s="9" t="s">
        <v>812</v>
      </c>
      <c r="C204" s="9" t="s">
        <v>81</v>
      </c>
      <c r="D204" s="9" t="s">
        <v>108</v>
      </c>
      <c r="E204" s="154">
        <v>298222.3413770019</v>
      </c>
      <c r="F204" s="154">
        <v>443324.98320638278</v>
      </c>
      <c r="G204" s="154">
        <v>5817.5237710811753</v>
      </c>
      <c r="H204" s="154">
        <v>105440.31901054368</v>
      </c>
      <c r="I204" s="154">
        <v>4.4925070902494975</v>
      </c>
      <c r="J204" s="154">
        <v>5352.1615921082148</v>
      </c>
      <c r="K204" s="154">
        <v>517500</v>
      </c>
      <c r="L204" s="154">
        <v>517362.81583058281</v>
      </c>
      <c r="M204" s="154">
        <v>17.312546834787099</v>
      </c>
      <c r="N204" s="154" t="s">
        <v>421</v>
      </c>
      <c r="O204" s="154">
        <v>20.117418712320518</v>
      </c>
      <c r="P204" s="154">
        <v>5.4588535824518187</v>
      </c>
      <c r="Q204" s="154">
        <v>43.779548107780933</v>
      </c>
      <c r="R204" s="154">
        <v>5352.0835888810107</v>
      </c>
      <c r="S204" s="154">
        <v>2679.4348006973669</v>
      </c>
      <c r="T204" s="154">
        <v>18.80835517814057</v>
      </c>
      <c r="U204" s="154">
        <v>19.570206136399161</v>
      </c>
      <c r="V204" s="154">
        <v>1.878002868295682</v>
      </c>
      <c r="W204" s="154">
        <v>62.552797397921196</v>
      </c>
      <c r="X204" s="154">
        <v>2.0331787066705721E-2</v>
      </c>
      <c r="Y204" s="154">
        <v>109.74111975890244</v>
      </c>
      <c r="Z204" s="154">
        <v>2679.3708522897614</v>
      </c>
      <c r="AC204" s="28" t="s">
        <v>421</v>
      </c>
      <c r="AD204" s="9" t="s">
        <v>421</v>
      </c>
      <c r="AE204" s="9" t="s">
        <v>421</v>
      </c>
      <c r="AF204" s="28" t="s">
        <v>421</v>
      </c>
      <c r="AG204" s="28">
        <v>0.53800000000000003</v>
      </c>
      <c r="AH204" s="28">
        <v>33.414999999999999</v>
      </c>
      <c r="AI204" s="28" t="s">
        <v>421</v>
      </c>
      <c r="AJ204" s="28">
        <v>0.49</v>
      </c>
      <c r="AK204" s="28" t="s">
        <v>421</v>
      </c>
      <c r="AL204" s="28">
        <v>51.75</v>
      </c>
      <c r="AM204" s="28">
        <v>0.47899999999999998</v>
      </c>
      <c r="AN204" s="28">
        <v>11.972</v>
      </c>
      <c r="AO204" s="28">
        <v>0.90700000000000003</v>
      </c>
      <c r="AP204" s="156">
        <f t="shared" si="3"/>
        <v>99.550999999999988</v>
      </c>
    </row>
    <row r="205" spans="1:42" x14ac:dyDescent="0.2">
      <c r="A205" s="9" t="s">
        <v>813</v>
      </c>
      <c r="B205" s="9" t="s">
        <v>814</v>
      </c>
      <c r="C205" s="9" t="s">
        <v>81</v>
      </c>
      <c r="D205" s="9" t="s">
        <v>109</v>
      </c>
      <c r="E205" s="154">
        <v>288672.4356121695</v>
      </c>
      <c r="F205" s="154">
        <v>292892.71598578175</v>
      </c>
      <c r="G205" s="154">
        <v>1443.2740210309157</v>
      </c>
      <c r="H205" s="154">
        <v>97806.319896585948</v>
      </c>
      <c r="I205" s="154">
        <v>131.07399811321764</v>
      </c>
      <c r="J205" s="154">
        <v>797.49033876687952</v>
      </c>
      <c r="K205" s="154">
        <v>525360</v>
      </c>
      <c r="L205" s="154">
        <v>525515.80443330994</v>
      </c>
      <c r="M205" s="154">
        <v>0.73610672431903135</v>
      </c>
      <c r="N205" s="154">
        <v>0.33285542109378496</v>
      </c>
      <c r="O205" s="154" t="s">
        <v>421</v>
      </c>
      <c r="P205" s="154">
        <v>4.7105563877366103</v>
      </c>
      <c r="Q205" s="154">
        <v>5.8787826071732194</v>
      </c>
      <c r="R205" s="154">
        <v>7020.3165318142301</v>
      </c>
      <c r="S205" s="154">
        <v>544.83795635847548</v>
      </c>
      <c r="T205" s="154">
        <v>3.5152129261590352</v>
      </c>
      <c r="U205" s="154">
        <v>3.4531233525483715</v>
      </c>
      <c r="V205" s="154" t="s">
        <v>421</v>
      </c>
      <c r="W205" s="154">
        <v>4.7504423048399955</v>
      </c>
      <c r="X205" s="154" t="s">
        <v>421</v>
      </c>
      <c r="Y205" s="154">
        <v>0.33601985004006107</v>
      </c>
      <c r="Z205" s="154">
        <v>544.8260046345265</v>
      </c>
      <c r="AC205" s="28" t="s">
        <v>421</v>
      </c>
      <c r="AD205" s="9" t="s">
        <v>421</v>
      </c>
      <c r="AE205" s="9" t="s">
        <v>421</v>
      </c>
      <c r="AF205" s="28" t="s">
        <v>421</v>
      </c>
      <c r="AG205" s="28">
        <v>0.504</v>
      </c>
      <c r="AH205" s="28">
        <v>33.353000000000002</v>
      </c>
      <c r="AI205" s="28" t="s">
        <v>421</v>
      </c>
      <c r="AJ205" s="28">
        <v>8.7999999999999995E-2</v>
      </c>
      <c r="AK205" s="28" t="s">
        <v>421</v>
      </c>
      <c r="AL205" s="28">
        <v>52.536000000000001</v>
      </c>
      <c r="AM205" s="28">
        <v>5.6000000000000001E-2</v>
      </c>
      <c r="AN205" s="28">
        <v>12.677</v>
      </c>
      <c r="AO205" s="28">
        <v>0.23400000000000001</v>
      </c>
      <c r="AP205" s="156">
        <f t="shared" si="3"/>
        <v>99.447999999999993</v>
      </c>
    </row>
    <row r="206" spans="1:42" x14ac:dyDescent="0.2">
      <c r="A206" s="9" t="s">
        <v>815</v>
      </c>
      <c r="B206" s="9" t="s">
        <v>816</v>
      </c>
      <c r="C206" s="9" t="s">
        <v>81</v>
      </c>
      <c r="D206" s="9" t="s">
        <v>109</v>
      </c>
      <c r="E206" s="154">
        <v>289268.45765520242</v>
      </c>
      <c r="F206" s="154">
        <v>292753.65138985636</v>
      </c>
      <c r="G206" s="154">
        <v>1614.6571660936186</v>
      </c>
      <c r="H206" s="154">
        <v>98434.675594644112</v>
      </c>
      <c r="I206" s="154">
        <v>91.394859673160369</v>
      </c>
      <c r="J206" s="154">
        <v>622.71672028804778</v>
      </c>
      <c r="K206" s="154">
        <v>525390</v>
      </c>
      <c r="L206" s="154">
        <v>529020.63742202544</v>
      </c>
      <c r="M206" s="154">
        <v>3.210185412452109</v>
      </c>
      <c r="N206" s="154" t="s">
        <v>421</v>
      </c>
      <c r="O206" s="154">
        <v>0.1784608600222212</v>
      </c>
      <c r="P206" s="154">
        <v>1.8077956373389508</v>
      </c>
      <c r="Q206" s="154">
        <v>5.0365027825248463</v>
      </c>
      <c r="R206" s="154">
        <v>7052.1285286570937</v>
      </c>
      <c r="S206" s="154">
        <v>432.64002724981168</v>
      </c>
      <c r="T206" s="154">
        <v>12.445094744853952</v>
      </c>
      <c r="U206" s="154">
        <v>10.743169458440635</v>
      </c>
      <c r="V206" s="154" t="s">
        <v>421</v>
      </c>
      <c r="W206" s="154">
        <v>4.3218903278623264</v>
      </c>
      <c r="X206" s="154" t="s">
        <v>421</v>
      </c>
      <c r="Y206" s="154">
        <v>0.16307427195292673</v>
      </c>
      <c r="Z206" s="154">
        <v>432.59771392767919</v>
      </c>
      <c r="AC206" s="28" t="s">
        <v>421</v>
      </c>
      <c r="AD206" s="9" t="s">
        <v>421</v>
      </c>
      <c r="AE206" s="9" t="s">
        <v>421</v>
      </c>
      <c r="AF206" s="28" t="s">
        <v>421</v>
      </c>
      <c r="AG206" s="28">
        <v>0.499</v>
      </c>
      <c r="AH206" s="28">
        <v>33.356999999999999</v>
      </c>
      <c r="AI206" s="28" t="s">
        <v>421</v>
      </c>
      <c r="AJ206" s="28">
        <v>5.7000000000000002E-2</v>
      </c>
      <c r="AK206" s="28" t="s">
        <v>421</v>
      </c>
      <c r="AL206" s="28">
        <v>52.539000000000001</v>
      </c>
      <c r="AM206" s="28">
        <v>9.4E-2</v>
      </c>
      <c r="AN206" s="28">
        <v>12.61</v>
      </c>
      <c r="AO206" s="28">
        <v>0.26200000000000001</v>
      </c>
      <c r="AP206" s="156">
        <f t="shared" si="3"/>
        <v>99.417999999999992</v>
      </c>
    </row>
    <row r="207" spans="1:42" x14ac:dyDescent="0.2">
      <c r="A207" s="9" t="s">
        <v>817</v>
      </c>
      <c r="B207" s="9" t="s">
        <v>818</v>
      </c>
      <c r="C207" s="9" t="s">
        <v>81</v>
      </c>
      <c r="D207" s="9" t="s">
        <v>109</v>
      </c>
      <c r="E207" s="154">
        <v>287097.28849890659</v>
      </c>
      <c r="F207" s="154">
        <v>287671.52807671542</v>
      </c>
      <c r="G207" s="154">
        <v>1107.0644837716361</v>
      </c>
      <c r="H207" s="154">
        <v>99949.589559079293</v>
      </c>
      <c r="I207" s="154">
        <v>124.69304391545039</v>
      </c>
      <c r="J207" s="154">
        <v>1365.8519537472928</v>
      </c>
      <c r="K207" s="154">
        <v>523530</v>
      </c>
      <c r="L207" s="154">
        <v>520513.58335866488</v>
      </c>
      <c r="M207" s="154">
        <v>3.6259467512242058</v>
      </c>
      <c r="N207" s="154">
        <v>0.31889991282023417</v>
      </c>
      <c r="O207" s="154" t="s">
        <v>421</v>
      </c>
      <c r="P207" s="154">
        <v>12.580270113894876</v>
      </c>
      <c r="Q207" s="154">
        <v>11.005240767758115</v>
      </c>
      <c r="R207" s="154">
        <v>8089.1079432360712</v>
      </c>
      <c r="S207" s="154">
        <v>868.16340073102765</v>
      </c>
      <c r="T207" s="154">
        <v>72.090641952419091</v>
      </c>
      <c r="U207" s="154">
        <v>70.117850270438026</v>
      </c>
      <c r="V207" s="154" t="s">
        <v>421</v>
      </c>
      <c r="W207" s="154">
        <v>4.4763100649819405</v>
      </c>
      <c r="X207" s="154" t="s">
        <v>421</v>
      </c>
      <c r="Y207" s="154">
        <v>6.1817221910088205E-2</v>
      </c>
      <c r="Z207" s="154">
        <v>867.91829254838945</v>
      </c>
      <c r="AC207" s="28" t="s">
        <v>421</v>
      </c>
      <c r="AD207" s="9" t="s">
        <v>421</v>
      </c>
      <c r="AE207" s="9" t="s">
        <v>421</v>
      </c>
      <c r="AF207" s="28" t="s">
        <v>421</v>
      </c>
      <c r="AG207" s="28">
        <v>0.58599999999999997</v>
      </c>
      <c r="AH207" s="28">
        <v>33.459000000000003</v>
      </c>
      <c r="AI207" s="28">
        <v>4.0000000000000001E-3</v>
      </c>
      <c r="AJ207" s="28">
        <v>0.123</v>
      </c>
      <c r="AK207" s="28" t="s">
        <v>421</v>
      </c>
      <c r="AL207" s="28">
        <v>52.353000000000002</v>
      </c>
      <c r="AM207" s="28">
        <v>8.2000000000000003E-2</v>
      </c>
      <c r="AN207" s="28">
        <v>12.946</v>
      </c>
      <c r="AO207" s="28">
        <v>0.2</v>
      </c>
      <c r="AP207" s="156">
        <f t="shared" si="3"/>
        <v>99.753</v>
      </c>
    </row>
    <row r="208" spans="1:42" x14ac:dyDescent="0.2">
      <c r="A208" s="9" t="s">
        <v>819</v>
      </c>
      <c r="B208" s="9" t="s">
        <v>820</v>
      </c>
      <c r="C208" s="9" t="s">
        <v>81</v>
      </c>
      <c r="D208" s="9" t="s">
        <v>109</v>
      </c>
      <c r="E208" s="154">
        <v>287105.33922680689</v>
      </c>
      <c r="F208" s="154">
        <v>289509.64557216386</v>
      </c>
      <c r="G208" s="154">
        <v>1078.738539153117</v>
      </c>
      <c r="H208" s="154">
        <v>101140.69424516465</v>
      </c>
      <c r="I208" s="154">
        <v>121.36640537129666</v>
      </c>
      <c r="J208" s="154">
        <v>1045.10227436388</v>
      </c>
      <c r="K208" s="154">
        <v>522110</v>
      </c>
      <c r="L208" s="154">
        <v>518160.96731899184</v>
      </c>
      <c r="M208" s="154">
        <v>4.7661318432651738</v>
      </c>
      <c r="N208" s="154" t="s">
        <v>421</v>
      </c>
      <c r="O208" s="154">
        <v>1.2956727698648083</v>
      </c>
      <c r="P208" s="154">
        <v>3.3739945099886901</v>
      </c>
      <c r="Q208" s="154">
        <v>15.820408233719604</v>
      </c>
      <c r="R208" s="154">
        <v>7302.35123412748</v>
      </c>
      <c r="S208" s="154">
        <v>684.83341281677292</v>
      </c>
      <c r="T208" s="154">
        <v>50.642329441070835</v>
      </c>
      <c r="U208" s="154">
        <v>55.122082387904122</v>
      </c>
      <c r="V208" s="154">
        <v>17.199009841482535</v>
      </c>
      <c r="W208" s="154">
        <v>4.8254123417781409</v>
      </c>
      <c r="X208" s="154">
        <v>0.1048291504301028</v>
      </c>
      <c r="Y208" s="154">
        <v>4.7013571308247259</v>
      </c>
      <c r="Z208" s="154">
        <v>684.66122889667326</v>
      </c>
      <c r="AC208" s="28" t="s">
        <v>421</v>
      </c>
      <c r="AD208" s="9" t="s">
        <v>421</v>
      </c>
      <c r="AE208" s="9" t="s">
        <v>421</v>
      </c>
      <c r="AF208" s="28" t="s">
        <v>421</v>
      </c>
      <c r="AG208" s="28">
        <v>0.54900000000000004</v>
      </c>
      <c r="AH208" s="28">
        <v>33.402000000000001</v>
      </c>
      <c r="AI208" s="28" t="s">
        <v>421</v>
      </c>
      <c r="AJ208" s="28">
        <v>0.14299999999999999</v>
      </c>
      <c r="AK208" s="28" t="s">
        <v>421</v>
      </c>
      <c r="AL208" s="28">
        <v>52.210999999999999</v>
      </c>
      <c r="AM208" s="28">
        <v>0.10100000000000001</v>
      </c>
      <c r="AN208" s="28">
        <v>12.859</v>
      </c>
      <c r="AO208" s="28">
        <v>0.17499999999999999</v>
      </c>
      <c r="AP208" s="156">
        <f t="shared" si="3"/>
        <v>99.44</v>
      </c>
    </row>
    <row r="209" spans="1:42" x14ac:dyDescent="0.2">
      <c r="A209" s="9" t="s">
        <v>821</v>
      </c>
      <c r="B209" s="9" t="s">
        <v>822</v>
      </c>
      <c r="C209" s="9" t="s">
        <v>81</v>
      </c>
      <c r="D209" s="9" t="s">
        <v>109</v>
      </c>
      <c r="E209" s="154">
        <v>295383.35284626856</v>
      </c>
      <c r="F209" s="154">
        <v>290316.79443165561</v>
      </c>
      <c r="G209" s="154">
        <v>447.15813720541519</v>
      </c>
      <c r="H209" s="154">
        <v>56295.71917667771</v>
      </c>
      <c r="I209" s="154">
        <v>19.424755032791701</v>
      </c>
      <c r="J209" s="154">
        <v>51230.114507571932</v>
      </c>
      <c r="K209" s="154">
        <v>525690</v>
      </c>
      <c r="L209" s="154">
        <v>533057.82645260252</v>
      </c>
      <c r="M209" s="154">
        <v>6.7835267560520558</v>
      </c>
      <c r="N209" s="154" t="s">
        <v>421</v>
      </c>
      <c r="O209" s="154">
        <v>0.19575240340572317</v>
      </c>
      <c r="P209" s="154">
        <v>0.89251111897666835</v>
      </c>
      <c r="Q209" s="154">
        <v>286.57631025698441</v>
      </c>
      <c r="R209" s="154">
        <v>6718.9677748240874</v>
      </c>
      <c r="S209" s="154">
        <v>379.44394308630621</v>
      </c>
      <c r="T209" s="154">
        <v>45.86659237291326</v>
      </c>
      <c r="U209" s="154">
        <v>49.99280127705071</v>
      </c>
      <c r="V209" s="154">
        <v>1.2919557545834444</v>
      </c>
      <c r="W209" s="154">
        <v>4.6208806914168816</v>
      </c>
      <c r="X209" s="154">
        <v>4.0006269056711251E-2</v>
      </c>
      <c r="Y209" s="154">
        <v>15.878755819680631</v>
      </c>
      <c r="Z209" s="154">
        <v>379.28799667223831</v>
      </c>
      <c r="AC209" s="28" t="s">
        <v>421</v>
      </c>
      <c r="AD209" s="9" t="s">
        <v>421</v>
      </c>
      <c r="AE209" s="9" t="s">
        <v>421</v>
      </c>
      <c r="AF209" s="28" t="s">
        <v>421</v>
      </c>
      <c r="AG209" s="28">
        <v>0.56299999999999994</v>
      </c>
      <c r="AH209" s="28">
        <v>33.070999999999998</v>
      </c>
      <c r="AI209" s="28" t="s">
        <v>421</v>
      </c>
      <c r="AJ209" s="28">
        <v>3.2000000000000001E-2</v>
      </c>
      <c r="AK209" s="28">
        <v>5.7000000000000002E-2</v>
      </c>
      <c r="AL209" s="28">
        <v>52.569000000000003</v>
      </c>
      <c r="AM209" s="28">
        <v>6.718</v>
      </c>
      <c r="AN209" s="28">
        <v>6.9020000000000001</v>
      </c>
      <c r="AO209" s="28">
        <v>0.04</v>
      </c>
      <c r="AP209" s="156">
        <f t="shared" si="3"/>
        <v>99.952000000000012</v>
      </c>
    </row>
    <row r="210" spans="1:42" x14ac:dyDescent="0.2">
      <c r="A210" s="9" t="s">
        <v>823</v>
      </c>
      <c r="B210" s="9" t="s">
        <v>824</v>
      </c>
      <c r="C210" s="9" t="s">
        <v>81</v>
      </c>
      <c r="D210" s="9" t="s">
        <v>109</v>
      </c>
      <c r="E210" s="154">
        <v>286082.40538395831</v>
      </c>
      <c r="F210" s="154">
        <v>287146.2460429318</v>
      </c>
      <c r="G210" s="154">
        <v>809.31145284968977</v>
      </c>
      <c r="H210" s="154">
        <v>98584.926287216746</v>
      </c>
      <c r="I210" s="154">
        <v>46.82900335261246</v>
      </c>
      <c r="J210" s="154">
        <v>460.82066823161114</v>
      </c>
      <c r="K210" s="154">
        <v>526210</v>
      </c>
      <c r="L210" s="154">
        <v>525863.86805767333</v>
      </c>
      <c r="M210" s="154">
        <v>7.1821025098900257</v>
      </c>
      <c r="N210" s="154" t="s">
        <v>421</v>
      </c>
      <c r="O210" s="154" t="s">
        <v>421</v>
      </c>
      <c r="P210" s="154" t="s">
        <v>421</v>
      </c>
      <c r="Q210" s="154">
        <v>2.6401345004382439</v>
      </c>
      <c r="R210" s="154">
        <v>7767.7647694275774</v>
      </c>
      <c r="S210" s="154">
        <v>372.5845763724742</v>
      </c>
      <c r="T210" s="154">
        <v>8.5368347077652338</v>
      </c>
      <c r="U210" s="154">
        <v>8.426999928210634</v>
      </c>
      <c r="V210" s="154">
        <v>0.53989796578147153</v>
      </c>
      <c r="W210" s="154">
        <v>4.2635235546720933</v>
      </c>
      <c r="X210" s="154">
        <v>2.018169658170672E-2</v>
      </c>
      <c r="Y210" s="154">
        <v>1.0458466322024842</v>
      </c>
      <c r="Z210" s="154">
        <v>372.55555113446781</v>
      </c>
      <c r="AC210" s="28" t="s">
        <v>421</v>
      </c>
      <c r="AD210" s="9" t="s">
        <v>421</v>
      </c>
      <c r="AE210" s="9" t="s">
        <v>421</v>
      </c>
      <c r="AF210" s="28" t="s">
        <v>421</v>
      </c>
      <c r="AG210" s="28">
        <v>0.52400000000000002</v>
      </c>
      <c r="AH210" s="28">
        <v>33.378</v>
      </c>
      <c r="AI210" s="28" t="s">
        <v>421</v>
      </c>
      <c r="AJ210" s="28">
        <v>4.2999999999999997E-2</v>
      </c>
      <c r="AK210" s="28">
        <v>1E-3</v>
      </c>
      <c r="AL210" s="28">
        <v>52.621000000000002</v>
      </c>
      <c r="AM210" s="28">
        <v>3.2000000000000001E-2</v>
      </c>
      <c r="AN210" s="28">
        <v>12.936</v>
      </c>
      <c r="AO210" s="28">
        <v>0.14099999999999999</v>
      </c>
      <c r="AP210" s="156">
        <f t="shared" si="3"/>
        <v>99.676000000000002</v>
      </c>
    </row>
    <row r="211" spans="1:42" x14ac:dyDescent="0.2">
      <c r="A211" s="9" t="s">
        <v>825</v>
      </c>
      <c r="B211" s="9" t="s">
        <v>826</v>
      </c>
      <c r="C211" s="9" t="s">
        <v>81</v>
      </c>
      <c r="D211" s="9" t="s">
        <v>109</v>
      </c>
      <c r="E211" s="154">
        <v>288756.27293624933</v>
      </c>
      <c r="F211" s="154">
        <v>321509.23360594816</v>
      </c>
      <c r="G211" s="154">
        <v>626.01983150180763</v>
      </c>
      <c r="H211" s="154">
        <v>96476.871553312332</v>
      </c>
      <c r="I211" s="154">
        <v>49.12912145822748</v>
      </c>
      <c r="J211" s="154">
        <v>1205.2152792925463</v>
      </c>
      <c r="K211" s="154">
        <v>525150</v>
      </c>
      <c r="L211" s="154">
        <v>533041.86737200234</v>
      </c>
      <c r="M211" s="154">
        <v>7.157011768289343</v>
      </c>
      <c r="N211" s="154" t="s">
        <v>421</v>
      </c>
      <c r="O211" s="154">
        <v>0.62841952278829727</v>
      </c>
      <c r="P211" s="154" t="s">
        <v>421</v>
      </c>
      <c r="Q211" s="154">
        <v>14.365942870626885</v>
      </c>
      <c r="R211" s="154">
        <v>8715.2272371990548</v>
      </c>
      <c r="S211" s="154">
        <v>696.04188576896024</v>
      </c>
      <c r="T211" s="154">
        <v>46.250877752911293</v>
      </c>
      <c r="U211" s="154">
        <v>44.556520083178469</v>
      </c>
      <c r="V211" s="154">
        <v>2.0201012542322823</v>
      </c>
      <c r="W211" s="154">
        <v>6.9482034641948536</v>
      </c>
      <c r="X211" s="154">
        <v>2.9217541144857785E-2</v>
      </c>
      <c r="Y211" s="154">
        <v>1.1631239485453728</v>
      </c>
      <c r="Z211" s="154">
        <v>695.8846327846004</v>
      </c>
      <c r="AC211" s="28" t="s">
        <v>421</v>
      </c>
      <c r="AD211" s="9" t="s">
        <v>421</v>
      </c>
      <c r="AE211" s="9" t="s">
        <v>421</v>
      </c>
      <c r="AF211" s="28" t="s">
        <v>421</v>
      </c>
      <c r="AG211" s="28">
        <v>0.65400000000000003</v>
      </c>
      <c r="AH211" s="28">
        <v>33.33</v>
      </c>
      <c r="AI211" s="28" t="s">
        <v>421</v>
      </c>
      <c r="AJ211" s="28">
        <v>0.11600000000000001</v>
      </c>
      <c r="AK211" s="28" t="s">
        <v>421</v>
      </c>
      <c r="AL211" s="28">
        <v>52.515000000000001</v>
      </c>
      <c r="AM211" s="28">
        <v>0.122</v>
      </c>
      <c r="AN211" s="28">
        <v>12.762</v>
      </c>
      <c r="AO211" s="28">
        <v>7.8E-2</v>
      </c>
      <c r="AP211" s="156">
        <f t="shared" si="3"/>
        <v>99.577000000000012</v>
      </c>
    </row>
    <row r="212" spans="1:42" x14ac:dyDescent="0.2">
      <c r="A212" s="9" t="s">
        <v>827</v>
      </c>
      <c r="B212" s="9" t="s">
        <v>828</v>
      </c>
      <c r="C212" s="9" t="s">
        <v>81</v>
      </c>
      <c r="D212" s="9" t="s">
        <v>109</v>
      </c>
      <c r="E212" s="154">
        <v>291700.91268993064</v>
      </c>
      <c r="F212" s="154">
        <v>291496.8691673319</v>
      </c>
      <c r="G212" s="154">
        <v>371.56668220062693</v>
      </c>
      <c r="H212" s="154">
        <v>58338.16864046055</v>
      </c>
      <c r="I212" s="154">
        <v>26.232137593980152</v>
      </c>
      <c r="J212" s="154">
        <v>51933.011651167923</v>
      </c>
      <c r="K212" s="154">
        <v>520620</v>
      </c>
      <c r="L212" s="154">
        <v>523932.05873473594</v>
      </c>
      <c r="M212" s="154">
        <v>19.661585494335473</v>
      </c>
      <c r="N212" s="154" t="s">
        <v>421</v>
      </c>
      <c r="O212" s="154">
        <v>0.91110978292672029</v>
      </c>
      <c r="P212" s="154">
        <v>0.90001167355773581</v>
      </c>
      <c r="Q212" s="154">
        <v>219.93660480977516</v>
      </c>
      <c r="R212" s="154">
        <v>7307.0134854488724</v>
      </c>
      <c r="S212" s="154">
        <v>585.67296640826623</v>
      </c>
      <c r="T212" s="154">
        <v>48.272195398544469</v>
      </c>
      <c r="U212" s="154">
        <v>44.018223672217516</v>
      </c>
      <c r="V212" s="154">
        <v>12.741938452077102</v>
      </c>
      <c r="W212" s="154">
        <v>6.0070022757535444</v>
      </c>
      <c r="X212" s="154">
        <v>0.26513984264492929</v>
      </c>
      <c r="Y212" s="154">
        <v>59.239426319601975</v>
      </c>
      <c r="Z212" s="154">
        <v>585.5088409439112</v>
      </c>
      <c r="AC212" s="28" t="s">
        <v>421</v>
      </c>
      <c r="AD212" s="9" t="s">
        <v>421</v>
      </c>
      <c r="AE212" s="9" t="s">
        <v>421</v>
      </c>
      <c r="AF212" s="28" t="s">
        <v>421</v>
      </c>
      <c r="AG212" s="28">
        <v>0.63</v>
      </c>
      <c r="AH212" s="28">
        <v>33.185000000000002</v>
      </c>
      <c r="AI212" s="28">
        <v>1.2E-2</v>
      </c>
      <c r="AJ212" s="28">
        <v>0.108</v>
      </c>
      <c r="AK212" s="28">
        <v>0.04</v>
      </c>
      <c r="AL212" s="28">
        <v>52.061999999999998</v>
      </c>
      <c r="AM212" s="28">
        <v>6.7249999999999996</v>
      </c>
      <c r="AN212" s="28">
        <v>7.0019999999999998</v>
      </c>
      <c r="AO212" s="28">
        <v>4.5999999999999999E-2</v>
      </c>
      <c r="AP212" s="156">
        <f t="shared" si="3"/>
        <v>99.81</v>
      </c>
    </row>
    <row r="213" spans="1:42" x14ac:dyDescent="0.2">
      <c r="A213" s="9" t="s">
        <v>829</v>
      </c>
      <c r="B213" s="9" t="s">
        <v>830</v>
      </c>
      <c r="C213" s="9" t="s">
        <v>110</v>
      </c>
      <c r="D213" s="9" t="s">
        <v>111</v>
      </c>
      <c r="E213" s="154">
        <v>301506.31364023639</v>
      </c>
      <c r="F213" s="154">
        <v>301881.79644608847</v>
      </c>
      <c r="G213" s="154">
        <v>1647.7025842931298</v>
      </c>
      <c r="H213" s="154">
        <v>78393.192367858763</v>
      </c>
      <c r="I213" s="154">
        <v>0.19731003160670491</v>
      </c>
      <c r="J213" s="154">
        <v>15.027773812722309</v>
      </c>
      <c r="K213" s="154">
        <v>560150</v>
      </c>
      <c r="L213" s="154">
        <v>554577.77784115763</v>
      </c>
      <c r="M213" s="154">
        <v>9.9822233407656427</v>
      </c>
      <c r="N213" s="154" t="s">
        <v>421</v>
      </c>
      <c r="O213" s="154">
        <v>0.28104200188098921</v>
      </c>
      <c r="P213" s="154" t="s">
        <v>421</v>
      </c>
      <c r="Q213" s="154">
        <v>0.98510594016992226</v>
      </c>
      <c r="R213" s="154">
        <v>725.92702441207598</v>
      </c>
      <c r="S213" s="154">
        <v>1.2047572105619238E-2</v>
      </c>
      <c r="T213" s="154">
        <v>0.26027887689964174</v>
      </c>
      <c r="U213" s="154">
        <v>0.31506122406184844</v>
      </c>
      <c r="V213" s="154">
        <v>8.0983419022727585E-2</v>
      </c>
      <c r="W213" s="154">
        <v>33.205801740086571</v>
      </c>
      <c r="X213" s="154" t="s">
        <v>421</v>
      </c>
      <c r="Y213" s="154">
        <v>0.58757683562924878</v>
      </c>
      <c r="Z213" s="154">
        <v>1.1162623924160456E-2</v>
      </c>
      <c r="AC213" s="28" t="s">
        <v>421</v>
      </c>
      <c r="AD213" s="9" t="s">
        <v>421</v>
      </c>
      <c r="AE213" s="9" t="s">
        <v>421</v>
      </c>
      <c r="AF213" s="28" t="s">
        <v>421</v>
      </c>
      <c r="AG213" s="28" t="s">
        <v>421</v>
      </c>
      <c r="AH213" s="28">
        <v>33.551000000000002</v>
      </c>
      <c r="AI213" s="28" t="s">
        <v>421</v>
      </c>
      <c r="AJ213" s="28" t="s">
        <v>421</v>
      </c>
      <c r="AK213" s="28" t="s">
        <v>421</v>
      </c>
      <c r="AL213" s="28">
        <v>56.015000000000001</v>
      </c>
      <c r="AM213" s="28" t="s">
        <v>421</v>
      </c>
      <c r="AN213" s="28">
        <v>9.9860000000000007</v>
      </c>
      <c r="AO213" s="28">
        <v>0.27300000000000002</v>
      </c>
      <c r="AP213" s="156">
        <f t="shared" si="3"/>
        <v>99.825000000000003</v>
      </c>
    </row>
    <row r="214" spans="1:42" x14ac:dyDescent="0.2">
      <c r="A214" s="9" t="s">
        <v>831</v>
      </c>
      <c r="B214" s="9" t="s">
        <v>832</v>
      </c>
      <c r="C214" s="9" t="s">
        <v>110</v>
      </c>
      <c r="D214" s="9" t="s">
        <v>111</v>
      </c>
      <c r="E214" s="154">
        <v>307398.23662132153</v>
      </c>
      <c r="F214" s="154">
        <v>307104.85439350881</v>
      </c>
      <c r="G214" s="154">
        <v>2071.0130114429066</v>
      </c>
      <c r="H214" s="154">
        <v>90098.418352118024</v>
      </c>
      <c r="I214" s="154">
        <v>0.28958599040239474</v>
      </c>
      <c r="J214" s="154">
        <v>17.504462879648287</v>
      </c>
      <c r="K214" s="154">
        <v>545420</v>
      </c>
      <c r="L214" s="154">
        <v>550714.50180718733</v>
      </c>
      <c r="M214" s="154">
        <v>5.4074244247379211</v>
      </c>
      <c r="N214" s="154">
        <v>0.29822086190486646</v>
      </c>
      <c r="O214" s="154" t="s">
        <v>421</v>
      </c>
      <c r="P214" s="154">
        <v>0.91818758286620661</v>
      </c>
      <c r="Q214" s="154">
        <v>4.6689655700457164</v>
      </c>
      <c r="R214" s="154">
        <v>969.945448929696</v>
      </c>
      <c r="S214" s="154">
        <v>9.5780521407778457E-2</v>
      </c>
      <c r="T214" s="154">
        <v>0.72927392168823779</v>
      </c>
      <c r="U214" s="154">
        <v>0.79242165734751624</v>
      </c>
      <c r="V214" s="154">
        <v>4.1208274132503542</v>
      </c>
      <c r="W214" s="154">
        <v>21.927316202851706</v>
      </c>
      <c r="X214" s="154" t="s">
        <v>421</v>
      </c>
      <c r="Y214" s="154">
        <v>0.63520887813496862</v>
      </c>
      <c r="Z214" s="154">
        <v>9.3300990074038442E-2</v>
      </c>
      <c r="AC214" s="28" t="s">
        <v>421</v>
      </c>
      <c r="AD214" s="9" t="s">
        <v>421</v>
      </c>
      <c r="AE214" s="9" t="s">
        <v>421</v>
      </c>
      <c r="AF214" s="28" t="s">
        <v>421</v>
      </c>
      <c r="AG214" s="28" t="s">
        <v>421</v>
      </c>
      <c r="AH214" s="28">
        <v>33.533999999999999</v>
      </c>
      <c r="AI214" s="28" t="s">
        <v>421</v>
      </c>
      <c r="AJ214" s="28" t="s">
        <v>421</v>
      </c>
      <c r="AK214" s="28" t="s">
        <v>421</v>
      </c>
      <c r="AL214" s="28">
        <v>54.542000000000002</v>
      </c>
      <c r="AM214" s="28" t="s">
        <v>421</v>
      </c>
      <c r="AN214" s="28">
        <v>11.234</v>
      </c>
      <c r="AO214" s="28">
        <v>0.34699999999999998</v>
      </c>
      <c r="AP214" s="156">
        <f t="shared" si="3"/>
        <v>99.656999999999982</v>
      </c>
    </row>
    <row r="215" spans="1:42" x14ac:dyDescent="0.2">
      <c r="A215" s="9" t="s">
        <v>833</v>
      </c>
      <c r="B215" s="9" t="s">
        <v>834</v>
      </c>
      <c r="C215" s="9" t="s">
        <v>110</v>
      </c>
      <c r="D215" s="9" t="s">
        <v>111</v>
      </c>
      <c r="E215" s="154">
        <v>299415.05647794082</v>
      </c>
      <c r="F215" s="154">
        <v>301261.36225647241</v>
      </c>
      <c r="G215" s="154">
        <v>2787.0898395942527</v>
      </c>
      <c r="H215" s="154">
        <v>96234.686187890125</v>
      </c>
      <c r="I215" s="154">
        <v>4.9639388374730073E-2</v>
      </c>
      <c r="J215" s="154">
        <v>58.848618837020695</v>
      </c>
      <c r="K215" s="154">
        <v>532090</v>
      </c>
      <c r="L215" s="154">
        <v>533167.69848738017</v>
      </c>
      <c r="M215" s="154">
        <v>6.420315682207641</v>
      </c>
      <c r="N215" s="154">
        <v>0.26489185926711961</v>
      </c>
      <c r="O215" s="154">
        <v>0.12910593685735991</v>
      </c>
      <c r="P215" s="154" t="s">
        <v>421</v>
      </c>
      <c r="Q215" s="154">
        <v>40.780917303395192</v>
      </c>
      <c r="R215" s="154">
        <v>949.49998721305803</v>
      </c>
      <c r="S215" s="154">
        <v>2.9942995372166581</v>
      </c>
      <c r="T215" s="154">
        <v>1.5191474872366255</v>
      </c>
      <c r="U215" s="154">
        <v>1.426319609443875</v>
      </c>
      <c r="V215" s="154">
        <v>119.10618749796009</v>
      </c>
      <c r="W215" s="154">
        <v>15.645058115258934</v>
      </c>
      <c r="X215" s="154" t="s">
        <v>421</v>
      </c>
      <c r="Y215" s="154">
        <v>19.559392146920224</v>
      </c>
      <c r="Z215" s="154">
        <v>2.9891344357600538</v>
      </c>
      <c r="AC215" s="28" t="s">
        <v>421</v>
      </c>
      <c r="AD215" s="9" t="s">
        <v>421</v>
      </c>
      <c r="AE215" s="9" t="s">
        <v>421</v>
      </c>
      <c r="AF215" s="28" t="s">
        <v>421</v>
      </c>
      <c r="AG215" s="28" t="s">
        <v>421</v>
      </c>
      <c r="AH215" s="28">
        <v>33.536000000000001</v>
      </c>
      <c r="AI215" s="28" t="s">
        <v>421</v>
      </c>
      <c r="AJ215" s="28" t="s">
        <v>421</v>
      </c>
      <c r="AK215" s="28" t="s">
        <v>421</v>
      </c>
      <c r="AL215" s="28">
        <v>53.209000000000003</v>
      </c>
      <c r="AM215" s="28" t="s">
        <v>421</v>
      </c>
      <c r="AN215" s="28">
        <v>12.353</v>
      </c>
      <c r="AO215" s="28">
        <v>0.48799999999999999</v>
      </c>
      <c r="AP215" s="156">
        <f t="shared" si="3"/>
        <v>99.585999999999999</v>
      </c>
    </row>
    <row r="216" spans="1:42" x14ac:dyDescent="0.2">
      <c r="A216" s="9" t="s">
        <v>835</v>
      </c>
      <c r="B216" s="9" t="s">
        <v>836</v>
      </c>
      <c r="C216" s="9" t="s">
        <v>110</v>
      </c>
      <c r="D216" s="9" t="s">
        <v>111</v>
      </c>
      <c r="E216" s="154">
        <v>300329.80767168308</v>
      </c>
      <c r="F216" s="154">
        <v>300979.4876077025</v>
      </c>
      <c r="G216" s="154">
        <v>1642.7372748332632</v>
      </c>
      <c r="H216" s="154">
        <v>80680.921554713073</v>
      </c>
      <c r="I216" s="154" t="s">
        <v>421</v>
      </c>
      <c r="J216" s="154">
        <v>16.905452580144683</v>
      </c>
      <c r="K216" s="154">
        <v>558830</v>
      </c>
      <c r="L216" s="154">
        <v>559257.00341337698</v>
      </c>
      <c r="M216" s="154">
        <v>5.0968956335241407</v>
      </c>
      <c r="N216" s="154" t="s">
        <v>421</v>
      </c>
      <c r="O216" s="154" t="s">
        <v>421</v>
      </c>
      <c r="P216" s="154" t="s">
        <v>421</v>
      </c>
      <c r="Q216" s="154">
        <v>2.0327443773006579</v>
      </c>
      <c r="R216" s="154">
        <v>794.79365558955772</v>
      </c>
      <c r="S216" s="154">
        <v>0.64519906076768563</v>
      </c>
      <c r="T216" s="154">
        <v>0.51215409601694106</v>
      </c>
      <c r="U216" s="154">
        <v>0.77960019514704137</v>
      </c>
      <c r="V216" s="154">
        <v>2.0383231905719157</v>
      </c>
      <c r="W216" s="154">
        <v>22.737888049828594</v>
      </c>
      <c r="X216" s="154" t="s">
        <v>421</v>
      </c>
      <c r="Y216" s="154">
        <v>13.018750794521768</v>
      </c>
      <c r="Z216" s="154">
        <v>0.64345773684122798</v>
      </c>
      <c r="AC216" s="28" t="s">
        <v>421</v>
      </c>
      <c r="AD216" s="9" t="s">
        <v>421</v>
      </c>
      <c r="AE216" s="9" t="s">
        <v>421</v>
      </c>
      <c r="AF216" s="28" t="s">
        <v>421</v>
      </c>
      <c r="AG216" s="28" t="s">
        <v>421</v>
      </c>
      <c r="AH216" s="28">
        <v>33.710999999999999</v>
      </c>
      <c r="AI216" s="28" t="s">
        <v>421</v>
      </c>
      <c r="AJ216" s="28" t="s">
        <v>421</v>
      </c>
      <c r="AK216" s="28" t="s">
        <v>421</v>
      </c>
      <c r="AL216" s="28">
        <v>55.883000000000003</v>
      </c>
      <c r="AM216" s="28" t="s">
        <v>421</v>
      </c>
      <c r="AN216" s="28">
        <v>10.087999999999999</v>
      </c>
      <c r="AO216" s="28">
        <v>0.27700000000000002</v>
      </c>
      <c r="AP216" s="156">
        <f t="shared" si="3"/>
        <v>99.958999999999989</v>
      </c>
    </row>
    <row r="217" spans="1:42" x14ac:dyDescent="0.2">
      <c r="A217" s="9" t="s">
        <v>837</v>
      </c>
      <c r="B217" s="9" t="s">
        <v>838</v>
      </c>
      <c r="C217" s="9" t="s">
        <v>110</v>
      </c>
      <c r="D217" s="9" t="s">
        <v>111</v>
      </c>
      <c r="E217" s="154">
        <v>298475.10883151577</v>
      </c>
      <c r="F217" s="154">
        <v>301105.91929095739</v>
      </c>
      <c r="G217" s="154">
        <v>1405.0155020503512</v>
      </c>
      <c r="H217" s="154">
        <v>92797.208920164878</v>
      </c>
      <c r="I217" s="154" t="s">
        <v>421</v>
      </c>
      <c r="J217" s="154">
        <v>10.154776586045559</v>
      </c>
      <c r="K217" s="154">
        <v>545210</v>
      </c>
      <c r="L217" s="154">
        <v>552817.42230647791</v>
      </c>
      <c r="M217" s="154">
        <v>2.6486386137559181</v>
      </c>
      <c r="N217" s="154">
        <v>0.25486889415847536</v>
      </c>
      <c r="O217" s="154" t="s">
        <v>421</v>
      </c>
      <c r="P217" s="154">
        <v>0.79960642742799748</v>
      </c>
      <c r="Q217" s="154">
        <v>0.39221261435081839</v>
      </c>
      <c r="R217" s="154">
        <v>1036.3240411668862</v>
      </c>
      <c r="S217" s="154">
        <v>6.902435773794835E-2</v>
      </c>
      <c r="T217" s="154">
        <v>0.57221130477295812</v>
      </c>
      <c r="U217" s="154">
        <v>0.43846478485112372</v>
      </c>
      <c r="V217" s="154">
        <v>6.6416680321237473E-2</v>
      </c>
      <c r="W217" s="154">
        <v>15.878782006603505</v>
      </c>
      <c r="X217" s="154" t="s">
        <v>421</v>
      </c>
      <c r="Y217" s="154">
        <v>0.30269880346990596</v>
      </c>
      <c r="Z217" s="154">
        <v>6.7078839301720289E-2</v>
      </c>
      <c r="AC217" s="28" t="s">
        <v>421</v>
      </c>
      <c r="AD217" s="9" t="s">
        <v>421</v>
      </c>
      <c r="AE217" s="9" t="s">
        <v>421</v>
      </c>
      <c r="AF217" s="28" t="s">
        <v>421</v>
      </c>
      <c r="AG217" s="28">
        <v>1.7000000000000001E-2</v>
      </c>
      <c r="AH217" s="28">
        <v>33.648000000000003</v>
      </c>
      <c r="AI217" s="28" t="s">
        <v>421</v>
      </c>
      <c r="AJ217" s="28" t="s">
        <v>421</v>
      </c>
      <c r="AK217" s="28" t="s">
        <v>421</v>
      </c>
      <c r="AL217" s="28">
        <v>54.521000000000001</v>
      </c>
      <c r="AM217" s="28" t="s">
        <v>421</v>
      </c>
      <c r="AN217" s="28">
        <v>11.456</v>
      </c>
      <c r="AO217" s="28">
        <v>0.23</v>
      </c>
      <c r="AP217" s="156">
        <f t="shared" si="3"/>
        <v>99.872000000000014</v>
      </c>
    </row>
    <row r="218" spans="1:42" x14ac:dyDescent="0.2">
      <c r="A218" s="9" t="s">
        <v>839</v>
      </c>
      <c r="B218" s="9" t="s">
        <v>840</v>
      </c>
      <c r="C218" s="9" t="s">
        <v>110</v>
      </c>
      <c r="D218" s="9" t="s">
        <v>111</v>
      </c>
      <c r="E218" s="154">
        <v>304784.03153643868</v>
      </c>
      <c r="F218" s="154">
        <v>304228.6483566339</v>
      </c>
      <c r="G218" s="154">
        <v>23.574041252974091</v>
      </c>
      <c r="H218" s="154">
        <v>1481.791363987242</v>
      </c>
      <c r="I218" s="154">
        <v>1.8070240109681257</v>
      </c>
      <c r="J218" s="154">
        <v>133.74044987149395</v>
      </c>
      <c r="K218" s="154">
        <v>662009.99999999988</v>
      </c>
      <c r="L218" s="154">
        <v>661447.26425398421</v>
      </c>
      <c r="M218" s="154">
        <v>0.13804363877591011</v>
      </c>
      <c r="N218" s="154" t="s">
        <v>421</v>
      </c>
      <c r="O218" s="154">
        <v>1.9287629774263442</v>
      </c>
      <c r="P218" s="154">
        <v>0.78798413573525661</v>
      </c>
      <c r="Q218" s="154">
        <v>46.90126267248889</v>
      </c>
      <c r="R218" s="154">
        <v>2219.5630970233415</v>
      </c>
      <c r="S218" s="154">
        <v>2.4681271277917931</v>
      </c>
      <c r="T218" s="154">
        <v>36.192477942399201</v>
      </c>
      <c r="U218" s="154">
        <v>36.375953177700154</v>
      </c>
      <c r="V218" s="154">
        <v>60.08483855502751</v>
      </c>
      <c r="W218" s="154">
        <v>86.123399377912605</v>
      </c>
      <c r="X218" s="154">
        <v>2.8187059814881107E-2</v>
      </c>
      <c r="Y218" s="154">
        <v>27.452183612971016</v>
      </c>
      <c r="Z218" s="154">
        <v>2.3450727027876357</v>
      </c>
      <c r="AC218" s="28" t="s">
        <v>421</v>
      </c>
      <c r="AD218" s="9" t="s">
        <v>421</v>
      </c>
      <c r="AE218" s="9" t="s">
        <v>421</v>
      </c>
      <c r="AF218" s="28" t="s">
        <v>421</v>
      </c>
      <c r="AG218" s="28">
        <v>0.26</v>
      </c>
      <c r="AH218" s="28">
        <v>33.213999999999999</v>
      </c>
      <c r="AI218" s="28">
        <v>0.02</v>
      </c>
      <c r="AJ218" s="28" t="s">
        <v>421</v>
      </c>
      <c r="AK218" s="28">
        <v>1.7999999999999999E-2</v>
      </c>
      <c r="AL218" s="28">
        <v>66.200999999999993</v>
      </c>
      <c r="AM218" s="28">
        <v>5.0000000000000001E-3</v>
      </c>
      <c r="AN218" s="28">
        <v>0.112</v>
      </c>
      <c r="AO218" s="28">
        <v>6.0000000000000001E-3</v>
      </c>
      <c r="AP218" s="156">
        <f t="shared" si="3"/>
        <v>99.835999999999984</v>
      </c>
    </row>
    <row r="219" spans="1:42" x14ac:dyDescent="0.2">
      <c r="A219" s="9" t="s">
        <v>841</v>
      </c>
      <c r="B219" s="9" t="s">
        <v>842</v>
      </c>
      <c r="C219" s="9" t="s">
        <v>110</v>
      </c>
      <c r="D219" s="9" t="s">
        <v>111</v>
      </c>
      <c r="E219" s="154">
        <v>306211.26200949465</v>
      </c>
      <c r="F219" s="154">
        <v>307096.72467749048</v>
      </c>
      <c r="G219" s="154">
        <v>0.6662923662256599</v>
      </c>
      <c r="H219" s="154">
        <v>52.814937412767527</v>
      </c>
      <c r="I219" s="154">
        <v>1.1392524382220108</v>
      </c>
      <c r="J219" s="154">
        <v>141.59806428236317</v>
      </c>
      <c r="K219" s="154">
        <v>664860</v>
      </c>
      <c r="L219" s="154">
        <v>667130.84877072799</v>
      </c>
      <c r="M219" s="154">
        <v>2.7667937244693068E-2</v>
      </c>
      <c r="N219" s="154">
        <v>0.24791233649358152</v>
      </c>
      <c r="O219" s="154">
        <v>1.9819915463389342</v>
      </c>
      <c r="P219" s="154" t="s">
        <v>421</v>
      </c>
      <c r="Q219" s="154">
        <v>26.80576316203301</v>
      </c>
      <c r="R219" s="154">
        <v>1813.5066864413693</v>
      </c>
      <c r="S219" s="154">
        <v>1.3120812647605211</v>
      </c>
      <c r="T219" s="154">
        <v>60.131391703086123</v>
      </c>
      <c r="U219" s="154">
        <v>58.107244226892632</v>
      </c>
      <c r="V219" s="154">
        <v>40.329133762600485</v>
      </c>
      <c r="W219" s="154">
        <v>78.715419600034707</v>
      </c>
      <c r="X219" s="154">
        <v>3.1497169979148774E-2</v>
      </c>
      <c r="Y219" s="154">
        <v>15.643723476762764</v>
      </c>
      <c r="Z219" s="154">
        <v>1.1076345329700283</v>
      </c>
      <c r="AC219" s="28" t="s">
        <v>421</v>
      </c>
      <c r="AD219" s="9" t="s">
        <v>421</v>
      </c>
      <c r="AE219" s="9" t="s">
        <v>421</v>
      </c>
      <c r="AF219" s="28" t="s">
        <v>421</v>
      </c>
      <c r="AG219" s="28">
        <v>0.185</v>
      </c>
      <c r="AH219" s="28">
        <v>32.704000000000001</v>
      </c>
      <c r="AI219" s="28">
        <v>1.2999999999999999E-2</v>
      </c>
      <c r="AJ219" s="28" t="s">
        <v>421</v>
      </c>
      <c r="AK219" s="28">
        <v>1.7000000000000001E-2</v>
      </c>
      <c r="AL219" s="28">
        <v>66.486000000000004</v>
      </c>
      <c r="AM219" s="28">
        <v>5.0000000000000001E-3</v>
      </c>
      <c r="AN219" s="28">
        <v>3.9E-2</v>
      </c>
      <c r="AO219" s="28" t="s">
        <v>421</v>
      </c>
      <c r="AP219" s="156">
        <f t="shared" si="3"/>
        <v>99.448999999999998</v>
      </c>
    </row>
    <row r="220" spans="1:42" x14ac:dyDescent="0.2">
      <c r="A220" s="9" t="s">
        <v>843</v>
      </c>
      <c r="B220" s="9" t="s">
        <v>844</v>
      </c>
      <c r="C220" s="9" t="s">
        <v>110</v>
      </c>
      <c r="D220" s="9" t="s">
        <v>111</v>
      </c>
      <c r="E220" s="154">
        <v>328085.49490923551</v>
      </c>
      <c r="F220" s="154">
        <v>331506.2872322998</v>
      </c>
      <c r="G220" s="154">
        <v>4339.4533011708854</v>
      </c>
      <c r="H220" s="154">
        <v>87059.126240149752</v>
      </c>
      <c r="I220" s="154">
        <v>0.71673042107156815</v>
      </c>
      <c r="J220" s="154">
        <v>397.15918374319835</v>
      </c>
      <c r="K220" s="154">
        <v>661250</v>
      </c>
      <c r="L220" s="154">
        <v>654720.56846736488</v>
      </c>
      <c r="M220" s="154">
        <v>12.042803763685141</v>
      </c>
      <c r="N220" s="154">
        <v>0.23527538305145621</v>
      </c>
      <c r="O220" s="154">
        <v>3.9624418351574842</v>
      </c>
      <c r="P220" s="154" t="s">
        <v>421</v>
      </c>
      <c r="Q220" s="154">
        <v>30.160599232464733</v>
      </c>
      <c r="R220" s="154">
        <v>1229.7721669670307</v>
      </c>
      <c r="S220" s="154">
        <v>3.8685355393755048</v>
      </c>
      <c r="T220" s="154">
        <v>39.654576089878084</v>
      </c>
      <c r="U220" s="154">
        <v>36.42179218522169</v>
      </c>
      <c r="V220" s="154">
        <v>40.932317598871961</v>
      </c>
      <c r="W220" s="154">
        <v>70.050643677084778</v>
      </c>
      <c r="X220" s="154">
        <v>0.14539130552193738</v>
      </c>
      <c r="Y220" s="154">
        <v>23.862630050044022</v>
      </c>
      <c r="Z220" s="154">
        <v>3.7337099806699192</v>
      </c>
      <c r="AC220" s="28">
        <v>1E-3</v>
      </c>
      <c r="AD220" s="28">
        <v>2E-3</v>
      </c>
      <c r="AE220" s="9" t="s">
        <v>421</v>
      </c>
      <c r="AF220" s="28" t="s">
        <v>421</v>
      </c>
      <c r="AG220" s="28">
        <v>5.7000000000000002E-2</v>
      </c>
      <c r="AH220" s="28">
        <v>32.837000000000003</v>
      </c>
      <c r="AI220" s="28" t="s">
        <v>421</v>
      </c>
      <c r="AJ220" s="28" t="s">
        <v>421</v>
      </c>
      <c r="AK220" s="28" t="s">
        <v>421</v>
      </c>
      <c r="AL220" s="28">
        <v>66.125</v>
      </c>
      <c r="AM220" s="28" t="s">
        <v>421</v>
      </c>
      <c r="AN220" s="28">
        <v>0.32900000000000001</v>
      </c>
      <c r="AO220" s="28">
        <v>3.2000000000000001E-2</v>
      </c>
      <c r="AP220" s="156">
        <f t="shared" si="3"/>
        <v>99.382999999999996</v>
      </c>
    </row>
    <row r="221" spans="1:42" x14ac:dyDescent="0.2">
      <c r="A221" s="9" t="s">
        <v>845</v>
      </c>
      <c r="B221" s="9" t="s">
        <v>846</v>
      </c>
      <c r="C221" s="9" t="s">
        <v>110</v>
      </c>
      <c r="D221" s="9" t="s">
        <v>111</v>
      </c>
      <c r="E221" s="154">
        <v>297276.71795056068</v>
      </c>
      <c r="F221" s="154">
        <v>294452.55875304452</v>
      </c>
      <c r="G221" s="154">
        <v>2630.9721349877263</v>
      </c>
      <c r="H221" s="154">
        <v>86408.227915338866</v>
      </c>
      <c r="I221" s="154">
        <v>3.7703359251687024E-2</v>
      </c>
      <c r="J221" s="154">
        <v>36.478202897453571</v>
      </c>
      <c r="K221" s="154">
        <v>547550</v>
      </c>
      <c r="L221" s="154">
        <v>551050.36991947901</v>
      </c>
      <c r="M221" s="154">
        <v>12.278241997200023</v>
      </c>
      <c r="N221" s="154">
        <v>0.27504141435949964</v>
      </c>
      <c r="O221" s="154">
        <v>0.15086709652108865</v>
      </c>
      <c r="P221" s="154" t="s">
        <v>421</v>
      </c>
      <c r="Q221" s="154">
        <v>10.081771377190924</v>
      </c>
      <c r="R221" s="154">
        <v>774.73925184966834</v>
      </c>
      <c r="S221" s="154">
        <v>1.2723413051176347</v>
      </c>
      <c r="T221" s="154">
        <v>4.0185557586768743</v>
      </c>
      <c r="U221" s="154">
        <v>4.4415992365248353</v>
      </c>
      <c r="V221" s="154">
        <v>7.0457225548796414</v>
      </c>
      <c r="W221" s="154">
        <v>11.481016541702944</v>
      </c>
      <c r="X221" s="154" t="s">
        <v>421</v>
      </c>
      <c r="Y221" s="154">
        <v>1.3422160620100463</v>
      </c>
      <c r="Z221" s="154">
        <v>1.2586782155381333</v>
      </c>
      <c r="AC221" s="28" t="s">
        <v>421</v>
      </c>
      <c r="AD221" s="28" t="s">
        <v>421</v>
      </c>
      <c r="AE221" s="9" t="s">
        <v>421</v>
      </c>
      <c r="AF221" s="28" t="s">
        <v>421</v>
      </c>
      <c r="AG221" s="28" t="s">
        <v>421</v>
      </c>
      <c r="AH221" s="28">
        <v>33.476999999999997</v>
      </c>
      <c r="AI221" s="28" t="s">
        <v>421</v>
      </c>
      <c r="AJ221" s="28" t="s">
        <v>421</v>
      </c>
      <c r="AK221" s="28" t="s">
        <v>421</v>
      </c>
      <c r="AL221" s="28">
        <v>54.755000000000003</v>
      </c>
      <c r="AM221" s="28" t="s">
        <v>421</v>
      </c>
      <c r="AN221" s="28">
        <v>10.962999999999999</v>
      </c>
      <c r="AO221" s="28">
        <v>0.45700000000000002</v>
      </c>
      <c r="AP221" s="156">
        <f t="shared" si="3"/>
        <v>99.651999999999987</v>
      </c>
    </row>
    <row r="222" spans="1:42" x14ac:dyDescent="0.2">
      <c r="A222" s="9" t="s">
        <v>847</v>
      </c>
      <c r="B222" s="9" t="s">
        <v>848</v>
      </c>
      <c r="C222" s="9" t="s">
        <v>110</v>
      </c>
      <c r="D222" s="9" t="s">
        <v>111</v>
      </c>
      <c r="E222" s="154">
        <v>288866.34315497067</v>
      </c>
      <c r="F222" s="154">
        <v>290548.33714853984</v>
      </c>
      <c r="G222" s="154">
        <v>2277.5249881941891</v>
      </c>
      <c r="H222" s="154">
        <v>81576.324983582075</v>
      </c>
      <c r="I222" s="154">
        <v>1.9550687497435701E-2</v>
      </c>
      <c r="J222" s="154">
        <v>18.424535899337346</v>
      </c>
      <c r="K222" s="154">
        <v>551390</v>
      </c>
      <c r="L222" s="154">
        <v>554565.71161406289</v>
      </c>
      <c r="M222" s="154">
        <v>8.6918212718761882</v>
      </c>
      <c r="N222" s="154" t="s">
        <v>421</v>
      </c>
      <c r="O222" s="154">
        <v>0.20429130203327053</v>
      </c>
      <c r="P222" s="154" t="s">
        <v>421</v>
      </c>
      <c r="Q222" s="154">
        <v>0.73301685915287496</v>
      </c>
      <c r="R222" s="154">
        <v>769.29033570753757</v>
      </c>
      <c r="S222" s="154">
        <v>1.301657256173353</v>
      </c>
      <c r="T222" s="154">
        <v>0.61407105926755778</v>
      </c>
      <c r="U222" s="154">
        <v>0.41064678739793053</v>
      </c>
      <c r="V222" s="154">
        <v>3.5737593270232369E-2</v>
      </c>
      <c r="W222" s="154">
        <v>16.752212772983675</v>
      </c>
      <c r="X222" s="154" t="s">
        <v>421</v>
      </c>
      <c r="Y222" s="154">
        <v>0.37149091342338719</v>
      </c>
      <c r="Z222" s="154">
        <v>1.2995694145718433</v>
      </c>
      <c r="AC222" s="28" t="s">
        <v>421</v>
      </c>
      <c r="AD222" s="28" t="s">
        <v>421</v>
      </c>
      <c r="AE222" s="9" t="s">
        <v>421</v>
      </c>
      <c r="AF222" s="28" t="s">
        <v>421</v>
      </c>
      <c r="AG222" s="28" t="s">
        <v>421</v>
      </c>
      <c r="AH222" s="28">
        <v>33.658999999999999</v>
      </c>
      <c r="AI222" s="28">
        <v>5.0000000000000001E-3</v>
      </c>
      <c r="AJ222" s="28" t="s">
        <v>421</v>
      </c>
      <c r="AK222" s="28" t="s">
        <v>421</v>
      </c>
      <c r="AL222" s="28">
        <v>55.139000000000003</v>
      </c>
      <c r="AM222" s="28" t="s">
        <v>421</v>
      </c>
      <c r="AN222" s="28">
        <v>10.52</v>
      </c>
      <c r="AO222" s="28">
        <v>0.376</v>
      </c>
      <c r="AP222" s="156">
        <f t="shared" si="3"/>
        <v>99.698999999999998</v>
      </c>
    </row>
    <row r="223" spans="1:42" x14ac:dyDescent="0.2">
      <c r="A223" s="9" t="s">
        <v>849</v>
      </c>
      <c r="B223" s="9" t="s">
        <v>850</v>
      </c>
      <c r="C223" s="9" t="s">
        <v>110</v>
      </c>
      <c r="D223" s="9" t="s">
        <v>111</v>
      </c>
      <c r="E223" s="154">
        <v>302594.49893571611</v>
      </c>
      <c r="F223" s="154">
        <v>296985.09966676461</v>
      </c>
      <c r="G223" s="154">
        <v>8.7184604326224502</v>
      </c>
      <c r="H223" s="154">
        <v>1456.4830966895395</v>
      </c>
      <c r="I223" s="154">
        <v>0.11951820593711576</v>
      </c>
      <c r="J223" s="154">
        <v>749.84746411300307</v>
      </c>
      <c r="K223" s="154">
        <v>655830</v>
      </c>
      <c r="L223" s="154">
        <v>650032.74032359303</v>
      </c>
      <c r="M223" s="154">
        <v>6.2601966247709806E-2</v>
      </c>
      <c r="N223" s="154" t="s">
        <v>421</v>
      </c>
      <c r="O223" s="154">
        <v>51.962418863148464</v>
      </c>
      <c r="P223" s="154" t="s">
        <v>421</v>
      </c>
      <c r="Q223" s="154">
        <v>733.21345127571215</v>
      </c>
      <c r="R223" s="154">
        <v>3125.3168969348494</v>
      </c>
      <c r="S223" s="154">
        <v>36.811523017318564</v>
      </c>
      <c r="T223" s="154">
        <v>142.97635783305844</v>
      </c>
      <c r="U223" s="154">
        <v>145.05437110564822</v>
      </c>
      <c r="V223" s="154">
        <v>1134.7460041481422</v>
      </c>
      <c r="W223" s="154">
        <v>88.941035453521962</v>
      </c>
      <c r="X223" s="154">
        <v>8.8699325569744067E-2</v>
      </c>
      <c r="Y223" s="154">
        <v>40.51945192991154</v>
      </c>
      <c r="Z223" s="154">
        <v>36.325403400686163</v>
      </c>
      <c r="AC223" s="28" t="s">
        <v>421</v>
      </c>
      <c r="AD223" s="28" t="s">
        <v>421</v>
      </c>
      <c r="AE223" s="9" t="s">
        <v>421</v>
      </c>
      <c r="AF223" s="28" t="s">
        <v>421</v>
      </c>
      <c r="AG223" s="28">
        <v>0.35499999999999998</v>
      </c>
      <c r="AH223" s="28">
        <v>33.090000000000003</v>
      </c>
      <c r="AI223" s="28">
        <v>2.7E-2</v>
      </c>
      <c r="AJ223" s="28" t="s">
        <v>421</v>
      </c>
      <c r="AK223" s="28">
        <v>1.7000000000000001E-2</v>
      </c>
      <c r="AL223" s="28">
        <v>65.582999999999998</v>
      </c>
      <c r="AM223" s="28">
        <v>6.2E-2</v>
      </c>
      <c r="AN223" s="28">
        <v>0.28899999999999998</v>
      </c>
      <c r="AO223" s="28" t="s">
        <v>421</v>
      </c>
      <c r="AP223" s="156">
        <f t="shared" si="3"/>
        <v>99.423000000000002</v>
      </c>
    </row>
    <row r="224" spans="1:42" x14ac:dyDescent="0.2">
      <c r="A224" s="9" t="s">
        <v>851</v>
      </c>
      <c r="B224" s="9" t="s">
        <v>852</v>
      </c>
      <c r="C224" s="9" t="s">
        <v>110</v>
      </c>
      <c r="D224" s="9" t="s">
        <v>111</v>
      </c>
      <c r="E224" s="154">
        <v>294200.26168536744</v>
      </c>
      <c r="F224" s="154">
        <v>399312.70294576877</v>
      </c>
      <c r="G224" s="154">
        <v>1907.8900379992331</v>
      </c>
      <c r="H224" s="154">
        <v>94564.689469243836</v>
      </c>
      <c r="I224" s="154" t="s">
        <v>421</v>
      </c>
      <c r="J224" s="154">
        <v>30.703734614722986</v>
      </c>
      <c r="K224" s="154">
        <v>558240</v>
      </c>
      <c r="L224" s="154">
        <v>554595.25787193689</v>
      </c>
      <c r="M224" s="154">
        <v>11.279874295010011</v>
      </c>
      <c r="N224" s="154">
        <v>0.69201874900994165</v>
      </c>
      <c r="O224" s="154" t="s">
        <v>421</v>
      </c>
      <c r="P224" s="154" t="s">
        <v>421</v>
      </c>
      <c r="Q224" s="154">
        <v>1.5358125567766692</v>
      </c>
      <c r="R224" s="154">
        <v>1182.6648707136587</v>
      </c>
      <c r="S224" s="154">
        <v>7.0720618195824897E-2</v>
      </c>
      <c r="T224" s="154">
        <v>12.306117901893005</v>
      </c>
      <c r="U224" s="154">
        <v>11.29764105579625</v>
      </c>
      <c r="V224" s="154">
        <v>0.21261816635750241</v>
      </c>
      <c r="W224" s="154">
        <v>38.466490747041313</v>
      </c>
      <c r="X224" s="154" t="s">
        <v>421</v>
      </c>
      <c r="Y224" s="154">
        <v>0.47397108839976804</v>
      </c>
      <c r="Z224" s="154">
        <v>2.8879817329388678E-2</v>
      </c>
      <c r="AC224" s="28" t="s">
        <v>421</v>
      </c>
      <c r="AD224" s="28" t="s">
        <v>421</v>
      </c>
      <c r="AE224" s="9" t="s">
        <v>421</v>
      </c>
      <c r="AF224" s="28" t="s">
        <v>421</v>
      </c>
      <c r="AG224" s="28" t="s">
        <v>421</v>
      </c>
      <c r="AH224" s="28">
        <v>33.438000000000002</v>
      </c>
      <c r="AI224" s="28">
        <v>8.9999999999999993E-3</v>
      </c>
      <c r="AJ224" s="28" t="s">
        <v>421</v>
      </c>
      <c r="AK224" s="28" t="s">
        <v>421</v>
      </c>
      <c r="AL224" s="28">
        <v>55.823999999999998</v>
      </c>
      <c r="AM224" s="28">
        <v>5.0000000000000001E-3</v>
      </c>
      <c r="AN224" s="28">
        <v>9.9079999999999995</v>
      </c>
      <c r="AO224" s="28">
        <v>0.32800000000000001</v>
      </c>
      <c r="AP224" s="156">
        <f t="shared" si="3"/>
        <v>99.512</v>
      </c>
    </row>
    <row r="225" spans="1:42" x14ac:dyDescent="0.2">
      <c r="A225" s="9" t="s">
        <v>853</v>
      </c>
      <c r="B225" s="9" t="s">
        <v>854</v>
      </c>
      <c r="C225" s="9" t="s">
        <v>110</v>
      </c>
      <c r="D225" s="9" t="s">
        <v>111</v>
      </c>
      <c r="E225" s="154">
        <v>299705.62216957321</v>
      </c>
      <c r="F225" s="154">
        <v>300904.52684556396</v>
      </c>
      <c r="G225" s="154">
        <v>11.217375967626596</v>
      </c>
      <c r="H225" s="154">
        <v>691.90419549412468</v>
      </c>
      <c r="I225" s="154">
        <v>1.1537559081287883</v>
      </c>
      <c r="J225" s="154">
        <v>151.14343756731125</v>
      </c>
      <c r="K225" s="154">
        <v>661970</v>
      </c>
      <c r="L225" s="154">
        <v>659801.86598040978</v>
      </c>
      <c r="M225" s="154">
        <v>9.1760207090671911E-2</v>
      </c>
      <c r="N225" s="154" t="s">
        <v>421</v>
      </c>
      <c r="O225" s="154">
        <v>2.0135759904790538</v>
      </c>
      <c r="P225" s="154">
        <v>0.85342779463710972</v>
      </c>
      <c r="Q225" s="154">
        <v>78.194544371722756</v>
      </c>
      <c r="R225" s="154">
        <v>2670.9110411985989</v>
      </c>
      <c r="S225" s="154">
        <v>6.2052023171766884</v>
      </c>
      <c r="T225" s="154">
        <v>46.220062881995418</v>
      </c>
      <c r="U225" s="154">
        <v>48.352062999086378</v>
      </c>
      <c r="V225" s="154">
        <v>97.7127693489454</v>
      </c>
      <c r="W225" s="154">
        <v>83.463579512632023</v>
      </c>
      <c r="X225" s="154">
        <v>9.9584856759740187E-2</v>
      </c>
      <c r="Y225" s="154">
        <v>34.387820790512869</v>
      </c>
      <c r="Z225" s="154">
        <v>6.0480541033779041</v>
      </c>
      <c r="AC225" s="28" t="s">
        <v>421</v>
      </c>
      <c r="AD225" s="28" t="s">
        <v>421</v>
      </c>
      <c r="AE225" s="9" t="s">
        <v>421</v>
      </c>
      <c r="AF225" s="28" t="s">
        <v>421</v>
      </c>
      <c r="AG225" s="28">
        <v>0.13900000000000001</v>
      </c>
      <c r="AH225" s="28">
        <v>32.896000000000001</v>
      </c>
      <c r="AI225" s="28" t="s">
        <v>421</v>
      </c>
      <c r="AJ225" s="28" t="s">
        <v>421</v>
      </c>
      <c r="AK225" s="28" t="s">
        <v>421</v>
      </c>
      <c r="AL225" s="28">
        <v>66.197000000000003</v>
      </c>
      <c r="AM225" s="28" t="s">
        <v>421</v>
      </c>
      <c r="AN225" s="28">
        <v>0.125</v>
      </c>
      <c r="AO225" s="28">
        <v>8.0000000000000002E-3</v>
      </c>
      <c r="AP225" s="156">
        <f t="shared" si="3"/>
        <v>99.364999999999995</v>
      </c>
    </row>
    <row r="226" spans="1:42" x14ac:dyDescent="0.2">
      <c r="A226" s="9" t="s">
        <v>855</v>
      </c>
      <c r="B226" s="9" t="s">
        <v>856</v>
      </c>
      <c r="C226" s="9" t="s">
        <v>110</v>
      </c>
      <c r="D226" s="9" t="s">
        <v>112</v>
      </c>
      <c r="E226" s="154">
        <v>303970.86685262446</v>
      </c>
      <c r="F226" s="154">
        <v>298326.0270349182</v>
      </c>
      <c r="G226" s="154">
        <v>2463.4320322383278</v>
      </c>
      <c r="H226" s="154">
        <v>107909.45355309188</v>
      </c>
      <c r="I226" s="154">
        <v>2.0399302050051724</v>
      </c>
      <c r="J226" s="154">
        <v>60.11085217976953</v>
      </c>
      <c r="K226" s="154">
        <v>520550</v>
      </c>
      <c r="L226" s="154">
        <v>528955.0536101982</v>
      </c>
      <c r="M226" s="154">
        <v>1.9491892000990731</v>
      </c>
      <c r="N226" s="154" t="s">
        <v>421</v>
      </c>
      <c r="O226" s="154">
        <v>0.23276044135954768</v>
      </c>
      <c r="P226" s="154" t="s">
        <v>421</v>
      </c>
      <c r="Q226" s="154">
        <v>1.7005248826580766</v>
      </c>
      <c r="R226" s="154">
        <v>5262.8371367259397</v>
      </c>
      <c r="S226" s="154">
        <v>38.522461350271485</v>
      </c>
      <c r="T226" s="154">
        <v>6.8912386235254841</v>
      </c>
      <c r="U226" s="154">
        <v>7.3662801222209184</v>
      </c>
      <c r="V226" s="154">
        <v>3.7007694677639626E-2</v>
      </c>
      <c r="W226" s="154">
        <v>7.7371006789407186</v>
      </c>
      <c r="X226" s="154" t="s">
        <v>421</v>
      </c>
      <c r="Y226" s="154">
        <v>0.13331903994883393</v>
      </c>
      <c r="Z226" s="154">
        <v>38.499031138951501</v>
      </c>
      <c r="AC226" s="28" t="s">
        <v>421</v>
      </c>
      <c r="AD226" s="28" t="s">
        <v>421</v>
      </c>
      <c r="AE226" s="9" t="s">
        <v>421</v>
      </c>
      <c r="AF226" s="28" t="s">
        <v>421</v>
      </c>
      <c r="AG226" s="28">
        <v>0.38</v>
      </c>
      <c r="AH226" s="28">
        <v>33.776000000000003</v>
      </c>
      <c r="AI226" s="28" t="s">
        <v>421</v>
      </c>
      <c r="AJ226" s="28" t="s">
        <v>421</v>
      </c>
      <c r="AK226" s="28" t="s">
        <v>421</v>
      </c>
      <c r="AL226" s="28">
        <v>52.055</v>
      </c>
      <c r="AM226" s="28" t="s">
        <v>421</v>
      </c>
      <c r="AN226" s="28">
        <v>13.26</v>
      </c>
      <c r="AO226" s="28">
        <v>0.39700000000000002</v>
      </c>
      <c r="AP226" s="156">
        <f t="shared" si="3"/>
        <v>99.868000000000023</v>
      </c>
    </row>
    <row r="227" spans="1:42" x14ac:dyDescent="0.2">
      <c r="A227" s="9" t="s">
        <v>857</v>
      </c>
      <c r="B227" s="9" t="s">
        <v>858</v>
      </c>
      <c r="C227" s="9" t="s">
        <v>110</v>
      </c>
      <c r="D227" s="9" t="s">
        <v>112</v>
      </c>
      <c r="E227" s="154">
        <v>296686.55550619942</v>
      </c>
      <c r="F227" s="154">
        <v>294479.50004921894</v>
      </c>
      <c r="G227" s="154">
        <v>4820.1808267680417</v>
      </c>
      <c r="H227" s="154">
        <v>91128.211562608645</v>
      </c>
      <c r="I227" s="154">
        <v>92.708174336373574</v>
      </c>
      <c r="J227" s="154">
        <v>31.179005920093257</v>
      </c>
      <c r="K227" s="154">
        <v>532710</v>
      </c>
      <c r="L227" s="154">
        <v>538151.89765885146</v>
      </c>
      <c r="M227" s="154">
        <v>1.3273715245709903</v>
      </c>
      <c r="N227" s="154" t="s">
        <v>421</v>
      </c>
      <c r="O227" s="154">
        <v>0.13449445057023682</v>
      </c>
      <c r="P227" s="154">
        <v>2.0866418546951859</v>
      </c>
      <c r="Q227" s="154">
        <v>2.5949020574936537</v>
      </c>
      <c r="R227" s="154">
        <v>3705.2318748985736</v>
      </c>
      <c r="S227" s="154">
        <v>14.064894903466843</v>
      </c>
      <c r="T227" s="154">
        <v>6.698736173922792</v>
      </c>
      <c r="U227" s="154">
        <v>6.5005148259581391</v>
      </c>
      <c r="V227" s="154">
        <v>3.9547487313996939E-2</v>
      </c>
      <c r="W227" s="154">
        <v>10.475964832688454</v>
      </c>
      <c r="X227" s="154" t="s">
        <v>421</v>
      </c>
      <c r="Y227" s="154">
        <v>0.34551144748700324</v>
      </c>
      <c r="Z227" s="154">
        <v>14.042119200475506</v>
      </c>
      <c r="AC227" s="28" t="s">
        <v>421</v>
      </c>
      <c r="AD227" s="28" t="s">
        <v>421</v>
      </c>
      <c r="AE227" s="9" t="s">
        <v>421</v>
      </c>
      <c r="AF227" s="28" t="s">
        <v>421</v>
      </c>
      <c r="AG227" s="28">
        <v>0.22900000000000001</v>
      </c>
      <c r="AH227" s="28">
        <v>33.466999999999999</v>
      </c>
      <c r="AI227" s="28" t="s">
        <v>421</v>
      </c>
      <c r="AJ227" s="28" t="s">
        <v>421</v>
      </c>
      <c r="AK227" s="28" t="s">
        <v>421</v>
      </c>
      <c r="AL227" s="28">
        <v>53.271000000000001</v>
      </c>
      <c r="AM227" s="28">
        <v>1E-3</v>
      </c>
      <c r="AN227" s="28">
        <v>11.667</v>
      </c>
      <c r="AO227" s="28">
        <v>0.81799999999999995</v>
      </c>
      <c r="AP227" s="156">
        <f t="shared" si="3"/>
        <v>99.453000000000003</v>
      </c>
    </row>
    <row r="228" spans="1:42" x14ac:dyDescent="0.2">
      <c r="A228" s="9" t="s">
        <v>859</v>
      </c>
      <c r="B228" s="9" t="s">
        <v>860</v>
      </c>
      <c r="C228" s="9" t="s">
        <v>110</v>
      </c>
      <c r="D228" s="9" t="s">
        <v>112</v>
      </c>
      <c r="E228" s="154">
        <v>341992.30512714159</v>
      </c>
      <c r="F228" s="154">
        <v>463608.53759422514</v>
      </c>
      <c r="G228" s="154">
        <v>3402.9484096245378</v>
      </c>
      <c r="H228" s="154">
        <v>122034.77874378439</v>
      </c>
      <c r="I228" s="154">
        <v>65.386550542837099</v>
      </c>
      <c r="J228" s="154">
        <v>871.90001927304411</v>
      </c>
      <c r="K228" s="154">
        <v>653510</v>
      </c>
      <c r="L228" s="154">
        <v>660568.24524495716</v>
      </c>
      <c r="M228" s="154">
        <v>0.81255931502617207</v>
      </c>
      <c r="N228" s="154">
        <v>0.82216421194008449</v>
      </c>
      <c r="O228" s="154">
        <v>0.73040701777731276</v>
      </c>
      <c r="P228" s="154">
        <v>2.5796721142635013</v>
      </c>
      <c r="Q228" s="154">
        <v>9.2486217496911447</v>
      </c>
      <c r="R228" s="154">
        <v>5640.8568780212399</v>
      </c>
      <c r="S228" s="154">
        <v>50.502821017647307</v>
      </c>
      <c r="T228" s="154">
        <v>36.895117458891058</v>
      </c>
      <c r="U228" s="154">
        <v>32.892247276905763</v>
      </c>
      <c r="V228" s="154">
        <v>1.2066005598969911</v>
      </c>
      <c r="W228" s="154">
        <v>41.752778033318656</v>
      </c>
      <c r="X228" s="154">
        <v>7.1176616265219067E-2</v>
      </c>
      <c r="Y228" s="154">
        <v>4.3035435566058791</v>
      </c>
      <c r="Z228" s="154">
        <v>50.377377618287078</v>
      </c>
      <c r="AC228" s="28" t="s">
        <v>421</v>
      </c>
      <c r="AD228" s="28" t="s">
        <v>421</v>
      </c>
      <c r="AE228" s="9" t="s">
        <v>421</v>
      </c>
      <c r="AF228" s="28" t="s">
        <v>421</v>
      </c>
      <c r="AG228" s="28">
        <v>0.55300000000000005</v>
      </c>
      <c r="AH228" s="28">
        <v>32.845999999999997</v>
      </c>
      <c r="AI228" s="28">
        <v>8.0000000000000002E-3</v>
      </c>
      <c r="AJ228" s="28" t="s">
        <v>421</v>
      </c>
      <c r="AK228" s="28" t="s">
        <v>421</v>
      </c>
      <c r="AL228" s="28">
        <v>65.350999999999999</v>
      </c>
      <c r="AM228" s="28">
        <v>3.1E-2</v>
      </c>
      <c r="AN228" s="28">
        <v>1.123</v>
      </c>
      <c r="AO228" s="28">
        <v>4.2999999999999997E-2</v>
      </c>
      <c r="AP228" s="156">
        <f t="shared" si="3"/>
        <v>99.955000000000013</v>
      </c>
    </row>
    <row r="229" spans="1:42" x14ac:dyDescent="0.2">
      <c r="A229" s="9" t="s">
        <v>861</v>
      </c>
      <c r="B229" s="9" t="s">
        <v>862</v>
      </c>
      <c r="C229" s="9" t="s">
        <v>110</v>
      </c>
      <c r="D229" s="9" t="s">
        <v>112</v>
      </c>
      <c r="E229" s="154">
        <v>296868.80818482192</v>
      </c>
      <c r="F229" s="154">
        <v>297251.82190152159</v>
      </c>
      <c r="G229" s="154">
        <v>3832.8093929294409</v>
      </c>
      <c r="H229" s="154">
        <v>96762.654434589844</v>
      </c>
      <c r="I229" s="154">
        <v>43.811499759284388</v>
      </c>
      <c r="J229" s="154">
        <v>59.724149408134302</v>
      </c>
      <c r="K229" s="154">
        <v>531200</v>
      </c>
      <c r="L229" s="154">
        <v>537712.18785696535</v>
      </c>
      <c r="M229" s="154">
        <v>2.591523512300443</v>
      </c>
      <c r="N229" s="154" t="s">
        <v>421</v>
      </c>
      <c r="O229" s="154">
        <v>0.14807539299165828</v>
      </c>
      <c r="P229" s="154">
        <v>0.70938800548146663</v>
      </c>
      <c r="Q229" s="154">
        <v>1.8192713862991456</v>
      </c>
      <c r="R229" s="154">
        <v>4296.1809369972325</v>
      </c>
      <c r="S229" s="154">
        <v>41.857381703693825</v>
      </c>
      <c r="T229" s="154">
        <v>4.70642368874302</v>
      </c>
      <c r="U229" s="154">
        <v>4.6078734919289968</v>
      </c>
      <c r="V229" s="154" t="s">
        <v>421</v>
      </c>
      <c r="W229" s="154">
        <v>7.3451283493640913</v>
      </c>
      <c r="X229" s="154" t="s">
        <v>421</v>
      </c>
      <c r="Y229" s="154">
        <v>0.20148294324459384</v>
      </c>
      <c r="Z229" s="154">
        <v>41.841379863152099</v>
      </c>
      <c r="AC229" s="28" t="s">
        <v>421</v>
      </c>
      <c r="AD229" s="28" t="s">
        <v>421</v>
      </c>
      <c r="AE229" s="9" t="s">
        <v>421</v>
      </c>
      <c r="AF229" s="28" t="s">
        <v>421</v>
      </c>
      <c r="AG229" s="28">
        <v>0.251</v>
      </c>
      <c r="AH229" s="28">
        <v>33.524999999999999</v>
      </c>
      <c r="AI229" s="28">
        <v>4.0000000000000001E-3</v>
      </c>
      <c r="AJ229" s="28" t="s">
        <v>421</v>
      </c>
      <c r="AK229" s="28" t="s">
        <v>421</v>
      </c>
      <c r="AL229" s="28">
        <v>53.12</v>
      </c>
      <c r="AM229" s="28">
        <v>1.2999999999999999E-2</v>
      </c>
      <c r="AN229" s="28">
        <v>12.156000000000001</v>
      </c>
      <c r="AO229" s="28">
        <v>0.63</v>
      </c>
      <c r="AP229" s="156">
        <f t="shared" si="3"/>
        <v>99.698999999999998</v>
      </c>
    </row>
    <row r="230" spans="1:42" x14ac:dyDescent="0.2">
      <c r="A230" s="9" t="s">
        <v>863</v>
      </c>
      <c r="B230" s="9" t="s">
        <v>864</v>
      </c>
      <c r="C230" s="9" t="s">
        <v>110</v>
      </c>
      <c r="D230" s="9" t="s">
        <v>112</v>
      </c>
      <c r="E230" s="154">
        <v>307879.70254515141</v>
      </c>
      <c r="F230" s="154">
        <v>383728.88127807342</v>
      </c>
      <c r="G230" s="154">
        <v>11069.476213357331</v>
      </c>
      <c r="H230" s="154">
        <v>138361.92512448665</v>
      </c>
      <c r="I230" s="154">
        <v>22.809678812407231</v>
      </c>
      <c r="J230" s="154">
        <v>994.34604088142339</v>
      </c>
      <c r="K230" s="154">
        <v>523440</v>
      </c>
      <c r="L230" s="154">
        <v>525763.26911983953</v>
      </c>
      <c r="M230" s="154">
        <v>7.7182311115894828</v>
      </c>
      <c r="N230" s="154">
        <v>0.43599725226378089</v>
      </c>
      <c r="O230" s="154">
        <v>0.42289621124758486</v>
      </c>
      <c r="P230" s="154">
        <v>0.67728190063939642</v>
      </c>
      <c r="Q230" s="154">
        <v>13.851855789672751</v>
      </c>
      <c r="R230" s="154">
        <v>3397.4022684903653</v>
      </c>
      <c r="S230" s="154">
        <v>38.780467918437466</v>
      </c>
      <c r="T230" s="154">
        <v>105.82612990149401</v>
      </c>
      <c r="U230" s="154">
        <v>101.2903776058827</v>
      </c>
      <c r="V230" s="154">
        <v>1.4309010741755817</v>
      </c>
      <c r="W230" s="154">
        <v>91.445505798950492</v>
      </c>
      <c r="X230" s="154">
        <v>4.9087950388443893E-2</v>
      </c>
      <c r="Y230" s="154">
        <v>11.848264982451214</v>
      </c>
      <c r="Z230" s="154">
        <v>38.420659076772388</v>
      </c>
      <c r="AC230" s="28" t="s">
        <v>421</v>
      </c>
      <c r="AD230" s="28" t="s">
        <v>421</v>
      </c>
      <c r="AE230" s="9" t="s">
        <v>421</v>
      </c>
      <c r="AF230" s="28" t="s">
        <v>421</v>
      </c>
      <c r="AG230" s="28">
        <v>0.30099999999999999</v>
      </c>
      <c r="AH230" s="28">
        <v>33.664000000000001</v>
      </c>
      <c r="AI230" s="28">
        <v>8.0000000000000002E-3</v>
      </c>
      <c r="AJ230" s="28" t="s">
        <v>421</v>
      </c>
      <c r="AK230" s="28" t="s">
        <v>421</v>
      </c>
      <c r="AL230" s="28">
        <v>52.344000000000001</v>
      </c>
      <c r="AM230" s="28" t="s">
        <v>421</v>
      </c>
      <c r="AN230" s="28">
        <v>12.731999999999999</v>
      </c>
      <c r="AO230" s="28">
        <v>0.87</v>
      </c>
      <c r="AP230" s="156">
        <f t="shared" si="3"/>
        <v>99.919000000000011</v>
      </c>
    </row>
    <row r="231" spans="1:42" x14ac:dyDescent="0.2">
      <c r="A231" s="9" t="s">
        <v>865</v>
      </c>
      <c r="B231" s="9" t="s">
        <v>866</v>
      </c>
      <c r="C231" s="9" t="s">
        <v>110</v>
      </c>
      <c r="D231" s="9" t="s">
        <v>112</v>
      </c>
      <c r="E231" s="154">
        <v>298189.69564011722</v>
      </c>
      <c r="F231" s="154">
        <v>299042.83015269466</v>
      </c>
      <c r="G231" s="154">
        <v>12250.997832685289</v>
      </c>
      <c r="H231" s="154">
        <v>75258.984309607171</v>
      </c>
      <c r="I231" s="154">
        <v>115.99822627624097</v>
      </c>
      <c r="J231" s="154">
        <v>141.69591119822493</v>
      </c>
      <c r="K231" s="154">
        <v>547430</v>
      </c>
      <c r="L231" s="154">
        <v>553421.83185995766</v>
      </c>
      <c r="M231" s="154">
        <v>1.8559350935307304</v>
      </c>
      <c r="N231" s="154" t="s">
        <v>421</v>
      </c>
      <c r="O231" s="154">
        <v>0.14026576763948909</v>
      </c>
      <c r="P231" s="154">
        <v>0.91390144942816876</v>
      </c>
      <c r="Q231" s="154">
        <v>3.6448536061358623</v>
      </c>
      <c r="R231" s="154">
        <v>3844.0017428519327</v>
      </c>
      <c r="S231" s="154">
        <v>8.6213028906416138</v>
      </c>
      <c r="T231" s="154">
        <v>92.279268123680495</v>
      </c>
      <c r="U231" s="154">
        <v>94.798286805401005</v>
      </c>
      <c r="V231" s="154" t="s">
        <v>421</v>
      </c>
      <c r="W231" s="154">
        <v>13.245541133099671</v>
      </c>
      <c r="X231" s="154">
        <v>1.6797402651656506E-2</v>
      </c>
      <c r="Y231" s="154">
        <v>0.37395940436990743</v>
      </c>
      <c r="Z231" s="154">
        <v>8.3075533790210994</v>
      </c>
      <c r="AC231" s="28" t="s">
        <v>421</v>
      </c>
      <c r="AD231" s="28" t="s">
        <v>421</v>
      </c>
      <c r="AE231" s="9" t="s">
        <v>421</v>
      </c>
      <c r="AF231" s="28" t="s">
        <v>421</v>
      </c>
      <c r="AG231" s="28">
        <v>0.20200000000000001</v>
      </c>
      <c r="AH231" s="28">
        <v>33.573999999999998</v>
      </c>
      <c r="AI231" s="28">
        <v>6.0000000000000001E-3</v>
      </c>
      <c r="AJ231" s="28" t="s">
        <v>421</v>
      </c>
      <c r="AK231" s="28" t="s">
        <v>421</v>
      </c>
      <c r="AL231" s="28">
        <v>54.743000000000002</v>
      </c>
      <c r="AM231" s="28" t="s">
        <v>421</v>
      </c>
      <c r="AN231" s="28">
        <v>9.3079999999999998</v>
      </c>
      <c r="AO231" s="28">
        <v>1.984</v>
      </c>
      <c r="AP231" s="156">
        <f t="shared" si="3"/>
        <v>99.816999999999993</v>
      </c>
    </row>
    <row r="232" spans="1:42" x14ac:dyDescent="0.2">
      <c r="A232" s="9" t="s">
        <v>867</v>
      </c>
      <c r="B232" s="9" t="s">
        <v>868</v>
      </c>
      <c r="C232" s="9" t="s">
        <v>110</v>
      </c>
      <c r="D232" s="9" t="s">
        <v>112</v>
      </c>
      <c r="E232" s="154">
        <v>296949.33556250663</v>
      </c>
      <c r="F232" s="154">
        <v>365569.22378676321</v>
      </c>
      <c r="G232" s="154">
        <v>5341.4495774347452</v>
      </c>
      <c r="H232" s="154">
        <v>70903.975288376008</v>
      </c>
      <c r="I232" s="154">
        <v>75.583804817178304</v>
      </c>
      <c r="J232" s="154">
        <v>134.29284123415297</v>
      </c>
      <c r="K232" s="154">
        <v>569020</v>
      </c>
      <c r="L232" s="154">
        <v>570264.26105854951</v>
      </c>
      <c r="M232" s="154">
        <v>1.1533556229418886</v>
      </c>
      <c r="N232" s="154" t="s">
        <v>421</v>
      </c>
      <c r="O232" s="154">
        <v>0.39112535746043409</v>
      </c>
      <c r="P232" s="154">
        <v>1.3395053717481353</v>
      </c>
      <c r="Q232" s="154">
        <v>5.1868458329594009</v>
      </c>
      <c r="R232" s="154">
        <v>2988.1981337774637</v>
      </c>
      <c r="S232" s="154">
        <v>26.703632035575719</v>
      </c>
      <c r="T232" s="154">
        <v>18.610042972723171</v>
      </c>
      <c r="U232" s="154">
        <v>22.468252002779071</v>
      </c>
      <c r="V232" s="154">
        <v>0.92772657620971111</v>
      </c>
      <c r="W232" s="154">
        <v>33.476739107925539</v>
      </c>
      <c r="X232" s="154">
        <v>5.2578385244105262E-2</v>
      </c>
      <c r="Y232" s="154">
        <v>3.7766298411688477</v>
      </c>
      <c r="Z232" s="154">
        <v>26.640357889468461</v>
      </c>
      <c r="AC232" s="28" t="s">
        <v>421</v>
      </c>
      <c r="AD232" s="28" t="s">
        <v>421</v>
      </c>
      <c r="AE232" s="9" t="s">
        <v>421</v>
      </c>
      <c r="AF232" s="28" t="s">
        <v>421</v>
      </c>
      <c r="AG232" s="28">
        <v>0.17699999999999999</v>
      </c>
      <c r="AH232" s="28">
        <v>33.439</v>
      </c>
      <c r="AI232" s="28">
        <v>2E-3</v>
      </c>
      <c r="AJ232" s="28" t="s">
        <v>421</v>
      </c>
      <c r="AK232" s="28" t="s">
        <v>421</v>
      </c>
      <c r="AL232" s="28">
        <v>56.902000000000001</v>
      </c>
      <c r="AM232" s="28" t="s">
        <v>421</v>
      </c>
      <c r="AN232" s="28">
        <v>8.3849999999999998</v>
      </c>
      <c r="AO232" s="28">
        <v>0.96799999999999997</v>
      </c>
      <c r="AP232" s="156">
        <f t="shared" si="3"/>
        <v>99.873000000000019</v>
      </c>
    </row>
    <row r="233" spans="1:42" x14ac:dyDescent="0.2">
      <c r="A233" s="9" t="s">
        <v>869</v>
      </c>
      <c r="B233" s="9" t="s">
        <v>870</v>
      </c>
      <c r="C233" s="9" t="s">
        <v>110</v>
      </c>
      <c r="D233" s="9" t="s">
        <v>112</v>
      </c>
      <c r="E233" s="154">
        <v>297440.00015237287</v>
      </c>
      <c r="F233" s="154">
        <v>295775.75657029269</v>
      </c>
      <c r="G233" s="154">
        <v>5523.661731219785</v>
      </c>
      <c r="H233" s="154">
        <v>68185.991650763463</v>
      </c>
      <c r="I233" s="154">
        <v>81.19721421629265</v>
      </c>
      <c r="J233" s="154">
        <v>52.177286359109608</v>
      </c>
      <c r="K233" s="154">
        <v>565090</v>
      </c>
      <c r="L233" s="154">
        <v>569887.99517555407</v>
      </c>
      <c r="M233" s="154">
        <v>0.90173544805132622</v>
      </c>
      <c r="N233" s="154" t="s">
        <v>421</v>
      </c>
      <c r="O233" s="154">
        <v>0.26423036906643599</v>
      </c>
      <c r="P233" s="154">
        <v>0.85855477985210882</v>
      </c>
      <c r="Q233" s="154">
        <v>4.5540910916024187</v>
      </c>
      <c r="R233" s="154">
        <v>3111.8365627366752</v>
      </c>
      <c r="S233" s="154">
        <v>30.112076345249022</v>
      </c>
      <c r="T233" s="154">
        <v>6.9576808487366391</v>
      </c>
      <c r="U233" s="154">
        <v>7.8397903794794876</v>
      </c>
      <c r="V233" s="154">
        <v>3.0318333541808768</v>
      </c>
      <c r="W233" s="154">
        <v>15.104620515825609</v>
      </c>
      <c r="X233" s="154">
        <v>3.1919474247073476E-2</v>
      </c>
      <c r="Y233" s="154">
        <v>2.0943097866626861</v>
      </c>
      <c r="Z233" s="154">
        <v>30.088420230363319</v>
      </c>
      <c r="AC233" s="28" t="s">
        <v>421</v>
      </c>
      <c r="AD233" s="28" t="s">
        <v>421</v>
      </c>
      <c r="AE233" s="9" t="s">
        <v>421</v>
      </c>
      <c r="AF233" s="28" t="s">
        <v>421</v>
      </c>
      <c r="AG233" s="28">
        <v>0.219</v>
      </c>
      <c r="AH233" s="28">
        <v>33.281999999999996</v>
      </c>
      <c r="AI233" s="28" t="s">
        <v>421</v>
      </c>
      <c r="AJ233" s="28" t="s">
        <v>421</v>
      </c>
      <c r="AK233" s="28" t="s">
        <v>421</v>
      </c>
      <c r="AL233" s="28">
        <v>56.509</v>
      </c>
      <c r="AM233" s="28">
        <v>5.0000000000000001E-3</v>
      </c>
      <c r="AN233" s="28">
        <v>8.7029999999999994</v>
      </c>
      <c r="AO233" s="28">
        <v>0.91200000000000003</v>
      </c>
      <c r="AP233" s="156">
        <f t="shared" si="3"/>
        <v>99.63</v>
      </c>
    </row>
    <row r="234" spans="1:42" x14ac:dyDescent="0.2">
      <c r="A234" s="9" t="s">
        <v>871</v>
      </c>
      <c r="B234" s="9" t="s">
        <v>872</v>
      </c>
      <c r="C234" s="9" t="s">
        <v>110</v>
      </c>
      <c r="D234" s="9" t="s">
        <v>112</v>
      </c>
      <c r="E234" s="154">
        <v>293745.11148485774</v>
      </c>
      <c r="F234" s="154">
        <v>290790.42834304291</v>
      </c>
      <c r="G234" s="154">
        <v>9803.8795503596102</v>
      </c>
      <c r="H234" s="154">
        <v>89812.612896864201</v>
      </c>
      <c r="I234" s="154">
        <v>93.352768172208343</v>
      </c>
      <c r="J234" s="154">
        <v>78.251666755613172</v>
      </c>
      <c r="K234" s="154">
        <v>522760.00000000006</v>
      </c>
      <c r="L234" s="154">
        <v>522216.33353381703</v>
      </c>
      <c r="M234" s="154">
        <v>1.2428023732791638</v>
      </c>
      <c r="N234" s="154" t="s">
        <v>421</v>
      </c>
      <c r="O234" s="154" t="s">
        <v>421</v>
      </c>
      <c r="P234" s="154">
        <v>0.96178784754092872</v>
      </c>
      <c r="Q234" s="154">
        <v>2.3008981978901493</v>
      </c>
      <c r="R234" s="154">
        <v>3415.7377162790094</v>
      </c>
      <c r="S234" s="154">
        <v>68.117600465676418</v>
      </c>
      <c r="T234" s="154">
        <v>3.7971549275567558</v>
      </c>
      <c r="U234" s="154">
        <v>3.7484371504887894</v>
      </c>
      <c r="V234" s="154" t="s">
        <v>421</v>
      </c>
      <c r="W234" s="154">
        <v>13.703087084639895</v>
      </c>
      <c r="X234" s="154">
        <v>1.603609491394356E-2</v>
      </c>
      <c r="Y234" s="154">
        <v>5.5577650805938132</v>
      </c>
      <c r="Z234" s="154">
        <v>68.10469013892272</v>
      </c>
      <c r="AC234" s="28" t="s">
        <v>421</v>
      </c>
      <c r="AD234" s="28" t="s">
        <v>421</v>
      </c>
      <c r="AE234" s="9" t="s">
        <v>421</v>
      </c>
      <c r="AF234" s="28" t="s">
        <v>421</v>
      </c>
      <c r="AG234" s="28">
        <v>0.221</v>
      </c>
      <c r="AH234" s="28">
        <v>33.774000000000001</v>
      </c>
      <c r="AI234" s="28" t="s">
        <v>421</v>
      </c>
      <c r="AJ234" s="28" t="s">
        <v>421</v>
      </c>
      <c r="AK234" s="28" t="s">
        <v>421</v>
      </c>
      <c r="AL234" s="28">
        <v>52.276000000000003</v>
      </c>
      <c r="AM234" s="28">
        <v>1.4999999999999999E-2</v>
      </c>
      <c r="AN234" s="28">
        <v>11.595000000000001</v>
      </c>
      <c r="AO234" s="28">
        <v>1.696</v>
      </c>
      <c r="AP234" s="156">
        <f t="shared" si="3"/>
        <v>99.576999999999998</v>
      </c>
    </row>
    <row r="235" spans="1:42" x14ac:dyDescent="0.2">
      <c r="A235" s="9" t="s">
        <v>873</v>
      </c>
      <c r="B235" s="9" t="s">
        <v>874</v>
      </c>
      <c r="C235" s="9" t="s">
        <v>110</v>
      </c>
      <c r="D235" s="9" t="s">
        <v>112</v>
      </c>
      <c r="E235" s="154">
        <v>297707.31239930121</v>
      </c>
      <c r="F235" s="154">
        <v>302786.96177295398</v>
      </c>
      <c r="G235" s="154">
        <v>9500.6968029906711</v>
      </c>
      <c r="H235" s="154">
        <v>104183.19263120038</v>
      </c>
      <c r="I235" s="154">
        <v>72.750861299331348</v>
      </c>
      <c r="J235" s="154">
        <v>59.359033680866808</v>
      </c>
      <c r="K235" s="154">
        <v>511510.00000000006</v>
      </c>
      <c r="L235" s="154">
        <v>519297.54522710235</v>
      </c>
      <c r="M235" s="154">
        <v>1.304251458987973</v>
      </c>
      <c r="N235" s="154" t="s">
        <v>421</v>
      </c>
      <c r="O235" s="154">
        <v>0.14462703326402734</v>
      </c>
      <c r="P235" s="154">
        <v>0.92888361333454206</v>
      </c>
      <c r="Q235" s="154">
        <v>1.7731835873158275</v>
      </c>
      <c r="R235" s="154">
        <v>3564.1544154758681</v>
      </c>
      <c r="S235" s="154">
        <v>48.029836986041694</v>
      </c>
      <c r="T235" s="154">
        <v>6.6659159919645692</v>
      </c>
      <c r="U235" s="154">
        <v>6.4161189411246946</v>
      </c>
      <c r="V235" s="154" t="s">
        <v>421</v>
      </c>
      <c r="W235" s="154">
        <v>3.3707283561506318</v>
      </c>
      <c r="X235" s="154" t="s">
        <v>421</v>
      </c>
      <c r="Y235" s="154">
        <v>0.10497225153422378</v>
      </c>
      <c r="Z235" s="154">
        <v>48.007172871669013</v>
      </c>
      <c r="AC235" s="28" t="s">
        <v>421</v>
      </c>
      <c r="AD235" s="28" t="s">
        <v>421</v>
      </c>
      <c r="AE235" s="9" t="s">
        <v>421</v>
      </c>
      <c r="AF235" s="28">
        <v>1.6E-2</v>
      </c>
      <c r="AG235" s="28">
        <v>0.17299999999999999</v>
      </c>
      <c r="AH235" s="28">
        <v>33.75</v>
      </c>
      <c r="AI235" s="28" t="s">
        <v>421</v>
      </c>
      <c r="AJ235" s="28" t="s">
        <v>421</v>
      </c>
      <c r="AK235" s="28" t="s">
        <v>421</v>
      </c>
      <c r="AL235" s="28">
        <v>51.151000000000003</v>
      </c>
      <c r="AM235" s="28" t="s">
        <v>421</v>
      </c>
      <c r="AN235" s="28">
        <v>13.034000000000001</v>
      </c>
      <c r="AO235" s="28">
        <v>1.6060000000000001</v>
      </c>
      <c r="AP235" s="156">
        <f t="shared" si="3"/>
        <v>99.73</v>
      </c>
    </row>
    <row r="236" spans="1:42" x14ac:dyDescent="0.2">
      <c r="A236" s="9" t="s">
        <v>875</v>
      </c>
      <c r="B236" s="9" t="s">
        <v>876</v>
      </c>
      <c r="C236" s="9" t="s">
        <v>110</v>
      </c>
      <c r="D236" s="9" t="s">
        <v>113</v>
      </c>
      <c r="E236" s="154">
        <v>292972.10015055095</v>
      </c>
      <c r="F236" s="154">
        <v>294943.61572111776</v>
      </c>
      <c r="G236" s="154">
        <v>6355.7254099364709</v>
      </c>
      <c r="H236" s="154">
        <v>80620.928952593895</v>
      </c>
      <c r="I236" s="154">
        <v>2.3199982979903725E-2</v>
      </c>
      <c r="J236" s="154">
        <v>55.426279795962721</v>
      </c>
      <c r="K236" s="154">
        <v>547520</v>
      </c>
      <c r="L236" s="154">
        <v>544633.13859784114</v>
      </c>
      <c r="M236" s="154">
        <v>7.2836715380049188</v>
      </c>
      <c r="N236" s="154" t="s">
        <v>421</v>
      </c>
      <c r="O236" s="154">
        <v>0.28267667239907102</v>
      </c>
      <c r="P236" s="154" t="s">
        <v>421</v>
      </c>
      <c r="Q236" s="154">
        <v>10.47310463926498</v>
      </c>
      <c r="R236" s="154">
        <v>1062.1269992377513</v>
      </c>
      <c r="S236" s="154">
        <v>1.2604849319118705</v>
      </c>
      <c r="T236" s="154">
        <v>4.8270633257535058</v>
      </c>
      <c r="U236" s="154">
        <v>5.5215103905881717</v>
      </c>
      <c r="V236" s="154">
        <v>26.434917644806806</v>
      </c>
      <c r="W236" s="154">
        <v>6.6030316506062707</v>
      </c>
      <c r="X236" s="154">
        <v>1.6006541270251372E-2</v>
      </c>
      <c r="Y236" s="154">
        <v>888.46382769234253</v>
      </c>
      <c r="Z236" s="154">
        <v>1.2440729166043085</v>
      </c>
      <c r="AC236" s="28" t="s">
        <v>421</v>
      </c>
      <c r="AD236" s="28" t="s">
        <v>421</v>
      </c>
      <c r="AE236" s="9" t="s">
        <v>421</v>
      </c>
      <c r="AF236" s="28" t="s">
        <v>421</v>
      </c>
      <c r="AG236" s="28" t="s">
        <v>421</v>
      </c>
      <c r="AH236" s="28">
        <v>33.811</v>
      </c>
      <c r="AI236" s="28">
        <v>1E-3</v>
      </c>
      <c r="AJ236" s="28" t="s">
        <v>421</v>
      </c>
      <c r="AK236" s="28" t="s">
        <v>421</v>
      </c>
      <c r="AL236" s="28">
        <v>54.752000000000002</v>
      </c>
      <c r="AM236" s="28" t="s">
        <v>421</v>
      </c>
      <c r="AN236" s="28">
        <v>10.423999999999999</v>
      </c>
      <c r="AO236" s="28">
        <v>1.0549999999999999</v>
      </c>
      <c r="AP236" s="156">
        <f t="shared" si="3"/>
        <v>100.04300000000001</v>
      </c>
    </row>
    <row r="237" spans="1:42" x14ac:dyDescent="0.2">
      <c r="A237" s="9" t="s">
        <v>877</v>
      </c>
      <c r="B237" s="9" t="s">
        <v>878</v>
      </c>
      <c r="C237" s="9" t="s">
        <v>110</v>
      </c>
      <c r="D237" s="9" t="s">
        <v>113</v>
      </c>
      <c r="E237" s="154">
        <v>304642.09192197479</v>
      </c>
      <c r="F237" s="154">
        <v>306015.11376228114</v>
      </c>
      <c r="G237" s="154">
        <v>690.2641461579683</v>
      </c>
      <c r="H237" s="154">
        <v>6517.4813459445031</v>
      </c>
      <c r="I237" s="154">
        <v>0.36762007317230699</v>
      </c>
      <c r="J237" s="154">
        <v>992.18680405826183</v>
      </c>
      <c r="K237" s="154">
        <v>652120</v>
      </c>
      <c r="L237" s="154">
        <v>656969.39943273249</v>
      </c>
      <c r="M237" s="154">
        <v>8.0118669598814396</v>
      </c>
      <c r="N237" s="154" t="s">
        <v>421</v>
      </c>
      <c r="O237" s="154">
        <v>17.512977274067541</v>
      </c>
      <c r="P237" s="154" t="s">
        <v>421</v>
      </c>
      <c r="Q237" s="154">
        <v>640.87008737576923</v>
      </c>
      <c r="R237" s="154">
        <v>4022.5282352145218</v>
      </c>
      <c r="S237" s="154">
        <v>6.1109551766389014</v>
      </c>
      <c r="T237" s="154">
        <v>120.54183551893671</v>
      </c>
      <c r="U237" s="154">
        <v>112.59175629529682</v>
      </c>
      <c r="V237" s="154">
        <v>711.25908946537731</v>
      </c>
      <c r="W237" s="154">
        <v>47.434586623023243</v>
      </c>
      <c r="X237" s="154">
        <v>0.6293135770351207</v>
      </c>
      <c r="Y237" s="154">
        <v>109.38911254642204</v>
      </c>
      <c r="Z237" s="154">
        <v>5.7011129358745167</v>
      </c>
      <c r="AC237" s="28" t="s">
        <v>421</v>
      </c>
      <c r="AD237" s="28" t="s">
        <v>421</v>
      </c>
      <c r="AE237" s="9" t="s">
        <v>421</v>
      </c>
      <c r="AF237" s="28" t="s">
        <v>421</v>
      </c>
      <c r="AG237" s="28">
        <v>0.60299999999999998</v>
      </c>
      <c r="AH237" s="28">
        <v>32.826000000000001</v>
      </c>
      <c r="AI237" s="28">
        <v>1.0999999999999999E-2</v>
      </c>
      <c r="AJ237" s="28" t="s">
        <v>421</v>
      </c>
      <c r="AK237" s="28">
        <v>6.3E-2</v>
      </c>
      <c r="AL237" s="28">
        <v>65.212000000000003</v>
      </c>
      <c r="AM237" s="28">
        <v>3.2000000000000001E-2</v>
      </c>
      <c r="AN237" s="28">
        <v>0.497</v>
      </c>
      <c r="AO237" s="28">
        <v>7.3999999999999996E-2</v>
      </c>
      <c r="AP237" s="156">
        <f t="shared" si="3"/>
        <v>99.317999999999998</v>
      </c>
    </row>
    <row r="238" spans="1:42" x14ac:dyDescent="0.2">
      <c r="A238" s="9" t="s">
        <v>879</v>
      </c>
      <c r="B238" s="9" t="s">
        <v>880</v>
      </c>
      <c r="C238" s="9" t="s">
        <v>110</v>
      </c>
      <c r="D238" s="9" t="s">
        <v>113</v>
      </c>
      <c r="E238" s="154">
        <v>296322.9432293665</v>
      </c>
      <c r="F238" s="154">
        <v>293148.65123434202</v>
      </c>
      <c r="G238" s="154">
        <v>4986.5601723411928</v>
      </c>
      <c r="H238" s="154">
        <v>87447.835247487688</v>
      </c>
      <c r="I238" s="154">
        <v>0.10202159310247826</v>
      </c>
      <c r="J238" s="154">
        <v>13.654509478072951</v>
      </c>
      <c r="K238" s="154">
        <v>539070</v>
      </c>
      <c r="L238" s="154">
        <v>535227.57158647641</v>
      </c>
      <c r="M238" s="154">
        <v>6.4115437085939746</v>
      </c>
      <c r="N238" s="154" t="s">
        <v>421</v>
      </c>
      <c r="O238" s="154">
        <v>0.13113671944990404</v>
      </c>
      <c r="P238" s="154">
        <v>0.83874081222435759</v>
      </c>
      <c r="Q238" s="154">
        <v>0.68865903787726068</v>
      </c>
      <c r="R238" s="154">
        <v>1150.2498527015696</v>
      </c>
      <c r="S238" s="154">
        <v>0.90015337133384699</v>
      </c>
      <c r="T238" s="154">
        <v>1.1473252626240698</v>
      </c>
      <c r="U238" s="154">
        <v>1.5213223398134492</v>
      </c>
      <c r="V238" s="154">
        <v>0.34459855692520425</v>
      </c>
      <c r="W238" s="154">
        <v>8.2764138339683022</v>
      </c>
      <c r="X238" s="154">
        <v>1.7117614316662824E-2</v>
      </c>
      <c r="Y238" s="154">
        <v>0.38120713664224276</v>
      </c>
      <c r="Z238" s="154">
        <v>0.89625246544092518</v>
      </c>
      <c r="AC238" s="28" t="s">
        <v>421</v>
      </c>
      <c r="AD238" s="28" t="s">
        <v>421</v>
      </c>
      <c r="AE238" s="9" t="s">
        <v>421</v>
      </c>
      <c r="AF238" s="28" t="s">
        <v>421</v>
      </c>
      <c r="AG238" s="28" t="s">
        <v>421</v>
      </c>
      <c r="AH238" s="28">
        <v>33.734000000000002</v>
      </c>
      <c r="AI238" s="28">
        <v>5.0000000000000001E-3</v>
      </c>
      <c r="AJ238" s="28" t="s">
        <v>421</v>
      </c>
      <c r="AK238" s="28" t="s">
        <v>421</v>
      </c>
      <c r="AL238" s="28">
        <v>53.906999999999996</v>
      </c>
      <c r="AM238" s="28" t="s">
        <v>421</v>
      </c>
      <c r="AN238" s="28">
        <v>11.157999999999999</v>
      </c>
      <c r="AO238" s="28">
        <v>0.9</v>
      </c>
      <c r="AP238" s="156">
        <f t="shared" si="3"/>
        <v>99.704000000000008</v>
      </c>
    </row>
    <row r="239" spans="1:42" x14ac:dyDescent="0.2">
      <c r="A239" s="9" t="s">
        <v>881</v>
      </c>
      <c r="B239" s="9" t="s">
        <v>882</v>
      </c>
      <c r="C239" s="9" t="s">
        <v>110</v>
      </c>
      <c r="D239" s="9" t="s">
        <v>113</v>
      </c>
      <c r="E239" s="154">
        <v>292556.79219833971</v>
      </c>
      <c r="F239" s="154">
        <v>290556.37859659182</v>
      </c>
      <c r="G239" s="154">
        <v>5516.4455897585058</v>
      </c>
      <c r="H239" s="154">
        <v>83948.198451957389</v>
      </c>
      <c r="I239" s="154">
        <v>2.5230772667607718E-2</v>
      </c>
      <c r="J239" s="154">
        <v>32.24101347363392</v>
      </c>
      <c r="K239" s="154">
        <v>546220</v>
      </c>
      <c r="L239" s="154">
        <v>545696.1744741773</v>
      </c>
      <c r="M239" s="154">
        <v>11.665315290922711</v>
      </c>
      <c r="N239" s="154" t="s">
        <v>421</v>
      </c>
      <c r="O239" s="154" t="s">
        <v>421</v>
      </c>
      <c r="P239" s="154" t="s">
        <v>421</v>
      </c>
      <c r="Q239" s="154">
        <v>2.0988051156267935</v>
      </c>
      <c r="R239" s="154">
        <v>1208.8592749845664</v>
      </c>
      <c r="S239" s="154">
        <v>0.98144414207675468</v>
      </c>
      <c r="T239" s="154">
        <v>1.6448835769556327</v>
      </c>
      <c r="U239" s="154">
        <v>2.1237624684573548</v>
      </c>
      <c r="V239" s="154">
        <v>0.29147587618317183</v>
      </c>
      <c r="W239" s="154">
        <v>11.191006446513244</v>
      </c>
      <c r="X239" s="154">
        <v>1.7954761513189903E-2</v>
      </c>
      <c r="Y239" s="154">
        <v>0.54417333548936586</v>
      </c>
      <c r="Z239" s="154">
        <v>0.97585153791510548</v>
      </c>
      <c r="AC239" s="28" t="s">
        <v>421</v>
      </c>
      <c r="AD239" s="28" t="s">
        <v>421</v>
      </c>
      <c r="AE239" s="9" t="s">
        <v>421</v>
      </c>
      <c r="AF239" s="28" t="s">
        <v>421</v>
      </c>
      <c r="AG239" s="28" t="s">
        <v>421</v>
      </c>
      <c r="AH239" s="28">
        <v>33.616999999999997</v>
      </c>
      <c r="AI239" s="28">
        <v>7.0000000000000001E-3</v>
      </c>
      <c r="AJ239" s="28" t="s">
        <v>421</v>
      </c>
      <c r="AK239" s="28" t="s">
        <v>421</v>
      </c>
      <c r="AL239" s="28">
        <v>54.622</v>
      </c>
      <c r="AM239" s="28" t="s">
        <v>421</v>
      </c>
      <c r="AN239" s="28">
        <v>10.672000000000001</v>
      </c>
      <c r="AO239" s="28">
        <v>0.98799999999999999</v>
      </c>
      <c r="AP239" s="156">
        <f t="shared" si="3"/>
        <v>99.905999999999992</v>
      </c>
    </row>
    <row r="240" spans="1:42" x14ac:dyDescent="0.2">
      <c r="A240" s="9" t="s">
        <v>883</v>
      </c>
      <c r="B240" s="9" t="s">
        <v>884</v>
      </c>
      <c r="C240" s="9" t="s">
        <v>110</v>
      </c>
      <c r="D240" s="9" t="s">
        <v>113</v>
      </c>
      <c r="E240" s="154">
        <v>296780.86590615276</v>
      </c>
      <c r="F240" s="154">
        <v>296064.69150026224</v>
      </c>
      <c r="G240" s="154">
        <v>5663.3123994278048</v>
      </c>
      <c r="H240" s="154">
        <v>81639.595623245434</v>
      </c>
      <c r="I240" s="154">
        <v>2.3693390566793399E-2</v>
      </c>
      <c r="J240" s="154">
        <v>17.508171692590004</v>
      </c>
      <c r="K240" s="154">
        <v>550760</v>
      </c>
      <c r="L240" s="154">
        <v>554518.60352225939</v>
      </c>
      <c r="M240" s="154">
        <v>10.272195462851061</v>
      </c>
      <c r="N240" s="154" t="s">
        <v>421</v>
      </c>
      <c r="O240" s="154">
        <v>0.15238730851665369</v>
      </c>
      <c r="P240" s="154" t="s">
        <v>421</v>
      </c>
      <c r="Q240" s="154">
        <v>1.0539827358960594</v>
      </c>
      <c r="R240" s="154">
        <v>1046.0973513525726</v>
      </c>
      <c r="S240" s="154">
        <v>1.0078531618158886</v>
      </c>
      <c r="T240" s="154">
        <v>1.0008398237747558</v>
      </c>
      <c r="U240" s="154">
        <v>1.1995270387881256</v>
      </c>
      <c r="V240" s="154">
        <v>3.3415965018976728</v>
      </c>
      <c r="W240" s="154">
        <v>11.515795695753065</v>
      </c>
      <c r="X240" s="154" t="s">
        <v>421</v>
      </c>
      <c r="Y240" s="154">
        <v>0.39577099623386541</v>
      </c>
      <c r="Z240" s="154">
        <v>1.0044503064150545</v>
      </c>
      <c r="AC240" s="28" t="s">
        <v>421</v>
      </c>
      <c r="AD240" s="28" t="s">
        <v>421</v>
      </c>
      <c r="AE240" s="9" t="s">
        <v>421</v>
      </c>
      <c r="AF240" s="28" t="s">
        <v>421</v>
      </c>
      <c r="AG240" s="28" t="s">
        <v>421</v>
      </c>
      <c r="AH240" s="28">
        <v>33.389000000000003</v>
      </c>
      <c r="AI240" s="28" t="s">
        <v>421</v>
      </c>
      <c r="AJ240" s="28" t="s">
        <v>421</v>
      </c>
      <c r="AK240" s="28" t="s">
        <v>421</v>
      </c>
      <c r="AL240" s="28">
        <v>55.076000000000001</v>
      </c>
      <c r="AM240" s="28" t="s">
        <v>421</v>
      </c>
      <c r="AN240" s="28">
        <v>10.246</v>
      </c>
      <c r="AO240" s="28">
        <v>0.94199999999999995</v>
      </c>
      <c r="AP240" s="156">
        <f t="shared" si="3"/>
        <v>99.652999999999992</v>
      </c>
    </row>
    <row r="241" spans="1:42" x14ac:dyDescent="0.2">
      <c r="A241" s="9" t="s">
        <v>885</v>
      </c>
      <c r="B241" s="9" t="s">
        <v>886</v>
      </c>
      <c r="C241" s="9" t="s">
        <v>110</v>
      </c>
      <c r="D241" s="9" t="s">
        <v>113</v>
      </c>
      <c r="E241" s="154">
        <v>316373.53878745128</v>
      </c>
      <c r="F241" s="154">
        <v>318622.4016340127</v>
      </c>
      <c r="G241" s="154">
        <v>2285.3074195413205</v>
      </c>
      <c r="H241" s="154">
        <v>35622.203207300503</v>
      </c>
      <c r="I241" s="154">
        <v>2.3729037182765072E-2</v>
      </c>
      <c r="J241" s="154">
        <v>100.47883690019779</v>
      </c>
      <c r="K241" s="154">
        <v>665789.99999999988</v>
      </c>
      <c r="L241" s="154">
        <v>676285.86681478133</v>
      </c>
      <c r="M241" s="154">
        <v>2.5752487061065645</v>
      </c>
      <c r="N241" s="154" t="s">
        <v>421</v>
      </c>
      <c r="O241" s="154">
        <v>1.5029398918381758</v>
      </c>
      <c r="P241" s="154" t="s">
        <v>421</v>
      </c>
      <c r="Q241" s="154">
        <v>52.616068504855996</v>
      </c>
      <c r="R241" s="154">
        <v>1277.1586409624674</v>
      </c>
      <c r="S241" s="154">
        <v>2.8896709420313611</v>
      </c>
      <c r="T241" s="154">
        <v>16.983239771272284</v>
      </c>
      <c r="U241" s="154">
        <v>16.642624799793122</v>
      </c>
      <c r="V241" s="154">
        <v>57.841256161526104</v>
      </c>
      <c r="W241" s="154">
        <v>33.467057720743391</v>
      </c>
      <c r="X241" s="154">
        <v>5.8825835076161154E-2</v>
      </c>
      <c r="Y241" s="154">
        <v>25.852948269214657</v>
      </c>
      <c r="Z241" s="154">
        <v>2.8319279268090352</v>
      </c>
      <c r="AC241" s="28" t="s">
        <v>421</v>
      </c>
      <c r="AD241" s="28" t="s">
        <v>421</v>
      </c>
      <c r="AE241" s="9" t="s">
        <v>421</v>
      </c>
      <c r="AF241" s="28" t="s">
        <v>421</v>
      </c>
      <c r="AG241" s="28">
        <v>0.129</v>
      </c>
      <c r="AH241" s="28">
        <v>32.938000000000002</v>
      </c>
      <c r="AI241" s="28">
        <v>4.0000000000000001E-3</v>
      </c>
      <c r="AJ241" s="28" t="s">
        <v>421</v>
      </c>
      <c r="AK241" s="28">
        <v>2.8000000000000001E-2</v>
      </c>
      <c r="AL241" s="28">
        <v>66.578999999999994</v>
      </c>
      <c r="AM241" s="28" t="s">
        <v>421</v>
      </c>
      <c r="AN241" s="28">
        <v>0.105</v>
      </c>
      <c r="AO241" s="28" t="s">
        <v>421</v>
      </c>
      <c r="AP241" s="156">
        <f t="shared" si="3"/>
        <v>99.783000000000001</v>
      </c>
    </row>
    <row r="242" spans="1:42" x14ac:dyDescent="0.2">
      <c r="A242" s="9" t="s">
        <v>887</v>
      </c>
      <c r="B242" s="9" t="s">
        <v>888</v>
      </c>
      <c r="C242" s="9" t="s">
        <v>110</v>
      </c>
      <c r="D242" s="9" t="s">
        <v>113</v>
      </c>
      <c r="E242" s="154">
        <v>298871.28787844477</v>
      </c>
      <c r="F242" s="154">
        <v>298884.15029275056</v>
      </c>
      <c r="G242" s="154">
        <v>545.94810161000612</v>
      </c>
      <c r="H242" s="154">
        <v>10491.455748352697</v>
      </c>
      <c r="I242" s="154" t="s">
        <v>421</v>
      </c>
      <c r="J242" s="154">
        <v>212.62944663624577</v>
      </c>
      <c r="K242" s="154">
        <v>664830</v>
      </c>
      <c r="L242" s="154">
        <v>652681.01998000476</v>
      </c>
      <c r="M242" s="154">
        <v>0.68899291708492216</v>
      </c>
      <c r="N242" s="154" t="s">
        <v>421</v>
      </c>
      <c r="O242" s="154">
        <v>12.285847449460253</v>
      </c>
      <c r="P242" s="154" t="s">
        <v>421</v>
      </c>
      <c r="Q242" s="154">
        <v>347.37987286412067</v>
      </c>
      <c r="R242" s="154">
        <v>1206.7790846954983</v>
      </c>
      <c r="S242" s="154">
        <v>2.0924865928467717</v>
      </c>
      <c r="T242" s="154">
        <v>23.382903309174424</v>
      </c>
      <c r="U242" s="154">
        <v>24.347133440407436</v>
      </c>
      <c r="V242" s="154">
        <v>129.52920265563557</v>
      </c>
      <c r="W242" s="154">
        <v>47.984495083209296</v>
      </c>
      <c r="X242" s="154">
        <v>6.7646854664508968E-2</v>
      </c>
      <c r="Y242" s="154">
        <v>31.723426438564257</v>
      </c>
      <c r="Z242" s="154">
        <v>2.0129847215955787</v>
      </c>
      <c r="AC242" s="28" t="s">
        <v>421</v>
      </c>
      <c r="AD242" s="28">
        <v>3.0000000000000001E-3</v>
      </c>
      <c r="AE242" s="9" t="s">
        <v>421</v>
      </c>
      <c r="AF242" s="28" t="s">
        <v>421</v>
      </c>
      <c r="AG242" s="28">
        <v>0.13200000000000001</v>
      </c>
      <c r="AH242" s="28">
        <v>32.951000000000001</v>
      </c>
      <c r="AI242" s="28" t="s">
        <v>421</v>
      </c>
      <c r="AJ242" s="28" t="s">
        <v>421</v>
      </c>
      <c r="AK242" s="28">
        <v>1.2E-2</v>
      </c>
      <c r="AL242" s="28">
        <v>66.483000000000004</v>
      </c>
      <c r="AM242" s="28" t="s">
        <v>421</v>
      </c>
      <c r="AN242" s="28">
        <v>0.106</v>
      </c>
      <c r="AO242" s="28">
        <v>3.0000000000000001E-3</v>
      </c>
      <c r="AP242" s="156">
        <f t="shared" si="3"/>
        <v>99.69</v>
      </c>
    </row>
    <row r="243" spans="1:42" x14ac:dyDescent="0.2">
      <c r="A243" s="9" t="s">
        <v>889</v>
      </c>
      <c r="B243" s="9" t="s">
        <v>890</v>
      </c>
      <c r="C243" s="9" t="s">
        <v>110</v>
      </c>
      <c r="D243" s="9" t="s">
        <v>113</v>
      </c>
      <c r="E243" s="154">
        <v>258739.94203520336</v>
      </c>
      <c r="F243" s="154">
        <v>259927.48866038094</v>
      </c>
      <c r="G243" s="154">
        <v>1323.9668465681391</v>
      </c>
      <c r="H243" s="154">
        <v>26514.476544254328</v>
      </c>
      <c r="I243" s="154">
        <v>2.3002271052550476E-2</v>
      </c>
      <c r="J243" s="154">
        <v>114.70253465892256</v>
      </c>
      <c r="K243" s="154">
        <v>546130</v>
      </c>
      <c r="L243" s="154">
        <v>547088.39090620377</v>
      </c>
      <c r="M243" s="154">
        <v>1.9506468673863842</v>
      </c>
      <c r="N243" s="154" t="s">
        <v>421</v>
      </c>
      <c r="O243" s="154">
        <v>3.6789216733466739</v>
      </c>
      <c r="P243" s="154" t="s">
        <v>421</v>
      </c>
      <c r="Q243" s="154">
        <v>54.58129214368423</v>
      </c>
      <c r="R243" s="154">
        <v>1008.7821389637403</v>
      </c>
      <c r="S243" s="154">
        <v>1.4918375781665767</v>
      </c>
      <c r="T243" s="154">
        <v>48.168171246698591</v>
      </c>
      <c r="U243" s="154">
        <v>46.370151144425748</v>
      </c>
      <c r="V243" s="154">
        <v>73.761987844546226</v>
      </c>
      <c r="W243" s="154">
        <v>45.168430311249182</v>
      </c>
      <c r="X243" s="154">
        <v>6.7549692802586742E-2</v>
      </c>
      <c r="Y243" s="154">
        <v>38.581372355344961</v>
      </c>
      <c r="Z243" s="154">
        <v>1.3280657959278015</v>
      </c>
      <c r="AC243" s="28" t="s">
        <v>421</v>
      </c>
      <c r="AD243" s="28" t="s">
        <v>421</v>
      </c>
      <c r="AE243" s="9" t="s">
        <v>421</v>
      </c>
      <c r="AF243" s="28" t="s">
        <v>421</v>
      </c>
      <c r="AG243" s="28" t="s">
        <v>421</v>
      </c>
      <c r="AH243" s="28">
        <v>33.54</v>
      </c>
      <c r="AI243" s="28">
        <v>2.1000000000000001E-2</v>
      </c>
      <c r="AJ243" s="28" t="s">
        <v>421</v>
      </c>
      <c r="AK243" s="28" t="s">
        <v>421</v>
      </c>
      <c r="AL243" s="28">
        <v>54.613</v>
      </c>
      <c r="AM243" s="28" t="s">
        <v>421</v>
      </c>
      <c r="AN243" s="28">
        <v>10.523999999999999</v>
      </c>
      <c r="AO243" s="28">
        <v>0.91300000000000003</v>
      </c>
      <c r="AP243" s="156">
        <f t="shared" si="3"/>
        <v>99.611000000000004</v>
      </c>
    </row>
    <row r="244" spans="1:42" x14ac:dyDescent="0.2">
      <c r="A244" s="9" t="s">
        <v>891</v>
      </c>
      <c r="B244" s="9" t="s">
        <v>892</v>
      </c>
      <c r="C244" s="9" t="s">
        <v>110</v>
      </c>
      <c r="D244" s="9" t="s">
        <v>113</v>
      </c>
      <c r="E244" s="154">
        <v>288362.39435731736</v>
      </c>
      <c r="F244" s="154">
        <v>285997.39581391914</v>
      </c>
      <c r="G244" s="154">
        <v>9525.2136581432696</v>
      </c>
      <c r="H244" s="154">
        <v>88177.822170983127</v>
      </c>
      <c r="I244" s="154">
        <v>0.21769481237812494</v>
      </c>
      <c r="J244" s="154">
        <v>14.264926160167283</v>
      </c>
      <c r="K244" s="154">
        <v>528380</v>
      </c>
      <c r="L244" s="154">
        <v>524873.46297104482</v>
      </c>
      <c r="M244" s="154">
        <v>6.4372208512219133</v>
      </c>
      <c r="N244" s="154" t="s">
        <v>421</v>
      </c>
      <c r="O244" s="154">
        <v>0.21457400702727045</v>
      </c>
      <c r="P244" s="154" t="s">
        <v>421</v>
      </c>
      <c r="Q244" s="154">
        <v>0.66328668585275252</v>
      </c>
      <c r="R244" s="154">
        <v>1193.1125458915837</v>
      </c>
      <c r="S244" s="154">
        <v>1.4137899661939839</v>
      </c>
      <c r="T244" s="154">
        <v>0.98432111010221801</v>
      </c>
      <c r="U244" s="154">
        <v>0.78272120330059713</v>
      </c>
      <c r="V244" s="154">
        <v>8.5690654880531431E-2</v>
      </c>
      <c r="W244" s="154">
        <v>7.8315208231030837</v>
      </c>
      <c r="X244" s="154" t="s">
        <v>421</v>
      </c>
      <c r="Y244" s="154">
        <v>0.26396096099588279</v>
      </c>
      <c r="Z244" s="154">
        <v>1.4104432744196365</v>
      </c>
      <c r="AC244" s="28" t="s">
        <v>421</v>
      </c>
      <c r="AD244" s="28" t="s">
        <v>421</v>
      </c>
      <c r="AE244" s="9" t="s">
        <v>421</v>
      </c>
      <c r="AF244" s="28" t="s">
        <v>421</v>
      </c>
      <c r="AG244" s="28" t="s">
        <v>421</v>
      </c>
      <c r="AH244" s="28">
        <v>33.85</v>
      </c>
      <c r="AI244" s="28" t="s">
        <v>421</v>
      </c>
      <c r="AJ244" s="28" t="s">
        <v>421</v>
      </c>
      <c r="AK244" s="28" t="s">
        <v>421</v>
      </c>
      <c r="AL244" s="28">
        <v>52.838000000000001</v>
      </c>
      <c r="AM244" s="28">
        <v>5.0000000000000001E-3</v>
      </c>
      <c r="AN244" s="28">
        <v>11.9</v>
      </c>
      <c r="AO244" s="28">
        <v>1.5249999999999999</v>
      </c>
      <c r="AP244" s="156">
        <f t="shared" si="3"/>
        <v>100.11800000000001</v>
      </c>
    </row>
    <row r="245" spans="1:42" x14ac:dyDescent="0.2">
      <c r="A245" s="9" t="s">
        <v>893</v>
      </c>
      <c r="B245" s="9" t="s">
        <v>894</v>
      </c>
      <c r="C245" s="9" t="s">
        <v>110</v>
      </c>
      <c r="D245" s="9" t="s">
        <v>113</v>
      </c>
      <c r="E245" s="154">
        <v>301404.28925656748</v>
      </c>
      <c r="F245" s="154">
        <v>296914.14578524051</v>
      </c>
      <c r="G245" s="154">
        <v>6932.2843080746288</v>
      </c>
      <c r="H245" s="154">
        <v>88354.845333678386</v>
      </c>
      <c r="I245" s="154">
        <v>6.0120198273532113E-2</v>
      </c>
      <c r="J245" s="154">
        <v>83.454583113113912</v>
      </c>
      <c r="K245" s="154">
        <v>536540</v>
      </c>
      <c r="L245" s="154">
        <v>544521.09761049598</v>
      </c>
      <c r="M245" s="154">
        <v>10.331043904476919</v>
      </c>
      <c r="N245" s="154">
        <v>0.18616501112716186</v>
      </c>
      <c r="O245" s="154">
        <v>0.66961085827269928</v>
      </c>
      <c r="P245" s="154" t="s">
        <v>421</v>
      </c>
      <c r="Q245" s="154">
        <v>101.94817533858155</v>
      </c>
      <c r="R245" s="154">
        <v>1190.7683865063559</v>
      </c>
      <c r="S245" s="154">
        <v>0.87914791728845076</v>
      </c>
      <c r="T245" s="154">
        <v>2.2559836557727628</v>
      </c>
      <c r="U245" s="154">
        <v>2.4104325792061165</v>
      </c>
      <c r="V245" s="154">
        <v>85.504362527201906</v>
      </c>
      <c r="W245" s="154">
        <v>8.8185086642068278</v>
      </c>
      <c r="X245" s="154" t="s">
        <v>421</v>
      </c>
      <c r="Y245" s="154">
        <v>0.85505083502253532</v>
      </c>
      <c r="Z245" s="154">
        <v>0.87147757285882332</v>
      </c>
      <c r="AC245" s="28" t="s">
        <v>421</v>
      </c>
      <c r="AD245" s="28" t="s">
        <v>421</v>
      </c>
      <c r="AE245" s="9" t="s">
        <v>421</v>
      </c>
      <c r="AF245" s="28" t="s">
        <v>421</v>
      </c>
      <c r="AG245" s="28" t="s">
        <v>421</v>
      </c>
      <c r="AH245" s="28">
        <v>33.625</v>
      </c>
      <c r="AI245" s="28">
        <v>6.0000000000000001E-3</v>
      </c>
      <c r="AJ245" s="28" t="s">
        <v>421</v>
      </c>
      <c r="AK245" s="28" t="s">
        <v>421</v>
      </c>
      <c r="AL245" s="28">
        <v>53.654000000000003</v>
      </c>
      <c r="AM245" s="28" t="s">
        <v>421</v>
      </c>
      <c r="AN245" s="28">
        <v>11.433</v>
      </c>
      <c r="AO245" s="28">
        <v>1.1559999999999999</v>
      </c>
      <c r="AP245" s="156">
        <f t="shared" si="3"/>
        <v>99.873999999999995</v>
      </c>
    </row>
    <row r="246" spans="1:42" x14ac:dyDescent="0.2">
      <c r="A246" s="9" t="s">
        <v>895</v>
      </c>
      <c r="B246" s="9" t="s">
        <v>896</v>
      </c>
      <c r="C246" s="9" t="s">
        <v>110</v>
      </c>
      <c r="D246" s="9" t="s">
        <v>113</v>
      </c>
      <c r="E246" s="154">
        <v>294529.51963637845</v>
      </c>
      <c r="F246" s="154">
        <v>294134.60715614184</v>
      </c>
      <c r="G246" s="154">
        <v>3427.7815524941493</v>
      </c>
      <c r="H246" s="154">
        <v>81625.70890947507</v>
      </c>
      <c r="I246" s="154">
        <v>2.1917602086412961E-2</v>
      </c>
      <c r="J246" s="154">
        <v>23.121593762366253</v>
      </c>
      <c r="K246" s="154">
        <v>553960</v>
      </c>
      <c r="L246" s="154">
        <v>564394.42079642625</v>
      </c>
      <c r="M246" s="154">
        <v>11.059712047016019</v>
      </c>
      <c r="N246" s="154">
        <v>0.23612886841219782</v>
      </c>
      <c r="O246" s="154" t="s">
        <v>421</v>
      </c>
      <c r="P246" s="154" t="s">
        <v>421</v>
      </c>
      <c r="Q246" s="154">
        <v>1.7983091773381785</v>
      </c>
      <c r="R246" s="154">
        <v>977.88443390645932</v>
      </c>
      <c r="S246" s="154">
        <v>1.2100867053425308</v>
      </c>
      <c r="T246" s="154">
        <v>1.0853348816370199</v>
      </c>
      <c r="U246" s="154">
        <v>0.87988963257467345</v>
      </c>
      <c r="V246" s="154" t="s">
        <v>421</v>
      </c>
      <c r="W246" s="154">
        <v>6.1936764740046089</v>
      </c>
      <c r="X246" s="154" t="s">
        <v>421</v>
      </c>
      <c r="Y246" s="154">
        <v>0.28337862403986408</v>
      </c>
      <c r="Z246" s="154">
        <v>1.206396566744965</v>
      </c>
      <c r="AC246" s="28" t="s">
        <v>421</v>
      </c>
      <c r="AD246" s="28" t="s">
        <v>421</v>
      </c>
      <c r="AE246" s="9" t="s">
        <v>421</v>
      </c>
      <c r="AF246" s="28" t="s">
        <v>421</v>
      </c>
      <c r="AG246" s="28" t="s">
        <v>421</v>
      </c>
      <c r="AH246" s="28">
        <v>33.883000000000003</v>
      </c>
      <c r="AI246" s="28">
        <v>8.0000000000000002E-3</v>
      </c>
      <c r="AJ246" s="28" t="s">
        <v>421</v>
      </c>
      <c r="AK246" s="28" t="s">
        <v>421</v>
      </c>
      <c r="AL246" s="28">
        <v>55.396000000000001</v>
      </c>
      <c r="AM246" s="28" t="s">
        <v>421</v>
      </c>
      <c r="AN246" s="28">
        <v>10.47</v>
      </c>
      <c r="AO246" s="28">
        <v>0.60799999999999998</v>
      </c>
      <c r="AP246" s="156">
        <f t="shared" si="3"/>
        <v>100.36500000000001</v>
      </c>
    </row>
    <row r="247" spans="1:42" x14ac:dyDescent="0.2">
      <c r="A247" s="9" t="s">
        <v>897</v>
      </c>
      <c r="B247" s="9" t="s">
        <v>898</v>
      </c>
      <c r="C247" s="9" t="s">
        <v>110</v>
      </c>
      <c r="D247" s="9" t="s">
        <v>114</v>
      </c>
      <c r="E247" s="154">
        <v>291660.9191322914</v>
      </c>
      <c r="F247" s="154">
        <v>291016.34486788197</v>
      </c>
      <c r="G247" s="154">
        <v>2857.4160439889038</v>
      </c>
      <c r="H247" s="154">
        <v>94100.830865317665</v>
      </c>
      <c r="I247" s="154">
        <v>1.6159029103263849</v>
      </c>
      <c r="J247" s="154">
        <v>350.25392444661765</v>
      </c>
      <c r="K247" s="154">
        <v>524720</v>
      </c>
      <c r="L247" s="154">
        <v>525448.8249688918</v>
      </c>
      <c r="M247" s="154">
        <v>3.647079455645859</v>
      </c>
      <c r="N247" s="154">
        <v>0.22764337324609088</v>
      </c>
      <c r="O247" s="154">
        <v>0.13677257184367578</v>
      </c>
      <c r="P247" s="154" t="s">
        <v>421</v>
      </c>
      <c r="Q247" s="154">
        <v>6.9448685240208095</v>
      </c>
      <c r="R247" s="154">
        <v>4976.4495226232093</v>
      </c>
      <c r="S247" s="154">
        <v>298.38161573887044</v>
      </c>
      <c r="T247" s="154">
        <v>39.618078228575861</v>
      </c>
      <c r="U247" s="154">
        <v>39.922121204122455</v>
      </c>
      <c r="V247" s="154">
        <v>1.2470749657886167</v>
      </c>
      <c r="W247" s="154">
        <v>4.1908455547129844</v>
      </c>
      <c r="X247" s="154">
        <v>0.13005470465942348</v>
      </c>
      <c r="Y247" s="154">
        <v>0.77705737801503016</v>
      </c>
      <c r="Z247" s="154">
        <v>298.24691427289326</v>
      </c>
      <c r="AC247" s="28" t="s">
        <v>421</v>
      </c>
      <c r="AD247" s="28" t="s">
        <v>421</v>
      </c>
      <c r="AE247" s="9" t="s">
        <v>421</v>
      </c>
      <c r="AF247" s="28" t="s">
        <v>421</v>
      </c>
      <c r="AG247" s="28">
        <v>0.55800000000000005</v>
      </c>
      <c r="AH247" s="28">
        <v>33.372</v>
      </c>
      <c r="AI247" s="28" t="s">
        <v>421</v>
      </c>
      <c r="AJ247" s="28">
        <v>2.7E-2</v>
      </c>
      <c r="AK247" s="28" t="s">
        <v>421</v>
      </c>
      <c r="AL247" s="28">
        <v>52.472000000000001</v>
      </c>
      <c r="AM247" s="28">
        <v>1.9E-2</v>
      </c>
      <c r="AN247" s="28">
        <v>12.395</v>
      </c>
      <c r="AO247" s="28">
        <v>0.49299999999999999</v>
      </c>
      <c r="AP247" s="156">
        <f t="shared" si="3"/>
        <v>99.335999999999999</v>
      </c>
    </row>
    <row r="248" spans="1:42" x14ac:dyDescent="0.2">
      <c r="A248" s="9" t="s">
        <v>899</v>
      </c>
      <c r="B248" s="9" t="s">
        <v>900</v>
      </c>
      <c r="C248" s="9" t="s">
        <v>110</v>
      </c>
      <c r="D248" s="9" t="s">
        <v>114</v>
      </c>
      <c r="E248" s="154">
        <v>283375.64838435152</v>
      </c>
      <c r="F248" s="154">
        <v>283290.68352560571</v>
      </c>
      <c r="G248" s="154">
        <v>3030.8368676743271</v>
      </c>
      <c r="H248" s="154">
        <v>94187.677800186342</v>
      </c>
      <c r="I248" s="154">
        <v>1.6393892091672666</v>
      </c>
      <c r="J248" s="154">
        <v>4198.1193056350985</v>
      </c>
      <c r="K248" s="154">
        <v>522130</v>
      </c>
      <c r="L248" s="154">
        <v>524855.15639371448</v>
      </c>
      <c r="M248" s="154">
        <v>15.412986521788946</v>
      </c>
      <c r="N248" s="154">
        <v>0.26551160776608351</v>
      </c>
      <c r="O248" s="154" t="s">
        <v>421</v>
      </c>
      <c r="P248" s="154" t="s">
        <v>421</v>
      </c>
      <c r="Q248" s="154">
        <v>96.847609297170308</v>
      </c>
      <c r="R248" s="154">
        <v>6618.4512597003186</v>
      </c>
      <c r="S248" s="154">
        <v>26.331922879979366</v>
      </c>
      <c r="T248" s="154">
        <v>3091.5080708529445</v>
      </c>
      <c r="U248" s="154">
        <v>4549.0861558020461</v>
      </c>
      <c r="V248" s="154">
        <v>4.3455402202839742E-2</v>
      </c>
      <c r="W248" s="154">
        <v>5.1284925169305602</v>
      </c>
      <c r="X248" s="154" t="s">
        <v>421</v>
      </c>
      <c r="Y248" s="154">
        <v>0.21381515070185544</v>
      </c>
      <c r="Z248" s="154">
        <v>15.820795439079355</v>
      </c>
      <c r="AC248" s="28" t="s">
        <v>421</v>
      </c>
      <c r="AD248" s="28" t="s">
        <v>421</v>
      </c>
      <c r="AE248" s="9" t="s">
        <v>421</v>
      </c>
      <c r="AF248" s="28" t="s">
        <v>421</v>
      </c>
      <c r="AG248" s="28">
        <v>0.57199999999999995</v>
      </c>
      <c r="AH248" s="28">
        <v>33.723999999999997</v>
      </c>
      <c r="AI248" s="28">
        <v>2.9000000000000001E-2</v>
      </c>
      <c r="AJ248" s="28" t="s">
        <v>421</v>
      </c>
      <c r="AK248" s="28" t="s">
        <v>421</v>
      </c>
      <c r="AL248" s="28">
        <v>52.213000000000001</v>
      </c>
      <c r="AM248" s="28">
        <v>4.7E-2</v>
      </c>
      <c r="AN248" s="28">
        <v>12.569000000000001</v>
      </c>
      <c r="AO248" s="28">
        <v>0.51500000000000001</v>
      </c>
      <c r="AP248" s="156">
        <f t="shared" si="3"/>
        <v>99.669000000000011</v>
      </c>
    </row>
    <row r="249" spans="1:42" x14ac:dyDescent="0.2">
      <c r="A249" s="9" t="s">
        <v>901</v>
      </c>
      <c r="B249" s="9" t="s">
        <v>902</v>
      </c>
      <c r="C249" s="9" t="s">
        <v>110</v>
      </c>
      <c r="D249" s="9" t="s">
        <v>114</v>
      </c>
      <c r="E249" s="154">
        <v>286491.44633356348</v>
      </c>
      <c r="F249" s="154">
        <v>283113.22924742638</v>
      </c>
      <c r="G249" s="154">
        <v>2118.9444469170667</v>
      </c>
      <c r="H249" s="154">
        <v>96484.06945563179</v>
      </c>
      <c r="I249" s="154">
        <v>1.2800493167540719</v>
      </c>
      <c r="J249" s="154">
        <v>2047.6343920827221</v>
      </c>
      <c r="K249" s="154">
        <v>518860</v>
      </c>
      <c r="L249" s="154">
        <v>518741.6883704458</v>
      </c>
      <c r="M249" s="154">
        <v>17.087114408447441</v>
      </c>
      <c r="N249" s="154" t="s">
        <v>421</v>
      </c>
      <c r="O249" s="154" t="s">
        <v>421</v>
      </c>
      <c r="P249" s="154" t="s">
        <v>421</v>
      </c>
      <c r="Q249" s="154">
        <v>45.429506624048607</v>
      </c>
      <c r="R249" s="154">
        <v>5152.240489655378</v>
      </c>
      <c r="S249" s="154">
        <v>42.862952117781511</v>
      </c>
      <c r="T249" s="154">
        <v>1506.6078548872806</v>
      </c>
      <c r="U249" s="154">
        <v>2126.8756754006704</v>
      </c>
      <c r="V249" s="154">
        <v>4.3215715192078438E-2</v>
      </c>
      <c r="W249" s="154">
        <v>4.0736549413425704</v>
      </c>
      <c r="X249" s="154" t="s">
        <v>421</v>
      </c>
      <c r="Y249" s="154">
        <v>4.2115806617171616</v>
      </c>
      <c r="Z249" s="154">
        <v>37.740485411164755</v>
      </c>
      <c r="AC249" s="28" t="s">
        <v>421</v>
      </c>
      <c r="AD249" s="28" t="s">
        <v>421</v>
      </c>
      <c r="AE249" s="9" t="s">
        <v>421</v>
      </c>
      <c r="AF249" s="28" t="s">
        <v>421</v>
      </c>
      <c r="AG249" s="28">
        <v>0.46700000000000003</v>
      </c>
      <c r="AH249" s="28">
        <v>33.923999999999999</v>
      </c>
      <c r="AI249" s="28">
        <v>0.215</v>
      </c>
      <c r="AJ249" s="28" t="s">
        <v>421</v>
      </c>
      <c r="AK249" s="28" t="s">
        <v>421</v>
      </c>
      <c r="AL249" s="28">
        <v>51.886000000000003</v>
      </c>
      <c r="AM249" s="28">
        <v>0.247</v>
      </c>
      <c r="AN249" s="28">
        <v>12.808999999999999</v>
      </c>
      <c r="AO249" s="28">
        <v>0.34499999999999997</v>
      </c>
      <c r="AP249" s="156">
        <f t="shared" si="3"/>
        <v>99.893000000000001</v>
      </c>
    </row>
    <row r="250" spans="1:42" x14ac:dyDescent="0.2">
      <c r="A250" s="9" t="s">
        <v>903</v>
      </c>
      <c r="B250" s="9" t="s">
        <v>904</v>
      </c>
      <c r="C250" s="9" t="s">
        <v>110</v>
      </c>
      <c r="D250" s="9" t="s">
        <v>114</v>
      </c>
      <c r="E250" s="154">
        <v>292276.14067199535</v>
      </c>
      <c r="F250" s="154">
        <v>290335.05372454674</v>
      </c>
      <c r="G250" s="154">
        <v>2723.3840396504461</v>
      </c>
      <c r="H250" s="154">
        <v>97104.121973314162</v>
      </c>
      <c r="I250" s="154">
        <v>1.1950068705626065</v>
      </c>
      <c r="J250" s="154">
        <v>1098.0204509034561</v>
      </c>
      <c r="K250" s="154">
        <v>522480</v>
      </c>
      <c r="L250" s="154">
        <v>518949.65308736096</v>
      </c>
      <c r="M250" s="154">
        <v>12.924021232796886</v>
      </c>
      <c r="N250" s="154" t="s">
        <v>421</v>
      </c>
      <c r="O250" s="154">
        <v>0.18139381326594406</v>
      </c>
      <c r="P250" s="154" t="s">
        <v>421</v>
      </c>
      <c r="Q250" s="154">
        <v>14.234555626087115</v>
      </c>
      <c r="R250" s="154">
        <v>6253.8124577581739</v>
      </c>
      <c r="S250" s="154">
        <v>55.445885630829757</v>
      </c>
      <c r="T250" s="154">
        <v>821.47123114238468</v>
      </c>
      <c r="U250" s="154">
        <v>840.1493666340358</v>
      </c>
      <c r="V250" s="154" t="s">
        <v>421</v>
      </c>
      <c r="W250" s="154">
        <v>7.3512286341634621</v>
      </c>
      <c r="X250" s="154">
        <v>1.0228571237634656E-2</v>
      </c>
      <c r="Y250" s="154">
        <v>0.24253647244715709</v>
      </c>
      <c r="Z250" s="154">
        <v>52.652883444945651</v>
      </c>
      <c r="AC250" s="28" t="s">
        <v>421</v>
      </c>
      <c r="AD250" s="28" t="s">
        <v>421</v>
      </c>
      <c r="AE250" s="9" t="s">
        <v>421</v>
      </c>
      <c r="AF250" s="28" t="s">
        <v>421</v>
      </c>
      <c r="AG250" s="28">
        <v>0.498</v>
      </c>
      <c r="AH250" s="28">
        <v>33.770000000000003</v>
      </c>
      <c r="AI250" s="28">
        <v>6.0000000000000001E-3</v>
      </c>
      <c r="AJ250" s="28" t="s">
        <v>421</v>
      </c>
      <c r="AK250" s="28" t="s">
        <v>421</v>
      </c>
      <c r="AL250" s="28">
        <v>52.247999999999998</v>
      </c>
      <c r="AM250" s="28" t="s">
        <v>421</v>
      </c>
      <c r="AN250" s="28">
        <v>12.906000000000001</v>
      </c>
      <c r="AO250" s="28">
        <v>0.39900000000000002</v>
      </c>
      <c r="AP250" s="156">
        <f t="shared" si="3"/>
        <v>99.826999999999998</v>
      </c>
    </row>
    <row r="251" spans="1:42" x14ac:dyDescent="0.2">
      <c r="A251" s="9" t="s">
        <v>905</v>
      </c>
      <c r="B251" s="9" t="s">
        <v>906</v>
      </c>
      <c r="C251" s="9" t="s">
        <v>110</v>
      </c>
      <c r="D251" s="9" t="s">
        <v>114</v>
      </c>
      <c r="E251" s="154">
        <v>287566.3849573902</v>
      </c>
      <c r="F251" s="154">
        <v>285093.99545400223</v>
      </c>
      <c r="G251" s="154">
        <v>3106.0383709081198</v>
      </c>
      <c r="H251" s="154">
        <v>92159.708213539663</v>
      </c>
      <c r="I251" s="154">
        <v>1.6190636903707856</v>
      </c>
      <c r="J251" s="154">
        <v>3931.8029068549736</v>
      </c>
      <c r="K251" s="154">
        <v>516100</v>
      </c>
      <c r="L251" s="154">
        <v>521248.1162093897</v>
      </c>
      <c r="M251" s="154">
        <v>14.996152569075255</v>
      </c>
      <c r="N251" s="154" t="s">
        <v>421</v>
      </c>
      <c r="O251" s="154" t="s">
        <v>421</v>
      </c>
      <c r="P251" s="154" t="s">
        <v>421</v>
      </c>
      <c r="Q251" s="154">
        <v>93.731125404094129</v>
      </c>
      <c r="R251" s="154">
        <v>6938.5861413915036</v>
      </c>
      <c r="S251" s="154">
        <v>92.800706122355336</v>
      </c>
      <c r="T251" s="154">
        <v>2939.8402608921388</v>
      </c>
      <c r="U251" s="154">
        <v>3769.0732603040929</v>
      </c>
      <c r="V251" s="154">
        <v>8.4554454890640326E-2</v>
      </c>
      <c r="W251" s="154">
        <v>6.0416400134609001</v>
      </c>
      <c r="X251" s="154">
        <v>1.5128082097653683E-2</v>
      </c>
      <c r="Y251" s="154">
        <v>0.25467538455769784</v>
      </c>
      <c r="Z251" s="154">
        <v>82.805249235322066</v>
      </c>
      <c r="AC251" s="28" t="s">
        <v>421</v>
      </c>
      <c r="AD251" s="28" t="s">
        <v>421</v>
      </c>
      <c r="AE251" s="9" t="s">
        <v>421</v>
      </c>
      <c r="AF251" s="28" t="s">
        <v>421</v>
      </c>
      <c r="AG251" s="28">
        <v>0.47199999999999998</v>
      </c>
      <c r="AH251" s="28">
        <v>33.244999999999997</v>
      </c>
      <c r="AI251" s="28">
        <v>0.66300000000000003</v>
      </c>
      <c r="AJ251" s="28" t="s">
        <v>421</v>
      </c>
      <c r="AK251" s="28">
        <v>1.0999999999999999E-2</v>
      </c>
      <c r="AL251" s="28">
        <v>51.61</v>
      </c>
      <c r="AM251" s="28">
        <v>0.71599999999999997</v>
      </c>
      <c r="AN251" s="28">
        <v>12.217000000000001</v>
      </c>
      <c r="AO251" s="28">
        <v>0.51</v>
      </c>
      <c r="AP251" s="156">
        <f t="shared" si="3"/>
        <v>99.444000000000003</v>
      </c>
    </row>
    <row r="252" spans="1:42" x14ac:dyDescent="0.2">
      <c r="A252" s="9" t="s">
        <v>907</v>
      </c>
      <c r="B252" s="9" t="s">
        <v>908</v>
      </c>
      <c r="C252" s="9" t="s">
        <v>110</v>
      </c>
      <c r="D252" s="9" t="s">
        <v>114</v>
      </c>
      <c r="E252" s="154">
        <v>288716.50902542681</v>
      </c>
      <c r="F252" s="154">
        <v>281765.80366974877</v>
      </c>
      <c r="G252" s="154">
        <v>1189.9509931866944</v>
      </c>
      <c r="H252" s="154">
        <v>103829.14480540057</v>
      </c>
      <c r="I252" s="154">
        <v>0.65232954663251974</v>
      </c>
      <c r="J252" s="154">
        <v>957.24351429990372</v>
      </c>
      <c r="K252" s="154">
        <v>515379.99999999994</v>
      </c>
      <c r="L252" s="154">
        <v>516804.31009685737</v>
      </c>
      <c r="M252" s="154">
        <v>16.853652447864793</v>
      </c>
      <c r="N252" s="154" t="s">
        <v>421</v>
      </c>
      <c r="O252" s="154">
        <v>0.18356038341595568</v>
      </c>
      <c r="P252" s="154" t="s">
        <v>421</v>
      </c>
      <c r="Q252" s="154">
        <v>13.013051682545543</v>
      </c>
      <c r="R252" s="154">
        <v>5306.1667909561465</v>
      </c>
      <c r="S252" s="154">
        <v>15.067865392989457</v>
      </c>
      <c r="T252" s="154">
        <v>705.9678015199903</v>
      </c>
      <c r="U252" s="154">
        <v>707.14534297733701</v>
      </c>
      <c r="V252" s="154" t="s">
        <v>421</v>
      </c>
      <c r="W252" s="154">
        <v>4.5093862367013973</v>
      </c>
      <c r="X252" s="154" t="s">
        <v>421</v>
      </c>
      <c r="Y252" s="154">
        <v>0.11659521831228555</v>
      </c>
      <c r="Z252" s="154">
        <v>12.667574867821489</v>
      </c>
      <c r="AC252" s="28" t="s">
        <v>421</v>
      </c>
      <c r="AD252" s="28" t="s">
        <v>421</v>
      </c>
      <c r="AE252" s="9" t="s">
        <v>421</v>
      </c>
      <c r="AF252" s="28" t="s">
        <v>421</v>
      </c>
      <c r="AG252" s="28">
        <v>0.54100000000000004</v>
      </c>
      <c r="AH252" s="28">
        <v>33.694000000000003</v>
      </c>
      <c r="AI252" s="28">
        <v>7.3999999999999996E-2</v>
      </c>
      <c r="AJ252" s="28" t="s">
        <v>421</v>
      </c>
      <c r="AK252" s="28">
        <v>6.0000000000000001E-3</v>
      </c>
      <c r="AL252" s="28">
        <v>51.537999999999997</v>
      </c>
      <c r="AM252" s="28">
        <v>9.7000000000000003E-2</v>
      </c>
      <c r="AN252" s="28">
        <v>13.58</v>
      </c>
      <c r="AO252" s="28">
        <v>0.20300000000000001</v>
      </c>
      <c r="AP252" s="156">
        <f t="shared" si="3"/>
        <v>99.73299999999999</v>
      </c>
    </row>
    <row r="253" spans="1:42" x14ac:dyDescent="0.2">
      <c r="A253" s="9" t="s">
        <v>909</v>
      </c>
      <c r="B253" s="9" t="s">
        <v>910</v>
      </c>
      <c r="C253" s="9" t="s">
        <v>110</v>
      </c>
      <c r="D253" s="9" t="s">
        <v>115</v>
      </c>
      <c r="E253" s="154">
        <v>294176.99091837811</v>
      </c>
      <c r="F253" s="154">
        <v>291956.97349218937</v>
      </c>
      <c r="G253" s="154">
        <v>3484.5827755676069</v>
      </c>
      <c r="H253" s="154">
        <v>88034.505017461925</v>
      </c>
      <c r="I253" s="154">
        <v>0.44249181917951924</v>
      </c>
      <c r="J253" s="154">
        <v>619.00678294577472</v>
      </c>
      <c r="K253" s="154">
        <v>537650</v>
      </c>
      <c r="L253" s="154">
        <v>546703.15301061003</v>
      </c>
      <c r="M253" s="154">
        <v>11.053407803188268</v>
      </c>
      <c r="N253" s="154">
        <v>0.66809543443649688</v>
      </c>
      <c r="O253" s="154">
        <v>0.18305687600710191</v>
      </c>
      <c r="P253" s="154">
        <v>0.96042625990167285</v>
      </c>
      <c r="Q253" s="154">
        <v>17.079763446762499</v>
      </c>
      <c r="R253" s="154">
        <v>2585.6919213050883</v>
      </c>
      <c r="S253" s="154">
        <v>7.3335988643659897</v>
      </c>
      <c r="T253" s="154">
        <v>429.33657951310596</v>
      </c>
      <c r="U253" s="154">
        <v>427.1705341253317</v>
      </c>
      <c r="V253" s="154">
        <v>6.2840108896516229</v>
      </c>
      <c r="W253" s="154">
        <v>7.4494342711413779</v>
      </c>
      <c r="X253" s="154" t="s">
        <v>421</v>
      </c>
      <c r="Y253" s="154">
        <v>0.33516404213079731</v>
      </c>
      <c r="Z253" s="154">
        <v>5.8738544940214297</v>
      </c>
      <c r="AC253" s="28" t="s">
        <v>421</v>
      </c>
      <c r="AD253" s="28" t="s">
        <v>421</v>
      </c>
      <c r="AE253" s="9" t="s">
        <v>421</v>
      </c>
      <c r="AF253" s="28" t="s">
        <v>421</v>
      </c>
      <c r="AG253" s="28">
        <v>7.5999999999999998E-2</v>
      </c>
      <c r="AH253" s="28">
        <v>33.540999999999997</v>
      </c>
      <c r="AI253" s="28">
        <v>3.7999999999999999E-2</v>
      </c>
      <c r="AJ253" s="28" t="s">
        <v>421</v>
      </c>
      <c r="AK253" s="28" t="s">
        <v>421</v>
      </c>
      <c r="AL253" s="28">
        <v>53.765000000000001</v>
      </c>
      <c r="AM253" s="28">
        <v>5.3999999999999999E-2</v>
      </c>
      <c r="AN253" s="28">
        <v>11.597</v>
      </c>
      <c r="AO253" s="28">
        <v>0.59599999999999997</v>
      </c>
      <c r="AP253" s="156">
        <f t="shared" si="3"/>
        <v>99.666999999999987</v>
      </c>
    </row>
    <row r="254" spans="1:42" x14ac:dyDescent="0.2">
      <c r="A254" s="9" t="s">
        <v>911</v>
      </c>
      <c r="B254" s="9" t="s">
        <v>912</v>
      </c>
      <c r="C254" s="9" t="s">
        <v>110</v>
      </c>
      <c r="D254" s="9" t="s">
        <v>115</v>
      </c>
      <c r="E254" s="154">
        <v>292310.7875219438</v>
      </c>
      <c r="F254" s="154">
        <v>293994.45820830512</v>
      </c>
      <c r="G254" s="154">
        <v>3397.7608673097216</v>
      </c>
      <c r="H254" s="154">
        <v>88478.386325268089</v>
      </c>
      <c r="I254" s="154">
        <v>0.52542622144767148</v>
      </c>
      <c r="J254" s="154">
        <v>502.13101607248529</v>
      </c>
      <c r="K254" s="154">
        <v>534990</v>
      </c>
      <c r="L254" s="154">
        <v>540808.60684017092</v>
      </c>
      <c r="M254" s="154">
        <v>10.560467799151169</v>
      </c>
      <c r="N254" s="154">
        <v>0.68689014108175284</v>
      </c>
      <c r="O254" s="154">
        <v>0.22243067831368216</v>
      </c>
      <c r="P254" s="154" t="s">
        <v>421</v>
      </c>
      <c r="Q254" s="154">
        <v>9.6530099337328785</v>
      </c>
      <c r="R254" s="154">
        <v>2644.0826986317898</v>
      </c>
      <c r="S254" s="154">
        <v>5.6585799884507599</v>
      </c>
      <c r="T254" s="154">
        <v>354.88954431703479</v>
      </c>
      <c r="U254" s="154">
        <v>355.08550916947257</v>
      </c>
      <c r="V254" s="154">
        <v>1.2054931738906407</v>
      </c>
      <c r="W254" s="154">
        <v>7.4352970167523189</v>
      </c>
      <c r="X254" s="154" t="s">
        <v>421</v>
      </c>
      <c r="Y254" s="154">
        <v>0.78741528913141534</v>
      </c>
      <c r="Z254" s="154">
        <v>4.4519555377728413</v>
      </c>
      <c r="AC254" s="28" t="s">
        <v>421</v>
      </c>
      <c r="AD254" s="28" t="s">
        <v>421</v>
      </c>
      <c r="AE254" s="9" t="s">
        <v>421</v>
      </c>
      <c r="AF254" s="28" t="s">
        <v>421</v>
      </c>
      <c r="AG254" s="28">
        <v>0.114</v>
      </c>
      <c r="AH254" s="28">
        <v>33.469000000000001</v>
      </c>
      <c r="AI254" s="28">
        <v>3.5000000000000003E-2</v>
      </c>
      <c r="AJ254" s="28" t="s">
        <v>421</v>
      </c>
      <c r="AK254" s="28" t="s">
        <v>421</v>
      </c>
      <c r="AL254" s="28">
        <v>53.499000000000002</v>
      </c>
      <c r="AM254" s="28">
        <v>3.1E-2</v>
      </c>
      <c r="AN254" s="28">
        <v>11.678000000000001</v>
      </c>
      <c r="AO254" s="28">
        <v>0.58499999999999996</v>
      </c>
      <c r="AP254" s="156">
        <f t="shared" si="3"/>
        <v>99.410999999999987</v>
      </c>
    </row>
    <row r="255" spans="1:42" x14ac:dyDescent="0.2">
      <c r="A255" s="9" t="s">
        <v>913</v>
      </c>
      <c r="B255" s="9" t="s">
        <v>914</v>
      </c>
      <c r="C255" s="9" t="s">
        <v>110</v>
      </c>
      <c r="D255" s="9" t="s">
        <v>115</v>
      </c>
      <c r="E255" s="154">
        <v>298546.98013499024</v>
      </c>
      <c r="F255" s="154">
        <v>296591.07624271227</v>
      </c>
      <c r="G255" s="154">
        <v>3661.5693848025558</v>
      </c>
      <c r="H255" s="154">
        <v>91625.316636908508</v>
      </c>
      <c r="I255" s="154">
        <v>0.30486635810892543</v>
      </c>
      <c r="J255" s="154">
        <v>798.41991099458437</v>
      </c>
      <c r="K255" s="154">
        <v>537150</v>
      </c>
      <c r="L255" s="154">
        <v>541984.93817870959</v>
      </c>
      <c r="M255" s="154">
        <v>9.6180327297830477</v>
      </c>
      <c r="N255" s="154">
        <v>0.34271044886894642</v>
      </c>
      <c r="O255" s="154">
        <v>0.48521433810460568</v>
      </c>
      <c r="P255" s="154" t="s">
        <v>421</v>
      </c>
      <c r="Q255" s="154">
        <v>43.738087476856705</v>
      </c>
      <c r="R255" s="154">
        <v>2742.3618670465808</v>
      </c>
      <c r="S255" s="154">
        <v>6.8524370895899152</v>
      </c>
      <c r="T255" s="154">
        <v>487.56411596895066</v>
      </c>
      <c r="U255" s="154">
        <v>489.26771914341623</v>
      </c>
      <c r="V255" s="154">
        <v>34.334691345019991</v>
      </c>
      <c r="W255" s="154">
        <v>3.882596575378551</v>
      </c>
      <c r="X255" s="154">
        <v>1.7643541932148569E-2</v>
      </c>
      <c r="Y255" s="154">
        <v>3.1799383299904567</v>
      </c>
      <c r="Z255" s="154">
        <v>5.1947190952954827</v>
      </c>
      <c r="AC255" s="28" t="s">
        <v>421</v>
      </c>
      <c r="AD255" s="28" t="s">
        <v>421</v>
      </c>
      <c r="AE255" s="9" t="s">
        <v>421</v>
      </c>
      <c r="AF255" s="28" t="s">
        <v>421</v>
      </c>
      <c r="AG255" s="28">
        <v>0.1</v>
      </c>
      <c r="AH255" s="28">
        <v>33.691000000000003</v>
      </c>
      <c r="AI255" s="28">
        <v>5.8000000000000003E-2</v>
      </c>
      <c r="AJ255" s="28" t="s">
        <v>421</v>
      </c>
      <c r="AK255" s="28" t="s">
        <v>421</v>
      </c>
      <c r="AL255" s="28">
        <v>53.715000000000003</v>
      </c>
      <c r="AM255" s="28">
        <v>4.3999999999999997E-2</v>
      </c>
      <c r="AN255" s="28">
        <v>11.441000000000001</v>
      </c>
      <c r="AO255" s="28">
        <v>0.60599999999999998</v>
      </c>
      <c r="AP255" s="156">
        <f t="shared" si="3"/>
        <v>99.655000000000001</v>
      </c>
    </row>
    <row r="256" spans="1:42" x14ac:dyDescent="0.2">
      <c r="A256" s="9" t="s">
        <v>915</v>
      </c>
      <c r="B256" s="9" t="s">
        <v>916</v>
      </c>
      <c r="C256" s="9" t="s">
        <v>110</v>
      </c>
      <c r="D256" s="9" t="s">
        <v>115</v>
      </c>
      <c r="E256" s="154">
        <v>291842.77449739049</v>
      </c>
      <c r="F256" s="154">
        <v>295428.86115859321</v>
      </c>
      <c r="G256" s="154">
        <v>3217.4522237493516</v>
      </c>
      <c r="H256" s="154">
        <v>83462.299574464865</v>
      </c>
      <c r="I256" s="154">
        <v>0.39805391705991694</v>
      </c>
      <c r="J256" s="154">
        <v>297.98316702169814</v>
      </c>
      <c r="K256" s="154">
        <v>545490</v>
      </c>
      <c r="L256" s="154">
        <v>549939.69617863698</v>
      </c>
      <c r="M256" s="154">
        <v>9.2121847967199972</v>
      </c>
      <c r="N256" s="154">
        <v>0.29368236401495473</v>
      </c>
      <c r="O256" s="154" t="s">
        <v>421</v>
      </c>
      <c r="P256" s="154" t="s">
        <v>421</v>
      </c>
      <c r="Q256" s="154">
        <v>11.938234847743871</v>
      </c>
      <c r="R256" s="154">
        <v>2474.8933866714137</v>
      </c>
      <c r="S256" s="154">
        <v>5.7753201575895616</v>
      </c>
      <c r="T256" s="154">
        <v>206.55657615758778</v>
      </c>
      <c r="U256" s="154">
        <v>215.99893227557362</v>
      </c>
      <c r="V256" s="154">
        <v>9.3844240450427982E-2</v>
      </c>
      <c r="W256" s="154">
        <v>5.2926808580178655</v>
      </c>
      <c r="X256" s="154" t="s">
        <v>421</v>
      </c>
      <c r="Y256" s="154">
        <v>0.20284544371154056</v>
      </c>
      <c r="Z256" s="154">
        <v>5.0730277986537633</v>
      </c>
      <c r="AC256" s="28" t="s">
        <v>421</v>
      </c>
      <c r="AD256" s="28" t="s">
        <v>421</v>
      </c>
      <c r="AE256" s="9" t="s">
        <v>421</v>
      </c>
      <c r="AF256" s="28" t="s">
        <v>421</v>
      </c>
      <c r="AG256" s="28">
        <v>8.1000000000000003E-2</v>
      </c>
      <c r="AH256" s="28">
        <v>33.612000000000002</v>
      </c>
      <c r="AI256" s="28">
        <v>3.2000000000000001E-2</v>
      </c>
      <c r="AJ256" s="28" t="s">
        <v>421</v>
      </c>
      <c r="AK256" s="28" t="s">
        <v>421</v>
      </c>
      <c r="AL256" s="28">
        <v>54.548999999999999</v>
      </c>
      <c r="AM256" s="28">
        <v>1.2999999999999999E-2</v>
      </c>
      <c r="AN256" s="28">
        <v>10.977</v>
      </c>
      <c r="AO256" s="28">
        <v>0.54800000000000004</v>
      </c>
      <c r="AP256" s="156">
        <f t="shared" si="3"/>
        <v>99.812000000000012</v>
      </c>
    </row>
    <row r="257" spans="1:42" x14ac:dyDescent="0.2">
      <c r="A257" s="9" t="s">
        <v>917</v>
      </c>
      <c r="B257" s="9" t="s">
        <v>918</v>
      </c>
      <c r="C257" s="9" t="s">
        <v>110</v>
      </c>
      <c r="D257" s="9" t="s">
        <v>115</v>
      </c>
      <c r="E257" s="154">
        <v>292868.41109556286</v>
      </c>
      <c r="F257" s="154">
        <v>395508.88855530083</v>
      </c>
      <c r="G257" s="154">
        <v>3274.2693872505347</v>
      </c>
      <c r="H257" s="154">
        <v>92468.790116552758</v>
      </c>
      <c r="I257" s="154">
        <v>0.27246803313373025</v>
      </c>
      <c r="J257" s="154">
        <v>5432.8481060974082</v>
      </c>
      <c r="K257" s="154">
        <v>541060</v>
      </c>
      <c r="L257" s="154">
        <v>551251.44618118869</v>
      </c>
      <c r="M257" s="154">
        <v>7.9872597842178106</v>
      </c>
      <c r="N257" s="154">
        <v>0.8888246183206614</v>
      </c>
      <c r="O257" s="154">
        <v>10.438999848029217</v>
      </c>
      <c r="P257" s="154" t="s">
        <v>421</v>
      </c>
      <c r="Q257" s="154">
        <v>3156.9565440265433</v>
      </c>
      <c r="R257" s="154">
        <v>2769.1957033048129</v>
      </c>
      <c r="S257" s="154">
        <v>6.5515080465109659</v>
      </c>
      <c r="T257" s="154">
        <v>320.49786233308714</v>
      </c>
      <c r="U257" s="154">
        <v>328.24280306152031</v>
      </c>
      <c r="V257" s="154">
        <v>3624.5683866583672</v>
      </c>
      <c r="W257" s="154">
        <v>16.359595185727724</v>
      </c>
      <c r="X257" s="154">
        <v>1.2487164410960483</v>
      </c>
      <c r="Y257" s="154">
        <v>32.305301841119416</v>
      </c>
      <c r="Z257" s="154">
        <v>5.4618153145784696</v>
      </c>
      <c r="AC257" s="28" t="s">
        <v>421</v>
      </c>
      <c r="AD257" s="28" t="s">
        <v>421</v>
      </c>
      <c r="AE257" s="9" t="s">
        <v>421</v>
      </c>
      <c r="AF257" s="28" t="s">
        <v>421</v>
      </c>
      <c r="AG257" s="28">
        <v>0.14399999999999999</v>
      </c>
      <c r="AH257" s="28">
        <v>33.619</v>
      </c>
      <c r="AI257" s="28">
        <v>1.2999999999999999E-2</v>
      </c>
      <c r="AJ257" s="28" t="s">
        <v>421</v>
      </c>
      <c r="AK257" s="28">
        <v>2E-3</v>
      </c>
      <c r="AL257" s="28">
        <v>54.106000000000002</v>
      </c>
      <c r="AM257" s="28">
        <v>5.1999999999999998E-2</v>
      </c>
      <c r="AN257" s="28">
        <v>11.313000000000001</v>
      </c>
      <c r="AO257" s="28">
        <v>0.57999999999999996</v>
      </c>
      <c r="AP257" s="156">
        <f t="shared" si="3"/>
        <v>99.829000000000008</v>
      </c>
    </row>
    <row r="258" spans="1:42" x14ac:dyDescent="0.2">
      <c r="A258" s="9" t="s">
        <v>919</v>
      </c>
      <c r="B258" s="9" t="s">
        <v>920</v>
      </c>
      <c r="C258" s="9" t="s">
        <v>110</v>
      </c>
      <c r="D258" s="9" t="s">
        <v>115</v>
      </c>
      <c r="E258" s="154">
        <v>286695.73892282235</v>
      </c>
      <c r="F258" s="154">
        <v>287485.73035773472</v>
      </c>
      <c r="G258" s="154">
        <v>3160.3845143640988</v>
      </c>
      <c r="H258" s="154">
        <v>86313.771600409993</v>
      </c>
      <c r="I258" s="154">
        <v>0.13560462809170545</v>
      </c>
      <c r="J258" s="154">
        <v>251.93414451671345</v>
      </c>
      <c r="K258" s="154">
        <v>542940</v>
      </c>
      <c r="L258" s="154">
        <v>548116.65018499002</v>
      </c>
      <c r="M258" s="154">
        <v>11.157888088118426</v>
      </c>
      <c r="N258" s="154">
        <v>0.26542934246857891</v>
      </c>
      <c r="O258" s="154" t="s">
        <v>421</v>
      </c>
      <c r="P258" s="154" t="s">
        <v>421</v>
      </c>
      <c r="Q258" s="154">
        <v>9.3725852854811738</v>
      </c>
      <c r="R258" s="154">
        <v>2401.2703317435517</v>
      </c>
      <c r="S258" s="154">
        <v>1.6672230465556159</v>
      </c>
      <c r="T258" s="154">
        <v>163.60828845721934</v>
      </c>
      <c r="U258" s="154">
        <v>164.6769160369748</v>
      </c>
      <c r="V258" s="154">
        <v>0.17030167252298842</v>
      </c>
      <c r="W258" s="154">
        <v>4.2236086979745187</v>
      </c>
      <c r="X258" s="154">
        <v>1.4423835136735138E-2</v>
      </c>
      <c r="Y258" s="154">
        <v>0.53219828667162628</v>
      </c>
      <c r="Z258" s="154">
        <v>1.1109548658010699</v>
      </c>
      <c r="AC258" s="28" t="s">
        <v>421</v>
      </c>
      <c r="AD258" s="28" t="s">
        <v>421</v>
      </c>
      <c r="AE258" s="9" t="s">
        <v>421</v>
      </c>
      <c r="AF258" s="28" t="s">
        <v>421</v>
      </c>
      <c r="AG258" s="28">
        <v>8.6999999999999994E-2</v>
      </c>
      <c r="AH258" s="28">
        <v>33.698</v>
      </c>
      <c r="AI258" s="28">
        <v>4.4999999999999998E-2</v>
      </c>
      <c r="AJ258" s="28" t="s">
        <v>421</v>
      </c>
      <c r="AK258" s="28" t="s">
        <v>421</v>
      </c>
      <c r="AL258" s="28">
        <v>54.293999999999997</v>
      </c>
      <c r="AM258" s="28">
        <v>3.2000000000000001E-2</v>
      </c>
      <c r="AN258" s="28">
        <v>11.364000000000001</v>
      </c>
      <c r="AO258" s="28">
        <v>0.53200000000000003</v>
      </c>
      <c r="AP258" s="156">
        <f t="shared" si="3"/>
        <v>100.05199999999999</v>
      </c>
    </row>
    <row r="259" spans="1:42" x14ac:dyDescent="0.2">
      <c r="A259" s="9" t="s">
        <v>921</v>
      </c>
      <c r="B259" s="9" t="s">
        <v>922</v>
      </c>
      <c r="C259" s="9" t="s">
        <v>110</v>
      </c>
      <c r="D259" s="9" t="s">
        <v>115</v>
      </c>
      <c r="E259" s="154">
        <v>289131.24652107415</v>
      </c>
      <c r="F259" s="154">
        <v>286608.78467021819</v>
      </c>
      <c r="G259" s="154">
        <v>2531.9507726092716</v>
      </c>
      <c r="H259" s="154">
        <v>79808.281787354659</v>
      </c>
      <c r="I259" s="154">
        <v>2.9273386198417017</v>
      </c>
      <c r="J259" s="154">
        <v>459.68207043588262</v>
      </c>
      <c r="K259" s="154">
        <v>548180</v>
      </c>
      <c r="L259" s="154">
        <v>554064.79513836885</v>
      </c>
      <c r="M259" s="154">
        <v>6.4005695335296302</v>
      </c>
      <c r="N259" s="154">
        <v>0.25312491539889254</v>
      </c>
      <c r="O259" s="154">
        <v>1.0794372604504821</v>
      </c>
      <c r="P259" s="154" t="s">
        <v>421</v>
      </c>
      <c r="Q259" s="154">
        <v>50.808684965070171</v>
      </c>
      <c r="R259" s="154">
        <v>2469.4188300196274</v>
      </c>
      <c r="S259" s="154">
        <v>2.1405356257301</v>
      </c>
      <c r="T259" s="154">
        <v>175.53193702882413</v>
      </c>
      <c r="U259" s="154">
        <v>179.11292980197584</v>
      </c>
      <c r="V259" s="154">
        <v>28.339742929626691</v>
      </c>
      <c r="W259" s="154">
        <v>10.013549957320754</v>
      </c>
      <c r="X259" s="154">
        <v>4.944297935843215E-2</v>
      </c>
      <c r="Y259" s="154">
        <v>4.5239491941310535</v>
      </c>
      <c r="Z259" s="154">
        <v>1.5437270398320979</v>
      </c>
      <c r="AC259" s="28" t="s">
        <v>421</v>
      </c>
      <c r="AD259" s="28" t="s">
        <v>421</v>
      </c>
      <c r="AE259" s="9" t="s">
        <v>421</v>
      </c>
      <c r="AF259" s="28" t="s">
        <v>421</v>
      </c>
      <c r="AG259" s="28">
        <v>7.9000000000000001E-2</v>
      </c>
      <c r="AH259" s="28">
        <v>33.561</v>
      </c>
      <c r="AI259" s="28">
        <v>0.03</v>
      </c>
      <c r="AJ259" s="28" t="s">
        <v>421</v>
      </c>
      <c r="AK259" s="28" t="s">
        <v>421</v>
      </c>
      <c r="AL259" s="28">
        <v>54.817999999999998</v>
      </c>
      <c r="AM259" s="28">
        <v>2.8000000000000001E-2</v>
      </c>
      <c r="AN259" s="28">
        <v>10.617000000000001</v>
      </c>
      <c r="AO259" s="28">
        <v>0.44700000000000001</v>
      </c>
      <c r="AP259" s="156">
        <f t="shared" si="3"/>
        <v>99.580000000000013</v>
      </c>
    </row>
    <row r="260" spans="1:42" x14ac:dyDescent="0.2">
      <c r="A260" s="9" t="s">
        <v>923</v>
      </c>
      <c r="B260" s="9" t="s">
        <v>924</v>
      </c>
      <c r="C260" s="9" t="s">
        <v>110</v>
      </c>
      <c r="D260" s="9" t="s">
        <v>115</v>
      </c>
      <c r="E260" s="154">
        <v>290259.68198162835</v>
      </c>
      <c r="F260" s="154">
        <v>348679.5823589178</v>
      </c>
      <c r="G260" s="154">
        <v>2935.8970260003161</v>
      </c>
      <c r="H260" s="154">
        <v>86459.762371559278</v>
      </c>
      <c r="I260" s="154" t="s">
        <v>421</v>
      </c>
      <c r="J260" s="154">
        <v>61.608753824656468</v>
      </c>
      <c r="K260" s="154">
        <v>546280</v>
      </c>
      <c r="L260" s="154">
        <v>551732.92019904742</v>
      </c>
      <c r="M260" s="154">
        <v>10.181618626501061</v>
      </c>
      <c r="N260" s="154">
        <v>0.42248574963946095</v>
      </c>
      <c r="O260" s="154">
        <v>0.51011896665798795</v>
      </c>
      <c r="P260" s="154" t="s">
        <v>421</v>
      </c>
      <c r="Q260" s="154">
        <v>54.621760121517134</v>
      </c>
      <c r="R260" s="154">
        <v>2315.6354664862442</v>
      </c>
      <c r="S260" s="154">
        <v>0.68619991734613961</v>
      </c>
      <c r="T260" s="154">
        <v>20.336407108116511</v>
      </c>
      <c r="U260" s="154">
        <v>20.345229296390958</v>
      </c>
      <c r="V260" s="154">
        <v>67.380703151430239</v>
      </c>
      <c r="W260" s="154">
        <v>14.553775588876926</v>
      </c>
      <c r="X260" s="154">
        <v>2.6051288983301849E-2</v>
      </c>
      <c r="Y260" s="154">
        <v>1.0570432058064341</v>
      </c>
      <c r="Z260" s="154">
        <v>0.61705613317854346</v>
      </c>
      <c r="AC260" s="28" t="s">
        <v>421</v>
      </c>
      <c r="AD260" s="28" t="s">
        <v>421</v>
      </c>
      <c r="AE260" s="9" t="s">
        <v>421</v>
      </c>
      <c r="AF260" s="28" t="s">
        <v>421</v>
      </c>
      <c r="AG260" s="28">
        <v>0.12</v>
      </c>
      <c r="AH260" s="28">
        <v>33.670999999999999</v>
      </c>
      <c r="AI260" s="28" t="s">
        <v>421</v>
      </c>
      <c r="AJ260" s="28" t="s">
        <v>421</v>
      </c>
      <c r="AK260" s="28" t="s">
        <v>421</v>
      </c>
      <c r="AL260" s="28">
        <v>54.628</v>
      </c>
      <c r="AM260" s="28">
        <v>1.0999999999999999E-2</v>
      </c>
      <c r="AN260" s="28">
        <v>10.993</v>
      </c>
      <c r="AO260" s="28">
        <v>0.49399999999999999</v>
      </c>
      <c r="AP260" s="156">
        <f t="shared" si="3"/>
        <v>99.916999999999987</v>
      </c>
    </row>
    <row r="261" spans="1:42" x14ac:dyDescent="0.2">
      <c r="A261" s="9" t="s">
        <v>925</v>
      </c>
      <c r="B261" s="9" t="s">
        <v>926</v>
      </c>
      <c r="C261" s="9" t="s">
        <v>110</v>
      </c>
      <c r="D261" s="9" t="s">
        <v>115</v>
      </c>
      <c r="E261" s="154">
        <v>284955.93801726855</v>
      </c>
      <c r="F261" s="154">
        <v>279467.11593448085</v>
      </c>
      <c r="G261" s="154">
        <v>4112.2844120460977</v>
      </c>
      <c r="H261" s="154">
        <v>80288.688897580083</v>
      </c>
      <c r="I261" s="154">
        <v>0.15779497058792591</v>
      </c>
      <c r="J261" s="154">
        <v>888.92880888024376</v>
      </c>
      <c r="K261" s="154">
        <v>533240</v>
      </c>
      <c r="L261" s="154">
        <v>539692.99746018893</v>
      </c>
      <c r="M261" s="154">
        <v>21.105222662108254</v>
      </c>
      <c r="N261" s="154">
        <v>0.25396163759601559</v>
      </c>
      <c r="O261" s="154">
        <v>0.45433545806712966</v>
      </c>
      <c r="P261" s="154">
        <v>0.89860085386528998</v>
      </c>
      <c r="Q261" s="154">
        <v>358.07080371444397</v>
      </c>
      <c r="R261" s="154">
        <v>2275.891489203023</v>
      </c>
      <c r="S261" s="154">
        <v>2.9649927075425668</v>
      </c>
      <c r="T261" s="154">
        <v>241.97992900454807</v>
      </c>
      <c r="U261" s="154">
        <v>245.33907826742399</v>
      </c>
      <c r="V261" s="154">
        <v>234.17189215622662</v>
      </c>
      <c r="W261" s="154">
        <v>4.5270159278196322</v>
      </c>
      <c r="X261" s="154">
        <v>0.14611361431222217</v>
      </c>
      <c r="Y261" s="154">
        <v>6.2087291031235905</v>
      </c>
      <c r="Z261" s="154">
        <v>2.1422609489271034</v>
      </c>
      <c r="AC261" s="28" t="s">
        <v>421</v>
      </c>
      <c r="AD261" s="28" t="s">
        <v>421</v>
      </c>
      <c r="AE261" s="9" t="s">
        <v>421</v>
      </c>
      <c r="AF261" s="28" t="s">
        <v>421</v>
      </c>
      <c r="AG261" s="28">
        <v>0.11700000000000001</v>
      </c>
      <c r="AH261" s="28">
        <v>34.110999999999997</v>
      </c>
      <c r="AI261" s="28">
        <v>0.108</v>
      </c>
      <c r="AJ261" s="28" t="s">
        <v>421</v>
      </c>
      <c r="AK261" s="28">
        <v>6.9000000000000006E-2</v>
      </c>
      <c r="AL261" s="28">
        <v>53.323999999999998</v>
      </c>
      <c r="AM261" s="28">
        <v>0.152</v>
      </c>
      <c r="AN261" s="28">
        <v>11.598000000000001</v>
      </c>
      <c r="AO261" s="28">
        <v>0.84799999999999998</v>
      </c>
      <c r="AP261" s="156">
        <f t="shared" si="3"/>
        <v>100.32699999999998</v>
      </c>
    </row>
    <row r="262" spans="1:42" x14ac:dyDescent="0.2">
      <c r="A262" s="9" t="s">
        <v>927</v>
      </c>
      <c r="B262" s="9" t="s">
        <v>928</v>
      </c>
      <c r="C262" s="9" t="s">
        <v>110</v>
      </c>
      <c r="D262" s="9" t="s">
        <v>115</v>
      </c>
      <c r="E262" s="154">
        <v>287041.56312492437</v>
      </c>
      <c r="F262" s="154">
        <v>286466.46067102719</v>
      </c>
      <c r="G262" s="154">
        <v>3157.1014033476868</v>
      </c>
      <c r="H262" s="154">
        <v>81993.601019870723</v>
      </c>
      <c r="I262" s="154">
        <v>0.11373879038573435</v>
      </c>
      <c r="J262" s="154">
        <v>602.43670674887233</v>
      </c>
      <c r="K262" s="154">
        <v>549850</v>
      </c>
      <c r="L262" s="154">
        <v>565066.08069796453</v>
      </c>
      <c r="M262" s="154">
        <v>7.2566874315616605</v>
      </c>
      <c r="N262" s="154">
        <v>2.8081906666479983</v>
      </c>
      <c r="O262" s="154">
        <v>0.81474666328986733</v>
      </c>
      <c r="P262" s="154" t="s">
        <v>421</v>
      </c>
      <c r="Q262" s="154">
        <v>611.00336628878483</v>
      </c>
      <c r="R262" s="154">
        <v>2322.6125946328907</v>
      </c>
      <c r="S262" s="154">
        <v>1.8872613228889858</v>
      </c>
      <c r="T262" s="154">
        <v>22.481518656353149</v>
      </c>
      <c r="U262" s="154">
        <v>22.771149364132757</v>
      </c>
      <c r="V262" s="154">
        <v>481.24250734758573</v>
      </c>
      <c r="W262" s="154">
        <v>4.426622148626465</v>
      </c>
      <c r="X262" s="154">
        <v>1.5834034484434E-2</v>
      </c>
      <c r="Y262" s="154">
        <v>2.7427371291665024</v>
      </c>
      <c r="Z262" s="154">
        <v>1.8108241594573851</v>
      </c>
      <c r="AC262" s="28" t="s">
        <v>421</v>
      </c>
      <c r="AD262" s="28" t="s">
        <v>421</v>
      </c>
      <c r="AE262" s="9" t="s">
        <v>421</v>
      </c>
      <c r="AF262" s="28" t="s">
        <v>421</v>
      </c>
      <c r="AG262" s="28">
        <v>2.8000000000000001E-2</v>
      </c>
      <c r="AH262" s="28">
        <v>33.752000000000002</v>
      </c>
      <c r="AI262" s="28" t="s">
        <v>421</v>
      </c>
      <c r="AJ262" s="28" t="s">
        <v>421</v>
      </c>
      <c r="AK262" s="28">
        <v>7.0000000000000001E-3</v>
      </c>
      <c r="AL262" s="28">
        <v>54.984999999999999</v>
      </c>
      <c r="AM262" s="28">
        <v>2.5999999999999999E-2</v>
      </c>
      <c r="AN262" s="28">
        <v>10.795</v>
      </c>
      <c r="AO262" s="28">
        <v>0.54500000000000004</v>
      </c>
      <c r="AP262" s="156">
        <f t="shared" si="3"/>
        <v>100.13799999999999</v>
      </c>
    </row>
    <row r="263" spans="1:42" x14ac:dyDescent="0.2">
      <c r="A263" s="9" t="s">
        <v>929</v>
      </c>
      <c r="B263" s="9" t="s">
        <v>930</v>
      </c>
      <c r="C263" s="9" t="s">
        <v>110</v>
      </c>
      <c r="D263" s="9" t="s">
        <v>115</v>
      </c>
      <c r="E263" s="154">
        <v>289486.42785142153</v>
      </c>
      <c r="F263" s="154">
        <v>325799.99658887589</v>
      </c>
      <c r="G263" s="154">
        <v>3822.3172622624211</v>
      </c>
      <c r="H263" s="154">
        <v>97334.859102668823</v>
      </c>
      <c r="I263" s="154">
        <v>0.55257445219286339</v>
      </c>
      <c r="J263" s="154">
        <v>683.04535407471337</v>
      </c>
      <c r="K263" s="154">
        <v>527490</v>
      </c>
      <c r="L263" s="154">
        <v>524049.57374479977</v>
      </c>
      <c r="M263" s="154">
        <v>9.1883790585209262</v>
      </c>
      <c r="N263" s="154">
        <v>0.42783889460768709</v>
      </c>
      <c r="O263" s="154">
        <v>0.12501898178887064</v>
      </c>
      <c r="P263" s="154">
        <v>0.86537692478825901</v>
      </c>
      <c r="Q263" s="154">
        <v>12.541689099318985</v>
      </c>
      <c r="R263" s="154">
        <v>2976.7594502451707</v>
      </c>
      <c r="S263" s="154">
        <v>6.2462407124088539</v>
      </c>
      <c r="T263" s="154">
        <v>476.28160866232486</v>
      </c>
      <c r="U263" s="154">
        <v>472.092613873164</v>
      </c>
      <c r="V263" s="154">
        <v>0.25181918905804707</v>
      </c>
      <c r="W263" s="154">
        <v>9.6736261587832288</v>
      </c>
      <c r="X263" s="154" t="s">
        <v>421</v>
      </c>
      <c r="Y263" s="154">
        <v>0.15460742858901241</v>
      </c>
      <c r="Z263" s="154">
        <v>4.6268832429569491</v>
      </c>
      <c r="AC263" s="28" t="s">
        <v>421</v>
      </c>
      <c r="AD263" s="28" t="s">
        <v>421</v>
      </c>
      <c r="AE263" s="9" t="s">
        <v>421</v>
      </c>
      <c r="AF263" s="28" t="s">
        <v>421</v>
      </c>
      <c r="AG263" s="28">
        <v>0.158</v>
      </c>
      <c r="AH263" s="28">
        <v>33.585000000000001</v>
      </c>
      <c r="AI263" s="28">
        <v>4.4999999999999998E-2</v>
      </c>
      <c r="AJ263" s="28" t="s">
        <v>421</v>
      </c>
      <c r="AK263" s="28" t="s">
        <v>421</v>
      </c>
      <c r="AL263" s="28">
        <v>52.749000000000002</v>
      </c>
      <c r="AM263" s="28">
        <v>0.06</v>
      </c>
      <c r="AN263" s="28">
        <v>12.606999999999999</v>
      </c>
      <c r="AO263" s="28">
        <v>0.64300000000000002</v>
      </c>
      <c r="AP263" s="156">
        <f t="shared" si="3"/>
        <v>99.847000000000008</v>
      </c>
    </row>
    <row r="264" spans="1:42" x14ac:dyDescent="0.2">
      <c r="A264" s="9" t="s">
        <v>931</v>
      </c>
      <c r="B264" s="9" t="s">
        <v>932</v>
      </c>
      <c r="C264" s="9" t="s">
        <v>110</v>
      </c>
      <c r="D264" s="9" t="s">
        <v>115</v>
      </c>
      <c r="E264" s="154">
        <v>291483.2416217206</v>
      </c>
      <c r="F264" s="154">
        <v>291160.5998963553</v>
      </c>
      <c r="G264" s="154">
        <v>3106.5212309216163</v>
      </c>
      <c r="H264" s="154">
        <v>84197.601911159465</v>
      </c>
      <c r="I264" s="154">
        <v>0.42634241778062454</v>
      </c>
      <c r="J264" s="154">
        <v>236.53781471523354</v>
      </c>
      <c r="K264" s="154">
        <v>545990</v>
      </c>
      <c r="L264" s="154">
        <v>554856.0125604067</v>
      </c>
      <c r="M264" s="154">
        <v>12.687250554987164</v>
      </c>
      <c r="N264" s="154">
        <v>0.64971186268981285</v>
      </c>
      <c r="O264" s="154">
        <v>0.18316062778276893</v>
      </c>
      <c r="P264" s="154" t="s">
        <v>421</v>
      </c>
      <c r="Q264" s="154">
        <v>9.7895458362949768</v>
      </c>
      <c r="R264" s="154">
        <v>2425.6057652785785</v>
      </c>
      <c r="S264" s="154">
        <v>4.1788047526013781</v>
      </c>
      <c r="T264" s="154">
        <v>152.28867092210982</v>
      </c>
      <c r="U264" s="154">
        <v>152.04500534848924</v>
      </c>
      <c r="V264" s="154">
        <v>0.19973985581185016</v>
      </c>
      <c r="W264" s="154">
        <v>7.4039973113198023</v>
      </c>
      <c r="X264" s="154" t="s">
        <v>421</v>
      </c>
      <c r="Y264" s="154">
        <v>0.45234444693614739</v>
      </c>
      <c r="Z264" s="154">
        <v>3.6610232714662048</v>
      </c>
      <c r="AC264" s="28" t="s">
        <v>421</v>
      </c>
      <c r="AD264" s="28" t="s">
        <v>421</v>
      </c>
      <c r="AE264" s="9" t="s">
        <v>421</v>
      </c>
      <c r="AF264" s="28" t="s">
        <v>421</v>
      </c>
      <c r="AG264" s="28">
        <v>0.16700000000000001</v>
      </c>
      <c r="AH264" s="28">
        <v>33.421999999999997</v>
      </c>
      <c r="AI264" s="28">
        <v>1.4E-2</v>
      </c>
      <c r="AJ264" s="28" t="s">
        <v>421</v>
      </c>
      <c r="AK264" s="28" t="s">
        <v>421</v>
      </c>
      <c r="AL264" s="28">
        <v>54.598999999999997</v>
      </c>
      <c r="AM264" s="28">
        <v>4.0000000000000001E-3</v>
      </c>
      <c r="AN264" s="28">
        <v>10.968999999999999</v>
      </c>
      <c r="AO264" s="28">
        <v>0.53100000000000003</v>
      </c>
      <c r="AP264" s="156">
        <f t="shared" ref="AP264:AP327" si="4">SUM(AC264:AO264)</f>
        <v>99.706000000000003</v>
      </c>
    </row>
    <row r="265" spans="1:42" x14ac:dyDescent="0.2">
      <c r="A265" s="9" t="s">
        <v>933</v>
      </c>
      <c r="B265" s="9" t="s">
        <v>934</v>
      </c>
      <c r="C265" s="9" t="s">
        <v>110</v>
      </c>
      <c r="D265" s="9" t="s">
        <v>116</v>
      </c>
      <c r="E265" s="154">
        <v>284221.74768914917</v>
      </c>
      <c r="F265" s="154">
        <v>287170.28883852478</v>
      </c>
      <c r="G265" s="154">
        <v>589.66050736071827</v>
      </c>
      <c r="H265" s="154">
        <v>96920.429429677315</v>
      </c>
      <c r="I265" s="154">
        <v>2.7008892592234717</v>
      </c>
      <c r="J265" s="154">
        <v>1036.991907269319</v>
      </c>
      <c r="K265" s="154">
        <v>527640</v>
      </c>
      <c r="L265" s="154">
        <v>528482.68243091134</v>
      </c>
      <c r="M265" s="154">
        <v>33.754096666370742</v>
      </c>
      <c r="N265" s="154" t="s">
        <v>421</v>
      </c>
      <c r="O265" s="154">
        <v>0.12876968057319554</v>
      </c>
      <c r="P265" s="154">
        <v>1.9349508555072279</v>
      </c>
      <c r="Q265" s="154">
        <v>11.679399417821855</v>
      </c>
      <c r="R265" s="154">
        <v>5067.9048595707691</v>
      </c>
      <c r="S265" s="154">
        <v>87.927500026200192</v>
      </c>
      <c r="T265" s="154">
        <v>649.91166445993736</v>
      </c>
      <c r="U265" s="154">
        <v>650.3863404962882</v>
      </c>
      <c r="V265" s="154">
        <v>9.6742325673853102E-2</v>
      </c>
      <c r="W265" s="154">
        <v>2.6757777569293615</v>
      </c>
      <c r="X265" s="154" t="s">
        <v>421</v>
      </c>
      <c r="Y265" s="154">
        <v>0.27609084850453675</v>
      </c>
      <c r="Z265" s="154">
        <v>85.717800367036403</v>
      </c>
      <c r="AC265" s="28" t="s">
        <v>421</v>
      </c>
      <c r="AD265" s="28" t="s">
        <v>421</v>
      </c>
      <c r="AE265" s="9" t="s">
        <v>421</v>
      </c>
      <c r="AF265" s="28" t="s">
        <v>421</v>
      </c>
      <c r="AG265" s="28">
        <v>0.33900000000000002</v>
      </c>
      <c r="AH265" s="28">
        <v>33.584000000000003</v>
      </c>
      <c r="AI265" s="28">
        <v>6.8000000000000005E-2</v>
      </c>
      <c r="AJ265" s="28" t="s">
        <v>421</v>
      </c>
      <c r="AK265" s="28" t="s">
        <v>421</v>
      </c>
      <c r="AL265" s="28">
        <v>52.764000000000003</v>
      </c>
      <c r="AM265" s="28">
        <v>7.6999999999999999E-2</v>
      </c>
      <c r="AN265" s="28">
        <v>12.933999999999999</v>
      </c>
      <c r="AO265" s="28">
        <v>9.0999999999999998E-2</v>
      </c>
      <c r="AP265" s="156">
        <f t="shared" si="4"/>
        <v>99.856999999999985</v>
      </c>
    </row>
    <row r="266" spans="1:42" x14ac:dyDescent="0.2">
      <c r="A266" s="9" t="s">
        <v>935</v>
      </c>
      <c r="B266" s="9" t="s">
        <v>936</v>
      </c>
      <c r="C266" s="9" t="s">
        <v>110</v>
      </c>
      <c r="D266" s="9" t="s">
        <v>116</v>
      </c>
      <c r="E266" s="154">
        <v>285626.48020579404</v>
      </c>
      <c r="F266" s="154">
        <v>282910.62867456157</v>
      </c>
      <c r="G266" s="154">
        <v>6479.3604220611451</v>
      </c>
      <c r="H266" s="154">
        <v>98696.579414551365</v>
      </c>
      <c r="I266" s="154">
        <v>2.5664393194258968</v>
      </c>
      <c r="J266" s="154">
        <v>122.84106229244452</v>
      </c>
      <c r="K266" s="154">
        <v>516030</v>
      </c>
      <c r="L266" s="154">
        <v>510942.97040981962</v>
      </c>
      <c r="M266" s="154">
        <v>6.9938356901380265</v>
      </c>
      <c r="N266" s="154" t="s">
        <v>421</v>
      </c>
      <c r="O266" s="154" t="s">
        <v>421</v>
      </c>
      <c r="P266" s="154" t="s">
        <v>421</v>
      </c>
      <c r="Q266" s="154">
        <v>2.2825899756351369</v>
      </c>
      <c r="R266" s="154">
        <v>5131.6546622581864</v>
      </c>
      <c r="S266" s="154">
        <v>95.324144830339037</v>
      </c>
      <c r="T266" s="154">
        <v>13.069095722798783</v>
      </c>
      <c r="U266" s="154">
        <v>12.626611859379869</v>
      </c>
      <c r="V266" s="154" t="s">
        <v>421</v>
      </c>
      <c r="W266" s="154">
        <v>4.992816086539472</v>
      </c>
      <c r="X266" s="154">
        <v>1.5902043794411912E-2</v>
      </c>
      <c r="Y266" s="154">
        <v>0.26495702038925689</v>
      </c>
      <c r="Z266" s="154">
        <v>95.279709904881514</v>
      </c>
      <c r="AC266" s="28" t="s">
        <v>421</v>
      </c>
      <c r="AD266" s="28" t="s">
        <v>421</v>
      </c>
      <c r="AE266" s="9" t="s">
        <v>421</v>
      </c>
      <c r="AF266" s="28" t="s">
        <v>421</v>
      </c>
      <c r="AG266" s="28">
        <v>0.307</v>
      </c>
      <c r="AH266" s="28">
        <v>33.545999999999999</v>
      </c>
      <c r="AI266" s="28">
        <v>3.0000000000000001E-3</v>
      </c>
      <c r="AJ266" s="28" t="s">
        <v>421</v>
      </c>
      <c r="AK266" s="28" t="s">
        <v>421</v>
      </c>
      <c r="AL266" s="28">
        <v>51.603000000000002</v>
      </c>
      <c r="AM266" s="28" t="s">
        <v>421</v>
      </c>
      <c r="AN266" s="28">
        <v>12.786</v>
      </c>
      <c r="AO266" s="28">
        <v>1.083</v>
      </c>
      <c r="AP266" s="156">
        <f t="shared" si="4"/>
        <v>99.328000000000003</v>
      </c>
    </row>
    <row r="267" spans="1:42" x14ac:dyDescent="0.2">
      <c r="A267" s="9" t="s">
        <v>937</v>
      </c>
      <c r="B267" s="9" t="s">
        <v>938</v>
      </c>
      <c r="C267" s="9" t="s">
        <v>110</v>
      </c>
      <c r="D267" s="9" t="s">
        <v>116</v>
      </c>
      <c r="E267" s="154">
        <v>284307.97049817134</v>
      </c>
      <c r="F267" s="154">
        <v>284244.08694345859</v>
      </c>
      <c r="G267" s="154">
        <v>3217.8005423737245</v>
      </c>
      <c r="H267" s="154">
        <v>99105.037977878266</v>
      </c>
      <c r="I267" s="154">
        <v>15.88695450387954</v>
      </c>
      <c r="J267" s="154">
        <v>968.98405752767326</v>
      </c>
      <c r="K267" s="154">
        <v>519000</v>
      </c>
      <c r="L267" s="154">
        <v>525853.50450203416</v>
      </c>
      <c r="M267" s="154">
        <v>4.6517470979585376</v>
      </c>
      <c r="N267" s="154" t="s">
        <v>421</v>
      </c>
      <c r="O267" s="154" t="s">
        <v>421</v>
      </c>
      <c r="P267" s="154">
        <v>9.174977699506897</v>
      </c>
      <c r="Q267" s="154">
        <v>8.2862790127739956</v>
      </c>
      <c r="R267" s="154">
        <v>4159.8673172903145</v>
      </c>
      <c r="S267" s="154">
        <v>164.96867701564477</v>
      </c>
      <c r="T267" s="154">
        <v>374.47956260372558</v>
      </c>
      <c r="U267" s="154">
        <v>372.76918987355543</v>
      </c>
      <c r="V267" s="154">
        <v>6.7137413434794041E-2</v>
      </c>
      <c r="W267" s="154">
        <v>4.746353836256656</v>
      </c>
      <c r="X267" s="154" t="s">
        <v>421</v>
      </c>
      <c r="Y267" s="154">
        <v>0.56251550192817179</v>
      </c>
      <c r="Z267" s="154">
        <v>163.69544650279209</v>
      </c>
      <c r="AC267" s="28" t="s">
        <v>421</v>
      </c>
      <c r="AD267" s="28" t="s">
        <v>421</v>
      </c>
      <c r="AE267" s="9" t="s">
        <v>421</v>
      </c>
      <c r="AF267" s="28" t="s">
        <v>421</v>
      </c>
      <c r="AG267" s="28">
        <v>0.2</v>
      </c>
      <c r="AH267" s="28">
        <v>33.481000000000002</v>
      </c>
      <c r="AI267" s="28">
        <v>1.4E-2</v>
      </c>
      <c r="AJ267" s="28">
        <v>5.0000000000000001E-3</v>
      </c>
      <c r="AK267" s="28" t="s">
        <v>421</v>
      </c>
      <c r="AL267" s="28">
        <v>51.9</v>
      </c>
      <c r="AM267" s="28">
        <v>3.5000000000000003E-2</v>
      </c>
      <c r="AN267" s="28">
        <v>13.305999999999999</v>
      </c>
      <c r="AO267" s="28">
        <v>0.54</v>
      </c>
      <c r="AP267" s="156">
        <f t="shared" si="4"/>
        <v>99.481000000000009</v>
      </c>
    </row>
    <row r="268" spans="1:42" x14ac:dyDescent="0.2">
      <c r="A268" s="9" t="s">
        <v>939</v>
      </c>
      <c r="B268" s="9" t="s">
        <v>940</v>
      </c>
      <c r="C268" s="9" t="s">
        <v>110</v>
      </c>
      <c r="D268" s="9" t="s">
        <v>116</v>
      </c>
      <c r="E268" s="154">
        <v>281284.03574489523</v>
      </c>
      <c r="F268" s="154">
        <v>288488.42130753933</v>
      </c>
      <c r="G268" s="154">
        <v>2913.379778632825</v>
      </c>
      <c r="H268" s="154">
        <v>94757.216797301502</v>
      </c>
      <c r="I268" s="154">
        <v>15.486352683756662</v>
      </c>
      <c r="J268" s="154">
        <v>469.30762941776624</v>
      </c>
      <c r="K268" s="154">
        <v>520920</v>
      </c>
      <c r="L268" s="154">
        <v>524575.77877545997</v>
      </c>
      <c r="M268" s="154">
        <v>6.9375156606682014</v>
      </c>
      <c r="N268" s="154" t="s">
        <v>421</v>
      </c>
      <c r="O268" s="154">
        <v>0.49142715811611287</v>
      </c>
      <c r="P268" s="154">
        <v>1.3925538639268311</v>
      </c>
      <c r="Q268" s="154">
        <v>7.6201217854281111</v>
      </c>
      <c r="R268" s="154">
        <v>4002.231376522665</v>
      </c>
      <c r="S268" s="154">
        <v>19.629727627608638</v>
      </c>
      <c r="T268" s="154">
        <v>288.28090082497698</v>
      </c>
      <c r="U268" s="154">
        <v>295.85963775015364</v>
      </c>
      <c r="V268" s="154">
        <v>3.7534834417877914</v>
      </c>
      <c r="W268" s="154">
        <v>6.3504378179088858</v>
      </c>
      <c r="X268" s="154">
        <v>1.4820537775966133E-2</v>
      </c>
      <c r="Y268" s="154">
        <v>1.5501797987775146</v>
      </c>
      <c r="Z268" s="154">
        <v>18.649572564803716</v>
      </c>
      <c r="AC268" s="28" t="s">
        <v>421</v>
      </c>
      <c r="AD268" s="28" t="s">
        <v>421</v>
      </c>
      <c r="AE268" s="9" t="s">
        <v>421</v>
      </c>
      <c r="AF268" s="28" t="s">
        <v>421</v>
      </c>
      <c r="AG268" s="28">
        <v>0.23400000000000001</v>
      </c>
      <c r="AH268" s="28">
        <v>33.715000000000003</v>
      </c>
      <c r="AI268" s="28">
        <v>2.1999999999999999E-2</v>
      </c>
      <c r="AJ268" s="28" t="s">
        <v>421</v>
      </c>
      <c r="AK268" s="28" t="s">
        <v>421</v>
      </c>
      <c r="AL268" s="28">
        <v>52.091999999999999</v>
      </c>
      <c r="AM268" s="28">
        <v>6.0000000000000001E-3</v>
      </c>
      <c r="AN268" s="28">
        <v>13.353999999999999</v>
      </c>
      <c r="AO268" s="28">
        <v>0.53400000000000003</v>
      </c>
      <c r="AP268" s="156">
        <f t="shared" si="4"/>
        <v>99.957000000000008</v>
      </c>
    </row>
    <row r="269" spans="1:42" x14ac:dyDescent="0.2">
      <c r="A269" s="9" t="s">
        <v>941</v>
      </c>
      <c r="B269" s="9" t="s">
        <v>942</v>
      </c>
      <c r="C269" s="9" t="s">
        <v>110</v>
      </c>
      <c r="D269" s="9" t="s">
        <v>116</v>
      </c>
      <c r="E269" s="154">
        <v>283149.36391243152</v>
      </c>
      <c r="F269" s="154">
        <v>279952.41813826666</v>
      </c>
      <c r="G269" s="154">
        <v>2269.1974587687619</v>
      </c>
      <c r="H269" s="154">
        <v>91540.290483828023</v>
      </c>
      <c r="I269" s="154">
        <v>0.46162557416283995</v>
      </c>
      <c r="J269" s="154">
        <v>267.6790314762888</v>
      </c>
      <c r="K269" s="154">
        <v>532130</v>
      </c>
      <c r="L269" s="154">
        <v>534012.29729193449</v>
      </c>
      <c r="M269" s="154">
        <v>6.353574715853763</v>
      </c>
      <c r="N269" s="154" t="s">
        <v>421</v>
      </c>
      <c r="O269" s="154">
        <v>0.23537984250389682</v>
      </c>
      <c r="P269" s="154" t="s">
        <v>421</v>
      </c>
      <c r="Q269" s="154">
        <v>4.6750560605928912</v>
      </c>
      <c r="R269" s="154">
        <v>5091.1941787634105</v>
      </c>
      <c r="S269" s="154">
        <v>154.31952271371199</v>
      </c>
      <c r="T269" s="154">
        <v>85.02316704010768</v>
      </c>
      <c r="U269" s="154">
        <v>86.047374006551351</v>
      </c>
      <c r="V269" s="154" t="s">
        <v>421</v>
      </c>
      <c r="W269" s="154">
        <v>7.1506511196745288</v>
      </c>
      <c r="X269" s="154" t="s">
        <v>421</v>
      </c>
      <c r="Y269" s="154">
        <v>0.20910991091338865</v>
      </c>
      <c r="Z269" s="154">
        <v>154.03044394577563</v>
      </c>
      <c r="AC269" s="28" t="s">
        <v>421</v>
      </c>
      <c r="AD269" s="28" t="s">
        <v>421</v>
      </c>
      <c r="AE269" s="9" t="s">
        <v>421</v>
      </c>
      <c r="AF269" s="28" t="s">
        <v>421</v>
      </c>
      <c r="AG269" s="28">
        <v>0.38700000000000001</v>
      </c>
      <c r="AH269" s="28">
        <v>33.454000000000001</v>
      </c>
      <c r="AI269" s="28">
        <v>2.8000000000000001E-2</v>
      </c>
      <c r="AJ269" s="28" t="s">
        <v>421</v>
      </c>
      <c r="AK269" s="28" t="s">
        <v>421</v>
      </c>
      <c r="AL269" s="28">
        <v>53.213000000000001</v>
      </c>
      <c r="AM269" s="28">
        <v>8.0000000000000002E-3</v>
      </c>
      <c r="AN269" s="28">
        <v>12.114000000000001</v>
      </c>
      <c r="AO269" s="28">
        <v>0.375</v>
      </c>
      <c r="AP269" s="156">
        <f t="shared" si="4"/>
        <v>99.578999999999994</v>
      </c>
    </row>
    <row r="270" spans="1:42" x14ac:dyDescent="0.2">
      <c r="A270" s="9" t="s">
        <v>943</v>
      </c>
      <c r="B270" s="9" t="s">
        <v>944</v>
      </c>
      <c r="C270" s="9" t="s">
        <v>110</v>
      </c>
      <c r="D270" s="9" t="s">
        <v>116</v>
      </c>
      <c r="E270" s="154">
        <v>292121.15416034957</v>
      </c>
      <c r="F270" s="154">
        <v>288184.17347224546</v>
      </c>
      <c r="G270" s="154">
        <v>2366.7617471640506</v>
      </c>
      <c r="H270" s="154">
        <v>95013.020735458529</v>
      </c>
      <c r="I270" s="154">
        <v>0.54197737400305313</v>
      </c>
      <c r="J270" s="154">
        <v>321.16698052851888</v>
      </c>
      <c r="K270" s="154">
        <v>531640</v>
      </c>
      <c r="L270" s="154">
        <v>537446.47420387238</v>
      </c>
      <c r="M270" s="154">
        <v>6.019016710206869</v>
      </c>
      <c r="N270" s="154" t="s">
        <v>421</v>
      </c>
      <c r="O270" s="154">
        <v>0.17065446094990103</v>
      </c>
      <c r="P270" s="154">
        <v>0.9882024844476367</v>
      </c>
      <c r="Q270" s="154">
        <v>5.0672799844247516</v>
      </c>
      <c r="R270" s="154">
        <v>5178.5839539148483</v>
      </c>
      <c r="S270" s="154">
        <v>192.59146480973871</v>
      </c>
      <c r="T270" s="154">
        <v>93.042319619596597</v>
      </c>
      <c r="U270" s="154">
        <v>95.115301803452994</v>
      </c>
      <c r="V270" s="154" t="s">
        <v>421</v>
      </c>
      <c r="W270" s="154">
        <v>6.1069805568534283</v>
      </c>
      <c r="X270" s="154" t="s">
        <v>421</v>
      </c>
      <c r="Y270" s="154">
        <v>0.19268273919851142</v>
      </c>
      <c r="Z270" s="154">
        <v>192.27512092303209</v>
      </c>
      <c r="AC270" s="28" t="s">
        <v>421</v>
      </c>
      <c r="AD270" s="28" t="s">
        <v>421</v>
      </c>
      <c r="AE270" s="9" t="s">
        <v>421</v>
      </c>
      <c r="AF270" s="28" t="s">
        <v>421</v>
      </c>
      <c r="AG270" s="28">
        <v>0.34300000000000003</v>
      </c>
      <c r="AH270" s="28">
        <v>33.488</v>
      </c>
      <c r="AI270" s="28">
        <v>1.2999999999999999E-2</v>
      </c>
      <c r="AJ270" s="28" t="s">
        <v>421</v>
      </c>
      <c r="AK270" s="28">
        <v>2.3E-2</v>
      </c>
      <c r="AL270" s="28">
        <v>53.164000000000001</v>
      </c>
      <c r="AM270" s="28">
        <v>7.0000000000000001E-3</v>
      </c>
      <c r="AN270" s="28">
        <v>12.006</v>
      </c>
      <c r="AO270" s="28">
        <v>0.39300000000000002</v>
      </c>
      <c r="AP270" s="156">
        <f t="shared" si="4"/>
        <v>99.437000000000012</v>
      </c>
    </row>
    <row r="271" spans="1:42" x14ac:dyDescent="0.2">
      <c r="A271" s="9" t="s">
        <v>945</v>
      </c>
      <c r="B271" s="9" t="s">
        <v>946</v>
      </c>
      <c r="C271" s="9" t="s">
        <v>110</v>
      </c>
      <c r="D271" s="9" t="s">
        <v>116</v>
      </c>
      <c r="E271" s="154">
        <v>282641.8169700451</v>
      </c>
      <c r="F271" s="154">
        <v>283132.14801387838</v>
      </c>
      <c r="G271" s="154">
        <v>2041.8012394787988</v>
      </c>
      <c r="H271" s="154">
        <v>92404.780934364593</v>
      </c>
      <c r="I271" s="154">
        <v>0.65057849536649215</v>
      </c>
      <c r="J271" s="154">
        <v>636.26098312794272</v>
      </c>
      <c r="K271" s="154">
        <v>534480</v>
      </c>
      <c r="L271" s="154">
        <v>536197.77950077073</v>
      </c>
      <c r="M271" s="154">
        <v>6.9899701374894123</v>
      </c>
      <c r="N271" s="154" t="s">
        <v>421</v>
      </c>
      <c r="O271" s="154">
        <v>0.12852016602106167</v>
      </c>
      <c r="P271" s="154" t="s">
        <v>421</v>
      </c>
      <c r="Q271" s="154">
        <v>8.996994037345198</v>
      </c>
      <c r="R271" s="154">
        <v>5335.17340912707</v>
      </c>
      <c r="S271" s="154">
        <v>311.04232861034063</v>
      </c>
      <c r="T271" s="154">
        <v>233.15178791145419</v>
      </c>
      <c r="U271" s="154">
        <v>236.13169507553911</v>
      </c>
      <c r="V271" s="154">
        <v>4.0174744895552492E-2</v>
      </c>
      <c r="W271" s="154">
        <v>3.7260108051601253</v>
      </c>
      <c r="X271" s="154" t="s">
        <v>421</v>
      </c>
      <c r="Y271" s="154">
        <v>0.14010630179794911</v>
      </c>
      <c r="Z271" s="154">
        <v>310.2496125314417</v>
      </c>
      <c r="AC271" s="28" t="s">
        <v>421</v>
      </c>
      <c r="AD271" s="28" t="s">
        <v>421</v>
      </c>
      <c r="AE271" s="9" t="s">
        <v>421</v>
      </c>
      <c r="AF271" s="28" t="s">
        <v>421</v>
      </c>
      <c r="AG271" s="28">
        <v>0.38900000000000001</v>
      </c>
      <c r="AH271" s="28">
        <v>33.817999999999998</v>
      </c>
      <c r="AI271" s="28">
        <v>2.5000000000000001E-2</v>
      </c>
      <c r="AJ271" s="28">
        <v>1.4999999999999999E-2</v>
      </c>
      <c r="AK271" s="28" t="s">
        <v>421</v>
      </c>
      <c r="AL271" s="28">
        <v>53.448</v>
      </c>
      <c r="AM271" s="28">
        <v>4.5999999999999999E-2</v>
      </c>
      <c r="AN271" s="28">
        <v>11.946</v>
      </c>
      <c r="AO271" s="28">
        <v>0.34300000000000003</v>
      </c>
      <c r="AP271" s="156">
        <f t="shared" si="4"/>
        <v>100.03</v>
      </c>
    </row>
    <row r="272" spans="1:42" x14ac:dyDescent="0.2">
      <c r="A272" s="9" t="s">
        <v>947</v>
      </c>
      <c r="B272" s="9" t="s">
        <v>948</v>
      </c>
      <c r="C272" s="9" t="s">
        <v>110</v>
      </c>
      <c r="D272" s="9" t="s">
        <v>116</v>
      </c>
      <c r="E272" s="154">
        <v>282327.8008807337</v>
      </c>
      <c r="F272" s="154">
        <v>280941.27300209395</v>
      </c>
      <c r="G272" s="154">
        <v>1517.6281684775895</v>
      </c>
      <c r="H272" s="154">
        <v>91185.338509829977</v>
      </c>
      <c r="I272" s="154">
        <v>0.88200868307962754</v>
      </c>
      <c r="J272" s="154">
        <v>1082.8515399968608</v>
      </c>
      <c r="K272" s="154">
        <v>536760</v>
      </c>
      <c r="L272" s="154">
        <v>537388.57739193342</v>
      </c>
      <c r="M272" s="154">
        <v>10.659768033137999</v>
      </c>
      <c r="N272" s="154" t="s">
        <v>421</v>
      </c>
      <c r="O272" s="154">
        <v>0.11783039091792326</v>
      </c>
      <c r="P272" s="154" t="s">
        <v>421</v>
      </c>
      <c r="Q272" s="154">
        <v>7.6470928885166538</v>
      </c>
      <c r="R272" s="154">
        <v>5382.7491647721963</v>
      </c>
      <c r="S272" s="154">
        <v>396.89409533214894</v>
      </c>
      <c r="T272" s="154">
        <v>604.6144067594945</v>
      </c>
      <c r="U272" s="154">
        <v>585.64648826634982</v>
      </c>
      <c r="V272" s="154">
        <v>0.18046731962913565</v>
      </c>
      <c r="W272" s="154">
        <v>9.2564126786739269</v>
      </c>
      <c r="X272" s="154" t="s">
        <v>421</v>
      </c>
      <c r="Y272" s="154">
        <v>1.0440161325453232</v>
      </c>
      <c r="Z272" s="154">
        <v>394.83840634916663</v>
      </c>
      <c r="AC272" s="28" t="s">
        <v>421</v>
      </c>
      <c r="AD272" s="28" t="s">
        <v>421</v>
      </c>
      <c r="AE272" s="9" t="s">
        <v>421</v>
      </c>
      <c r="AF272" s="28" t="s">
        <v>421</v>
      </c>
      <c r="AG272" s="28">
        <v>0.373</v>
      </c>
      <c r="AH272" s="28">
        <v>33.484000000000002</v>
      </c>
      <c r="AI272" s="28">
        <v>7.0000000000000001E-3</v>
      </c>
      <c r="AJ272" s="28">
        <v>4.1000000000000002E-2</v>
      </c>
      <c r="AK272" s="28" t="s">
        <v>421</v>
      </c>
      <c r="AL272" s="28">
        <v>53.676000000000002</v>
      </c>
      <c r="AM272" s="28">
        <v>5.8000000000000003E-2</v>
      </c>
      <c r="AN272" s="28">
        <v>11.853</v>
      </c>
      <c r="AO272" s="28">
        <v>0.25900000000000001</v>
      </c>
      <c r="AP272" s="156">
        <f t="shared" si="4"/>
        <v>99.750999999999991</v>
      </c>
    </row>
    <row r="273" spans="1:42" x14ac:dyDescent="0.2">
      <c r="A273" s="9" t="s">
        <v>949</v>
      </c>
      <c r="B273" s="9" t="s">
        <v>950</v>
      </c>
      <c r="C273" s="9" t="s">
        <v>110</v>
      </c>
      <c r="D273" s="9" t="s">
        <v>116</v>
      </c>
      <c r="E273" s="154">
        <v>281182.46892497031</v>
      </c>
      <c r="F273" s="154">
        <v>293511.90174995095</v>
      </c>
      <c r="G273" s="154">
        <v>1542.8557287889948</v>
      </c>
      <c r="H273" s="154">
        <v>90830.61696888892</v>
      </c>
      <c r="I273" s="154">
        <v>0.78797847602715676</v>
      </c>
      <c r="J273" s="154">
        <v>677.35455307554184</v>
      </c>
      <c r="K273" s="154">
        <v>536180</v>
      </c>
      <c r="L273" s="154">
        <v>538200.47000672051</v>
      </c>
      <c r="M273" s="154">
        <v>10.100352967178006</v>
      </c>
      <c r="N273" s="154" t="s">
        <v>421</v>
      </c>
      <c r="O273" s="154">
        <v>0.20814674376779166</v>
      </c>
      <c r="P273" s="154">
        <v>1.1422469138619842</v>
      </c>
      <c r="Q273" s="154">
        <v>11.562024828006555</v>
      </c>
      <c r="R273" s="154">
        <v>4988.5373605863006</v>
      </c>
      <c r="S273" s="154">
        <v>315.62590130320802</v>
      </c>
      <c r="T273" s="154">
        <v>185.4950690926029</v>
      </c>
      <c r="U273" s="154">
        <v>187.93752606731331</v>
      </c>
      <c r="V273" s="154" t="s">
        <v>421</v>
      </c>
      <c r="W273" s="154">
        <v>7.1419797075131743</v>
      </c>
      <c r="X273" s="154" t="s">
        <v>421</v>
      </c>
      <c r="Y273" s="154">
        <v>0.20496547041414021</v>
      </c>
      <c r="Z273" s="154">
        <v>314.99521806829318</v>
      </c>
      <c r="AC273" s="28" t="s">
        <v>421</v>
      </c>
      <c r="AD273" s="28" t="s">
        <v>421</v>
      </c>
      <c r="AE273" s="9" t="s">
        <v>421</v>
      </c>
      <c r="AF273" s="28" t="s">
        <v>421</v>
      </c>
      <c r="AG273" s="28">
        <v>0.46600000000000003</v>
      </c>
      <c r="AH273" s="28">
        <v>33.417000000000002</v>
      </c>
      <c r="AI273" s="28">
        <v>2.5999999999999999E-2</v>
      </c>
      <c r="AJ273" s="28">
        <v>4.4999999999999998E-2</v>
      </c>
      <c r="AK273" s="28" t="s">
        <v>421</v>
      </c>
      <c r="AL273" s="28">
        <v>53.618000000000002</v>
      </c>
      <c r="AM273" s="28">
        <v>6.2E-2</v>
      </c>
      <c r="AN273" s="28">
        <v>11.932</v>
      </c>
      <c r="AO273" s="28">
        <v>0.246</v>
      </c>
      <c r="AP273" s="156">
        <f t="shared" si="4"/>
        <v>99.811999999999998</v>
      </c>
    </row>
    <row r="274" spans="1:42" x14ac:dyDescent="0.2">
      <c r="A274" s="9" t="s">
        <v>951</v>
      </c>
      <c r="B274" s="9" t="s">
        <v>952</v>
      </c>
      <c r="C274" s="9" t="s">
        <v>110</v>
      </c>
      <c r="D274" s="9" t="s">
        <v>116</v>
      </c>
      <c r="E274" s="154">
        <v>283395.70274545398</v>
      </c>
      <c r="F274" s="154">
        <v>279130.40045052802</v>
      </c>
      <c r="G274" s="154">
        <v>4280.6371171564424</v>
      </c>
      <c r="H274" s="154">
        <v>99071.012837073111</v>
      </c>
      <c r="I274" s="154">
        <v>19.612944351474528</v>
      </c>
      <c r="J274" s="154">
        <v>165.14029578106235</v>
      </c>
      <c r="K274" s="154">
        <v>518860</v>
      </c>
      <c r="L274" s="154">
        <v>520417.15456278174</v>
      </c>
      <c r="M274" s="154">
        <v>3.5482000988896267</v>
      </c>
      <c r="N274" s="154" t="s">
        <v>421</v>
      </c>
      <c r="O274" s="154" t="s">
        <v>421</v>
      </c>
      <c r="P274" s="154">
        <v>0.91345674245095976</v>
      </c>
      <c r="Q274" s="154">
        <v>2.0149942828659344</v>
      </c>
      <c r="R274" s="154">
        <v>3790.3181852544067</v>
      </c>
      <c r="S274" s="154">
        <v>38.792453470891964</v>
      </c>
      <c r="T274" s="154">
        <v>81.213842329087271</v>
      </c>
      <c r="U274" s="154">
        <v>82.539846052291352</v>
      </c>
      <c r="V274" s="154" t="s">
        <v>421</v>
      </c>
      <c r="W274" s="154">
        <v>3.2922288016718744</v>
      </c>
      <c r="X274" s="154" t="s">
        <v>421</v>
      </c>
      <c r="Y274" s="154">
        <v>0.13694786704478129</v>
      </c>
      <c r="Z274" s="154">
        <v>38.516326406973064</v>
      </c>
      <c r="AC274" s="28" t="s">
        <v>421</v>
      </c>
      <c r="AD274" s="28" t="s">
        <v>421</v>
      </c>
      <c r="AE274" s="9" t="s">
        <v>421</v>
      </c>
      <c r="AF274" s="28" t="s">
        <v>421</v>
      </c>
      <c r="AG274" s="28">
        <v>0.247</v>
      </c>
      <c r="AH274" s="28">
        <v>33.628</v>
      </c>
      <c r="AI274" s="28">
        <v>2.1000000000000001E-2</v>
      </c>
      <c r="AJ274" s="28" t="s">
        <v>421</v>
      </c>
      <c r="AK274" s="28" t="s">
        <v>421</v>
      </c>
      <c r="AL274" s="28">
        <v>51.886000000000003</v>
      </c>
      <c r="AM274" s="28">
        <v>4.0000000000000001E-3</v>
      </c>
      <c r="AN274" s="28">
        <v>13.185</v>
      </c>
      <c r="AO274" s="28">
        <v>0.747</v>
      </c>
      <c r="AP274" s="156">
        <f t="shared" si="4"/>
        <v>99.718000000000018</v>
      </c>
    </row>
    <row r="275" spans="1:42" x14ac:dyDescent="0.2">
      <c r="A275" s="9" t="s">
        <v>953</v>
      </c>
      <c r="B275" s="9" t="s">
        <v>954</v>
      </c>
      <c r="C275" s="9" t="s">
        <v>110</v>
      </c>
      <c r="D275" s="9" t="s">
        <v>117</v>
      </c>
      <c r="E275" s="154">
        <v>282499.12757938233</v>
      </c>
      <c r="F275" s="154">
        <v>284366.83872406289</v>
      </c>
      <c r="G275" s="154">
        <v>2445.228228696199</v>
      </c>
      <c r="H275" s="154">
        <v>77309.786997743548</v>
      </c>
      <c r="I275" s="154">
        <v>37.823350375243486</v>
      </c>
      <c r="J275" s="154">
        <v>12003.566385537217</v>
      </c>
      <c r="K275" s="154">
        <v>543560</v>
      </c>
      <c r="L275" s="154">
        <v>538607.91851484589</v>
      </c>
      <c r="M275" s="154">
        <v>7.4029946455818196</v>
      </c>
      <c r="N275" s="154">
        <v>2.0805452998218006</v>
      </c>
      <c r="O275" s="154">
        <v>0.28948726650181433</v>
      </c>
      <c r="P275" s="154">
        <v>10.178937309094552</v>
      </c>
      <c r="Q275" s="154">
        <v>1125.6024914253248</v>
      </c>
      <c r="R275" s="154">
        <v>1461.5393193455</v>
      </c>
      <c r="S275" s="154">
        <v>7.900509616919928</v>
      </c>
      <c r="T275" s="154">
        <v>1962.488354687114</v>
      </c>
      <c r="U275" s="154">
        <v>2774.9813635070668</v>
      </c>
      <c r="V275" s="154">
        <v>646.1093681837848</v>
      </c>
      <c r="W275" s="154">
        <v>4.4860733048552692</v>
      </c>
      <c r="X275" s="154">
        <v>0.27982773207502509</v>
      </c>
      <c r="Y275" s="154">
        <v>53.586077915723848</v>
      </c>
      <c r="Z275" s="154">
        <v>1.2280492109837402</v>
      </c>
      <c r="AC275" s="28" t="s">
        <v>421</v>
      </c>
      <c r="AD275" s="28" t="s">
        <v>421</v>
      </c>
      <c r="AE275" s="9" t="s">
        <v>421</v>
      </c>
      <c r="AF275" s="28" t="s">
        <v>421</v>
      </c>
      <c r="AG275" s="28">
        <v>4.1000000000000002E-2</v>
      </c>
      <c r="AH275" s="28">
        <v>33.433999999999997</v>
      </c>
      <c r="AI275" s="28">
        <v>0.60799999999999998</v>
      </c>
      <c r="AJ275" s="28" t="s">
        <v>421</v>
      </c>
      <c r="AK275" s="28">
        <v>5.8999999999999997E-2</v>
      </c>
      <c r="AL275" s="28">
        <v>54.356000000000002</v>
      </c>
      <c r="AM275" s="28">
        <v>1.405</v>
      </c>
      <c r="AN275" s="28">
        <v>9.4909999999999997</v>
      </c>
      <c r="AO275" s="28">
        <v>0.433</v>
      </c>
      <c r="AP275" s="156">
        <f t="shared" si="4"/>
        <v>99.826999999999998</v>
      </c>
    </row>
    <row r="276" spans="1:42" x14ac:dyDescent="0.2">
      <c r="A276" s="9" t="s">
        <v>955</v>
      </c>
      <c r="B276" s="9" t="s">
        <v>956</v>
      </c>
      <c r="C276" s="9" t="s">
        <v>110</v>
      </c>
      <c r="D276" s="9" t="s">
        <v>117</v>
      </c>
      <c r="E276" s="154">
        <v>273211.43521669798</v>
      </c>
      <c r="F276" s="154">
        <v>275275.2364600572</v>
      </c>
      <c r="G276" s="154">
        <v>2792.6103273715808</v>
      </c>
      <c r="H276" s="154">
        <v>74561.606415255228</v>
      </c>
      <c r="I276" s="154">
        <v>10.512870817985222</v>
      </c>
      <c r="J276" s="154">
        <v>2402.5671008290624</v>
      </c>
      <c r="K276" s="154">
        <v>552530</v>
      </c>
      <c r="L276" s="154">
        <v>552502.58071544836</v>
      </c>
      <c r="M276" s="154">
        <v>4.9335623938102513</v>
      </c>
      <c r="N276" s="154">
        <v>0.23699842765060053</v>
      </c>
      <c r="O276" s="154">
        <v>0.14249226492417819</v>
      </c>
      <c r="P276" s="154">
        <v>0.90556000745901388</v>
      </c>
      <c r="Q276" s="154">
        <v>112.50129878050907</v>
      </c>
      <c r="R276" s="154">
        <v>2161.6736574932702</v>
      </c>
      <c r="S276" s="154">
        <v>3.7507275029507916</v>
      </c>
      <c r="T276" s="154">
        <v>105.5605753019059</v>
      </c>
      <c r="U276" s="154">
        <v>105.36868615483313</v>
      </c>
      <c r="V276" s="154">
        <v>6.0727822196350498</v>
      </c>
      <c r="W276" s="154">
        <v>6.8018175050376488</v>
      </c>
      <c r="X276" s="154">
        <v>5.9566010805339673E-2</v>
      </c>
      <c r="Y276" s="154">
        <v>26.008166417240496</v>
      </c>
      <c r="Z276" s="154">
        <v>3.3918215469243114</v>
      </c>
      <c r="AC276" s="28" t="s">
        <v>421</v>
      </c>
      <c r="AD276" s="28" t="s">
        <v>421</v>
      </c>
      <c r="AE276" s="9" t="s">
        <v>421</v>
      </c>
      <c r="AF276" s="28" t="s">
        <v>421</v>
      </c>
      <c r="AG276" s="28">
        <v>2.5000000000000001E-2</v>
      </c>
      <c r="AH276" s="28">
        <v>33.262</v>
      </c>
      <c r="AI276" s="28" t="s">
        <v>421</v>
      </c>
      <c r="AJ276" s="28" t="s">
        <v>421</v>
      </c>
      <c r="AK276" s="28">
        <v>1.0999999999999999E-2</v>
      </c>
      <c r="AL276" s="28">
        <v>55.253</v>
      </c>
      <c r="AM276" s="28">
        <v>0.255</v>
      </c>
      <c r="AN276" s="28">
        <v>9.9</v>
      </c>
      <c r="AO276" s="28">
        <v>0.50600000000000001</v>
      </c>
      <c r="AP276" s="156">
        <f t="shared" si="4"/>
        <v>99.212000000000003</v>
      </c>
    </row>
    <row r="277" spans="1:42" x14ac:dyDescent="0.2">
      <c r="A277" s="9" t="s">
        <v>957</v>
      </c>
      <c r="B277" s="9" t="s">
        <v>958</v>
      </c>
      <c r="C277" s="9" t="s">
        <v>110</v>
      </c>
      <c r="D277" s="9" t="s">
        <v>117</v>
      </c>
      <c r="E277" s="154">
        <v>273982.20582292118</v>
      </c>
      <c r="F277" s="154">
        <v>274519.23240804794</v>
      </c>
      <c r="G277" s="154">
        <v>2472.1511546691977</v>
      </c>
      <c r="H277" s="154">
        <v>75868.687540819854</v>
      </c>
      <c r="I277" s="154">
        <v>7.1960358463439746</v>
      </c>
      <c r="J277" s="154">
        <v>4764.9255540970498</v>
      </c>
      <c r="K277" s="154">
        <v>550900</v>
      </c>
      <c r="L277" s="154">
        <v>548517.71562553325</v>
      </c>
      <c r="M277" s="154">
        <v>5.5264522502606157</v>
      </c>
      <c r="N277" s="154">
        <v>0.25894813216233126</v>
      </c>
      <c r="O277" s="154">
        <v>0.30535362864209453</v>
      </c>
      <c r="P277" s="154" t="s">
        <v>421</v>
      </c>
      <c r="Q277" s="154">
        <v>112.28389098109055</v>
      </c>
      <c r="R277" s="154">
        <v>1852.0433159635079</v>
      </c>
      <c r="S277" s="154">
        <v>3.5073270391066282</v>
      </c>
      <c r="T277" s="154">
        <v>229.03737323789699</v>
      </c>
      <c r="U277" s="154">
        <v>221.35110289169037</v>
      </c>
      <c r="V277" s="154">
        <v>9.6295923192242814</v>
      </c>
      <c r="W277" s="154">
        <v>5.4615817326704361</v>
      </c>
      <c r="X277" s="154">
        <v>0.20661017666092701</v>
      </c>
      <c r="Y277" s="154">
        <v>22.772597250530918</v>
      </c>
      <c r="Z277" s="154">
        <v>2.7285999700977785</v>
      </c>
      <c r="AC277" s="28" t="s">
        <v>421</v>
      </c>
      <c r="AD277" s="28" t="s">
        <v>421</v>
      </c>
      <c r="AE277" s="9" t="s">
        <v>421</v>
      </c>
      <c r="AF277" s="28" t="s">
        <v>421</v>
      </c>
      <c r="AG277" s="28">
        <v>0.11600000000000001</v>
      </c>
      <c r="AH277" s="28">
        <v>33.590000000000003</v>
      </c>
      <c r="AI277" s="28">
        <v>1.4E-2</v>
      </c>
      <c r="AJ277" s="28" t="s">
        <v>421</v>
      </c>
      <c r="AK277" s="28" t="s">
        <v>421</v>
      </c>
      <c r="AL277" s="28">
        <v>55.09</v>
      </c>
      <c r="AM277" s="28">
        <v>0.26200000000000001</v>
      </c>
      <c r="AN277" s="28">
        <v>10.157999999999999</v>
      </c>
      <c r="AO277" s="28">
        <v>0.432</v>
      </c>
      <c r="AP277" s="156">
        <f t="shared" si="4"/>
        <v>99.662000000000006</v>
      </c>
    </row>
    <row r="278" spans="1:42" x14ac:dyDescent="0.2">
      <c r="A278" s="9" t="s">
        <v>959</v>
      </c>
      <c r="B278" s="9" t="s">
        <v>960</v>
      </c>
      <c r="C278" s="9" t="s">
        <v>110</v>
      </c>
      <c r="D278" s="9" t="s">
        <v>117</v>
      </c>
      <c r="E278" s="154">
        <v>276674.69949955668</v>
      </c>
      <c r="F278" s="154">
        <v>275234.00111117627</v>
      </c>
      <c r="G278" s="154">
        <v>5728.9500481495315</v>
      </c>
      <c r="H278" s="154">
        <v>81402.020438673295</v>
      </c>
      <c r="I278" s="154">
        <v>3.502917307389116</v>
      </c>
      <c r="J278" s="154">
        <v>2688.6540760654375</v>
      </c>
      <c r="K278" s="154">
        <v>536470</v>
      </c>
      <c r="L278" s="154">
        <v>540412.55399312673</v>
      </c>
      <c r="M278" s="154">
        <v>5.8101775428597859</v>
      </c>
      <c r="N278" s="154" t="s">
        <v>421</v>
      </c>
      <c r="O278" s="154">
        <v>0.19665215202338629</v>
      </c>
      <c r="P278" s="154" t="s">
        <v>421</v>
      </c>
      <c r="Q278" s="154">
        <v>89.320350482096671</v>
      </c>
      <c r="R278" s="154">
        <v>2222.9157832974201</v>
      </c>
      <c r="S278" s="154">
        <v>2.3361715864007055</v>
      </c>
      <c r="T278" s="154">
        <v>49.580360781984965</v>
      </c>
      <c r="U278" s="154">
        <v>47.733895953306615</v>
      </c>
      <c r="V278" s="154">
        <v>4.5320250151779673</v>
      </c>
      <c r="W278" s="154">
        <v>8.8428106251745735</v>
      </c>
      <c r="X278" s="154">
        <v>0.13352542701320805</v>
      </c>
      <c r="Y278" s="154">
        <v>24.461822677598473</v>
      </c>
      <c r="Z278" s="154">
        <v>2.1675983597419566</v>
      </c>
      <c r="AC278" s="28" t="s">
        <v>421</v>
      </c>
      <c r="AD278" s="28" t="s">
        <v>421</v>
      </c>
      <c r="AE278" s="9" t="s">
        <v>421</v>
      </c>
      <c r="AF278" s="28" t="s">
        <v>421</v>
      </c>
      <c r="AG278" s="28">
        <v>7.0000000000000007E-2</v>
      </c>
      <c r="AH278" s="28">
        <v>33.359000000000002</v>
      </c>
      <c r="AI278" s="28">
        <v>6.0000000000000001E-3</v>
      </c>
      <c r="AJ278" s="28" t="s">
        <v>421</v>
      </c>
      <c r="AK278" s="28" t="s">
        <v>421</v>
      </c>
      <c r="AL278" s="28">
        <v>53.646999999999998</v>
      </c>
      <c r="AM278" s="28">
        <v>0.17599999999999999</v>
      </c>
      <c r="AN278" s="28">
        <v>11.095000000000001</v>
      </c>
      <c r="AO278" s="28">
        <v>1.06</v>
      </c>
      <c r="AP278" s="156">
        <f t="shared" si="4"/>
        <v>99.412999999999997</v>
      </c>
    </row>
    <row r="279" spans="1:42" x14ac:dyDescent="0.2">
      <c r="A279" s="9" t="s">
        <v>961</v>
      </c>
      <c r="B279" s="9" t="s">
        <v>962</v>
      </c>
      <c r="C279" s="9" t="s">
        <v>110</v>
      </c>
      <c r="D279" s="9" t="s">
        <v>117</v>
      </c>
      <c r="E279" s="154">
        <v>283243.4357894687</v>
      </c>
      <c r="F279" s="154">
        <v>280752.96766179905</v>
      </c>
      <c r="G279" s="154">
        <v>4769.0705175325993</v>
      </c>
      <c r="H279" s="154">
        <v>67964.968743722711</v>
      </c>
      <c r="I279" s="154">
        <v>1.6506714391169766</v>
      </c>
      <c r="J279" s="154">
        <v>15187.80854539933</v>
      </c>
      <c r="K279" s="154">
        <v>533000</v>
      </c>
      <c r="L279" s="154">
        <v>535796.75481782004</v>
      </c>
      <c r="M279" s="154">
        <v>4.2847231707461777</v>
      </c>
      <c r="N279" s="154">
        <v>0.32250496346950219</v>
      </c>
      <c r="O279" s="154">
        <v>1.1801570335840201</v>
      </c>
      <c r="P279" s="154">
        <v>1.9007073371690342</v>
      </c>
      <c r="Q279" s="154">
        <v>475.51534150998663</v>
      </c>
      <c r="R279" s="154">
        <v>2137.1760614717596</v>
      </c>
      <c r="S279" s="154">
        <v>2.9745203049942037</v>
      </c>
      <c r="T279" s="154">
        <v>154.2077050605574</v>
      </c>
      <c r="U279" s="154">
        <v>156.78888087948053</v>
      </c>
      <c r="V279" s="154">
        <v>47.904342516800845</v>
      </c>
      <c r="W279" s="154">
        <v>5.2577886542078698</v>
      </c>
      <c r="X279" s="154">
        <v>0.56077800531363731</v>
      </c>
      <c r="Y279" s="154">
        <v>100.42440656975512</v>
      </c>
      <c r="Z279" s="154">
        <v>2.4502141077883084</v>
      </c>
      <c r="AC279" s="28" t="s">
        <v>421</v>
      </c>
      <c r="AD279" s="28" t="s">
        <v>421</v>
      </c>
      <c r="AE279" s="9" t="s">
        <v>421</v>
      </c>
      <c r="AF279" s="28" t="s">
        <v>421</v>
      </c>
      <c r="AG279" s="28">
        <v>0.161</v>
      </c>
      <c r="AH279" s="28">
        <v>33.234999999999999</v>
      </c>
      <c r="AI279" s="28" t="s">
        <v>421</v>
      </c>
      <c r="AJ279" s="28" t="s">
        <v>421</v>
      </c>
      <c r="AK279" s="28">
        <v>0.14399999999999999</v>
      </c>
      <c r="AL279" s="28">
        <v>53.3</v>
      </c>
      <c r="AM279" s="28">
        <v>5.5460000000000003</v>
      </c>
      <c r="AN279" s="28">
        <v>6.923</v>
      </c>
      <c r="AO279" s="28">
        <v>0.48699999999999999</v>
      </c>
      <c r="AP279" s="156">
        <f t="shared" si="4"/>
        <v>99.796000000000006</v>
      </c>
    </row>
    <row r="280" spans="1:42" x14ac:dyDescent="0.2">
      <c r="A280" s="9" t="s">
        <v>963</v>
      </c>
      <c r="B280" s="9" t="s">
        <v>964</v>
      </c>
      <c r="C280" s="9" t="s">
        <v>110</v>
      </c>
      <c r="D280" s="9" t="s">
        <v>117</v>
      </c>
      <c r="E280" s="154">
        <v>285729.26636215742</v>
      </c>
      <c r="F280" s="154">
        <v>286266.49109558878</v>
      </c>
      <c r="G280" s="154">
        <v>7679.7382803418641</v>
      </c>
      <c r="H280" s="154">
        <v>82763.859394985135</v>
      </c>
      <c r="I280" s="154">
        <v>1.871181819729886</v>
      </c>
      <c r="J280" s="154">
        <v>8041.0877947484732</v>
      </c>
      <c r="K280" s="154">
        <v>531990</v>
      </c>
      <c r="L280" s="154">
        <v>536670.78054218809</v>
      </c>
      <c r="M280" s="154">
        <v>12.860106063069066</v>
      </c>
      <c r="N280" s="154">
        <v>0.25721278245560053</v>
      </c>
      <c r="O280" s="154">
        <v>0.25160080287687897</v>
      </c>
      <c r="P280" s="154" t="s">
        <v>421</v>
      </c>
      <c r="Q280" s="154">
        <v>298.75957516147798</v>
      </c>
      <c r="R280" s="154">
        <v>2225.3363008449505</v>
      </c>
      <c r="S280" s="154">
        <v>4.7015692217290779</v>
      </c>
      <c r="T280" s="154">
        <v>120.67610243919287</v>
      </c>
      <c r="U280" s="154">
        <v>122.16322042446198</v>
      </c>
      <c r="V280" s="154">
        <v>54.66929638921814</v>
      </c>
      <c r="W280" s="154">
        <v>6.212336892838799</v>
      </c>
      <c r="X280" s="154">
        <v>0.16601241590279422</v>
      </c>
      <c r="Y280" s="154">
        <v>50.786684269262935</v>
      </c>
      <c r="Z280" s="154">
        <v>4.291270473435822</v>
      </c>
      <c r="AC280" s="28" t="s">
        <v>421</v>
      </c>
      <c r="AD280" s="28" t="s">
        <v>421</v>
      </c>
      <c r="AE280" s="9" t="s">
        <v>421</v>
      </c>
      <c r="AF280" s="28" t="s">
        <v>421</v>
      </c>
      <c r="AG280" s="28">
        <v>0.123</v>
      </c>
      <c r="AH280" s="28">
        <v>33.588999999999999</v>
      </c>
      <c r="AI280" s="28">
        <v>2.1000000000000001E-2</v>
      </c>
      <c r="AJ280" s="28" t="s">
        <v>421</v>
      </c>
      <c r="AK280" s="28" t="s">
        <v>421</v>
      </c>
      <c r="AL280" s="28">
        <v>53.198999999999998</v>
      </c>
      <c r="AM280" s="28">
        <v>0.81799999999999995</v>
      </c>
      <c r="AN280" s="28">
        <v>10.731</v>
      </c>
      <c r="AO280" s="28">
        <v>1.3080000000000001</v>
      </c>
      <c r="AP280" s="156">
        <f t="shared" si="4"/>
        <v>99.788999999999987</v>
      </c>
    </row>
    <row r="281" spans="1:42" x14ac:dyDescent="0.2">
      <c r="A281" s="9" t="s">
        <v>965</v>
      </c>
      <c r="B281" s="9" t="s">
        <v>966</v>
      </c>
      <c r="C281" s="9" t="s">
        <v>110</v>
      </c>
      <c r="D281" s="9" t="s">
        <v>117</v>
      </c>
      <c r="E281" s="154">
        <v>284597.69883115217</v>
      </c>
      <c r="F281" s="154">
        <v>286488.81284322089</v>
      </c>
      <c r="G281" s="154">
        <v>7682.9166084880462</v>
      </c>
      <c r="H281" s="154">
        <v>84349.512395338199</v>
      </c>
      <c r="I281" s="154">
        <v>1.8426810227928638</v>
      </c>
      <c r="J281" s="154">
        <v>4242.3609345895557</v>
      </c>
      <c r="K281" s="154">
        <v>534000</v>
      </c>
      <c r="L281" s="154">
        <v>539704.16854644392</v>
      </c>
      <c r="M281" s="154">
        <v>11.815354795151482</v>
      </c>
      <c r="N281" s="154">
        <v>0.28247467534481635</v>
      </c>
      <c r="O281" s="154">
        <v>0.14002052303335272</v>
      </c>
      <c r="P281" s="154">
        <v>0.86998038377071729</v>
      </c>
      <c r="Q281" s="154">
        <v>147.7408910904303</v>
      </c>
      <c r="R281" s="154">
        <v>2219.0344436128894</v>
      </c>
      <c r="S281" s="154">
        <v>4.8854302889145149</v>
      </c>
      <c r="T281" s="154">
        <v>146.48216204660875</v>
      </c>
      <c r="U281" s="154">
        <v>152.62985890865417</v>
      </c>
      <c r="V281" s="154">
        <v>2.8347696422055506</v>
      </c>
      <c r="W281" s="154">
        <v>5.2761439459608068</v>
      </c>
      <c r="X281" s="154">
        <v>0.18370835521299583</v>
      </c>
      <c r="Y281" s="154">
        <v>45.857229492044937</v>
      </c>
      <c r="Z281" s="154">
        <v>4.3873909379560452</v>
      </c>
      <c r="AC281" s="28" t="s">
        <v>421</v>
      </c>
      <c r="AD281" s="28" t="s">
        <v>421</v>
      </c>
      <c r="AE281" s="9" t="s">
        <v>421</v>
      </c>
      <c r="AF281" s="28" t="s">
        <v>421</v>
      </c>
      <c r="AG281" s="28">
        <v>9.8000000000000004E-2</v>
      </c>
      <c r="AH281" s="28">
        <v>33.662999999999997</v>
      </c>
      <c r="AI281" s="28">
        <v>1.6E-2</v>
      </c>
      <c r="AJ281" s="28" t="s">
        <v>421</v>
      </c>
      <c r="AK281" s="28" t="s">
        <v>421</v>
      </c>
      <c r="AL281" s="28">
        <v>53.4</v>
      </c>
      <c r="AM281" s="28">
        <v>0.37</v>
      </c>
      <c r="AN281" s="28">
        <v>11.010999999999999</v>
      </c>
      <c r="AO281" s="28">
        <v>1.258</v>
      </c>
      <c r="AP281" s="156">
        <f t="shared" si="4"/>
        <v>99.815999999999988</v>
      </c>
    </row>
    <row r="282" spans="1:42" x14ac:dyDescent="0.2">
      <c r="A282" s="9" t="s">
        <v>967</v>
      </c>
      <c r="B282" s="9" t="s">
        <v>968</v>
      </c>
      <c r="C282" s="9" t="s">
        <v>110</v>
      </c>
      <c r="D282" s="9" t="s">
        <v>117</v>
      </c>
      <c r="E282" s="154">
        <v>281378.50117170799</v>
      </c>
      <c r="F282" s="154">
        <v>309100.10828522354</v>
      </c>
      <c r="G282" s="154">
        <v>6003.4472738926488</v>
      </c>
      <c r="H282" s="154">
        <v>85085.115363022793</v>
      </c>
      <c r="I282" s="154">
        <v>3.2481286902368218</v>
      </c>
      <c r="J282" s="154">
        <v>2320.524229690739</v>
      </c>
      <c r="K282" s="154">
        <v>532780</v>
      </c>
      <c r="L282" s="154">
        <v>532860.0056993746</v>
      </c>
      <c r="M282" s="154">
        <v>8.5389883272281555</v>
      </c>
      <c r="N282" s="154">
        <v>0.43784858378801883</v>
      </c>
      <c r="O282" s="154">
        <v>0.28564717800027639</v>
      </c>
      <c r="P282" s="154" t="s">
        <v>421</v>
      </c>
      <c r="Q282" s="154">
        <v>163.40653977366259</v>
      </c>
      <c r="R282" s="154">
        <v>2285.0738179540676</v>
      </c>
      <c r="S282" s="154">
        <v>7.4074511765235602</v>
      </c>
      <c r="T282" s="154">
        <v>68.502267274956054</v>
      </c>
      <c r="U282" s="154">
        <v>66.1073067274164</v>
      </c>
      <c r="V282" s="154">
        <v>63.061280271057726</v>
      </c>
      <c r="W282" s="154">
        <v>6.496145163112816</v>
      </c>
      <c r="X282" s="154">
        <v>0.16358902398053482</v>
      </c>
      <c r="Y282" s="154">
        <v>37.860099880178957</v>
      </c>
      <c r="Z282" s="154">
        <v>7.1745434677887099</v>
      </c>
      <c r="AC282" s="28" t="s">
        <v>421</v>
      </c>
      <c r="AD282" s="28" t="s">
        <v>421</v>
      </c>
      <c r="AE282" s="9" t="s">
        <v>421</v>
      </c>
      <c r="AF282" s="28" t="s">
        <v>421</v>
      </c>
      <c r="AG282" s="28">
        <v>6.4000000000000001E-2</v>
      </c>
      <c r="AH282" s="28">
        <v>33.634</v>
      </c>
      <c r="AI282" s="28" t="s">
        <v>421</v>
      </c>
      <c r="AJ282" s="28" t="s">
        <v>421</v>
      </c>
      <c r="AK282" s="28" t="s">
        <v>421</v>
      </c>
      <c r="AL282" s="28">
        <v>53.277999999999999</v>
      </c>
      <c r="AM282" s="28">
        <v>7.4999999999999997E-2</v>
      </c>
      <c r="AN282" s="28">
        <v>11.632</v>
      </c>
      <c r="AO282" s="28">
        <v>1.111</v>
      </c>
      <c r="AP282" s="156">
        <f t="shared" si="4"/>
        <v>99.794000000000011</v>
      </c>
    </row>
    <row r="283" spans="1:42" x14ac:dyDescent="0.2">
      <c r="A283" s="9" t="s">
        <v>969</v>
      </c>
      <c r="B283" s="9" t="s">
        <v>970</v>
      </c>
      <c r="C283" s="9" t="s">
        <v>110</v>
      </c>
      <c r="D283" s="9" t="s">
        <v>118</v>
      </c>
      <c r="E283" s="154">
        <v>273521.19417588599</v>
      </c>
      <c r="F283" s="154">
        <v>277377.51192740432</v>
      </c>
      <c r="G283" s="154">
        <v>1565.7874943820691</v>
      </c>
      <c r="H283" s="154">
        <v>100330.41217324376</v>
      </c>
      <c r="I283" s="154">
        <v>0.95841138943016824</v>
      </c>
      <c r="J283" s="154">
        <v>5994.9988340615346</v>
      </c>
      <c r="K283" s="154">
        <v>518570</v>
      </c>
      <c r="L283" s="154">
        <v>521392.24991823873</v>
      </c>
      <c r="M283" s="154">
        <v>8.5106767700367367</v>
      </c>
      <c r="N283" s="154" t="s">
        <v>421</v>
      </c>
      <c r="O283" s="154">
        <v>2.4660593208818149</v>
      </c>
      <c r="P283" s="154" t="s">
        <v>421</v>
      </c>
      <c r="Q283" s="154">
        <v>69.388349843911485</v>
      </c>
      <c r="R283" s="154">
        <v>4960.5352770257532</v>
      </c>
      <c r="S283" s="154">
        <v>328.29552978054949</v>
      </c>
      <c r="T283" s="154">
        <v>187.19408082541241</v>
      </c>
      <c r="U283" s="154">
        <v>215.16257391403707</v>
      </c>
      <c r="V283" s="154">
        <v>2.2981084724942593</v>
      </c>
      <c r="W283" s="154">
        <v>10.167698785756864</v>
      </c>
      <c r="X283" s="154">
        <v>5.9848472875307132E-2</v>
      </c>
      <c r="Y283" s="154">
        <v>38.719042289137647</v>
      </c>
      <c r="Z283" s="154">
        <v>327.65906990574308</v>
      </c>
      <c r="AC283" s="28" t="s">
        <v>421</v>
      </c>
      <c r="AD283" s="28" t="s">
        <v>421</v>
      </c>
      <c r="AE283" s="9" t="s">
        <v>421</v>
      </c>
      <c r="AF283" s="28" t="s">
        <v>421</v>
      </c>
      <c r="AG283" s="28">
        <v>0.36099999999999999</v>
      </c>
      <c r="AH283" s="28">
        <v>33.762</v>
      </c>
      <c r="AI283" s="28">
        <v>4.1000000000000002E-2</v>
      </c>
      <c r="AJ283" s="28">
        <v>4.1000000000000002E-2</v>
      </c>
      <c r="AK283" s="28" t="s">
        <v>421</v>
      </c>
      <c r="AL283" s="28">
        <v>51.856999999999999</v>
      </c>
      <c r="AM283" s="28">
        <v>0.127</v>
      </c>
      <c r="AN283" s="28">
        <v>13.24</v>
      </c>
      <c r="AO283" s="28">
        <v>0.317</v>
      </c>
      <c r="AP283" s="156">
        <f t="shared" si="4"/>
        <v>99.745999999999967</v>
      </c>
    </row>
    <row r="284" spans="1:42" x14ac:dyDescent="0.2">
      <c r="A284" s="9" t="s">
        <v>971</v>
      </c>
      <c r="B284" s="9" t="s">
        <v>972</v>
      </c>
      <c r="C284" s="9" t="s">
        <v>110</v>
      </c>
      <c r="D284" s="9" t="s">
        <v>118</v>
      </c>
      <c r="E284" s="154">
        <v>270292.50258784252</v>
      </c>
      <c r="F284" s="154">
        <v>266668.4017933085</v>
      </c>
      <c r="G284" s="154">
        <v>1057.8148792068619</v>
      </c>
      <c r="H284" s="154">
        <v>98599.384050829991</v>
      </c>
      <c r="I284" s="154">
        <v>0.55037889461007194</v>
      </c>
      <c r="J284" s="154">
        <v>624.1036998444032</v>
      </c>
      <c r="K284" s="154">
        <v>517000</v>
      </c>
      <c r="L284" s="154">
        <v>520990.09427378239</v>
      </c>
      <c r="M284" s="154">
        <v>19.525019921683846</v>
      </c>
      <c r="N284" s="154" t="s">
        <v>421</v>
      </c>
      <c r="O284" s="154">
        <v>0.1395441562159512</v>
      </c>
      <c r="P284" s="154" t="s">
        <v>421</v>
      </c>
      <c r="Q284" s="154">
        <v>5.9025516077108806</v>
      </c>
      <c r="R284" s="154">
        <v>5265.8171259725777</v>
      </c>
      <c r="S284" s="154">
        <v>112.10984519571555</v>
      </c>
      <c r="T284" s="154">
        <v>372.64776915652106</v>
      </c>
      <c r="U284" s="154">
        <v>373.08384489718941</v>
      </c>
      <c r="V284" s="154">
        <v>0.10183148527885724</v>
      </c>
      <c r="W284" s="154">
        <v>3.7989939761207281</v>
      </c>
      <c r="X284" s="154" t="s">
        <v>421</v>
      </c>
      <c r="Y284" s="154">
        <v>0.40127487956313296</v>
      </c>
      <c r="Z284" s="154">
        <v>110.84284278058338</v>
      </c>
      <c r="AC284" s="28" t="s">
        <v>421</v>
      </c>
      <c r="AD284" s="28" t="s">
        <v>421</v>
      </c>
      <c r="AE284" s="9" t="s">
        <v>421</v>
      </c>
      <c r="AF284" s="28" t="s">
        <v>421</v>
      </c>
      <c r="AG284" s="28">
        <v>0.314</v>
      </c>
      <c r="AH284" s="28">
        <v>33.408000000000001</v>
      </c>
      <c r="AI284" s="28">
        <v>0.157</v>
      </c>
      <c r="AJ284" s="28">
        <v>1E-3</v>
      </c>
      <c r="AK284" s="28">
        <v>1E-3</v>
      </c>
      <c r="AL284" s="28">
        <v>51.7</v>
      </c>
      <c r="AM284" s="28">
        <v>0.191</v>
      </c>
      <c r="AN284" s="28">
        <v>13.24</v>
      </c>
      <c r="AO284" s="28">
        <v>0.19400000000000001</v>
      </c>
      <c r="AP284" s="156">
        <f t="shared" si="4"/>
        <v>99.205999999999989</v>
      </c>
    </row>
    <row r="285" spans="1:42" x14ac:dyDescent="0.2">
      <c r="A285" s="9" t="s">
        <v>973</v>
      </c>
      <c r="B285" s="9" t="s">
        <v>974</v>
      </c>
      <c r="C285" s="9" t="s">
        <v>110</v>
      </c>
      <c r="D285" s="9" t="s">
        <v>118</v>
      </c>
      <c r="E285" s="154">
        <v>272572.44061528938</v>
      </c>
      <c r="F285" s="154">
        <v>270739.62630777725</v>
      </c>
      <c r="G285" s="154">
        <v>657.83665938287459</v>
      </c>
      <c r="H285" s="154">
        <v>87874.078836534871</v>
      </c>
      <c r="I285" s="154">
        <v>0.42965338267125697</v>
      </c>
      <c r="J285" s="154">
        <v>8808.6513617311848</v>
      </c>
      <c r="K285" s="154">
        <v>524420</v>
      </c>
      <c r="L285" s="154">
        <v>522490.10897921136</v>
      </c>
      <c r="M285" s="154">
        <v>16.843595729628476</v>
      </c>
      <c r="N285" s="154" t="s">
        <v>421</v>
      </c>
      <c r="O285" s="154">
        <v>7.1044521281351622</v>
      </c>
      <c r="P285" s="154" t="s">
        <v>421</v>
      </c>
      <c r="Q285" s="154">
        <v>90.746942392562858</v>
      </c>
      <c r="R285" s="154">
        <v>5590.4412593944771</v>
      </c>
      <c r="S285" s="154">
        <v>277.46075524311595</v>
      </c>
      <c r="T285" s="154">
        <v>411.62366092167753</v>
      </c>
      <c r="U285" s="154">
        <v>382.63028287527777</v>
      </c>
      <c r="V285" s="154">
        <v>11.542382428129667</v>
      </c>
      <c r="W285" s="154">
        <v>4.93291388172059</v>
      </c>
      <c r="X285" s="154">
        <v>0.10229773924749869</v>
      </c>
      <c r="Y285" s="154">
        <v>36.818263323371042</v>
      </c>
      <c r="Z285" s="154">
        <v>276.06123479598227</v>
      </c>
      <c r="AC285" s="28" t="s">
        <v>421</v>
      </c>
      <c r="AD285" s="28" t="s">
        <v>421</v>
      </c>
      <c r="AE285" s="9" t="s">
        <v>421</v>
      </c>
      <c r="AF285" s="28" t="s">
        <v>421</v>
      </c>
      <c r="AG285" s="28">
        <v>0.41499999999999998</v>
      </c>
      <c r="AH285" s="28">
        <v>33.731000000000002</v>
      </c>
      <c r="AI285" s="28">
        <v>1.9E-2</v>
      </c>
      <c r="AJ285" s="28">
        <v>0.02</v>
      </c>
      <c r="AK285" s="28">
        <v>4.0000000000000001E-3</v>
      </c>
      <c r="AL285" s="28">
        <v>52.442</v>
      </c>
      <c r="AM285" s="28">
        <v>0.20499999999999999</v>
      </c>
      <c r="AN285" s="28">
        <v>12.818</v>
      </c>
      <c r="AO285" s="28">
        <v>0.12</v>
      </c>
      <c r="AP285" s="156">
        <f t="shared" si="4"/>
        <v>99.774000000000001</v>
      </c>
    </row>
    <row r="286" spans="1:42" x14ac:dyDescent="0.2">
      <c r="A286" s="9" t="s">
        <v>975</v>
      </c>
      <c r="B286" s="9" t="s">
        <v>976</v>
      </c>
      <c r="C286" s="9" t="s">
        <v>110</v>
      </c>
      <c r="D286" s="9" t="s">
        <v>118</v>
      </c>
      <c r="E286" s="154">
        <v>268062.4461096109</v>
      </c>
      <c r="F286" s="154">
        <v>264340.918065782</v>
      </c>
      <c r="G286" s="154">
        <v>1690.3088213106118</v>
      </c>
      <c r="H286" s="154">
        <v>95385.160154140671</v>
      </c>
      <c r="I286" s="154">
        <v>9.4336762251440276E-2</v>
      </c>
      <c r="J286" s="154">
        <v>505.90227146314902</v>
      </c>
      <c r="K286" s="154">
        <v>524360</v>
      </c>
      <c r="L286" s="154">
        <v>519814.38833441981</v>
      </c>
      <c r="M286" s="154">
        <v>20.782812136844079</v>
      </c>
      <c r="N286" s="154">
        <v>0.44412463956915527</v>
      </c>
      <c r="O286" s="154">
        <v>0.19789570944809295</v>
      </c>
      <c r="P286" s="154" t="s">
        <v>421</v>
      </c>
      <c r="Q286" s="154">
        <v>5.2265856240062538</v>
      </c>
      <c r="R286" s="154">
        <v>4832.2003412135027</v>
      </c>
      <c r="S286" s="154">
        <v>32.059754130179201</v>
      </c>
      <c r="T286" s="154">
        <v>307.34582579970828</v>
      </c>
      <c r="U286" s="154">
        <v>294.15939530596006</v>
      </c>
      <c r="V286" s="154">
        <v>0.19903103391239618</v>
      </c>
      <c r="W286" s="154">
        <v>4.7392011393579425</v>
      </c>
      <c r="X286" s="154">
        <v>1.4664601020691708E-2</v>
      </c>
      <c r="Y286" s="154">
        <v>0.53225048407643227</v>
      </c>
      <c r="Z286" s="154">
        <v>31.014778322460192</v>
      </c>
      <c r="AC286" s="28" t="s">
        <v>421</v>
      </c>
      <c r="AD286" s="28" t="s">
        <v>421</v>
      </c>
      <c r="AE286" s="9" t="s">
        <v>421</v>
      </c>
      <c r="AF286" s="28" t="s">
        <v>421</v>
      </c>
      <c r="AG286" s="28">
        <v>0.36799999999999999</v>
      </c>
      <c r="AH286" s="28">
        <v>33.619</v>
      </c>
      <c r="AI286" s="28">
        <v>7.1999999999999995E-2</v>
      </c>
      <c r="AJ286" s="28" t="s">
        <v>421</v>
      </c>
      <c r="AK286" s="28" t="s">
        <v>421</v>
      </c>
      <c r="AL286" s="28">
        <v>52.436</v>
      </c>
      <c r="AM286" s="28">
        <v>7.5999999999999998E-2</v>
      </c>
      <c r="AN286" s="28">
        <v>12.817</v>
      </c>
      <c r="AO286" s="28">
        <v>0.28599999999999998</v>
      </c>
      <c r="AP286" s="156">
        <f t="shared" si="4"/>
        <v>99.674000000000007</v>
      </c>
    </row>
    <row r="287" spans="1:42" x14ac:dyDescent="0.2">
      <c r="A287" s="9" t="s">
        <v>977</v>
      </c>
      <c r="B287" s="9" t="s">
        <v>978</v>
      </c>
      <c r="C287" s="9" t="s">
        <v>110</v>
      </c>
      <c r="D287" s="9" t="s">
        <v>118</v>
      </c>
      <c r="E287" s="154">
        <v>264335.55148709042</v>
      </c>
      <c r="F287" s="154">
        <v>263900.32542640949</v>
      </c>
      <c r="G287" s="154">
        <v>991.8985337428195</v>
      </c>
      <c r="H287" s="154">
        <v>95175.842566574982</v>
      </c>
      <c r="I287" s="154">
        <v>4.9390028819769088E-2</v>
      </c>
      <c r="J287" s="154">
        <v>1535.9933599377387</v>
      </c>
      <c r="K287" s="154">
        <v>519640</v>
      </c>
      <c r="L287" s="154">
        <v>516475.3971494037</v>
      </c>
      <c r="M287" s="154">
        <v>9.2527841210886912</v>
      </c>
      <c r="N287" s="154" t="s">
        <v>421</v>
      </c>
      <c r="O287" s="154">
        <v>2.3617007239453054</v>
      </c>
      <c r="P287" s="154" t="s">
        <v>421</v>
      </c>
      <c r="Q287" s="154">
        <v>15.780059269521423</v>
      </c>
      <c r="R287" s="154">
        <v>5203.9562260269877</v>
      </c>
      <c r="S287" s="154">
        <v>189.77155425544939</v>
      </c>
      <c r="T287" s="154">
        <v>63.582709181687228</v>
      </c>
      <c r="U287" s="154">
        <v>64.016982077748494</v>
      </c>
      <c r="V287" s="154">
        <v>0.98324349895941099</v>
      </c>
      <c r="W287" s="154">
        <v>5.2817242400620401</v>
      </c>
      <c r="X287" s="154">
        <v>1.6304959827403182E-2</v>
      </c>
      <c r="Y287" s="154">
        <v>4.7157433793009496</v>
      </c>
      <c r="Z287" s="154">
        <v>189.55537304423166</v>
      </c>
      <c r="AC287" s="28" t="s">
        <v>421</v>
      </c>
      <c r="AD287" s="28" t="s">
        <v>421</v>
      </c>
      <c r="AE287" s="9" t="s">
        <v>421</v>
      </c>
      <c r="AF287" s="28" t="s">
        <v>421</v>
      </c>
      <c r="AG287" s="28">
        <v>0.374</v>
      </c>
      <c r="AH287" s="28">
        <v>33.61</v>
      </c>
      <c r="AI287" s="28">
        <v>1.9E-2</v>
      </c>
      <c r="AJ287" s="28">
        <v>5.0000000000000001E-3</v>
      </c>
      <c r="AK287" s="28">
        <v>8.0000000000000002E-3</v>
      </c>
      <c r="AL287" s="28">
        <v>51.963999999999999</v>
      </c>
      <c r="AM287" s="28">
        <v>1.0609999999999999</v>
      </c>
      <c r="AN287" s="28">
        <v>12.664999999999999</v>
      </c>
      <c r="AO287" s="28">
        <v>0.151</v>
      </c>
      <c r="AP287" s="156">
        <f t="shared" si="4"/>
        <v>99.856999999999985</v>
      </c>
    </row>
    <row r="288" spans="1:42" x14ac:dyDescent="0.2">
      <c r="A288" s="9" t="s">
        <v>979</v>
      </c>
      <c r="B288" s="9" t="s">
        <v>980</v>
      </c>
      <c r="C288" s="9" t="s">
        <v>110</v>
      </c>
      <c r="D288" s="9" t="s">
        <v>118</v>
      </c>
      <c r="E288" s="154">
        <v>274611.95616018312</v>
      </c>
      <c r="F288" s="154">
        <v>340475.87827705365</v>
      </c>
      <c r="G288" s="154">
        <v>2101.3681965203191</v>
      </c>
      <c r="H288" s="154">
        <v>92911.435583597719</v>
      </c>
      <c r="I288" s="154">
        <v>0.13506907050102315</v>
      </c>
      <c r="J288" s="154">
        <v>3527.4113161868163</v>
      </c>
      <c r="K288" s="154">
        <v>519219.99999999994</v>
      </c>
      <c r="L288" s="154">
        <v>520951.89489345759</v>
      </c>
      <c r="M288" s="154">
        <v>13.864624780467425</v>
      </c>
      <c r="N288" s="154" t="s">
        <v>421</v>
      </c>
      <c r="O288" s="154" t="s">
        <v>421</v>
      </c>
      <c r="P288" s="154" t="s">
        <v>421</v>
      </c>
      <c r="Q288" s="154">
        <v>20.296397847507507</v>
      </c>
      <c r="R288" s="154">
        <v>4970.8313737645894</v>
      </c>
      <c r="S288" s="154">
        <v>128.98714966840475</v>
      </c>
      <c r="T288" s="154">
        <v>105.03503028620038</v>
      </c>
      <c r="U288" s="154">
        <v>95.563380167430495</v>
      </c>
      <c r="V288" s="154">
        <v>3.3890029234210148</v>
      </c>
      <c r="W288" s="154">
        <v>6.8891433896396466</v>
      </c>
      <c r="X288" s="154">
        <v>4.6860914306599492E-2</v>
      </c>
      <c r="Y288" s="154">
        <v>12.098375120161872</v>
      </c>
      <c r="Z288" s="154">
        <v>128.63003056543167</v>
      </c>
      <c r="AC288" s="28" t="s">
        <v>421</v>
      </c>
      <c r="AD288" s="28" t="s">
        <v>421</v>
      </c>
      <c r="AE288" s="9" t="s">
        <v>421</v>
      </c>
      <c r="AF288" s="28" t="s">
        <v>421</v>
      </c>
      <c r="AG288" s="28">
        <v>0.313</v>
      </c>
      <c r="AH288" s="28">
        <v>33.536000000000001</v>
      </c>
      <c r="AI288" s="28">
        <v>2.5999999999999999E-2</v>
      </c>
      <c r="AJ288" s="28">
        <v>1E-3</v>
      </c>
      <c r="AK288" s="28" t="s">
        <v>421</v>
      </c>
      <c r="AL288" s="28">
        <v>51.921999999999997</v>
      </c>
      <c r="AM288" s="28">
        <v>0.2</v>
      </c>
      <c r="AN288" s="28">
        <v>12.911</v>
      </c>
      <c r="AO288" s="28">
        <v>0.42</v>
      </c>
      <c r="AP288" s="156">
        <f t="shared" si="4"/>
        <v>99.329000000000008</v>
      </c>
    </row>
    <row r="289" spans="1:42" x14ac:dyDescent="0.2">
      <c r="A289" s="9" t="s">
        <v>981</v>
      </c>
      <c r="B289" s="9" t="s">
        <v>982</v>
      </c>
      <c r="C289" s="9" t="s">
        <v>110</v>
      </c>
      <c r="D289" s="9" t="s">
        <v>118</v>
      </c>
      <c r="E289" s="154">
        <v>268776.25698170415</v>
      </c>
      <c r="F289" s="154">
        <v>316330.96646131272</v>
      </c>
      <c r="G289" s="154">
        <v>2728.2143755474381</v>
      </c>
      <c r="H289" s="154">
        <v>93363.492604633459</v>
      </c>
      <c r="I289" s="154">
        <v>0.78100764179043636</v>
      </c>
      <c r="J289" s="154">
        <v>992.95941231248707</v>
      </c>
      <c r="K289" s="154">
        <v>523519.99999999994</v>
      </c>
      <c r="L289" s="154">
        <v>528293.93314997153</v>
      </c>
      <c r="M289" s="154">
        <v>7.4794908265792861</v>
      </c>
      <c r="N289" s="154" t="s">
        <v>421</v>
      </c>
      <c r="O289" s="154" t="s">
        <v>421</v>
      </c>
      <c r="P289" s="154" t="s">
        <v>421</v>
      </c>
      <c r="Q289" s="154">
        <v>12.077162936963013</v>
      </c>
      <c r="R289" s="154">
        <v>5359.8331213675265</v>
      </c>
      <c r="S289" s="154">
        <v>504.66569180816668</v>
      </c>
      <c r="T289" s="154">
        <v>127.73278274853254</v>
      </c>
      <c r="U289" s="154">
        <v>130.91308804371138</v>
      </c>
      <c r="V289" s="154">
        <v>0.40147802006521749</v>
      </c>
      <c r="W289" s="154">
        <v>6.6156538866225461</v>
      </c>
      <c r="X289" s="154" t="s">
        <v>421</v>
      </c>
      <c r="Y289" s="154">
        <v>1.6017947927794554</v>
      </c>
      <c r="Z289" s="154">
        <v>504.23140034682166</v>
      </c>
      <c r="AC289" s="28" t="s">
        <v>421</v>
      </c>
      <c r="AD289" s="28" t="s">
        <v>421</v>
      </c>
      <c r="AE289" s="9" t="s">
        <v>421</v>
      </c>
      <c r="AF289" s="28" t="s">
        <v>421</v>
      </c>
      <c r="AG289" s="28">
        <v>0.34699999999999998</v>
      </c>
      <c r="AH289" s="28">
        <v>33.296999999999997</v>
      </c>
      <c r="AI289" s="28">
        <v>3.1E-2</v>
      </c>
      <c r="AJ289" s="28">
        <v>6.2E-2</v>
      </c>
      <c r="AK289" s="28" t="s">
        <v>421</v>
      </c>
      <c r="AL289" s="28">
        <v>52.351999999999997</v>
      </c>
      <c r="AM289" s="28">
        <v>6.7000000000000004E-2</v>
      </c>
      <c r="AN289" s="28">
        <v>12.398999999999999</v>
      </c>
      <c r="AO289" s="28">
        <v>0.499</v>
      </c>
      <c r="AP289" s="156">
        <f t="shared" si="4"/>
        <v>99.053999999999988</v>
      </c>
    </row>
    <row r="290" spans="1:42" x14ac:dyDescent="0.2">
      <c r="A290" s="9" t="s">
        <v>983</v>
      </c>
      <c r="B290" s="9" t="s">
        <v>984</v>
      </c>
      <c r="C290" s="9" t="s">
        <v>110</v>
      </c>
      <c r="D290" s="9" t="s">
        <v>119</v>
      </c>
      <c r="E290" s="154">
        <v>272681.89883149054</v>
      </c>
      <c r="F290" s="154">
        <v>269470.56777799496</v>
      </c>
      <c r="G290" s="154">
        <v>4898.9922571873158</v>
      </c>
      <c r="H290" s="154">
        <v>90854.935968806632</v>
      </c>
      <c r="I290" s="154">
        <v>0.78025530840108026</v>
      </c>
      <c r="J290" s="154">
        <v>130.29006185961296</v>
      </c>
      <c r="K290" s="154">
        <v>536140</v>
      </c>
      <c r="L290" s="154">
        <v>538774.58725351328</v>
      </c>
      <c r="M290" s="154">
        <v>15.995022133171503</v>
      </c>
      <c r="N290" s="154">
        <v>0.46586936973087106</v>
      </c>
      <c r="O290" s="154">
        <v>0.13774331226881528</v>
      </c>
      <c r="P290" s="154" t="s">
        <v>421</v>
      </c>
      <c r="Q290" s="154">
        <v>6.2565983696748324</v>
      </c>
      <c r="R290" s="154">
        <v>1867.4411764699396</v>
      </c>
      <c r="S290" s="154">
        <v>15.821695551275994</v>
      </c>
      <c r="T290" s="154">
        <v>49.224797448542169</v>
      </c>
      <c r="U290" s="154">
        <v>47.447012883105735</v>
      </c>
      <c r="V290" s="154">
        <v>0.34690031508371344</v>
      </c>
      <c r="W290" s="154">
        <v>6.3017360848285948</v>
      </c>
      <c r="X290" s="154">
        <v>1.4832006847572273E-2</v>
      </c>
      <c r="Y290" s="154">
        <v>0.6636829896010682</v>
      </c>
      <c r="Z290" s="154">
        <v>15.654331239950951</v>
      </c>
      <c r="AC290" s="28" t="s">
        <v>421</v>
      </c>
      <c r="AD290" s="28" t="s">
        <v>421</v>
      </c>
      <c r="AE290" s="9" t="s">
        <v>421</v>
      </c>
      <c r="AF290" s="28" t="s">
        <v>421</v>
      </c>
      <c r="AG290" s="28">
        <v>5.2999999999999999E-2</v>
      </c>
      <c r="AH290" s="28">
        <v>33.643999999999998</v>
      </c>
      <c r="AI290" s="28">
        <v>1.0999999999999999E-2</v>
      </c>
      <c r="AJ290" s="28" t="s">
        <v>421</v>
      </c>
      <c r="AK290" s="28" t="s">
        <v>421</v>
      </c>
      <c r="AL290" s="28">
        <v>53.613999999999997</v>
      </c>
      <c r="AM290" s="28">
        <v>2.5999999999999999E-2</v>
      </c>
      <c r="AN290" s="28">
        <v>11.624000000000001</v>
      </c>
      <c r="AO290" s="28">
        <v>0.82399999999999995</v>
      </c>
      <c r="AP290" s="156">
        <f t="shared" si="4"/>
        <v>99.795999999999992</v>
      </c>
    </row>
    <row r="291" spans="1:42" x14ac:dyDescent="0.2">
      <c r="A291" s="9" t="s">
        <v>985</v>
      </c>
      <c r="B291" s="9" t="s">
        <v>986</v>
      </c>
      <c r="C291" s="9" t="s">
        <v>110</v>
      </c>
      <c r="D291" s="9" t="s">
        <v>119</v>
      </c>
      <c r="E291" s="154">
        <v>267904.56746691588</v>
      </c>
      <c r="F291" s="154">
        <v>268172.88252816495</v>
      </c>
      <c r="G291" s="154">
        <v>3866.5143038303327</v>
      </c>
      <c r="H291" s="154">
        <v>83692.435002450104</v>
      </c>
      <c r="I291" s="154">
        <v>0.31453585214658164</v>
      </c>
      <c r="J291" s="154">
        <v>60.638416464174611</v>
      </c>
      <c r="K291" s="154">
        <v>544110</v>
      </c>
      <c r="L291" s="154">
        <v>551778.22171499371</v>
      </c>
      <c r="M291" s="154">
        <v>18.552368461760818</v>
      </c>
      <c r="N291" s="154">
        <v>0.29195684276545547</v>
      </c>
      <c r="O291" s="154">
        <v>0.13203439498588865</v>
      </c>
      <c r="P291" s="154">
        <v>1.0041955202162114</v>
      </c>
      <c r="Q291" s="154">
        <v>1.6919785966779639</v>
      </c>
      <c r="R291" s="154">
        <v>1665.3974754821304</v>
      </c>
      <c r="S291" s="154">
        <v>7.6812099553966453</v>
      </c>
      <c r="T291" s="154">
        <v>14.56482450101276</v>
      </c>
      <c r="U291" s="154">
        <v>14.304012387804264</v>
      </c>
      <c r="V291" s="154">
        <v>6.7883132692107009E-2</v>
      </c>
      <c r="W291" s="154">
        <v>5.6053643554623829</v>
      </c>
      <c r="X291" s="154" t="s">
        <v>421</v>
      </c>
      <c r="Y291" s="154">
        <v>0.10494373774269129</v>
      </c>
      <c r="Z291" s="154">
        <v>7.631689552093202</v>
      </c>
      <c r="AC291" s="28" t="s">
        <v>421</v>
      </c>
      <c r="AD291" s="28" t="s">
        <v>421</v>
      </c>
      <c r="AE291" s="9" t="s">
        <v>421</v>
      </c>
      <c r="AF291" s="28" t="s">
        <v>421</v>
      </c>
      <c r="AG291" s="28" t="s">
        <v>421</v>
      </c>
      <c r="AH291" s="28">
        <v>33.47</v>
      </c>
      <c r="AI291" s="28" t="s">
        <v>421</v>
      </c>
      <c r="AJ291" s="28" t="s">
        <v>421</v>
      </c>
      <c r="AK291" s="28" t="s">
        <v>421</v>
      </c>
      <c r="AL291" s="28">
        <v>54.411000000000001</v>
      </c>
      <c r="AM291" s="28">
        <v>1.7999999999999999E-2</v>
      </c>
      <c r="AN291" s="28">
        <v>11.132999999999999</v>
      </c>
      <c r="AO291" s="28">
        <v>0.65700000000000003</v>
      </c>
      <c r="AP291" s="156">
        <f t="shared" si="4"/>
        <v>99.688999999999993</v>
      </c>
    </row>
    <row r="292" spans="1:42" x14ac:dyDescent="0.2">
      <c r="A292" s="9" t="s">
        <v>987</v>
      </c>
      <c r="B292" s="9" t="s">
        <v>988</v>
      </c>
      <c r="C292" s="9" t="s">
        <v>110</v>
      </c>
      <c r="D292" s="9" t="s">
        <v>119</v>
      </c>
      <c r="E292" s="154">
        <v>267545.06974126905</v>
      </c>
      <c r="F292" s="154">
        <v>267154.9196251774</v>
      </c>
      <c r="G292" s="154">
        <v>3769.5164978084881</v>
      </c>
      <c r="H292" s="154">
        <v>83758.45879076737</v>
      </c>
      <c r="I292" s="154">
        <v>0.32061545486523185</v>
      </c>
      <c r="J292" s="154">
        <v>277.53687445781543</v>
      </c>
      <c r="K292" s="154">
        <v>544540</v>
      </c>
      <c r="L292" s="154">
        <v>547761.16114940867</v>
      </c>
      <c r="M292" s="154">
        <v>9.2117748413664078</v>
      </c>
      <c r="N292" s="154">
        <v>0.24373360651138398</v>
      </c>
      <c r="O292" s="154">
        <v>0.41192073865152123</v>
      </c>
      <c r="P292" s="154" t="s">
        <v>421</v>
      </c>
      <c r="Q292" s="154">
        <v>108.96840597763794</v>
      </c>
      <c r="R292" s="154">
        <v>1643.3432702135183</v>
      </c>
      <c r="S292" s="154">
        <v>4.7068980257051436</v>
      </c>
      <c r="T292" s="154">
        <v>75.137196068168549</v>
      </c>
      <c r="U292" s="154">
        <v>70.954824193258247</v>
      </c>
      <c r="V292" s="154">
        <v>120.21577918582383</v>
      </c>
      <c r="W292" s="154">
        <v>4.1965374494309993</v>
      </c>
      <c r="X292" s="154">
        <v>1.4948071660920857E-2</v>
      </c>
      <c r="Y292" s="154">
        <v>0.72412996892620207</v>
      </c>
      <c r="Z292" s="154">
        <v>4.4514315590733702</v>
      </c>
      <c r="AC292" s="28" t="s">
        <v>421</v>
      </c>
      <c r="AD292" s="28" t="s">
        <v>421</v>
      </c>
      <c r="AE292" s="9" t="s">
        <v>421</v>
      </c>
      <c r="AF292" s="28" t="s">
        <v>421</v>
      </c>
      <c r="AG292" s="28">
        <v>7.0999999999999994E-2</v>
      </c>
      <c r="AH292" s="28">
        <v>33.479999999999997</v>
      </c>
      <c r="AI292" s="28">
        <v>3.0000000000000001E-3</v>
      </c>
      <c r="AJ292" s="28" t="s">
        <v>421</v>
      </c>
      <c r="AK292" s="28" t="s">
        <v>421</v>
      </c>
      <c r="AL292" s="28">
        <v>54.454000000000001</v>
      </c>
      <c r="AM292" s="28">
        <v>3.0000000000000001E-3</v>
      </c>
      <c r="AN292" s="28">
        <v>10.920999999999999</v>
      </c>
      <c r="AO292" s="28">
        <v>0.62</v>
      </c>
      <c r="AP292" s="156">
        <f t="shared" si="4"/>
        <v>99.551999999999992</v>
      </c>
    </row>
    <row r="293" spans="1:42" x14ac:dyDescent="0.2">
      <c r="A293" s="9" t="s">
        <v>989</v>
      </c>
      <c r="B293" s="9" t="s">
        <v>990</v>
      </c>
      <c r="C293" s="9" t="s">
        <v>110</v>
      </c>
      <c r="D293" s="9" t="s">
        <v>119</v>
      </c>
      <c r="E293" s="154">
        <v>270149.43738209177</v>
      </c>
      <c r="F293" s="154">
        <v>265765.58204784343</v>
      </c>
      <c r="G293" s="154">
        <v>4772.2451922328537</v>
      </c>
      <c r="H293" s="154">
        <v>89079.767510740479</v>
      </c>
      <c r="I293" s="154">
        <v>1.119273330158046</v>
      </c>
      <c r="J293" s="154">
        <v>81.008712416843295</v>
      </c>
      <c r="K293" s="154">
        <v>536290</v>
      </c>
      <c r="L293" s="154">
        <v>536372.28314852365</v>
      </c>
      <c r="M293" s="154">
        <v>10.534053903137828</v>
      </c>
      <c r="N293" s="154">
        <v>0.24648574138907392</v>
      </c>
      <c r="O293" s="154">
        <v>0.14829782540540559</v>
      </c>
      <c r="P293" s="154" t="s">
        <v>421</v>
      </c>
      <c r="Q293" s="154">
        <v>3.5496985208981862</v>
      </c>
      <c r="R293" s="154">
        <v>1875.12259993476</v>
      </c>
      <c r="S293" s="154">
        <v>9.9520158827854619</v>
      </c>
      <c r="T293" s="154">
        <v>34.68151458890442</v>
      </c>
      <c r="U293" s="154">
        <v>36.088392543084034</v>
      </c>
      <c r="V293" s="154">
        <v>0.21678773779985644</v>
      </c>
      <c r="W293" s="154">
        <v>4.0487421978640148</v>
      </c>
      <c r="X293" s="154" t="s">
        <v>421</v>
      </c>
      <c r="Y293" s="154">
        <v>0.38384548700897375</v>
      </c>
      <c r="Z293" s="154">
        <v>9.8340987331831862</v>
      </c>
      <c r="AC293" s="28" t="s">
        <v>421</v>
      </c>
      <c r="AD293" s="28" t="s">
        <v>421</v>
      </c>
      <c r="AE293" s="9" t="s">
        <v>421</v>
      </c>
      <c r="AF293" s="28" t="s">
        <v>421</v>
      </c>
      <c r="AG293" s="28">
        <v>2.3E-2</v>
      </c>
      <c r="AH293" s="28">
        <v>33.444000000000003</v>
      </c>
      <c r="AI293" s="28" t="s">
        <v>421</v>
      </c>
      <c r="AJ293" s="28" t="s">
        <v>421</v>
      </c>
      <c r="AK293" s="28" t="s">
        <v>421</v>
      </c>
      <c r="AL293" s="28">
        <v>53.628999999999998</v>
      </c>
      <c r="AM293" s="28" t="s">
        <v>421</v>
      </c>
      <c r="AN293" s="28">
        <v>11.614000000000001</v>
      </c>
      <c r="AO293" s="28">
        <v>0.81299999999999994</v>
      </c>
      <c r="AP293" s="156">
        <f t="shared" si="4"/>
        <v>99.52300000000001</v>
      </c>
    </row>
    <row r="294" spans="1:42" x14ac:dyDescent="0.2">
      <c r="A294" s="9" t="s">
        <v>991</v>
      </c>
      <c r="B294" s="9" t="s">
        <v>992</v>
      </c>
      <c r="C294" s="9" t="s">
        <v>110</v>
      </c>
      <c r="D294" s="9" t="s">
        <v>119</v>
      </c>
      <c r="E294" s="154">
        <v>269904.62288836954</v>
      </c>
      <c r="F294" s="154">
        <v>271117.10767890885</v>
      </c>
      <c r="G294" s="154">
        <v>4171.0985807652241</v>
      </c>
      <c r="H294" s="154">
        <v>86918.854699870746</v>
      </c>
      <c r="I294" s="154">
        <v>0.31038091101516913</v>
      </c>
      <c r="J294" s="154">
        <v>202.29960816936563</v>
      </c>
      <c r="K294" s="154">
        <v>543240</v>
      </c>
      <c r="L294" s="154">
        <v>551355.55707747035</v>
      </c>
      <c r="M294" s="154">
        <v>13.049436839789406</v>
      </c>
      <c r="N294" s="154">
        <v>6.2682983972521615</v>
      </c>
      <c r="O294" s="154">
        <v>0.15806019768388779</v>
      </c>
      <c r="P294" s="154">
        <v>1.1012348698826975</v>
      </c>
      <c r="Q294" s="154">
        <v>31.48106186873898</v>
      </c>
      <c r="R294" s="154">
        <v>1872.5469646246313</v>
      </c>
      <c r="S294" s="154">
        <v>5.799239642440134</v>
      </c>
      <c r="T294" s="154">
        <v>39.664434808601108</v>
      </c>
      <c r="U294" s="154">
        <v>46.930280300937881</v>
      </c>
      <c r="V294" s="154">
        <v>25.450250684317247</v>
      </c>
      <c r="W294" s="154">
        <v>7.8680920220997406</v>
      </c>
      <c r="X294" s="154">
        <v>1.8318561645315153E-2</v>
      </c>
      <c r="Y294" s="154">
        <v>2.2992900699410197</v>
      </c>
      <c r="Z294" s="154">
        <v>5.66438056409089</v>
      </c>
      <c r="AC294" s="28" t="s">
        <v>421</v>
      </c>
      <c r="AD294" s="28" t="s">
        <v>421</v>
      </c>
      <c r="AE294" s="9" t="s">
        <v>421</v>
      </c>
      <c r="AF294" s="28" t="s">
        <v>421</v>
      </c>
      <c r="AG294" s="28">
        <v>2.1999999999999999E-2</v>
      </c>
      <c r="AH294" s="28">
        <v>33.520000000000003</v>
      </c>
      <c r="AI294" s="28" t="s">
        <v>421</v>
      </c>
      <c r="AJ294" s="28" t="s">
        <v>421</v>
      </c>
      <c r="AK294" s="28" t="s">
        <v>421</v>
      </c>
      <c r="AL294" s="28">
        <v>54.323999999999998</v>
      </c>
      <c r="AM294" s="28">
        <v>7.0000000000000001E-3</v>
      </c>
      <c r="AN294" s="28">
        <v>11.157</v>
      </c>
      <c r="AO294" s="28">
        <v>0.68</v>
      </c>
      <c r="AP294" s="156">
        <f t="shared" si="4"/>
        <v>99.710000000000008</v>
      </c>
    </row>
    <row r="295" spans="1:42" x14ac:dyDescent="0.2">
      <c r="A295" s="9" t="s">
        <v>993</v>
      </c>
      <c r="B295" s="9" t="s">
        <v>994</v>
      </c>
      <c r="C295" s="9" t="s">
        <v>110</v>
      </c>
      <c r="D295" s="9" t="s">
        <v>119</v>
      </c>
      <c r="E295" s="154">
        <v>265608.56781755009</v>
      </c>
      <c r="F295" s="154">
        <v>263691.94915000256</v>
      </c>
      <c r="G295" s="154">
        <v>5885.6242881589887</v>
      </c>
      <c r="H295" s="154">
        <v>89790.953160094374</v>
      </c>
      <c r="I295" s="154">
        <v>6.5953230239548896E-2</v>
      </c>
      <c r="J295" s="154">
        <v>234.70151962659904</v>
      </c>
      <c r="K295" s="154">
        <v>533300</v>
      </c>
      <c r="L295" s="154">
        <v>528928.5546367577</v>
      </c>
      <c r="M295" s="154">
        <v>16.928295083345688</v>
      </c>
      <c r="N295" s="154">
        <v>0.31070417998737482</v>
      </c>
      <c r="O295" s="154">
        <v>0.26422087448348036</v>
      </c>
      <c r="P295" s="154">
        <v>1.151506075973985</v>
      </c>
      <c r="Q295" s="154">
        <v>71.364106368582227</v>
      </c>
      <c r="R295" s="154">
        <v>1653.8666618654677</v>
      </c>
      <c r="S295" s="154">
        <v>5.237461969787951</v>
      </c>
      <c r="T295" s="154">
        <v>66.872555159290556</v>
      </c>
      <c r="U295" s="154">
        <v>59.168819301632105</v>
      </c>
      <c r="V295" s="154">
        <v>110.59316259441567</v>
      </c>
      <c r="W295" s="154">
        <v>6.9368549594044202</v>
      </c>
      <c r="X295" s="154">
        <v>1.6152060424856049E-2</v>
      </c>
      <c r="Y295" s="154">
        <v>3.9279663668422442</v>
      </c>
      <c r="Z295" s="154">
        <v>5.0100952822463629</v>
      </c>
      <c r="AC295" s="28">
        <v>3.0000000000000001E-3</v>
      </c>
      <c r="AD295" s="28" t="s">
        <v>421</v>
      </c>
      <c r="AE295" s="9" t="s">
        <v>421</v>
      </c>
      <c r="AF295" s="28" t="s">
        <v>421</v>
      </c>
      <c r="AG295" s="28" t="s">
        <v>421</v>
      </c>
      <c r="AH295" s="28">
        <v>33.636000000000003</v>
      </c>
      <c r="AI295" s="28">
        <v>7.0000000000000001E-3</v>
      </c>
      <c r="AJ295" s="28" t="s">
        <v>421</v>
      </c>
      <c r="AK295" s="28" t="s">
        <v>421</v>
      </c>
      <c r="AL295" s="28">
        <v>53.33</v>
      </c>
      <c r="AM295" s="28" t="s">
        <v>421</v>
      </c>
      <c r="AN295" s="28">
        <v>11.760999999999999</v>
      </c>
      <c r="AO295" s="28">
        <v>1.01</v>
      </c>
      <c r="AP295" s="156">
        <f t="shared" si="4"/>
        <v>99.747</v>
      </c>
    </row>
    <row r="296" spans="1:42" x14ac:dyDescent="0.2">
      <c r="A296" s="9" t="s">
        <v>995</v>
      </c>
      <c r="B296" s="9" t="s">
        <v>996</v>
      </c>
      <c r="C296" s="9" t="s">
        <v>110</v>
      </c>
      <c r="D296" s="9" t="s">
        <v>119</v>
      </c>
      <c r="E296" s="154">
        <v>267655.24558103195</v>
      </c>
      <c r="F296" s="154">
        <v>266514.04978249629</v>
      </c>
      <c r="G296" s="154">
        <v>3316.154166781303</v>
      </c>
      <c r="H296" s="154">
        <v>81826.455210865199</v>
      </c>
      <c r="I296" s="154" t="s">
        <v>421</v>
      </c>
      <c r="J296" s="154">
        <v>180.47310670010302</v>
      </c>
      <c r="K296" s="154">
        <v>548020</v>
      </c>
      <c r="L296" s="154">
        <v>554294.57516265847</v>
      </c>
      <c r="M296" s="154">
        <v>6.5246896290369163</v>
      </c>
      <c r="N296" s="154">
        <v>0.25119034094055831</v>
      </c>
      <c r="O296" s="154">
        <v>0.23000987245025603</v>
      </c>
      <c r="P296" s="154" t="s">
        <v>421</v>
      </c>
      <c r="Q296" s="154">
        <v>8.7837583821379006</v>
      </c>
      <c r="R296" s="154">
        <v>1646.1417646420937</v>
      </c>
      <c r="S296" s="154">
        <v>2.2230374974821085</v>
      </c>
      <c r="T296" s="154">
        <v>119.1768165950797</v>
      </c>
      <c r="U296" s="154">
        <v>120.32938786869742</v>
      </c>
      <c r="V296" s="154">
        <v>0.1403822449547743</v>
      </c>
      <c r="W296" s="154">
        <v>6.5717446109149176</v>
      </c>
      <c r="X296" s="154" t="s">
        <v>421</v>
      </c>
      <c r="Y296" s="154">
        <v>0.3393267217093236</v>
      </c>
      <c r="Z296" s="154">
        <v>1.8178363210588375</v>
      </c>
      <c r="AC296" s="28" t="s">
        <v>421</v>
      </c>
      <c r="AD296" s="28" t="s">
        <v>421</v>
      </c>
      <c r="AE296" s="9" t="s">
        <v>421</v>
      </c>
      <c r="AF296" s="28" t="s">
        <v>421</v>
      </c>
      <c r="AG296" s="28">
        <v>7.9000000000000001E-2</v>
      </c>
      <c r="AH296" s="28">
        <v>33.659999999999997</v>
      </c>
      <c r="AI296" s="28">
        <v>1.0999999999999999E-2</v>
      </c>
      <c r="AJ296" s="28" t="s">
        <v>421</v>
      </c>
      <c r="AK296" s="28" t="s">
        <v>421</v>
      </c>
      <c r="AL296" s="28">
        <v>54.802</v>
      </c>
      <c r="AM296" s="28">
        <v>3.0000000000000001E-3</v>
      </c>
      <c r="AN296" s="28">
        <v>10.904</v>
      </c>
      <c r="AO296" s="28">
        <v>0.59299999999999997</v>
      </c>
      <c r="AP296" s="156">
        <f t="shared" si="4"/>
        <v>100.05199999999999</v>
      </c>
    </row>
    <row r="297" spans="1:42" x14ac:dyDescent="0.2">
      <c r="A297" s="9" t="s">
        <v>997</v>
      </c>
      <c r="B297" s="9" t="s">
        <v>998</v>
      </c>
      <c r="C297" s="9" t="s">
        <v>110</v>
      </c>
      <c r="D297" s="9" t="s">
        <v>119</v>
      </c>
      <c r="E297" s="154">
        <v>269927.19414223701</v>
      </c>
      <c r="F297" s="154">
        <v>266225.07194194983</v>
      </c>
      <c r="G297" s="154">
        <v>3550.5842698735441</v>
      </c>
      <c r="H297" s="154">
        <v>84938.214783918957</v>
      </c>
      <c r="I297" s="154" t="s">
        <v>421</v>
      </c>
      <c r="J297" s="154">
        <v>189.64223400615205</v>
      </c>
      <c r="K297" s="154">
        <v>545640</v>
      </c>
      <c r="L297" s="154">
        <v>552801.04402469774</v>
      </c>
      <c r="M297" s="154">
        <v>14.511695178000055</v>
      </c>
      <c r="N297" s="154">
        <v>0.36191763454864928</v>
      </c>
      <c r="O297" s="154">
        <v>0.16488315537953138</v>
      </c>
      <c r="P297" s="154" t="s">
        <v>421</v>
      </c>
      <c r="Q297" s="154">
        <v>8.2741016168273323</v>
      </c>
      <c r="R297" s="154">
        <v>1818.6034921342043</v>
      </c>
      <c r="S297" s="154">
        <v>2.0065930298990815</v>
      </c>
      <c r="T297" s="154">
        <v>105.53930749748902</v>
      </c>
      <c r="U297" s="154">
        <v>103.99604113025876</v>
      </c>
      <c r="V297" s="154">
        <v>0.19766722078575635</v>
      </c>
      <c r="W297" s="154">
        <v>4.8811436033346887</v>
      </c>
      <c r="X297" s="154">
        <v>9.2544099302325853E-3</v>
      </c>
      <c r="Y297" s="154">
        <v>0.7935784170338086</v>
      </c>
      <c r="Z297" s="154">
        <v>1.6477593844076188</v>
      </c>
      <c r="AC297" s="28" t="s">
        <v>421</v>
      </c>
      <c r="AD297" s="28" t="s">
        <v>421</v>
      </c>
      <c r="AE297" s="9" t="s">
        <v>421</v>
      </c>
      <c r="AF297" s="28" t="s">
        <v>421</v>
      </c>
      <c r="AG297" s="28">
        <v>5.0999999999999997E-2</v>
      </c>
      <c r="AH297" s="28">
        <v>33.393999999999998</v>
      </c>
      <c r="AI297" s="28">
        <v>1.2999999999999999E-2</v>
      </c>
      <c r="AJ297" s="28" t="s">
        <v>421</v>
      </c>
      <c r="AK297" s="28" t="s">
        <v>421</v>
      </c>
      <c r="AL297" s="28">
        <v>54.564</v>
      </c>
      <c r="AM297" s="28">
        <v>0.01</v>
      </c>
      <c r="AN297" s="28">
        <v>10.88</v>
      </c>
      <c r="AO297" s="28">
        <v>0.59</v>
      </c>
      <c r="AP297" s="156">
        <f t="shared" si="4"/>
        <v>99.501999999999995</v>
      </c>
    </row>
    <row r="298" spans="1:42" x14ac:dyDescent="0.2">
      <c r="A298" s="9" t="s">
        <v>999</v>
      </c>
      <c r="B298" s="9" t="s">
        <v>1000</v>
      </c>
      <c r="C298" s="9" t="s">
        <v>110</v>
      </c>
      <c r="D298" s="9" t="s">
        <v>119</v>
      </c>
      <c r="E298" s="154">
        <v>271096.06379196263</v>
      </c>
      <c r="F298" s="154">
        <v>271456.64689865493</v>
      </c>
      <c r="G298" s="154">
        <v>4145.9709396855151</v>
      </c>
      <c r="H298" s="154">
        <v>89243.522110395046</v>
      </c>
      <c r="I298" s="154">
        <v>0.58884412297003641</v>
      </c>
      <c r="J298" s="154">
        <v>82.924140123862045</v>
      </c>
      <c r="K298" s="154">
        <v>539190</v>
      </c>
      <c r="L298" s="154">
        <v>539293.78494913073</v>
      </c>
      <c r="M298" s="154">
        <v>25.306774588532534</v>
      </c>
      <c r="N298" s="154">
        <v>0.4208113553425733</v>
      </c>
      <c r="O298" s="154">
        <v>0.15029985991375241</v>
      </c>
      <c r="P298" s="154" t="s">
        <v>421</v>
      </c>
      <c r="Q298" s="154">
        <v>4.0750431636232767</v>
      </c>
      <c r="R298" s="154">
        <v>1940.2047734009102</v>
      </c>
      <c r="S298" s="154">
        <v>9.8859719387314566</v>
      </c>
      <c r="T298" s="154">
        <v>27.26844470811923</v>
      </c>
      <c r="U298" s="154">
        <v>26.697562662269846</v>
      </c>
      <c r="V298" s="154" t="s">
        <v>421</v>
      </c>
      <c r="W298" s="154">
        <v>5.1938759110710846</v>
      </c>
      <c r="X298" s="154" t="s">
        <v>421</v>
      </c>
      <c r="Y298" s="154">
        <v>0.1435925581987664</v>
      </c>
      <c r="Z298" s="154">
        <v>9.7932592267238512</v>
      </c>
      <c r="AC298" s="28" t="s">
        <v>421</v>
      </c>
      <c r="AD298" s="28" t="s">
        <v>421</v>
      </c>
      <c r="AE298" s="9" t="s">
        <v>421</v>
      </c>
      <c r="AF298" s="28" t="s">
        <v>421</v>
      </c>
      <c r="AG298" s="28">
        <v>4.2999999999999997E-2</v>
      </c>
      <c r="AH298" s="28">
        <v>33.520000000000003</v>
      </c>
      <c r="AI298" s="28">
        <v>8.9999999999999993E-3</v>
      </c>
      <c r="AJ298" s="28" t="s">
        <v>421</v>
      </c>
      <c r="AK298" s="28" t="s">
        <v>421</v>
      </c>
      <c r="AL298" s="28">
        <v>53.918999999999997</v>
      </c>
      <c r="AM298" s="28">
        <v>7.0000000000000001E-3</v>
      </c>
      <c r="AN298" s="28">
        <v>11.585000000000001</v>
      </c>
      <c r="AO298" s="28">
        <v>0.69399999999999995</v>
      </c>
      <c r="AP298" s="156">
        <f t="shared" si="4"/>
        <v>99.777000000000001</v>
      </c>
    </row>
    <row r="299" spans="1:42" x14ac:dyDescent="0.2">
      <c r="A299" s="9" t="s">
        <v>1001</v>
      </c>
      <c r="B299" s="9" t="s">
        <v>1002</v>
      </c>
      <c r="C299" s="9" t="s">
        <v>110</v>
      </c>
      <c r="D299" s="9" t="s">
        <v>120</v>
      </c>
      <c r="E299" s="154">
        <v>266779.44980717218</v>
      </c>
      <c r="F299" s="154">
        <v>266817.63466464332</v>
      </c>
      <c r="G299" s="154">
        <v>3769.53929218246</v>
      </c>
      <c r="H299" s="154">
        <v>84263.434148325294</v>
      </c>
      <c r="I299" s="154">
        <v>2.5214884577458029E-2</v>
      </c>
      <c r="J299" s="154">
        <v>1491.8035706516177</v>
      </c>
      <c r="K299" s="154">
        <v>541530</v>
      </c>
      <c r="L299" s="154">
        <v>541536.43343907478</v>
      </c>
      <c r="M299" s="154">
        <v>10.226152631337657</v>
      </c>
      <c r="N299" s="154">
        <v>0.51152499855277789</v>
      </c>
      <c r="O299" s="154">
        <v>0.1724556356785345</v>
      </c>
      <c r="P299" s="154" t="s">
        <v>421</v>
      </c>
      <c r="Q299" s="154">
        <v>41.858027517101206</v>
      </c>
      <c r="R299" s="154">
        <v>2115.3037505876932</v>
      </c>
      <c r="S299" s="154">
        <v>2.1140228841368276</v>
      </c>
      <c r="T299" s="154">
        <v>652.96509957655383</v>
      </c>
      <c r="U299" s="154">
        <v>639.51301884811755</v>
      </c>
      <c r="V299" s="154">
        <v>32.992330475622175</v>
      </c>
      <c r="W299" s="154">
        <v>6.546441239787403</v>
      </c>
      <c r="X299" s="154">
        <v>1.4870798296361145E-2</v>
      </c>
      <c r="Y299" s="154">
        <v>1.1494725705478395</v>
      </c>
      <c r="Z299" s="154" t="s">
        <v>421</v>
      </c>
      <c r="AC299" s="28" t="s">
        <v>421</v>
      </c>
      <c r="AD299" s="28" t="s">
        <v>421</v>
      </c>
      <c r="AE299" s="9" t="s">
        <v>421</v>
      </c>
      <c r="AF299" s="28" t="s">
        <v>421</v>
      </c>
      <c r="AG299" s="28">
        <v>9.1999999999999998E-2</v>
      </c>
      <c r="AH299" s="28">
        <v>33.402000000000001</v>
      </c>
      <c r="AI299" s="28">
        <v>3.5000000000000003E-2</v>
      </c>
      <c r="AJ299" s="28" t="s">
        <v>421</v>
      </c>
      <c r="AK299" s="28" t="s">
        <v>421</v>
      </c>
      <c r="AL299" s="28">
        <v>54.152999999999999</v>
      </c>
      <c r="AM299" s="28">
        <v>7.8E-2</v>
      </c>
      <c r="AN299" s="28">
        <v>11.161</v>
      </c>
      <c r="AO299" s="28">
        <v>0.628</v>
      </c>
      <c r="AP299" s="156">
        <f t="shared" si="4"/>
        <v>99.548999999999992</v>
      </c>
    </row>
    <row r="300" spans="1:42" x14ac:dyDescent="0.2">
      <c r="A300" s="9" t="s">
        <v>1003</v>
      </c>
      <c r="B300" s="9" t="s">
        <v>1004</v>
      </c>
      <c r="C300" s="9" t="s">
        <v>110</v>
      </c>
      <c r="D300" s="9" t="s">
        <v>120</v>
      </c>
      <c r="E300" s="154">
        <v>269318.07145083434</v>
      </c>
      <c r="F300" s="154">
        <v>269592.44405832008</v>
      </c>
      <c r="G300" s="154">
        <v>4566.6573227939552</v>
      </c>
      <c r="H300" s="154">
        <v>85935.476196076459</v>
      </c>
      <c r="I300" s="154">
        <v>0.15775175028904331</v>
      </c>
      <c r="J300" s="154">
        <v>1623.2890684762569</v>
      </c>
      <c r="K300" s="154">
        <v>537610</v>
      </c>
      <c r="L300" s="154">
        <v>542819.16362351656</v>
      </c>
      <c r="M300" s="154">
        <v>3.906599842469737</v>
      </c>
      <c r="N300" s="154">
        <v>0.2026375040711475</v>
      </c>
      <c r="O300" s="154">
        <v>12.458759264460889</v>
      </c>
      <c r="P300" s="154" t="s">
        <v>421</v>
      </c>
      <c r="Q300" s="154">
        <v>73.156177480853813</v>
      </c>
      <c r="R300" s="154">
        <v>1740.2844554573189</v>
      </c>
      <c r="S300" s="154">
        <v>3.2770149848748509</v>
      </c>
      <c r="T300" s="154">
        <v>0.78926610116534257</v>
      </c>
      <c r="U300" s="154">
        <v>0.86799478449013823</v>
      </c>
      <c r="V300" s="154">
        <v>44.887936043895522</v>
      </c>
      <c r="W300" s="154">
        <v>5.3888635242927663</v>
      </c>
      <c r="X300" s="154">
        <v>1.3987594593122328E-2</v>
      </c>
      <c r="Y300" s="154">
        <v>5.0995284605058426</v>
      </c>
      <c r="Z300" s="154">
        <v>3.2743314801308889</v>
      </c>
      <c r="AC300" s="28" t="s">
        <v>421</v>
      </c>
      <c r="AD300" s="28" t="s">
        <v>421</v>
      </c>
      <c r="AE300" s="9" t="s">
        <v>421</v>
      </c>
      <c r="AF300" s="28" t="s">
        <v>421</v>
      </c>
      <c r="AG300" s="28">
        <v>9.8000000000000004E-2</v>
      </c>
      <c r="AH300" s="28">
        <v>33.988</v>
      </c>
      <c r="AI300" s="28" t="s">
        <v>421</v>
      </c>
      <c r="AJ300" s="28" t="s">
        <v>421</v>
      </c>
      <c r="AK300" s="28" t="s">
        <v>421</v>
      </c>
      <c r="AL300" s="28">
        <v>53.761000000000003</v>
      </c>
      <c r="AM300" s="28">
        <v>3.1E-2</v>
      </c>
      <c r="AN300" s="28">
        <v>11.436</v>
      </c>
      <c r="AO300" s="28">
        <v>0.79900000000000004</v>
      </c>
      <c r="AP300" s="156">
        <f t="shared" si="4"/>
        <v>100.11300000000003</v>
      </c>
    </row>
    <row r="301" spans="1:42" x14ac:dyDescent="0.2">
      <c r="A301" s="9" t="s">
        <v>1005</v>
      </c>
      <c r="B301" s="9" t="s">
        <v>1006</v>
      </c>
      <c r="C301" s="9" t="s">
        <v>110</v>
      </c>
      <c r="D301" s="9" t="s">
        <v>120</v>
      </c>
      <c r="E301" s="154">
        <v>269062.81869097322</v>
      </c>
      <c r="F301" s="154">
        <v>265233.15175971179</v>
      </c>
      <c r="G301" s="154">
        <v>4701.880469701955</v>
      </c>
      <c r="H301" s="154">
        <v>88032.927672863443</v>
      </c>
      <c r="I301" s="154">
        <v>4.8126859920900891E-2</v>
      </c>
      <c r="J301" s="154">
        <v>24.596536461241524</v>
      </c>
      <c r="K301" s="154">
        <v>536500</v>
      </c>
      <c r="L301" s="154">
        <v>547573.29252987099</v>
      </c>
      <c r="M301" s="154">
        <v>3.8531993443929058</v>
      </c>
      <c r="N301" s="154" t="s">
        <v>421</v>
      </c>
      <c r="O301" s="154">
        <v>0</v>
      </c>
      <c r="P301" s="154" t="s">
        <v>421</v>
      </c>
      <c r="Q301" s="154">
        <v>1.4825563156269428</v>
      </c>
      <c r="R301" s="154">
        <v>1733.3370846589999</v>
      </c>
      <c r="S301" s="154">
        <v>4.2929926988743574</v>
      </c>
      <c r="T301" s="154">
        <v>0.6917257419770334</v>
      </c>
      <c r="U301" s="154">
        <v>0.7402783694270183</v>
      </c>
      <c r="V301" s="154" t="s">
        <v>421</v>
      </c>
      <c r="W301" s="154">
        <v>3.8641204534272302</v>
      </c>
      <c r="X301" s="154" t="s">
        <v>421</v>
      </c>
      <c r="Y301" s="154">
        <v>0.17619677910730436</v>
      </c>
      <c r="Z301" s="154">
        <v>4.2906408313516353</v>
      </c>
      <c r="AC301" s="28" t="s">
        <v>421</v>
      </c>
      <c r="AD301" s="28" t="s">
        <v>421</v>
      </c>
      <c r="AE301" s="9" t="s">
        <v>421</v>
      </c>
      <c r="AF301" s="28" t="s">
        <v>421</v>
      </c>
      <c r="AG301" s="28">
        <v>4.3999999999999997E-2</v>
      </c>
      <c r="AH301" s="28">
        <v>33.860999999999997</v>
      </c>
      <c r="AI301" s="28">
        <v>2E-3</v>
      </c>
      <c r="AJ301" s="28" t="s">
        <v>421</v>
      </c>
      <c r="AK301" s="28" t="s">
        <v>421</v>
      </c>
      <c r="AL301" s="28">
        <v>53.65</v>
      </c>
      <c r="AM301" s="28">
        <v>2.3E-2</v>
      </c>
      <c r="AN301" s="28">
        <v>11.396000000000001</v>
      </c>
      <c r="AO301" s="28">
        <v>0.79100000000000004</v>
      </c>
      <c r="AP301" s="156">
        <f t="shared" si="4"/>
        <v>99.766999999999982</v>
      </c>
    </row>
    <row r="302" spans="1:42" x14ac:dyDescent="0.2">
      <c r="A302" s="9" t="s">
        <v>1007</v>
      </c>
      <c r="B302" s="9" t="s">
        <v>1008</v>
      </c>
      <c r="C302" s="9" t="s">
        <v>110</v>
      </c>
      <c r="D302" s="9" t="s">
        <v>120</v>
      </c>
      <c r="E302" s="154">
        <v>266351.75074850972</v>
      </c>
      <c r="F302" s="154">
        <v>268308.09935690224</v>
      </c>
      <c r="G302" s="154">
        <v>4227.7329277209319</v>
      </c>
      <c r="H302" s="154">
        <v>87141.084806473067</v>
      </c>
      <c r="I302" s="154" t="s">
        <v>421</v>
      </c>
      <c r="J302" s="154">
        <v>192.91680030292142</v>
      </c>
      <c r="K302" s="154">
        <v>542810</v>
      </c>
      <c r="L302" s="154">
        <v>548861.01167071215</v>
      </c>
      <c r="M302" s="154">
        <v>13.722994023926679</v>
      </c>
      <c r="N302" s="154">
        <v>0.29062904264562456</v>
      </c>
      <c r="O302" s="154">
        <v>0.17128601218921527</v>
      </c>
      <c r="P302" s="154">
        <v>0.90539739765829308</v>
      </c>
      <c r="Q302" s="154">
        <v>5.8395924331880398</v>
      </c>
      <c r="R302" s="154">
        <v>2069.2501701797646</v>
      </c>
      <c r="S302" s="154">
        <v>0.36617350170787522</v>
      </c>
      <c r="T302" s="154">
        <v>118.00950737549276</v>
      </c>
      <c r="U302" s="154">
        <v>115.58050259784615</v>
      </c>
      <c r="V302" s="154">
        <v>0.71009459798245456</v>
      </c>
      <c r="W302" s="154">
        <v>5.5774901347475057</v>
      </c>
      <c r="X302" s="154" t="s">
        <v>421</v>
      </c>
      <c r="Y302" s="154">
        <v>0.51848457782290946</v>
      </c>
      <c r="Z302" s="154" t="s">
        <v>421</v>
      </c>
      <c r="AC302" s="28" t="s">
        <v>421</v>
      </c>
      <c r="AD302" s="28" t="s">
        <v>421</v>
      </c>
      <c r="AE302" s="9" t="s">
        <v>421</v>
      </c>
      <c r="AF302" s="28" t="s">
        <v>421</v>
      </c>
      <c r="AG302" s="28">
        <v>7.3999999999999996E-2</v>
      </c>
      <c r="AH302" s="28">
        <v>33.418999999999997</v>
      </c>
      <c r="AI302" s="28">
        <v>8.9999999999999993E-3</v>
      </c>
      <c r="AJ302" s="28" t="s">
        <v>421</v>
      </c>
      <c r="AK302" s="28" t="s">
        <v>421</v>
      </c>
      <c r="AL302" s="28">
        <v>54.280999999999999</v>
      </c>
      <c r="AM302" s="28">
        <v>1.7999999999999999E-2</v>
      </c>
      <c r="AN302" s="28">
        <v>11.164</v>
      </c>
      <c r="AO302" s="28">
        <v>0.71699999999999997</v>
      </c>
      <c r="AP302" s="156">
        <f t="shared" si="4"/>
        <v>99.681999999999988</v>
      </c>
    </row>
    <row r="303" spans="1:42" x14ac:dyDescent="0.2">
      <c r="A303" s="9" t="s">
        <v>1009</v>
      </c>
      <c r="B303" s="9" t="s">
        <v>1010</v>
      </c>
      <c r="C303" s="9" t="s">
        <v>110</v>
      </c>
      <c r="D303" s="9" t="s">
        <v>120</v>
      </c>
      <c r="E303" s="154">
        <v>270783.28497101273</v>
      </c>
      <c r="F303" s="154">
        <v>268238.99631737516</v>
      </c>
      <c r="G303" s="154">
        <v>5927.3951486339674</v>
      </c>
      <c r="H303" s="154">
        <v>95273.884612114562</v>
      </c>
      <c r="I303" s="154">
        <v>2.6761677558441225E-2</v>
      </c>
      <c r="J303" s="154">
        <v>356.58076365015148</v>
      </c>
      <c r="K303" s="154">
        <v>527530</v>
      </c>
      <c r="L303" s="154">
        <v>534830.84318528988</v>
      </c>
      <c r="M303" s="154">
        <v>10.219623060056978</v>
      </c>
      <c r="N303" s="154">
        <v>0.28866396763970203</v>
      </c>
      <c r="O303" s="154">
        <v>0.31696010576349637</v>
      </c>
      <c r="P303" s="154" t="s">
        <v>421</v>
      </c>
      <c r="Q303" s="154">
        <v>41.44165164031191</v>
      </c>
      <c r="R303" s="154">
        <v>1860.5454210826811</v>
      </c>
      <c r="S303" s="154">
        <v>0.93634542529941345</v>
      </c>
      <c r="T303" s="154">
        <v>252.56657782864502</v>
      </c>
      <c r="U303" s="154">
        <v>256.65819201087498</v>
      </c>
      <c r="V303" s="154">
        <v>44.700990915681274</v>
      </c>
      <c r="W303" s="154">
        <v>4.9998134207459071</v>
      </c>
      <c r="X303" s="154" t="s">
        <v>421</v>
      </c>
      <c r="Y303" s="154">
        <v>0.66781536005593645</v>
      </c>
      <c r="Z303" s="154">
        <v>7.761906068202018E-2</v>
      </c>
      <c r="AC303" s="28" t="s">
        <v>421</v>
      </c>
      <c r="AD303" s="28" t="s">
        <v>421</v>
      </c>
      <c r="AE303" s="9" t="s">
        <v>421</v>
      </c>
      <c r="AF303" s="28" t="s">
        <v>421</v>
      </c>
      <c r="AG303" s="28">
        <v>6.3E-2</v>
      </c>
      <c r="AH303" s="28">
        <v>33.616</v>
      </c>
      <c r="AI303" s="28">
        <v>2.7E-2</v>
      </c>
      <c r="AJ303" s="28" t="s">
        <v>421</v>
      </c>
      <c r="AK303" s="28" t="s">
        <v>421</v>
      </c>
      <c r="AL303" s="28">
        <v>52.753</v>
      </c>
      <c r="AM303" s="28">
        <v>6.5000000000000002E-2</v>
      </c>
      <c r="AN303" s="28">
        <v>12.145</v>
      </c>
      <c r="AO303" s="28">
        <v>0.97399999999999998</v>
      </c>
      <c r="AP303" s="156">
        <f t="shared" si="4"/>
        <v>99.643000000000001</v>
      </c>
    </row>
    <row r="304" spans="1:42" x14ac:dyDescent="0.2">
      <c r="A304" s="9" t="s">
        <v>1011</v>
      </c>
      <c r="B304" s="9" t="s">
        <v>1012</v>
      </c>
      <c r="C304" s="9" t="s">
        <v>110</v>
      </c>
      <c r="D304" s="9" t="s">
        <v>120</v>
      </c>
      <c r="E304" s="154">
        <v>281176.02616012323</v>
      </c>
      <c r="F304" s="154">
        <v>281870.95157873305</v>
      </c>
      <c r="G304" s="154">
        <v>2.3274281416651026</v>
      </c>
      <c r="H304" s="154">
        <v>296.34512586804146</v>
      </c>
      <c r="I304" s="154">
        <v>13.459177284392613</v>
      </c>
      <c r="J304" s="154">
        <v>88.866259072187546</v>
      </c>
      <c r="K304" s="154">
        <v>655590</v>
      </c>
      <c r="L304" s="154">
        <v>661169.65092920465</v>
      </c>
      <c r="M304" s="154" t="s">
        <v>421</v>
      </c>
      <c r="N304" s="154" t="s">
        <v>421</v>
      </c>
      <c r="O304" s="154">
        <v>1.3070930103973977</v>
      </c>
      <c r="P304" s="154">
        <v>0.99458866889924391</v>
      </c>
      <c r="Q304" s="154">
        <v>15.062448626838135</v>
      </c>
      <c r="R304" s="154">
        <v>5306.6555526270058</v>
      </c>
      <c r="S304" s="154">
        <v>0.47855818801125627</v>
      </c>
      <c r="T304" s="154">
        <v>49.96527752730092</v>
      </c>
      <c r="U304" s="154">
        <v>49.435002505564135</v>
      </c>
      <c r="V304" s="154">
        <v>6.9056849361548354</v>
      </c>
      <c r="W304" s="154">
        <v>45.995750376995609</v>
      </c>
      <c r="X304" s="154">
        <v>4.4674186388160057E-2</v>
      </c>
      <c r="Y304" s="154">
        <v>10.645712796939312</v>
      </c>
      <c r="Z304" s="154">
        <v>0.30867624441843311</v>
      </c>
      <c r="AC304" s="28" t="s">
        <v>421</v>
      </c>
      <c r="AD304" s="28" t="s">
        <v>421</v>
      </c>
      <c r="AE304" s="9" t="s">
        <v>421</v>
      </c>
      <c r="AF304" s="28" t="s">
        <v>421</v>
      </c>
      <c r="AG304" s="28">
        <v>0.85399999999999998</v>
      </c>
      <c r="AH304" s="28">
        <v>32.228000000000002</v>
      </c>
      <c r="AI304" s="28" t="s">
        <v>421</v>
      </c>
      <c r="AJ304" s="28" t="s">
        <v>421</v>
      </c>
      <c r="AK304" s="28" t="s">
        <v>421</v>
      </c>
      <c r="AL304" s="28">
        <v>65.558999999999997</v>
      </c>
      <c r="AM304" s="28">
        <v>2.4E-2</v>
      </c>
      <c r="AN304" s="28">
        <v>0.151</v>
      </c>
      <c r="AO304" s="28" t="s">
        <v>421</v>
      </c>
      <c r="AP304" s="156">
        <f t="shared" si="4"/>
        <v>98.815999999999988</v>
      </c>
    </row>
    <row r="305" spans="1:42" x14ac:dyDescent="0.2">
      <c r="A305" s="9" t="s">
        <v>1013</v>
      </c>
      <c r="B305" s="9" t="s">
        <v>1014</v>
      </c>
      <c r="C305" s="9" t="s">
        <v>110</v>
      </c>
      <c r="D305" s="9" t="s">
        <v>120</v>
      </c>
      <c r="E305" s="154">
        <v>264546.41691836924</v>
      </c>
      <c r="F305" s="154">
        <v>347175.63539142901</v>
      </c>
      <c r="G305" s="154">
        <v>3130.4919349087095</v>
      </c>
      <c r="H305" s="154">
        <v>85786.971632255532</v>
      </c>
      <c r="I305" s="154">
        <v>4.1570320105480729E-2</v>
      </c>
      <c r="J305" s="154">
        <v>1354.6869181324687</v>
      </c>
      <c r="K305" s="154">
        <v>544770</v>
      </c>
      <c r="L305" s="154">
        <v>548532.95771035762</v>
      </c>
      <c r="M305" s="154">
        <v>9.8527549781250165</v>
      </c>
      <c r="N305" s="154">
        <v>0.38383645694405716</v>
      </c>
      <c r="O305" s="154" t="s">
        <v>421</v>
      </c>
      <c r="P305" s="154" t="s">
        <v>421</v>
      </c>
      <c r="Q305" s="154">
        <v>11.392741168162305</v>
      </c>
      <c r="R305" s="154">
        <v>2049.6234742651095</v>
      </c>
      <c r="S305" s="154">
        <v>3.4233526811056625</v>
      </c>
      <c r="T305" s="154">
        <v>1039.3182036391106</v>
      </c>
      <c r="U305" s="154">
        <v>1042.9092965182567</v>
      </c>
      <c r="V305" s="154">
        <v>0.78065678863966392</v>
      </c>
      <c r="W305" s="154">
        <v>15.835250943464644</v>
      </c>
      <c r="X305" s="154" t="s">
        <v>421</v>
      </c>
      <c r="Y305" s="154">
        <v>0.8349948412917827</v>
      </c>
      <c r="Z305" s="154" t="s">
        <v>421</v>
      </c>
      <c r="AC305" s="28" t="s">
        <v>421</v>
      </c>
      <c r="AD305" s="28" t="s">
        <v>421</v>
      </c>
      <c r="AE305" s="9" t="s">
        <v>421</v>
      </c>
      <c r="AF305" s="28" t="s">
        <v>421</v>
      </c>
      <c r="AG305" s="28">
        <v>9.4E-2</v>
      </c>
      <c r="AH305" s="28">
        <v>33.231000000000002</v>
      </c>
      <c r="AI305" s="28">
        <v>5.6000000000000001E-2</v>
      </c>
      <c r="AJ305" s="28" t="s">
        <v>421</v>
      </c>
      <c r="AK305" s="28" t="s">
        <v>421</v>
      </c>
      <c r="AL305" s="28">
        <v>54.476999999999997</v>
      </c>
      <c r="AM305" s="28">
        <v>6.4000000000000001E-2</v>
      </c>
      <c r="AN305" s="28">
        <v>10.512</v>
      </c>
      <c r="AO305" s="28">
        <v>0.54500000000000004</v>
      </c>
      <c r="AP305" s="156">
        <f t="shared" si="4"/>
        <v>98.978999999999999</v>
      </c>
    </row>
    <row r="306" spans="1:42" x14ac:dyDescent="0.2">
      <c r="A306" s="9" t="s">
        <v>1015</v>
      </c>
      <c r="B306" s="9" t="s">
        <v>1016</v>
      </c>
      <c r="C306" s="9" t="s">
        <v>110</v>
      </c>
      <c r="D306" s="9" t="s">
        <v>120</v>
      </c>
      <c r="E306" s="154">
        <v>263445.68246498832</v>
      </c>
      <c r="F306" s="154">
        <v>266798.39019435528</v>
      </c>
      <c r="G306" s="154">
        <v>4505.8509302310804</v>
      </c>
      <c r="H306" s="154">
        <v>90055.076650234987</v>
      </c>
      <c r="I306" s="154" t="s">
        <v>421</v>
      </c>
      <c r="J306" s="154">
        <v>165.45332452542638</v>
      </c>
      <c r="K306" s="154">
        <v>537110</v>
      </c>
      <c r="L306" s="154">
        <v>545428.47546077368</v>
      </c>
      <c r="M306" s="154">
        <v>13.811927378211909</v>
      </c>
      <c r="N306" s="154">
        <v>0.28684463884637085</v>
      </c>
      <c r="O306" s="154">
        <v>0.17276846038917967</v>
      </c>
      <c r="P306" s="154" t="s">
        <v>421</v>
      </c>
      <c r="Q306" s="154">
        <v>12.248866827596368</v>
      </c>
      <c r="R306" s="154">
        <v>2165.5171961031742</v>
      </c>
      <c r="S306" s="154">
        <v>0.28417433977484463</v>
      </c>
      <c r="T306" s="154">
        <v>57.791443685013029</v>
      </c>
      <c r="U306" s="154">
        <v>60.595582955314612</v>
      </c>
      <c r="V306" s="154">
        <v>8.7043171826740053</v>
      </c>
      <c r="W306" s="154">
        <v>7.5272629077345261</v>
      </c>
      <c r="X306" s="154" t="s">
        <v>421</v>
      </c>
      <c r="Y306" s="154">
        <v>1.2027111268637427</v>
      </c>
      <c r="Z306" s="154">
        <v>8.7683431245800303E-2</v>
      </c>
      <c r="AC306" s="28" t="s">
        <v>421</v>
      </c>
      <c r="AD306" s="28" t="s">
        <v>421</v>
      </c>
      <c r="AE306" s="9" t="s">
        <v>421</v>
      </c>
      <c r="AF306" s="28" t="s">
        <v>421</v>
      </c>
      <c r="AG306" s="28">
        <v>1.4999999999999999E-2</v>
      </c>
      <c r="AH306" s="28">
        <v>33.57</v>
      </c>
      <c r="AI306" s="28">
        <v>1.4E-2</v>
      </c>
      <c r="AJ306" s="28" t="s">
        <v>421</v>
      </c>
      <c r="AK306" s="28" t="s">
        <v>421</v>
      </c>
      <c r="AL306" s="28">
        <v>53.710999999999999</v>
      </c>
      <c r="AM306" s="28" t="s">
        <v>421</v>
      </c>
      <c r="AN306" s="28">
        <v>11.571</v>
      </c>
      <c r="AO306" s="28">
        <v>0.72099999999999997</v>
      </c>
      <c r="AP306" s="156">
        <f t="shared" si="4"/>
        <v>99.602000000000004</v>
      </c>
    </row>
    <row r="307" spans="1:42" x14ac:dyDescent="0.2">
      <c r="A307" s="9" t="s">
        <v>1017</v>
      </c>
      <c r="B307" s="9" t="s">
        <v>1018</v>
      </c>
      <c r="C307" s="9" t="s">
        <v>110</v>
      </c>
      <c r="D307" s="9" t="s">
        <v>120</v>
      </c>
      <c r="E307" s="154">
        <v>277222.48719324806</v>
      </c>
      <c r="F307" s="154">
        <v>356473.31316410872</v>
      </c>
      <c r="G307" s="154">
        <v>58.301393038972861</v>
      </c>
      <c r="H307" s="154">
        <v>2234.8895830652987</v>
      </c>
      <c r="I307" s="154">
        <v>2.6549049592741305</v>
      </c>
      <c r="J307" s="154">
        <v>431.01143149845655</v>
      </c>
      <c r="K307" s="154">
        <v>655250</v>
      </c>
      <c r="L307" s="154">
        <v>660623.62361904967</v>
      </c>
      <c r="M307" s="154">
        <v>2.3061396220205177</v>
      </c>
      <c r="N307" s="154">
        <v>0.42666442558574813</v>
      </c>
      <c r="O307" s="154">
        <v>3.7670271304590184</v>
      </c>
      <c r="P307" s="154">
        <v>1.2948336494999186</v>
      </c>
      <c r="Q307" s="154">
        <v>84.720318662332971</v>
      </c>
      <c r="R307" s="154">
        <v>3738.7565716989084</v>
      </c>
      <c r="S307" s="154">
        <v>25.885239833423221</v>
      </c>
      <c r="T307" s="154">
        <v>230.79323062923692</v>
      </c>
      <c r="U307" s="154">
        <v>218.26090144820148</v>
      </c>
      <c r="V307" s="154">
        <v>93.673204424910921</v>
      </c>
      <c r="W307" s="154">
        <v>76.165196240744478</v>
      </c>
      <c r="X307" s="154">
        <v>0.11832926066900643</v>
      </c>
      <c r="Y307" s="154">
        <v>52.37400252857072</v>
      </c>
      <c r="Z307" s="154">
        <v>25.100542849283816</v>
      </c>
      <c r="AC307" s="28" t="s">
        <v>421</v>
      </c>
      <c r="AD307" s="28" t="s">
        <v>421</v>
      </c>
      <c r="AE307" s="9" t="s">
        <v>421</v>
      </c>
      <c r="AF307" s="28" t="s">
        <v>421</v>
      </c>
      <c r="AG307" s="28">
        <v>0.36099999999999999</v>
      </c>
      <c r="AH307" s="28">
        <v>33.006</v>
      </c>
      <c r="AI307" s="28">
        <v>2.4E-2</v>
      </c>
      <c r="AJ307" s="28" t="s">
        <v>421</v>
      </c>
      <c r="AK307" s="28">
        <v>1.0999999999999999E-2</v>
      </c>
      <c r="AL307" s="28">
        <v>65.525000000000006</v>
      </c>
      <c r="AM307" s="28">
        <v>1.2999999999999999E-2</v>
      </c>
      <c r="AN307" s="28">
        <v>0.32500000000000001</v>
      </c>
      <c r="AO307" s="28">
        <v>1.2999999999999999E-2</v>
      </c>
      <c r="AP307" s="156">
        <f t="shared" si="4"/>
        <v>99.27800000000002</v>
      </c>
    </row>
    <row r="308" spans="1:42" x14ac:dyDescent="0.2">
      <c r="A308" s="9" t="s">
        <v>1019</v>
      </c>
      <c r="B308" s="9" t="s">
        <v>1020</v>
      </c>
      <c r="C308" s="9" t="s">
        <v>110</v>
      </c>
      <c r="D308" s="9" t="s">
        <v>120</v>
      </c>
      <c r="E308" s="154">
        <v>243054.84327285161</v>
      </c>
      <c r="F308" s="154">
        <v>283388.57784182677</v>
      </c>
      <c r="G308" s="154">
        <v>1139.458924256927</v>
      </c>
      <c r="H308" s="154">
        <v>43949.45684434555</v>
      </c>
      <c r="I308" s="154">
        <v>6.4166780099600746</v>
      </c>
      <c r="J308" s="154">
        <v>562.75617423993833</v>
      </c>
      <c r="K308" s="154">
        <v>542370</v>
      </c>
      <c r="L308" s="154">
        <v>546492.0749590788</v>
      </c>
      <c r="M308" s="154">
        <v>13.451507259131086</v>
      </c>
      <c r="N308" s="154">
        <v>0.37568491731901416</v>
      </c>
      <c r="O308" s="154">
        <v>0.58116458552267958</v>
      </c>
      <c r="P308" s="154" t="s">
        <v>421</v>
      </c>
      <c r="Q308" s="154">
        <v>38.229082142909427</v>
      </c>
      <c r="R308" s="154">
        <v>2114.3772203230706</v>
      </c>
      <c r="S308" s="154">
        <v>0.56034115509275528</v>
      </c>
      <c r="T308" s="154">
        <v>109.09610858554493</v>
      </c>
      <c r="U308" s="154">
        <v>102.59615095222819</v>
      </c>
      <c r="V308" s="154">
        <v>32.076610928591286</v>
      </c>
      <c r="W308" s="154">
        <v>31.916297338518614</v>
      </c>
      <c r="X308" s="154" t="s">
        <v>421</v>
      </c>
      <c r="Y308" s="154">
        <v>3.0533246096186248</v>
      </c>
      <c r="Z308" s="154">
        <v>0.18941438590190252</v>
      </c>
      <c r="AC308" s="28" t="s">
        <v>421</v>
      </c>
      <c r="AD308" s="28" t="s">
        <v>421</v>
      </c>
      <c r="AE308" s="9" t="s">
        <v>421</v>
      </c>
      <c r="AF308" s="28" t="s">
        <v>421</v>
      </c>
      <c r="AG308" s="28">
        <v>2.1000000000000001E-2</v>
      </c>
      <c r="AH308" s="28">
        <v>33.478999999999999</v>
      </c>
      <c r="AI308" s="28">
        <v>1.4E-2</v>
      </c>
      <c r="AJ308" s="28" t="s">
        <v>421</v>
      </c>
      <c r="AK308" s="28">
        <v>5.0000000000000001E-3</v>
      </c>
      <c r="AL308" s="28">
        <v>54.237000000000002</v>
      </c>
      <c r="AM308" s="28">
        <v>0.126</v>
      </c>
      <c r="AN308" s="28">
        <v>10.906000000000001</v>
      </c>
      <c r="AO308" s="28">
        <v>0.52200000000000002</v>
      </c>
      <c r="AP308" s="156">
        <f t="shared" si="4"/>
        <v>99.310000000000016</v>
      </c>
    </row>
    <row r="309" spans="1:42" x14ac:dyDescent="0.2">
      <c r="A309" s="9" t="s">
        <v>1021</v>
      </c>
      <c r="B309" s="9" t="s">
        <v>1022</v>
      </c>
      <c r="C309" s="9" t="s">
        <v>110</v>
      </c>
      <c r="D309" s="9" t="s">
        <v>120</v>
      </c>
      <c r="E309" s="154">
        <v>270734.71167162829</v>
      </c>
      <c r="F309" s="154">
        <v>268126.98488508241</v>
      </c>
      <c r="G309" s="154">
        <v>316.9209829550029</v>
      </c>
      <c r="H309" s="154">
        <v>6245.5130930831465</v>
      </c>
      <c r="I309" s="154">
        <v>6.1077517039366507</v>
      </c>
      <c r="J309" s="154">
        <v>4042.6685090407941</v>
      </c>
      <c r="K309" s="154">
        <v>662410</v>
      </c>
      <c r="L309" s="154">
        <v>650800.24704334559</v>
      </c>
      <c r="M309" s="154">
        <v>1.8254507590000137</v>
      </c>
      <c r="N309" s="154" t="s">
        <v>421</v>
      </c>
      <c r="O309" s="154">
        <v>7.8793072521663721</v>
      </c>
      <c r="P309" s="154">
        <v>0.88648505970819114</v>
      </c>
      <c r="Q309" s="154">
        <v>667.39077640907453</v>
      </c>
      <c r="R309" s="154">
        <v>5042.160983175504</v>
      </c>
      <c r="S309" s="154">
        <v>3.5620816909477995</v>
      </c>
      <c r="T309" s="154">
        <v>534.0780513981955</v>
      </c>
      <c r="U309" s="154">
        <v>508.69096414586147</v>
      </c>
      <c r="V309" s="154">
        <v>107.9575114134818</v>
      </c>
      <c r="W309" s="154">
        <v>42.942822619333114</v>
      </c>
      <c r="X309" s="154">
        <v>0.13590665179946537</v>
      </c>
      <c r="Y309" s="154">
        <v>111.75265473700713</v>
      </c>
      <c r="Z309" s="154">
        <v>1.7462163161939346</v>
      </c>
      <c r="AC309" s="28" t="s">
        <v>421</v>
      </c>
      <c r="AD309" s="28" t="s">
        <v>421</v>
      </c>
      <c r="AE309" s="9" t="s">
        <v>421</v>
      </c>
      <c r="AF309" s="28" t="s">
        <v>421</v>
      </c>
      <c r="AG309" s="28">
        <v>0.505</v>
      </c>
      <c r="AH309" s="28">
        <v>33.06</v>
      </c>
      <c r="AI309" s="28" t="s">
        <v>421</v>
      </c>
      <c r="AJ309" s="28" t="s">
        <v>421</v>
      </c>
      <c r="AK309" s="28" t="s">
        <v>421</v>
      </c>
      <c r="AL309" s="28">
        <v>66.241</v>
      </c>
      <c r="AM309" s="28">
        <v>7.2999999999999995E-2</v>
      </c>
      <c r="AN309" s="28">
        <v>0.21</v>
      </c>
      <c r="AO309" s="28">
        <v>2.3E-2</v>
      </c>
      <c r="AP309" s="156">
        <f t="shared" si="4"/>
        <v>100.11199999999999</v>
      </c>
    </row>
    <row r="310" spans="1:42" x14ac:dyDescent="0.2">
      <c r="A310" s="9" t="s">
        <v>1023</v>
      </c>
      <c r="B310" s="9" t="s">
        <v>1024</v>
      </c>
      <c r="C310" s="9" t="s">
        <v>110</v>
      </c>
      <c r="D310" s="9" t="s">
        <v>120</v>
      </c>
      <c r="E310" s="154">
        <v>250664.54586650137</v>
      </c>
      <c r="F310" s="154">
        <v>248020.2631889538</v>
      </c>
      <c r="G310" s="154">
        <v>2918.0811366246367</v>
      </c>
      <c r="H310" s="154">
        <v>62557.592979437235</v>
      </c>
      <c r="I310" s="154">
        <v>1.0950899254742683</v>
      </c>
      <c r="J310" s="154">
        <v>3835.7624519193268</v>
      </c>
      <c r="K310" s="154">
        <v>542700</v>
      </c>
      <c r="L310" s="154">
        <v>542134.84891148482</v>
      </c>
      <c r="M310" s="154">
        <v>8.8542383663082944</v>
      </c>
      <c r="N310" s="154" t="s">
        <v>421</v>
      </c>
      <c r="O310" s="154">
        <v>3.3568562805698008</v>
      </c>
      <c r="P310" s="154">
        <v>3.3928057933643108</v>
      </c>
      <c r="Q310" s="154">
        <v>1465.7039678255253</v>
      </c>
      <c r="R310" s="154">
        <v>2035.3795123485088</v>
      </c>
      <c r="S310" s="154">
        <v>1.089617104101144</v>
      </c>
      <c r="T310" s="154">
        <v>218.6097764940495</v>
      </c>
      <c r="U310" s="154">
        <v>222.02495886536977</v>
      </c>
      <c r="V310" s="154">
        <v>538.64894456975026</v>
      </c>
      <c r="W310" s="154">
        <v>12.343712130766075</v>
      </c>
      <c r="X310" s="154">
        <v>2.6594712419302925E-2</v>
      </c>
      <c r="Y310" s="154">
        <v>989.77046366719219</v>
      </c>
      <c r="Z310" s="154">
        <v>0.34634386402137562</v>
      </c>
      <c r="AC310" s="28" t="s">
        <v>421</v>
      </c>
      <c r="AD310" s="28" t="s">
        <v>421</v>
      </c>
      <c r="AE310" s="9" t="s">
        <v>421</v>
      </c>
      <c r="AF310" s="28" t="s">
        <v>421</v>
      </c>
      <c r="AG310" s="28">
        <v>0.08</v>
      </c>
      <c r="AH310" s="28">
        <v>33.378999999999998</v>
      </c>
      <c r="AI310" s="28">
        <v>2.8000000000000001E-2</v>
      </c>
      <c r="AJ310" s="28" t="s">
        <v>421</v>
      </c>
      <c r="AK310" s="28" t="s">
        <v>421</v>
      </c>
      <c r="AL310" s="28">
        <v>54.27</v>
      </c>
      <c r="AM310" s="28">
        <v>0.16500000000000001</v>
      </c>
      <c r="AN310" s="28">
        <v>10.443</v>
      </c>
      <c r="AO310" s="28">
        <v>0.60699999999999998</v>
      </c>
      <c r="AP310" s="156">
        <f t="shared" si="4"/>
        <v>98.972000000000008</v>
      </c>
    </row>
    <row r="311" spans="1:42" x14ac:dyDescent="0.2">
      <c r="A311" s="9" t="s">
        <v>1025</v>
      </c>
      <c r="B311" s="9" t="s">
        <v>1026</v>
      </c>
      <c r="C311" s="9" t="s">
        <v>110</v>
      </c>
      <c r="D311" s="9" t="s">
        <v>120</v>
      </c>
      <c r="E311" s="154">
        <v>292781.03725775378</v>
      </c>
      <c r="F311" s="154">
        <v>274796.05060805747</v>
      </c>
      <c r="G311" s="154">
        <v>3126.6862700404563</v>
      </c>
      <c r="H311" s="154">
        <v>69774.782968614381</v>
      </c>
      <c r="I311" s="154">
        <v>0.46547939289173035</v>
      </c>
      <c r="J311" s="154">
        <v>22489.127656106226</v>
      </c>
      <c r="K311" s="154">
        <v>572920</v>
      </c>
      <c r="L311" s="154">
        <v>582552.6732521411</v>
      </c>
      <c r="M311" s="154">
        <v>12.685909229013591</v>
      </c>
      <c r="N311" s="154">
        <v>0.56346646551505464</v>
      </c>
      <c r="O311" s="154">
        <v>0.88352446482589486</v>
      </c>
      <c r="P311" s="154">
        <v>0.90529164342689694</v>
      </c>
      <c r="Q311" s="154">
        <v>400.31444136954838</v>
      </c>
      <c r="R311" s="154">
        <v>1915.7572770946222</v>
      </c>
      <c r="S311" s="154">
        <v>1.6267971407165009</v>
      </c>
      <c r="T311" s="154">
        <v>501.66524801084813</v>
      </c>
      <c r="U311" s="154">
        <v>494.17044502311825</v>
      </c>
      <c r="V311" s="154">
        <v>112.32995251693461</v>
      </c>
      <c r="W311" s="154">
        <v>5.8905847074471849</v>
      </c>
      <c r="X311" s="154">
        <v>9.30614680289754E-2</v>
      </c>
      <c r="Y311" s="154">
        <v>73.995016069988253</v>
      </c>
      <c r="Z311" s="154" t="s">
        <v>421</v>
      </c>
      <c r="AC311" s="28">
        <v>1.2E-2</v>
      </c>
      <c r="AD311" s="28" t="s">
        <v>421</v>
      </c>
      <c r="AE311" s="9" t="s">
        <v>421</v>
      </c>
      <c r="AF311" s="28" t="s">
        <v>421</v>
      </c>
      <c r="AG311" s="28">
        <v>8.7999999999999995E-2</v>
      </c>
      <c r="AH311" s="28">
        <v>31.959</v>
      </c>
      <c r="AI311" s="28" t="s">
        <v>421</v>
      </c>
      <c r="AJ311" s="28" t="s">
        <v>421</v>
      </c>
      <c r="AK311" s="28">
        <v>0.14000000000000001</v>
      </c>
      <c r="AL311" s="28">
        <v>57.292000000000002</v>
      </c>
      <c r="AM311" s="28">
        <v>2.6869999999999998</v>
      </c>
      <c r="AN311" s="28">
        <v>4.0979999999999999</v>
      </c>
      <c r="AO311" s="28">
        <v>0.20100000000000001</v>
      </c>
      <c r="AP311" s="156">
        <f t="shared" si="4"/>
        <v>96.47699999999999</v>
      </c>
    </row>
    <row r="312" spans="1:42" x14ac:dyDescent="0.2">
      <c r="A312" s="9" t="s">
        <v>1027</v>
      </c>
      <c r="B312" s="9" t="s">
        <v>1028</v>
      </c>
      <c r="C312" s="9" t="s">
        <v>110</v>
      </c>
      <c r="D312" s="9" t="s">
        <v>120</v>
      </c>
      <c r="E312" s="154">
        <v>257905.56790391853</v>
      </c>
      <c r="F312" s="154">
        <v>257768.33418670975</v>
      </c>
      <c r="G312" s="154">
        <v>5995.7695092940849</v>
      </c>
      <c r="H312" s="154">
        <v>91402.105395597231</v>
      </c>
      <c r="I312" s="154">
        <v>2.3236076889959874E-2</v>
      </c>
      <c r="J312" s="154">
        <v>78.319755270015492</v>
      </c>
      <c r="K312" s="154">
        <v>528790</v>
      </c>
      <c r="L312" s="154">
        <v>531075.55235478596</v>
      </c>
      <c r="M312" s="154">
        <v>18.187824097890093</v>
      </c>
      <c r="N312" s="154">
        <v>0.30708830740073334</v>
      </c>
      <c r="O312" s="154">
        <v>0.17311720476479894</v>
      </c>
      <c r="P312" s="154" t="s">
        <v>421</v>
      </c>
      <c r="Q312" s="154">
        <v>3.430725797441045</v>
      </c>
      <c r="R312" s="154">
        <v>1814.0622350429849</v>
      </c>
      <c r="S312" s="154">
        <v>0.2840769619464909</v>
      </c>
      <c r="T312" s="154">
        <v>36.955052966823885</v>
      </c>
      <c r="U312" s="154">
        <v>37.069631586192287</v>
      </c>
      <c r="V312" s="154">
        <v>9.4781022544498356E-2</v>
      </c>
      <c r="W312" s="154">
        <v>5.6075572507603795</v>
      </c>
      <c r="X312" s="154" t="s">
        <v>421</v>
      </c>
      <c r="Y312" s="154">
        <v>0.35394644482543025</v>
      </c>
      <c r="Z312" s="154">
        <v>0.15842978185928969</v>
      </c>
      <c r="AC312" s="28" t="s">
        <v>421</v>
      </c>
      <c r="AD312" s="28" t="s">
        <v>421</v>
      </c>
      <c r="AE312" s="9" t="s">
        <v>421</v>
      </c>
      <c r="AF312" s="28" t="s">
        <v>421</v>
      </c>
      <c r="AG312" s="28">
        <v>9.4E-2</v>
      </c>
      <c r="AH312" s="28">
        <v>33.372</v>
      </c>
      <c r="AI312" s="28" t="s">
        <v>421</v>
      </c>
      <c r="AJ312" s="28" t="s">
        <v>421</v>
      </c>
      <c r="AK312" s="28" t="s">
        <v>421</v>
      </c>
      <c r="AL312" s="28">
        <v>52.878999999999998</v>
      </c>
      <c r="AM312" s="28">
        <v>2E-3</v>
      </c>
      <c r="AN312" s="28">
        <v>11.853999999999999</v>
      </c>
      <c r="AO312" s="28">
        <v>1.0169999999999999</v>
      </c>
      <c r="AP312" s="156">
        <f t="shared" si="4"/>
        <v>99.217999999999989</v>
      </c>
    </row>
    <row r="313" spans="1:42" x14ac:dyDescent="0.2">
      <c r="A313" s="9" t="s">
        <v>1029</v>
      </c>
      <c r="B313" s="9" t="s">
        <v>1030</v>
      </c>
      <c r="C313" s="9" t="s">
        <v>110</v>
      </c>
      <c r="D313" s="9" t="s">
        <v>120</v>
      </c>
      <c r="E313" s="154">
        <v>267233.32463368459</v>
      </c>
      <c r="F313" s="154">
        <v>267396.25811846124</v>
      </c>
      <c r="G313" s="154">
        <v>552.18965200499918</v>
      </c>
      <c r="H313" s="154">
        <v>12364.864832227482</v>
      </c>
      <c r="I313" s="154">
        <v>4.6336358508750424</v>
      </c>
      <c r="J313" s="154">
        <v>2665.1238540483619</v>
      </c>
      <c r="K313" s="154">
        <v>647860</v>
      </c>
      <c r="L313" s="154">
        <v>649626.28398676834</v>
      </c>
      <c r="M313" s="154">
        <v>6.2823955137218075</v>
      </c>
      <c r="N313" s="154">
        <v>0.2688191686909806</v>
      </c>
      <c r="O313" s="154">
        <v>20.194677029826995</v>
      </c>
      <c r="P313" s="154">
        <v>49.601155261222345</v>
      </c>
      <c r="Q313" s="154">
        <v>1370.8085229652008</v>
      </c>
      <c r="R313" s="154">
        <v>4673.3192817520312</v>
      </c>
      <c r="S313" s="154">
        <v>1.4801758988244897</v>
      </c>
      <c r="T313" s="154">
        <v>251.67466490218487</v>
      </c>
      <c r="U313" s="154">
        <v>251.74345465038979</v>
      </c>
      <c r="V313" s="154">
        <v>388.21992959785013</v>
      </c>
      <c r="W313" s="154">
        <v>21.051615915131421</v>
      </c>
      <c r="X313" s="154">
        <v>0.68201696965566272</v>
      </c>
      <c r="Y313" s="154">
        <v>14503.734475928999</v>
      </c>
      <c r="Z313" s="154">
        <v>0.62448203815706116</v>
      </c>
      <c r="AC313" s="28" t="s">
        <v>421</v>
      </c>
      <c r="AD313" s="28" t="s">
        <v>421</v>
      </c>
      <c r="AE313" s="9" t="s">
        <v>421</v>
      </c>
      <c r="AF313" s="28" t="s">
        <v>421</v>
      </c>
      <c r="AG313" s="28">
        <v>0.92900000000000005</v>
      </c>
      <c r="AH313" s="28">
        <v>32.747</v>
      </c>
      <c r="AI313" s="28">
        <v>6.7000000000000004E-2</v>
      </c>
      <c r="AJ313" s="28" t="s">
        <v>421</v>
      </c>
      <c r="AK313" s="28">
        <v>9.7000000000000003E-2</v>
      </c>
      <c r="AL313" s="28">
        <v>64.786000000000001</v>
      </c>
      <c r="AM313" s="28">
        <v>0.19700000000000001</v>
      </c>
      <c r="AN313" s="28">
        <v>0.26100000000000001</v>
      </c>
      <c r="AO313" s="28">
        <v>5.0000000000000001E-3</v>
      </c>
      <c r="AP313" s="156">
        <f t="shared" si="4"/>
        <v>99.088999999999999</v>
      </c>
    </row>
    <row r="314" spans="1:42" x14ac:dyDescent="0.2">
      <c r="A314" s="9" t="s">
        <v>1031</v>
      </c>
      <c r="B314" s="9" t="s">
        <v>1032</v>
      </c>
      <c r="C314" s="9" t="s">
        <v>110</v>
      </c>
      <c r="D314" s="9" t="s">
        <v>121</v>
      </c>
      <c r="E314" s="154">
        <v>263349.56463138282</v>
      </c>
      <c r="F314" s="154">
        <v>260788.00063364443</v>
      </c>
      <c r="G314" s="154">
        <v>2296.3861645084717</v>
      </c>
      <c r="H314" s="154">
        <v>81780.750233770203</v>
      </c>
      <c r="I314" s="154">
        <v>1.1152243414839851</v>
      </c>
      <c r="J314" s="154">
        <v>40.872129295806744</v>
      </c>
      <c r="K314" s="154">
        <v>551940</v>
      </c>
      <c r="L314" s="154">
        <v>557382.99094492919</v>
      </c>
      <c r="M314" s="154">
        <v>12.483713923677287</v>
      </c>
      <c r="N314" s="154" t="s">
        <v>421</v>
      </c>
      <c r="O314" s="154">
        <v>0.15685120287501594</v>
      </c>
      <c r="P314" s="154" t="s">
        <v>421</v>
      </c>
      <c r="Q314" s="154">
        <v>3.8195504854615603</v>
      </c>
      <c r="R314" s="154">
        <v>1956.7215418231617</v>
      </c>
      <c r="S314" s="154">
        <v>4.3515667947437002</v>
      </c>
      <c r="T314" s="154">
        <v>3.5557194002723107</v>
      </c>
      <c r="U314" s="154">
        <v>3.7806974997547993</v>
      </c>
      <c r="V314" s="154">
        <v>6.8398954164889961E-2</v>
      </c>
      <c r="W314" s="154">
        <v>9.5357324041606581</v>
      </c>
      <c r="X314" s="154" t="s">
        <v>421</v>
      </c>
      <c r="Y314" s="154">
        <v>1.0200176947146522</v>
      </c>
      <c r="Z314" s="154">
        <v>4.3394773487827747</v>
      </c>
      <c r="AC314" s="28" t="s">
        <v>421</v>
      </c>
      <c r="AD314" s="28" t="s">
        <v>421</v>
      </c>
      <c r="AE314" s="9" t="s">
        <v>421</v>
      </c>
      <c r="AF314" s="28" t="s">
        <v>421</v>
      </c>
      <c r="AG314" s="28">
        <v>0.06</v>
      </c>
      <c r="AH314" s="28">
        <v>33.353999999999999</v>
      </c>
      <c r="AI314" s="28">
        <v>4.0000000000000001E-3</v>
      </c>
      <c r="AJ314" s="28" t="s">
        <v>421</v>
      </c>
      <c r="AK314" s="28" t="s">
        <v>421</v>
      </c>
      <c r="AL314" s="28">
        <v>55.194000000000003</v>
      </c>
      <c r="AM314" s="28">
        <v>1.2E-2</v>
      </c>
      <c r="AN314" s="28">
        <v>10.419</v>
      </c>
      <c r="AO314" s="28">
        <v>0.372</v>
      </c>
      <c r="AP314" s="156">
        <f t="shared" si="4"/>
        <v>99.414999999999992</v>
      </c>
    </row>
    <row r="315" spans="1:42" x14ac:dyDescent="0.2">
      <c r="A315" s="9" t="s">
        <v>1033</v>
      </c>
      <c r="B315" s="9" t="s">
        <v>1034</v>
      </c>
      <c r="C315" s="9" t="s">
        <v>110</v>
      </c>
      <c r="D315" s="9" t="s">
        <v>121</v>
      </c>
      <c r="E315" s="154">
        <v>258750.72280868783</v>
      </c>
      <c r="F315" s="154">
        <v>256125.04056729507</v>
      </c>
      <c r="G315" s="154">
        <v>2461.0842306079958</v>
      </c>
      <c r="H315" s="154">
        <v>90326.705543228716</v>
      </c>
      <c r="I315" s="154">
        <v>1.221537180066433</v>
      </c>
      <c r="J315" s="154">
        <v>589.42312984478929</v>
      </c>
      <c r="K315" s="154">
        <v>542550</v>
      </c>
      <c r="L315" s="154">
        <v>548268.17630722187</v>
      </c>
      <c r="M315" s="154">
        <v>8.3120196877482222</v>
      </c>
      <c r="N315" s="154">
        <v>0.25131620183942377</v>
      </c>
      <c r="O315" s="154">
        <v>0.12649138496880039</v>
      </c>
      <c r="P315" s="154" t="s">
        <v>421</v>
      </c>
      <c r="Q315" s="154">
        <v>15.745081225327208</v>
      </c>
      <c r="R315" s="154">
        <v>1997.9968993459527</v>
      </c>
      <c r="S315" s="154">
        <v>2.2713724053990827</v>
      </c>
      <c r="T315" s="154">
        <v>433.02589069687787</v>
      </c>
      <c r="U315" s="154">
        <v>412.07781741354927</v>
      </c>
      <c r="V315" s="154">
        <v>0.50056778922495804</v>
      </c>
      <c r="W315" s="154">
        <v>7.0539639055402805</v>
      </c>
      <c r="X315" s="154" t="s">
        <v>421</v>
      </c>
      <c r="Y315" s="154">
        <v>0.40351911225885129</v>
      </c>
      <c r="Z315" s="154">
        <v>0.79908437702969781</v>
      </c>
      <c r="AC315" s="28" t="s">
        <v>421</v>
      </c>
      <c r="AD315" s="28" t="s">
        <v>421</v>
      </c>
      <c r="AE315" s="9" t="s">
        <v>421</v>
      </c>
      <c r="AF315" s="28" t="s">
        <v>421</v>
      </c>
      <c r="AG315" s="28">
        <v>6.0000000000000001E-3</v>
      </c>
      <c r="AH315" s="28">
        <v>33.415999999999997</v>
      </c>
      <c r="AI315" s="28">
        <v>2.8000000000000001E-2</v>
      </c>
      <c r="AJ315" s="28" t="s">
        <v>421</v>
      </c>
      <c r="AK315" s="28">
        <v>3.0000000000000001E-3</v>
      </c>
      <c r="AL315" s="28">
        <v>54.255000000000003</v>
      </c>
      <c r="AM315" s="28">
        <v>3.9E-2</v>
      </c>
      <c r="AN315" s="28">
        <v>11.141999999999999</v>
      </c>
      <c r="AO315" s="28">
        <v>0.378</v>
      </c>
      <c r="AP315" s="156">
        <f t="shared" si="4"/>
        <v>99.266999999999996</v>
      </c>
    </row>
    <row r="316" spans="1:42" x14ac:dyDescent="0.2">
      <c r="A316" s="9" t="s">
        <v>1035</v>
      </c>
      <c r="B316" s="9" t="s">
        <v>1036</v>
      </c>
      <c r="C316" s="9" t="s">
        <v>110</v>
      </c>
      <c r="D316" s="9" t="s">
        <v>121</v>
      </c>
      <c r="E316" s="154">
        <v>277034.96080072853</v>
      </c>
      <c r="F316" s="154">
        <v>356582.35357717989</v>
      </c>
      <c r="G316" s="154">
        <v>1772.8095821069739</v>
      </c>
      <c r="H316" s="154">
        <v>27111.579744449689</v>
      </c>
      <c r="I316" s="154">
        <v>4.2876387306564645</v>
      </c>
      <c r="J316" s="154">
        <v>1108.6785678680644</v>
      </c>
      <c r="K316" s="154">
        <v>661390</v>
      </c>
      <c r="L316" s="154">
        <v>665421.69691271626</v>
      </c>
      <c r="M316" s="154">
        <v>2.7067968243643281</v>
      </c>
      <c r="N316" s="154">
        <v>0.51578694383421642</v>
      </c>
      <c r="O316" s="154">
        <v>7.4477560748429399</v>
      </c>
      <c r="P316" s="154">
        <v>1.4759941236289271</v>
      </c>
      <c r="Q316" s="154">
        <v>186.34132082252668</v>
      </c>
      <c r="R316" s="154">
        <v>2159.4877235755803</v>
      </c>
      <c r="S316" s="154">
        <v>3.7440173449487251</v>
      </c>
      <c r="T316" s="154">
        <v>301.82599343346129</v>
      </c>
      <c r="U316" s="154">
        <v>304.15633945214114</v>
      </c>
      <c r="V316" s="154">
        <v>263.0015087916604</v>
      </c>
      <c r="W316" s="154">
        <v>57.05198023304402</v>
      </c>
      <c r="X316" s="154">
        <v>0.17916953476854786</v>
      </c>
      <c r="Y316" s="154">
        <v>61.511611947376601</v>
      </c>
      <c r="Z316" s="154">
        <v>2.7178089672749568</v>
      </c>
      <c r="AC316" s="28" t="s">
        <v>421</v>
      </c>
      <c r="AD316" s="28" t="s">
        <v>421</v>
      </c>
      <c r="AE316" s="9" t="s">
        <v>421</v>
      </c>
      <c r="AF316" s="28" t="s">
        <v>421</v>
      </c>
      <c r="AG316" s="28">
        <v>9.4E-2</v>
      </c>
      <c r="AH316" s="28">
        <v>33.012999999999998</v>
      </c>
      <c r="AI316" s="28">
        <v>7.0000000000000001E-3</v>
      </c>
      <c r="AJ316" s="28" t="s">
        <v>421</v>
      </c>
      <c r="AK316" s="28" t="s">
        <v>421</v>
      </c>
      <c r="AL316" s="28">
        <v>66.138999999999996</v>
      </c>
      <c r="AM316" s="28">
        <v>1.6E-2</v>
      </c>
      <c r="AN316" s="28">
        <v>0.441</v>
      </c>
      <c r="AO316" s="28">
        <v>2.8000000000000001E-2</v>
      </c>
      <c r="AP316" s="156">
        <f t="shared" si="4"/>
        <v>99.738</v>
      </c>
    </row>
    <row r="317" spans="1:42" x14ac:dyDescent="0.2">
      <c r="A317" s="9" t="s">
        <v>1037</v>
      </c>
      <c r="B317" s="9" t="s">
        <v>1038</v>
      </c>
      <c r="C317" s="9" t="s">
        <v>110</v>
      </c>
      <c r="D317" s="9" t="s">
        <v>121</v>
      </c>
      <c r="E317" s="154">
        <v>248806.57950760791</v>
      </c>
      <c r="F317" s="154">
        <v>253025.96419332491</v>
      </c>
      <c r="G317" s="154">
        <v>1527.1060262600984</v>
      </c>
      <c r="H317" s="154">
        <v>38571.478709103743</v>
      </c>
      <c r="I317" s="154">
        <v>1.1753904849001142</v>
      </c>
      <c r="J317" s="154">
        <v>1245.1716427210067</v>
      </c>
      <c r="K317" s="154">
        <v>567840</v>
      </c>
      <c r="L317" s="154">
        <v>571619.98535146716</v>
      </c>
      <c r="M317" s="154">
        <v>4.1059619457255314</v>
      </c>
      <c r="N317" s="154" t="s">
        <v>421</v>
      </c>
      <c r="O317" s="154">
        <v>7.6282273255472344</v>
      </c>
      <c r="P317" s="154">
        <v>1.7376516262429733</v>
      </c>
      <c r="Q317" s="154">
        <v>515.53625452038284</v>
      </c>
      <c r="R317" s="154">
        <v>2017.3781667816581</v>
      </c>
      <c r="S317" s="154">
        <v>3.2591880484856675</v>
      </c>
      <c r="T317" s="154">
        <v>184.45416789542679</v>
      </c>
      <c r="U317" s="154">
        <v>180.39918549933816</v>
      </c>
      <c r="V317" s="154">
        <v>604.76894291399708</v>
      </c>
      <c r="W317" s="154">
        <v>26.464091703294628</v>
      </c>
      <c r="X317" s="154">
        <v>0.19257821922763851</v>
      </c>
      <c r="Y317" s="154">
        <v>46.110323333500709</v>
      </c>
      <c r="Z317" s="154">
        <v>2.6320438776412161</v>
      </c>
      <c r="AC317" s="28" t="s">
        <v>421</v>
      </c>
      <c r="AD317" s="28" t="s">
        <v>421</v>
      </c>
      <c r="AE317" s="9" t="s">
        <v>421</v>
      </c>
      <c r="AF317" s="28" t="s">
        <v>421</v>
      </c>
      <c r="AG317" s="28">
        <v>0.155</v>
      </c>
      <c r="AH317" s="28">
        <v>33.706000000000003</v>
      </c>
      <c r="AI317" s="28">
        <v>1.2E-2</v>
      </c>
      <c r="AJ317" s="28" t="s">
        <v>421</v>
      </c>
      <c r="AK317" s="28">
        <v>1.2999999999999999E-2</v>
      </c>
      <c r="AL317" s="28">
        <v>56.783999999999999</v>
      </c>
      <c r="AM317" s="28">
        <v>3.9E-2</v>
      </c>
      <c r="AN317" s="28">
        <v>8.7629999999999999</v>
      </c>
      <c r="AO317" s="28">
        <v>0.55500000000000005</v>
      </c>
      <c r="AP317" s="156">
        <f t="shared" si="4"/>
        <v>100.02700000000002</v>
      </c>
    </row>
    <row r="318" spans="1:42" x14ac:dyDescent="0.2">
      <c r="A318" s="9" t="s">
        <v>1039</v>
      </c>
      <c r="B318" s="9" t="s">
        <v>1040</v>
      </c>
      <c r="C318" s="9" t="s">
        <v>110</v>
      </c>
      <c r="D318" s="9" t="s">
        <v>121</v>
      </c>
      <c r="E318" s="154">
        <v>270402.66329756443</v>
      </c>
      <c r="F318" s="154">
        <v>266928.21940928389</v>
      </c>
      <c r="G318" s="154">
        <v>3370.5371819408065</v>
      </c>
      <c r="H318" s="154">
        <v>102696.13235745803</v>
      </c>
      <c r="I318" s="154">
        <v>1.0344951270509015</v>
      </c>
      <c r="J318" s="154">
        <v>734.18630575054135</v>
      </c>
      <c r="K318" s="154">
        <v>531370</v>
      </c>
      <c r="L318" s="154">
        <v>532427.25341214624</v>
      </c>
      <c r="M318" s="154">
        <v>9.7711499205658452</v>
      </c>
      <c r="N318" s="154">
        <v>0.30336749716144762</v>
      </c>
      <c r="O318" s="154" t="s">
        <v>421</v>
      </c>
      <c r="P318" s="154" t="s">
        <v>421</v>
      </c>
      <c r="Q318" s="154">
        <v>142.79685122719485</v>
      </c>
      <c r="R318" s="154">
        <v>2449.7808259463404</v>
      </c>
      <c r="S318" s="154">
        <v>3.9100033169901152</v>
      </c>
      <c r="T318" s="154">
        <v>259.0720727712054</v>
      </c>
      <c r="U318" s="154">
        <v>263.40348773853748</v>
      </c>
      <c r="V318" s="154">
        <v>131.13116537585631</v>
      </c>
      <c r="W318" s="154">
        <v>3.7402276243485479</v>
      </c>
      <c r="X318" s="154">
        <v>1.8002383140786251E-2</v>
      </c>
      <c r="Y318" s="154">
        <v>2.8527561779133701</v>
      </c>
      <c r="Z318" s="154">
        <v>3.0291582695680166</v>
      </c>
      <c r="AC318" s="28" t="s">
        <v>421</v>
      </c>
      <c r="AD318" s="28" t="s">
        <v>421</v>
      </c>
      <c r="AE318" s="9" t="s">
        <v>421</v>
      </c>
      <c r="AF318" s="28" t="s">
        <v>421</v>
      </c>
      <c r="AG318" s="28">
        <v>3.2000000000000001E-2</v>
      </c>
      <c r="AH318" s="28">
        <v>33.57</v>
      </c>
      <c r="AI318" s="28">
        <v>2.5000000000000001E-2</v>
      </c>
      <c r="AJ318" s="28" t="s">
        <v>421</v>
      </c>
      <c r="AK318" s="28" t="s">
        <v>421</v>
      </c>
      <c r="AL318" s="28">
        <v>53.137</v>
      </c>
      <c r="AM318" s="28">
        <v>2.5000000000000001E-2</v>
      </c>
      <c r="AN318" s="28">
        <v>12.28</v>
      </c>
      <c r="AO318" s="28">
        <v>0.50600000000000001</v>
      </c>
      <c r="AP318" s="156">
        <f t="shared" si="4"/>
        <v>99.575000000000003</v>
      </c>
    </row>
    <row r="319" spans="1:42" x14ac:dyDescent="0.2">
      <c r="A319" s="9" t="s">
        <v>1041</v>
      </c>
      <c r="B319" s="9" t="s">
        <v>1042</v>
      </c>
      <c r="C319" s="9" t="s">
        <v>110</v>
      </c>
      <c r="D319" s="9" t="s">
        <v>121</v>
      </c>
      <c r="E319" s="154">
        <v>257561.51304724111</v>
      </c>
      <c r="F319" s="154">
        <v>255606.48943522363</v>
      </c>
      <c r="G319" s="154">
        <v>2959.259575413746</v>
      </c>
      <c r="H319" s="154">
        <v>87201.633300600835</v>
      </c>
      <c r="I319" s="154">
        <v>0.87443591007644794</v>
      </c>
      <c r="J319" s="154">
        <v>1025.0510746467328</v>
      </c>
      <c r="K319" s="154">
        <v>535750</v>
      </c>
      <c r="L319" s="154">
        <v>540536.0289223874</v>
      </c>
      <c r="M319" s="154">
        <v>10.624971097872141</v>
      </c>
      <c r="N319" s="154">
        <v>0.28152454995883147</v>
      </c>
      <c r="O319" s="154">
        <v>0.16246867463281972</v>
      </c>
      <c r="P319" s="154">
        <v>0.90408210497518315</v>
      </c>
      <c r="Q319" s="154">
        <v>21.693945170051872</v>
      </c>
      <c r="R319" s="154">
        <v>2041.6945775239678</v>
      </c>
      <c r="S319" s="154">
        <v>4.3044640015727014</v>
      </c>
      <c r="T319" s="154">
        <v>173.84897836203982</v>
      </c>
      <c r="U319" s="154">
        <v>173.55485287251179</v>
      </c>
      <c r="V319" s="154">
        <v>8.1514822150312867</v>
      </c>
      <c r="W319" s="154">
        <v>5.5044347695977089</v>
      </c>
      <c r="X319" s="154">
        <v>9.2351803482733086E-3</v>
      </c>
      <c r="Y319" s="154">
        <v>9.222063455882731</v>
      </c>
      <c r="Z319" s="154">
        <v>3.7133774751417659</v>
      </c>
      <c r="AC319" s="28" t="s">
        <v>421</v>
      </c>
      <c r="AD319" s="28" t="s">
        <v>421</v>
      </c>
      <c r="AE319" s="9" t="s">
        <v>421</v>
      </c>
      <c r="AF319" s="28" t="s">
        <v>421</v>
      </c>
      <c r="AG319" s="28">
        <v>9.0999999999999998E-2</v>
      </c>
      <c r="AH319" s="28">
        <v>33.545999999999999</v>
      </c>
      <c r="AI319" s="28">
        <v>8.0000000000000002E-3</v>
      </c>
      <c r="AJ319" s="28" t="s">
        <v>421</v>
      </c>
      <c r="AK319" s="28" t="s">
        <v>421</v>
      </c>
      <c r="AL319" s="28">
        <v>53.575000000000003</v>
      </c>
      <c r="AM319" s="28">
        <v>9.0999999999999998E-2</v>
      </c>
      <c r="AN319" s="28">
        <v>11.563000000000001</v>
      </c>
      <c r="AO319" s="28">
        <v>0.51600000000000001</v>
      </c>
      <c r="AP319" s="156">
        <f t="shared" si="4"/>
        <v>99.39</v>
      </c>
    </row>
    <row r="320" spans="1:42" x14ac:dyDescent="0.2">
      <c r="A320" s="9" t="s">
        <v>1043</v>
      </c>
      <c r="B320" s="9" t="s">
        <v>1044</v>
      </c>
      <c r="C320" s="9" t="s">
        <v>110</v>
      </c>
      <c r="D320" s="9" t="s">
        <v>121</v>
      </c>
      <c r="E320" s="154">
        <v>260538.94310204688</v>
      </c>
      <c r="F320" s="154">
        <v>259255.4829591373</v>
      </c>
      <c r="G320" s="154">
        <v>2957.8817639361864</v>
      </c>
      <c r="H320" s="154">
        <v>86811.295057135983</v>
      </c>
      <c r="I320" s="154">
        <v>0.99099630637561209</v>
      </c>
      <c r="J320" s="154">
        <v>193.99682009206143</v>
      </c>
      <c r="K320" s="154">
        <v>544480</v>
      </c>
      <c r="L320" s="154">
        <v>549336.7623717126</v>
      </c>
      <c r="M320" s="154">
        <v>11.077083424000305</v>
      </c>
      <c r="N320" s="154" t="s">
        <v>421</v>
      </c>
      <c r="O320" s="154">
        <v>0.44563882843118174</v>
      </c>
      <c r="P320" s="154">
        <v>0.88532408934225704</v>
      </c>
      <c r="Q320" s="154">
        <v>19.640068678653517</v>
      </c>
      <c r="R320" s="154">
        <v>1810.6844097407727</v>
      </c>
      <c r="S320" s="154">
        <v>3.2158146109252628</v>
      </c>
      <c r="T320" s="154">
        <v>70.419681821926602</v>
      </c>
      <c r="U320" s="154">
        <v>67.809290646145527</v>
      </c>
      <c r="V320" s="154">
        <v>5.9415194406311791</v>
      </c>
      <c r="W320" s="154">
        <v>6.2018111189265595</v>
      </c>
      <c r="X320" s="154">
        <v>1.69997433941479E-2</v>
      </c>
      <c r="Y320" s="154">
        <v>3.1505302734726026</v>
      </c>
      <c r="Z320" s="154">
        <v>2.9763876927307122</v>
      </c>
      <c r="AC320" s="28" t="s">
        <v>421</v>
      </c>
      <c r="AD320" s="28" t="s">
        <v>421</v>
      </c>
      <c r="AE320" s="9" t="s">
        <v>421</v>
      </c>
      <c r="AF320" s="28" t="s">
        <v>421</v>
      </c>
      <c r="AG320" s="28">
        <v>8.6999999999999994E-2</v>
      </c>
      <c r="AH320" s="28">
        <v>33.668999999999997</v>
      </c>
      <c r="AI320" s="28" t="s">
        <v>421</v>
      </c>
      <c r="AJ320" s="28" t="s">
        <v>421</v>
      </c>
      <c r="AK320" s="28">
        <v>3.0000000000000001E-3</v>
      </c>
      <c r="AL320" s="28">
        <v>54.448</v>
      </c>
      <c r="AM320" s="28">
        <v>2.5999999999999999E-2</v>
      </c>
      <c r="AN320" s="28">
        <v>11.24</v>
      </c>
      <c r="AO320" s="28">
        <v>0.495</v>
      </c>
      <c r="AP320" s="156">
        <f t="shared" si="4"/>
        <v>99.967999999999989</v>
      </c>
    </row>
    <row r="321" spans="1:42" x14ac:dyDescent="0.2">
      <c r="A321" s="9" t="s">
        <v>1045</v>
      </c>
      <c r="B321" s="9" t="s">
        <v>1046</v>
      </c>
      <c r="C321" s="9" t="s">
        <v>110</v>
      </c>
      <c r="D321" s="9" t="s">
        <v>122</v>
      </c>
      <c r="E321" s="154">
        <v>291842.73126906785</v>
      </c>
      <c r="F321" s="154">
        <v>287703.3612368583</v>
      </c>
      <c r="G321" s="154">
        <v>8693.4149354207111</v>
      </c>
      <c r="H321" s="154">
        <v>93485.706832754862</v>
      </c>
      <c r="I321" s="154" t="s">
        <v>421</v>
      </c>
      <c r="J321" s="154">
        <v>371.90152231813778</v>
      </c>
      <c r="K321" s="154">
        <v>525470</v>
      </c>
      <c r="L321" s="154">
        <v>522660.44818804302</v>
      </c>
      <c r="M321" s="154">
        <v>9.2902301410181263</v>
      </c>
      <c r="N321" s="154" t="s">
        <v>421</v>
      </c>
      <c r="O321" s="154">
        <v>0.12463851982887637</v>
      </c>
      <c r="P321" s="154" t="s">
        <v>421</v>
      </c>
      <c r="Q321" s="154">
        <v>10.989336756670454</v>
      </c>
      <c r="R321" s="154">
        <v>1910.3839212365515</v>
      </c>
      <c r="S321" s="154">
        <v>3.0334850397436544</v>
      </c>
      <c r="T321" s="154">
        <v>5.9749146443881136</v>
      </c>
      <c r="U321" s="154">
        <v>6.4933717868620526</v>
      </c>
      <c r="V321" s="154">
        <v>0.47644471092040835</v>
      </c>
      <c r="W321" s="154">
        <v>20.731606180522046</v>
      </c>
      <c r="X321" s="154">
        <v>1.5037670501093014E-2</v>
      </c>
      <c r="Y321" s="154">
        <v>4.1443128944154131</v>
      </c>
      <c r="Z321" s="154">
        <v>3.0131703299527346</v>
      </c>
      <c r="AC321" s="28" t="s">
        <v>421</v>
      </c>
      <c r="AD321" s="28" t="s">
        <v>421</v>
      </c>
      <c r="AE321" s="9" t="s">
        <v>421</v>
      </c>
      <c r="AF321" s="28" t="s">
        <v>421</v>
      </c>
      <c r="AG321" s="28">
        <v>3.2000000000000001E-2</v>
      </c>
      <c r="AH321" s="28">
        <v>33.651000000000003</v>
      </c>
      <c r="AI321" s="28" t="s">
        <v>421</v>
      </c>
      <c r="AJ321" s="28" t="s">
        <v>421</v>
      </c>
      <c r="AK321" s="28" t="s">
        <v>421</v>
      </c>
      <c r="AL321" s="28">
        <v>52.546999999999997</v>
      </c>
      <c r="AM321" s="28">
        <v>2.7E-2</v>
      </c>
      <c r="AN321" s="28">
        <v>12.18</v>
      </c>
      <c r="AO321" s="28">
        <v>1.468</v>
      </c>
      <c r="AP321" s="156">
        <f t="shared" si="4"/>
        <v>99.904999999999987</v>
      </c>
    </row>
    <row r="322" spans="1:42" x14ac:dyDescent="0.2">
      <c r="A322" s="9" t="s">
        <v>1047</v>
      </c>
      <c r="B322" s="9" t="s">
        <v>1048</v>
      </c>
      <c r="C322" s="9" t="s">
        <v>110</v>
      </c>
      <c r="D322" s="9" t="s">
        <v>122</v>
      </c>
      <c r="E322" s="154">
        <v>287174.94519798737</v>
      </c>
      <c r="F322" s="154">
        <v>288568.01448330662</v>
      </c>
      <c r="G322" s="154">
        <v>5633.1903432718354</v>
      </c>
      <c r="H322" s="154">
        <v>91603.27578420045</v>
      </c>
      <c r="I322" s="154">
        <v>0.12239073391574189</v>
      </c>
      <c r="J322" s="154">
        <v>1519.811080633393</v>
      </c>
      <c r="K322" s="154">
        <v>527550</v>
      </c>
      <c r="L322" s="154">
        <v>524877.14422435523</v>
      </c>
      <c r="M322" s="154">
        <v>11.457589915150853</v>
      </c>
      <c r="N322" s="154">
        <v>0.48954646799375717</v>
      </c>
      <c r="O322" s="154">
        <v>1.3738329433172352</v>
      </c>
      <c r="P322" s="154">
        <v>0.83558588774869891</v>
      </c>
      <c r="Q322" s="154">
        <v>553.66595402017288</v>
      </c>
      <c r="R322" s="154">
        <v>1807.7319192318307</v>
      </c>
      <c r="S322" s="154">
        <v>1.2932258785359625</v>
      </c>
      <c r="T322" s="154">
        <v>189.44837996467965</v>
      </c>
      <c r="U322" s="154">
        <v>189.71142340337195</v>
      </c>
      <c r="V322" s="154">
        <v>429.93314217819722</v>
      </c>
      <c r="W322" s="154">
        <v>21.909125275052492</v>
      </c>
      <c r="X322" s="154">
        <v>6.1313924999895533E-2</v>
      </c>
      <c r="Y322" s="154">
        <v>10.788043805637392</v>
      </c>
      <c r="Z322" s="154">
        <v>0.64910138665605166</v>
      </c>
      <c r="AC322" s="28" t="s">
        <v>421</v>
      </c>
      <c r="AD322" s="28" t="s">
        <v>421</v>
      </c>
      <c r="AE322" s="9" t="s">
        <v>421</v>
      </c>
      <c r="AF322" s="28" t="s">
        <v>421</v>
      </c>
      <c r="AG322" s="28">
        <v>8.3000000000000004E-2</v>
      </c>
      <c r="AH322" s="28">
        <v>33.652000000000001</v>
      </c>
      <c r="AI322" s="28">
        <v>2.4E-2</v>
      </c>
      <c r="AJ322" s="28" t="s">
        <v>421</v>
      </c>
      <c r="AK322" s="28">
        <v>0.122</v>
      </c>
      <c r="AL322" s="28">
        <v>52.755000000000003</v>
      </c>
      <c r="AM322" s="28">
        <v>0.13100000000000001</v>
      </c>
      <c r="AN322" s="28">
        <v>12.132</v>
      </c>
      <c r="AO322" s="28">
        <v>0.98099999999999998</v>
      </c>
      <c r="AP322" s="156">
        <f t="shared" si="4"/>
        <v>99.88</v>
      </c>
    </row>
    <row r="323" spans="1:42" x14ac:dyDescent="0.2">
      <c r="A323" s="9" t="s">
        <v>1049</v>
      </c>
      <c r="B323" s="9" t="s">
        <v>1050</v>
      </c>
      <c r="C323" s="9" t="s">
        <v>110</v>
      </c>
      <c r="D323" s="9" t="s">
        <v>122</v>
      </c>
      <c r="E323" s="154">
        <v>292047.19297936233</v>
      </c>
      <c r="F323" s="154">
        <v>292201.08438982797</v>
      </c>
      <c r="G323" s="154">
        <v>5898.2766133795476</v>
      </c>
      <c r="H323" s="154">
        <v>90792.11539264278</v>
      </c>
      <c r="I323" s="154">
        <v>4.0692108044096245E-2</v>
      </c>
      <c r="J323" s="154">
        <v>4004.6865055369722</v>
      </c>
      <c r="K323" s="154">
        <v>530820</v>
      </c>
      <c r="L323" s="154">
        <v>532690.76017905807</v>
      </c>
      <c r="M323" s="154">
        <v>12.767135956433181</v>
      </c>
      <c r="N323" s="154">
        <v>0.54192227718815711</v>
      </c>
      <c r="O323" s="154">
        <v>2.3832315833904953</v>
      </c>
      <c r="P323" s="154" t="s">
        <v>421</v>
      </c>
      <c r="Q323" s="154">
        <v>796.4882281697603</v>
      </c>
      <c r="R323" s="154">
        <v>1786.1313473183263</v>
      </c>
      <c r="S323" s="154">
        <v>1.2733094602843797</v>
      </c>
      <c r="T323" s="154">
        <v>190.53556051283931</v>
      </c>
      <c r="U323" s="154">
        <v>192.12480815210716</v>
      </c>
      <c r="V323" s="154">
        <v>777.58374552292616</v>
      </c>
      <c r="W323" s="154">
        <v>27.587555071801322</v>
      </c>
      <c r="X323" s="154">
        <v>8.4115311173353677E-2</v>
      </c>
      <c r="Y323" s="154">
        <v>18.901105732766659</v>
      </c>
      <c r="Z323" s="154">
        <v>0.62548855454072605</v>
      </c>
      <c r="AC323" s="28" t="s">
        <v>421</v>
      </c>
      <c r="AD323" s="28" t="s">
        <v>421</v>
      </c>
      <c r="AE323" s="9" t="s">
        <v>421</v>
      </c>
      <c r="AF323" s="28" t="s">
        <v>421</v>
      </c>
      <c r="AG323" s="28">
        <v>6.2E-2</v>
      </c>
      <c r="AH323" s="28">
        <v>33.576999999999998</v>
      </c>
      <c r="AI323" s="28">
        <v>2E-3</v>
      </c>
      <c r="AJ323" s="28" t="s">
        <v>421</v>
      </c>
      <c r="AK323" s="28" t="s">
        <v>421</v>
      </c>
      <c r="AL323" s="28">
        <v>53.082000000000001</v>
      </c>
      <c r="AM323" s="28">
        <v>0.25600000000000001</v>
      </c>
      <c r="AN323" s="28">
        <v>11.708</v>
      </c>
      <c r="AO323" s="28">
        <v>1.034</v>
      </c>
      <c r="AP323" s="156">
        <f t="shared" si="4"/>
        <v>99.721000000000004</v>
      </c>
    </row>
    <row r="324" spans="1:42" x14ac:dyDescent="0.2">
      <c r="A324" s="9" t="s">
        <v>1051</v>
      </c>
      <c r="B324" s="9" t="s">
        <v>1052</v>
      </c>
      <c r="C324" s="9" t="s">
        <v>110</v>
      </c>
      <c r="D324" s="9" t="s">
        <v>122</v>
      </c>
      <c r="E324" s="154">
        <v>294358.52691576187</v>
      </c>
      <c r="F324" s="154">
        <v>293302.38383234217</v>
      </c>
      <c r="G324" s="154">
        <v>5965.2922386433002</v>
      </c>
      <c r="H324" s="154">
        <v>95371.690251634354</v>
      </c>
      <c r="I324" s="154">
        <v>0.15775460133010294</v>
      </c>
      <c r="J324" s="154">
        <v>1279.8295593110595</v>
      </c>
      <c r="K324" s="154">
        <v>527010</v>
      </c>
      <c r="L324" s="154">
        <v>526372.0084989107</v>
      </c>
      <c r="M324" s="154">
        <v>8.5163470647386603</v>
      </c>
      <c r="N324" s="154">
        <v>0.26776149270565791</v>
      </c>
      <c r="O324" s="154">
        <v>0.75614323381679061</v>
      </c>
      <c r="P324" s="154" t="s">
        <v>421</v>
      </c>
      <c r="Q324" s="154">
        <v>172.66670965088829</v>
      </c>
      <c r="R324" s="154">
        <v>1879.1089964220946</v>
      </c>
      <c r="S324" s="154">
        <v>1.6234698657297157</v>
      </c>
      <c r="T324" s="154">
        <v>394.72869701020005</v>
      </c>
      <c r="U324" s="154">
        <v>396.77985439919661</v>
      </c>
      <c r="V324" s="154">
        <v>154.22390786890654</v>
      </c>
      <c r="W324" s="154">
        <v>19.310133804878188</v>
      </c>
      <c r="X324" s="154" t="s">
        <v>421</v>
      </c>
      <c r="Y324" s="154">
        <v>3.876722022401728</v>
      </c>
      <c r="Z324" s="154">
        <v>0.28139229589503545</v>
      </c>
      <c r="AC324" s="28" t="s">
        <v>421</v>
      </c>
      <c r="AD324" s="28" t="s">
        <v>421</v>
      </c>
      <c r="AE324" s="9" t="s">
        <v>421</v>
      </c>
      <c r="AF324" s="28" t="s">
        <v>421</v>
      </c>
      <c r="AG324" s="28">
        <v>5.2999999999999999E-2</v>
      </c>
      <c r="AH324" s="28">
        <v>33.588999999999999</v>
      </c>
      <c r="AI324" s="28">
        <v>5.2999999999999999E-2</v>
      </c>
      <c r="AJ324" s="28" t="s">
        <v>421</v>
      </c>
      <c r="AK324" s="28" t="s">
        <v>421</v>
      </c>
      <c r="AL324" s="28">
        <v>52.701000000000001</v>
      </c>
      <c r="AM324" s="28">
        <v>3.2000000000000001E-2</v>
      </c>
      <c r="AN324" s="28">
        <v>12.138999999999999</v>
      </c>
      <c r="AO324" s="28">
        <v>1.0069999999999999</v>
      </c>
      <c r="AP324" s="156">
        <f t="shared" si="4"/>
        <v>99.573999999999984</v>
      </c>
    </row>
    <row r="325" spans="1:42" x14ac:dyDescent="0.2">
      <c r="A325" s="9" t="s">
        <v>1053</v>
      </c>
      <c r="B325" s="9" t="s">
        <v>1054</v>
      </c>
      <c r="C325" s="9" t="s">
        <v>110</v>
      </c>
      <c r="D325" s="9" t="s">
        <v>122</v>
      </c>
      <c r="E325" s="154">
        <v>287810.8009780923</v>
      </c>
      <c r="F325" s="154">
        <v>293556.95952353434</v>
      </c>
      <c r="G325" s="154">
        <v>6207.9632226253725</v>
      </c>
      <c r="H325" s="154">
        <v>89687.988951974796</v>
      </c>
      <c r="I325" s="154">
        <v>0.12507607875269366</v>
      </c>
      <c r="J325" s="154">
        <v>751.09769972815673</v>
      </c>
      <c r="K325" s="154">
        <v>528260</v>
      </c>
      <c r="L325" s="154">
        <v>520445.6451226389</v>
      </c>
      <c r="M325" s="154">
        <v>9.5220110240148728</v>
      </c>
      <c r="N325" s="154" t="s">
        <v>421</v>
      </c>
      <c r="O325" s="154" t="s">
        <v>421</v>
      </c>
      <c r="P325" s="154">
        <v>0.61454345239066255</v>
      </c>
      <c r="Q325" s="154">
        <v>21.468959730210187</v>
      </c>
      <c r="R325" s="154">
        <v>1659.8256818990849</v>
      </c>
      <c r="S325" s="154">
        <v>1.8090484057039253</v>
      </c>
      <c r="T325" s="154">
        <v>197.59121770230544</v>
      </c>
      <c r="U325" s="154">
        <v>197.95723934440909</v>
      </c>
      <c r="V325" s="154">
        <v>4.6547679397807107</v>
      </c>
      <c r="W325" s="154">
        <v>20.509681667313348</v>
      </c>
      <c r="X325" s="154">
        <v>2.2928900271595557E-2</v>
      </c>
      <c r="Y325" s="154">
        <v>2.7898935301272703</v>
      </c>
      <c r="Z325" s="154">
        <v>1.1372382655160869</v>
      </c>
      <c r="AC325" s="28" t="s">
        <v>421</v>
      </c>
      <c r="AD325" s="28" t="s">
        <v>421</v>
      </c>
      <c r="AE325" s="9" t="s">
        <v>421</v>
      </c>
      <c r="AF325" s="28" t="s">
        <v>421</v>
      </c>
      <c r="AG325" s="28">
        <v>1.6E-2</v>
      </c>
      <c r="AH325" s="28">
        <v>33.475999999999999</v>
      </c>
      <c r="AI325" s="28">
        <v>2E-3</v>
      </c>
      <c r="AJ325" s="28" t="s">
        <v>421</v>
      </c>
      <c r="AK325" s="28" t="s">
        <v>421</v>
      </c>
      <c r="AL325" s="28">
        <v>52.826000000000001</v>
      </c>
      <c r="AM325" s="28">
        <v>0.03</v>
      </c>
      <c r="AN325" s="28">
        <v>12.305999999999999</v>
      </c>
      <c r="AO325" s="28">
        <v>1.054</v>
      </c>
      <c r="AP325" s="156">
        <f t="shared" si="4"/>
        <v>99.71</v>
      </c>
    </row>
    <row r="326" spans="1:42" x14ac:dyDescent="0.2">
      <c r="A326" s="9" t="s">
        <v>1055</v>
      </c>
      <c r="B326" s="9" t="s">
        <v>1056</v>
      </c>
      <c r="C326" s="9" t="s">
        <v>110</v>
      </c>
      <c r="D326" s="9" t="s">
        <v>122</v>
      </c>
      <c r="E326" s="154">
        <v>292448.98420974275</v>
      </c>
      <c r="F326" s="154">
        <v>290868.20869909669</v>
      </c>
      <c r="G326" s="154">
        <v>4466.2887090645763</v>
      </c>
      <c r="H326" s="154">
        <v>85743.393174016805</v>
      </c>
      <c r="I326" s="154">
        <v>2.3268320713787156E-2</v>
      </c>
      <c r="J326" s="154">
        <v>981.73224717269386</v>
      </c>
      <c r="K326" s="154">
        <v>543720</v>
      </c>
      <c r="L326" s="154">
        <v>542871.21482737258</v>
      </c>
      <c r="M326" s="154">
        <v>5.6550121850322892</v>
      </c>
      <c r="N326" s="154">
        <v>0.29065933324381388</v>
      </c>
      <c r="O326" s="154">
        <v>0.13743475342604985</v>
      </c>
      <c r="P326" s="154" t="s">
        <v>421</v>
      </c>
      <c r="Q326" s="154">
        <v>9.3063484517346158</v>
      </c>
      <c r="R326" s="154">
        <v>1748.685353481083</v>
      </c>
      <c r="S326" s="154">
        <v>0.99446696784880695</v>
      </c>
      <c r="T326" s="154">
        <v>3.7450434844637122</v>
      </c>
      <c r="U326" s="154">
        <v>3.8118328296573738</v>
      </c>
      <c r="V326" s="154">
        <v>0.93049824146094806</v>
      </c>
      <c r="W326" s="154">
        <v>27.344867444098377</v>
      </c>
      <c r="X326" s="154">
        <v>1.6658060330093576E-2</v>
      </c>
      <c r="Y326" s="154">
        <v>5.0365524180046908</v>
      </c>
      <c r="Z326" s="154">
        <v>0.98173382000163034</v>
      </c>
      <c r="AC326" s="28" t="s">
        <v>421</v>
      </c>
      <c r="AD326" s="28" t="s">
        <v>421</v>
      </c>
      <c r="AE326" s="9" t="s">
        <v>421</v>
      </c>
      <c r="AF326" s="28" t="s">
        <v>421</v>
      </c>
      <c r="AG326" s="28">
        <v>5.7000000000000002E-2</v>
      </c>
      <c r="AH326" s="28">
        <v>33.643000000000001</v>
      </c>
      <c r="AI326" s="28" t="s">
        <v>421</v>
      </c>
      <c r="AJ326" s="28" t="s">
        <v>421</v>
      </c>
      <c r="AK326" s="28" t="s">
        <v>421</v>
      </c>
      <c r="AL326" s="28">
        <v>54.372</v>
      </c>
      <c r="AM326" s="28">
        <v>1.7999999999999999E-2</v>
      </c>
      <c r="AN326" s="28">
        <v>11.018000000000001</v>
      </c>
      <c r="AO326" s="28">
        <v>0.78</v>
      </c>
      <c r="AP326" s="156">
        <f t="shared" si="4"/>
        <v>99.888000000000005</v>
      </c>
    </row>
    <row r="327" spans="1:42" x14ac:dyDescent="0.2">
      <c r="A327" s="9" t="s">
        <v>1057</v>
      </c>
      <c r="B327" s="9" t="s">
        <v>1058</v>
      </c>
      <c r="C327" s="9" t="s">
        <v>110</v>
      </c>
      <c r="D327" s="9" t="s">
        <v>122</v>
      </c>
      <c r="E327" s="154">
        <v>291101.35118432814</v>
      </c>
      <c r="F327" s="154">
        <v>293191.69458449876</v>
      </c>
      <c r="G327" s="154">
        <v>6970.8057471673219</v>
      </c>
      <c r="H327" s="154">
        <v>90769.159341668375</v>
      </c>
      <c r="I327" s="154">
        <v>2.256989997260812E-2</v>
      </c>
      <c r="J327" s="154">
        <v>430.70922060045206</v>
      </c>
      <c r="K327" s="154">
        <v>533310</v>
      </c>
      <c r="L327" s="154">
        <v>538624.15445643081</v>
      </c>
      <c r="M327" s="154">
        <v>6.3678203128939037</v>
      </c>
      <c r="N327" s="154" t="s">
        <v>421</v>
      </c>
      <c r="O327" s="154">
        <v>0.25195873689255183</v>
      </c>
      <c r="P327" s="154" t="s">
        <v>421</v>
      </c>
      <c r="Q327" s="154">
        <v>19.790162948744957</v>
      </c>
      <c r="R327" s="154">
        <v>1801.2643000661403</v>
      </c>
      <c r="S327" s="154">
        <v>1.1888805289398052</v>
      </c>
      <c r="T327" s="154">
        <v>27.318085596767933</v>
      </c>
      <c r="U327" s="154">
        <v>27.108949630843693</v>
      </c>
      <c r="V327" s="154">
        <v>1.4427112287715005</v>
      </c>
      <c r="W327" s="154">
        <v>25.986285269012708</v>
      </c>
      <c r="X327" s="154">
        <v>1.6985055518122381E-2</v>
      </c>
      <c r="Y327" s="154">
        <v>4.2759039702472688</v>
      </c>
      <c r="Z327" s="154">
        <v>1.0959990379107942</v>
      </c>
      <c r="AC327" s="28" t="s">
        <v>421</v>
      </c>
      <c r="AD327" s="28" t="s">
        <v>421</v>
      </c>
      <c r="AE327" s="9" t="s">
        <v>421</v>
      </c>
      <c r="AF327" s="28" t="s">
        <v>421</v>
      </c>
      <c r="AG327" s="28">
        <v>5.7000000000000002E-2</v>
      </c>
      <c r="AH327" s="28">
        <v>33.588999999999999</v>
      </c>
      <c r="AI327" s="28" t="s">
        <v>421</v>
      </c>
      <c r="AJ327" s="28" t="s">
        <v>421</v>
      </c>
      <c r="AK327" s="28" t="s">
        <v>421</v>
      </c>
      <c r="AL327" s="28">
        <v>53.331000000000003</v>
      </c>
      <c r="AM327" s="28">
        <v>2.5000000000000001E-2</v>
      </c>
      <c r="AN327" s="28">
        <v>11.634</v>
      </c>
      <c r="AO327" s="28">
        <v>1.1859999999999999</v>
      </c>
      <c r="AP327" s="156">
        <f t="shared" si="4"/>
        <v>99.822000000000003</v>
      </c>
    </row>
    <row r="328" spans="1:42" x14ac:dyDescent="0.2">
      <c r="A328" s="9" t="s">
        <v>1059</v>
      </c>
      <c r="B328" s="9" t="s">
        <v>1060</v>
      </c>
      <c r="C328" s="9" t="s">
        <v>110</v>
      </c>
      <c r="D328" s="9" t="s">
        <v>122</v>
      </c>
      <c r="E328" s="154">
        <v>289740.35247604217</v>
      </c>
      <c r="F328" s="154">
        <v>286742.17332413304</v>
      </c>
      <c r="G328" s="154">
        <v>4257.7765729547264</v>
      </c>
      <c r="H328" s="154">
        <v>82099.261959095573</v>
      </c>
      <c r="I328" s="154">
        <v>7.5665972862961797E-2</v>
      </c>
      <c r="J328" s="154">
        <v>2552.2576630117196</v>
      </c>
      <c r="K328" s="154">
        <v>540920</v>
      </c>
      <c r="L328" s="154">
        <v>542585.1404513946</v>
      </c>
      <c r="M328" s="154">
        <v>8.9766837447498773</v>
      </c>
      <c r="N328" s="154">
        <v>0.51557179451640411</v>
      </c>
      <c r="O328" s="154">
        <v>0.2691930852846931</v>
      </c>
      <c r="P328" s="154" t="s">
        <v>421</v>
      </c>
      <c r="Q328" s="154">
        <v>219.85334823930862</v>
      </c>
      <c r="R328" s="154">
        <v>2050.1742344322843</v>
      </c>
      <c r="S328" s="154">
        <v>6.1544982550594911</v>
      </c>
      <c r="T328" s="154">
        <v>1102.3956033294353</v>
      </c>
      <c r="U328" s="154">
        <v>1086.2863432630929</v>
      </c>
      <c r="V328" s="154">
        <v>8.4808039780623083</v>
      </c>
      <c r="W328" s="154">
        <v>28.459169048886409</v>
      </c>
      <c r="X328" s="154">
        <v>1.5158334390845796E-2</v>
      </c>
      <c r="Y328" s="154">
        <v>2.4594777662215348</v>
      </c>
      <c r="Z328" s="154">
        <v>2.4063532037394109</v>
      </c>
      <c r="AC328" s="28" t="s">
        <v>421</v>
      </c>
      <c r="AD328" s="28" t="s">
        <v>421</v>
      </c>
      <c r="AE328" s="9" t="s">
        <v>421</v>
      </c>
      <c r="AF328" s="28" t="s">
        <v>421</v>
      </c>
      <c r="AG328" s="28">
        <v>0.121</v>
      </c>
      <c r="AH328" s="28">
        <v>33.481999999999999</v>
      </c>
      <c r="AI328" s="28">
        <v>9.1999999999999998E-2</v>
      </c>
      <c r="AJ328" s="28" t="s">
        <v>421</v>
      </c>
      <c r="AK328" s="28" t="s">
        <v>421</v>
      </c>
      <c r="AL328" s="28">
        <v>54.091999999999999</v>
      </c>
      <c r="AM328" s="28">
        <v>9.6000000000000002E-2</v>
      </c>
      <c r="AN328" s="28">
        <v>11.223000000000001</v>
      </c>
      <c r="AO328" s="28">
        <v>0.71699999999999997</v>
      </c>
      <c r="AP328" s="156">
        <f t="shared" ref="AP328:AP391" si="5">SUM(AC328:AO328)</f>
        <v>99.823000000000008</v>
      </c>
    </row>
    <row r="329" spans="1:42" x14ac:dyDescent="0.2">
      <c r="A329" s="9" t="s">
        <v>1061</v>
      </c>
      <c r="B329" s="9" t="s">
        <v>1062</v>
      </c>
      <c r="C329" s="9" t="s">
        <v>110</v>
      </c>
      <c r="D329" s="9" t="s">
        <v>122</v>
      </c>
      <c r="E329" s="154">
        <v>294337.10246603086</v>
      </c>
      <c r="F329" s="154">
        <v>296721.09163114766</v>
      </c>
      <c r="G329" s="154">
        <v>6149.7947202953819</v>
      </c>
      <c r="H329" s="154">
        <v>97470.155040005237</v>
      </c>
      <c r="I329" s="154">
        <v>8.4055735368834317E-2</v>
      </c>
      <c r="J329" s="154">
        <v>339.33536186590868</v>
      </c>
      <c r="K329" s="154">
        <v>529690</v>
      </c>
      <c r="L329" s="154">
        <v>537719.63532884349</v>
      </c>
      <c r="M329" s="154">
        <v>10.046714697040452</v>
      </c>
      <c r="N329" s="154" t="s">
        <v>421</v>
      </c>
      <c r="O329" s="154">
        <v>0.5877253210670027</v>
      </c>
      <c r="P329" s="154" t="s">
        <v>421</v>
      </c>
      <c r="Q329" s="154">
        <v>34.956903778286048</v>
      </c>
      <c r="R329" s="154">
        <v>1924.7099899729988</v>
      </c>
      <c r="S329" s="154">
        <v>1.2282480253004715</v>
      </c>
      <c r="T329" s="154">
        <v>112.88347351178774</v>
      </c>
      <c r="U329" s="154">
        <v>113.6100466624935</v>
      </c>
      <c r="V329" s="154">
        <v>36.925965922729887</v>
      </c>
      <c r="W329" s="154">
        <v>35.471673071420653</v>
      </c>
      <c r="X329" s="154" t="s">
        <v>421</v>
      </c>
      <c r="Y329" s="154">
        <v>1.638776082032144</v>
      </c>
      <c r="Z329" s="154">
        <v>0.84444421536039316</v>
      </c>
      <c r="AC329" s="28" t="s">
        <v>421</v>
      </c>
      <c r="AD329" s="28" t="s">
        <v>421</v>
      </c>
      <c r="AE329" s="9" t="s">
        <v>421</v>
      </c>
      <c r="AF329" s="28" t="s">
        <v>421</v>
      </c>
      <c r="AG329" s="28">
        <v>3.3000000000000002E-2</v>
      </c>
      <c r="AH329" s="28">
        <v>33.825000000000003</v>
      </c>
      <c r="AI329" s="28">
        <v>5.0000000000000001E-3</v>
      </c>
      <c r="AJ329" s="28" t="s">
        <v>421</v>
      </c>
      <c r="AK329" s="28" t="s">
        <v>421</v>
      </c>
      <c r="AL329" s="28">
        <v>52.969000000000001</v>
      </c>
      <c r="AM329" s="28">
        <v>3.4000000000000002E-2</v>
      </c>
      <c r="AN329" s="28">
        <v>12.194000000000001</v>
      </c>
      <c r="AO329" s="28">
        <v>0.97899999999999998</v>
      </c>
      <c r="AP329" s="156">
        <f t="shared" si="5"/>
        <v>100.03900000000002</v>
      </c>
    </row>
    <row r="330" spans="1:42" x14ac:dyDescent="0.2">
      <c r="A330" s="9" t="s">
        <v>1063</v>
      </c>
      <c r="B330" s="9" t="s">
        <v>1064</v>
      </c>
      <c r="C330" s="9" t="s">
        <v>110</v>
      </c>
      <c r="D330" s="9" t="s">
        <v>122</v>
      </c>
      <c r="E330" s="154">
        <v>294316.48165123729</v>
      </c>
      <c r="F330" s="154">
        <v>295077.63758252637</v>
      </c>
      <c r="G330" s="154">
        <v>6310.7203770069909</v>
      </c>
      <c r="H330" s="154">
        <v>95363.051987340383</v>
      </c>
      <c r="I330" s="154">
        <v>6.6275581688106142E-2</v>
      </c>
      <c r="J330" s="154">
        <v>535.66566185712009</v>
      </c>
      <c r="K330" s="154">
        <v>527700</v>
      </c>
      <c r="L330" s="154">
        <v>521380.40055270767</v>
      </c>
      <c r="M330" s="154">
        <v>11.822221436464094</v>
      </c>
      <c r="N330" s="154" t="s">
        <v>421</v>
      </c>
      <c r="O330" s="154">
        <v>0.54688235720597766</v>
      </c>
      <c r="P330" s="154" t="s">
        <v>421</v>
      </c>
      <c r="Q330" s="154">
        <v>160.18780280855296</v>
      </c>
      <c r="R330" s="154">
        <v>1883.2115505035538</v>
      </c>
      <c r="S330" s="154">
        <v>1.055539161927328</v>
      </c>
      <c r="T330" s="154">
        <v>128.49760832118918</v>
      </c>
      <c r="U330" s="154">
        <v>131.26908977431742</v>
      </c>
      <c r="V330" s="154">
        <v>156.88641700423287</v>
      </c>
      <c r="W330" s="154">
        <v>28.578172472082514</v>
      </c>
      <c r="X330" s="154">
        <v>1.740997286082523E-2</v>
      </c>
      <c r="Y330" s="154">
        <v>2.7993072061349511</v>
      </c>
      <c r="Z330" s="154">
        <v>0.6186472936352847</v>
      </c>
      <c r="AC330" s="28" t="s">
        <v>421</v>
      </c>
      <c r="AD330" s="28" t="s">
        <v>421</v>
      </c>
      <c r="AE330" s="9" t="s">
        <v>421</v>
      </c>
      <c r="AF330" s="28" t="s">
        <v>421</v>
      </c>
      <c r="AG330" s="28">
        <v>8.0000000000000002E-3</v>
      </c>
      <c r="AH330" s="28">
        <v>33.826999999999998</v>
      </c>
      <c r="AI330" s="28">
        <v>2E-3</v>
      </c>
      <c r="AJ330" s="28" t="s">
        <v>421</v>
      </c>
      <c r="AK330" s="28">
        <v>4.0000000000000001E-3</v>
      </c>
      <c r="AL330" s="28">
        <v>52.77</v>
      </c>
      <c r="AM330" s="28">
        <v>3.0000000000000001E-3</v>
      </c>
      <c r="AN330" s="28">
        <v>12.239000000000001</v>
      </c>
      <c r="AO330" s="28">
        <v>1.026</v>
      </c>
      <c r="AP330" s="156">
        <f t="shared" si="5"/>
        <v>99.879000000000005</v>
      </c>
    </row>
    <row r="331" spans="1:42" x14ac:dyDescent="0.2">
      <c r="A331" s="9" t="s">
        <v>1065</v>
      </c>
      <c r="B331" s="9" t="s">
        <v>1066</v>
      </c>
      <c r="C331" s="9" t="s">
        <v>110</v>
      </c>
      <c r="D331" s="9" t="s">
        <v>123</v>
      </c>
      <c r="E331" s="154">
        <v>295138.67706575646</v>
      </c>
      <c r="F331" s="154">
        <v>301360.26366111252</v>
      </c>
      <c r="G331" s="154">
        <v>4721.1250797404073</v>
      </c>
      <c r="H331" s="154">
        <v>77075.11003959208</v>
      </c>
      <c r="I331" s="154">
        <v>2.1290362256694859</v>
      </c>
      <c r="J331" s="154">
        <v>4979.0959990015244</v>
      </c>
      <c r="K331" s="154">
        <v>547720</v>
      </c>
      <c r="L331" s="154">
        <v>541330.28284263262</v>
      </c>
      <c r="M331" s="154">
        <v>11.094697899514255</v>
      </c>
      <c r="N331" s="154">
        <v>0.3691012038890239</v>
      </c>
      <c r="O331" s="154">
        <v>0.18523305033612916</v>
      </c>
      <c r="P331" s="154">
        <v>0.69726049285704739</v>
      </c>
      <c r="Q331" s="154">
        <v>161.57631337042073</v>
      </c>
      <c r="R331" s="154">
        <v>2635.0303988972728</v>
      </c>
      <c r="S331" s="154">
        <v>7.0654172353486633</v>
      </c>
      <c r="T331" s="154">
        <v>921.82286509527512</v>
      </c>
      <c r="U331" s="154">
        <v>906.52925700022467</v>
      </c>
      <c r="V331" s="154">
        <v>20.62215268978423</v>
      </c>
      <c r="W331" s="154">
        <v>26.325563014790109</v>
      </c>
      <c r="X331" s="154">
        <v>8.9775465349967221E-2</v>
      </c>
      <c r="Y331" s="154">
        <v>52.960814352606754</v>
      </c>
      <c r="Z331" s="154">
        <v>3.9312194940247278</v>
      </c>
      <c r="AC331" s="28" t="s">
        <v>421</v>
      </c>
      <c r="AD331" s="28" t="s">
        <v>421</v>
      </c>
      <c r="AE331" s="9" t="s">
        <v>421</v>
      </c>
      <c r="AF331" s="28" t="s">
        <v>421</v>
      </c>
      <c r="AG331" s="28">
        <v>0.17399999999999999</v>
      </c>
      <c r="AH331" s="28">
        <v>33.529000000000003</v>
      </c>
      <c r="AI331" s="28">
        <v>0.13600000000000001</v>
      </c>
      <c r="AJ331" s="28" t="s">
        <v>421</v>
      </c>
      <c r="AK331" s="28">
        <v>1.4999999999999999E-2</v>
      </c>
      <c r="AL331" s="28">
        <v>54.771999999999998</v>
      </c>
      <c r="AM331" s="28">
        <v>0.66900000000000004</v>
      </c>
      <c r="AN331" s="28">
        <v>9.8870000000000005</v>
      </c>
      <c r="AO331" s="28">
        <v>0.753</v>
      </c>
      <c r="AP331" s="156">
        <f t="shared" si="5"/>
        <v>99.935000000000002</v>
      </c>
    </row>
    <row r="332" spans="1:42" x14ac:dyDescent="0.2">
      <c r="A332" s="9" t="s">
        <v>1067</v>
      </c>
      <c r="B332" s="9" t="s">
        <v>1068</v>
      </c>
      <c r="C332" s="9" t="s">
        <v>110</v>
      </c>
      <c r="D332" s="9" t="s">
        <v>123</v>
      </c>
      <c r="E332" s="154">
        <v>300007.82820579223</v>
      </c>
      <c r="F332" s="154">
        <v>302065.81559096201</v>
      </c>
      <c r="G332" s="154">
        <v>3036.0399904558089</v>
      </c>
      <c r="H332" s="154">
        <v>84422.10718628786</v>
      </c>
      <c r="I332" s="154">
        <v>3.5011482907438194</v>
      </c>
      <c r="J332" s="154">
        <v>1197.5866648057402</v>
      </c>
      <c r="K332" s="154">
        <v>545240</v>
      </c>
      <c r="L332" s="154">
        <v>551047.10872339329</v>
      </c>
      <c r="M332" s="154">
        <v>11.709666426105874</v>
      </c>
      <c r="N332" s="154">
        <v>0.34969135536106077</v>
      </c>
      <c r="O332" s="154" t="s">
        <v>421</v>
      </c>
      <c r="P332" s="154" t="s">
        <v>421</v>
      </c>
      <c r="Q332" s="154">
        <v>33.637971307741438</v>
      </c>
      <c r="R332" s="154">
        <v>2573.9413297727788</v>
      </c>
      <c r="S332" s="154">
        <v>4.2700311106106064</v>
      </c>
      <c r="T332" s="154">
        <v>848.92237568400913</v>
      </c>
      <c r="U332" s="154">
        <v>852.29791777149194</v>
      </c>
      <c r="V332" s="154">
        <v>0.46030842105164493</v>
      </c>
      <c r="W332" s="154">
        <v>22.698461017652743</v>
      </c>
      <c r="X332" s="154" t="s">
        <v>421</v>
      </c>
      <c r="Y332" s="154">
        <v>1.5854945863173218</v>
      </c>
      <c r="Z332" s="154">
        <v>1.3836950332849751</v>
      </c>
      <c r="AC332" s="28" t="s">
        <v>421</v>
      </c>
      <c r="AD332" s="28" t="s">
        <v>421</v>
      </c>
      <c r="AE332" s="9" t="s">
        <v>421</v>
      </c>
      <c r="AF332" s="28" t="s">
        <v>421</v>
      </c>
      <c r="AG332" s="28">
        <v>0.14799999999999999</v>
      </c>
      <c r="AH332" s="28">
        <v>33.365000000000002</v>
      </c>
      <c r="AI332" s="28">
        <v>7.3999999999999996E-2</v>
      </c>
      <c r="AJ332" s="28" t="s">
        <v>421</v>
      </c>
      <c r="AK332" s="28" t="s">
        <v>421</v>
      </c>
      <c r="AL332" s="28">
        <v>54.524000000000001</v>
      </c>
      <c r="AM332" s="28">
        <v>8.8999999999999996E-2</v>
      </c>
      <c r="AN332" s="28">
        <v>10.795999999999999</v>
      </c>
      <c r="AO332" s="28">
        <v>0.5</v>
      </c>
      <c r="AP332" s="156">
        <f t="shared" si="5"/>
        <v>99.496000000000009</v>
      </c>
    </row>
    <row r="333" spans="1:42" x14ac:dyDescent="0.2">
      <c r="A333" s="9" t="s">
        <v>1069</v>
      </c>
      <c r="B333" s="9" t="s">
        <v>1070</v>
      </c>
      <c r="C333" s="9" t="s">
        <v>110</v>
      </c>
      <c r="D333" s="9" t="s">
        <v>123</v>
      </c>
      <c r="E333" s="154">
        <v>299469.53497137682</v>
      </c>
      <c r="F333" s="154">
        <v>321342.48426926683</v>
      </c>
      <c r="G333" s="154">
        <v>3867.207469335794</v>
      </c>
      <c r="H333" s="154">
        <v>79534.219400985385</v>
      </c>
      <c r="I333" s="154">
        <v>8.5839523447653292</v>
      </c>
      <c r="J333" s="154">
        <v>5470.0242929211745</v>
      </c>
      <c r="K333" s="154">
        <v>551160</v>
      </c>
      <c r="L333" s="154">
        <v>553003.78937016567</v>
      </c>
      <c r="M333" s="154">
        <v>11.019914028218297</v>
      </c>
      <c r="N333" s="154" t="s">
        <v>421</v>
      </c>
      <c r="O333" s="154">
        <v>0.2467129385862426</v>
      </c>
      <c r="P333" s="154" t="s">
        <v>421</v>
      </c>
      <c r="Q333" s="154">
        <v>159.28336894891339</v>
      </c>
      <c r="R333" s="154">
        <v>2440.1746327266642</v>
      </c>
      <c r="S333" s="154">
        <v>10.650530475152729</v>
      </c>
      <c r="T333" s="154">
        <v>98.687314366242219</v>
      </c>
      <c r="U333" s="154">
        <v>97.493896547088994</v>
      </c>
      <c r="V333" s="154">
        <v>24.483990393042721</v>
      </c>
      <c r="W333" s="154">
        <v>23.611418863186916</v>
      </c>
      <c r="X333" s="154">
        <v>0.18048841732067861</v>
      </c>
      <c r="Y333" s="154">
        <v>55.273279454752249</v>
      </c>
      <c r="Z333" s="154">
        <v>10.314993606307507</v>
      </c>
      <c r="AC333" s="28" t="s">
        <v>421</v>
      </c>
      <c r="AD333" s="28" t="s">
        <v>421</v>
      </c>
      <c r="AE333" s="9" t="s">
        <v>421</v>
      </c>
      <c r="AF333" s="28" t="s">
        <v>421</v>
      </c>
      <c r="AG333" s="28">
        <v>0.08</v>
      </c>
      <c r="AH333" s="28">
        <v>33.569000000000003</v>
      </c>
      <c r="AI333" s="28">
        <v>4.2999999999999997E-2</v>
      </c>
      <c r="AJ333" s="28" t="s">
        <v>421</v>
      </c>
      <c r="AK333" s="28" t="s">
        <v>421</v>
      </c>
      <c r="AL333" s="28">
        <v>55.116</v>
      </c>
      <c r="AM333" s="28">
        <v>4.5999999999999999E-2</v>
      </c>
      <c r="AN333" s="28">
        <v>10.398</v>
      </c>
      <c r="AO333" s="28">
        <v>0.52900000000000003</v>
      </c>
      <c r="AP333" s="156">
        <f t="shared" si="5"/>
        <v>99.780999999999992</v>
      </c>
    </row>
    <row r="334" spans="1:42" x14ac:dyDescent="0.2">
      <c r="A334" s="9" t="s">
        <v>1071</v>
      </c>
      <c r="B334" s="9" t="s">
        <v>1072</v>
      </c>
      <c r="C334" s="9" t="s">
        <v>110</v>
      </c>
      <c r="D334" s="9" t="s">
        <v>123</v>
      </c>
      <c r="E334" s="154">
        <v>290233.61616054334</v>
      </c>
      <c r="F334" s="154">
        <v>290310.99246318213</v>
      </c>
      <c r="G334" s="154">
        <v>3212.5607338182272</v>
      </c>
      <c r="H334" s="154">
        <v>78220.783965245675</v>
      </c>
      <c r="I334" s="154">
        <v>0.26747621281475603</v>
      </c>
      <c r="J334" s="154">
        <v>1443.7825360831243</v>
      </c>
      <c r="K334" s="154">
        <v>550800</v>
      </c>
      <c r="L334" s="154">
        <v>552781.72829953744</v>
      </c>
      <c r="M334" s="154">
        <v>19.960436442474801</v>
      </c>
      <c r="N334" s="154">
        <v>0.32202775546443219</v>
      </c>
      <c r="O334" s="154">
        <v>0.26462699038277121</v>
      </c>
      <c r="P334" s="154" t="s">
        <v>421</v>
      </c>
      <c r="Q334" s="154">
        <v>102.70810978582963</v>
      </c>
      <c r="R334" s="154">
        <v>1972.3110122242852</v>
      </c>
      <c r="S334" s="154">
        <v>3.139892140786646</v>
      </c>
      <c r="T334" s="154">
        <v>179.65769921412993</v>
      </c>
      <c r="U334" s="154">
        <v>177.14629128706554</v>
      </c>
      <c r="V334" s="154">
        <v>29.309358838705869</v>
      </c>
      <c r="W334" s="154">
        <v>23.265580393894627</v>
      </c>
      <c r="X334" s="154">
        <v>0.17130706267144877</v>
      </c>
      <c r="Y334" s="154">
        <v>159.41507692633468</v>
      </c>
      <c r="Z334" s="154">
        <v>2.5290559634586041</v>
      </c>
      <c r="AC334" s="28" t="s">
        <v>421</v>
      </c>
      <c r="AD334" s="28" t="s">
        <v>421</v>
      </c>
      <c r="AE334" s="9" t="s">
        <v>421</v>
      </c>
      <c r="AF334" s="28" t="s">
        <v>421</v>
      </c>
      <c r="AG334" s="28">
        <v>6.0999999999999999E-2</v>
      </c>
      <c r="AH334" s="28">
        <v>33.417000000000002</v>
      </c>
      <c r="AI334" s="28">
        <v>4.5999999999999999E-2</v>
      </c>
      <c r="AJ334" s="28" t="s">
        <v>421</v>
      </c>
      <c r="AK334" s="28">
        <v>7.0000000000000001E-3</v>
      </c>
      <c r="AL334" s="28">
        <v>55.08</v>
      </c>
      <c r="AM334" s="28">
        <v>7.3999999999999996E-2</v>
      </c>
      <c r="AN334" s="28">
        <v>10.257</v>
      </c>
      <c r="AO334" s="28">
        <v>0.48399999999999999</v>
      </c>
      <c r="AP334" s="156">
        <f t="shared" si="5"/>
        <v>99.425999999999988</v>
      </c>
    </row>
    <row r="335" spans="1:42" x14ac:dyDescent="0.2">
      <c r="A335" s="9" t="s">
        <v>1073</v>
      </c>
      <c r="B335" s="9" t="s">
        <v>1074</v>
      </c>
      <c r="C335" s="9" t="s">
        <v>110</v>
      </c>
      <c r="D335" s="9" t="s">
        <v>123</v>
      </c>
      <c r="E335" s="154">
        <v>298805.39921908209</v>
      </c>
      <c r="F335" s="154">
        <v>295730.661377265</v>
      </c>
      <c r="G335" s="154">
        <v>2915.4398448894144</v>
      </c>
      <c r="H335" s="154">
        <v>80071.358678068966</v>
      </c>
      <c r="I335" s="154">
        <v>0.33662199490890093</v>
      </c>
      <c r="J335" s="154">
        <v>987.59829137319969</v>
      </c>
      <c r="K335" s="154">
        <v>554740</v>
      </c>
      <c r="L335" s="154">
        <v>555133.40119648981</v>
      </c>
      <c r="M335" s="154">
        <v>18.327024922015301</v>
      </c>
      <c r="N335" s="154">
        <v>0.29535089333018355</v>
      </c>
      <c r="O335" s="154">
        <v>0.6693442752999097</v>
      </c>
      <c r="P335" s="154" t="s">
        <v>421</v>
      </c>
      <c r="Q335" s="154">
        <v>368.6751782085808</v>
      </c>
      <c r="R335" s="154">
        <v>2023.5474108876115</v>
      </c>
      <c r="S335" s="154">
        <v>3.0830202049849009</v>
      </c>
      <c r="T335" s="154">
        <v>265.19107456320097</v>
      </c>
      <c r="U335" s="154">
        <v>266.64191002604252</v>
      </c>
      <c r="V335" s="154">
        <v>234.11876663243265</v>
      </c>
      <c r="W335" s="154">
        <v>27.54796744040474</v>
      </c>
      <c r="X335" s="154">
        <v>6.9024975770495087E-2</v>
      </c>
      <c r="Y335" s="154">
        <v>17.003362466848507</v>
      </c>
      <c r="Z335" s="154">
        <v>2.1813705514700175</v>
      </c>
      <c r="AC335" s="28" t="s">
        <v>421</v>
      </c>
      <c r="AD335" s="28" t="s">
        <v>421</v>
      </c>
      <c r="AE335" s="9" t="s">
        <v>421</v>
      </c>
      <c r="AF335" s="28" t="s">
        <v>421</v>
      </c>
      <c r="AG335" s="28">
        <v>7.1999999999999995E-2</v>
      </c>
      <c r="AH335" s="28">
        <v>33.609000000000002</v>
      </c>
      <c r="AI335" s="28">
        <v>2.9000000000000001E-2</v>
      </c>
      <c r="AJ335" s="28" t="s">
        <v>421</v>
      </c>
      <c r="AK335" s="28" t="s">
        <v>421</v>
      </c>
      <c r="AL335" s="28">
        <v>55.473999999999997</v>
      </c>
      <c r="AM335" s="28">
        <v>3.1E-2</v>
      </c>
      <c r="AN335" s="28">
        <v>10.196</v>
      </c>
      <c r="AO335" s="28">
        <v>0.49199999999999999</v>
      </c>
      <c r="AP335" s="156">
        <f t="shared" si="5"/>
        <v>99.903000000000006</v>
      </c>
    </row>
    <row r="336" spans="1:42" x14ac:dyDescent="0.2">
      <c r="A336" s="9" t="s">
        <v>1075</v>
      </c>
      <c r="B336" s="9" t="s">
        <v>1076</v>
      </c>
      <c r="C336" s="9" t="s">
        <v>110</v>
      </c>
      <c r="D336" s="9" t="s">
        <v>123</v>
      </c>
      <c r="E336" s="154">
        <v>296604.03585668124</v>
      </c>
      <c r="F336" s="154">
        <v>292039.24619638146</v>
      </c>
      <c r="G336" s="154">
        <v>5541.2428154811787</v>
      </c>
      <c r="H336" s="154">
        <v>78517.592370311002</v>
      </c>
      <c r="I336" s="154">
        <v>1.5929682429229388</v>
      </c>
      <c r="J336" s="154">
        <v>3599.2995949010428</v>
      </c>
      <c r="K336" s="154">
        <v>549050</v>
      </c>
      <c r="L336" s="154">
        <v>546043.55131436663</v>
      </c>
      <c r="M336" s="154">
        <v>13.446016566961388</v>
      </c>
      <c r="N336" s="154">
        <v>0.55358365026031564</v>
      </c>
      <c r="O336" s="154">
        <v>0.27435287975142897</v>
      </c>
      <c r="P336" s="154" t="s">
        <v>421</v>
      </c>
      <c r="Q336" s="154">
        <v>157.34347744890545</v>
      </c>
      <c r="R336" s="154">
        <v>2622.8718794612992</v>
      </c>
      <c r="S336" s="154">
        <v>5.5818563110050317</v>
      </c>
      <c r="T336" s="154">
        <v>1435.7477720383645</v>
      </c>
      <c r="U336" s="154">
        <v>1341.0891629401542</v>
      </c>
      <c r="V336" s="154">
        <v>29.959288975540872</v>
      </c>
      <c r="W336" s="154">
        <v>22.429805410036089</v>
      </c>
      <c r="X336" s="154">
        <v>4.0837043643443843E-2</v>
      </c>
      <c r="Y336" s="154">
        <v>15.924449106535484</v>
      </c>
      <c r="Z336" s="154">
        <v>0.70031388607459188</v>
      </c>
      <c r="AC336" s="28" t="s">
        <v>421</v>
      </c>
      <c r="AD336" s="28" t="s">
        <v>421</v>
      </c>
      <c r="AE336" s="9" t="s">
        <v>421</v>
      </c>
      <c r="AF336" s="28" t="s">
        <v>421</v>
      </c>
      <c r="AG336" s="28">
        <v>8.5000000000000006E-2</v>
      </c>
      <c r="AH336" s="28">
        <v>33.704999999999998</v>
      </c>
      <c r="AI336" s="28">
        <v>0.112</v>
      </c>
      <c r="AJ336" s="28" t="s">
        <v>421</v>
      </c>
      <c r="AK336" s="28">
        <v>0.01</v>
      </c>
      <c r="AL336" s="28">
        <v>54.905000000000001</v>
      </c>
      <c r="AM336" s="28">
        <v>0.34200000000000003</v>
      </c>
      <c r="AN336" s="28">
        <v>10.14</v>
      </c>
      <c r="AO336" s="28">
        <v>0.72199999999999998</v>
      </c>
      <c r="AP336" s="156">
        <f t="shared" si="5"/>
        <v>100.021</v>
      </c>
    </row>
    <row r="337" spans="1:42" x14ac:dyDescent="0.2">
      <c r="A337" s="9" t="s">
        <v>1077</v>
      </c>
      <c r="B337" s="9" t="s">
        <v>1078</v>
      </c>
      <c r="C337" s="9" t="s">
        <v>110</v>
      </c>
      <c r="D337" s="9" t="s">
        <v>124</v>
      </c>
      <c r="E337" s="154">
        <v>298764.40827954974</v>
      </c>
      <c r="F337" s="154">
        <v>312394.55473888834</v>
      </c>
      <c r="G337" s="154">
        <v>1628.7892094906827</v>
      </c>
      <c r="H337" s="154">
        <v>82623.114989216163</v>
      </c>
      <c r="I337" s="154">
        <v>7.3493695900688272E-2</v>
      </c>
      <c r="J337" s="154">
        <v>218.11019479511563</v>
      </c>
      <c r="K337" s="154">
        <v>554740</v>
      </c>
      <c r="L337" s="154">
        <v>552677.2356899447</v>
      </c>
      <c r="M337" s="154">
        <v>5.2315718605356958</v>
      </c>
      <c r="N337" s="154" t="s">
        <v>421</v>
      </c>
      <c r="O337" s="154">
        <v>0.53414916543452062</v>
      </c>
      <c r="P337" s="154" t="s">
        <v>421</v>
      </c>
      <c r="Q337" s="154">
        <v>137.84873609777443</v>
      </c>
      <c r="R337" s="154">
        <v>1011.1188095110271</v>
      </c>
      <c r="S337" s="154">
        <v>2.3227442491076173</v>
      </c>
      <c r="T337" s="154">
        <v>24.253473330944946</v>
      </c>
      <c r="U337" s="154">
        <v>26.084206509854923</v>
      </c>
      <c r="V337" s="154">
        <v>247.85607058480474</v>
      </c>
      <c r="W337" s="154">
        <v>25.29986793387253</v>
      </c>
      <c r="X337" s="154">
        <v>1.6976577877951454E-2</v>
      </c>
      <c r="Y337" s="154">
        <v>0.49573160398975114</v>
      </c>
      <c r="Z337" s="154">
        <v>2.2402824397824044</v>
      </c>
      <c r="AC337" s="28" t="s">
        <v>421</v>
      </c>
      <c r="AD337" s="28" t="s">
        <v>421</v>
      </c>
      <c r="AE337" s="9" t="s">
        <v>421</v>
      </c>
      <c r="AF337" s="28" t="s">
        <v>421</v>
      </c>
      <c r="AG337" s="28" t="s">
        <v>421</v>
      </c>
      <c r="AH337" s="28">
        <v>33.548000000000002</v>
      </c>
      <c r="AI337" s="28" t="s">
        <v>421</v>
      </c>
      <c r="AJ337" s="28" t="s">
        <v>421</v>
      </c>
      <c r="AK337" s="28" t="s">
        <v>421</v>
      </c>
      <c r="AL337" s="28">
        <v>55.473999999999997</v>
      </c>
      <c r="AM337" s="28" t="s">
        <v>421</v>
      </c>
      <c r="AN337" s="28">
        <v>10.657</v>
      </c>
      <c r="AO337" s="28">
        <v>0.26800000000000002</v>
      </c>
      <c r="AP337" s="156">
        <f t="shared" si="5"/>
        <v>99.946999999999989</v>
      </c>
    </row>
    <row r="338" spans="1:42" x14ac:dyDescent="0.2">
      <c r="A338" s="9" t="s">
        <v>1079</v>
      </c>
      <c r="B338" s="9" t="s">
        <v>1080</v>
      </c>
      <c r="C338" s="9" t="s">
        <v>110</v>
      </c>
      <c r="D338" s="9" t="s">
        <v>124</v>
      </c>
      <c r="E338" s="154">
        <v>299580.74277525704</v>
      </c>
      <c r="F338" s="154">
        <v>294092.78354618046</v>
      </c>
      <c r="G338" s="154">
        <v>1627.553190973935</v>
      </c>
      <c r="H338" s="154">
        <v>82497.817465305168</v>
      </c>
      <c r="I338" s="154">
        <v>4.5325303930901638E-2</v>
      </c>
      <c r="J338" s="154">
        <v>11.73939099628952</v>
      </c>
      <c r="K338" s="154">
        <v>551590</v>
      </c>
      <c r="L338" s="154">
        <v>560048.77022373152</v>
      </c>
      <c r="M338" s="154">
        <v>5.2909721140501285</v>
      </c>
      <c r="N338" s="154" t="s">
        <v>421</v>
      </c>
      <c r="O338" s="154" t="s">
        <v>421</v>
      </c>
      <c r="P338" s="154" t="s">
        <v>421</v>
      </c>
      <c r="Q338" s="154">
        <v>0.37206274212134188</v>
      </c>
      <c r="R338" s="154">
        <v>1035.6217620199639</v>
      </c>
      <c r="S338" s="154">
        <v>0.77020493872838491</v>
      </c>
      <c r="T338" s="154">
        <v>0.90373946516072323</v>
      </c>
      <c r="U338" s="154">
        <v>0.84620833300539389</v>
      </c>
      <c r="V338" s="154">
        <v>7.3434451539645812E-2</v>
      </c>
      <c r="W338" s="154">
        <v>29.31278929027976</v>
      </c>
      <c r="X338" s="154">
        <v>1.391745192461861E-2</v>
      </c>
      <c r="Y338" s="154">
        <v>0.24177328132174117</v>
      </c>
      <c r="Z338" s="154">
        <v>0.76713222454683849</v>
      </c>
      <c r="AC338" s="28" t="s">
        <v>421</v>
      </c>
      <c r="AD338" s="28" t="s">
        <v>421</v>
      </c>
      <c r="AE338" s="9" t="s">
        <v>421</v>
      </c>
      <c r="AF338" s="28" t="s">
        <v>421</v>
      </c>
      <c r="AG338" s="28" t="s">
        <v>421</v>
      </c>
      <c r="AH338" s="28">
        <v>33.408000000000001</v>
      </c>
      <c r="AI338" s="28" t="s">
        <v>421</v>
      </c>
      <c r="AJ338" s="28" t="s">
        <v>421</v>
      </c>
      <c r="AK338" s="28" t="s">
        <v>421</v>
      </c>
      <c r="AL338" s="28">
        <v>55.158999999999999</v>
      </c>
      <c r="AM338" s="28" t="s">
        <v>421</v>
      </c>
      <c r="AN338" s="28">
        <v>10.657999999999999</v>
      </c>
      <c r="AO338" s="28">
        <v>0.25800000000000001</v>
      </c>
      <c r="AP338" s="156">
        <f t="shared" si="5"/>
        <v>99.483000000000004</v>
      </c>
    </row>
    <row r="339" spans="1:42" x14ac:dyDescent="0.2">
      <c r="A339" s="9" t="s">
        <v>1081</v>
      </c>
      <c r="B339" s="9" t="s">
        <v>1082</v>
      </c>
      <c r="C339" s="9" t="s">
        <v>110</v>
      </c>
      <c r="D339" s="9" t="s">
        <v>124</v>
      </c>
      <c r="E339" s="154">
        <v>303037.68289537675</v>
      </c>
      <c r="F339" s="154">
        <v>301648.25769779389</v>
      </c>
      <c r="G339" s="154">
        <v>1829.5795403149541</v>
      </c>
      <c r="H339" s="154">
        <v>92734.856037052043</v>
      </c>
      <c r="I339" s="154">
        <v>9.7542457063389973E-2</v>
      </c>
      <c r="J339" s="154">
        <v>21.286908161800792</v>
      </c>
      <c r="K339" s="154">
        <v>539830</v>
      </c>
      <c r="L339" s="154">
        <v>552711.68161754753</v>
      </c>
      <c r="M339" s="154">
        <v>4.1493526583413507</v>
      </c>
      <c r="N339" s="154" t="s">
        <v>421</v>
      </c>
      <c r="O339" s="154" t="s">
        <v>421</v>
      </c>
      <c r="P339" s="154" t="s">
        <v>421</v>
      </c>
      <c r="Q339" s="154">
        <v>0.54522908221452282</v>
      </c>
      <c r="R339" s="154">
        <v>1219.8453063485128</v>
      </c>
      <c r="S339" s="154">
        <v>7.1869517076077338</v>
      </c>
      <c r="T339" s="154">
        <v>0.40602545236166038</v>
      </c>
      <c r="U339" s="154">
        <v>0.39555025229030444</v>
      </c>
      <c r="V339" s="154">
        <v>3.9938155831941317E-2</v>
      </c>
      <c r="W339" s="154">
        <v>17.609121712067598</v>
      </c>
      <c r="X339" s="154" t="s">
        <v>421</v>
      </c>
      <c r="Y339" s="154">
        <v>0.26444278463053222</v>
      </c>
      <c r="Z339" s="154">
        <v>7.1855712210697043</v>
      </c>
      <c r="AC339" s="28" t="s">
        <v>421</v>
      </c>
      <c r="AD339" s="28" t="s">
        <v>421</v>
      </c>
      <c r="AE339" s="9" t="s">
        <v>421</v>
      </c>
      <c r="AF339" s="28" t="s">
        <v>421</v>
      </c>
      <c r="AG339" s="28">
        <v>1.6E-2</v>
      </c>
      <c r="AH339" s="28">
        <v>33.689</v>
      </c>
      <c r="AI339" s="28" t="s">
        <v>421</v>
      </c>
      <c r="AJ339" s="28" t="s">
        <v>421</v>
      </c>
      <c r="AK339" s="28" t="s">
        <v>421</v>
      </c>
      <c r="AL339" s="28">
        <v>53.982999999999997</v>
      </c>
      <c r="AM339" s="28" t="s">
        <v>421</v>
      </c>
      <c r="AN339" s="28">
        <v>11.871</v>
      </c>
      <c r="AO339" s="28">
        <v>0.30299999999999999</v>
      </c>
      <c r="AP339" s="156">
        <f t="shared" si="5"/>
        <v>99.861999999999981</v>
      </c>
    </row>
    <row r="340" spans="1:42" x14ac:dyDescent="0.2">
      <c r="A340" s="9" t="s">
        <v>1083</v>
      </c>
      <c r="B340" s="9" t="s">
        <v>1084</v>
      </c>
      <c r="C340" s="9" t="s">
        <v>110</v>
      </c>
      <c r="D340" s="9" t="s">
        <v>124</v>
      </c>
      <c r="E340" s="154">
        <v>298722.51216866804</v>
      </c>
      <c r="F340" s="154">
        <v>298233.54773167562</v>
      </c>
      <c r="G340" s="154">
        <v>2084.7845607013883</v>
      </c>
      <c r="H340" s="154">
        <v>89866.178294527272</v>
      </c>
      <c r="I340" s="154">
        <v>2.3970695523561781E-2</v>
      </c>
      <c r="J340" s="154">
        <v>244.70797820988275</v>
      </c>
      <c r="K340" s="154">
        <v>545630</v>
      </c>
      <c r="L340" s="154">
        <v>548336.48248061759</v>
      </c>
      <c r="M340" s="154">
        <v>4.5651888458922469</v>
      </c>
      <c r="N340" s="154" t="s">
        <v>421</v>
      </c>
      <c r="O340" s="154">
        <v>0.27746161679804554</v>
      </c>
      <c r="P340" s="154" t="s">
        <v>421</v>
      </c>
      <c r="Q340" s="154">
        <v>10.484040679672001</v>
      </c>
      <c r="R340" s="154">
        <v>1193.2826413128225</v>
      </c>
      <c r="S340" s="154">
        <v>0.47798175325081466</v>
      </c>
      <c r="T340" s="154">
        <v>1.3092742416882577</v>
      </c>
      <c r="U340" s="154">
        <v>1.0800356770737938</v>
      </c>
      <c r="V340" s="154">
        <v>1.4460435557844862</v>
      </c>
      <c r="W340" s="154">
        <v>19.038434958266329</v>
      </c>
      <c r="X340" s="154">
        <v>1.7218981830408053E-2</v>
      </c>
      <c r="Y340" s="154">
        <v>7.9104205337110605</v>
      </c>
      <c r="Z340" s="154">
        <v>0.47353022082907459</v>
      </c>
      <c r="AC340" s="28" t="s">
        <v>421</v>
      </c>
      <c r="AD340" s="28" t="s">
        <v>421</v>
      </c>
      <c r="AE340" s="9" t="s">
        <v>421</v>
      </c>
      <c r="AF340" s="28" t="s">
        <v>421</v>
      </c>
      <c r="AG340" s="28" t="s">
        <v>421</v>
      </c>
      <c r="AH340" s="28">
        <v>33.697000000000003</v>
      </c>
      <c r="AI340" s="28" t="s">
        <v>421</v>
      </c>
      <c r="AJ340" s="28" t="s">
        <v>421</v>
      </c>
      <c r="AK340" s="28" t="s">
        <v>421</v>
      </c>
      <c r="AL340" s="28">
        <v>54.563000000000002</v>
      </c>
      <c r="AM340" s="28">
        <v>2.3E-2</v>
      </c>
      <c r="AN340" s="28">
        <v>11.257999999999999</v>
      </c>
      <c r="AO340" s="28">
        <v>0.34100000000000003</v>
      </c>
      <c r="AP340" s="156">
        <f t="shared" si="5"/>
        <v>99.881999999999991</v>
      </c>
    </row>
    <row r="341" spans="1:42" x14ac:dyDescent="0.2">
      <c r="A341" s="9" t="s">
        <v>1085</v>
      </c>
      <c r="B341" s="9" t="s">
        <v>1086</v>
      </c>
      <c r="C341" s="9" t="s">
        <v>110</v>
      </c>
      <c r="D341" s="9" t="s">
        <v>124</v>
      </c>
      <c r="E341" s="154">
        <v>381657.61974993028</v>
      </c>
      <c r="F341" s="154">
        <v>497907.70089241781</v>
      </c>
      <c r="G341" s="154">
        <v>1895.4742482405154</v>
      </c>
      <c r="H341" s="154">
        <v>92277.251820680394</v>
      </c>
      <c r="I341" s="154" t="s">
        <v>421</v>
      </c>
      <c r="J341" s="154">
        <v>2861.9340067938742</v>
      </c>
      <c r="K341" s="154">
        <v>650150</v>
      </c>
      <c r="L341" s="154">
        <v>640155.3889952458</v>
      </c>
      <c r="M341" s="154">
        <v>4.6522859921042024</v>
      </c>
      <c r="N341" s="154" t="s">
        <v>421</v>
      </c>
      <c r="O341" s="154" t="s">
        <v>421</v>
      </c>
      <c r="P341" s="154" t="s">
        <v>421</v>
      </c>
      <c r="Q341" s="154">
        <v>52.35150610169503</v>
      </c>
      <c r="R341" s="154">
        <v>2023.996921309536</v>
      </c>
      <c r="S341" s="154">
        <v>0.73193984727201122</v>
      </c>
      <c r="T341" s="154">
        <v>6.6188707514159413</v>
      </c>
      <c r="U341" s="154">
        <v>4.3240480165204644</v>
      </c>
      <c r="V341" s="154">
        <v>80.184483635628055</v>
      </c>
      <c r="W341" s="154">
        <v>305.85886013107506</v>
      </c>
      <c r="X341" s="154">
        <v>0.31760397095139137</v>
      </c>
      <c r="Y341" s="154">
        <v>21.472411115694648</v>
      </c>
      <c r="Z341" s="154">
        <v>0.70943568671719703</v>
      </c>
      <c r="AC341" s="28" t="s">
        <v>421</v>
      </c>
      <c r="AD341" s="28" t="s">
        <v>421</v>
      </c>
      <c r="AE341" s="9" t="s">
        <v>421</v>
      </c>
      <c r="AF341" s="28" t="s">
        <v>421</v>
      </c>
      <c r="AG341" s="28">
        <v>0.14199999999999999</v>
      </c>
      <c r="AH341" s="28">
        <v>32.845999999999997</v>
      </c>
      <c r="AI341" s="28">
        <v>6.0000000000000001E-3</v>
      </c>
      <c r="AJ341" s="28" t="s">
        <v>421</v>
      </c>
      <c r="AK341" s="28">
        <v>0.03</v>
      </c>
      <c r="AL341" s="28">
        <v>65.015000000000001</v>
      </c>
      <c r="AM341" s="28">
        <v>0.21299999999999999</v>
      </c>
      <c r="AN341" s="28">
        <v>1.4490000000000001</v>
      </c>
      <c r="AO341" s="28">
        <v>3.1E-2</v>
      </c>
      <c r="AP341" s="156">
        <f t="shared" si="5"/>
        <v>99.731999999999999</v>
      </c>
    </row>
    <row r="342" spans="1:42" x14ac:dyDescent="0.2">
      <c r="A342" s="9" t="s">
        <v>1087</v>
      </c>
      <c r="B342" s="9" t="s">
        <v>1088</v>
      </c>
      <c r="C342" s="9" t="s">
        <v>110</v>
      </c>
      <c r="D342" s="9" t="s">
        <v>124</v>
      </c>
      <c r="E342" s="154">
        <v>292541.77129406697</v>
      </c>
      <c r="F342" s="154">
        <v>292256.11560443771</v>
      </c>
      <c r="G342" s="154">
        <v>7006.8158691193148</v>
      </c>
      <c r="H342" s="154">
        <v>93012.417057831088</v>
      </c>
      <c r="I342" s="154">
        <v>0.48337934794883824</v>
      </c>
      <c r="J342" s="154">
        <v>32.233563403300877</v>
      </c>
      <c r="K342" s="154">
        <v>528450</v>
      </c>
      <c r="L342" s="154">
        <v>530014.30593992013</v>
      </c>
      <c r="M342" s="154">
        <v>9.5366053977168903</v>
      </c>
      <c r="N342" s="154" t="s">
        <v>421</v>
      </c>
      <c r="O342" s="154">
        <v>0.14261127073430743</v>
      </c>
      <c r="P342" s="154">
        <v>0.82665114709010634</v>
      </c>
      <c r="Q342" s="154">
        <v>1.1582973059381825</v>
      </c>
      <c r="R342" s="154">
        <v>1212.5813117536813</v>
      </c>
      <c r="S342" s="154">
        <v>15.182874083417845</v>
      </c>
      <c r="T342" s="154">
        <v>2.0207694283534416</v>
      </c>
      <c r="U342" s="154">
        <v>1.7227735940353872</v>
      </c>
      <c r="V342" s="154">
        <v>0.21248616598357492</v>
      </c>
      <c r="W342" s="154">
        <v>11.542392317347028</v>
      </c>
      <c r="X342" s="154" t="s">
        <v>421</v>
      </c>
      <c r="Y342" s="154">
        <v>0.27613059629069903</v>
      </c>
      <c r="Z342" s="154">
        <v>15.176003467361443</v>
      </c>
      <c r="AC342" s="28" t="s">
        <v>421</v>
      </c>
      <c r="AD342" s="28" t="s">
        <v>421</v>
      </c>
      <c r="AE342" s="9" t="s">
        <v>421</v>
      </c>
      <c r="AF342" s="28" t="s">
        <v>421</v>
      </c>
      <c r="AG342" s="28">
        <v>1.2999999999999999E-2</v>
      </c>
      <c r="AH342" s="28">
        <v>33.375999999999998</v>
      </c>
      <c r="AI342" s="28" t="s">
        <v>421</v>
      </c>
      <c r="AJ342" s="28" t="s">
        <v>421</v>
      </c>
      <c r="AK342" s="28" t="s">
        <v>421</v>
      </c>
      <c r="AL342" s="28">
        <v>52.844999999999999</v>
      </c>
      <c r="AM342" s="28">
        <v>1E-3</v>
      </c>
      <c r="AN342" s="28">
        <v>12.141999999999999</v>
      </c>
      <c r="AO342" s="28">
        <v>1.163</v>
      </c>
      <c r="AP342" s="156">
        <f t="shared" si="5"/>
        <v>99.539999999999992</v>
      </c>
    </row>
    <row r="343" spans="1:42" x14ac:dyDescent="0.2">
      <c r="A343" s="9" t="s">
        <v>1089</v>
      </c>
      <c r="B343" s="9" t="s">
        <v>1090</v>
      </c>
      <c r="C343" s="9" t="s">
        <v>110</v>
      </c>
      <c r="D343" s="9" t="s">
        <v>124</v>
      </c>
      <c r="E343" s="154">
        <v>307752.31319098885</v>
      </c>
      <c r="F343" s="154">
        <v>310907.35404860554</v>
      </c>
      <c r="G343" s="154">
        <v>4.9227213016125466</v>
      </c>
      <c r="H343" s="154">
        <v>152.73040601134571</v>
      </c>
      <c r="I343" s="154">
        <v>1.4186280091784376</v>
      </c>
      <c r="J343" s="154">
        <v>117.25165800261148</v>
      </c>
      <c r="K343" s="154">
        <v>665350</v>
      </c>
      <c r="L343" s="154">
        <v>671678.89662383858</v>
      </c>
      <c r="M343" s="154">
        <v>3.2024990004899667E-2</v>
      </c>
      <c r="N343" s="154" t="s">
        <v>421</v>
      </c>
      <c r="O343" s="154">
        <v>4.4440020184918581</v>
      </c>
      <c r="P343" s="154">
        <v>0.93907547442377581</v>
      </c>
      <c r="Q343" s="154">
        <v>32.031050011125103</v>
      </c>
      <c r="R343" s="154">
        <v>1155.4583364235814</v>
      </c>
      <c r="S343" s="154">
        <v>14.095659178371895</v>
      </c>
      <c r="T343" s="154">
        <v>29.866637602240615</v>
      </c>
      <c r="U343" s="154">
        <v>29.624767333604783</v>
      </c>
      <c r="V343" s="154">
        <v>50.057410332902386</v>
      </c>
      <c r="W343" s="154">
        <v>114.11079428382421</v>
      </c>
      <c r="X343" s="154">
        <v>8.9078728153614159E-2</v>
      </c>
      <c r="Y343" s="154">
        <v>22.339089873070677</v>
      </c>
      <c r="Z343" s="154">
        <v>13.994112610524276</v>
      </c>
      <c r="AC343" s="28" t="s">
        <v>421</v>
      </c>
      <c r="AD343" s="28" t="s">
        <v>421</v>
      </c>
      <c r="AE343" s="9" t="s">
        <v>421</v>
      </c>
      <c r="AF343" s="28" t="s">
        <v>421</v>
      </c>
      <c r="AG343" s="28">
        <v>0.2</v>
      </c>
      <c r="AH343" s="28">
        <v>32.905999999999999</v>
      </c>
      <c r="AI343" s="28" t="s">
        <v>421</v>
      </c>
      <c r="AJ343" s="28" t="s">
        <v>421</v>
      </c>
      <c r="AK343" s="28">
        <v>1E-3</v>
      </c>
      <c r="AL343" s="28">
        <v>66.534999999999997</v>
      </c>
      <c r="AM343" s="28" t="s">
        <v>421</v>
      </c>
      <c r="AN343" s="28">
        <v>0.188</v>
      </c>
      <c r="AO343" s="28">
        <v>8.9999999999999993E-3</v>
      </c>
      <c r="AP343" s="156">
        <f t="shared" si="5"/>
        <v>99.838999999999999</v>
      </c>
    </row>
    <row r="344" spans="1:42" x14ac:dyDescent="0.2">
      <c r="A344" s="9" t="s">
        <v>1091</v>
      </c>
      <c r="B344" s="9" t="s">
        <v>1092</v>
      </c>
      <c r="C344" s="9" t="s">
        <v>110</v>
      </c>
      <c r="D344" s="9" t="s">
        <v>124</v>
      </c>
      <c r="E344" s="154">
        <v>310283.21683175303</v>
      </c>
      <c r="F344" s="154">
        <v>309147.5255643347</v>
      </c>
      <c r="G344" s="154">
        <v>5.3602798008649488</v>
      </c>
      <c r="H344" s="154">
        <v>404.85764654068396</v>
      </c>
      <c r="I344" s="154">
        <v>3.6071431200206874</v>
      </c>
      <c r="J344" s="154">
        <v>294.21473661079705</v>
      </c>
      <c r="K344" s="154">
        <v>662570</v>
      </c>
      <c r="L344" s="154">
        <v>666274.54261155683</v>
      </c>
      <c r="M344" s="154">
        <v>0.93532472512509701</v>
      </c>
      <c r="N344" s="154" t="s">
        <v>421</v>
      </c>
      <c r="O344" s="154">
        <v>9.5707932271132901</v>
      </c>
      <c r="P344" s="154">
        <v>0.91053258734069986</v>
      </c>
      <c r="Q344" s="154">
        <v>222.71712529703356</v>
      </c>
      <c r="R344" s="154">
        <v>1300.6535094075152</v>
      </c>
      <c r="S344" s="154">
        <v>12.066089925502705</v>
      </c>
      <c r="T344" s="154">
        <v>18.140741113630739</v>
      </c>
      <c r="U344" s="154">
        <v>17.4057524440645</v>
      </c>
      <c r="V344" s="154">
        <v>255.74421591052425</v>
      </c>
      <c r="W344" s="154">
        <v>117.72017322215576</v>
      </c>
      <c r="X344" s="154">
        <v>0.28605925574520263</v>
      </c>
      <c r="Y344" s="154">
        <v>85.148938295256471</v>
      </c>
      <c r="Z344" s="154">
        <v>12.004411405716361</v>
      </c>
      <c r="AC344" s="28" t="s">
        <v>421</v>
      </c>
      <c r="AD344" s="28" t="s">
        <v>421</v>
      </c>
      <c r="AE344" s="9" t="s">
        <v>421</v>
      </c>
      <c r="AF344" s="28" t="s">
        <v>421</v>
      </c>
      <c r="AG344" s="28">
        <v>0.14299999999999999</v>
      </c>
      <c r="AH344" s="28">
        <v>32.868000000000002</v>
      </c>
      <c r="AI344" s="28" t="s">
        <v>421</v>
      </c>
      <c r="AJ344" s="28" t="s">
        <v>421</v>
      </c>
      <c r="AK344" s="28">
        <v>5.5E-2</v>
      </c>
      <c r="AL344" s="28">
        <v>66.257000000000005</v>
      </c>
      <c r="AM344" s="28">
        <v>4.9000000000000002E-2</v>
      </c>
      <c r="AN344" s="28">
        <v>0.28599999999999998</v>
      </c>
      <c r="AO344" s="28">
        <v>1.7000000000000001E-2</v>
      </c>
      <c r="AP344" s="156">
        <f t="shared" si="5"/>
        <v>99.675000000000011</v>
      </c>
    </row>
    <row r="345" spans="1:42" x14ac:dyDescent="0.2">
      <c r="A345" s="9" t="s">
        <v>1093</v>
      </c>
      <c r="B345" s="9" t="s">
        <v>1094</v>
      </c>
      <c r="C345" s="9" t="s">
        <v>110</v>
      </c>
      <c r="D345" s="9" t="s">
        <v>124</v>
      </c>
      <c r="E345" s="154">
        <v>286663.14282327192</v>
      </c>
      <c r="F345" s="154">
        <v>289167.76648259419</v>
      </c>
      <c r="G345" s="154">
        <v>1967.6527601271032</v>
      </c>
      <c r="H345" s="154">
        <v>81100.344222073181</v>
      </c>
      <c r="I345" s="154">
        <v>0.20593015801904574</v>
      </c>
      <c r="J345" s="154">
        <v>43.914009309475517</v>
      </c>
      <c r="K345" s="154">
        <v>556760</v>
      </c>
      <c r="L345" s="154">
        <v>553831.22118277382</v>
      </c>
      <c r="M345" s="154">
        <v>9.9127451818265389</v>
      </c>
      <c r="N345" s="154">
        <v>0.29078462021281815</v>
      </c>
      <c r="O345" s="154">
        <v>0.14284072857854876</v>
      </c>
      <c r="P345" s="154" t="s">
        <v>421</v>
      </c>
      <c r="Q345" s="154">
        <v>15.533117432754059</v>
      </c>
      <c r="R345" s="154">
        <v>829.67193473453517</v>
      </c>
      <c r="S345" s="154">
        <v>9.5198735648852892</v>
      </c>
      <c r="T345" s="154">
        <v>3.6746649509580327</v>
      </c>
      <c r="U345" s="154">
        <v>2.8545131860014465</v>
      </c>
      <c r="V345" s="154">
        <v>15.103128263675647</v>
      </c>
      <c r="W345" s="154">
        <v>20.478877198144737</v>
      </c>
      <c r="X345" s="154">
        <v>1.8590364382450736E-2</v>
      </c>
      <c r="Y345" s="154">
        <v>2.0480900134113891</v>
      </c>
      <c r="Z345" s="154">
        <v>9.5073797040520311</v>
      </c>
      <c r="AC345" s="28" t="s">
        <v>421</v>
      </c>
      <c r="AD345" s="28" t="s">
        <v>421</v>
      </c>
      <c r="AE345" s="9" t="s">
        <v>421</v>
      </c>
      <c r="AF345" s="28" t="s">
        <v>421</v>
      </c>
      <c r="AG345" s="28" t="s">
        <v>421</v>
      </c>
      <c r="AH345" s="28">
        <v>33.39</v>
      </c>
      <c r="AI345" s="28" t="s">
        <v>421</v>
      </c>
      <c r="AJ345" s="28" t="s">
        <v>421</v>
      </c>
      <c r="AK345" s="28" t="s">
        <v>421</v>
      </c>
      <c r="AL345" s="28">
        <v>55.676000000000002</v>
      </c>
      <c r="AM345" s="28" t="s">
        <v>421</v>
      </c>
      <c r="AN345" s="28">
        <v>10.417999999999999</v>
      </c>
      <c r="AO345" s="28">
        <v>0.32100000000000001</v>
      </c>
      <c r="AP345" s="156">
        <f t="shared" si="5"/>
        <v>99.805000000000007</v>
      </c>
    </row>
    <row r="346" spans="1:42" x14ac:dyDescent="0.2">
      <c r="A346" s="9" t="s">
        <v>1095</v>
      </c>
      <c r="B346" s="9" t="s">
        <v>1096</v>
      </c>
      <c r="C346" s="9" t="s">
        <v>110</v>
      </c>
      <c r="D346" s="9" t="s">
        <v>124</v>
      </c>
      <c r="E346" s="154">
        <v>288924.62937417807</v>
      </c>
      <c r="F346" s="154">
        <v>289239.20453912375</v>
      </c>
      <c r="G346" s="154">
        <v>2032.231537029548</v>
      </c>
      <c r="H346" s="154">
        <v>88366.116667453534</v>
      </c>
      <c r="I346" s="154">
        <v>0.31217675978865167</v>
      </c>
      <c r="J346" s="154">
        <v>24.321033531031965</v>
      </c>
      <c r="K346" s="154">
        <v>544510</v>
      </c>
      <c r="L346" s="154">
        <v>549937.73467360076</v>
      </c>
      <c r="M346" s="154">
        <v>5.8449872240173297</v>
      </c>
      <c r="N346" s="154" t="s">
        <v>421</v>
      </c>
      <c r="O346" s="154">
        <v>0.13801098264794975</v>
      </c>
      <c r="P346" s="154" t="s">
        <v>421</v>
      </c>
      <c r="Q346" s="154">
        <v>1.6120772853501288</v>
      </c>
      <c r="R346" s="154">
        <v>935.4280241354802</v>
      </c>
      <c r="S346" s="154">
        <v>11.97003607096303</v>
      </c>
      <c r="T346" s="154">
        <v>0.89701810495864809</v>
      </c>
      <c r="U346" s="154">
        <v>0.94573774616357675</v>
      </c>
      <c r="V346" s="154" t="s">
        <v>421</v>
      </c>
      <c r="W346" s="154">
        <v>13.141398757554621</v>
      </c>
      <c r="X346" s="154" t="s">
        <v>421</v>
      </c>
      <c r="Y346" s="154">
        <v>0.1835105988380788</v>
      </c>
      <c r="Z346" s="154">
        <v>11.966986209406171</v>
      </c>
      <c r="AC346" s="28" t="s">
        <v>421</v>
      </c>
      <c r="AD346" s="28" t="s">
        <v>421</v>
      </c>
      <c r="AE346" s="9" t="s">
        <v>421</v>
      </c>
      <c r="AF346" s="28" t="s">
        <v>421</v>
      </c>
      <c r="AG346" s="28" t="s">
        <v>421</v>
      </c>
      <c r="AH346" s="28">
        <v>33.462000000000003</v>
      </c>
      <c r="AI346" s="28">
        <v>4.0000000000000001E-3</v>
      </c>
      <c r="AJ346" s="28" t="s">
        <v>421</v>
      </c>
      <c r="AK346" s="28" t="s">
        <v>421</v>
      </c>
      <c r="AL346" s="28">
        <v>54.451000000000001</v>
      </c>
      <c r="AM346" s="28" t="s">
        <v>421</v>
      </c>
      <c r="AN346" s="28">
        <v>11.358000000000001</v>
      </c>
      <c r="AO346" s="28">
        <v>0.34499999999999997</v>
      </c>
      <c r="AP346" s="156">
        <f t="shared" si="5"/>
        <v>99.62</v>
      </c>
    </row>
    <row r="347" spans="1:42" x14ac:dyDescent="0.2">
      <c r="A347" s="9" t="s">
        <v>1097</v>
      </c>
      <c r="B347" s="9" t="s">
        <v>1098</v>
      </c>
      <c r="C347" s="9" t="s">
        <v>110</v>
      </c>
      <c r="D347" s="9" t="s">
        <v>124</v>
      </c>
      <c r="E347" s="154">
        <v>293168.37018312042</v>
      </c>
      <c r="F347" s="154">
        <v>287230.64433759573</v>
      </c>
      <c r="G347" s="154">
        <v>5562.1092811275157</v>
      </c>
      <c r="H347" s="154">
        <v>84109.511004687374</v>
      </c>
      <c r="I347" s="154">
        <v>0.24124692433253089</v>
      </c>
      <c r="J347" s="154">
        <v>2035.6758869086023</v>
      </c>
      <c r="K347" s="154">
        <v>531650</v>
      </c>
      <c r="L347" s="154">
        <v>533023.12478903879</v>
      </c>
      <c r="M347" s="154">
        <v>6.0611720982084449</v>
      </c>
      <c r="N347" s="154" t="s">
        <v>421</v>
      </c>
      <c r="O347" s="154">
        <v>171.59221473601212</v>
      </c>
      <c r="P347" s="154" t="s">
        <v>421</v>
      </c>
      <c r="Q347" s="154">
        <v>927.89183548816754</v>
      </c>
      <c r="R347" s="154">
        <v>1856.1203143741889</v>
      </c>
      <c r="S347" s="154">
        <v>6.7066915857867828</v>
      </c>
      <c r="T347" s="154">
        <v>15.394700890352585</v>
      </c>
      <c r="U347" s="154">
        <v>14.931954799751191</v>
      </c>
      <c r="V347" s="154">
        <v>1043.8646592288537</v>
      </c>
      <c r="W347" s="154">
        <v>20.105564869801491</v>
      </c>
      <c r="X347" s="154">
        <v>0.16090060640432394</v>
      </c>
      <c r="Y347" s="154">
        <v>6.1466047494073086</v>
      </c>
      <c r="Z347" s="154">
        <v>6.6543496027595843</v>
      </c>
      <c r="AC347" s="28" t="s">
        <v>421</v>
      </c>
      <c r="AD347" s="28" t="s">
        <v>421</v>
      </c>
      <c r="AE347" s="9" t="s">
        <v>421</v>
      </c>
      <c r="AF347" s="28" t="s">
        <v>421</v>
      </c>
      <c r="AG347" s="28" t="s">
        <v>421</v>
      </c>
      <c r="AH347" s="28">
        <v>33.421999999999997</v>
      </c>
      <c r="AI347" s="28">
        <v>3.0000000000000001E-3</v>
      </c>
      <c r="AJ347" s="28" t="s">
        <v>421</v>
      </c>
      <c r="AK347" s="28" t="s">
        <v>421</v>
      </c>
      <c r="AL347" s="28">
        <v>53.164999999999999</v>
      </c>
      <c r="AM347" s="28" t="s">
        <v>421</v>
      </c>
      <c r="AN347" s="28">
        <v>11.877000000000001</v>
      </c>
      <c r="AO347" s="28">
        <v>1.107</v>
      </c>
      <c r="AP347" s="156">
        <f t="shared" si="5"/>
        <v>99.573999999999998</v>
      </c>
    </row>
    <row r="348" spans="1:42" x14ac:dyDescent="0.2">
      <c r="A348" s="9" t="s">
        <v>1099</v>
      </c>
      <c r="B348" s="9" t="s">
        <v>1100</v>
      </c>
      <c r="C348" s="9" t="s">
        <v>110</v>
      </c>
      <c r="D348" s="9" t="s">
        <v>124</v>
      </c>
      <c r="E348" s="154">
        <v>303139.91014559014</v>
      </c>
      <c r="F348" s="154">
        <v>299259.44545661734</v>
      </c>
      <c r="G348" s="154">
        <v>7103.6308331458358</v>
      </c>
      <c r="H348" s="154">
        <v>95232.091143500293</v>
      </c>
      <c r="I348" s="154">
        <v>0.22145956407607759</v>
      </c>
      <c r="J348" s="154">
        <v>28.15068542486933</v>
      </c>
      <c r="K348" s="154">
        <v>531720</v>
      </c>
      <c r="L348" s="154">
        <v>539512.809566273</v>
      </c>
      <c r="M348" s="154">
        <v>7.977489413391444</v>
      </c>
      <c r="N348" s="154">
        <v>0.3038792806291567</v>
      </c>
      <c r="O348" s="154">
        <v>0.1592011269313863</v>
      </c>
      <c r="P348" s="154">
        <v>0.54871165301477698</v>
      </c>
      <c r="Q348" s="154">
        <v>1.0832985561895809</v>
      </c>
      <c r="R348" s="154">
        <v>1526.96988823884</v>
      </c>
      <c r="S348" s="154">
        <v>5.970985864557627</v>
      </c>
      <c r="T348" s="154">
        <v>2.5379364196804541</v>
      </c>
      <c r="U348" s="154">
        <v>2.3606638848085288</v>
      </c>
      <c r="V348" s="154">
        <v>0.37092543325278882</v>
      </c>
      <c r="W348" s="154">
        <v>22.349078715325245</v>
      </c>
      <c r="X348" s="154" t="s">
        <v>421</v>
      </c>
      <c r="Y348" s="154">
        <v>0.25381212182791657</v>
      </c>
      <c r="Z348" s="154">
        <v>5.9623568807307139</v>
      </c>
      <c r="AC348" s="28" t="s">
        <v>421</v>
      </c>
      <c r="AD348" s="28" t="s">
        <v>421</v>
      </c>
      <c r="AE348" s="9" t="s">
        <v>421</v>
      </c>
      <c r="AF348" s="28" t="s">
        <v>421</v>
      </c>
      <c r="AG348" s="28" t="s">
        <v>421</v>
      </c>
      <c r="AH348" s="28">
        <v>33.572000000000003</v>
      </c>
      <c r="AI348" s="28" t="s">
        <v>421</v>
      </c>
      <c r="AJ348" s="28" t="s">
        <v>421</v>
      </c>
      <c r="AK348" s="28" t="s">
        <v>421</v>
      </c>
      <c r="AL348" s="28">
        <v>53.171999999999997</v>
      </c>
      <c r="AM348" s="28">
        <v>2E-3</v>
      </c>
      <c r="AN348" s="28">
        <v>12.004</v>
      </c>
      <c r="AO348" s="28">
        <v>1.1519999999999999</v>
      </c>
      <c r="AP348" s="156">
        <f t="shared" si="5"/>
        <v>99.902000000000001</v>
      </c>
    </row>
    <row r="349" spans="1:42" x14ac:dyDescent="0.2">
      <c r="A349" s="9" t="s">
        <v>1101</v>
      </c>
      <c r="B349" s="9" t="s">
        <v>1102</v>
      </c>
      <c r="C349" s="9" t="s">
        <v>110</v>
      </c>
      <c r="D349" s="9" t="s">
        <v>124</v>
      </c>
      <c r="E349" s="154">
        <v>290852.55492268404</v>
      </c>
      <c r="F349" s="154">
        <v>292010.19427800796</v>
      </c>
      <c r="G349" s="154">
        <v>1737.6464578586113</v>
      </c>
      <c r="H349" s="154">
        <v>81377.348141103794</v>
      </c>
      <c r="I349" s="154">
        <v>0.50148748108140684</v>
      </c>
      <c r="J349" s="154">
        <v>77.774112096084366</v>
      </c>
      <c r="K349" s="154">
        <v>553530</v>
      </c>
      <c r="L349" s="154">
        <v>544239.54839340237</v>
      </c>
      <c r="M349" s="154">
        <v>10.855188767965636</v>
      </c>
      <c r="N349" s="154">
        <v>0.28931923257841197</v>
      </c>
      <c r="O349" s="154">
        <v>0.26699900078189726</v>
      </c>
      <c r="P349" s="154" t="s">
        <v>421</v>
      </c>
      <c r="Q349" s="154">
        <v>4.1445698588376771</v>
      </c>
      <c r="R349" s="154">
        <v>904.20784043581091</v>
      </c>
      <c r="S349" s="154">
        <v>54.24696920166717</v>
      </c>
      <c r="T349" s="154">
        <v>1.5508880602383606</v>
      </c>
      <c r="U349" s="154">
        <v>1.8231779477959573</v>
      </c>
      <c r="V349" s="154">
        <v>6.3220091690028779</v>
      </c>
      <c r="W349" s="154">
        <v>34.246051344215886</v>
      </c>
      <c r="X349" s="154" t="s">
        <v>421</v>
      </c>
      <c r="Y349" s="154">
        <v>0.66154611016878861</v>
      </c>
      <c r="Z349" s="154">
        <v>54.241696182262359</v>
      </c>
      <c r="AC349" s="28" t="s">
        <v>421</v>
      </c>
      <c r="AD349" s="28" t="s">
        <v>421</v>
      </c>
      <c r="AE349" s="9" t="s">
        <v>421</v>
      </c>
      <c r="AF349" s="28" t="s">
        <v>421</v>
      </c>
      <c r="AG349" s="28" t="s">
        <v>421</v>
      </c>
      <c r="AH349" s="28">
        <v>33.561999999999998</v>
      </c>
      <c r="AI349" s="28" t="s">
        <v>421</v>
      </c>
      <c r="AJ349" s="28" t="s">
        <v>421</v>
      </c>
      <c r="AK349" s="28" t="s">
        <v>421</v>
      </c>
      <c r="AL349" s="28">
        <v>55.353000000000002</v>
      </c>
      <c r="AM349" s="28" t="s">
        <v>421</v>
      </c>
      <c r="AN349" s="28">
        <v>10.433</v>
      </c>
      <c r="AO349" s="28">
        <v>0.307</v>
      </c>
      <c r="AP349" s="156">
        <f t="shared" si="5"/>
        <v>99.654999999999987</v>
      </c>
    </row>
    <row r="350" spans="1:42" x14ac:dyDescent="0.2">
      <c r="A350" s="9" t="s">
        <v>1103</v>
      </c>
      <c r="B350" s="9" t="s">
        <v>1104</v>
      </c>
      <c r="C350" s="9" t="s">
        <v>110</v>
      </c>
      <c r="D350" s="9" t="s">
        <v>124</v>
      </c>
      <c r="E350" s="154">
        <v>291853.3603806473</v>
      </c>
      <c r="F350" s="154">
        <v>289529.35432296887</v>
      </c>
      <c r="G350" s="154">
        <v>1894.8616727081524</v>
      </c>
      <c r="H350" s="154">
        <v>85057.377757714363</v>
      </c>
      <c r="I350" s="154">
        <v>0.25050615398632037</v>
      </c>
      <c r="J350" s="154">
        <v>160.52439363956776</v>
      </c>
      <c r="K350" s="154">
        <v>549370</v>
      </c>
      <c r="L350" s="154">
        <v>553626.18861239532</v>
      </c>
      <c r="M350" s="154">
        <v>8.8706213501495306</v>
      </c>
      <c r="N350" s="154">
        <v>0.28426572960725083</v>
      </c>
      <c r="O350" s="154">
        <v>0.14033679964690973</v>
      </c>
      <c r="P350" s="154" t="s">
        <v>421</v>
      </c>
      <c r="Q350" s="154">
        <v>78.001685415241951</v>
      </c>
      <c r="R350" s="154">
        <v>862.39377390876973</v>
      </c>
      <c r="S350" s="154">
        <v>15.953074273833757</v>
      </c>
      <c r="T350" s="154">
        <v>18.908985527463823</v>
      </c>
      <c r="U350" s="154">
        <v>17.585606175659944</v>
      </c>
      <c r="V350" s="154">
        <v>95.039803223108336</v>
      </c>
      <c r="W350" s="154">
        <v>29.1569253606046</v>
      </c>
      <c r="X350" s="154" t="s">
        <v>421</v>
      </c>
      <c r="Y350" s="154">
        <v>108.65401616474763</v>
      </c>
      <c r="Z350" s="154">
        <v>15.88878372304038</v>
      </c>
      <c r="AC350" s="28" t="s">
        <v>421</v>
      </c>
      <c r="AD350" s="28" t="s">
        <v>421</v>
      </c>
      <c r="AE350" s="9" t="s">
        <v>421</v>
      </c>
      <c r="AF350" s="28" t="s">
        <v>421</v>
      </c>
      <c r="AG350" s="28" t="s">
        <v>421</v>
      </c>
      <c r="AH350" s="28">
        <v>33.587000000000003</v>
      </c>
      <c r="AI350" s="28" t="s">
        <v>421</v>
      </c>
      <c r="AJ350" s="28" t="s">
        <v>421</v>
      </c>
      <c r="AK350" s="28" t="s">
        <v>421</v>
      </c>
      <c r="AL350" s="28">
        <v>54.936999999999998</v>
      </c>
      <c r="AM350" s="28" t="s">
        <v>421</v>
      </c>
      <c r="AN350" s="28">
        <v>10.856999999999999</v>
      </c>
      <c r="AO350" s="28">
        <v>0.30499999999999999</v>
      </c>
      <c r="AP350" s="156">
        <f t="shared" si="5"/>
        <v>99.686000000000007</v>
      </c>
    </row>
    <row r="351" spans="1:42" x14ac:dyDescent="0.2">
      <c r="A351" s="9" t="s">
        <v>1105</v>
      </c>
      <c r="B351" s="9" t="s">
        <v>1106</v>
      </c>
      <c r="C351" s="9" t="s">
        <v>110</v>
      </c>
      <c r="D351" s="9" t="s">
        <v>125</v>
      </c>
      <c r="E351" s="154">
        <v>285425.25852983823</v>
      </c>
      <c r="F351" s="154">
        <v>288691.11875913048</v>
      </c>
      <c r="G351" s="154">
        <v>1278.1734908893272</v>
      </c>
      <c r="H351" s="154">
        <v>86458.067087887292</v>
      </c>
      <c r="I351" s="154">
        <v>4.7453269513352616</v>
      </c>
      <c r="J351" s="154">
        <v>2041.9861065057169</v>
      </c>
      <c r="K351" s="154">
        <v>534420</v>
      </c>
      <c r="L351" s="154">
        <v>536840.0732727095</v>
      </c>
      <c r="M351" s="154">
        <v>9.0530369784284392</v>
      </c>
      <c r="N351" s="154" t="s">
        <v>421</v>
      </c>
      <c r="O351" s="154" t="s">
        <v>421</v>
      </c>
      <c r="P351" s="154">
        <v>0.88501638463361199</v>
      </c>
      <c r="Q351" s="154">
        <v>10.860848361481903</v>
      </c>
      <c r="R351" s="154">
        <v>5719.344706788761</v>
      </c>
      <c r="S351" s="154">
        <v>192.99336406439511</v>
      </c>
      <c r="T351" s="154">
        <v>21.70316250974513</v>
      </c>
      <c r="U351" s="154">
        <v>20.527743754889858</v>
      </c>
      <c r="V351" s="154">
        <v>1.2377433327531651</v>
      </c>
      <c r="W351" s="154">
        <v>14.363107229233885</v>
      </c>
      <c r="X351" s="154">
        <v>1.7314090935197656E-2</v>
      </c>
      <c r="Y351" s="154">
        <v>2.9873081179331789</v>
      </c>
      <c r="Z351" s="154">
        <v>192.91957331186197</v>
      </c>
      <c r="AC351" s="28" t="s">
        <v>421</v>
      </c>
      <c r="AD351" s="28" t="s">
        <v>421</v>
      </c>
      <c r="AE351" s="9" t="s">
        <v>421</v>
      </c>
      <c r="AF351" s="28" t="s">
        <v>421</v>
      </c>
      <c r="AG351" s="28">
        <v>0.441</v>
      </c>
      <c r="AH351" s="28">
        <v>33.445</v>
      </c>
      <c r="AI351" s="28">
        <v>3.0000000000000001E-3</v>
      </c>
      <c r="AJ351" s="28" t="s">
        <v>421</v>
      </c>
      <c r="AK351" s="28" t="s">
        <v>421</v>
      </c>
      <c r="AL351" s="28">
        <v>53.442</v>
      </c>
      <c r="AM351" s="28">
        <v>0.01</v>
      </c>
      <c r="AN351" s="28">
        <v>12.087</v>
      </c>
      <c r="AO351" s="28">
        <v>0.22700000000000001</v>
      </c>
      <c r="AP351" s="156">
        <f t="shared" si="5"/>
        <v>99.655000000000015</v>
      </c>
    </row>
    <row r="352" spans="1:42" x14ac:dyDescent="0.2">
      <c r="A352" s="9" t="s">
        <v>1107</v>
      </c>
      <c r="B352" s="9" t="s">
        <v>1108</v>
      </c>
      <c r="C352" s="9" t="s">
        <v>110</v>
      </c>
      <c r="D352" s="9" t="s">
        <v>125</v>
      </c>
      <c r="E352" s="154">
        <v>290615.84692115139</v>
      </c>
      <c r="F352" s="154">
        <v>290645.38325971348</v>
      </c>
      <c r="G352" s="154">
        <v>1692.8633789856115</v>
      </c>
      <c r="H352" s="154">
        <v>91728.227832921883</v>
      </c>
      <c r="I352" s="154">
        <v>1.0178006996537334</v>
      </c>
      <c r="J352" s="154">
        <v>1555.7789272312984</v>
      </c>
      <c r="K352" s="154">
        <v>534010</v>
      </c>
      <c r="L352" s="154">
        <v>537407.04096066137</v>
      </c>
      <c r="M352" s="154">
        <v>10.985777534102398</v>
      </c>
      <c r="N352" s="154" t="s">
        <v>421</v>
      </c>
      <c r="O352" s="154">
        <v>0.26675673180647086</v>
      </c>
      <c r="P352" s="154" t="s">
        <v>421</v>
      </c>
      <c r="Q352" s="154">
        <v>14.788160356251939</v>
      </c>
      <c r="R352" s="154">
        <v>5824.0645114928584</v>
      </c>
      <c r="S352" s="154">
        <v>292.20388094599633</v>
      </c>
      <c r="T352" s="154">
        <v>1015.7338543321194</v>
      </c>
      <c r="U352" s="154">
        <v>1004.0625123508814</v>
      </c>
      <c r="V352" s="154" t="s">
        <v>421</v>
      </c>
      <c r="W352" s="154">
        <v>11.995477821407645</v>
      </c>
      <c r="X352" s="154" t="s">
        <v>421</v>
      </c>
      <c r="Y352" s="154">
        <v>0.70337469872463287</v>
      </c>
      <c r="Z352" s="154">
        <v>288.75038584126713</v>
      </c>
      <c r="AC352" s="28" t="s">
        <v>421</v>
      </c>
      <c r="AD352" s="28" t="s">
        <v>421</v>
      </c>
      <c r="AE352" s="9" t="s">
        <v>421</v>
      </c>
      <c r="AF352" s="28" t="s">
        <v>421</v>
      </c>
      <c r="AG352" s="28">
        <v>0.46300000000000002</v>
      </c>
      <c r="AH352" s="28">
        <v>33.451000000000001</v>
      </c>
      <c r="AI352" s="28">
        <v>0.17499999999999999</v>
      </c>
      <c r="AJ352" s="28">
        <v>3.5999999999999997E-2</v>
      </c>
      <c r="AK352" s="28" t="s">
        <v>421</v>
      </c>
      <c r="AL352" s="28">
        <v>53.401000000000003</v>
      </c>
      <c r="AM352" s="28">
        <v>0.22700000000000001</v>
      </c>
      <c r="AN352" s="28">
        <v>11.74</v>
      </c>
      <c r="AO352" s="28">
        <v>0.27900000000000003</v>
      </c>
      <c r="AP352" s="156">
        <f t="shared" si="5"/>
        <v>99.772000000000006</v>
      </c>
    </row>
    <row r="353" spans="1:42" x14ac:dyDescent="0.2">
      <c r="A353" s="9" t="s">
        <v>1109</v>
      </c>
      <c r="B353" s="9" t="s">
        <v>1110</v>
      </c>
      <c r="C353" s="9" t="s">
        <v>110</v>
      </c>
      <c r="D353" s="9" t="s">
        <v>125</v>
      </c>
      <c r="E353" s="154">
        <v>283307.50777795078</v>
      </c>
      <c r="F353" s="154">
        <v>350929.15447387128</v>
      </c>
      <c r="G353" s="154">
        <v>1571.1852586678135</v>
      </c>
      <c r="H353" s="154">
        <v>85690.597197578245</v>
      </c>
      <c r="I353" s="154">
        <v>0.9119292003955094</v>
      </c>
      <c r="J353" s="154">
        <v>1991.0455198580562</v>
      </c>
      <c r="K353" s="154">
        <v>533600</v>
      </c>
      <c r="L353" s="154">
        <v>531354.42963329318</v>
      </c>
      <c r="M353" s="154">
        <v>11.879954937269336</v>
      </c>
      <c r="N353" s="154">
        <v>0.43525954705427311</v>
      </c>
      <c r="O353" s="154">
        <v>0.2300038987490185</v>
      </c>
      <c r="P353" s="154">
        <v>1.2839045464398122</v>
      </c>
      <c r="Q353" s="154">
        <v>18.318987964539602</v>
      </c>
      <c r="R353" s="154">
        <v>6112.909570014046</v>
      </c>
      <c r="S353" s="154">
        <v>155.7708621943836</v>
      </c>
      <c r="T353" s="154">
        <v>1279.6949459220214</v>
      </c>
      <c r="U353" s="154">
        <v>1263.9118594077058</v>
      </c>
      <c r="V353" s="154">
        <v>0.49607777102100847</v>
      </c>
      <c r="W353" s="154">
        <v>21.395392139952833</v>
      </c>
      <c r="X353" s="154" t="s">
        <v>421</v>
      </c>
      <c r="Y353" s="154">
        <v>1.5801758745298946</v>
      </c>
      <c r="Z353" s="154">
        <v>151.41989937824872</v>
      </c>
      <c r="AC353" s="28" t="s">
        <v>421</v>
      </c>
      <c r="AD353" s="28" t="s">
        <v>421</v>
      </c>
      <c r="AE353" s="9" t="s">
        <v>421</v>
      </c>
      <c r="AF353" s="28" t="s">
        <v>421</v>
      </c>
      <c r="AG353" s="28">
        <v>0.42699999999999999</v>
      </c>
      <c r="AH353" s="28">
        <v>33.633000000000003</v>
      </c>
      <c r="AI353" s="28">
        <v>0.33600000000000002</v>
      </c>
      <c r="AJ353" s="28" t="s">
        <v>421</v>
      </c>
      <c r="AK353" s="28" t="s">
        <v>421</v>
      </c>
      <c r="AL353" s="28">
        <v>53.36</v>
      </c>
      <c r="AM353" s="28">
        <v>0.57699999999999996</v>
      </c>
      <c r="AN353" s="28">
        <v>11.609</v>
      </c>
      <c r="AO353" s="28">
        <v>0.24399999999999999</v>
      </c>
      <c r="AP353" s="156">
        <f t="shared" si="5"/>
        <v>100.18599999999999</v>
      </c>
    </row>
    <row r="354" spans="1:42" x14ac:dyDescent="0.2">
      <c r="A354" s="9" t="s">
        <v>1111</v>
      </c>
      <c r="B354" s="9" t="s">
        <v>1112</v>
      </c>
      <c r="C354" s="9" t="s">
        <v>110</v>
      </c>
      <c r="D354" s="9" t="s">
        <v>125</v>
      </c>
      <c r="E354" s="154">
        <v>289247.83835907414</v>
      </c>
      <c r="F354" s="154">
        <v>296782.10873949406</v>
      </c>
      <c r="G354" s="154">
        <v>690.06864973256882</v>
      </c>
      <c r="H354" s="154">
        <v>99898.22759060128</v>
      </c>
      <c r="I354" s="154">
        <v>4.8829688379314353</v>
      </c>
      <c r="J354" s="154">
        <v>887.01000732982027</v>
      </c>
      <c r="K354" s="154">
        <v>526460</v>
      </c>
      <c r="L354" s="154">
        <v>535138.52978836745</v>
      </c>
      <c r="M354" s="154">
        <v>11.019120875459219</v>
      </c>
      <c r="N354" s="154" t="s">
        <v>421</v>
      </c>
      <c r="O354" s="154">
        <v>0.15121979945866731</v>
      </c>
      <c r="P354" s="154" t="s">
        <v>421</v>
      </c>
      <c r="Q354" s="154">
        <v>11.425633275746941</v>
      </c>
      <c r="R354" s="154">
        <v>5765.0961224301473</v>
      </c>
      <c r="S354" s="154">
        <v>329.29934137676088</v>
      </c>
      <c r="T354" s="154">
        <v>460.4041525278314</v>
      </c>
      <c r="U354" s="154">
        <v>456.58739415752558</v>
      </c>
      <c r="V354" s="154" t="s">
        <v>421</v>
      </c>
      <c r="W354" s="154">
        <v>8.2808873785567076</v>
      </c>
      <c r="X354" s="154" t="s">
        <v>421</v>
      </c>
      <c r="Y354" s="154">
        <v>0.10213828472587497</v>
      </c>
      <c r="Z354" s="154">
        <v>327.73396725816627</v>
      </c>
      <c r="AC354" s="28" t="s">
        <v>421</v>
      </c>
      <c r="AD354" s="28" t="s">
        <v>421</v>
      </c>
      <c r="AE354" s="9" t="s">
        <v>421</v>
      </c>
      <c r="AF354" s="28" t="s">
        <v>421</v>
      </c>
      <c r="AG354" s="28">
        <v>0.44900000000000001</v>
      </c>
      <c r="AH354" s="28">
        <v>33.351999999999997</v>
      </c>
      <c r="AI354" s="28">
        <v>0.1</v>
      </c>
      <c r="AJ354" s="28">
        <v>2.7E-2</v>
      </c>
      <c r="AK354" s="28" t="s">
        <v>421</v>
      </c>
      <c r="AL354" s="28">
        <v>52.646000000000001</v>
      </c>
      <c r="AM354" s="28">
        <v>0.115</v>
      </c>
      <c r="AN354" s="28">
        <v>12.814</v>
      </c>
      <c r="AO354" s="28">
        <v>0.109</v>
      </c>
      <c r="AP354" s="156">
        <f t="shared" si="5"/>
        <v>99.611999999999981</v>
      </c>
    </row>
    <row r="355" spans="1:42" x14ac:dyDescent="0.2">
      <c r="A355" s="9" t="s">
        <v>1113</v>
      </c>
      <c r="B355" s="9" t="s">
        <v>1114</v>
      </c>
      <c r="C355" s="9" t="s">
        <v>110</v>
      </c>
      <c r="D355" s="9" t="s">
        <v>125</v>
      </c>
      <c r="E355" s="154">
        <v>288513.30168063438</v>
      </c>
      <c r="F355" s="154">
        <v>287653.11390728032</v>
      </c>
      <c r="G355" s="154">
        <v>5377.9524273816805</v>
      </c>
      <c r="H355" s="154">
        <v>84199.853917391447</v>
      </c>
      <c r="I355" s="154">
        <v>29.027017624871146</v>
      </c>
      <c r="J355" s="154">
        <v>2373.8484650573273</v>
      </c>
      <c r="K355" s="154">
        <v>535840</v>
      </c>
      <c r="L355" s="154">
        <v>533227.61528941186</v>
      </c>
      <c r="M355" s="154">
        <v>7.1115665376952872</v>
      </c>
      <c r="N355" s="154" t="s">
        <v>421</v>
      </c>
      <c r="O355" s="154" t="s">
        <v>421</v>
      </c>
      <c r="P355" s="154">
        <v>0.98636132762420059</v>
      </c>
      <c r="Q355" s="154">
        <v>18.896434532583662</v>
      </c>
      <c r="R355" s="154">
        <v>4995.7467517850509</v>
      </c>
      <c r="S355" s="154">
        <v>332.70854730491124</v>
      </c>
      <c r="T355" s="154">
        <v>94.398441190948432</v>
      </c>
      <c r="U355" s="154">
        <v>87.954295664154444</v>
      </c>
      <c r="V355" s="154">
        <v>2.6242613374704926</v>
      </c>
      <c r="W355" s="154">
        <v>11.114398372998808</v>
      </c>
      <c r="X355" s="154">
        <v>4.6377066833398026E-2</v>
      </c>
      <c r="Y355" s="154">
        <v>5.0216465188348813</v>
      </c>
      <c r="Z355" s="154">
        <v>332.38759260486199</v>
      </c>
      <c r="AC355" s="28" t="s">
        <v>421</v>
      </c>
      <c r="AD355" s="28" t="s">
        <v>421</v>
      </c>
      <c r="AE355" s="9" t="s">
        <v>421</v>
      </c>
      <c r="AF355" s="28" t="s">
        <v>421</v>
      </c>
      <c r="AG355" s="28">
        <v>0.44900000000000001</v>
      </c>
      <c r="AH355" s="28">
        <v>33.442</v>
      </c>
      <c r="AI355" s="28">
        <v>1.2999999999999999E-2</v>
      </c>
      <c r="AJ355" s="28">
        <v>3.6999999999999998E-2</v>
      </c>
      <c r="AK355" s="28" t="s">
        <v>421</v>
      </c>
      <c r="AL355" s="28">
        <v>53.584000000000003</v>
      </c>
      <c r="AM355" s="28">
        <v>7.2999999999999995E-2</v>
      </c>
      <c r="AN355" s="28">
        <v>11.11</v>
      </c>
      <c r="AO355" s="28">
        <v>1.0980000000000001</v>
      </c>
      <c r="AP355" s="156">
        <f t="shared" si="5"/>
        <v>99.805999999999997</v>
      </c>
    </row>
    <row r="356" spans="1:42" x14ac:dyDescent="0.2">
      <c r="A356" s="9" t="s">
        <v>1115</v>
      </c>
      <c r="B356" s="9" t="s">
        <v>1116</v>
      </c>
      <c r="C356" s="9" t="s">
        <v>110</v>
      </c>
      <c r="D356" s="9" t="s">
        <v>125</v>
      </c>
      <c r="E356" s="154">
        <v>290364.92895221768</v>
      </c>
      <c r="F356" s="154">
        <v>289121.37839059805</v>
      </c>
      <c r="G356" s="154">
        <v>4897.0076604533251</v>
      </c>
      <c r="H356" s="154">
        <v>87894.983123997095</v>
      </c>
      <c r="I356" s="154">
        <v>25.808823837326806</v>
      </c>
      <c r="J356" s="154">
        <v>791.41390521419339</v>
      </c>
      <c r="K356" s="154">
        <v>532950</v>
      </c>
      <c r="L356" s="154">
        <v>537347.97209537041</v>
      </c>
      <c r="M356" s="154">
        <v>7.4958790322176174</v>
      </c>
      <c r="N356" s="154" t="s">
        <v>421</v>
      </c>
      <c r="O356" s="154" t="s">
        <v>421</v>
      </c>
      <c r="P356" s="154">
        <v>0.87780906982495599</v>
      </c>
      <c r="Q356" s="154">
        <v>9.68806717853046</v>
      </c>
      <c r="R356" s="154">
        <v>5867.7793259849495</v>
      </c>
      <c r="S356" s="154">
        <v>314.7604494756726</v>
      </c>
      <c r="T356" s="154">
        <v>274.52872511364211</v>
      </c>
      <c r="U356" s="154">
        <v>280.61099820182346</v>
      </c>
      <c r="V356" s="154">
        <v>1.9575473580665614</v>
      </c>
      <c r="W356" s="154">
        <v>12.04107884718044</v>
      </c>
      <c r="X356" s="154" t="s">
        <v>421</v>
      </c>
      <c r="Y356" s="154">
        <v>1.6208510885115557</v>
      </c>
      <c r="Z356" s="154">
        <v>313.82705181028621</v>
      </c>
      <c r="AC356" s="28" t="s">
        <v>421</v>
      </c>
      <c r="AD356" s="28" t="s">
        <v>421</v>
      </c>
      <c r="AE356" s="9" t="s">
        <v>421</v>
      </c>
      <c r="AF356" s="28" t="s">
        <v>421</v>
      </c>
      <c r="AG356" s="28">
        <v>0.44900000000000001</v>
      </c>
      <c r="AH356" s="28">
        <v>33.423000000000002</v>
      </c>
      <c r="AI356" s="28" t="s">
        <v>421</v>
      </c>
      <c r="AJ356" s="28">
        <v>3.4000000000000002E-2</v>
      </c>
      <c r="AK356" s="28" t="s">
        <v>421</v>
      </c>
      <c r="AL356" s="28">
        <v>53.295000000000002</v>
      </c>
      <c r="AM356" s="28">
        <v>6.7000000000000004E-2</v>
      </c>
      <c r="AN356" s="28">
        <v>11.305999999999999</v>
      </c>
      <c r="AO356" s="28">
        <v>0.88700000000000001</v>
      </c>
      <c r="AP356" s="156">
        <f t="shared" si="5"/>
        <v>99.460999999999984</v>
      </c>
    </row>
    <row r="357" spans="1:42" x14ac:dyDescent="0.2">
      <c r="A357" s="9" t="s">
        <v>1117</v>
      </c>
      <c r="B357" s="9" t="s">
        <v>1118</v>
      </c>
      <c r="C357" s="9" t="s">
        <v>110</v>
      </c>
      <c r="D357" s="9" t="s">
        <v>125</v>
      </c>
      <c r="E357" s="154">
        <v>285588.93638330617</v>
      </c>
      <c r="F357" s="154">
        <v>286899.10194699105</v>
      </c>
      <c r="G357" s="154">
        <v>1463.5754270789359</v>
      </c>
      <c r="H357" s="154">
        <v>89026.11354687727</v>
      </c>
      <c r="I357" s="154">
        <v>3.0345441073138328</v>
      </c>
      <c r="J357" s="154">
        <v>1952.4377378413155</v>
      </c>
      <c r="K357" s="154">
        <v>537580</v>
      </c>
      <c r="L357" s="154">
        <v>534848.2328859116</v>
      </c>
      <c r="M357" s="154">
        <v>10.364072548524952</v>
      </c>
      <c r="N357" s="154">
        <v>0.28236820191686324</v>
      </c>
      <c r="O357" s="154" t="s">
        <v>421</v>
      </c>
      <c r="P357" s="154">
        <v>0.86026981470465569</v>
      </c>
      <c r="Q357" s="154">
        <v>28.020582790070886</v>
      </c>
      <c r="R357" s="154">
        <v>5623.7242962785776</v>
      </c>
      <c r="S357" s="154">
        <v>291.96668891112137</v>
      </c>
      <c r="T357" s="154">
        <v>1407.8956384833648</v>
      </c>
      <c r="U357" s="154">
        <v>2835.5182093912554</v>
      </c>
      <c r="V357" s="154">
        <v>0.15358306073832748</v>
      </c>
      <c r="W357" s="154">
        <v>10.456306249229774</v>
      </c>
      <c r="X357" s="154" t="s">
        <v>421</v>
      </c>
      <c r="Y357" s="154">
        <v>0.58079646610627189</v>
      </c>
      <c r="Z357" s="154">
        <v>287.17984374027793</v>
      </c>
      <c r="AC357" s="28" t="s">
        <v>421</v>
      </c>
      <c r="AD357" s="28" t="s">
        <v>421</v>
      </c>
      <c r="AE357" s="9" t="s">
        <v>421</v>
      </c>
      <c r="AF357" s="28" t="s">
        <v>421</v>
      </c>
      <c r="AG357" s="28">
        <v>0.42599999999999999</v>
      </c>
      <c r="AH357" s="28">
        <v>33.392000000000003</v>
      </c>
      <c r="AI357" s="28">
        <v>3.4000000000000002E-2</v>
      </c>
      <c r="AJ357" s="28">
        <v>2.8000000000000001E-2</v>
      </c>
      <c r="AK357" s="28">
        <v>8.0000000000000002E-3</v>
      </c>
      <c r="AL357" s="28">
        <v>53.758000000000003</v>
      </c>
      <c r="AM357" s="28">
        <v>5.7000000000000002E-2</v>
      </c>
      <c r="AN357" s="28">
        <v>11.733000000000001</v>
      </c>
      <c r="AO357" s="28">
        <v>0.255</v>
      </c>
      <c r="AP357" s="156">
        <f t="shared" si="5"/>
        <v>99.691000000000017</v>
      </c>
    </row>
    <row r="358" spans="1:42" x14ac:dyDescent="0.2">
      <c r="A358" s="9" t="s">
        <v>1119</v>
      </c>
      <c r="B358" s="9" t="s">
        <v>1120</v>
      </c>
      <c r="C358" s="9" t="s">
        <v>110</v>
      </c>
      <c r="D358" s="9" t="s">
        <v>125</v>
      </c>
      <c r="E358" s="154">
        <v>281770.30148360512</v>
      </c>
      <c r="F358" s="154">
        <v>280725.02986587893</v>
      </c>
      <c r="G358" s="154">
        <v>1575.5220107949151</v>
      </c>
      <c r="H358" s="154">
        <v>89474.041001397767</v>
      </c>
      <c r="I358" s="154">
        <v>3.5755215271769316</v>
      </c>
      <c r="J358" s="154">
        <v>518.04918959235863</v>
      </c>
      <c r="K358" s="154">
        <v>536650</v>
      </c>
      <c r="L358" s="154">
        <v>540210.12080974912</v>
      </c>
      <c r="M358" s="154">
        <v>6.2655693841327311</v>
      </c>
      <c r="N358" s="154" t="s">
        <v>421</v>
      </c>
      <c r="O358" s="154" t="s">
        <v>421</v>
      </c>
      <c r="P358" s="154">
        <v>1.5333524611273672</v>
      </c>
      <c r="Q358" s="154">
        <v>6.644915190955512</v>
      </c>
      <c r="R358" s="154">
        <v>5561.0627591682623</v>
      </c>
      <c r="S358" s="154">
        <v>277.50879783851821</v>
      </c>
      <c r="T358" s="154">
        <v>203.04341714566294</v>
      </c>
      <c r="U358" s="154">
        <v>201.95209360520067</v>
      </c>
      <c r="V358" s="154" t="s">
        <v>421</v>
      </c>
      <c r="W358" s="154">
        <v>11.687823527316025</v>
      </c>
      <c r="X358" s="154">
        <v>1.5821202664391604E-2</v>
      </c>
      <c r="Y358" s="154">
        <v>0.2774162009685886</v>
      </c>
      <c r="Z358" s="154">
        <v>276.81845022022293</v>
      </c>
      <c r="AC358" s="28" t="s">
        <v>421</v>
      </c>
      <c r="AD358" s="28" t="s">
        <v>421</v>
      </c>
      <c r="AE358" s="9" t="s">
        <v>421</v>
      </c>
      <c r="AF358" s="28" t="s">
        <v>421</v>
      </c>
      <c r="AG358" s="28">
        <v>0.41</v>
      </c>
      <c r="AH358" s="28">
        <v>33.465000000000003</v>
      </c>
      <c r="AI358" s="28">
        <v>0.01</v>
      </c>
      <c r="AJ358" s="28">
        <v>2.5999999999999999E-2</v>
      </c>
      <c r="AK358" s="28" t="s">
        <v>421</v>
      </c>
      <c r="AL358" s="28">
        <v>53.664999999999999</v>
      </c>
      <c r="AM358" s="28">
        <v>0.04</v>
      </c>
      <c r="AN358" s="28">
        <v>11.715999999999999</v>
      </c>
      <c r="AO358" s="28">
        <v>0.27</v>
      </c>
      <c r="AP358" s="156">
        <f t="shared" si="5"/>
        <v>99.60199999999999</v>
      </c>
    </row>
    <row r="359" spans="1:42" x14ac:dyDescent="0.2">
      <c r="A359" s="9" t="s">
        <v>1121</v>
      </c>
      <c r="B359" s="9" t="s">
        <v>1122</v>
      </c>
      <c r="C359" s="9" t="s">
        <v>110</v>
      </c>
      <c r="D359" s="9" t="s">
        <v>125</v>
      </c>
      <c r="E359" s="154">
        <v>282910.81652852002</v>
      </c>
      <c r="F359" s="154">
        <v>283797.99970729632</v>
      </c>
      <c r="G359" s="154">
        <v>661.50408010716239</v>
      </c>
      <c r="H359" s="154">
        <v>96521.809130693146</v>
      </c>
      <c r="I359" s="154">
        <v>3.1728560315220999</v>
      </c>
      <c r="J359" s="154">
        <v>550.99462505334066</v>
      </c>
      <c r="K359" s="154">
        <v>525260</v>
      </c>
      <c r="L359" s="154">
        <v>514868.72892646038</v>
      </c>
      <c r="M359" s="154">
        <v>8.7174457886376171</v>
      </c>
      <c r="N359" s="154" t="s">
        <v>421</v>
      </c>
      <c r="O359" s="154" t="s">
        <v>421</v>
      </c>
      <c r="P359" s="154" t="s">
        <v>421</v>
      </c>
      <c r="Q359" s="154">
        <v>5.9856154258190859</v>
      </c>
      <c r="R359" s="154">
        <v>6119.5231192888796</v>
      </c>
      <c r="S359" s="154">
        <v>268.49180176952046</v>
      </c>
      <c r="T359" s="154">
        <v>217.96188597346617</v>
      </c>
      <c r="U359" s="154">
        <v>219.26799520633921</v>
      </c>
      <c r="V359" s="154">
        <v>9.2544169020404216E-2</v>
      </c>
      <c r="W359" s="154">
        <v>15.928321108642422</v>
      </c>
      <c r="X359" s="154" t="s">
        <v>421</v>
      </c>
      <c r="Y359" s="154">
        <v>0.30654889499491855</v>
      </c>
      <c r="Z359" s="154">
        <v>267.75073135721067</v>
      </c>
      <c r="AC359" s="28" t="s">
        <v>421</v>
      </c>
      <c r="AD359" s="28" t="s">
        <v>421</v>
      </c>
      <c r="AE359" s="9" t="s">
        <v>421</v>
      </c>
      <c r="AF359" s="28" t="s">
        <v>421</v>
      </c>
      <c r="AG359" s="28">
        <v>0.42599999999999999</v>
      </c>
      <c r="AH359" s="28">
        <v>33.335999999999999</v>
      </c>
      <c r="AI359" s="28">
        <v>1.2999999999999999E-2</v>
      </c>
      <c r="AJ359" s="28">
        <v>1.4E-2</v>
      </c>
      <c r="AK359" s="28" t="s">
        <v>421</v>
      </c>
      <c r="AL359" s="28">
        <v>52.526000000000003</v>
      </c>
      <c r="AM359" s="28">
        <v>2.1999999999999999E-2</v>
      </c>
      <c r="AN359" s="28">
        <v>12.755000000000001</v>
      </c>
      <c r="AO359" s="28">
        <v>0.115</v>
      </c>
      <c r="AP359" s="156">
        <f t="shared" si="5"/>
        <v>99.206999999999994</v>
      </c>
    </row>
    <row r="360" spans="1:42" x14ac:dyDescent="0.2">
      <c r="A360" s="9" t="s">
        <v>1123</v>
      </c>
      <c r="B360" s="9" t="s">
        <v>1124</v>
      </c>
      <c r="C360" s="9" t="s">
        <v>110</v>
      </c>
      <c r="D360" s="9" t="s">
        <v>126</v>
      </c>
      <c r="E360" s="154">
        <v>291337.29069695796</v>
      </c>
      <c r="F360" s="154">
        <v>360065.4720057603</v>
      </c>
      <c r="G360" s="154">
        <v>1241.8201128996352</v>
      </c>
      <c r="H360" s="154">
        <v>75914.801022264612</v>
      </c>
      <c r="I360" s="154">
        <v>0.3700883236230772</v>
      </c>
      <c r="J360" s="154">
        <v>24928.717623771576</v>
      </c>
      <c r="K360" s="154">
        <v>495439.99999999994</v>
      </c>
      <c r="L360" s="154">
        <v>503329.9574758964</v>
      </c>
      <c r="M360" s="154">
        <v>19.345629998974982</v>
      </c>
      <c r="N360" s="154">
        <v>0.49584089777803841</v>
      </c>
      <c r="O360" s="154">
        <v>50.963742494751067</v>
      </c>
      <c r="P360" s="154" t="s">
        <v>421</v>
      </c>
      <c r="Q360" s="154">
        <v>387.3048383080548</v>
      </c>
      <c r="R360" s="154">
        <v>7404.6973882338198</v>
      </c>
      <c r="S360" s="154">
        <v>187.35686324446522</v>
      </c>
      <c r="T360" s="154">
        <v>3474.83085853786</v>
      </c>
      <c r="U360" s="154">
        <v>4107.044645290729</v>
      </c>
      <c r="V360" s="154">
        <v>27.853428114186329</v>
      </c>
      <c r="W360" s="154">
        <v>43.662036889002401</v>
      </c>
      <c r="X360" s="154">
        <v>1.1598956655827797</v>
      </c>
      <c r="Y360" s="154">
        <v>199.74144682842478</v>
      </c>
      <c r="Z360" s="154">
        <v>175.54243832543648</v>
      </c>
      <c r="AC360" s="28" t="s">
        <v>421</v>
      </c>
      <c r="AD360" s="28" t="s">
        <v>421</v>
      </c>
      <c r="AE360" s="9" t="s">
        <v>421</v>
      </c>
      <c r="AF360" s="28" t="s">
        <v>421</v>
      </c>
      <c r="AG360" s="28">
        <v>0.56000000000000005</v>
      </c>
      <c r="AH360" s="28">
        <v>33.029000000000003</v>
      </c>
      <c r="AI360" s="28">
        <v>2.222</v>
      </c>
      <c r="AJ360" s="28">
        <v>1.7999999999999999E-2</v>
      </c>
      <c r="AK360" s="28">
        <v>7.6999999999999999E-2</v>
      </c>
      <c r="AL360" s="28">
        <v>49.543999999999997</v>
      </c>
      <c r="AM360" s="28">
        <v>5.5970000000000004</v>
      </c>
      <c r="AN360" s="28">
        <v>8.6989999999999998</v>
      </c>
      <c r="AO360" s="28">
        <v>0.24</v>
      </c>
      <c r="AP360" s="156">
        <f t="shared" si="5"/>
        <v>99.98599999999999</v>
      </c>
    </row>
    <row r="361" spans="1:42" x14ac:dyDescent="0.2">
      <c r="A361" s="9" t="s">
        <v>1125</v>
      </c>
      <c r="B361" s="9" t="s">
        <v>1126</v>
      </c>
      <c r="C361" s="9" t="s">
        <v>110</v>
      </c>
      <c r="D361" s="9" t="s">
        <v>126</v>
      </c>
      <c r="E361" s="154">
        <v>292019.31795725378</v>
      </c>
      <c r="F361" s="154">
        <v>365131.36234450067</v>
      </c>
      <c r="G361" s="154">
        <v>2168.9405784436854</v>
      </c>
      <c r="H361" s="154">
        <v>100846.80591318721</v>
      </c>
      <c r="I361" s="154">
        <v>0.12234125975016388</v>
      </c>
      <c r="J361" s="154">
        <v>2084.8786204155053</v>
      </c>
      <c r="K361" s="154">
        <v>538230</v>
      </c>
      <c r="L361" s="154">
        <v>536770.42849337868</v>
      </c>
      <c r="M361" s="154">
        <v>23.810138232223192</v>
      </c>
      <c r="N361" s="154" t="s">
        <v>421</v>
      </c>
      <c r="O361" s="154">
        <v>0.2255295794377111</v>
      </c>
      <c r="P361" s="154" t="s">
        <v>421</v>
      </c>
      <c r="Q361" s="154">
        <v>50.354109209553982</v>
      </c>
      <c r="R361" s="154">
        <v>8268.6512623468516</v>
      </c>
      <c r="S361" s="154">
        <v>149.21546410938271</v>
      </c>
      <c r="T361" s="154">
        <v>224.63214364219348</v>
      </c>
      <c r="U361" s="154">
        <v>230.51289722223203</v>
      </c>
      <c r="V361" s="154">
        <v>5.5901450678735278</v>
      </c>
      <c r="W361" s="154">
        <v>57.584016832398305</v>
      </c>
      <c r="X361" s="154">
        <v>8.4074041565405336E-2</v>
      </c>
      <c r="Y361" s="154">
        <v>9.9350996499007564</v>
      </c>
      <c r="Z361" s="154">
        <v>148.45171482099926</v>
      </c>
      <c r="AC361" s="28" t="s">
        <v>421</v>
      </c>
      <c r="AD361" s="28" t="s">
        <v>421</v>
      </c>
      <c r="AE361" s="9" t="s">
        <v>421</v>
      </c>
      <c r="AF361" s="28" t="s">
        <v>421</v>
      </c>
      <c r="AG361" s="28">
        <v>0.501</v>
      </c>
      <c r="AH361" s="28">
        <v>33.256</v>
      </c>
      <c r="AI361" s="28">
        <v>3.3000000000000002E-2</v>
      </c>
      <c r="AJ361" s="28" t="s">
        <v>421</v>
      </c>
      <c r="AK361" s="28" t="s">
        <v>421</v>
      </c>
      <c r="AL361" s="28">
        <v>53.823</v>
      </c>
      <c r="AM361" s="28">
        <v>0.33400000000000002</v>
      </c>
      <c r="AN361" s="28">
        <v>11.122999999999999</v>
      </c>
      <c r="AO361" s="28">
        <v>0.307</v>
      </c>
      <c r="AP361" s="156">
        <f t="shared" si="5"/>
        <v>99.37700000000001</v>
      </c>
    </row>
    <row r="362" spans="1:42" x14ac:dyDescent="0.2">
      <c r="A362" s="9" t="s">
        <v>1127</v>
      </c>
      <c r="B362" s="9" t="s">
        <v>1128</v>
      </c>
      <c r="C362" s="9" t="s">
        <v>110</v>
      </c>
      <c r="D362" s="9" t="s">
        <v>126</v>
      </c>
      <c r="E362" s="154">
        <v>294307.79019816319</v>
      </c>
      <c r="F362" s="154">
        <v>359562.19618913776</v>
      </c>
      <c r="G362" s="154">
        <v>417.77247181131111</v>
      </c>
      <c r="H362" s="154">
        <v>102112.39750203531</v>
      </c>
      <c r="I362" s="154">
        <v>0.50761576305849709</v>
      </c>
      <c r="J362" s="154">
        <v>751.33189505622602</v>
      </c>
      <c r="K362" s="154">
        <v>518960</v>
      </c>
      <c r="L362" s="154">
        <v>518627.90244384191</v>
      </c>
      <c r="M362" s="154">
        <v>35.742289316616585</v>
      </c>
      <c r="N362" s="154" t="s">
        <v>421</v>
      </c>
      <c r="O362" s="154">
        <v>1.5476885854833204</v>
      </c>
      <c r="P362" s="154" t="s">
        <v>421</v>
      </c>
      <c r="Q362" s="154">
        <v>21.640588631921364</v>
      </c>
      <c r="R362" s="154">
        <v>8652.0293995626962</v>
      </c>
      <c r="S362" s="154">
        <v>418.68213092339118</v>
      </c>
      <c r="T362" s="154">
        <v>57.987181428678312</v>
      </c>
      <c r="U362" s="154">
        <v>53.42214030765696</v>
      </c>
      <c r="V362" s="154">
        <v>2.1149015872393679</v>
      </c>
      <c r="W362" s="154">
        <v>52.836788376288858</v>
      </c>
      <c r="X362" s="154">
        <v>0.10219600577252709</v>
      </c>
      <c r="Y362" s="154">
        <v>5.810988150167482</v>
      </c>
      <c r="Z362" s="154">
        <v>418.48497450653366</v>
      </c>
      <c r="AC362" s="28" t="s">
        <v>421</v>
      </c>
      <c r="AD362" s="28" t="s">
        <v>421</v>
      </c>
      <c r="AE362" s="9" t="s">
        <v>421</v>
      </c>
      <c r="AF362" s="28" t="s">
        <v>421</v>
      </c>
      <c r="AG362" s="28">
        <v>0.57299999999999995</v>
      </c>
      <c r="AH362" s="28">
        <v>33.576000000000001</v>
      </c>
      <c r="AI362" s="28">
        <v>8.9999999999999993E-3</v>
      </c>
      <c r="AJ362" s="28">
        <v>5.3999999999999999E-2</v>
      </c>
      <c r="AK362" s="28" t="s">
        <v>421</v>
      </c>
      <c r="AL362" s="28">
        <v>51.896000000000001</v>
      </c>
      <c r="AM362" s="28">
        <v>6.2E-2</v>
      </c>
      <c r="AN362" s="28">
        <v>13.031000000000001</v>
      </c>
      <c r="AO362" s="28">
        <v>5.5E-2</v>
      </c>
      <c r="AP362" s="156">
        <f t="shared" si="5"/>
        <v>99.256000000000014</v>
      </c>
    </row>
    <row r="363" spans="1:42" x14ac:dyDescent="0.2">
      <c r="A363" s="9" t="s">
        <v>1129</v>
      </c>
      <c r="B363" s="9" t="s">
        <v>1130</v>
      </c>
      <c r="C363" s="9" t="s">
        <v>110</v>
      </c>
      <c r="D363" s="9" t="s">
        <v>126</v>
      </c>
      <c r="E363" s="154">
        <v>287752.13454768748</v>
      </c>
      <c r="F363" s="154">
        <v>289416.61977929197</v>
      </c>
      <c r="G363" s="154">
        <v>414.75543986528163</v>
      </c>
      <c r="H363" s="154">
        <v>100756.0570085027</v>
      </c>
      <c r="I363" s="154">
        <v>0.60966218288137886</v>
      </c>
      <c r="J363" s="154">
        <v>1653.9034575925768</v>
      </c>
      <c r="K363" s="154">
        <v>520000</v>
      </c>
      <c r="L363" s="154">
        <v>520233.19203780981</v>
      </c>
      <c r="M363" s="154">
        <v>35.662257359964769</v>
      </c>
      <c r="N363" s="154">
        <v>0.2853514137954955</v>
      </c>
      <c r="O363" s="154" t="s">
        <v>421</v>
      </c>
      <c r="P363" s="154" t="s">
        <v>421</v>
      </c>
      <c r="Q363" s="154">
        <v>31.868410287433324</v>
      </c>
      <c r="R363" s="154">
        <v>6155.5989403305684</v>
      </c>
      <c r="S363" s="154">
        <v>865.75276745273743</v>
      </c>
      <c r="T363" s="154">
        <v>396.28532102247567</v>
      </c>
      <c r="U363" s="154">
        <v>399.7736171469225</v>
      </c>
      <c r="V363" s="154">
        <v>0.1080898208029922</v>
      </c>
      <c r="W363" s="154">
        <v>13.652262847541737</v>
      </c>
      <c r="X363" s="154" t="s">
        <v>421</v>
      </c>
      <c r="Y363" s="154">
        <v>0.49227984006304998</v>
      </c>
      <c r="Z363" s="154">
        <v>864.40539736126107</v>
      </c>
      <c r="AC363" s="28" t="s">
        <v>421</v>
      </c>
      <c r="AD363" s="28" t="s">
        <v>421</v>
      </c>
      <c r="AE363" s="9" t="s">
        <v>421</v>
      </c>
      <c r="AF363" s="28" t="s">
        <v>421</v>
      </c>
      <c r="AG363" s="28">
        <v>0.65900000000000003</v>
      </c>
      <c r="AH363" s="28">
        <v>33.564999999999998</v>
      </c>
      <c r="AI363" s="28">
        <v>4.5999999999999999E-2</v>
      </c>
      <c r="AJ363" s="28">
        <v>0.182</v>
      </c>
      <c r="AK363" s="28">
        <v>5.0000000000000001E-3</v>
      </c>
      <c r="AL363" s="28">
        <v>52</v>
      </c>
      <c r="AM363" s="28">
        <v>0.193</v>
      </c>
      <c r="AN363" s="28">
        <v>13.163</v>
      </c>
      <c r="AO363" s="28">
        <v>4.8000000000000001E-2</v>
      </c>
      <c r="AP363" s="156">
        <f t="shared" si="5"/>
        <v>99.86099999999999</v>
      </c>
    </row>
    <row r="364" spans="1:42" x14ac:dyDescent="0.2">
      <c r="A364" s="9" t="s">
        <v>1131</v>
      </c>
      <c r="B364" s="9" t="s">
        <v>1132</v>
      </c>
      <c r="C364" s="9" t="s">
        <v>110</v>
      </c>
      <c r="D364" s="9" t="s">
        <v>126</v>
      </c>
      <c r="E364" s="154">
        <v>281483.96094404469</v>
      </c>
      <c r="F364" s="154">
        <v>285227.67686510872</v>
      </c>
      <c r="G364" s="154">
        <v>479.0615870403459</v>
      </c>
      <c r="H364" s="154">
        <v>95792.886177049077</v>
      </c>
      <c r="I364" s="154">
        <v>0.25519942179483113</v>
      </c>
      <c r="J364" s="154">
        <v>2730.9978264066899</v>
      </c>
      <c r="K364" s="154">
        <v>521240</v>
      </c>
      <c r="L364" s="154">
        <v>525173.0145246858</v>
      </c>
      <c r="M364" s="154">
        <v>26.206413294175441</v>
      </c>
      <c r="N364" s="154">
        <v>0.2537450824971606</v>
      </c>
      <c r="O364" s="154">
        <v>0.15188601184361969</v>
      </c>
      <c r="P364" s="154" t="s">
        <v>421</v>
      </c>
      <c r="Q364" s="154">
        <v>82.981233144638182</v>
      </c>
      <c r="R364" s="154">
        <v>5582.5857724130237</v>
      </c>
      <c r="S364" s="154">
        <v>299.30749744892802</v>
      </c>
      <c r="T364" s="154">
        <v>512.01226157449889</v>
      </c>
      <c r="U364" s="154">
        <v>511.29225672293211</v>
      </c>
      <c r="V364" s="154">
        <v>5.8051081268346962</v>
      </c>
      <c r="W364" s="154">
        <v>12.727196489697128</v>
      </c>
      <c r="X364" s="154">
        <v>7.6137544446689576E-2</v>
      </c>
      <c r="Y364" s="154">
        <v>6.8777321697381693</v>
      </c>
      <c r="Z364" s="154">
        <v>297.5666557595747</v>
      </c>
      <c r="AC364" s="28" t="s">
        <v>421</v>
      </c>
      <c r="AD364" s="28" t="s">
        <v>421</v>
      </c>
      <c r="AE364" s="9" t="s">
        <v>421</v>
      </c>
      <c r="AF364" s="28" t="s">
        <v>421</v>
      </c>
      <c r="AG364" s="28">
        <v>0.59099999999999997</v>
      </c>
      <c r="AH364" s="28">
        <v>33.165999999999997</v>
      </c>
      <c r="AI364" s="28">
        <v>6.6000000000000003E-2</v>
      </c>
      <c r="AJ364" s="28">
        <v>2.5000000000000001E-2</v>
      </c>
      <c r="AK364" s="28" t="s">
        <v>421</v>
      </c>
      <c r="AL364" s="28">
        <v>52.124000000000002</v>
      </c>
      <c r="AM364" s="28">
        <v>0.14899999999999999</v>
      </c>
      <c r="AN364" s="28">
        <v>12.859</v>
      </c>
      <c r="AO364" s="28">
        <v>6.2E-2</v>
      </c>
      <c r="AP364" s="156">
        <f t="shared" si="5"/>
        <v>99.042000000000002</v>
      </c>
    </row>
    <row r="365" spans="1:42" x14ac:dyDescent="0.2">
      <c r="A365" s="9" t="s">
        <v>1133</v>
      </c>
      <c r="B365" s="9" t="s">
        <v>1134</v>
      </c>
      <c r="C365" s="9" t="s">
        <v>110</v>
      </c>
      <c r="D365" s="9" t="s">
        <v>126</v>
      </c>
      <c r="E365" s="154">
        <v>280537.68807419378</v>
      </c>
      <c r="F365" s="154">
        <v>279185.93612775643</v>
      </c>
      <c r="G365" s="154">
        <v>689.83796384225991</v>
      </c>
      <c r="H365" s="154">
        <v>89192.062703607226</v>
      </c>
      <c r="I365" s="154">
        <v>1.7904477065560416</v>
      </c>
      <c r="J365" s="154">
        <v>9563.3953912559609</v>
      </c>
      <c r="K365" s="154">
        <v>523960</v>
      </c>
      <c r="L365" s="154">
        <v>517765.01387668552</v>
      </c>
      <c r="M365" s="154">
        <v>15.729782490026867</v>
      </c>
      <c r="N365" s="154" t="s">
        <v>421</v>
      </c>
      <c r="O365" s="154">
        <v>0.25508605308244486</v>
      </c>
      <c r="P365" s="154">
        <v>0.83809892939535846</v>
      </c>
      <c r="Q365" s="154">
        <v>237.48369235997728</v>
      </c>
      <c r="R365" s="154">
        <v>5552.3299973555313</v>
      </c>
      <c r="S365" s="154">
        <v>293.66995690503524</v>
      </c>
      <c r="T365" s="154">
        <v>296.654452369588</v>
      </c>
      <c r="U365" s="154">
        <v>282.05861389211788</v>
      </c>
      <c r="V365" s="154">
        <v>11.413840509344201</v>
      </c>
      <c r="W365" s="154">
        <v>13.002901666721558</v>
      </c>
      <c r="X365" s="154">
        <v>0.6908940923086323</v>
      </c>
      <c r="Y365" s="154">
        <v>49.204339754485105</v>
      </c>
      <c r="Z365" s="154">
        <v>292.66133176697866</v>
      </c>
      <c r="AC365" s="28" t="s">
        <v>421</v>
      </c>
      <c r="AD365" s="28" t="s">
        <v>421</v>
      </c>
      <c r="AE365" s="9" t="s">
        <v>421</v>
      </c>
      <c r="AF365" s="28" t="s">
        <v>421</v>
      </c>
      <c r="AG365" s="28">
        <v>0.53900000000000003</v>
      </c>
      <c r="AH365" s="28">
        <v>33.439</v>
      </c>
      <c r="AI365" s="28">
        <v>2.9000000000000001E-2</v>
      </c>
      <c r="AJ365" s="28">
        <v>4.2999999999999997E-2</v>
      </c>
      <c r="AK365" s="28">
        <v>4.9000000000000002E-2</v>
      </c>
      <c r="AL365" s="28">
        <v>52.396000000000001</v>
      </c>
      <c r="AM365" s="28">
        <v>1.1739999999999999</v>
      </c>
      <c r="AN365" s="28">
        <v>11.75</v>
      </c>
      <c r="AO365" s="28">
        <v>0.121</v>
      </c>
      <c r="AP365" s="156">
        <f t="shared" si="5"/>
        <v>99.54</v>
      </c>
    </row>
    <row r="366" spans="1:42" x14ac:dyDescent="0.2">
      <c r="A366" s="9" t="s">
        <v>1135</v>
      </c>
      <c r="B366" s="9" t="s">
        <v>1136</v>
      </c>
      <c r="C366" s="9" t="s">
        <v>110</v>
      </c>
      <c r="D366" s="9" t="s">
        <v>126</v>
      </c>
      <c r="E366" s="154">
        <v>332546.24537388945</v>
      </c>
      <c r="F366" s="154">
        <v>325020.18013541552</v>
      </c>
      <c r="G366" s="154">
        <v>658.22808386235533</v>
      </c>
      <c r="H366" s="154">
        <v>113896.63855595351</v>
      </c>
      <c r="I366" s="154">
        <v>0.41445431515734604</v>
      </c>
      <c r="J366" s="154">
        <v>8116.7700649545295</v>
      </c>
      <c r="K366" s="154">
        <v>525500</v>
      </c>
      <c r="L366" s="154">
        <v>530592.08047200355</v>
      </c>
      <c r="M366" s="154">
        <v>27.150577537028219</v>
      </c>
      <c r="N366" s="154">
        <v>0.16989802645285057</v>
      </c>
      <c r="O366" s="154">
        <v>14.92491529300068</v>
      </c>
      <c r="P366" s="154">
        <v>0.44508944827746411</v>
      </c>
      <c r="Q366" s="154">
        <v>127.59455408667463</v>
      </c>
      <c r="R366" s="154">
        <v>4445.4151948621238</v>
      </c>
      <c r="S366" s="154">
        <v>367.33650629710462</v>
      </c>
      <c r="T366" s="154">
        <v>5989.8913343890654</v>
      </c>
      <c r="U366" s="154">
        <v>6072.8625320400415</v>
      </c>
      <c r="V366" s="154">
        <v>1.493105534721191</v>
      </c>
      <c r="W366" s="154">
        <v>108.27218087066535</v>
      </c>
      <c r="X366" s="154">
        <v>5.0468016482021205E-2</v>
      </c>
      <c r="Y366" s="154">
        <v>583.62485615504158</v>
      </c>
      <c r="Z366" s="154">
        <v>346.9708757601818</v>
      </c>
      <c r="AC366" s="28" t="s">
        <v>421</v>
      </c>
      <c r="AD366" s="28" t="s">
        <v>421</v>
      </c>
      <c r="AE366" s="9" t="s">
        <v>421</v>
      </c>
      <c r="AF366" s="28" t="s">
        <v>421</v>
      </c>
      <c r="AG366" s="28">
        <v>0.498</v>
      </c>
      <c r="AH366" s="28">
        <v>33.515999999999998</v>
      </c>
      <c r="AI366" s="28">
        <v>4.3999999999999997E-2</v>
      </c>
      <c r="AJ366" s="28">
        <v>0.02</v>
      </c>
      <c r="AK366" s="28" t="s">
        <v>421</v>
      </c>
      <c r="AL366" s="28">
        <v>52.55</v>
      </c>
      <c r="AM366" s="28">
        <v>0.13400000000000001</v>
      </c>
      <c r="AN366" s="28">
        <v>12.646000000000001</v>
      </c>
      <c r="AO366" s="28">
        <v>0.09</v>
      </c>
      <c r="AP366" s="156">
        <f t="shared" si="5"/>
        <v>99.49799999999999</v>
      </c>
    </row>
    <row r="367" spans="1:42" x14ac:dyDescent="0.2">
      <c r="A367" s="9" t="s">
        <v>1137</v>
      </c>
      <c r="B367" s="9" t="s">
        <v>1138</v>
      </c>
      <c r="C367" s="9" t="s">
        <v>110</v>
      </c>
      <c r="D367" s="9" t="s">
        <v>126</v>
      </c>
      <c r="E367" s="154">
        <v>311426.5846751373</v>
      </c>
      <c r="F367" s="154">
        <v>309802.28887510335</v>
      </c>
      <c r="G367" s="154">
        <v>649.63784575982868</v>
      </c>
      <c r="H367" s="154">
        <v>102387.31472326217</v>
      </c>
      <c r="I367" s="154">
        <v>0.23355801645478805</v>
      </c>
      <c r="J367" s="154">
        <v>1417.287005810784</v>
      </c>
      <c r="K367" s="154">
        <v>526410</v>
      </c>
      <c r="L367" s="154">
        <v>532233.14764987363</v>
      </c>
      <c r="M367" s="154">
        <v>29.695217394936765</v>
      </c>
      <c r="N367" s="154">
        <v>0.31662095006305552</v>
      </c>
      <c r="O367" s="154">
        <v>0.46256076208289942</v>
      </c>
      <c r="P367" s="154" t="s">
        <v>421</v>
      </c>
      <c r="Q367" s="154">
        <v>14.406630383480884</v>
      </c>
      <c r="R367" s="154">
        <v>5164.9848341376801</v>
      </c>
      <c r="S367" s="154">
        <v>403.58628651997634</v>
      </c>
      <c r="T367" s="154">
        <v>658.42319539108894</v>
      </c>
      <c r="U367" s="154">
        <v>673.26054412182066</v>
      </c>
      <c r="V367" s="154">
        <v>8.8713197968253638E-2</v>
      </c>
      <c r="W367" s="154">
        <v>18.059482874048655</v>
      </c>
      <c r="X367" s="154" t="s">
        <v>421</v>
      </c>
      <c r="Y367" s="154">
        <v>2.5395619081214171</v>
      </c>
      <c r="Z367" s="154">
        <v>401.34764765564665</v>
      </c>
      <c r="AC367" s="28" t="s">
        <v>421</v>
      </c>
      <c r="AD367" s="28" t="s">
        <v>421</v>
      </c>
      <c r="AE367" s="9" t="s">
        <v>421</v>
      </c>
      <c r="AF367" s="28" t="s">
        <v>421</v>
      </c>
      <c r="AG367" s="28">
        <v>0.56799999999999995</v>
      </c>
      <c r="AH367" s="28">
        <v>33.753</v>
      </c>
      <c r="AI367" s="28">
        <v>7.8E-2</v>
      </c>
      <c r="AJ367" s="28">
        <v>6.0999999999999999E-2</v>
      </c>
      <c r="AK367" s="28" t="s">
        <v>421</v>
      </c>
      <c r="AL367" s="28">
        <v>52.640999999999998</v>
      </c>
      <c r="AM367" s="28">
        <v>0.126</v>
      </c>
      <c r="AN367" s="28">
        <v>12.718</v>
      </c>
      <c r="AO367" s="28">
        <v>7.8E-2</v>
      </c>
      <c r="AP367" s="156">
        <f t="shared" si="5"/>
        <v>100.02300000000001</v>
      </c>
    </row>
    <row r="368" spans="1:42" x14ac:dyDescent="0.2">
      <c r="A368" s="9" t="s">
        <v>1139</v>
      </c>
      <c r="B368" s="9" t="s">
        <v>1140</v>
      </c>
      <c r="C368" s="9" t="s">
        <v>110</v>
      </c>
      <c r="D368" s="9" t="s">
        <v>126</v>
      </c>
      <c r="E368" s="154">
        <v>296532.32901253318</v>
      </c>
      <c r="F368" s="154">
        <v>300594.23534566886</v>
      </c>
      <c r="G368" s="154">
        <v>832.10260404337021</v>
      </c>
      <c r="H368" s="154">
        <v>105403.22298516378</v>
      </c>
      <c r="I368" s="154">
        <v>0.64200481888269156</v>
      </c>
      <c r="J368" s="154">
        <v>1565.001424694319</v>
      </c>
      <c r="K368" s="154">
        <v>512530</v>
      </c>
      <c r="L368" s="154">
        <v>509239.38291097491</v>
      </c>
      <c r="M368" s="154">
        <v>13.459496077093432</v>
      </c>
      <c r="N368" s="154" t="s">
        <v>421</v>
      </c>
      <c r="O368" s="154">
        <v>4.0772915067583799</v>
      </c>
      <c r="P368" s="154" t="s">
        <v>421</v>
      </c>
      <c r="Q368" s="154">
        <v>55.402822698120964</v>
      </c>
      <c r="R368" s="154">
        <v>7171.6061652362714</v>
      </c>
      <c r="S368" s="154">
        <v>893.48327769063758</v>
      </c>
      <c r="T368" s="154">
        <v>250.82272456213667</v>
      </c>
      <c r="U368" s="154">
        <v>249.20695927036817</v>
      </c>
      <c r="V368" s="154">
        <v>1.703204882408579</v>
      </c>
      <c r="W368" s="154">
        <v>19.706039247767219</v>
      </c>
      <c r="X368" s="154">
        <v>7.1006337210928888E-2</v>
      </c>
      <c r="Y368" s="154">
        <v>2.6977679360396443</v>
      </c>
      <c r="Z368" s="154">
        <v>892.63048042712626</v>
      </c>
      <c r="AC368" s="28" t="s">
        <v>421</v>
      </c>
      <c r="AD368" s="28" t="s">
        <v>421</v>
      </c>
      <c r="AE368" s="9" t="s">
        <v>421</v>
      </c>
      <c r="AF368" s="28" t="s">
        <v>421</v>
      </c>
      <c r="AG368" s="28">
        <v>0.75900000000000001</v>
      </c>
      <c r="AH368" s="28">
        <v>33.286999999999999</v>
      </c>
      <c r="AI368" s="28">
        <v>5.5E-2</v>
      </c>
      <c r="AJ368" s="28">
        <v>0.115</v>
      </c>
      <c r="AK368" s="28" t="s">
        <v>421</v>
      </c>
      <c r="AL368" s="28">
        <v>51.253</v>
      </c>
      <c r="AM368" s="28">
        <v>0.124</v>
      </c>
      <c r="AN368" s="28">
        <v>13.226000000000001</v>
      </c>
      <c r="AO368" s="28">
        <v>0.13300000000000001</v>
      </c>
      <c r="AP368" s="156">
        <f t="shared" si="5"/>
        <v>98.951999999999984</v>
      </c>
    </row>
    <row r="369" spans="1:42" x14ac:dyDescent="0.2">
      <c r="A369" s="9" t="s">
        <v>1141</v>
      </c>
      <c r="B369" s="9" t="s">
        <v>1142</v>
      </c>
      <c r="C369" s="9" t="s">
        <v>127</v>
      </c>
      <c r="D369" s="9" t="s">
        <v>128</v>
      </c>
      <c r="E369" s="154">
        <v>319753.82036038843</v>
      </c>
      <c r="F369" s="154">
        <v>286509.06641418918</v>
      </c>
      <c r="G369" s="154">
        <v>119.01705170146285</v>
      </c>
      <c r="H369" s="154">
        <v>5419.6887069778768</v>
      </c>
      <c r="I369" s="154">
        <v>7.1928392395573096E-2</v>
      </c>
      <c r="J369" s="154">
        <v>22.804468025988008</v>
      </c>
      <c r="K369" s="154">
        <v>647146</v>
      </c>
      <c r="L369" s="154">
        <v>647833.16915762948</v>
      </c>
      <c r="M369" s="154">
        <v>35.807561951199567</v>
      </c>
      <c r="N369" s="154">
        <v>11.074375973796798</v>
      </c>
      <c r="O369" s="154">
        <v>14.636001710679409</v>
      </c>
      <c r="P369" s="154">
        <v>2.6017305933166814</v>
      </c>
      <c r="Q369" s="154">
        <v>21.610149359592988</v>
      </c>
      <c r="R369" s="154">
        <v>483.93278215475289</v>
      </c>
      <c r="S369" s="154">
        <v>3.2252001556102118E-2</v>
      </c>
      <c r="T369" s="154">
        <v>0.35628646753325915</v>
      </c>
      <c r="U369" s="154">
        <v>0.36121126122839847</v>
      </c>
      <c r="V369" s="154">
        <v>959.62828299418356</v>
      </c>
      <c r="W369" s="154">
        <v>38.935816971222167</v>
      </c>
      <c r="X369" s="154">
        <v>116.27797378385127</v>
      </c>
      <c r="Y369" s="154">
        <v>1036.5150926809292</v>
      </c>
      <c r="Z369" s="154">
        <v>3.1040627566489037E-2</v>
      </c>
      <c r="AC369" s="28" t="s">
        <v>421</v>
      </c>
      <c r="AD369" s="28" t="s">
        <v>421</v>
      </c>
      <c r="AE369" s="9" t="s">
        <v>1626</v>
      </c>
      <c r="AF369" s="28" t="s">
        <v>1626</v>
      </c>
      <c r="AG369" s="28" t="s">
        <v>421</v>
      </c>
      <c r="AH369" s="28">
        <v>32.629600000000003</v>
      </c>
      <c r="AI369" s="28" t="s">
        <v>1626</v>
      </c>
      <c r="AJ369" s="28" t="s">
        <v>1626</v>
      </c>
      <c r="AK369" s="28" t="s">
        <v>1626</v>
      </c>
      <c r="AL369" s="28">
        <v>64.714600000000004</v>
      </c>
      <c r="AM369" s="28" t="s">
        <v>1626</v>
      </c>
      <c r="AN369" s="28">
        <v>1.1039000000000001</v>
      </c>
      <c r="AO369" s="28" t="s">
        <v>1626</v>
      </c>
      <c r="AP369" s="156">
        <f t="shared" si="5"/>
        <v>98.448099999999997</v>
      </c>
    </row>
    <row r="370" spans="1:42" x14ac:dyDescent="0.2">
      <c r="A370" s="9" t="s">
        <v>1143</v>
      </c>
      <c r="B370" s="9" t="s">
        <v>1144</v>
      </c>
      <c r="C370" s="9" t="s">
        <v>127</v>
      </c>
      <c r="D370" s="9" t="s">
        <v>128</v>
      </c>
      <c r="E370" s="154">
        <v>308932.39251964435</v>
      </c>
      <c r="F370" s="154">
        <v>295403.22033981403</v>
      </c>
      <c r="G370" s="154">
        <v>123.11812280576356</v>
      </c>
      <c r="H370" s="154">
        <v>10418.846449011071</v>
      </c>
      <c r="I370" s="154">
        <v>9.8992261207107676E-2</v>
      </c>
      <c r="J370" s="154">
        <v>23.605841514513479</v>
      </c>
      <c r="K370" s="154">
        <v>648809</v>
      </c>
      <c r="L370" s="154">
        <v>649669.57816266571</v>
      </c>
      <c r="M370" s="154">
        <v>45.196959182915066</v>
      </c>
      <c r="N370" s="154">
        <v>25.94190112158666</v>
      </c>
      <c r="O370" s="154">
        <v>47.764736145984301</v>
      </c>
      <c r="P370" s="154">
        <v>2.2973887486480562</v>
      </c>
      <c r="Q370" s="154">
        <v>14.698974426883339</v>
      </c>
      <c r="R370" s="154">
        <v>31.373884506523897</v>
      </c>
      <c r="S370" s="154">
        <v>2.5324757353409909E-2</v>
      </c>
      <c r="T370" s="154">
        <v>0.27579858342078523</v>
      </c>
      <c r="U370" s="154" t="s">
        <v>421</v>
      </c>
      <c r="V370" s="154">
        <v>4023.1892603006704</v>
      </c>
      <c r="W370" s="154">
        <v>23.194784804714153</v>
      </c>
      <c r="X370" s="154">
        <v>373.91151923158645</v>
      </c>
      <c r="Y370" s="154">
        <v>4419.2702583436358</v>
      </c>
      <c r="Z370" s="154">
        <v>2.438704216977924E-2</v>
      </c>
      <c r="AC370" s="28" t="s">
        <v>421</v>
      </c>
      <c r="AD370" s="28" t="s">
        <v>421</v>
      </c>
      <c r="AE370" s="9" t="s">
        <v>1626</v>
      </c>
      <c r="AF370" s="28" t="s">
        <v>1626</v>
      </c>
      <c r="AG370" s="28">
        <v>6.0000000000000001E-3</v>
      </c>
      <c r="AH370" s="28">
        <v>32.694800000000001</v>
      </c>
      <c r="AI370" s="28" t="s">
        <v>1626</v>
      </c>
      <c r="AJ370" s="28" t="s">
        <v>1626</v>
      </c>
      <c r="AK370" s="28" t="s">
        <v>1626</v>
      </c>
      <c r="AL370" s="28">
        <v>64.880899999999997</v>
      </c>
      <c r="AM370" s="28" t="s">
        <v>1626</v>
      </c>
      <c r="AN370" s="28">
        <v>1.2130000000000001</v>
      </c>
      <c r="AO370" s="28" t="s">
        <v>1626</v>
      </c>
      <c r="AP370" s="156">
        <f t="shared" si="5"/>
        <v>98.794699999999992</v>
      </c>
    </row>
    <row r="371" spans="1:42" x14ac:dyDescent="0.2">
      <c r="A371" s="9" t="s">
        <v>1145</v>
      </c>
      <c r="B371" s="9" t="s">
        <v>1146</v>
      </c>
      <c r="C371" s="9" t="s">
        <v>127</v>
      </c>
      <c r="D371" s="9" t="s">
        <v>128</v>
      </c>
      <c r="E371" s="154">
        <v>316995.1709368428</v>
      </c>
      <c r="F371" s="154">
        <v>309794.91767002788</v>
      </c>
      <c r="G371" s="154">
        <v>168.02416554487746</v>
      </c>
      <c r="H371" s="154">
        <v>10275.038081434808</v>
      </c>
      <c r="I371" s="154">
        <v>4.1324621568120022E-2</v>
      </c>
      <c r="J371" s="154">
        <v>19.164429283521311</v>
      </c>
      <c r="K371" s="154">
        <v>644079</v>
      </c>
      <c r="L371" s="154">
        <v>644355.413286419</v>
      </c>
      <c r="M371" s="154">
        <v>54.492990285161781</v>
      </c>
      <c r="N371" s="154">
        <v>11.99646759439422</v>
      </c>
      <c r="O371" s="154">
        <v>24.986032378711577</v>
      </c>
      <c r="P371" s="154">
        <v>1.7575201112812568</v>
      </c>
      <c r="Q371" s="154">
        <v>44.733282733429817</v>
      </c>
      <c r="R371" s="154">
        <v>516.57397875757135</v>
      </c>
      <c r="S371" s="154" t="s">
        <v>421</v>
      </c>
      <c r="T371" s="154">
        <v>0.51092661442664544</v>
      </c>
      <c r="U371" s="154">
        <v>0.53591411401161104</v>
      </c>
      <c r="V371" s="154">
        <v>2959.0857048993316</v>
      </c>
      <c r="W371" s="154">
        <v>20.303620622928378</v>
      </c>
      <c r="X371" s="154">
        <v>269.70922925416312</v>
      </c>
      <c r="Y371" s="154">
        <v>3832.9874801667479</v>
      </c>
      <c r="Z371" s="154" t="s">
        <v>421</v>
      </c>
      <c r="AC371" s="28" t="s">
        <v>421</v>
      </c>
      <c r="AD371" s="28" t="s">
        <v>421</v>
      </c>
      <c r="AE371" s="9" t="s">
        <v>1626</v>
      </c>
      <c r="AF371" s="28" t="s">
        <v>1626</v>
      </c>
      <c r="AG371" s="28">
        <v>0.15079999999999999</v>
      </c>
      <c r="AH371" s="28">
        <v>32.714799999999997</v>
      </c>
      <c r="AI371" s="28" t="s">
        <v>1626</v>
      </c>
      <c r="AJ371" s="28" t="s">
        <v>1626</v>
      </c>
      <c r="AK371" s="28" t="s">
        <v>1626</v>
      </c>
      <c r="AL371" s="28">
        <v>64.407899999999998</v>
      </c>
      <c r="AM371" s="28" t="s">
        <v>1626</v>
      </c>
      <c r="AN371" s="28">
        <v>1.4463999999999999</v>
      </c>
      <c r="AO371" s="28" t="s">
        <v>1626</v>
      </c>
      <c r="AP371" s="156">
        <f t="shared" si="5"/>
        <v>98.719899999999981</v>
      </c>
    </row>
    <row r="372" spans="1:42" x14ac:dyDescent="0.2">
      <c r="A372" s="9" t="s">
        <v>1147</v>
      </c>
      <c r="B372" s="9" t="s">
        <v>1148</v>
      </c>
      <c r="C372" s="9" t="s">
        <v>127</v>
      </c>
      <c r="D372" s="9" t="s">
        <v>128</v>
      </c>
      <c r="E372" s="154">
        <v>315691.86268422421</v>
      </c>
      <c r="F372" s="154">
        <v>312932.51387372561</v>
      </c>
      <c r="G372" s="154">
        <v>184.45921056456868</v>
      </c>
      <c r="H372" s="154">
        <v>7605.2720600833682</v>
      </c>
      <c r="I372" s="154">
        <v>5.0588980386202999E-2</v>
      </c>
      <c r="J372" s="154">
        <v>248.84959738466387</v>
      </c>
      <c r="K372" s="154">
        <v>643961</v>
      </c>
      <c r="L372" s="154">
        <v>643401.16340561607</v>
      </c>
      <c r="M372" s="154">
        <v>42.625624928921866</v>
      </c>
      <c r="N372" s="154">
        <v>20.211222473659571</v>
      </c>
      <c r="O372" s="154">
        <v>42.326686217409218</v>
      </c>
      <c r="P372" s="154">
        <v>1.8451902937341944</v>
      </c>
      <c r="Q372" s="154">
        <v>138.27029290230371</v>
      </c>
      <c r="R372" s="154">
        <v>1311.1249355709751</v>
      </c>
      <c r="S372" s="154">
        <v>5.3735201595644631</v>
      </c>
      <c r="T372" s="154">
        <v>5.0941270982499622</v>
      </c>
      <c r="U372" s="154">
        <v>4.886512146215094</v>
      </c>
      <c r="V372" s="154">
        <v>5587.279303854014</v>
      </c>
      <c r="W372" s="154">
        <v>31.069088630007542</v>
      </c>
      <c r="X372" s="154">
        <v>480.05476054977328</v>
      </c>
      <c r="Y372" s="154">
        <v>6519.3138033291352</v>
      </c>
      <c r="Z372" s="154">
        <v>5.3562001274304132</v>
      </c>
      <c r="AC372" s="28" t="s">
        <v>421</v>
      </c>
      <c r="AD372" s="28" t="s">
        <v>421</v>
      </c>
      <c r="AE372" s="9" t="s">
        <v>1626</v>
      </c>
      <c r="AF372" s="28" t="s">
        <v>1626</v>
      </c>
      <c r="AG372" s="28">
        <v>0.33760000000000001</v>
      </c>
      <c r="AH372" s="28">
        <v>32.755499999999998</v>
      </c>
      <c r="AI372" s="28" t="s">
        <v>1626</v>
      </c>
      <c r="AJ372" s="28" t="s">
        <v>1626</v>
      </c>
      <c r="AK372" s="28" t="s">
        <v>1626</v>
      </c>
      <c r="AL372" s="28">
        <v>64.396100000000004</v>
      </c>
      <c r="AM372" s="28" t="s">
        <v>1626</v>
      </c>
      <c r="AN372" s="28">
        <v>0.99519999999999997</v>
      </c>
      <c r="AO372" s="28" t="s">
        <v>1626</v>
      </c>
      <c r="AP372" s="156">
        <f t="shared" si="5"/>
        <v>98.484400000000008</v>
      </c>
    </row>
    <row r="373" spans="1:42" x14ac:dyDescent="0.2">
      <c r="A373" s="9" t="s">
        <v>1149</v>
      </c>
      <c r="B373" s="9" t="s">
        <v>1150</v>
      </c>
      <c r="C373" s="9" t="s">
        <v>127</v>
      </c>
      <c r="D373" s="9" t="s">
        <v>128</v>
      </c>
      <c r="E373" s="154">
        <v>325658.88871403225</v>
      </c>
      <c r="F373" s="154">
        <v>311144.67865698331</v>
      </c>
      <c r="G373" s="154">
        <v>252.21077602174378</v>
      </c>
      <c r="H373" s="154">
        <v>9066.4252123370425</v>
      </c>
      <c r="I373" s="154">
        <v>3.6375746004792396E-2</v>
      </c>
      <c r="J373" s="154" t="s">
        <v>421</v>
      </c>
      <c r="K373" s="154">
        <v>634584</v>
      </c>
      <c r="L373" s="154">
        <v>639427.26131921995</v>
      </c>
      <c r="M373" s="154">
        <v>31.1074641703045</v>
      </c>
      <c r="N373" s="154">
        <v>47.261228439249329</v>
      </c>
      <c r="O373" s="154">
        <v>93.394985765821119</v>
      </c>
      <c r="P373" s="154" t="s">
        <v>421</v>
      </c>
      <c r="Q373" s="154">
        <v>40.490449285479201</v>
      </c>
      <c r="R373" s="154">
        <v>45.296787205299609</v>
      </c>
      <c r="S373" s="154" t="s">
        <v>421</v>
      </c>
      <c r="T373" s="154">
        <v>0.37468741112148968</v>
      </c>
      <c r="U373" s="154">
        <v>0.44430621210206361</v>
      </c>
      <c r="V373" s="154">
        <v>7186.6635585810591</v>
      </c>
      <c r="W373" s="154">
        <v>9.757394748447302</v>
      </c>
      <c r="X373" s="154">
        <v>1202.3387122787365</v>
      </c>
      <c r="Y373" s="154">
        <v>9990.7221145521944</v>
      </c>
      <c r="Z373" s="154" t="s">
        <v>421</v>
      </c>
      <c r="AC373" s="28" t="s">
        <v>421</v>
      </c>
      <c r="AD373" s="28" t="s">
        <v>421</v>
      </c>
      <c r="AE373" s="9" t="s">
        <v>1626</v>
      </c>
      <c r="AF373" s="28" t="s">
        <v>1626</v>
      </c>
      <c r="AG373" s="28" t="s">
        <v>421</v>
      </c>
      <c r="AH373" s="28">
        <v>32.624000000000002</v>
      </c>
      <c r="AI373" s="28" t="s">
        <v>1626</v>
      </c>
      <c r="AJ373" s="28" t="s">
        <v>1626</v>
      </c>
      <c r="AK373" s="28" t="s">
        <v>1626</v>
      </c>
      <c r="AL373" s="28">
        <v>63.458399999999997</v>
      </c>
      <c r="AM373" s="28" t="s">
        <v>1626</v>
      </c>
      <c r="AN373" s="28">
        <v>1.5407999999999999</v>
      </c>
      <c r="AO373" s="28" t="s">
        <v>1626</v>
      </c>
      <c r="AP373" s="156">
        <f t="shared" si="5"/>
        <v>97.623200000000011</v>
      </c>
    </row>
    <row r="374" spans="1:42" x14ac:dyDescent="0.2">
      <c r="A374" s="9" t="s">
        <v>1151</v>
      </c>
      <c r="B374" s="9" t="s">
        <v>1152</v>
      </c>
      <c r="C374" s="9" t="s">
        <v>127</v>
      </c>
      <c r="D374" s="9" t="s">
        <v>128</v>
      </c>
      <c r="E374" s="154">
        <v>326364.38924021524</v>
      </c>
      <c r="F374" s="154">
        <v>325384.85915566736</v>
      </c>
      <c r="G374" s="154">
        <v>223.28875872998753</v>
      </c>
      <c r="H374" s="154">
        <v>6922.4389317885352</v>
      </c>
      <c r="I374" s="154">
        <v>3.8267693319566767E-2</v>
      </c>
      <c r="J374" s="154">
        <v>0.134249213145607</v>
      </c>
      <c r="K374" s="154">
        <v>648715</v>
      </c>
      <c r="L374" s="154">
        <v>649725.18820917304</v>
      </c>
      <c r="M374" s="154">
        <v>38.201723097189245</v>
      </c>
      <c r="N374" s="154">
        <v>10.023776965574408</v>
      </c>
      <c r="O374" s="154">
        <v>22.68248741289252</v>
      </c>
      <c r="P374" s="154" t="s">
        <v>421</v>
      </c>
      <c r="Q374" s="154">
        <v>217.01020109563871</v>
      </c>
      <c r="R374" s="154">
        <v>3110.5434634842686</v>
      </c>
      <c r="S374" s="154" t="s">
        <v>421</v>
      </c>
      <c r="T374" s="154">
        <v>0.35504001326697571</v>
      </c>
      <c r="U374" s="154">
        <v>0.24414946111407035</v>
      </c>
      <c r="V374" s="154">
        <v>3002.2735238522587</v>
      </c>
      <c r="W374" s="154">
        <v>59.250552263187672</v>
      </c>
      <c r="X374" s="154">
        <v>236.74515208210937</v>
      </c>
      <c r="Y374" s="154">
        <v>3617.8545546300365</v>
      </c>
      <c r="Z374" s="154" t="s">
        <v>421</v>
      </c>
      <c r="AC374" s="28" t="s">
        <v>421</v>
      </c>
      <c r="AD374" s="28" t="s">
        <v>421</v>
      </c>
      <c r="AE374" s="9" t="s">
        <v>1626</v>
      </c>
      <c r="AF374" s="28" t="s">
        <v>1626</v>
      </c>
      <c r="AG374" s="28">
        <v>0.4289</v>
      </c>
      <c r="AH374" s="28">
        <v>32.829900000000002</v>
      </c>
      <c r="AI374" s="28" t="s">
        <v>1626</v>
      </c>
      <c r="AJ374" s="28" t="s">
        <v>1626</v>
      </c>
      <c r="AK374" s="28" t="s">
        <v>1626</v>
      </c>
      <c r="AL374" s="28">
        <v>64.871499999999997</v>
      </c>
      <c r="AM374" s="28" t="s">
        <v>1626</v>
      </c>
      <c r="AN374" s="28">
        <v>1.0853999999999999</v>
      </c>
      <c r="AO374" s="28" t="s">
        <v>1626</v>
      </c>
      <c r="AP374" s="156">
        <f t="shared" si="5"/>
        <v>99.215699999999998</v>
      </c>
    </row>
    <row r="375" spans="1:42" x14ac:dyDescent="0.2">
      <c r="A375" s="9" t="s">
        <v>1153</v>
      </c>
      <c r="B375" s="9" t="s">
        <v>1154</v>
      </c>
      <c r="C375" s="9" t="s">
        <v>127</v>
      </c>
      <c r="D375" s="9" t="s">
        <v>128</v>
      </c>
      <c r="E375" s="154">
        <v>331071.04255110864</v>
      </c>
      <c r="F375" s="154">
        <v>322226.6684082073</v>
      </c>
      <c r="G375" s="154">
        <v>235.26885553248897</v>
      </c>
      <c r="H375" s="154">
        <v>10515.720181449633</v>
      </c>
      <c r="I375" s="154">
        <v>6.5007381642866222E-2</v>
      </c>
      <c r="J375" s="154">
        <v>0.15106203257243228</v>
      </c>
      <c r="K375" s="154">
        <v>641146</v>
      </c>
      <c r="L375" s="154">
        <v>650858.23835413589</v>
      </c>
      <c r="M375" s="154">
        <v>38.991669524837143</v>
      </c>
      <c r="N375" s="154">
        <v>41.253819595493411</v>
      </c>
      <c r="O375" s="154">
        <v>85.412512975388083</v>
      </c>
      <c r="P375" s="154" t="s">
        <v>421</v>
      </c>
      <c r="Q375" s="154">
        <v>72.782038809276244</v>
      </c>
      <c r="R375" s="154">
        <v>35.589278820782368</v>
      </c>
      <c r="S375" s="154" t="s">
        <v>421</v>
      </c>
      <c r="T375" s="154">
        <v>0.30670352160017839</v>
      </c>
      <c r="U375" s="154">
        <v>0.26563572924242773</v>
      </c>
      <c r="V375" s="154">
        <v>6928.2126384886787</v>
      </c>
      <c r="W375" s="154">
        <v>9.1655376655259673</v>
      </c>
      <c r="X375" s="154">
        <v>1162.3150278009164</v>
      </c>
      <c r="Y375" s="154">
        <v>9026.0851094985373</v>
      </c>
      <c r="Z375" s="154" t="s">
        <v>421</v>
      </c>
      <c r="AC375" s="28" t="s">
        <v>421</v>
      </c>
      <c r="AD375" s="28" t="s">
        <v>421</v>
      </c>
      <c r="AE375" s="9" t="s">
        <v>1626</v>
      </c>
      <c r="AF375" s="28" t="s">
        <v>1626</v>
      </c>
      <c r="AG375" s="28">
        <v>1.1000000000000001E-3</v>
      </c>
      <c r="AH375" s="28">
        <v>32.618200000000002</v>
      </c>
      <c r="AI375" s="28" t="s">
        <v>1626</v>
      </c>
      <c r="AJ375" s="28" t="s">
        <v>1626</v>
      </c>
      <c r="AK375" s="28" t="s">
        <v>1626</v>
      </c>
      <c r="AL375" s="28">
        <v>64.114599999999996</v>
      </c>
      <c r="AM375" s="28" t="s">
        <v>1626</v>
      </c>
      <c r="AN375" s="28">
        <v>1.4083000000000001</v>
      </c>
      <c r="AO375" s="28" t="s">
        <v>1626</v>
      </c>
      <c r="AP375" s="156">
        <f t="shared" si="5"/>
        <v>98.142200000000003</v>
      </c>
    </row>
    <row r="376" spans="1:42" x14ac:dyDescent="0.2">
      <c r="A376" s="9" t="s">
        <v>1155</v>
      </c>
      <c r="B376" s="9" t="s">
        <v>1156</v>
      </c>
      <c r="C376" s="9" t="s">
        <v>127</v>
      </c>
      <c r="D376" s="9" t="s">
        <v>128</v>
      </c>
      <c r="E376" s="154">
        <v>326778.59873225418</v>
      </c>
      <c r="F376" s="154">
        <v>325643.84802952956</v>
      </c>
      <c r="G376" s="154">
        <v>281.69442883447141</v>
      </c>
      <c r="H376" s="154">
        <v>12557.294045774777</v>
      </c>
      <c r="I376" s="154">
        <v>4.6027649924965511E-2</v>
      </c>
      <c r="J376" s="154">
        <v>3.7082931467351767</v>
      </c>
      <c r="K376" s="154">
        <v>640288</v>
      </c>
      <c r="L376" s="154">
        <v>651925.65586410707</v>
      </c>
      <c r="M376" s="154">
        <v>42.729987353789284</v>
      </c>
      <c r="N376" s="154">
        <v>84.887705061806344</v>
      </c>
      <c r="O376" s="154">
        <v>141.26255421935105</v>
      </c>
      <c r="P376" s="154" t="s">
        <v>421</v>
      </c>
      <c r="Q376" s="154">
        <v>102.9438838831813</v>
      </c>
      <c r="R376" s="154">
        <v>48.897789306856858</v>
      </c>
      <c r="S376" s="154" t="s">
        <v>421</v>
      </c>
      <c r="T376" s="154">
        <v>0.19836742624617046</v>
      </c>
      <c r="U376" s="154">
        <v>0.40120314639050464</v>
      </c>
      <c r="V376" s="154">
        <v>6761.9637768172897</v>
      </c>
      <c r="W376" s="154">
        <v>9.2091733859187581</v>
      </c>
      <c r="X376" s="154">
        <v>1223.8716328327794</v>
      </c>
      <c r="Y376" s="154">
        <v>10469.29026567073</v>
      </c>
      <c r="Z376" s="154" t="s">
        <v>421</v>
      </c>
      <c r="AC376" s="28" t="s">
        <v>421</v>
      </c>
      <c r="AD376" s="28" t="s">
        <v>421</v>
      </c>
      <c r="AE376" s="9" t="s">
        <v>1626</v>
      </c>
      <c r="AF376" s="28" t="s">
        <v>1626</v>
      </c>
      <c r="AG376" s="28" t="s">
        <v>421</v>
      </c>
      <c r="AH376" s="28">
        <v>32.662700000000001</v>
      </c>
      <c r="AI376" s="28" t="s">
        <v>1626</v>
      </c>
      <c r="AJ376" s="28" t="s">
        <v>1626</v>
      </c>
      <c r="AK376" s="28" t="s">
        <v>1626</v>
      </c>
      <c r="AL376" s="28">
        <v>64.028800000000004</v>
      </c>
      <c r="AM376" s="28" t="s">
        <v>1626</v>
      </c>
      <c r="AN376" s="28">
        <v>1.5012000000000001</v>
      </c>
      <c r="AO376" s="28" t="s">
        <v>1626</v>
      </c>
      <c r="AP376" s="156">
        <f t="shared" si="5"/>
        <v>98.192700000000002</v>
      </c>
    </row>
    <row r="377" spans="1:42" x14ac:dyDescent="0.2">
      <c r="A377" s="9" t="s">
        <v>1157</v>
      </c>
      <c r="B377" s="9" t="s">
        <v>1158</v>
      </c>
      <c r="C377" s="9" t="s">
        <v>127</v>
      </c>
      <c r="D377" s="9" t="s">
        <v>128</v>
      </c>
      <c r="E377" s="154">
        <v>318942.29705997725</v>
      </c>
      <c r="F377" s="154">
        <v>312526.61333926674</v>
      </c>
      <c r="G377" s="154">
        <v>269.32963792990921</v>
      </c>
      <c r="H377" s="154">
        <v>14279.679090820626</v>
      </c>
      <c r="I377" s="154" t="s">
        <v>421</v>
      </c>
      <c r="J377" s="154">
        <v>80.655684180956413</v>
      </c>
      <c r="K377" s="154">
        <v>618765</v>
      </c>
      <c r="L377" s="154">
        <v>617684.33209891454</v>
      </c>
      <c r="M377" s="154">
        <v>46.219400003463527</v>
      </c>
      <c r="N377" s="154">
        <v>53.647278155101951</v>
      </c>
      <c r="O377" s="154">
        <v>110.8772099307344</v>
      </c>
      <c r="P377" s="154" t="s">
        <v>421</v>
      </c>
      <c r="Q377" s="154">
        <v>68.736943068532725</v>
      </c>
      <c r="R377" s="154">
        <v>45.288061829187221</v>
      </c>
      <c r="S377" s="154" t="s">
        <v>421</v>
      </c>
      <c r="T377" s="154">
        <v>0.28665962097274006</v>
      </c>
      <c r="U377" s="154">
        <v>0.36232226362084102</v>
      </c>
      <c r="V377" s="154">
        <v>8876.189443884492</v>
      </c>
      <c r="W377" s="154">
        <v>7.1938310881310619</v>
      </c>
      <c r="X377" s="154">
        <v>1507.0668255221606</v>
      </c>
      <c r="Y377" s="154">
        <v>11102.259947363365</v>
      </c>
      <c r="Z377" s="154" t="s">
        <v>421</v>
      </c>
      <c r="AC377" s="28" t="s">
        <v>421</v>
      </c>
      <c r="AD377" s="28" t="s">
        <v>421</v>
      </c>
      <c r="AE377" s="9" t="s">
        <v>1626</v>
      </c>
      <c r="AF377" s="28" t="s">
        <v>1626</v>
      </c>
      <c r="AG377" s="28" t="s">
        <v>421</v>
      </c>
      <c r="AH377" s="28">
        <v>32.7134</v>
      </c>
      <c r="AI377" s="28" t="s">
        <v>1626</v>
      </c>
      <c r="AJ377" s="28" t="s">
        <v>1626</v>
      </c>
      <c r="AK377" s="28" t="s">
        <v>1626</v>
      </c>
      <c r="AL377" s="28">
        <v>61.8765</v>
      </c>
      <c r="AM377" s="28" t="s">
        <v>1626</v>
      </c>
      <c r="AN377" s="28">
        <v>3.1311</v>
      </c>
      <c r="AO377" s="28" t="s">
        <v>1626</v>
      </c>
      <c r="AP377" s="156">
        <f t="shared" si="5"/>
        <v>97.721000000000004</v>
      </c>
    </row>
    <row r="378" spans="1:42" x14ac:dyDescent="0.2">
      <c r="A378" s="9" t="s">
        <v>1159</v>
      </c>
      <c r="B378" s="9" t="s">
        <v>1160</v>
      </c>
      <c r="C378" s="9" t="s">
        <v>127</v>
      </c>
      <c r="D378" s="9" t="s">
        <v>128</v>
      </c>
      <c r="E378" s="154">
        <v>327309.96665660298</v>
      </c>
      <c r="F378" s="154">
        <v>323305.60964392655</v>
      </c>
      <c r="G378" s="154">
        <v>260.68531250891476</v>
      </c>
      <c r="H378" s="154">
        <v>9468.8865392208681</v>
      </c>
      <c r="I378" s="154">
        <v>3.8115744304182887E-2</v>
      </c>
      <c r="J378" s="154">
        <v>118.85014821085696</v>
      </c>
      <c r="K378" s="154">
        <v>640562</v>
      </c>
      <c r="L378" s="154">
        <v>646206.77134648967</v>
      </c>
      <c r="M378" s="154">
        <v>31.347818322233891</v>
      </c>
      <c r="N378" s="154">
        <v>49.82051428461277</v>
      </c>
      <c r="O378" s="154">
        <v>107.94295033143312</v>
      </c>
      <c r="P378" s="154" t="s">
        <v>421</v>
      </c>
      <c r="Q378" s="154">
        <v>83.632961788688263</v>
      </c>
      <c r="R378" s="154">
        <v>105.77193214672161</v>
      </c>
      <c r="S378" s="154" t="s">
        <v>421</v>
      </c>
      <c r="T378" s="154">
        <v>0.33905555813233357</v>
      </c>
      <c r="U378" s="154">
        <v>0.46230941296707778</v>
      </c>
      <c r="V378" s="154">
        <v>8145.3666817710027</v>
      </c>
      <c r="W378" s="154">
        <v>8.6958019116491627</v>
      </c>
      <c r="X378" s="154">
        <v>1383.5881375337881</v>
      </c>
      <c r="Y378" s="154">
        <v>10709.758175728493</v>
      </c>
      <c r="Z378" s="154" t="s">
        <v>421</v>
      </c>
      <c r="AC378" s="28" t="s">
        <v>421</v>
      </c>
      <c r="AD378" s="28" t="s">
        <v>421</v>
      </c>
      <c r="AE378" s="9" t="s">
        <v>1626</v>
      </c>
      <c r="AF378" s="28" t="s">
        <v>1626</v>
      </c>
      <c r="AG378" s="28">
        <v>1.54E-2</v>
      </c>
      <c r="AH378" s="28">
        <v>32.445399999999999</v>
      </c>
      <c r="AI378" s="28" t="s">
        <v>1626</v>
      </c>
      <c r="AJ378" s="28" t="s">
        <v>1626</v>
      </c>
      <c r="AK378" s="28" t="s">
        <v>1626</v>
      </c>
      <c r="AL378" s="28">
        <v>64.056200000000004</v>
      </c>
      <c r="AM378" s="28" t="s">
        <v>1626</v>
      </c>
      <c r="AN378" s="28">
        <v>1.2261</v>
      </c>
      <c r="AO378" s="28" t="s">
        <v>1626</v>
      </c>
      <c r="AP378" s="156">
        <f t="shared" si="5"/>
        <v>97.743099999999998</v>
      </c>
    </row>
    <row r="379" spans="1:42" x14ac:dyDescent="0.2">
      <c r="A379" s="9" t="s">
        <v>1161</v>
      </c>
      <c r="B379" s="9" t="s">
        <v>1162</v>
      </c>
      <c r="C379" s="9" t="s">
        <v>127</v>
      </c>
      <c r="D379" s="9" t="s">
        <v>128</v>
      </c>
      <c r="E379" s="154">
        <v>321576.2833405147</v>
      </c>
      <c r="F379" s="154">
        <v>263293.28709696297</v>
      </c>
      <c r="G379" s="154">
        <v>204.1167569429914</v>
      </c>
      <c r="H379" s="154">
        <v>11337.528611377298</v>
      </c>
      <c r="I379" s="154" t="s">
        <v>421</v>
      </c>
      <c r="J379" s="154">
        <v>28.762533833123978</v>
      </c>
      <c r="K379" s="154">
        <v>638300</v>
      </c>
      <c r="L379" s="154">
        <v>636053.10107665847</v>
      </c>
      <c r="M379" s="154">
        <v>52.806483677564472</v>
      </c>
      <c r="N379" s="154">
        <v>40.195502013915487</v>
      </c>
      <c r="O379" s="154">
        <v>84.819338047089602</v>
      </c>
      <c r="P379" s="154" t="s">
        <v>421</v>
      </c>
      <c r="Q379" s="154">
        <v>103.95412177506208</v>
      </c>
      <c r="R379" s="154">
        <v>73.545454312140208</v>
      </c>
      <c r="S379" s="154">
        <v>0.81433402029780155</v>
      </c>
      <c r="T379" s="154">
        <v>2.1914949913399897</v>
      </c>
      <c r="U379" s="154">
        <v>2.0390193040256199</v>
      </c>
      <c r="V379" s="154">
        <v>7734.3567418674056</v>
      </c>
      <c r="W379" s="154">
        <v>9.7922380481315585</v>
      </c>
      <c r="X379" s="154">
        <v>1044.1229638241373</v>
      </c>
      <c r="Y379" s="154">
        <v>8337.0881460586115</v>
      </c>
      <c r="Z379" s="154">
        <v>0.80688293732724559</v>
      </c>
      <c r="AC379" s="28" t="s">
        <v>421</v>
      </c>
      <c r="AD379" s="28" t="s">
        <v>421</v>
      </c>
      <c r="AE379" s="9" t="s">
        <v>1626</v>
      </c>
      <c r="AF379" s="28" t="s">
        <v>1626</v>
      </c>
      <c r="AG379" s="28" t="s">
        <v>421</v>
      </c>
      <c r="AH379" s="28">
        <v>32.723599999999998</v>
      </c>
      <c r="AI379" s="28" t="s">
        <v>1626</v>
      </c>
      <c r="AJ379" s="28" t="s">
        <v>1626</v>
      </c>
      <c r="AK379" s="28" t="s">
        <v>1626</v>
      </c>
      <c r="AL379" s="28">
        <v>63.83</v>
      </c>
      <c r="AM379" s="28" t="s">
        <v>1626</v>
      </c>
      <c r="AN379" s="28">
        <v>1.7545999999999999</v>
      </c>
      <c r="AO379" s="28" t="s">
        <v>1626</v>
      </c>
      <c r="AP379" s="156">
        <f t="shared" si="5"/>
        <v>98.308199999999985</v>
      </c>
    </row>
    <row r="380" spans="1:42" x14ac:dyDescent="0.2">
      <c r="A380" s="9" t="s">
        <v>1163</v>
      </c>
      <c r="B380" s="9" t="s">
        <v>1164</v>
      </c>
      <c r="C380" s="9" t="s">
        <v>127</v>
      </c>
      <c r="D380" s="9" t="s">
        <v>128</v>
      </c>
      <c r="E380" s="154">
        <v>321591.25637151441</v>
      </c>
      <c r="F380" s="154">
        <v>315003.99974411953</v>
      </c>
      <c r="G380" s="154">
        <v>272.48217360645077</v>
      </c>
      <c r="H380" s="154">
        <v>11449.595831514986</v>
      </c>
      <c r="I380" s="154">
        <v>0.10382510352820903</v>
      </c>
      <c r="J380" s="154">
        <v>3.2842197827519826</v>
      </c>
      <c r="K380" s="154">
        <v>636734</v>
      </c>
      <c r="L380" s="154">
        <v>630367.75816513388</v>
      </c>
      <c r="M380" s="154">
        <v>38.332462150054454</v>
      </c>
      <c r="N380" s="154">
        <v>46.699370141972544</v>
      </c>
      <c r="O380" s="154">
        <v>87.940575698260375</v>
      </c>
      <c r="P380" s="154" t="s">
        <v>421</v>
      </c>
      <c r="Q380" s="154">
        <v>97.775763078577754</v>
      </c>
      <c r="R380" s="154">
        <v>22.184284825449268</v>
      </c>
      <c r="S380" s="154" t="s">
        <v>421</v>
      </c>
      <c r="T380" s="154">
        <v>0.64848927516575339</v>
      </c>
      <c r="U380" s="154">
        <v>0.95893625438770902</v>
      </c>
      <c r="V380" s="154">
        <v>6802.9372393085832</v>
      </c>
      <c r="W380" s="154">
        <v>5.9907570364150793</v>
      </c>
      <c r="X380" s="154">
        <v>1211.3424702558807</v>
      </c>
      <c r="Y380" s="154">
        <v>11172.146674400397</v>
      </c>
      <c r="Z380" s="154" t="s">
        <v>421</v>
      </c>
      <c r="AC380" s="28" t="s">
        <v>421</v>
      </c>
      <c r="AD380" s="28" t="s">
        <v>421</v>
      </c>
      <c r="AE380" s="9" t="s">
        <v>1626</v>
      </c>
      <c r="AF380" s="28" t="s">
        <v>1626</v>
      </c>
      <c r="AG380" s="28">
        <v>4.7000000000000002E-3</v>
      </c>
      <c r="AH380" s="28">
        <v>32.630499999999998</v>
      </c>
      <c r="AI380" s="28" t="s">
        <v>1626</v>
      </c>
      <c r="AJ380" s="28" t="s">
        <v>1626</v>
      </c>
      <c r="AK380" s="28" t="s">
        <v>1626</v>
      </c>
      <c r="AL380" s="28">
        <v>63.673400000000001</v>
      </c>
      <c r="AM380" s="28" t="s">
        <v>1626</v>
      </c>
      <c r="AN380" s="28">
        <v>1.8454999999999999</v>
      </c>
      <c r="AO380" s="28" t="s">
        <v>1626</v>
      </c>
      <c r="AP380" s="156">
        <f t="shared" si="5"/>
        <v>98.1541</v>
      </c>
    </row>
    <row r="381" spans="1:42" x14ac:dyDescent="0.2">
      <c r="A381" s="9" t="s">
        <v>1165</v>
      </c>
      <c r="B381" s="9" t="s">
        <v>1166</v>
      </c>
      <c r="C381" s="9" t="s">
        <v>127</v>
      </c>
      <c r="D381" s="9" t="s">
        <v>129</v>
      </c>
      <c r="E381" s="154">
        <v>345953.66960622015</v>
      </c>
      <c r="F381" s="154">
        <v>327732.44089813746</v>
      </c>
      <c r="G381" s="154">
        <v>112.43230834074707</v>
      </c>
      <c r="H381" s="154">
        <v>16009.106807284574</v>
      </c>
      <c r="I381" s="154">
        <v>0.10285605070152054</v>
      </c>
      <c r="J381" s="154">
        <v>59.28224953682011</v>
      </c>
      <c r="K381" s="154">
        <v>655072</v>
      </c>
      <c r="L381" s="154">
        <v>652443.7576929545</v>
      </c>
      <c r="M381" s="154">
        <v>70.702022241451644</v>
      </c>
      <c r="N381" s="154">
        <v>29.68858282985698</v>
      </c>
      <c r="O381" s="154">
        <v>21.944536810105546</v>
      </c>
      <c r="P381" s="154" t="s">
        <v>421</v>
      </c>
      <c r="Q381" s="154">
        <v>8.2521603328727302</v>
      </c>
      <c r="R381" s="154">
        <v>69.049505864155634</v>
      </c>
      <c r="S381" s="154">
        <v>1.9946502387156336E-2</v>
      </c>
      <c r="T381" s="154">
        <v>0.21016737436159655</v>
      </c>
      <c r="U381" s="154">
        <v>0.21630598532836245</v>
      </c>
      <c r="V381" s="154">
        <v>1298.1105660064923</v>
      </c>
      <c r="W381" s="154">
        <v>12.856983723673869</v>
      </c>
      <c r="X381" s="154">
        <v>230.63550192711895</v>
      </c>
      <c r="Y381" s="154">
        <v>2326.1468890343094</v>
      </c>
      <c r="Z381" s="154">
        <v>1.9231933314326908E-2</v>
      </c>
      <c r="AC381" s="28" t="s">
        <v>421</v>
      </c>
      <c r="AD381" s="28" t="s">
        <v>421</v>
      </c>
      <c r="AE381" s="9" t="s">
        <v>1626</v>
      </c>
      <c r="AF381" s="28" t="s">
        <v>1626</v>
      </c>
      <c r="AG381" s="28">
        <v>7.9299999999999995E-2</v>
      </c>
      <c r="AH381" s="28">
        <v>32.7423</v>
      </c>
      <c r="AI381" s="28" t="s">
        <v>1626</v>
      </c>
      <c r="AJ381" s="28" t="s">
        <v>1626</v>
      </c>
      <c r="AK381" s="28" t="s">
        <v>1626</v>
      </c>
      <c r="AL381" s="28">
        <v>65.507199999999997</v>
      </c>
      <c r="AM381" s="28" t="s">
        <v>1626</v>
      </c>
      <c r="AN381" s="28">
        <v>0.86199999999999999</v>
      </c>
      <c r="AO381" s="28" t="s">
        <v>1626</v>
      </c>
      <c r="AP381" s="156">
        <f t="shared" si="5"/>
        <v>99.190799999999996</v>
      </c>
    </row>
    <row r="382" spans="1:42" x14ac:dyDescent="0.2">
      <c r="A382" s="9" t="s">
        <v>1167</v>
      </c>
      <c r="B382" s="9" t="s">
        <v>1168</v>
      </c>
      <c r="C382" s="9" t="s">
        <v>127</v>
      </c>
      <c r="D382" s="9" t="s">
        <v>129</v>
      </c>
      <c r="E382" s="154">
        <v>364433.98119047465</v>
      </c>
      <c r="F382" s="154">
        <v>290414.64291683905</v>
      </c>
      <c r="G382" s="154">
        <v>27.257334452768241</v>
      </c>
      <c r="H382" s="154">
        <v>2351.6078267361249</v>
      </c>
      <c r="I382" s="154">
        <v>0.37252350719052174</v>
      </c>
      <c r="J382" s="154">
        <v>73.554611309912971</v>
      </c>
      <c r="K382" s="154">
        <v>651469</v>
      </c>
      <c r="L382" s="154">
        <v>647411.5435538193</v>
      </c>
      <c r="M382" s="154">
        <v>24.106674383228995</v>
      </c>
      <c r="N382" s="154">
        <v>6.3232715228282039</v>
      </c>
      <c r="O382" s="154">
        <v>12.405752023697833</v>
      </c>
      <c r="P382" s="154" t="s">
        <v>421</v>
      </c>
      <c r="Q382" s="154">
        <v>6.8833479705469376</v>
      </c>
      <c r="R382" s="154">
        <v>1182.1266423341647</v>
      </c>
      <c r="S382" s="154">
        <v>49.857171890692676</v>
      </c>
      <c r="T382" s="154">
        <v>17.977242800847499</v>
      </c>
      <c r="U382" s="154">
        <v>15.567483763270682</v>
      </c>
      <c r="V382" s="154">
        <v>426.84562838054285</v>
      </c>
      <c r="W382" s="154">
        <v>60.307787788797889</v>
      </c>
      <c r="X382" s="154">
        <v>46.23347877991668</v>
      </c>
      <c r="Y382" s="154">
        <v>282.86307535614577</v>
      </c>
      <c r="Z382" s="154">
        <v>49.796049265169792</v>
      </c>
      <c r="AC382" s="28" t="s">
        <v>421</v>
      </c>
      <c r="AD382" s="28" t="s">
        <v>421</v>
      </c>
      <c r="AE382" s="9" t="s">
        <v>1626</v>
      </c>
      <c r="AF382" s="28" t="s">
        <v>1626</v>
      </c>
      <c r="AG382" s="28">
        <v>1.9400000000000001E-2</v>
      </c>
      <c r="AH382" s="28">
        <v>32.7483</v>
      </c>
      <c r="AI382" s="28" t="s">
        <v>1626</v>
      </c>
      <c r="AJ382" s="28" t="s">
        <v>1626</v>
      </c>
      <c r="AK382" s="28" t="s">
        <v>1626</v>
      </c>
      <c r="AL382" s="28">
        <v>65.146900000000002</v>
      </c>
      <c r="AM382" s="28" t="s">
        <v>1626</v>
      </c>
      <c r="AN382" s="28">
        <v>1.1267</v>
      </c>
      <c r="AO382" s="28" t="s">
        <v>1626</v>
      </c>
      <c r="AP382" s="156">
        <f t="shared" si="5"/>
        <v>99.041300000000007</v>
      </c>
    </row>
    <row r="383" spans="1:42" x14ac:dyDescent="0.2">
      <c r="A383" s="9" t="s">
        <v>1169</v>
      </c>
      <c r="B383" s="9" t="s">
        <v>1170</v>
      </c>
      <c r="C383" s="9" t="s">
        <v>127</v>
      </c>
      <c r="D383" s="9" t="s">
        <v>129</v>
      </c>
      <c r="E383" s="154">
        <v>351495.37334132183</v>
      </c>
      <c r="F383" s="154">
        <v>286731.52474793169</v>
      </c>
      <c r="G383" s="154">
        <v>79.554637470994777</v>
      </c>
      <c r="H383" s="154">
        <v>7721.8023984144738</v>
      </c>
      <c r="I383" s="154">
        <v>0.65338925183621044</v>
      </c>
      <c r="J383" s="154">
        <v>85.382343082690326</v>
      </c>
      <c r="K383" s="154">
        <v>663759</v>
      </c>
      <c r="L383" s="154">
        <v>663779.21650645346</v>
      </c>
      <c r="M383" s="154">
        <v>62.628970133453578</v>
      </c>
      <c r="N383" s="154">
        <v>10.366521026114308</v>
      </c>
      <c r="O383" s="154">
        <v>12.34648026744954</v>
      </c>
      <c r="P383" s="154">
        <v>3.6251964873178415</v>
      </c>
      <c r="Q383" s="154">
        <v>7.7662156942143401</v>
      </c>
      <c r="R383" s="154">
        <v>659.71661633001486</v>
      </c>
      <c r="S383" s="154">
        <v>1.9375923555423888</v>
      </c>
      <c r="T383" s="154">
        <v>1.3418185267652101</v>
      </c>
      <c r="U383" s="154">
        <v>1.4611206705818867</v>
      </c>
      <c r="V383" s="154">
        <v>1008.5280281576261</v>
      </c>
      <c r="W383" s="154">
        <v>22.211637515076255</v>
      </c>
      <c r="X383" s="154">
        <v>137.72802446824087</v>
      </c>
      <c r="Y383" s="154">
        <v>947.671497148355</v>
      </c>
      <c r="Z383" s="154">
        <v>1.9330301725513872</v>
      </c>
      <c r="AC383" s="28" t="s">
        <v>421</v>
      </c>
      <c r="AD383" s="28" t="s">
        <v>421</v>
      </c>
      <c r="AE383" s="9" t="s">
        <v>1626</v>
      </c>
      <c r="AF383" s="28" t="s">
        <v>1626</v>
      </c>
      <c r="AG383" s="28">
        <v>0.1459</v>
      </c>
      <c r="AH383" s="28">
        <v>32.810499999999998</v>
      </c>
      <c r="AI383" s="28" t="s">
        <v>1626</v>
      </c>
      <c r="AJ383" s="28" t="s">
        <v>1626</v>
      </c>
      <c r="AK383" s="28" t="s">
        <v>1626</v>
      </c>
      <c r="AL383" s="28">
        <v>66.375900000000001</v>
      </c>
      <c r="AM383" s="28" t="s">
        <v>1626</v>
      </c>
      <c r="AN383" s="28">
        <v>9.3700000000000006E-2</v>
      </c>
      <c r="AO383" s="28" t="s">
        <v>1626</v>
      </c>
      <c r="AP383" s="156">
        <f t="shared" si="5"/>
        <v>99.426000000000002</v>
      </c>
    </row>
    <row r="384" spans="1:42" x14ac:dyDescent="0.2">
      <c r="A384" s="9" t="s">
        <v>1171</v>
      </c>
      <c r="B384" s="9" t="s">
        <v>1172</v>
      </c>
      <c r="C384" s="9" t="s">
        <v>127</v>
      </c>
      <c r="D384" s="9" t="s">
        <v>129</v>
      </c>
      <c r="E384" s="154">
        <v>344188.51073959953</v>
      </c>
      <c r="F384" s="154">
        <v>327295.51494916063</v>
      </c>
      <c r="G384" s="154">
        <v>265.86363468832451</v>
      </c>
      <c r="H384" s="154">
        <v>13550.087572467259</v>
      </c>
      <c r="I384" s="154">
        <v>8.6718049142953321E-2</v>
      </c>
      <c r="J384" s="154">
        <v>54.239982649300963</v>
      </c>
      <c r="K384" s="154">
        <v>631385</v>
      </c>
      <c r="L384" s="154">
        <v>631292.69359426876</v>
      </c>
      <c r="M384" s="154">
        <v>52.661372498217453</v>
      </c>
      <c r="N384" s="154">
        <v>48.531847126201505</v>
      </c>
      <c r="O384" s="154">
        <v>116.35630025713958</v>
      </c>
      <c r="P384" s="154" t="s">
        <v>421</v>
      </c>
      <c r="Q384" s="154">
        <v>173.91428686813634</v>
      </c>
      <c r="R384" s="154">
        <v>41.347571311316258</v>
      </c>
      <c r="S384" s="154">
        <v>4.2586445526881837E-2</v>
      </c>
      <c r="T384" s="154">
        <v>0.35551935808502083</v>
      </c>
      <c r="U384" s="154">
        <v>0.2561679023617251</v>
      </c>
      <c r="V384" s="154">
        <v>8901.7440750639817</v>
      </c>
      <c r="W384" s="154">
        <v>5.4416637475045135</v>
      </c>
      <c r="X384" s="154">
        <v>1714.0894412058483</v>
      </c>
      <c r="Y384" s="154">
        <v>13046.091366010349</v>
      </c>
      <c r="Z384" s="154">
        <v>4.1377679709392767E-2</v>
      </c>
      <c r="AC384" s="28" t="s">
        <v>421</v>
      </c>
      <c r="AD384" s="28" t="s">
        <v>421</v>
      </c>
      <c r="AE384" s="9" t="s">
        <v>1626</v>
      </c>
      <c r="AF384" s="28" t="s">
        <v>1626</v>
      </c>
      <c r="AG384" s="28" t="s">
        <v>421</v>
      </c>
      <c r="AH384" s="28">
        <v>32.686599999999999</v>
      </c>
      <c r="AI384" s="28" t="s">
        <v>1626</v>
      </c>
      <c r="AJ384" s="28" t="s">
        <v>1626</v>
      </c>
      <c r="AK384" s="28" t="s">
        <v>1626</v>
      </c>
      <c r="AL384" s="28">
        <v>63.138500000000001</v>
      </c>
      <c r="AM384" s="28" t="s">
        <v>1626</v>
      </c>
      <c r="AN384" s="28">
        <v>1.8836999999999999</v>
      </c>
      <c r="AO384" s="28" t="s">
        <v>1626</v>
      </c>
      <c r="AP384" s="156">
        <f t="shared" si="5"/>
        <v>97.708799999999997</v>
      </c>
    </row>
    <row r="385" spans="1:42" x14ac:dyDescent="0.2">
      <c r="A385" s="9" t="s">
        <v>1173</v>
      </c>
      <c r="B385" s="9" t="s">
        <v>1174</v>
      </c>
      <c r="C385" s="9" t="s">
        <v>127</v>
      </c>
      <c r="D385" s="9" t="s">
        <v>129</v>
      </c>
      <c r="E385" s="154">
        <v>334546.33165522147</v>
      </c>
      <c r="F385" s="154">
        <v>319852.71801686124</v>
      </c>
      <c r="G385" s="154">
        <v>258.07889775563194</v>
      </c>
      <c r="H385" s="154">
        <v>16511.568963657053</v>
      </c>
      <c r="I385" s="154">
        <v>4.4067024860301882E-2</v>
      </c>
      <c r="J385" s="154">
        <v>386.63857076080177</v>
      </c>
      <c r="K385" s="154">
        <v>619644</v>
      </c>
      <c r="L385" s="154">
        <v>617868.19780838664</v>
      </c>
      <c r="M385" s="154">
        <v>57.369426915470697</v>
      </c>
      <c r="N385" s="154">
        <v>61.313735148752755</v>
      </c>
      <c r="O385" s="154">
        <v>125.91163332722724</v>
      </c>
      <c r="P385" s="154" t="s">
        <v>421</v>
      </c>
      <c r="Q385" s="154">
        <v>67.979489051472711</v>
      </c>
      <c r="R385" s="154">
        <v>36.826666930598897</v>
      </c>
      <c r="S385" s="154">
        <v>4.661438719923338E-2</v>
      </c>
      <c r="T385" s="154">
        <v>0.45277603757017093</v>
      </c>
      <c r="U385" s="154">
        <v>0.27162054376063205</v>
      </c>
      <c r="V385" s="154">
        <v>6502.0928391938205</v>
      </c>
      <c r="W385" s="154">
        <v>6.4130007925750974</v>
      </c>
      <c r="X385" s="154">
        <v>1317.460511256663</v>
      </c>
      <c r="Y385" s="154">
        <v>10221.974818160665</v>
      </c>
      <c r="Z385" s="154">
        <v>4.5074948671494801E-2</v>
      </c>
      <c r="AC385" s="28" t="s">
        <v>421</v>
      </c>
      <c r="AD385" s="28" t="s">
        <v>421</v>
      </c>
      <c r="AE385" s="9" t="s">
        <v>1626</v>
      </c>
      <c r="AF385" s="28" t="s">
        <v>1626</v>
      </c>
      <c r="AG385" s="28">
        <v>5.8999999999999999E-3</v>
      </c>
      <c r="AH385" s="28">
        <v>32.5779</v>
      </c>
      <c r="AI385" s="28" t="s">
        <v>1626</v>
      </c>
      <c r="AJ385" s="28" t="s">
        <v>1626</v>
      </c>
      <c r="AK385" s="28" t="s">
        <v>1626</v>
      </c>
      <c r="AL385" s="28">
        <v>61.964399999999998</v>
      </c>
      <c r="AM385" s="28" t="s">
        <v>1626</v>
      </c>
      <c r="AN385" s="28">
        <v>3.0857000000000001</v>
      </c>
      <c r="AO385" s="28" t="s">
        <v>1626</v>
      </c>
      <c r="AP385" s="156">
        <f t="shared" si="5"/>
        <v>97.633899999999997</v>
      </c>
    </row>
    <row r="386" spans="1:42" x14ac:dyDescent="0.2">
      <c r="A386" s="9" t="s">
        <v>1175</v>
      </c>
      <c r="B386" s="9" t="s">
        <v>1176</v>
      </c>
      <c r="C386" s="9" t="s">
        <v>127</v>
      </c>
      <c r="D386" s="9" t="s">
        <v>129</v>
      </c>
      <c r="E386" s="154">
        <v>348367.70687842707</v>
      </c>
      <c r="F386" s="154">
        <v>334964.83002145431</v>
      </c>
      <c r="G386" s="154">
        <v>276.38502723444799</v>
      </c>
      <c r="H386" s="154">
        <v>11053.147932058015</v>
      </c>
      <c r="I386" s="154">
        <v>0.11613951711598504</v>
      </c>
      <c r="J386" s="154">
        <v>602.51852967115417</v>
      </c>
      <c r="K386" s="154">
        <v>634492</v>
      </c>
      <c r="L386" s="154">
        <v>637504.72396723868</v>
      </c>
      <c r="M386" s="154">
        <v>36.133727364527971</v>
      </c>
      <c r="N386" s="154">
        <v>53.214091437611721</v>
      </c>
      <c r="O386" s="154">
        <v>106.99114587870099</v>
      </c>
      <c r="P386" s="154">
        <v>1.8100260734518743</v>
      </c>
      <c r="Q386" s="154">
        <v>51.15477387018295</v>
      </c>
      <c r="R386" s="154">
        <v>77.927878740653938</v>
      </c>
      <c r="S386" s="154">
        <v>0.67867729860403236</v>
      </c>
      <c r="T386" s="154">
        <v>1.0457877275866856</v>
      </c>
      <c r="U386" s="154">
        <v>1.1983501423923095</v>
      </c>
      <c r="V386" s="154">
        <v>8178.1104925499167</v>
      </c>
      <c r="W386" s="154">
        <v>7.189941905701815</v>
      </c>
      <c r="X386" s="154">
        <v>1371.359983499869</v>
      </c>
      <c r="Y386" s="154">
        <v>11921.847614939652</v>
      </c>
      <c r="Z386" s="154">
        <v>0.67512162033023759</v>
      </c>
      <c r="AC386" s="28" t="s">
        <v>421</v>
      </c>
      <c r="AD386" s="28" t="s">
        <v>421</v>
      </c>
      <c r="AE386" s="9" t="s">
        <v>1626</v>
      </c>
      <c r="AF386" s="28" t="s">
        <v>1626</v>
      </c>
      <c r="AG386" s="28">
        <v>1.0500000000000001E-2</v>
      </c>
      <c r="AH386" s="28">
        <v>32.597200000000001</v>
      </c>
      <c r="AI386" s="28" t="s">
        <v>1626</v>
      </c>
      <c r="AJ386" s="28" t="s">
        <v>1626</v>
      </c>
      <c r="AK386" s="28" t="s">
        <v>1626</v>
      </c>
      <c r="AL386" s="28">
        <v>63.449199999999998</v>
      </c>
      <c r="AM386" s="28" t="s">
        <v>1626</v>
      </c>
      <c r="AN386" s="28">
        <v>1.4078999999999999</v>
      </c>
      <c r="AO386" s="28" t="s">
        <v>1626</v>
      </c>
      <c r="AP386" s="156">
        <f t="shared" si="5"/>
        <v>97.464799999999997</v>
      </c>
    </row>
    <row r="387" spans="1:42" x14ac:dyDescent="0.2">
      <c r="A387" s="9" t="s">
        <v>1177</v>
      </c>
      <c r="B387" s="9" t="s">
        <v>1178</v>
      </c>
      <c r="C387" s="9" t="s">
        <v>127</v>
      </c>
      <c r="D387" s="9" t="s">
        <v>129</v>
      </c>
      <c r="E387" s="154">
        <v>354693.28320741421</v>
      </c>
      <c r="F387" s="154">
        <v>338168.90670345991</v>
      </c>
      <c r="G387" s="154">
        <v>216.73208237158883</v>
      </c>
      <c r="H387" s="154">
        <v>9495.1679250913621</v>
      </c>
      <c r="I387" s="154">
        <v>4.2043209579719437E-2</v>
      </c>
      <c r="J387" s="154">
        <v>792.06502575661375</v>
      </c>
      <c r="K387" s="154">
        <v>636963</v>
      </c>
      <c r="L387" s="154">
        <v>641098.89395591465</v>
      </c>
      <c r="M387" s="154">
        <v>35.186372022995961</v>
      </c>
      <c r="N387" s="154">
        <v>37.28976565728037</v>
      </c>
      <c r="O387" s="154">
        <v>85.065763300985921</v>
      </c>
      <c r="P387" s="154">
        <v>1.7658695963723752</v>
      </c>
      <c r="Q387" s="154">
        <v>71.613605179429925</v>
      </c>
      <c r="R387" s="154">
        <v>128.85265954060961</v>
      </c>
      <c r="S387" s="154">
        <v>1.5061356486624444</v>
      </c>
      <c r="T387" s="154">
        <v>3.726225978408483</v>
      </c>
      <c r="U387" s="154">
        <v>2.9916623901669501</v>
      </c>
      <c r="V387" s="154">
        <v>6413.418413929644</v>
      </c>
      <c r="W387" s="154">
        <v>8.6908222487885105</v>
      </c>
      <c r="X387" s="154">
        <v>1092.0455921410689</v>
      </c>
      <c r="Y387" s="154">
        <v>8303.9166893143847</v>
      </c>
      <c r="Z387" s="154">
        <v>1.4934664803358555</v>
      </c>
      <c r="AC387" s="28" t="s">
        <v>421</v>
      </c>
      <c r="AD387" s="28" t="s">
        <v>421</v>
      </c>
      <c r="AE387" s="9" t="s">
        <v>1626</v>
      </c>
      <c r="AF387" s="28" t="s">
        <v>1626</v>
      </c>
      <c r="AG387" s="28" t="s">
        <v>421</v>
      </c>
      <c r="AH387" s="28">
        <v>32.316600000000001</v>
      </c>
      <c r="AI387" s="28" t="s">
        <v>1626</v>
      </c>
      <c r="AJ387" s="28" t="s">
        <v>1626</v>
      </c>
      <c r="AK387" s="28" t="s">
        <v>1626</v>
      </c>
      <c r="AL387" s="28">
        <v>63.696300000000001</v>
      </c>
      <c r="AM387" s="28" t="s">
        <v>1626</v>
      </c>
      <c r="AN387" s="28">
        <v>1.7617</v>
      </c>
      <c r="AO387" s="28" t="s">
        <v>1626</v>
      </c>
      <c r="AP387" s="156">
        <f t="shared" si="5"/>
        <v>97.774600000000007</v>
      </c>
    </row>
    <row r="388" spans="1:42" x14ac:dyDescent="0.2">
      <c r="A388" s="9" t="s">
        <v>1179</v>
      </c>
      <c r="B388" s="9" t="s">
        <v>1180</v>
      </c>
      <c r="C388" s="9" t="s">
        <v>127</v>
      </c>
      <c r="D388" s="9" t="s">
        <v>129</v>
      </c>
      <c r="E388" s="154">
        <v>352965.88592274883</v>
      </c>
      <c r="F388" s="154">
        <v>332474.89770567633</v>
      </c>
      <c r="G388" s="154">
        <v>192.16313201433496</v>
      </c>
      <c r="H388" s="154">
        <v>8038.3153013510882</v>
      </c>
      <c r="I388" s="154">
        <v>4.5625225706185032E-2</v>
      </c>
      <c r="J388" s="154">
        <v>114.87935271042633</v>
      </c>
      <c r="K388" s="154">
        <v>636447</v>
      </c>
      <c r="L388" s="154">
        <v>639060.34005136392</v>
      </c>
      <c r="M388" s="154">
        <v>26.577841299040792</v>
      </c>
      <c r="N388" s="154">
        <v>25.624647888641348</v>
      </c>
      <c r="O388" s="154">
        <v>73.990125362161223</v>
      </c>
      <c r="P388" s="154" t="s">
        <v>421</v>
      </c>
      <c r="Q388" s="154">
        <v>66.113652202276285</v>
      </c>
      <c r="R388" s="154">
        <v>4172.4375323050817</v>
      </c>
      <c r="S388" s="154">
        <v>0.13707215316408863</v>
      </c>
      <c r="T388" s="154">
        <v>0.74563289937070132</v>
      </c>
      <c r="U388" s="154">
        <v>1.0357842040256715</v>
      </c>
      <c r="V388" s="154">
        <v>8221.3433256297558</v>
      </c>
      <c r="W388" s="154">
        <v>71.044063595813711</v>
      </c>
      <c r="X388" s="154">
        <v>1226.798076929027</v>
      </c>
      <c r="Y388" s="154">
        <v>8398.2396050949337</v>
      </c>
      <c r="Z388" s="154">
        <v>0.13453700130622825</v>
      </c>
      <c r="AC388" s="28" t="s">
        <v>421</v>
      </c>
      <c r="AD388" s="28" t="s">
        <v>421</v>
      </c>
      <c r="AE388" s="9" t="s">
        <v>1626</v>
      </c>
      <c r="AF388" s="28" t="s">
        <v>1626</v>
      </c>
      <c r="AG388" s="28">
        <v>0.47570000000000001</v>
      </c>
      <c r="AH388" s="28">
        <v>32.543799999999997</v>
      </c>
      <c r="AI388" s="28" t="s">
        <v>1626</v>
      </c>
      <c r="AJ388" s="28" t="s">
        <v>1626</v>
      </c>
      <c r="AK388" s="28" t="s">
        <v>1626</v>
      </c>
      <c r="AL388" s="28">
        <v>63.6447</v>
      </c>
      <c r="AM388" s="28" t="s">
        <v>1626</v>
      </c>
      <c r="AN388" s="28">
        <v>1.448</v>
      </c>
      <c r="AO388" s="28" t="s">
        <v>1626</v>
      </c>
      <c r="AP388" s="156">
        <f t="shared" si="5"/>
        <v>98.112199999999987</v>
      </c>
    </row>
    <row r="389" spans="1:42" x14ac:dyDescent="0.2">
      <c r="A389" s="9" t="s">
        <v>1181</v>
      </c>
      <c r="B389" s="9" t="s">
        <v>1182</v>
      </c>
      <c r="C389" s="9" t="s">
        <v>127</v>
      </c>
      <c r="D389" s="9" t="s">
        <v>129</v>
      </c>
      <c r="E389" s="154">
        <v>348874.42169817764</v>
      </c>
      <c r="F389" s="154">
        <v>346383.02094055474</v>
      </c>
      <c r="G389" s="154">
        <v>246.89931676287006</v>
      </c>
      <c r="H389" s="154">
        <v>9324.7365557066751</v>
      </c>
      <c r="I389" s="154">
        <v>8.503060992220253E-2</v>
      </c>
      <c r="J389" s="154">
        <v>723.44173243440832</v>
      </c>
      <c r="K389" s="154">
        <v>633502</v>
      </c>
      <c r="L389" s="154">
        <v>632638.99183849199</v>
      </c>
      <c r="M389" s="154">
        <v>32.555403056133159</v>
      </c>
      <c r="N389" s="154">
        <v>66.972076399226054</v>
      </c>
      <c r="O389" s="154">
        <v>117.15504046058935</v>
      </c>
      <c r="P389" s="154" t="s">
        <v>421</v>
      </c>
      <c r="Q389" s="154">
        <v>55.845872360449071</v>
      </c>
      <c r="R389" s="154">
        <v>90.050853889201235</v>
      </c>
      <c r="S389" s="154">
        <v>0.17040972810810173</v>
      </c>
      <c r="T389" s="154">
        <v>1.0549916944926756</v>
      </c>
      <c r="U389" s="154">
        <v>1.2171055970291724</v>
      </c>
      <c r="V389" s="154">
        <v>7317.8089215144037</v>
      </c>
      <c r="W389" s="154">
        <v>7.3862561925272781</v>
      </c>
      <c r="X389" s="154">
        <v>1255.5888530761717</v>
      </c>
      <c r="Y389" s="154">
        <v>11296.768715036984</v>
      </c>
      <c r="Z389" s="154">
        <v>0.16682275634682664</v>
      </c>
      <c r="AC389" s="28" t="s">
        <v>421</v>
      </c>
      <c r="AD389" s="28" t="s">
        <v>421</v>
      </c>
      <c r="AE389" s="9" t="s">
        <v>1626</v>
      </c>
      <c r="AF389" s="28" t="s">
        <v>1626</v>
      </c>
      <c r="AG389" s="28">
        <v>4.9299999999999997E-2</v>
      </c>
      <c r="AH389" s="28">
        <v>32.4756</v>
      </c>
      <c r="AI389" s="28" t="s">
        <v>1626</v>
      </c>
      <c r="AJ389" s="28" t="s">
        <v>1626</v>
      </c>
      <c r="AK389" s="28" t="s">
        <v>1626</v>
      </c>
      <c r="AL389" s="28">
        <v>63.350200000000001</v>
      </c>
      <c r="AM389" s="28" t="s">
        <v>1626</v>
      </c>
      <c r="AN389" s="28">
        <v>1.5958000000000001</v>
      </c>
      <c r="AO389" s="28" t="s">
        <v>1626</v>
      </c>
      <c r="AP389" s="156">
        <f t="shared" si="5"/>
        <v>97.4709</v>
      </c>
    </row>
    <row r="390" spans="1:42" x14ac:dyDescent="0.2">
      <c r="A390" s="9" t="s">
        <v>1183</v>
      </c>
      <c r="B390" s="9" t="s">
        <v>1184</v>
      </c>
      <c r="C390" s="9" t="s">
        <v>127</v>
      </c>
      <c r="D390" s="9" t="s">
        <v>129</v>
      </c>
      <c r="E390" s="154">
        <v>344035.25604652351</v>
      </c>
      <c r="F390" s="154">
        <v>333417.82040637941</v>
      </c>
      <c r="G390" s="154">
        <v>239.85742843839833</v>
      </c>
      <c r="H390" s="154">
        <v>8941.9293757621072</v>
      </c>
      <c r="I390" s="154">
        <v>3.7895433408804219E-2</v>
      </c>
      <c r="J390" s="154">
        <v>83.648117259863639</v>
      </c>
      <c r="K390" s="154">
        <v>635369</v>
      </c>
      <c r="L390" s="154">
        <v>636618.15921171859</v>
      </c>
      <c r="M390" s="154">
        <v>30.326492170025205</v>
      </c>
      <c r="N390" s="154">
        <v>43.710869887433603</v>
      </c>
      <c r="O390" s="154">
        <v>95.284939783016696</v>
      </c>
      <c r="P390" s="154" t="s">
        <v>421</v>
      </c>
      <c r="Q390" s="154">
        <v>68.061326459252939</v>
      </c>
      <c r="R390" s="154">
        <v>153.09010142449168</v>
      </c>
      <c r="S390" s="154" t="s">
        <v>421</v>
      </c>
      <c r="T390" s="154">
        <v>0.32647162242095523</v>
      </c>
      <c r="U390" s="154">
        <v>0.24127482864398925</v>
      </c>
      <c r="V390" s="154">
        <v>7819.409378725768</v>
      </c>
      <c r="W390" s="154">
        <v>5.2300125216098943</v>
      </c>
      <c r="X390" s="154">
        <v>1370.8634604209346</v>
      </c>
      <c r="Y390" s="154">
        <v>11044.92707055147</v>
      </c>
      <c r="Z390" s="154" t="s">
        <v>421</v>
      </c>
      <c r="AC390" s="28" t="s">
        <v>421</v>
      </c>
      <c r="AD390" s="28" t="s">
        <v>421</v>
      </c>
      <c r="AE390" s="9" t="s">
        <v>1626</v>
      </c>
      <c r="AF390" s="28" t="s">
        <v>1626</v>
      </c>
      <c r="AG390" s="28">
        <v>1.0699999999999999E-2</v>
      </c>
      <c r="AH390" s="28">
        <v>32.479999999999997</v>
      </c>
      <c r="AI390" s="28" t="s">
        <v>1626</v>
      </c>
      <c r="AJ390" s="28" t="s">
        <v>1626</v>
      </c>
      <c r="AK390" s="28" t="s">
        <v>1626</v>
      </c>
      <c r="AL390" s="28">
        <v>63.536900000000003</v>
      </c>
      <c r="AM390" s="28" t="s">
        <v>1626</v>
      </c>
      <c r="AN390" s="28">
        <v>1.5673999999999999</v>
      </c>
      <c r="AO390" s="28" t="s">
        <v>1626</v>
      </c>
      <c r="AP390" s="156">
        <f t="shared" si="5"/>
        <v>97.595000000000013</v>
      </c>
    </row>
    <row r="391" spans="1:42" x14ac:dyDescent="0.2">
      <c r="A391" s="9" t="s">
        <v>1185</v>
      </c>
      <c r="B391" s="9" t="s">
        <v>1186</v>
      </c>
      <c r="C391" s="9" t="s">
        <v>127</v>
      </c>
      <c r="D391" s="9" t="s">
        <v>129</v>
      </c>
      <c r="E391" s="154">
        <v>358086.57293421589</v>
      </c>
      <c r="F391" s="154">
        <v>338985.08937775745</v>
      </c>
      <c r="G391" s="154">
        <v>155.93230927801991</v>
      </c>
      <c r="H391" s="154">
        <v>7396.3719237456453</v>
      </c>
      <c r="I391" s="154" t="s">
        <v>421</v>
      </c>
      <c r="J391" s="154">
        <v>113.8569551823917</v>
      </c>
      <c r="K391" s="154">
        <v>641932.99999999988</v>
      </c>
      <c r="L391" s="154">
        <v>649335.90306260705</v>
      </c>
      <c r="M391" s="154">
        <v>62.235110155129256</v>
      </c>
      <c r="N391" s="154">
        <v>14.487855458750664</v>
      </c>
      <c r="O391" s="154">
        <v>20.388532739085321</v>
      </c>
      <c r="P391" s="154" t="s">
        <v>421</v>
      </c>
      <c r="Q391" s="154">
        <v>251.89290723707393</v>
      </c>
      <c r="R391" s="154">
        <v>1288.479601084626</v>
      </c>
      <c r="S391" s="154">
        <v>5.8698481963427307</v>
      </c>
      <c r="T391" s="154">
        <v>4.0500626617027686</v>
      </c>
      <c r="U391" s="154">
        <v>4.6233446976891628</v>
      </c>
      <c r="V391" s="154">
        <v>2415.2167023500315</v>
      </c>
      <c r="W391" s="154">
        <v>28.635253024284651</v>
      </c>
      <c r="X391" s="154">
        <v>254.5170774686728</v>
      </c>
      <c r="Y391" s="154">
        <v>3573.5635362506596</v>
      </c>
      <c r="Z391" s="154">
        <v>5.8560779832929413</v>
      </c>
      <c r="AC391" s="28" t="s">
        <v>421</v>
      </c>
      <c r="AD391" s="28" t="s">
        <v>421</v>
      </c>
      <c r="AE391" s="9" t="s">
        <v>1626</v>
      </c>
      <c r="AF391" s="28" t="s">
        <v>1626</v>
      </c>
      <c r="AG391" s="28">
        <v>0.29909999999999998</v>
      </c>
      <c r="AH391" s="28">
        <v>32.849200000000003</v>
      </c>
      <c r="AI391" s="28" t="s">
        <v>1626</v>
      </c>
      <c r="AJ391" s="28" t="s">
        <v>1626</v>
      </c>
      <c r="AK391" s="28" t="s">
        <v>1626</v>
      </c>
      <c r="AL391" s="28">
        <v>64.193299999999994</v>
      </c>
      <c r="AM391" s="28" t="s">
        <v>1626</v>
      </c>
      <c r="AN391" s="28">
        <v>1.8485</v>
      </c>
      <c r="AO391" s="28" t="s">
        <v>1626</v>
      </c>
      <c r="AP391" s="156">
        <f t="shared" si="5"/>
        <v>99.190100000000001</v>
      </c>
    </row>
    <row r="392" spans="1:42" x14ac:dyDescent="0.2">
      <c r="A392" s="9" t="s">
        <v>1187</v>
      </c>
      <c r="B392" s="9" t="s">
        <v>1188</v>
      </c>
      <c r="C392" s="9" t="s">
        <v>127</v>
      </c>
      <c r="D392" s="9" t="s">
        <v>130</v>
      </c>
      <c r="E392" s="154">
        <v>344843.2485976906</v>
      </c>
      <c r="F392" s="154">
        <v>329806.21863995364</v>
      </c>
      <c r="G392" s="154">
        <v>278.70048269027711</v>
      </c>
      <c r="H392" s="154">
        <v>13725.280804242535</v>
      </c>
      <c r="I392" s="154">
        <v>0.10184157721731167</v>
      </c>
      <c r="J392" s="154">
        <v>408.66966664890145</v>
      </c>
      <c r="K392" s="154">
        <v>623433</v>
      </c>
      <c r="L392" s="154">
        <v>632966.00342176203</v>
      </c>
      <c r="M392" s="154">
        <v>43.376836117818847</v>
      </c>
      <c r="N392" s="154">
        <v>64.463809569321526</v>
      </c>
      <c r="O392" s="154">
        <v>126.23615729041936</v>
      </c>
      <c r="P392" s="154" t="s">
        <v>421</v>
      </c>
      <c r="Q392" s="154">
        <v>113.01705915400237</v>
      </c>
      <c r="R392" s="154">
        <v>37.031623303604555</v>
      </c>
      <c r="S392" s="154" t="s">
        <v>421</v>
      </c>
      <c r="T392" s="154">
        <v>0.43899125392966198</v>
      </c>
      <c r="U392" s="154" t="s">
        <v>421</v>
      </c>
      <c r="V392" s="154">
        <v>8015.4836015806104</v>
      </c>
      <c r="W392" s="154">
        <v>6.5657127627740755</v>
      </c>
      <c r="X392" s="154">
        <v>1464.3272671564127</v>
      </c>
      <c r="Y392" s="154">
        <v>12640.448116521951</v>
      </c>
      <c r="Z392" s="154" t="s">
        <v>421</v>
      </c>
      <c r="AC392" s="28" t="s">
        <v>421</v>
      </c>
      <c r="AD392" s="28" t="s">
        <v>421</v>
      </c>
      <c r="AE392" s="9" t="s">
        <v>1626</v>
      </c>
      <c r="AF392" s="28" t="s">
        <v>1626</v>
      </c>
      <c r="AG392" s="28">
        <v>3.3E-3</v>
      </c>
      <c r="AH392" s="28">
        <v>32.590400000000002</v>
      </c>
      <c r="AI392" s="28" t="s">
        <v>1626</v>
      </c>
      <c r="AJ392" s="28" t="s">
        <v>1626</v>
      </c>
      <c r="AK392" s="28" t="s">
        <v>1626</v>
      </c>
      <c r="AL392" s="28">
        <v>62.343299999999999</v>
      </c>
      <c r="AM392" s="28" t="s">
        <v>1626</v>
      </c>
      <c r="AN392" s="28">
        <v>2.4988000000000001</v>
      </c>
      <c r="AO392" s="28" t="s">
        <v>1626</v>
      </c>
      <c r="AP392" s="156">
        <f t="shared" ref="AP392:AP455" si="6">SUM(AC392:AO392)</f>
        <v>97.435800000000015</v>
      </c>
    </row>
    <row r="393" spans="1:42" x14ac:dyDescent="0.2">
      <c r="A393" s="9" t="s">
        <v>1189</v>
      </c>
      <c r="B393" s="9" t="s">
        <v>1190</v>
      </c>
      <c r="C393" s="9" t="s">
        <v>127</v>
      </c>
      <c r="D393" s="9" t="s">
        <v>130</v>
      </c>
      <c r="E393" s="154">
        <v>356548.15325927496</v>
      </c>
      <c r="F393" s="154">
        <v>335386.73460783676</v>
      </c>
      <c r="G393" s="154">
        <v>136.05723390071182</v>
      </c>
      <c r="H393" s="154">
        <v>8482.3309810122792</v>
      </c>
      <c r="I393" s="154" t="s">
        <v>421</v>
      </c>
      <c r="J393" s="154">
        <v>54.012602689296394</v>
      </c>
      <c r="K393" s="154">
        <v>637154</v>
      </c>
      <c r="L393" s="154">
        <v>645629.35849380924</v>
      </c>
      <c r="M393" s="154">
        <v>40.281666821510726</v>
      </c>
      <c r="N393" s="154">
        <v>13.902409247002426</v>
      </c>
      <c r="O393" s="154">
        <v>39.922881238530429</v>
      </c>
      <c r="P393" s="154">
        <v>1.9652057513744774</v>
      </c>
      <c r="Q393" s="154">
        <v>946.91818729766487</v>
      </c>
      <c r="R393" s="154">
        <v>5678.996979642774</v>
      </c>
      <c r="S393" s="154">
        <v>67.280302607598514</v>
      </c>
      <c r="T393" s="154">
        <v>37.252576961881118</v>
      </c>
      <c r="U393" s="154">
        <v>33.955187648237128</v>
      </c>
      <c r="V393" s="154">
        <v>4646.1627543827171</v>
      </c>
      <c r="W393" s="154">
        <v>216.87367617133754</v>
      </c>
      <c r="X393" s="154">
        <v>344.55202745658738</v>
      </c>
      <c r="Y393" s="154">
        <v>5275.9650056296514</v>
      </c>
      <c r="Z393" s="154">
        <v>67.153643845928116</v>
      </c>
      <c r="AC393" s="28" t="s">
        <v>421</v>
      </c>
      <c r="AD393" s="28" t="s">
        <v>421</v>
      </c>
      <c r="AE393" s="9" t="s">
        <v>1626</v>
      </c>
      <c r="AF393" s="28" t="s">
        <v>1626</v>
      </c>
      <c r="AG393" s="28">
        <v>0.12479999999999999</v>
      </c>
      <c r="AH393" s="28">
        <v>32.483199999999997</v>
      </c>
      <c r="AI393" s="28" t="s">
        <v>1626</v>
      </c>
      <c r="AJ393" s="28" t="s">
        <v>1626</v>
      </c>
      <c r="AK393" s="28" t="s">
        <v>1626</v>
      </c>
      <c r="AL393" s="28">
        <v>63.715400000000002</v>
      </c>
      <c r="AM393" s="28" t="s">
        <v>1626</v>
      </c>
      <c r="AN393" s="28">
        <v>1.1434</v>
      </c>
      <c r="AO393" s="28" t="s">
        <v>1626</v>
      </c>
      <c r="AP393" s="156">
        <f t="shared" si="6"/>
        <v>97.466799999999992</v>
      </c>
    </row>
    <row r="394" spans="1:42" x14ac:dyDescent="0.2">
      <c r="A394" s="9" t="s">
        <v>1191</v>
      </c>
      <c r="B394" s="9" t="s">
        <v>1192</v>
      </c>
      <c r="C394" s="9" t="s">
        <v>127</v>
      </c>
      <c r="D394" s="9" t="s">
        <v>130</v>
      </c>
      <c r="E394" s="154">
        <v>344779.00424957933</v>
      </c>
      <c r="F394" s="154">
        <v>330836.53821547609</v>
      </c>
      <c r="G394" s="154">
        <v>224.06899343504591</v>
      </c>
      <c r="H394" s="154">
        <v>8479.4447976417596</v>
      </c>
      <c r="I394" s="154">
        <v>4.3118406426022785E-2</v>
      </c>
      <c r="J394" s="154" t="s">
        <v>421</v>
      </c>
      <c r="K394" s="154">
        <v>641346.00000000012</v>
      </c>
      <c r="L394" s="154">
        <v>646944.41170435678</v>
      </c>
      <c r="M394" s="154">
        <v>29.502233270752495</v>
      </c>
      <c r="N394" s="154">
        <v>29.624737861242455</v>
      </c>
      <c r="O394" s="154">
        <v>74.172118497486508</v>
      </c>
      <c r="P394" s="154" t="s">
        <v>421</v>
      </c>
      <c r="Q394" s="154">
        <v>78.794427099564828</v>
      </c>
      <c r="R394" s="154">
        <v>2536.4526766422109</v>
      </c>
      <c r="S394" s="154">
        <v>4.4400676354347753E-2</v>
      </c>
      <c r="T394" s="154">
        <v>0.56888944327641255</v>
      </c>
      <c r="U394" s="154">
        <v>0.52257030501965207</v>
      </c>
      <c r="V394" s="154">
        <v>7874.9401740795474</v>
      </c>
      <c r="W394" s="154">
        <v>55.170135994822481</v>
      </c>
      <c r="X394" s="154">
        <v>1284.6765621538805</v>
      </c>
      <c r="Y394" s="154">
        <v>10524.221274259207</v>
      </c>
      <c r="Z394" s="154">
        <v>4.246645224720795E-2</v>
      </c>
      <c r="AC394" s="28" t="s">
        <v>421</v>
      </c>
      <c r="AD394" s="28" t="s">
        <v>421</v>
      </c>
      <c r="AE394" s="9" t="s">
        <v>1626</v>
      </c>
      <c r="AF394" s="28" t="s">
        <v>1626</v>
      </c>
      <c r="AG394" s="28">
        <v>0.31640000000000001</v>
      </c>
      <c r="AH394" s="28">
        <v>32.491999999999997</v>
      </c>
      <c r="AI394" s="28" t="s">
        <v>1626</v>
      </c>
      <c r="AJ394" s="28" t="s">
        <v>1626</v>
      </c>
      <c r="AK394" s="28" t="s">
        <v>1626</v>
      </c>
      <c r="AL394" s="28">
        <v>64.134600000000006</v>
      </c>
      <c r="AM394" s="28" t="s">
        <v>1626</v>
      </c>
      <c r="AN394" s="28">
        <v>1.2109000000000001</v>
      </c>
      <c r="AO394" s="28" t="s">
        <v>1626</v>
      </c>
      <c r="AP394" s="156">
        <f t="shared" si="6"/>
        <v>98.153900000000007</v>
      </c>
    </row>
    <row r="395" spans="1:42" x14ac:dyDescent="0.2">
      <c r="A395" s="9" t="s">
        <v>1193</v>
      </c>
      <c r="B395" s="9" t="s">
        <v>1194</v>
      </c>
      <c r="C395" s="9" t="s">
        <v>127</v>
      </c>
      <c r="D395" s="9" t="s">
        <v>130</v>
      </c>
      <c r="E395" s="154">
        <v>350420.38782445941</v>
      </c>
      <c r="F395" s="154">
        <v>333565.5406451521</v>
      </c>
      <c r="G395" s="154">
        <v>222.72467822155852</v>
      </c>
      <c r="H395" s="154">
        <v>8185.3823030954218</v>
      </c>
      <c r="I395" s="154" t="s">
        <v>421</v>
      </c>
      <c r="J395" s="154">
        <v>431.84825742779259</v>
      </c>
      <c r="K395" s="154">
        <v>635890</v>
      </c>
      <c r="L395" s="154">
        <v>629173.00082980376</v>
      </c>
      <c r="M395" s="154">
        <v>26.873948814766354</v>
      </c>
      <c r="N395" s="154">
        <v>36.822900804672607</v>
      </c>
      <c r="O395" s="154">
        <v>82.543347894150514</v>
      </c>
      <c r="P395" s="154" t="s">
        <v>421</v>
      </c>
      <c r="Q395" s="154">
        <v>77.986745066638477</v>
      </c>
      <c r="R395" s="154">
        <v>323.87122002906153</v>
      </c>
      <c r="S395" s="154" t="s">
        <v>421</v>
      </c>
      <c r="T395" s="154">
        <v>0.29614467354669893</v>
      </c>
      <c r="U395" s="154">
        <v>0.27100851182223251</v>
      </c>
      <c r="V395" s="154">
        <v>7155.141879851808</v>
      </c>
      <c r="W395" s="154">
        <v>8.3668520338233492</v>
      </c>
      <c r="X395" s="154">
        <v>1197.7303602004479</v>
      </c>
      <c r="Y395" s="154">
        <v>10653.515736425075</v>
      </c>
      <c r="Z395" s="154" t="s">
        <v>421</v>
      </c>
      <c r="AC395" s="28" t="s">
        <v>421</v>
      </c>
      <c r="AD395" s="28" t="s">
        <v>421</v>
      </c>
      <c r="AE395" s="9" t="s">
        <v>1626</v>
      </c>
      <c r="AF395" s="28" t="s">
        <v>1626</v>
      </c>
      <c r="AG395" s="28">
        <v>0.1358</v>
      </c>
      <c r="AH395" s="28">
        <v>32.538899999999998</v>
      </c>
      <c r="AI395" s="28" t="s">
        <v>1626</v>
      </c>
      <c r="AJ395" s="28" t="s">
        <v>1626</v>
      </c>
      <c r="AK395" s="28" t="s">
        <v>1626</v>
      </c>
      <c r="AL395" s="28">
        <v>63.588999999999999</v>
      </c>
      <c r="AM395" s="28" t="s">
        <v>1626</v>
      </c>
      <c r="AN395" s="28">
        <v>1.3769</v>
      </c>
      <c r="AO395" s="28" t="s">
        <v>1626</v>
      </c>
      <c r="AP395" s="156">
        <f t="shared" si="6"/>
        <v>97.640600000000006</v>
      </c>
    </row>
    <row r="396" spans="1:42" x14ac:dyDescent="0.2">
      <c r="A396" s="9" t="s">
        <v>1195</v>
      </c>
      <c r="B396" s="9" t="s">
        <v>1196</v>
      </c>
      <c r="C396" s="9" t="s">
        <v>127</v>
      </c>
      <c r="D396" s="9" t="s">
        <v>130</v>
      </c>
      <c r="E396" s="154">
        <v>351620.97026787041</v>
      </c>
      <c r="F396" s="154">
        <v>335716.59792889579</v>
      </c>
      <c r="G396" s="154">
        <v>152.31540775420763</v>
      </c>
      <c r="H396" s="154">
        <v>6992.0746867606022</v>
      </c>
      <c r="I396" s="154">
        <v>3.8451980370385004E-2</v>
      </c>
      <c r="J396" s="154">
        <v>446.36563066602582</v>
      </c>
      <c r="K396" s="154">
        <v>639528</v>
      </c>
      <c r="L396" s="154">
        <v>640491.57618464145</v>
      </c>
      <c r="M396" s="154">
        <v>48.805780638438826</v>
      </c>
      <c r="N396" s="154">
        <v>17.387267589759539</v>
      </c>
      <c r="O396" s="154">
        <v>37.633029000415419</v>
      </c>
      <c r="P396" s="154">
        <v>1.7100997122917341</v>
      </c>
      <c r="Q396" s="154">
        <v>269.0156507475574</v>
      </c>
      <c r="R396" s="154">
        <v>1693.9194743833871</v>
      </c>
      <c r="S396" s="154">
        <v>20.623563493122653</v>
      </c>
      <c r="T396" s="154">
        <v>13.362123987068861</v>
      </c>
      <c r="U396" s="154">
        <v>11.567412038149751</v>
      </c>
      <c r="V396" s="154">
        <v>4370.6366216538681</v>
      </c>
      <c r="W396" s="154">
        <v>24.614329657825831</v>
      </c>
      <c r="X396" s="154">
        <v>424.81163107379979</v>
      </c>
      <c r="Y396" s="154">
        <v>5702.5927022390542</v>
      </c>
      <c r="Z396" s="154">
        <v>20.57813227156662</v>
      </c>
      <c r="AC396" s="28" t="s">
        <v>421</v>
      </c>
      <c r="AD396" s="28" t="s">
        <v>421</v>
      </c>
      <c r="AE396" s="9" t="s">
        <v>1626</v>
      </c>
      <c r="AF396" s="28" t="s">
        <v>1626</v>
      </c>
      <c r="AG396" s="28">
        <v>0.43459999999999999</v>
      </c>
      <c r="AH396" s="28">
        <v>32.718800000000002</v>
      </c>
      <c r="AI396" s="28" t="s">
        <v>1626</v>
      </c>
      <c r="AJ396" s="28" t="s">
        <v>1626</v>
      </c>
      <c r="AK396" s="28" t="s">
        <v>1626</v>
      </c>
      <c r="AL396" s="28">
        <v>63.952800000000003</v>
      </c>
      <c r="AM396" s="28" t="s">
        <v>1626</v>
      </c>
      <c r="AN396" s="28">
        <v>1.1729000000000001</v>
      </c>
      <c r="AO396" s="28" t="s">
        <v>1626</v>
      </c>
      <c r="AP396" s="156">
        <f t="shared" si="6"/>
        <v>98.2791</v>
      </c>
    </row>
    <row r="397" spans="1:42" x14ac:dyDescent="0.2">
      <c r="A397" s="9" t="s">
        <v>1197</v>
      </c>
      <c r="B397" s="9" t="s">
        <v>1198</v>
      </c>
      <c r="C397" s="9" t="s">
        <v>127</v>
      </c>
      <c r="D397" s="9" t="s">
        <v>130</v>
      </c>
      <c r="E397" s="154">
        <v>345044.81162456406</v>
      </c>
      <c r="F397" s="154">
        <v>337644.28857026558</v>
      </c>
      <c r="G397" s="154">
        <v>249.4150444272984</v>
      </c>
      <c r="H397" s="154">
        <v>10052.957361042236</v>
      </c>
      <c r="I397" s="154" t="s">
        <v>421</v>
      </c>
      <c r="J397" s="154">
        <v>7.1974194021986495</v>
      </c>
      <c r="K397" s="154">
        <v>630841</v>
      </c>
      <c r="L397" s="154">
        <v>626645.08672044869</v>
      </c>
      <c r="M397" s="154">
        <v>36.483543738240826</v>
      </c>
      <c r="N397" s="154">
        <v>60.654133657100552</v>
      </c>
      <c r="O397" s="154">
        <v>110.7876492148108</v>
      </c>
      <c r="P397" s="154">
        <v>1.7609406734402053</v>
      </c>
      <c r="Q397" s="154">
        <v>108.54800882940953</v>
      </c>
      <c r="R397" s="154">
        <v>128.18617662657778</v>
      </c>
      <c r="S397" s="154">
        <v>1.2209149005735043E-2</v>
      </c>
      <c r="T397" s="154">
        <v>0.36105440680833439</v>
      </c>
      <c r="U397" s="154">
        <v>0.2794726273294616</v>
      </c>
      <c r="V397" s="154">
        <v>7113.1967924162063</v>
      </c>
      <c r="W397" s="154">
        <v>6.4018107619405331</v>
      </c>
      <c r="X397" s="154">
        <v>1266.9808477815689</v>
      </c>
      <c r="Y397" s="154">
        <v>10964.042965288107</v>
      </c>
      <c r="Z397" s="154">
        <v>1.0981564022586706E-2</v>
      </c>
      <c r="AC397" s="28" t="s">
        <v>421</v>
      </c>
      <c r="AD397" s="28" t="s">
        <v>421</v>
      </c>
      <c r="AE397" s="9" t="s">
        <v>1626</v>
      </c>
      <c r="AF397" s="28" t="s">
        <v>1626</v>
      </c>
      <c r="AG397" s="28">
        <v>3.2000000000000002E-3</v>
      </c>
      <c r="AH397" s="28">
        <v>32.5045</v>
      </c>
      <c r="AI397" s="28" t="s">
        <v>1626</v>
      </c>
      <c r="AJ397" s="28" t="s">
        <v>1626</v>
      </c>
      <c r="AK397" s="28" t="s">
        <v>1626</v>
      </c>
      <c r="AL397" s="28">
        <v>63.084099999999999</v>
      </c>
      <c r="AM397" s="28" t="s">
        <v>1626</v>
      </c>
      <c r="AN397" s="28">
        <v>2.1233</v>
      </c>
      <c r="AO397" s="28" t="s">
        <v>1626</v>
      </c>
      <c r="AP397" s="156">
        <f t="shared" si="6"/>
        <v>97.715100000000007</v>
      </c>
    </row>
    <row r="398" spans="1:42" x14ac:dyDescent="0.2">
      <c r="A398" s="9" t="s">
        <v>1199</v>
      </c>
      <c r="B398" s="9" t="s">
        <v>1200</v>
      </c>
      <c r="C398" s="9" t="s">
        <v>127</v>
      </c>
      <c r="D398" s="9" t="s">
        <v>130</v>
      </c>
      <c r="E398" s="154">
        <v>344606.00171424035</v>
      </c>
      <c r="F398" s="154">
        <v>333825.92826476257</v>
      </c>
      <c r="G398" s="154">
        <v>280.67408986699064</v>
      </c>
      <c r="H398" s="154">
        <v>12970.037692865655</v>
      </c>
      <c r="I398" s="154">
        <v>4.5330502879478651E-2</v>
      </c>
      <c r="J398" s="154">
        <v>0.35126192202818857</v>
      </c>
      <c r="K398" s="154">
        <v>634254</v>
      </c>
      <c r="L398" s="154">
        <v>625099.96674774121</v>
      </c>
      <c r="M398" s="154">
        <v>43.370346468246865</v>
      </c>
      <c r="N398" s="154">
        <v>78.494507872391338</v>
      </c>
      <c r="O398" s="154">
        <v>157.16289173503969</v>
      </c>
      <c r="P398" s="154" t="s">
        <v>421</v>
      </c>
      <c r="Q398" s="154">
        <v>202.98193325985429</v>
      </c>
      <c r="R398" s="154">
        <v>29.208509250664303</v>
      </c>
      <c r="S398" s="154" t="s">
        <v>421</v>
      </c>
      <c r="T398" s="154">
        <v>0.19650266665045096</v>
      </c>
      <c r="U398" s="154">
        <v>0.27114982583854003</v>
      </c>
      <c r="V398" s="154">
        <v>7600.7090936403056</v>
      </c>
      <c r="W398" s="154">
        <v>4.8224457398248664</v>
      </c>
      <c r="X398" s="154">
        <v>1509.4231192017555</v>
      </c>
      <c r="Y398" s="154">
        <v>12216.033851518401</v>
      </c>
      <c r="Z398" s="154" t="s">
        <v>421</v>
      </c>
      <c r="AC398" s="28" t="s">
        <v>421</v>
      </c>
      <c r="AD398" s="28" t="s">
        <v>421</v>
      </c>
      <c r="AE398" s="9" t="s">
        <v>1626</v>
      </c>
      <c r="AF398" s="28" t="s">
        <v>1626</v>
      </c>
      <c r="AG398" s="28">
        <v>3.5999999999999999E-3</v>
      </c>
      <c r="AH398" s="28">
        <v>32.616799999999998</v>
      </c>
      <c r="AI398" s="28" t="s">
        <v>1626</v>
      </c>
      <c r="AJ398" s="28" t="s">
        <v>1626</v>
      </c>
      <c r="AK398" s="28" t="s">
        <v>1626</v>
      </c>
      <c r="AL398" s="28">
        <v>63.425400000000003</v>
      </c>
      <c r="AM398" s="28" t="s">
        <v>1626</v>
      </c>
      <c r="AN398" s="28">
        <v>1.7005999999999999</v>
      </c>
      <c r="AO398" s="28" t="s">
        <v>1626</v>
      </c>
      <c r="AP398" s="156">
        <f t="shared" si="6"/>
        <v>97.746399999999994</v>
      </c>
    </row>
    <row r="399" spans="1:42" x14ac:dyDescent="0.2">
      <c r="A399" s="9" t="s">
        <v>1201</v>
      </c>
      <c r="B399" s="9" t="s">
        <v>1202</v>
      </c>
      <c r="C399" s="9" t="s">
        <v>127</v>
      </c>
      <c r="D399" s="9" t="s">
        <v>130</v>
      </c>
      <c r="E399" s="154">
        <v>352507.49555096758</v>
      </c>
      <c r="F399" s="154">
        <v>330515.99744689767</v>
      </c>
      <c r="G399" s="154">
        <v>149.15844400159489</v>
      </c>
      <c r="H399" s="154">
        <v>6703.0221903863448</v>
      </c>
      <c r="I399" s="154">
        <v>4.6775762501725222E-2</v>
      </c>
      <c r="J399" s="154">
        <v>902.58832161908731</v>
      </c>
      <c r="K399" s="154">
        <v>639763</v>
      </c>
      <c r="L399" s="154">
        <v>630435.77390583721</v>
      </c>
      <c r="M399" s="154">
        <v>48.747295969465384</v>
      </c>
      <c r="N399" s="154">
        <v>24.079870805767424</v>
      </c>
      <c r="O399" s="154">
        <v>56.87584091670378</v>
      </c>
      <c r="P399" s="154">
        <v>2.0312668113403136</v>
      </c>
      <c r="Q399" s="154">
        <v>1076.7456961033756</v>
      </c>
      <c r="R399" s="154">
        <v>2175.8050232847459</v>
      </c>
      <c r="S399" s="154">
        <v>99.87639299416675</v>
      </c>
      <c r="T399" s="154">
        <v>143.40777370757525</v>
      </c>
      <c r="U399" s="154">
        <v>140.52901057091219</v>
      </c>
      <c r="V399" s="154">
        <v>5905.3123407695875</v>
      </c>
      <c r="W399" s="154">
        <v>58.3310543121463</v>
      </c>
      <c r="X399" s="154">
        <v>556.2707088432511</v>
      </c>
      <c r="Y399" s="154">
        <v>39110.182740533608</v>
      </c>
      <c r="Z399" s="154">
        <v>99.388806563560991</v>
      </c>
      <c r="AC399" s="28" t="s">
        <v>421</v>
      </c>
      <c r="AD399" s="28" t="s">
        <v>421</v>
      </c>
      <c r="AE399" s="9" t="s">
        <v>1626</v>
      </c>
      <c r="AF399" s="28" t="s">
        <v>1626</v>
      </c>
      <c r="AG399" s="28">
        <v>0.12280000000000001</v>
      </c>
      <c r="AH399" s="28">
        <v>32.687600000000003</v>
      </c>
      <c r="AI399" s="28" t="s">
        <v>1626</v>
      </c>
      <c r="AJ399" s="28" t="s">
        <v>1626</v>
      </c>
      <c r="AK399" s="28" t="s">
        <v>1626</v>
      </c>
      <c r="AL399" s="28">
        <v>63.976300000000002</v>
      </c>
      <c r="AM399" s="28" t="s">
        <v>1626</v>
      </c>
      <c r="AN399" s="28">
        <v>1.2702</v>
      </c>
      <c r="AO399" s="28" t="s">
        <v>1626</v>
      </c>
      <c r="AP399" s="156">
        <f t="shared" si="6"/>
        <v>98.056899999999999</v>
      </c>
    </row>
    <row r="400" spans="1:42" x14ac:dyDescent="0.2">
      <c r="A400" s="9" t="s">
        <v>1203</v>
      </c>
      <c r="B400" s="9" t="s">
        <v>1204</v>
      </c>
      <c r="C400" s="9" t="s">
        <v>127</v>
      </c>
      <c r="D400" s="9" t="s">
        <v>130</v>
      </c>
      <c r="E400" s="154">
        <v>363238.49315113464</v>
      </c>
      <c r="F400" s="154">
        <v>287726.94786794297</v>
      </c>
      <c r="G400" s="154">
        <v>90.405701541663191</v>
      </c>
      <c r="H400" s="154">
        <v>5739.4029008967291</v>
      </c>
      <c r="I400" s="154">
        <v>0.21390772605281747</v>
      </c>
      <c r="J400" s="154">
        <v>683.5219355215869</v>
      </c>
      <c r="K400" s="154">
        <v>642880</v>
      </c>
      <c r="L400" s="154">
        <v>647509.7702001048</v>
      </c>
      <c r="M400" s="154">
        <v>75.927040661594873</v>
      </c>
      <c r="N400" s="154">
        <v>9.0700718741890078</v>
      </c>
      <c r="O400" s="154">
        <v>20.528092601582539</v>
      </c>
      <c r="P400" s="154">
        <v>3.370670722058021</v>
      </c>
      <c r="Q400" s="154">
        <v>389.32146370935146</v>
      </c>
      <c r="R400" s="154">
        <v>3179.8117148399842</v>
      </c>
      <c r="S400" s="154">
        <v>162.19808535985675</v>
      </c>
      <c r="T400" s="154">
        <v>62.107124394044021</v>
      </c>
      <c r="U400" s="154">
        <v>61.21659559494941</v>
      </c>
      <c r="V400" s="154">
        <v>1386.3893176750205</v>
      </c>
      <c r="W400" s="154">
        <v>107.42299867479339</v>
      </c>
      <c r="X400" s="154">
        <v>200.66863739194736</v>
      </c>
      <c r="Y400" s="154">
        <v>3170.2602832868579</v>
      </c>
      <c r="Z400" s="154">
        <v>161.986921136917</v>
      </c>
      <c r="AC400" s="28" t="s">
        <v>421</v>
      </c>
      <c r="AD400" s="28" t="s">
        <v>421</v>
      </c>
      <c r="AE400" s="9" t="s">
        <v>1626</v>
      </c>
      <c r="AF400" s="28" t="s">
        <v>1626</v>
      </c>
      <c r="AG400" s="28">
        <v>0.6179</v>
      </c>
      <c r="AH400" s="28">
        <v>32.711300000000001</v>
      </c>
      <c r="AI400" s="28" t="s">
        <v>1626</v>
      </c>
      <c r="AJ400" s="28" t="s">
        <v>1626</v>
      </c>
      <c r="AK400" s="28" t="s">
        <v>1626</v>
      </c>
      <c r="AL400" s="28">
        <v>64.287999999999997</v>
      </c>
      <c r="AM400" s="28" t="s">
        <v>1626</v>
      </c>
      <c r="AN400" s="28">
        <v>1.2968999999999999</v>
      </c>
      <c r="AO400" s="28" t="s">
        <v>1626</v>
      </c>
      <c r="AP400" s="156">
        <f t="shared" si="6"/>
        <v>98.914099999999991</v>
      </c>
    </row>
    <row r="401" spans="1:42" x14ac:dyDescent="0.2">
      <c r="A401" s="9" t="s">
        <v>1205</v>
      </c>
      <c r="B401" s="9" t="s">
        <v>1206</v>
      </c>
      <c r="C401" s="9" t="s">
        <v>127</v>
      </c>
      <c r="D401" s="9" t="s">
        <v>130</v>
      </c>
      <c r="E401" s="154">
        <v>353162.20480131265</v>
      </c>
      <c r="F401" s="154">
        <v>343241.8897073447</v>
      </c>
      <c r="G401" s="154">
        <v>268.91838336212095</v>
      </c>
      <c r="H401" s="154">
        <v>10611.990964496041</v>
      </c>
      <c r="I401" s="154">
        <v>4.5475094938049222E-2</v>
      </c>
      <c r="J401" s="154">
        <v>114.93386092849211</v>
      </c>
      <c r="K401" s="154">
        <v>634925</v>
      </c>
      <c r="L401" s="154">
        <v>637576.41385813314</v>
      </c>
      <c r="M401" s="154">
        <v>36.046299422543491</v>
      </c>
      <c r="N401" s="154">
        <v>69.170336919217135</v>
      </c>
      <c r="O401" s="154">
        <v>124.87963691105165</v>
      </c>
      <c r="P401" s="154" t="s">
        <v>421</v>
      </c>
      <c r="Q401" s="154">
        <v>81.344879074474008</v>
      </c>
      <c r="R401" s="154">
        <v>173.3907512470247</v>
      </c>
      <c r="S401" s="154" t="s">
        <v>421</v>
      </c>
      <c r="T401" s="154">
        <v>0.30376989420336092</v>
      </c>
      <c r="U401" s="154">
        <v>0.28028257979924642</v>
      </c>
      <c r="V401" s="154">
        <v>6985.8652361259537</v>
      </c>
      <c r="W401" s="154">
        <v>3.9608051893655611</v>
      </c>
      <c r="X401" s="154">
        <v>1315.5021367884281</v>
      </c>
      <c r="Y401" s="154">
        <v>10995.986663500255</v>
      </c>
      <c r="Z401" s="154" t="s">
        <v>421</v>
      </c>
      <c r="AC401" s="28" t="s">
        <v>421</v>
      </c>
      <c r="AD401" s="28" t="s">
        <v>421</v>
      </c>
      <c r="AE401" s="9" t="s">
        <v>1626</v>
      </c>
      <c r="AF401" s="28" t="s">
        <v>1626</v>
      </c>
      <c r="AG401" s="28">
        <v>3.0599999999999999E-2</v>
      </c>
      <c r="AH401" s="28">
        <v>32.574100000000001</v>
      </c>
      <c r="AI401" s="28" t="s">
        <v>1626</v>
      </c>
      <c r="AJ401" s="28" t="s">
        <v>1626</v>
      </c>
      <c r="AK401" s="28" t="s">
        <v>1626</v>
      </c>
      <c r="AL401" s="28">
        <v>63.4925</v>
      </c>
      <c r="AM401" s="28" t="s">
        <v>1626</v>
      </c>
      <c r="AN401" s="28">
        <v>1.5499000000000001</v>
      </c>
      <c r="AO401" s="28" t="s">
        <v>1626</v>
      </c>
      <c r="AP401" s="156">
        <f t="shared" si="6"/>
        <v>97.647099999999995</v>
      </c>
    </row>
    <row r="402" spans="1:42" x14ac:dyDescent="0.2">
      <c r="A402" s="9" t="s">
        <v>1207</v>
      </c>
      <c r="B402" s="9" t="s">
        <v>1208</v>
      </c>
      <c r="C402" s="9" t="s">
        <v>127</v>
      </c>
      <c r="D402" s="9" t="s">
        <v>130</v>
      </c>
      <c r="E402" s="154">
        <v>359457.12475344288</v>
      </c>
      <c r="F402" s="154">
        <v>337044.74984755361</v>
      </c>
      <c r="G402" s="154">
        <v>197.34036021411487</v>
      </c>
      <c r="H402" s="154">
        <v>7761.5508882287668</v>
      </c>
      <c r="I402" s="154">
        <v>4.5466338612773986E-2</v>
      </c>
      <c r="J402" s="154">
        <v>0.18636411240132345</v>
      </c>
      <c r="K402" s="154">
        <v>641358</v>
      </c>
      <c r="L402" s="154">
        <v>631435.54050863045</v>
      </c>
      <c r="M402" s="154">
        <v>31.718761667543379</v>
      </c>
      <c r="N402" s="154">
        <v>19.180470249070638</v>
      </c>
      <c r="O402" s="154">
        <v>50.163353034657277</v>
      </c>
      <c r="P402" s="154" t="s">
        <v>421</v>
      </c>
      <c r="Q402" s="154">
        <v>41.56498148460058</v>
      </c>
      <c r="R402" s="154">
        <v>1870.6963153391891</v>
      </c>
      <c r="S402" s="154" t="s">
        <v>421</v>
      </c>
      <c r="T402" s="154">
        <v>0.32628741345703716</v>
      </c>
      <c r="U402" s="154">
        <v>0.26609633112570863</v>
      </c>
      <c r="V402" s="154">
        <v>5682.4898645819785</v>
      </c>
      <c r="W402" s="154">
        <v>23.847851122327679</v>
      </c>
      <c r="X402" s="154">
        <v>459.95566701849975</v>
      </c>
      <c r="Y402" s="154">
        <v>6666.3771994693279</v>
      </c>
      <c r="Z402" s="154" t="s">
        <v>421</v>
      </c>
      <c r="AC402" s="28" t="s">
        <v>421</v>
      </c>
      <c r="AD402" s="28" t="s">
        <v>421</v>
      </c>
      <c r="AE402" s="9" t="s">
        <v>1626</v>
      </c>
      <c r="AF402" s="28" t="s">
        <v>1626</v>
      </c>
      <c r="AG402" s="28">
        <v>1.5900000000000001E-2</v>
      </c>
      <c r="AH402" s="28">
        <v>32.888500000000001</v>
      </c>
      <c r="AI402" s="28" t="s">
        <v>1626</v>
      </c>
      <c r="AJ402" s="28" t="s">
        <v>1626</v>
      </c>
      <c r="AK402" s="28" t="s">
        <v>1626</v>
      </c>
      <c r="AL402" s="28">
        <v>64.135800000000003</v>
      </c>
      <c r="AM402" s="28" t="s">
        <v>1626</v>
      </c>
      <c r="AN402" s="28">
        <v>1.2826</v>
      </c>
      <c r="AO402" s="28" t="s">
        <v>1626</v>
      </c>
      <c r="AP402" s="156">
        <f t="shared" si="6"/>
        <v>98.322800000000001</v>
      </c>
    </row>
    <row r="403" spans="1:42" x14ac:dyDescent="0.2">
      <c r="A403" s="9" t="s">
        <v>1209</v>
      </c>
      <c r="B403" s="9" t="s">
        <v>1210</v>
      </c>
      <c r="C403" s="9" t="s">
        <v>127</v>
      </c>
      <c r="D403" s="9" t="s">
        <v>130</v>
      </c>
      <c r="E403" s="154">
        <v>355333.78834576806</v>
      </c>
      <c r="F403" s="154">
        <v>343086.22283928719</v>
      </c>
      <c r="G403" s="154">
        <v>176.49904232086567</v>
      </c>
      <c r="H403" s="154">
        <v>7584.6838264231201</v>
      </c>
      <c r="I403" s="154">
        <v>8.2161340232337829E-2</v>
      </c>
      <c r="J403" s="154">
        <v>55.628795466965705</v>
      </c>
      <c r="K403" s="154">
        <v>638342</v>
      </c>
      <c r="L403" s="154">
        <v>623194.62431141059</v>
      </c>
      <c r="M403" s="154">
        <v>47.740490013940963</v>
      </c>
      <c r="N403" s="154">
        <v>17.499318930054297</v>
      </c>
      <c r="O403" s="154">
        <v>47.920301942738924</v>
      </c>
      <c r="P403" s="154" t="s">
        <v>421</v>
      </c>
      <c r="Q403" s="154">
        <v>156.73617368197591</v>
      </c>
      <c r="R403" s="154">
        <v>1447.8809318638012</v>
      </c>
      <c r="S403" s="154">
        <v>3.5474636973925038</v>
      </c>
      <c r="T403" s="154">
        <v>5.4345601055738486</v>
      </c>
      <c r="U403" s="154">
        <v>4.8887796596477759</v>
      </c>
      <c r="V403" s="154">
        <v>6103.3703676166651</v>
      </c>
      <c r="W403" s="154">
        <v>23.686189996911221</v>
      </c>
      <c r="X403" s="154">
        <v>1074.207716491087</v>
      </c>
      <c r="Y403" s="154">
        <v>6843.4860626369527</v>
      </c>
      <c r="Z403" s="154">
        <v>3.5289861930335529</v>
      </c>
      <c r="AC403" s="28" t="s">
        <v>421</v>
      </c>
      <c r="AD403" s="28" t="s">
        <v>421</v>
      </c>
      <c r="AE403" s="9" t="s">
        <v>1626</v>
      </c>
      <c r="AF403" s="28" t="s">
        <v>1626</v>
      </c>
      <c r="AG403" s="28">
        <v>0.17080000000000001</v>
      </c>
      <c r="AH403" s="28">
        <v>32.869</v>
      </c>
      <c r="AI403" s="28" t="s">
        <v>1626</v>
      </c>
      <c r="AJ403" s="28" t="s">
        <v>1626</v>
      </c>
      <c r="AK403" s="28" t="s">
        <v>1626</v>
      </c>
      <c r="AL403" s="28">
        <v>63.834200000000003</v>
      </c>
      <c r="AM403" s="28" t="s">
        <v>1626</v>
      </c>
      <c r="AN403" s="28">
        <v>1.6437999999999999</v>
      </c>
      <c r="AO403" s="28" t="s">
        <v>1626</v>
      </c>
      <c r="AP403" s="156">
        <f t="shared" si="6"/>
        <v>98.517799999999994</v>
      </c>
    </row>
    <row r="404" spans="1:42" x14ac:dyDescent="0.2">
      <c r="A404" s="9" t="s">
        <v>1211</v>
      </c>
      <c r="B404" s="9" t="s">
        <v>1212</v>
      </c>
      <c r="C404" s="9" t="s">
        <v>127</v>
      </c>
      <c r="D404" s="9" t="s">
        <v>130</v>
      </c>
      <c r="E404" s="154">
        <v>356120.94060465461</v>
      </c>
      <c r="F404" s="154">
        <v>345207.56311098876</v>
      </c>
      <c r="G404" s="154">
        <v>274.79842063227449</v>
      </c>
      <c r="H404" s="154">
        <v>12486.136086666191</v>
      </c>
      <c r="I404" s="154">
        <v>8.1674022807608659E-2</v>
      </c>
      <c r="J404" s="154">
        <v>10.931236008560258</v>
      </c>
      <c r="K404" s="154">
        <v>631514</v>
      </c>
      <c r="L404" s="154">
        <v>637839.36346690345</v>
      </c>
      <c r="M404" s="154">
        <v>41.582012564280802</v>
      </c>
      <c r="N404" s="154">
        <v>55.374318767292429</v>
      </c>
      <c r="O404" s="154">
        <v>134.99523753050346</v>
      </c>
      <c r="P404" s="154" t="s">
        <v>421</v>
      </c>
      <c r="Q404" s="154">
        <v>233.51340102412905</v>
      </c>
      <c r="R404" s="154">
        <v>146.02326411021147</v>
      </c>
      <c r="S404" s="154">
        <v>0.21867661358963408</v>
      </c>
      <c r="T404" s="154">
        <v>0.45310171801355703</v>
      </c>
      <c r="U404" s="154">
        <v>0.65288595096662905</v>
      </c>
      <c r="V404" s="154">
        <v>9951.7321340937924</v>
      </c>
      <c r="W404" s="154">
        <v>3.0109487973515114</v>
      </c>
      <c r="X404" s="154">
        <v>1930.2654366493969</v>
      </c>
      <c r="Y404" s="154">
        <v>13645.490950510439</v>
      </c>
      <c r="Z404" s="154">
        <v>0.21713606774838798</v>
      </c>
      <c r="AC404" s="28" t="s">
        <v>421</v>
      </c>
      <c r="AD404" s="28" t="s">
        <v>421</v>
      </c>
      <c r="AE404" s="9" t="s">
        <v>1626</v>
      </c>
      <c r="AF404" s="28" t="s">
        <v>1626</v>
      </c>
      <c r="AG404" s="28">
        <v>0.1792</v>
      </c>
      <c r="AH404" s="28">
        <v>32.665799999999997</v>
      </c>
      <c r="AI404" s="28" t="s">
        <v>1626</v>
      </c>
      <c r="AJ404" s="28" t="s">
        <v>1626</v>
      </c>
      <c r="AK404" s="28" t="s">
        <v>1626</v>
      </c>
      <c r="AL404" s="28">
        <v>63.151400000000002</v>
      </c>
      <c r="AM404" s="28" t="s">
        <v>1626</v>
      </c>
      <c r="AN404" s="28">
        <v>1.9518</v>
      </c>
      <c r="AO404" s="28" t="s">
        <v>1626</v>
      </c>
      <c r="AP404" s="156">
        <f t="shared" si="6"/>
        <v>97.9482</v>
      </c>
    </row>
    <row r="405" spans="1:42" x14ac:dyDescent="0.2">
      <c r="A405" s="9" t="s">
        <v>1213</v>
      </c>
      <c r="B405" s="9" t="s">
        <v>1214</v>
      </c>
      <c r="C405" s="9" t="s">
        <v>127</v>
      </c>
      <c r="D405" s="9" t="s">
        <v>131</v>
      </c>
      <c r="E405" s="154">
        <v>360991.13842828077</v>
      </c>
      <c r="F405" s="154">
        <v>343720.68298100028</v>
      </c>
      <c r="G405" s="154">
        <v>273.34878993964321</v>
      </c>
      <c r="H405" s="154">
        <v>13596.119267840892</v>
      </c>
      <c r="I405" s="154">
        <v>4.3508969124088338E-2</v>
      </c>
      <c r="J405" s="154">
        <v>6.0457683603113092E-2</v>
      </c>
      <c r="K405" s="154">
        <v>635943</v>
      </c>
      <c r="L405" s="154">
        <v>635901.75458627031</v>
      </c>
      <c r="M405" s="154">
        <v>46.649848199454048</v>
      </c>
      <c r="N405" s="154">
        <v>65.550810101071534</v>
      </c>
      <c r="O405" s="154">
        <v>119.31296330972134</v>
      </c>
      <c r="P405" s="154" t="s">
        <v>421</v>
      </c>
      <c r="Q405" s="154">
        <v>68.288245260719648</v>
      </c>
      <c r="R405" s="154">
        <v>14.170319220346272</v>
      </c>
      <c r="S405" s="154" t="s">
        <v>421</v>
      </c>
      <c r="T405" s="154">
        <v>0.34709877380027165</v>
      </c>
      <c r="U405" s="154">
        <v>0.28121167035582179</v>
      </c>
      <c r="V405" s="154">
        <v>6423.6826424351075</v>
      </c>
      <c r="W405" s="154">
        <v>8.6405594370561722</v>
      </c>
      <c r="X405" s="154">
        <v>1283.1639403916145</v>
      </c>
      <c r="Y405" s="154">
        <v>10273.459629244826</v>
      </c>
      <c r="Z405" s="154" t="s">
        <v>421</v>
      </c>
      <c r="AC405" s="28" t="s">
        <v>421</v>
      </c>
      <c r="AD405" s="28" t="s">
        <v>421</v>
      </c>
      <c r="AE405" s="9" t="s">
        <v>1626</v>
      </c>
      <c r="AF405" s="28" t="s">
        <v>1626</v>
      </c>
      <c r="AG405" s="28" t="s">
        <v>421</v>
      </c>
      <c r="AH405" s="28">
        <v>32.795900000000003</v>
      </c>
      <c r="AI405" s="28" t="s">
        <v>1626</v>
      </c>
      <c r="AJ405" s="28" t="s">
        <v>1626</v>
      </c>
      <c r="AK405" s="28" t="s">
        <v>1626</v>
      </c>
      <c r="AL405" s="28">
        <v>63.594299999999997</v>
      </c>
      <c r="AM405" s="28" t="s">
        <v>1626</v>
      </c>
      <c r="AN405" s="28">
        <v>2.286</v>
      </c>
      <c r="AO405" s="28" t="s">
        <v>1626</v>
      </c>
      <c r="AP405" s="156">
        <f t="shared" si="6"/>
        <v>98.676199999999994</v>
      </c>
    </row>
    <row r="406" spans="1:42" x14ac:dyDescent="0.2">
      <c r="A406" s="9" t="s">
        <v>1215</v>
      </c>
      <c r="B406" s="9" t="s">
        <v>1216</v>
      </c>
      <c r="C406" s="9" t="s">
        <v>127</v>
      </c>
      <c r="D406" s="9" t="s">
        <v>131</v>
      </c>
      <c r="E406" s="154">
        <v>354082.65081074374</v>
      </c>
      <c r="F406" s="154">
        <v>342004.68710599828</v>
      </c>
      <c r="G406" s="154">
        <v>138.13385024099244</v>
      </c>
      <c r="H406" s="154">
        <v>8757.8380658312617</v>
      </c>
      <c r="I406" s="154" t="s">
        <v>421</v>
      </c>
      <c r="J406" s="154">
        <v>2.4187723917763577</v>
      </c>
      <c r="K406" s="154">
        <v>645994</v>
      </c>
      <c r="L406" s="154">
        <v>648763.90039597405</v>
      </c>
      <c r="M406" s="154">
        <v>45.614894507909852</v>
      </c>
      <c r="N406" s="154">
        <v>12.051027327405841</v>
      </c>
      <c r="O406" s="154">
        <v>22.135925048910458</v>
      </c>
      <c r="P406" s="154">
        <v>1.6230282499635658</v>
      </c>
      <c r="Q406" s="154">
        <v>20.940889792265491</v>
      </c>
      <c r="R406" s="154">
        <v>783.93361736877011</v>
      </c>
      <c r="S406" s="154" t="s">
        <v>421</v>
      </c>
      <c r="T406" s="154">
        <v>0.19578556061754626</v>
      </c>
      <c r="U406" s="154">
        <v>0.44263043208875402</v>
      </c>
      <c r="V406" s="154">
        <v>2707.6527588762101</v>
      </c>
      <c r="W406" s="154">
        <v>25.688250595146549</v>
      </c>
      <c r="X406" s="154">
        <v>232.59035852888445</v>
      </c>
      <c r="Y406" s="154">
        <v>2637.6573856271416</v>
      </c>
      <c r="Z406" s="154" t="s">
        <v>421</v>
      </c>
      <c r="AC406" s="28" t="s">
        <v>421</v>
      </c>
      <c r="AD406" s="28" t="s">
        <v>421</v>
      </c>
      <c r="AE406" s="9" t="s">
        <v>1626</v>
      </c>
      <c r="AF406" s="28" t="s">
        <v>1626</v>
      </c>
      <c r="AG406" s="28">
        <v>6.3700000000000007E-2</v>
      </c>
      <c r="AH406" s="28">
        <v>32.576300000000003</v>
      </c>
      <c r="AI406" s="28" t="s">
        <v>1626</v>
      </c>
      <c r="AJ406" s="28" t="s">
        <v>1626</v>
      </c>
      <c r="AK406" s="28" t="s">
        <v>1626</v>
      </c>
      <c r="AL406" s="28">
        <v>64.599400000000003</v>
      </c>
      <c r="AM406" s="28" t="s">
        <v>1626</v>
      </c>
      <c r="AN406" s="28">
        <v>1.4217</v>
      </c>
      <c r="AO406" s="28" t="s">
        <v>1626</v>
      </c>
      <c r="AP406" s="156">
        <f t="shared" si="6"/>
        <v>98.661100000000005</v>
      </c>
    </row>
    <row r="407" spans="1:42" x14ac:dyDescent="0.2">
      <c r="A407" s="9" t="s">
        <v>1217</v>
      </c>
      <c r="B407" s="9" t="s">
        <v>1218</v>
      </c>
      <c r="C407" s="9" t="s">
        <v>127</v>
      </c>
      <c r="D407" s="9" t="s">
        <v>131</v>
      </c>
      <c r="E407" s="154">
        <v>365794.13183757279</v>
      </c>
      <c r="F407" s="154">
        <v>353491.22057516896</v>
      </c>
      <c r="G407" s="154">
        <v>157.97877979779398</v>
      </c>
      <c r="H407" s="154">
        <v>7163.4745572685533</v>
      </c>
      <c r="I407" s="154" t="s">
        <v>421</v>
      </c>
      <c r="J407" s="154">
        <v>132.02438526774057</v>
      </c>
      <c r="K407" s="154">
        <v>648349.99999999988</v>
      </c>
      <c r="L407" s="154">
        <v>647195.64518978016</v>
      </c>
      <c r="M407" s="154">
        <v>43.793371125000419</v>
      </c>
      <c r="N407" s="154">
        <v>21.851879859773451</v>
      </c>
      <c r="O407" s="154">
        <v>39.097520666111969</v>
      </c>
      <c r="P407" s="154" t="s">
        <v>421</v>
      </c>
      <c r="Q407" s="154">
        <v>669.19424113137131</v>
      </c>
      <c r="R407" s="154">
        <v>2190.0543034324301</v>
      </c>
      <c r="S407" s="154">
        <v>41.551046060052862</v>
      </c>
      <c r="T407" s="154">
        <v>29.641189603040349</v>
      </c>
      <c r="U407" s="154">
        <v>28.589979045654118</v>
      </c>
      <c r="V407" s="154">
        <v>3449.6217789590228</v>
      </c>
      <c r="W407" s="154">
        <v>36.059594017039068</v>
      </c>
      <c r="X407" s="154">
        <v>340.45096102736267</v>
      </c>
      <c r="Y407" s="154">
        <v>3994.7606549697916</v>
      </c>
      <c r="Z407" s="154">
        <v>41.450266015402526</v>
      </c>
      <c r="AC407" s="28" t="s">
        <v>421</v>
      </c>
      <c r="AD407" s="28" t="s">
        <v>421</v>
      </c>
      <c r="AE407" s="9" t="s">
        <v>1626</v>
      </c>
      <c r="AF407" s="28" t="s">
        <v>1626</v>
      </c>
      <c r="AG407" s="28">
        <v>3.2599999999999997E-2</v>
      </c>
      <c r="AH407" s="28">
        <v>32.807899999999997</v>
      </c>
      <c r="AI407" s="28" t="s">
        <v>1626</v>
      </c>
      <c r="AJ407" s="28" t="s">
        <v>1626</v>
      </c>
      <c r="AK407" s="28" t="s">
        <v>1626</v>
      </c>
      <c r="AL407" s="28">
        <v>64.834999999999994</v>
      </c>
      <c r="AM407" s="28" t="s">
        <v>1626</v>
      </c>
      <c r="AN407" s="28">
        <v>1.1292</v>
      </c>
      <c r="AO407" s="28" t="s">
        <v>1626</v>
      </c>
      <c r="AP407" s="156">
        <f t="shared" si="6"/>
        <v>98.804699999999997</v>
      </c>
    </row>
    <row r="408" spans="1:42" x14ac:dyDescent="0.2">
      <c r="A408" s="9" t="s">
        <v>1219</v>
      </c>
      <c r="B408" s="9" t="s">
        <v>1220</v>
      </c>
      <c r="C408" s="9" t="s">
        <v>127</v>
      </c>
      <c r="D408" s="9" t="s">
        <v>131</v>
      </c>
      <c r="E408" s="154">
        <v>358994.34406575304</v>
      </c>
      <c r="F408" s="154">
        <v>348245.12815781368</v>
      </c>
      <c r="G408" s="154">
        <v>70.828920124809017</v>
      </c>
      <c r="H408" s="154">
        <v>11954.100081564091</v>
      </c>
      <c r="I408" s="154">
        <v>0.13186162733665002</v>
      </c>
      <c r="J408" s="154">
        <v>22.939755138755018</v>
      </c>
      <c r="K408" s="154">
        <v>628745</v>
      </c>
      <c r="L408" s="154">
        <v>628192.39993811585</v>
      </c>
      <c r="M408" s="154">
        <v>88.490908699549635</v>
      </c>
      <c r="N408" s="154">
        <v>10.699545946397958</v>
      </c>
      <c r="O408" s="154">
        <v>15.420645929637208</v>
      </c>
      <c r="P408" s="154" t="s">
        <v>421</v>
      </c>
      <c r="Q408" s="154">
        <v>557.28095340704465</v>
      </c>
      <c r="R408" s="154">
        <v>3146.576837329299</v>
      </c>
      <c r="S408" s="154" t="s">
        <v>421</v>
      </c>
      <c r="T408" s="154">
        <v>0.5579657424847061</v>
      </c>
      <c r="U408" s="154">
        <v>0.50733895822472852</v>
      </c>
      <c r="V408" s="154">
        <v>1305.984732372772</v>
      </c>
      <c r="W408" s="154">
        <v>83.666394516479343</v>
      </c>
      <c r="X408" s="154">
        <v>166.78506975680853</v>
      </c>
      <c r="Y408" s="154">
        <v>1754.6092050458149</v>
      </c>
      <c r="Z408" s="154" t="s">
        <v>421</v>
      </c>
      <c r="AC408" s="28" t="s">
        <v>421</v>
      </c>
      <c r="AD408" s="28" t="s">
        <v>421</v>
      </c>
      <c r="AE408" s="9" t="s">
        <v>1626</v>
      </c>
      <c r="AF408" s="28" t="s">
        <v>1626</v>
      </c>
      <c r="AG408" s="28">
        <v>0.10290000000000001</v>
      </c>
      <c r="AH408" s="28">
        <v>33.013100000000001</v>
      </c>
      <c r="AI408" s="28" t="s">
        <v>1626</v>
      </c>
      <c r="AJ408" s="28" t="s">
        <v>1626</v>
      </c>
      <c r="AK408" s="28" t="s">
        <v>1626</v>
      </c>
      <c r="AL408" s="28">
        <v>62.874499999999998</v>
      </c>
      <c r="AM408" s="28" t="s">
        <v>1626</v>
      </c>
      <c r="AN408" s="28">
        <v>2.9483000000000001</v>
      </c>
      <c r="AO408" s="28" t="s">
        <v>1626</v>
      </c>
      <c r="AP408" s="156">
        <f t="shared" si="6"/>
        <v>98.938800000000001</v>
      </c>
    </row>
    <row r="409" spans="1:42" x14ac:dyDescent="0.2">
      <c r="A409" s="9" t="s">
        <v>1221</v>
      </c>
      <c r="B409" s="9" t="s">
        <v>1222</v>
      </c>
      <c r="C409" s="9" t="s">
        <v>127</v>
      </c>
      <c r="D409" s="9" t="s">
        <v>131</v>
      </c>
      <c r="E409" s="154">
        <v>351903.49506423197</v>
      </c>
      <c r="F409" s="154">
        <v>341329.69643092511</v>
      </c>
      <c r="G409" s="154">
        <v>125.62212782888967</v>
      </c>
      <c r="H409" s="154">
        <v>7346.4465596389555</v>
      </c>
      <c r="I409" s="154">
        <v>8.7630504551389626E-2</v>
      </c>
      <c r="J409" s="154">
        <v>265.62084391682691</v>
      </c>
      <c r="K409" s="154">
        <v>629655</v>
      </c>
      <c r="L409" s="154">
        <v>632422.1807775693</v>
      </c>
      <c r="M409" s="154">
        <v>70.871704814004389</v>
      </c>
      <c r="N409" s="154">
        <v>12.588909050996516</v>
      </c>
      <c r="O409" s="154">
        <v>22.915843396191441</v>
      </c>
      <c r="P409" s="154">
        <v>1.9850225263837082</v>
      </c>
      <c r="Q409" s="154">
        <v>238.80342828876374</v>
      </c>
      <c r="R409" s="154">
        <v>1602.3775167215495</v>
      </c>
      <c r="S409" s="154">
        <v>63.461203934531817</v>
      </c>
      <c r="T409" s="154">
        <v>12.457410348793305</v>
      </c>
      <c r="U409" s="154">
        <v>14.110668030586458</v>
      </c>
      <c r="V409" s="154">
        <v>2606.4021060772161</v>
      </c>
      <c r="W409" s="154">
        <v>88.913225324372164</v>
      </c>
      <c r="X409" s="154">
        <v>251.37850837982148</v>
      </c>
      <c r="Y409" s="154">
        <v>3591.941110746126</v>
      </c>
      <c r="Z409" s="154">
        <v>63.418848739345918</v>
      </c>
      <c r="AC409" s="28" t="s">
        <v>421</v>
      </c>
      <c r="AD409" s="28" t="s">
        <v>421</v>
      </c>
      <c r="AE409" s="9" t="s">
        <v>1626</v>
      </c>
      <c r="AF409" s="28" t="s">
        <v>1626</v>
      </c>
      <c r="AG409" s="28" t="s">
        <v>421</v>
      </c>
      <c r="AH409" s="28">
        <v>32.708300000000001</v>
      </c>
      <c r="AI409" s="28" t="s">
        <v>1626</v>
      </c>
      <c r="AJ409" s="28" t="s">
        <v>1626</v>
      </c>
      <c r="AK409" s="28" t="s">
        <v>1626</v>
      </c>
      <c r="AL409" s="28">
        <v>62.965499999999999</v>
      </c>
      <c r="AM409" s="28" t="s">
        <v>1626</v>
      </c>
      <c r="AN409" s="28">
        <v>2.5815000000000001</v>
      </c>
      <c r="AO409" s="28" t="s">
        <v>1626</v>
      </c>
      <c r="AP409" s="156">
        <f t="shared" si="6"/>
        <v>98.255300000000005</v>
      </c>
    </row>
    <row r="410" spans="1:42" x14ac:dyDescent="0.2">
      <c r="A410" s="9" t="s">
        <v>1223</v>
      </c>
      <c r="B410" s="9" t="s">
        <v>1224</v>
      </c>
      <c r="C410" s="9" t="s">
        <v>127</v>
      </c>
      <c r="D410" s="9" t="s">
        <v>131</v>
      </c>
      <c r="E410" s="154">
        <v>364931.98168220615</v>
      </c>
      <c r="F410" s="154">
        <v>347745.9755285448</v>
      </c>
      <c r="G410" s="154">
        <v>218.64346023855427</v>
      </c>
      <c r="H410" s="154">
        <v>13460.235490368686</v>
      </c>
      <c r="I410" s="154">
        <v>4.5568579889497217E-2</v>
      </c>
      <c r="J410" s="154">
        <v>122.91383495924893</v>
      </c>
      <c r="K410" s="154">
        <v>639198</v>
      </c>
      <c r="L410" s="154">
        <v>633603.43624852947</v>
      </c>
      <c r="M410" s="154">
        <v>58.708982371905229</v>
      </c>
      <c r="N410" s="154">
        <v>41.361917501906063</v>
      </c>
      <c r="O410" s="154">
        <v>86.884698441032398</v>
      </c>
      <c r="P410" s="154">
        <v>2.0980610206011336</v>
      </c>
      <c r="Q410" s="154">
        <v>200.95186327477685</v>
      </c>
      <c r="R410" s="154">
        <v>624.09927162368342</v>
      </c>
      <c r="S410" s="154">
        <v>20.262258640657027</v>
      </c>
      <c r="T410" s="154">
        <v>14.219400776813028</v>
      </c>
      <c r="U410" s="154">
        <v>15.23799297181654</v>
      </c>
      <c r="V410" s="154">
        <v>6633.2547820552345</v>
      </c>
      <c r="W410" s="154">
        <v>16.321392488183463</v>
      </c>
      <c r="X410" s="154">
        <v>1352.5704084672425</v>
      </c>
      <c r="Y410" s="154">
        <v>7734.7010971481795</v>
      </c>
      <c r="Z410" s="154">
        <v>20.213912678015863</v>
      </c>
      <c r="AC410" s="28" t="s">
        <v>421</v>
      </c>
      <c r="AD410" s="28" t="s">
        <v>421</v>
      </c>
      <c r="AE410" s="9" t="s">
        <v>1626</v>
      </c>
      <c r="AF410" s="28" t="s">
        <v>1626</v>
      </c>
      <c r="AG410" s="28">
        <v>0.1739</v>
      </c>
      <c r="AH410" s="28">
        <v>32.793700000000001</v>
      </c>
      <c r="AI410" s="28" t="s">
        <v>1626</v>
      </c>
      <c r="AJ410" s="28" t="s">
        <v>1626</v>
      </c>
      <c r="AK410" s="28" t="s">
        <v>1626</v>
      </c>
      <c r="AL410" s="28">
        <v>63.919800000000002</v>
      </c>
      <c r="AM410" s="28" t="s">
        <v>1626</v>
      </c>
      <c r="AN410" s="28">
        <v>1.9777</v>
      </c>
      <c r="AO410" s="28" t="s">
        <v>1626</v>
      </c>
      <c r="AP410" s="156">
        <f t="shared" si="6"/>
        <v>98.865100000000012</v>
      </c>
    </row>
    <row r="411" spans="1:42" x14ac:dyDescent="0.2">
      <c r="A411" s="9" t="s">
        <v>1225</v>
      </c>
      <c r="B411" s="9" t="s">
        <v>1226</v>
      </c>
      <c r="C411" s="9" t="s">
        <v>127</v>
      </c>
      <c r="D411" s="9" t="s">
        <v>131</v>
      </c>
      <c r="E411" s="154">
        <v>358699.35587619443</v>
      </c>
      <c r="F411" s="154">
        <v>314274.42707609996</v>
      </c>
      <c r="G411" s="154">
        <v>140.49959665931425</v>
      </c>
      <c r="H411" s="154">
        <v>6294.2721785102895</v>
      </c>
      <c r="I411" s="154">
        <v>0.12883147374418613</v>
      </c>
      <c r="J411" s="154">
        <v>170.75519797958921</v>
      </c>
      <c r="K411" s="154">
        <v>639025</v>
      </c>
      <c r="L411" s="154">
        <v>641855.76640966185</v>
      </c>
      <c r="M411" s="154">
        <v>39.411503048986511</v>
      </c>
      <c r="N411" s="154">
        <v>19.384905659482325</v>
      </c>
      <c r="O411" s="154">
        <v>38.005649268370661</v>
      </c>
      <c r="P411" s="154">
        <v>2.6937132984881305</v>
      </c>
      <c r="Q411" s="154">
        <v>337.9904020815581</v>
      </c>
      <c r="R411" s="154">
        <v>1757.217447620417</v>
      </c>
      <c r="S411" s="154">
        <v>19.101637232704579</v>
      </c>
      <c r="T411" s="154">
        <v>9.8211847269407908</v>
      </c>
      <c r="U411" s="154">
        <v>10.094190352418494</v>
      </c>
      <c r="V411" s="154">
        <v>4402.4416460361499</v>
      </c>
      <c r="W411" s="154">
        <v>59.366746422137176</v>
      </c>
      <c r="X411" s="154">
        <v>361.69241248524446</v>
      </c>
      <c r="Y411" s="154">
        <v>5339.1709478113389</v>
      </c>
      <c r="Z411" s="154">
        <v>19.06824520463298</v>
      </c>
      <c r="AC411" s="28" t="s">
        <v>421</v>
      </c>
      <c r="AD411" s="28" t="s">
        <v>421</v>
      </c>
      <c r="AE411" s="9" t="s">
        <v>1626</v>
      </c>
      <c r="AF411" s="28" t="s">
        <v>1626</v>
      </c>
      <c r="AG411" s="28">
        <v>0.27300000000000002</v>
      </c>
      <c r="AH411" s="28">
        <v>32.479300000000002</v>
      </c>
      <c r="AI411" s="28" t="s">
        <v>1626</v>
      </c>
      <c r="AJ411" s="28" t="s">
        <v>1626</v>
      </c>
      <c r="AK411" s="28" t="s">
        <v>1626</v>
      </c>
      <c r="AL411" s="28">
        <v>63.902500000000003</v>
      </c>
      <c r="AM411" s="28" t="s">
        <v>1626</v>
      </c>
      <c r="AN411" s="28">
        <v>1.2011000000000001</v>
      </c>
      <c r="AO411" s="28" t="s">
        <v>1626</v>
      </c>
      <c r="AP411" s="156">
        <f t="shared" si="6"/>
        <v>97.855900000000005</v>
      </c>
    </row>
    <row r="412" spans="1:42" x14ac:dyDescent="0.2">
      <c r="A412" s="9" t="s">
        <v>1227</v>
      </c>
      <c r="B412" s="9" t="s">
        <v>1228</v>
      </c>
      <c r="C412" s="9" t="s">
        <v>127</v>
      </c>
      <c r="D412" s="9" t="s">
        <v>131</v>
      </c>
      <c r="E412" s="154">
        <v>355221.99635004206</v>
      </c>
      <c r="F412" s="154">
        <v>289925.90283506142</v>
      </c>
      <c r="G412" s="154">
        <v>124.2168677870725</v>
      </c>
      <c r="H412" s="154">
        <v>5652.3825778840537</v>
      </c>
      <c r="I412" s="154">
        <v>7.1053212472875354E-2</v>
      </c>
      <c r="J412" s="154">
        <v>339.83555384123844</v>
      </c>
      <c r="K412" s="154">
        <v>642644</v>
      </c>
      <c r="L412" s="154">
        <v>640255.98161042877</v>
      </c>
      <c r="M412" s="154">
        <v>47.889613966202312</v>
      </c>
      <c r="N412" s="154">
        <v>12.692271948636337</v>
      </c>
      <c r="O412" s="154">
        <v>28.66524322280619</v>
      </c>
      <c r="P412" s="154" t="s">
        <v>421</v>
      </c>
      <c r="Q412" s="154">
        <v>367.59160720044991</v>
      </c>
      <c r="R412" s="154">
        <v>1926.731490880753</v>
      </c>
      <c r="S412" s="154">
        <v>13.348830090723173</v>
      </c>
      <c r="T412" s="154">
        <v>8.4345527970338061</v>
      </c>
      <c r="U412" s="154">
        <v>9.1071522704409098</v>
      </c>
      <c r="V412" s="154">
        <v>3845.6675296995995</v>
      </c>
      <c r="W412" s="154">
        <v>64.592254331806657</v>
      </c>
      <c r="X412" s="154">
        <v>356.45173450998203</v>
      </c>
      <c r="Y412" s="154">
        <v>4709.4781746590224</v>
      </c>
      <c r="Z412" s="154">
        <v>13.320152611213258</v>
      </c>
      <c r="AC412" s="28" t="s">
        <v>421</v>
      </c>
      <c r="AD412" s="28" t="s">
        <v>421</v>
      </c>
      <c r="AE412" s="9" t="s">
        <v>1626</v>
      </c>
      <c r="AF412" s="28" t="s">
        <v>1626</v>
      </c>
      <c r="AG412" s="28">
        <v>7.0000000000000007E-2</v>
      </c>
      <c r="AH412" s="28">
        <v>32.878500000000003</v>
      </c>
      <c r="AI412" s="28" t="s">
        <v>1626</v>
      </c>
      <c r="AJ412" s="28" t="s">
        <v>1626</v>
      </c>
      <c r="AK412" s="28" t="s">
        <v>1626</v>
      </c>
      <c r="AL412" s="28">
        <v>64.264399999999995</v>
      </c>
      <c r="AM412" s="28" t="s">
        <v>1626</v>
      </c>
      <c r="AN412" s="28">
        <v>1.1707000000000001</v>
      </c>
      <c r="AO412" s="28" t="s">
        <v>1626</v>
      </c>
      <c r="AP412" s="156">
        <f t="shared" si="6"/>
        <v>98.383599999999987</v>
      </c>
    </row>
    <row r="413" spans="1:42" x14ac:dyDescent="0.2">
      <c r="A413" s="9" t="s">
        <v>1229</v>
      </c>
      <c r="B413" s="9" t="s">
        <v>1230</v>
      </c>
      <c r="C413" s="9" t="s">
        <v>127</v>
      </c>
      <c r="D413" s="9" t="s">
        <v>131</v>
      </c>
      <c r="E413" s="154">
        <v>367935.78213706356</v>
      </c>
      <c r="F413" s="154">
        <v>355430.5946673525</v>
      </c>
      <c r="G413" s="154">
        <v>91.447796971191366</v>
      </c>
      <c r="H413" s="154">
        <v>6986.8906029764585</v>
      </c>
      <c r="I413" s="154">
        <v>5.0060664322442758E-2</v>
      </c>
      <c r="J413" s="154">
        <v>517.70536422151747</v>
      </c>
      <c r="K413" s="154">
        <v>651461.99999999988</v>
      </c>
      <c r="L413" s="154">
        <v>646954.02719252487</v>
      </c>
      <c r="M413" s="154">
        <v>79.922739733135444</v>
      </c>
      <c r="N413" s="154">
        <v>10.040430331332457</v>
      </c>
      <c r="O413" s="154">
        <v>25.813900730154291</v>
      </c>
      <c r="P413" s="154">
        <v>2.0565297554180924</v>
      </c>
      <c r="Q413" s="154">
        <v>633.94725154730372</v>
      </c>
      <c r="R413" s="154">
        <v>3464.0371260082352</v>
      </c>
      <c r="S413" s="154">
        <v>40.672494599554618</v>
      </c>
      <c r="T413" s="154">
        <v>63.110515123656867</v>
      </c>
      <c r="U413" s="154">
        <v>63.007819175133541</v>
      </c>
      <c r="V413" s="154">
        <v>1609.029754056894</v>
      </c>
      <c r="W413" s="154">
        <v>84.958729445926366</v>
      </c>
      <c r="X413" s="154">
        <v>174.07992075951654</v>
      </c>
      <c r="Y413" s="154">
        <v>2203.8258345188287</v>
      </c>
      <c r="Z413" s="154">
        <v>40.457918848134184</v>
      </c>
      <c r="AC413" s="28" t="s">
        <v>421</v>
      </c>
      <c r="AD413" s="28" t="s">
        <v>421</v>
      </c>
      <c r="AE413" s="9" t="s">
        <v>1626</v>
      </c>
      <c r="AF413" s="28" t="s">
        <v>1626</v>
      </c>
      <c r="AG413" s="28">
        <v>0.20830000000000001</v>
      </c>
      <c r="AH413" s="28">
        <v>32.924500000000002</v>
      </c>
      <c r="AI413" s="28" t="s">
        <v>1626</v>
      </c>
      <c r="AJ413" s="28" t="s">
        <v>1626</v>
      </c>
      <c r="AK413" s="28" t="s">
        <v>1626</v>
      </c>
      <c r="AL413" s="28">
        <v>65.146199999999993</v>
      </c>
      <c r="AM413" s="28" t="s">
        <v>1626</v>
      </c>
      <c r="AN413" s="28">
        <v>0.78520000000000001</v>
      </c>
      <c r="AO413" s="28" t="s">
        <v>1626</v>
      </c>
      <c r="AP413" s="156">
        <f t="shared" si="6"/>
        <v>99.0642</v>
      </c>
    </row>
    <row r="414" spans="1:42" x14ac:dyDescent="0.2">
      <c r="A414" s="9" t="s">
        <v>1231</v>
      </c>
      <c r="B414" s="9" t="s">
        <v>1232</v>
      </c>
      <c r="C414" s="9" t="s">
        <v>127</v>
      </c>
      <c r="D414" s="9" t="s">
        <v>131</v>
      </c>
      <c r="E414" s="154">
        <v>368795.62055277603</v>
      </c>
      <c r="F414" s="154">
        <v>346245.74152286351</v>
      </c>
      <c r="G414" s="154">
        <v>245.98595217599183</v>
      </c>
      <c r="H414" s="154">
        <v>12085.534617859499</v>
      </c>
      <c r="I414" s="154" t="s">
        <v>421</v>
      </c>
      <c r="J414" s="154">
        <v>213.20679813434182</v>
      </c>
      <c r="K414" s="154">
        <v>637138</v>
      </c>
      <c r="L414" s="154">
        <v>637839.44910801877</v>
      </c>
      <c r="M414" s="154">
        <v>48.687172592483712</v>
      </c>
      <c r="N414" s="154">
        <v>55.85288918711808</v>
      </c>
      <c r="O414" s="154">
        <v>109.7422837135083</v>
      </c>
      <c r="P414" s="154" t="s">
        <v>421</v>
      </c>
      <c r="Q414" s="154">
        <v>63.541083204047041</v>
      </c>
      <c r="R414" s="154">
        <v>22.251119683064079</v>
      </c>
      <c r="S414" s="154">
        <v>0.13079712577547123</v>
      </c>
      <c r="T414" s="154">
        <v>0.50449641477426299</v>
      </c>
      <c r="U414" s="154">
        <v>0.63624696660026792</v>
      </c>
      <c r="V414" s="154">
        <v>6182.1387015803111</v>
      </c>
      <c r="W414" s="154">
        <v>6.7229268052356543</v>
      </c>
      <c r="X414" s="154">
        <v>671.69726613379191</v>
      </c>
      <c r="Y414" s="154">
        <v>8998.0074588942771</v>
      </c>
      <c r="Z414" s="154">
        <v>0.12908183796523873</v>
      </c>
      <c r="AC414" s="28" t="s">
        <v>421</v>
      </c>
      <c r="AD414" s="28" t="s">
        <v>421</v>
      </c>
      <c r="AE414" s="9" t="s">
        <v>1626</v>
      </c>
      <c r="AF414" s="28" t="s">
        <v>1626</v>
      </c>
      <c r="AG414" s="28">
        <v>1.66E-2</v>
      </c>
      <c r="AH414" s="28">
        <v>32.797499999999999</v>
      </c>
      <c r="AI414" s="28" t="s">
        <v>1626</v>
      </c>
      <c r="AJ414" s="28" t="s">
        <v>1626</v>
      </c>
      <c r="AK414" s="28" t="s">
        <v>1626</v>
      </c>
      <c r="AL414" s="28">
        <v>63.713799999999999</v>
      </c>
      <c r="AM414" s="28" t="s">
        <v>1626</v>
      </c>
      <c r="AN414" s="28">
        <v>1.6704000000000001</v>
      </c>
      <c r="AO414" s="28" t="s">
        <v>1626</v>
      </c>
      <c r="AP414" s="156">
        <f t="shared" si="6"/>
        <v>98.198299999999989</v>
      </c>
    </row>
    <row r="415" spans="1:42" x14ac:dyDescent="0.2">
      <c r="A415" s="9" t="s">
        <v>1233</v>
      </c>
      <c r="B415" s="9" t="s">
        <v>1234</v>
      </c>
      <c r="C415" s="9" t="s">
        <v>127</v>
      </c>
      <c r="D415" s="9" t="s">
        <v>131</v>
      </c>
      <c r="E415" s="154">
        <v>391527.0262342277</v>
      </c>
      <c r="F415" s="154">
        <v>333925.35175740684</v>
      </c>
      <c r="G415" s="154">
        <v>223.87297805034922</v>
      </c>
      <c r="H415" s="154">
        <v>10100.517304755142</v>
      </c>
      <c r="I415" s="154">
        <v>6.4154827897825978E-2</v>
      </c>
      <c r="J415" s="154">
        <v>1.0318383029784959</v>
      </c>
      <c r="K415" s="154">
        <v>634653</v>
      </c>
      <c r="L415" s="154">
        <v>624358.01129764528</v>
      </c>
      <c r="M415" s="154">
        <v>44.342984735744146</v>
      </c>
      <c r="N415" s="154">
        <v>31.683246048968197</v>
      </c>
      <c r="O415" s="154">
        <v>72.380396820328158</v>
      </c>
      <c r="P415" s="154" t="s">
        <v>421</v>
      </c>
      <c r="Q415" s="154">
        <v>25.329563829774674</v>
      </c>
      <c r="R415" s="154">
        <v>185.41372093681599</v>
      </c>
      <c r="S415" s="154" t="s">
        <v>421</v>
      </c>
      <c r="T415" s="154">
        <v>0.44823552759448959</v>
      </c>
      <c r="U415" s="154">
        <v>0.40361266746231478</v>
      </c>
      <c r="V415" s="154">
        <v>6006.3163086139739</v>
      </c>
      <c r="W415" s="154">
        <v>35.142043183732</v>
      </c>
      <c r="X415" s="154">
        <v>599.36334698640064</v>
      </c>
      <c r="Y415" s="154">
        <v>7120.1421427633932</v>
      </c>
      <c r="Z415" s="154" t="s">
        <v>421</v>
      </c>
      <c r="AC415" s="28" t="s">
        <v>421</v>
      </c>
      <c r="AD415" s="28" t="s">
        <v>421</v>
      </c>
      <c r="AE415" s="9" t="s">
        <v>1626</v>
      </c>
      <c r="AF415" s="28" t="s">
        <v>1626</v>
      </c>
      <c r="AG415" s="28">
        <v>5.9999999999999995E-4</v>
      </c>
      <c r="AH415" s="28">
        <v>32.561199999999999</v>
      </c>
      <c r="AI415" s="28" t="s">
        <v>1626</v>
      </c>
      <c r="AJ415" s="28" t="s">
        <v>1626</v>
      </c>
      <c r="AK415" s="28" t="s">
        <v>1626</v>
      </c>
      <c r="AL415" s="28">
        <v>63.465299999999999</v>
      </c>
      <c r="AM415" s="28" t="s">
        <v>1626</v>
      </c>
      <c r="AN415" s="28">
        <v>2.0213000000000001</v>
      </c>
      <c r="AO415" s="28" t="s">
        <v>1626</v>
      </c>
      <c r="AP415" s="156">
        <f t="shared" si="6"/>
        <v>98.048399999999987</v>
      </c>
    </row>
    <row r="416" spans="1:42" x14ac:dyDescent="0.2">
      <c r="A416" s="9" t="s">
        <v>1235</v>
      </c>
      <c r="B416" s="9" t="s">
        <v>1236</v>
      </c>
      <c r="C416" s="9" t="s">
        <v>127</v>
      </c>
      <c r="D416" s="9" t="s">
        <v>131</v>
      </c>
      <c r="E416" s="154">
        <v>365605.96355452808</v>
      </c>
      <c r="F416" s="154">
        <v>353558.84996255743</v>
      </c>
      <c r="G416" s="154">
        <v>177.31194785484215</v>
      </c>
      <c r="H416" s="154">
        <v>6760.8727671969891</v>
      </c>
      <c r="I416" s="154" t="s">
        <v>421</v>
      </c>
      <c r="J416" s="154">
        <v>414.99657472579162</v>
      </c>
      <c r="K416" s="154">
        <v>644824</v>
      </c>
      <c r="L416" s="154">
        <v>628319.47137705761</v>
      </c>
      <c r="M416" s="154">
        <v>48.559185903972086</v>
      </c>
      <c r="N416" s="154">
        <v>21.769005795508583</v>
      </c>
      <c r="O416" s="154">
        <v>44.900281674362688</v>
      </c>
      <c r="P416" s="154" t="s">
        <v>421</v>
      </c>
      <c r="Q416" s="154">
        <v>455.97629099274451</v>
      </c>
      <c r="R416" s="154">
        <v>2825.0647266166966</v>
      </c>
      <c r="S416" s="154">
        <v>50.148013240577725</v>
      </c>
      <c r="T416" s="154">
        <v>34.259870823714188</v>
      </c>
      <c r="U416" s="154">
        <v>33.848647729648654</v>
      </c>
      <c r="V416" s="154">
        <v>4560.4244841780564</v>
      </c>
      <c r="W416" s="154">
        <v>46.586314832202646</v>
      </c>
      <c r="X416" s="154">
        <v>446.6830384666701</v>
      </c>
      <c r="Y416" s="154">
        <v>6764.5785421654473</v>
      </c>
      <c r="Z416" s="154">
        <v>50.031529679777094</v>
      </c>
      <c r="AC416" s="28" t="s">
        <v>421</v>
      </c>
      <c r="AD416" s="28" t="s">
        <v>421</v>
      </c>
      <c r="AE416" s="9" t="s">
        <v>1626</v>
      </c>
      <c r="AF416" s="28" t="s">
        <v>1626</v>
      </c>
      <c r="AG416" s="28">
        <v>0.15679999999999999</v>
      </c>
      <c r="AH416" s="28">
        <v>32.628300000000003</v>
      </c>
      <c r="AI416" s="28" t="s">
        <v>1626</v>
      </c>
      <c r="AJ416" s="28" t="s">
        <v>1626</v>
      </c>
      <c r="AK416" s="28" t="s">
        <v>1626</v>
      </c>
      <c r="AL416" s="28">
        <v>64.482399999999998</v>
      </c>
      <c r="AM416" s="28" t="s">
        <v>1626</v>
      </c>
      <c r="AN416" s="28">
        <v>1.1839999999999999</v>
      </c>
      <c r="AO416" s="28" t="s">
        <v>1626</v>
      </c>
      <c r="AP416" s="156">
        <f t="shared" si="6"/>
        <v>98.451499999999996</v>
      </c>
    </row>
    <row r="417" spans="1:42" x14ac:dyDescent="0.2">
      <c r="A417" s="9" t="s">
        <v>1237</v>
      </c>
      <c r="B417" s="9" t="s">
        <v>1238</v>
      </c>
      <c r="C417" s="9" t="s">
        <v>127</v>
      </c>
      <c r="D417" s="9" t="s">
        <v>131</v>
      </c>
      <c r="E417" s="154">
        <v>355616.27865894174</v>
      </c>
      <c r="F417" s="154">
        <v>349797.76306019688</v>
      </c>
      <c r="G417" s="154">
        <v>108.37910736448075</v>
      </c>
      <c r="H417" s="154">
        <v>5007.4832086427432</v>
      </c>
      <c r="I417" s="154">
        <v>0.12001626732886628</v>
      </c>
      <c r="J417" s="154">
        <v>269.12390782257478</v>
      </c>
      <c r="K417" s="154">
        <v>645223</v>
      </c>
      <c r="L417" s="154">
        <v>629892.33392158267</v>
      </c>
      <c r="M417" s="154">
        <v>41.992291610547191</v>
      </c>
      <c r="N417" s="154">
        <v>9.6793814464719858</v>
      </c>
      <c r="O417" s="154">
        <v>20.252343570909431</v>
      </c>
      <c r="P417" s="154" t="s">
        <v>421</v>
      </c>
      <c r="Q417" s="154">
        <v>481.8068883728198</v>
      </c>
      <c r="R417" s="154">
        <v>2148.7702807396095</v>
      </c>
      <c r="S417" s="154">
        <v>16.20927831902037</v>
      </c>
      <c r="T417" s="154">
        <v>7.9621254987154497</v>
      </c>
      <c r="U417" s="154">
        <v>7.1080627484039907</v>
      </c>
      <c r="V417" s="154">
        <v>1482.0272531438909</v>
      </c>
      <c r="W417" s="154">
        <v>79.385046278733299</v>
      </c>
      <c r="X417" s="154">
        <v>204.87905354050045</v>
      </c>
      <c r="Y417" s="154">
        <v>3820.9623164662698</v>
      </c>
      <c r="Z417" s="154">
        <v>16.182207092324738</v>
      </c>
      <c r="AC417" s="28" t="s">
        <v>421</v>
      </c>
      <c r="AD417" s="28" t="s">
        <v>421</v>
      </c>
      <c r="AE417" s="9" t="s">
        <v>1626</v>
      </c>
      <c r="AF417" s="28" t="s">
        <v>1626</v>
      </c>
      <c r="AG417" s="28">
        <v>0.33150000000000002</v>
      </c>
      <c r="AH417" s="28">
        <v>32.737099999999998</v>
      </c>
      <c r="AI417" s="28" t="s">
        <v>1626</v>
      </c>
      <c r="AJ417" s="28" t="s">
        <v>1626</v>
      </c>
      <c r="AK417" s="28" t="s">
        <v>1626</v>
      </c>
      <c r="AL417" s="28">
        <v>64.522300000000001</v>
      </c>
      <c r="AM417" s="28" t="s">
        <v>1626</v>
      </c>
      <c r="AN417" s="28">
        <v>1.1479999999999999</v>
      </c>
      <c r="AO417" s="28" t="s">
        <v>1626</v>
      </c>
      <c r="AP417" s="156">
        <f t="shared" si="6"/>
        <v>98.738900000000001</v>
      </c>
    </row>
    <row r="418" spans="1:42" x14ac:dyDescent="0.2">
      <c r="A418" s="9" t="s">
        <v>1239</v>
      </c>
      <c r="B418" s="9" t="s">
        <v>1240</v>
      </c>
      <c r="C418" s="9" t="s">
        <v>127</v>
      </c>
      <c r="D418" s="9" t="s">
        <v>131</v>
      </c>
      <c r="E418" s="154">
        <v>358614.03966591234</v>
      </c>
      <c r="F418" s="154">
        <v>358914.46403005061</v>
      </c>
      <c r="G418" s="154">
        <v>121.77851273355785</v>
      </c>
      <c r="H418" s="154">
        <v>7047.1240511881497</v>
      </c>
      <c r="I418" s="154">
        <v>0.10042437657809139</v>
      </c>
      <c r="J418" s="154">
        <v>319.24072874139335</v>
      </c>
      <c r="K418" s="154">
        <v>639038</v>
      </c>
      <c r="L418" s="154">
        <v>627848.49139536126</v>
      </c>
      <c r="M418" s="154">
        <v>63.878637970738147</v>
      </c>
      <c r="N418" s="154">
        <v>14.967408052107393</v>
      </c>
      <c r="O418" s="154">
        <v>18.719494267222387</v>
      </c>
      <c r="P418" s="154" t="s">
        <v>421</v>
      </c>
      <c r="Q418" s="154">
        <v>162.45919492928871</v>
      </c>
      <c r="R418" s="154">
        <v>1405.2753758812551</v>
      </c>
      <c r="S418" s="154">
        <v>4.8391076961676962</v>
      </c>
      <c r="T418" s="154">
        <v>4.840448797221713</v>
      </c>
      <c r="U418" s="154">
        <v>4.1561443604700052</v>
      </c>
      <c r="V418" s="154">
        <v>1398.5792851569784</v>
      </c>
      <c r="W418" s="154">
        <v>25.375112988017612</v>
      </c>
      <c r="X418" s="154">
        <v>186.71971860325431</v>
      </c>
      <c r="Y418" s="154">
        <v>2628.3560657164185</v>
      </c>
      <c r="Z418" s="154">
        <v>4.822650170257142</v>
      </c>
      <c r="AC418" s="28" t="s">
        <v>421</v>
      </c>
      <c r="AD418" s="28" t="s">
        <v>421</v>
      </c>
      <c r="AE418" s="9" t="s">
        <v>1626</v>
      </c>
      <c r="AF418" s="28" t="s">
        <v>1626</v>
      </c>
      <c r="AG418" s="28">
        <v>3.4500000000000003E-2</v>
      </c>
      <c r="AH418" s="28">
        <v>32.697699999999998</v>
      </c>
      <c r="AI418" s="28" t="s">
        <v>1626</v>
      </c>
      <c r="AJ418" s="28" t="s">
        <v>1626</v>
      </c>
      <c r="AK418" s="28" t="s">
        <v>1626</v>
      </c>
      <c r="AL418" s="28">
        <v>63.903799999999997</v>
      </c>
      <c r="AM418" s="28" t="s">
        <v>1626</v>
      </c>
      <c r="AN418" s="28">
        <v>1.8906000000000001</v>
      </c>
      <c r="AO418" s="28" t="s">
        <v>1626</v>
      </c>
      <c r="AP418" s="156">
        <f t="shared" si="6"/>
        <v>98.526600000000002</v>
      </c>
    </row>
    <row r="419" spans="1:42" x14ac:dyDescent="0.2">
      <c r="A419" s="9" t="s">
        <v>1241</v>
      </c>
      <c r="B419" s="9" t="s">
        <v>1242</v>
      </c>
      <c r="C419" s="9" t="s">
        <v>127</v>
      </c>
      <c r="D419" s="9" t="s">
        <v>132</v>
      </c>
      <c r="E419" s="154">
        <v>370142.13367823727</v>
      </c>
      <c r="F419" s="154">
        <v>359911.27959607</v>
      </c>
      <c r="G419" s="154">
        <v>187.56663648439505</v>
      </c>
      <c r="H419" s="154">
        <v>7632.4800696480952</v>
      </c>
      <c r="I419" s="154">
        <v>0.34802972093538087</v>
      </c>
      <c r="J419" s="154">
        <v>2480.9397297946794</v>
      </c>
      <c r="K419" s="154">
        <v>617711</v>
      </c>
      <c r="L419" s="154">
        <v>606132.69541534444</v>
      </c>
      <c r="M419" s="154">
        <v>23.620494992888041</v>
      </c>
      <c r="N419" s="154">
        <v>1774.1729188510767</v>
      </c>
      <c r="O419" s="154">
        <v>2297.0582291699457</v>
      </c>
      <c r="P419" s="154">
        <v>1.7114262692045985</v>
      </c>
      <c r="Q419" s="154">
        <v>363.33257893868591</v>
      </c>
      <c r="R419" s="154">
        <v>345.27402273659391</v>
      </c>
      <c r="S419" s="154" t="s">
        <v>421</v>
      </c>
      <c r="T419" s="154" t="s">
        <v>421</v>
      </c>
      <c r="U419" s="154">
        <v>0.24813410788551987</v>
      </c>
      <c r="V419" s="154">
        <v>2406.8263280272131</v>
      </c>
      <c r="W419" s="154">
        <v>4.3065035994373186</v>
      </c>
      <c r="X419" s="154">
        <v>2953.5640734006188</v>
      </c>
      <c r="Y419" s="154">
        <v>15965.552486781819</v>
      </c>
      <c r="Z419" s="154" t="s">
        <v>421</v>
      </c>
      <c r="AC419" s="28" t="s">
        <v>421</v>
      </c>
      <c r="AD419" s="28" t="s">
        <v>421</v>
      </c>
      <c r="AE419" s="9" t="s">
        <v>1626</v>
      </c>
      <c r="AF419" s="28" t="s">
        <v>1626</v>
      </c>
      <c r="AG419" s="28">
        <v>3.04E-2</v>
      </c>
      <c r="AH419" s="28">
        <v>31.8432</v>
      </c>
      <c r="AI419" s="28" t="s">
        <v>1626</v>
      </c>
      <c r="AJ419" s="28" t="s">
        <v>1626</v>
      </c>
      <c r="AK419" s="28" t="s">
        <v>1626</v>
      </c>
      <c r="AL419" s="28">
        <v>61.771099999999997</v>
      </c>
      <c r="AM419" s="28" t="s">
        <v>1626</v>
      </c>
      <c r="AN419" s="28">
        <v>1.4054</v>
      </c>
      <c r="AO419" s="28" t="s">
        <v>1626</v>
      </c>
      <c r="AP419" s="156">
        <f t="shared" si="6"/>
        <v>95.0501</v>
      </c>
    </row>
    <row r="420" spans="1:42" x14ac:dyDescent="0.2">
      <c r="A420" s="9" t="s">
        <v>1243</v>
      </c>
      <c r="B420" s="9" t="s">
        <v>1244</v>
      </c>
      <c r="C420" s="9" t="s">
        <v>127</v>
      </c>
      <c r="D420" s="9" t="s">
        <v>132</v>
      </c>
      <c r="E420" s="154">
        <v>377380.42927610804</v>
      </c>
      <c r="F420" s="154">
        <v>363238.39289025991</v>
      </c>
      <c r="G420" s="154">
        <v>194.48016452196197</v>
      </c>
      <c r="H420" s="154">
        <v>6475.8595729605595</v>
      </c>
      <c r="I420" s="154">
        <v>0.27117693922644598</v>
      </c>
      <c r="J420" s="154">
        <v>1411.5945345799537</v>
      </c>
      <c r="K420" s="154">
        <v>625840</v>
      </c>
      <c r="L420" s="154">
        <v>621797.51920028857</v>
      </c>
      <c r="M420" s="154">
        <v>23.371911667866346</v>
      </c>
      <c r="N420" s="154">
        <v>1269.1806335233846</v>
      </c>
      <c r="O420" s="154">
        <v>1263.7893885110091</v>
      </c>
      <c r="P420" s="154">
        <v>1.6664426384040929</v>
      </c>
      <c r="Q420" s="154">
        <v>180.8645683622378</v>
      </c>
      <c r="R420" s="154">
        <v>835.76039244173126</v>
      </c>
      <c r="S420" s="154" t="s">
        <v>421</v>
      </c>
      <c r="T420" s="154">
        <v>0.22694987060550309</v>
      </c>
      <c r="U420" s="154" t="s">
        <v>421</v>
      </c>
      <c r="V420" s="154">
        <v>5002.8331083258208</v>
      </c>
      <c r="W420" s="154">
        <v>5.3127438985903792</v>
      </c>
      <c r="X420" s="154">
        <v>2495.5906968770582</v>
      </c>
      <c r="Y420" s="154">
        <v>13182.458946153436</v>
      </c>
      <c r="Z420" s="154" t="s">
        <v>421</v>
      </c>
      <c r="AC420" s="28" t="s">
        <v>421</v>
      </c>
      <c r="AD420" s="28" t="s">
        <v>421</v>
      </c>
      <c r="AE420" s="9" t="s">
        <v>1626</v>
      </c>
      <c r="AF420" s="28" t="s">
        <v>1626</v>
      </c>
      <c r="AG420" s="28">
        <v>5.6800000000000003E-2</v>
      </c>
      <c r="AH420" s="28">
        <v>31.9788</v>
      </c>
      <c r="AI420" s="28" t="s">
        <v>1626</v>
      </c>
      <c r="AJ420" s="28" t="s">
        <v>1626</v>
      </c>
      <c r="AK420" s="28" t="s">
        <v>1626</v>
      </c>
      <c r="AL420" s="28">
        <v>62.584000000000003</v>
      </c>
      <c r="AM420" s="28" t="s">
        <v>1626</v>
      </c>
      <c r="AN420" s="28">
        <v>1.1435</v>
      </c>
      <c r="AO420" s="28" t="s">
        <v>1626</v>
      </c>
      <c r="AP420" s="156">
        <f t="shared" si="6"/>
        <v>95.763100000000009</v>
      </c>
    </row>
    <row r="421" spans="1:42" x14ac:dyDescent="0.2">
      <c r="A421" s="9" t="s">
        <v>1245</v>
      </c>
      <c r="B421" s="9" t="s">
        <v>1246</v>
      </c>
      <c r="C421" s="9" t="s">
        <v>127</v>
      </c>
      <c r="D421" s="9" t="s">
        <v>132</v>
      </c>
      <c r="E421" s="154">
        <v>380437.78690172808</v>
      </c>
      <c r="F421" s="154">
        <v>366084.48055418732</v>
      </c>
      <c r="G421" s="154">
        <v>176.35492376265205</v>
      </c>
      <c r="H421" s="154">
        <v>9079.3256497917828</v>
      </c>
      <c r="I421" s="154">
        <v>0.36852269427159984</v>
      </c>
      <c r="J421" s="154">
        <v>3177.3403334253958</v>
      </c>
      <c r="K421" s="154">
        <v>626340</v>
      </c>
      <c r="L421" s="154">
        <v>634475.06524104369</v>
      </c>
      <c r="M421" s="154">
        <v>8.9330784443125353</v>
      </c>
      <c r="N421" s="154">
        <v>2403.1984636038064</v>
      </c>
      <c r="O421" s="154">
        <v>2614.2001951450479</v>
      </c>
      <c r="P421" s="154" t="s">
        <v>421</v>
      </c>
      <c r="Q421" s="154">
        <v>484.77177373244626</v>
      </c>
      <c r="R421" s="154">
        <v>101.63529299307791</v>
      </c>
      <c r="S421" s="154" t="s">
        <v>421</v>
      </c>
      <c r="T421" s="154" t="s">
        <v>421</v>
      </c>
      <c r="U421" s="154" t="s">
        <v>421</v>
      </c>
      <c r="V421" s="154">
        <v>127.68435388454012</v>
      </c>
      <c r="W421" s="154">
        <v>4.2578808592052928</v>
      </c>
      <c r="X421" s="154">
        <v>3481.4136191196649</v>
      </c>
      <c r="Y421" s="154">
        <v>15676.049018830086</v>
      </c>
      <c r="Z421" s="154" t="s">
        <v>421</v>
      </c>
      <c r="AC421" s="28" t="s">
        <v>421</v>
      </c>
      <c r="AD421" s="28" t="s">
        <v>421</v>
      </c>
      <c r="AE421" s="9" t="s">
        <v>1626</v>
      </c>
      <c r="AF421" s="28" t="s">
        <v>1626</v>
      </c>
      <c r="AG421" s="28">
        <v>9.4000000000000004E-3</v>
      </c>
      <c r="AH421" s="28">
        <v>31.895099999999999</v>
      </c>
      <c r="AI421" s="28" t="s">
        <v>1626</v>
      </c>
      <c r="AJ421" s="28" t="s">
        <v>1626</v>
      </c>
      <c r="AK421" s="28" t="s">
        <v>1626</v>
      </c>
      <c r="AL421" s="28">
        <v>62.634</v>
      </c>
      <c r="AM421" s="28" t="s">
        <v>1626</v>
      </c>
      <c r="AN421" s="28">
        <v>1.3480000000000001</v>
      </c>
      <c r="AO421" s="28" t="s">
        <v>1626</v>
      </c>
      <c r="AP421" s="156">
        <f t="shared" si="6"/>
        <v>95.886499999999998</v>
      </c>
    </row>
    <row r="422" spans="1:42" x14ac:dyDescent="0.2">
      <c r="A422" s="9" t="s">
        <v>1247</v>
      </c>
      <c r="B422" s="9" t="s">
        <v>1248</v>
      </c>
      <c r="C422" s="9" t="s">
        <v>127</v>
      </c>
      <c r="D422" s="9" t="s">
        <v>132</v>
      </c>
      <c r="E422" s="154">
        <v>372060.39662868937</v>
      </c>
      <c r="F422" s="154">
        <v>363708.76892544562</v>
      </c>
      <c r="G422" s="154">
        <v>178.82797972985122</v>
      </c>
      <c r="H422" s="154">
        <v>8020.5238602720028</v>
      </c>
      <c r="I422" s="154">
        <v>0.27895083924645825</v>
      </c>
      <c r="J422" s="154">
        <v>2061.6843912092486</v>
      </c>
      <c r="K422" s="154">
        <v>624275</v>
      </c>
      <c r="L422" s="154">
        <v>625938.54732444801</v>
      </c>
      <c r="M422" s="154">
        <v>19.085443465970648</v>
      </c>
      <c r="N422" s="154">
        <v>1638.4863412679933</v>
      </c>
      <c r="O422" s="154">
        <v>1559.7965128041342</v>
      </c>
      <c r="P422" s="154" t="s">
        <v>421</v>
      </c>
      <c r="Q422" s="154">
        <v>236.6991454369518</v>
      </c>
      <c r="R422" s="154">
        <v>343.02770214816809</v>
      </c>
      <c r="S422" s="154" t="s">
        <v>421</v>
      </c>
      <c r="T422" s="154">
        <v>0.35030408637594329</v>
      </c>
      <c r="U422" s="154">
        <v>0.18503783135856483</v>
      </c>
      <c r="V422" s="154">
        <v>1069.6719660405743</v>
      </c>
      <c r="W422" s="154">
        <v>4.1793688776149995</v>
      </c>
      <c r="X422" s="154">
        <v>2552.4706609447026</v>
      </c>
      <c r="Y422" s="154">
        <v>11366.155910475512</v>
      </c>
      <c r="Z422" s="154" t="s">
        <v>421</v>
      </c>
      <c r="AC422" s="28" t="s">
        <v>421</v>
      </c>
      <c r="AD422" s="28" t="s">
        <v>421</v>
      </c>
      <c r="AE422" s="9" t="s">
        <v>1626</v>
      </c>
      <c r="AF422" s="28" t="s">
        <v>1626</v>
      </c>
      <c r="AG422" s="28">
        <v>2.47E-2</v>
      </c>
      <c r="AH422" s="28">
        <v>31.901800000000001</v>
      </c>
      <c r="AI422" s="28" t="s">
        <v>1626</v>
      </c>
      <c r="AJ422" s="28" t="s">
        <v>1626</v>
      </c>
      <c r="AK422" s="28" t="s">
        <v>1626</v>
      </c>
      <c r="AL422" s="28">
        <v>62.427500000000002</v>
      </c>
      <c r="AM422" s="28" t="s">
        <v>1626</v>
      </c>
      <c r="AN422" s="28">
        <v>1.2542</v>
      </c>
      <c r="AO422" s="28" t="s">
        <v>1626</v>
      </c>
      <c r="AP422" s="156">
        <f t="shared" si="6"/>
        <v>95.608199999999997</v>
      </c>
    </row>
    <row r="423" spans="1:42" x14ac:dyDescent="0.2">
      <c r="A423" s="9" t="s">
        <v>1249</v>
      </c>
      <c r="B423" s="9" t="s">
        <v>1250</v>
      </c>
      <c r="C423" s="9" t="s">
        <v>127</v>
      </c>
      <c r="D423" s="9" t="s">
        <v>132</v>
      </c>
      <c r="E423" s="154">
        <v>471157.09716206673</v>
      </c>
      <c r="F423" s="154">
        <v>393796.72915914125</v>
      </c>
      <c r="G423" s="154">
        <v>207.36577849608034</v>
      </c>
      <c r="H423" s="154">
        <v>10320.48217201457</v>
      </c>
      <c r="I423" s="154">
        <v>0.69972021369338144</v>
      </c>
      <c r="J423" s="154">
        <v>1636.0042281471833</v>
      </c>
      <c r="K423" s="154">
        <v>613657</v>
      </c>
      <c r="L423" s="154">
        <v>601975.9466999732</v>
      </c>
      <c r="M423" s="154">
        <v>8.0618147825618323</v>
      </c>
      <c r="N423" s="154">
        <v>2637.8835592247183</v>
      </c>
      <c r="O423" s="154">
        <v>3201.6956602732103</v>
      </c>
      <c r="P423" s="154" t="s">
        <v>421</v>
      </c>
      <c r="Q423" s="154">
        <v>748.09709070613656</v>
      </c>
      <c r="R423" s="154">
        <v>426.88126963833827</v>
      </c>
      <c r="S423" s="154" t="s">
        <v>421</v>
      </c>
      <c r="T423" s="154" t="s">
        <v>421</v>
      </c>
      <c r="U423" s="154" t="s">
        <v>421</v>
      </c>
      <c r="V423" s="154">
        <v>164.30286406018422</v>
      </c>
      <c r="W423" s="154">
        <v>45.198495884534509</v>
      </c>
      <c r="X423" s="154">
        <v>3488.350219580017</v>
      </c>
      <c r="Y423" s="154">
        <v>17473.835886921857</v>
      </c>
      <c r="Z423" s="154" t="s">
        <v>421</v>
      </c>
      <c r="AC423" s="28" t="s">
        <v>421</v>
      </c>
      <c r="AD423" s="28" t="s">
        <v>421</v>
      </c>
      <c r="AE423" s="9" t="s">
        <v>1626</v>
      </c>
      <c r="AF423" s="28" t="s">
        <v>1626</v>
      </c>
      <c r="AG423" s="28">
        <v>8.2000000000000007E-3</v>
      </c>
      <c r="AH423" s="28">
        <v>32.0715</v>
      </c>
      <c r="AI423" s="28" t="s">
        <v>1626</v>
      </c>
      <c r="AJ423" s="28" t="s">
        <v>1626</v>
      </c>
      <c r="AK423" s="28" t="s">
        <v>1626</v>
      </c>
      <c r="AL423" s="28">
        <v>61.365699999999997</v>
      </c>
      <c r="AM423" s="28" t="s">
        <v>1626</v>
      </c>
      <c r="AN423" s="28">
        <v>1.5871</v>
      </c>
      <c r="AO423" s="28" t="s">
        <v>1626</v>
      </c>
      <c r="AP423" s="156">
        <f t="shared" si="6"/>
        <v>95.032500000000013</v>
      </c>
    </row>
    <row r="424" spans="1:42" x14ac:dyDescent="0.2">
      <c r="A424" s="9" t="s">
        <v>1251</v>
      </c>
      <c r="B424" s="9" t="s">
        <v>1252</v>
      </c>
      <c r="C424" s="9" t="s">
        <v>127</v>
      </c>
      <c r="D424" s="9" t="s">
        <v>132</v>
      </c>
      <c r="E424" s="154">
        <v>375562.53583107423</v>
      </c>
      <c r="F424" s="154">
        <v>368009.82798823161</v>
      </c>
      <c r="G424" s="154">
        <v>184.12738715288882</v>
      </c>
      <c r="H424" s="154">
        <v>13115.807280016395</v>
      </c>
      <c r="I424" s="154">
        <v>0.45803123116488398</v>
      </c>
      <c r="J424" s="154">
        <v>2083.0294574480822</v>
      </c>
      <c r="K424" s="154">
        <v>616789</v>
      </c>
      <c r="L424" s="154">
        <v>624925.35228689294</v>
      </c>
      <c r="M424" s="154">
        <v>3.6545394806313194</v>
      </c>
      <c r="N424" s="154">
        <v>2746.6324289154877</v>
      </c>
      <c r="O424" s="154">
        <v>2510.3201570106808</v>
      </c>
      <c r="P424" s="154" t="s">
        <v>421</v>
      </c>
      <c r="Q424" s="154">
        <v>595.08873148229986</v>
      </c>
      <c r="R424" s="154">
        <v>38.648869295592597</v>
      </c>
      <c r="S424" s="154">
        <v>2.0252823027903554E-2</v>
      </c>
      <c r="T424" s="154" t="s">
        <v>421</v>
      </c>
      <c r="U424" s="154">
        <v>0.23559770026408805</v>
      </c>
      <c r="V424" s="154">
        <v>35.592941368690155</v>
      </c>
      <c r="W424" s="154">
        <v>3.2778318749580082</v>
      </c>
      <c r="X424" s="154">
        <v>3617.2510005471736</v>
      </c>
      <c r="Y424" s="154">
        <v>12482.489532429181</v>
      </c>
      <c r="Z424" s="154" t="s">
        <v>421</v>
      </c>
      <c r="AC424" s="28" t="s">
        <v>421</v>
      </c>
      <c r="AD424" s="28" t="s">
        <v>421</v>
      </c>
      <c r="AE424" s="9" t="s">
        <v>1626</v>
      </c>
      <c r="AF424" s="28" t="s">
        <v>1626</v>
      </c>
      <c r="AG424" s="28">
        <v>2.5999999999999999E-3</v>
      </c>
      <c r="AH424" s="28">
        <v>32.282899999999998</v>
      </c>
      <c r="AI424" s="28" t="s">
        <v>1626</v>
      </c>
      <c r="AJ424" s="28" t="s">
        <v>1626</v>
      </c>
      <c r="AK424" s="28" t="s">
        <v>1626</v>
      </c>
      <c r="AL424" s="28">
        <v>61.678899999999999</v>
      </c>
      <c r="AM424" s="28" t="s">
        <v>1626</v>
      </c>
      <c r="AN424" s="28">
        <v>2.2641</v>
      </c>
      <c r="AO424" s="28" t="s">
        <v>1626</v>
      </c>
      <c r="AP424" s="156">
        <f t="shared" si="6"/>
        <v>96.228499999999997</v>
      </c>
    </row>
    <row r="425" spans="1:42" x14ac:dyDescent="0.2">
      <c r="A425" s="9" t="s">
        <v>1253</v>
      </c>
      <c r="B425" s="9" t="s">
        <v>1254</v>
      </c>
      <c r="C425" s="9" t="s">
        <v>127</v>
      </c>
      <c r="D425" s="9" t="s">
        <v>132</v>
      </c>
      <c r="E425" s="154">
        <v>386287.94216563238</v>
      </c>
      <c r="F425" s="154">
        <v>374931.31980171619</v>
      </c>
      <c r="G425" s="154">
        <v>33.371460273680952</v>
      </c>
      <c r="H425" s="154">
        <v>1476.4545113634108</v>
      </c>
      <c r="I425" s="154">
        <v>9.3018522813671997E-2</v>
      </c>
      <c r="J425" s="154">
        <v>434.10416962001301</v>
      </c>
      <c r="K425" s="154">
        <v>644409</v>
      </c>
      <c r="L425" s="154">
        <v>639869.5413226682</v>
      </c>
      <c r="M425" s="154">
        <v>22.044988676479374</v>
      </c>
      <c r="N425" s="154">
        <v>44.461118699264034</v>
      </c>
      <c r="O425" s="154">
        <v>49.491612772368306</v>
      </c>
      <c r="P425" s="154" t="s">
        <v>421</v>
      </c>
      <c r="Q425" s="154">
        <v>277.95779262735044</v>
      </c>
      <c r="R425" s="154">
        <v>1738.0380722938805</v>
      </c>
      <c r="S425" s="154">
        <v>40.594988898282068</v>
      </c>
      <c r="T425" s="154">
        <v>0.47369889999837883</v>
      </c>
      <c r="U425" s="154">
        <v>0.71492553403456127</v>
      </c>
      <c r="V425" s="154">
        <v>332.63881385749056</v>
      </c>
      <c r="W425" s="154">
        <v>18.294650334675335</v>
      </c>
      <c r="X425" s="154">
        <v>94.048678020322754</v>
      </c>
      <c r="Y425" s="154">
        <v>1788.7961317803836</v>
      </c>
      <c r="Z425" s="154">
        <v>40.593378322022076</v>
      </c>
      <c r="AC425" s="28" t="s">
        <v>421</v>
      </c>
      <c r="AD425" s="28" t="s">
        <v>421</v>
      </c>
      <c r="AE425" s="9" t="s">
        <v>1626</v>
      </c>
      <c r="AF425" s="28" t="s">
        <v>1626</v>
      </c>
      <c r="AG425" s="28">
        <v>9.6299999999999997E-2</v>
      </c>
      <c r="AH425" s="28">
        <v>32.610799999999998</v>
      </c>
      <c r="AI425" s="28" t="s">
        <v>1626</v>
      </c>
      <c r="AJ425" s="28" t="s">
        <v>1626</v>
      </c>
      <c r="AK425" s="28" t="s">
        <v>1626</v>
      </c>
      <c r="AL425" s="28">
        <v>64.440899999999999</v>
      </c>
      <c r="AM425" s="28" t="s">
        <v>1626</v>
      </c>
      <c r="AN425" s="28">
        <v>1.3663000000000001</v>
      </c>
      <c r="AO425" s="28" t="s">
        <v>1626</v>
      </c>
      <c r="AP425" s="156">
        <f t="shared" si="6"/>
        <v>98.514299999999992</v>
      </c>
    </row>
    <row r="426" spans="1:42" x14ac:dyDescent="0.2">
      <c r="A426" s="9" t="s">
        <v>1255</v>
      </c>
      <c r="B426" s="9" t="s">
        <v>1256</v>
      </c>
      <c r="C426" s="9" t="s">
        <v>127</v>
      </c>
      <c r="D426" s="9" t="s">
        <v>132</v>
      </c>
      <c r="E426" s="154">
        <v>316503.16958935349</v>
      </c>
      <c r="F426" s="154">
        <v>302205.45843651588</v>
      </c>
      <c r="G426" s="154">
        <v>174.67494808237831</v>
      </c>
      <c r="H426" s="154">
        <v>8339.6540504171589</v>
      </c>
      <c r="I426" s="154">
        <v>0.32232332643632344</v>
      </c>
      <c r="J426" s="154">
        <v>1746.1263902141243</v>
      </c>
      <c r="K426" s="154">
        <v>624839</v>
      </c>
      <c r="L426" s="154">
        <v>623817.65834646975</v>
      </c>
      <c r="M426" s="154">
        <v>11.453878754973875</v>
      </c>
      <c r="N426" s="154">
        <v>2056.3398248233775</v>
      </c>
      <c r="O426" s="154">
        <v>2028.6693532568306</v>
      </c>
      <c r="P426" s="154" t="s">
        <v>421</v>
      </c>
      <c r="Q426" s="154">
        <v>430.47930733434947</v>
      </c>
      <c r="R426" s="154">
        <v>152.46085025477387</v>
      </c>
      <c r="S426" s="154" t="s">
        <v>421</v>
      </c>
      <c r="T426" s="154">
        <v>0.53585009331839206</v>
      </c>
      <c r="U426" s="154">
        <v>0.36980633921882783</v>
      </c>
      <c r="V426" s="154">
        <v>233.95243853130228</v>
      </c>
      <c r="W426" s="154">
        <v>11.376623692130757</v>
      </c>
      <c r="X426" s="154">
        <v>2851.2149526442472</v>
      </c>
      <c r="Y426" s="154">
        <v>13029.93125677868</v>
      </c>
      <c r="Z426" s="154" t="s">
        <v>421</v>
      </c>
      <c r="AC426" s="28" t="s">
        <v>421</v>
      </c>
      <c r="AD426" s="28" t="s">
        <v>421</v>
      </c>
      <c r="AE426" s="9" t="s">
        <v>1626</v>
      </c>
      <c r="AF426" s="28" t="s">
        <v>1626</v>
      </c>
      <c r="AG426" s="28">
        <v>1.04E-2</v>
      </c>
      <c r="AH426" s="28">
        <v>32.006500000000003</v>
      </c>
      <c r="AI426" s="28" t="s">
        <v>1626</v>
      </c>
      <c r="AJ426" s="28" t="s">
        <v>1626</v>
      </c>
      <c r="AK426" s="28" t="s">
        <v>1626</v>
      </c>
      <c r="AL426" s="28">
        <v>62.483899999999998</v>
      </c>
      <c r="AM426" s="28" t="s">
        <v>1626</v>
      </c>
      <c r="AN426" s="28">
        <v>1.4125000000000001</v>
      </c>
      <c r="AO426" s="28" t="s">
        <v>1626</v>
      </c>
      <c r="AP426" s="156">
        <f t="shared" si="6"/>
        <v>95.913299999999992</v>
      </c>
    </row>
    <row r="427" spans="1:42" x14ac:dyDescent="0.2">
      <c r="A427" s="9" t="s">
        <v>1257</v>
      </c>
      <c r="B427" s="9" t="s">
        <v>1258</v>
      </c>
      <c r="C427" s="9" t="s">
        <v>127</v>
      </c>
      <c r="D427" s="9" t="s">
        <v>132</v>
      </c>
      <c r="E427" s="154">
        <v>320598.14664699417</v>
      </c>
      <c r="F427" s="154">
        <v>304681.13489552366</v>
      </c>
      <c r="G427" s="154">
        <v>207.83904542479993</v>
      </c>
      <c r="H427" s="154">
        <v>11321.699642688345</v>
      </c>
      <c r="I427" s="154">
        <v>0.60269245946217398</v>
      </c>
      <c r="J427" s="154">
        <v>2251.0996415829864</v>
      </c>
      <c r="K427" s="154">
        <v>609290</v>
      </c>
      <c r="L427" s="154">
        <v>593645.09284535132</v>
      </c>
      <c r="M427" s="154">
        <v>6.7041695019763852</v>
      </c>
      <c r="N427" s="154">
        <v>2574.7459852445782</v>
      </c>
      <c r="O427" s="154">
        <v>3036.1788776180847</v>
      </c>
      <c r="P427" s="154">
        <v>1.4772972329169518</v>
      </c>
      <c r="Q427" s="154">
        <v>904.05181703444748</v>
      </c>
      <c r="R427" s="154">
        <v>100.5487108736075</v>
      </c>
      <c r="S427" s="154" t="s">
        <v>421</v>
      </c>
      <c r="T427" s="154">
        <v>0.32923390292470317</v>
      </c>
      <c r="U427" s="154">
        <v>0.54779348819062901</v>
      </c>
      <c r="V427" s="154">
        <v>79.237690129157954</v>
      </c>
      <c r="W427" s="154">
        <v>15.268140442081496</v>
      </c>
      <c r="X427" s="154">
        <v>3847.3121000144738</v>
      </c>
      <c r="Y427" s="154">
        <v>18615.764015043831</v>
      </c>
      <c r="Z427" s="154" t="s">
        <v>421</v>
      </c>
      <c r="AC427" s="28" t="s">
        <v>421</v>
      </c>
      <c r="AD427" s="28" t="s">
        <v>421</v>
      </c>
      <c r="AE427" s="9" t="s">
        <v>1626</v>
      </c>
      <c r="AF427" s="28" t="s">
        <v>1626</v>
      </c>
      <c r="AG427" s="28">
        <v>1.14E-2</v>
      </c>
      <c r="AH427" s="28">
        <v>32.120600000000003</v>
      </c>
      <c r="AI427" s="28" t="s">
        <v>1626</v>
      </c>
      <c r="AJ427" s="28" t="s">
        <v>1626</v>
      </c>
      <c r="AK427" s="28" t="s">
        <v>1626</v>
      </c>
      <c r="AL427" s="28">
        <v>60.929000000000002</v>
      </c>
      <c r="AM427" s="28" t="s">
        <v>1626</v>
      </c>
      <c r="AN427" s="28">
        <v>1.7935000000000001</v>
      </c>
      <c r="AO427" s="28" t="s">
        <v>1626</v>
      </c>
      <c r="AP427" s="156">
        <f t="shared" si="6"/>
        <v>94.854500000000002</v>
      </c>
    </row>
    <row r="428" spans="1:42" x14ac:dyDescent="0.2">
      <c r="A428" s="9" t="s">
        <v>1259</v>
      </c>
      <c r="B428" s="9" t="s">
        <v>1260</v>
      </c>
      <c r="C428" s="9" t="s">
        <v>127</v>
      </c>
      <c r="D428" s="9" t="s">
        <v>132</v>
      </c>
      <c r="E428" s="154">
        <v>315907.60646470333</v>
      </c>
      <c r="F428" s="154">
        <v>302230.77542922518</v>
      </c>
      <c r="G428" s="154">
        <v>198.99677425260208</v>
      </c>
      <c r="H428" s="154">
        <v>6934.2680513419</v>
      </c>
      <c r="I428" s="154">
        <v>0.39146789685541089</v>
      </c>
      <c r="J428" s="154">
        <v>2462.3047366197106</v>
      </c>
      <c r="K428" s="154">
        <v>628321</v>
      </c>
      <c r="L428" s="154">
        <v>623941.47552372492</v>
      </c>
      <c r="M428" s="154">
        <v>24.008035990434543</v>
      </c>
      <c r="N428" s="154">
        <v>1370.896675785368</v>
      </c>
      <c r="O428" s="154">
        <v>1613.2777958462716</v>
      </c>
      <c r="P428" s="154">
        <v>1.3045273986624986</v>
      </c>
      <c r="Q428" s="154">
        <v>306.65860737134858</v>
      </c>
      <c r="R428" s="154">
        <v>559.88228079599764</v>
      </c>
      <c r="S428" s="154" t="s">
        <v>421</v>
      </c>
      <c r="T428" s="154">
        <v>0.63022265652225729</v>
      </c>
      <c r="U428" s="154">
        <v>0.23520654174182656</v>
      </c>
      <c r="V428" s="154">
        <v>3746.9714231824241</v>
      </c>
      <c r="W428" s="154">
        <v>8.7492511222881753</v>
      </c>
      <c r="X428" s="154">
        <v>2679.4316994112469</v>
      </c>
      <c r="Y428" s="154">
        <v>15510.423379527563</v>
      </c>
      <c r="Z428" s="154" t="s">
        <v>421</v>
      </c>
      <c r="AC428" s="28" t="s">
        <v>421</v>
      </c>
      <c r="AD428" s="28" t="s">
        <v>421</v>
      </c>
      <c r="AE428" s="9" t="s">
        <v>1626</v>
      </c>
      <c r="AF428" s="28" t="s">
        <v>1626</v>
      </c>
      <c r="AG428" s="28">
        <v>7.2300000000000003E-2</v>
      </c>
      <c r="AH428" s="28">
        <v>32.081299999999999</v>
      </c>
      <c r="AI428" s="28" t="s">
        <v>1626</v>
      </c>
      <c r="AJ428" s="28" t="s">
        <v>1626</v>
      </c>
      <c r="AK428" s="28" t="s">
        <v>1626</v>
      </c>
      <c r="AL428" s="28">
        <v>62.832099999999997</v>
      </c>
      <c r="AM428" s="28" t="s">
        <v>1626</v>
      </c>
      <c r="AN428" s="28">
        <v>1.1355999999999999</v>
      </c>
      <c r="AO428" s="28" t="s">
        <v>1626</v>
      </c>
      <c r="AP428" s="156">
        <f t="shared" si="6"/>
        <v>96.121299999999991</v>
      </c>
    </row>
    <row r="429" spans="1:42" x14ac:dyDescent="0.2">
      <c r="A429" s="9" t="s">
        <v>1261</v>
      </c>
      <c r="B429" s="9" t="s">
        <v>1262</v>
      </c>
      <c r="C429" s="9" t="s">
        <v>127</v>
      </c>
      <c r="D429" s="9" t="s">
        <v>132</v>
      </c>
      <c r="E429" s="154">
        <v>328751.26201826637</v>
      </c>
      <c r="F429" s="154">
        <v>308629.42592040816</v>
      </c>
      <c r="G429" s="154">
        <v>201.68199989560864</v>
      </c>
      <c r="H429" s="154">
        <v>7265.8337710670176</v>
      </c>
      <c r="I429" s="154">
        <v>0.29540630400078255</v>
      </c>
      <c r="J429" s="154">
        <v>2213.3160951450732</v>
      </c>
      <c r="K429" s="154">
        <v>622324</v>
      </c>
      <c r="L429" s="154">
        <v>610582.6779145858</v>
      </c>
      <c r="M429" s="154">
        <v>26.212834591165937</v>
      </c>
      <c r="N429" s="154">
        <v>1318.7443045879704</v>
      </c>
      <c r="O429" s="154">
        <v>1428.554100533383</v>
      </c>
      <c r="P429" s="154" t="s">
        <v>421</v>
      </c>
      <c r="Q429" s="154">
        <v>261.78693050644677</v>
      </c>
      <c r="R429" s="154">
        <v>639.67586233798465</v>
      </c>
      <c r="S429" s="154" t="s">
        <v>421</v>
      </c>
      <c r="T429" s="154">
        <v>0.43482144338131273</v>
      </c>
      <c r="U429" s="154">
        <v>0.43439110918843121</v>
      </c>
      <c r="V429" s="154">
        <v>3634.783845200483</v>
      </c>
      <c r="W429" s="154">
        <v>11.177164085190395</v>
      </c>
      <c r="X429" s="154">
        <v>2376.3867913263962</v>
      </c>
      <c r="Y429" s="154">
        <v>13047.408065825935</v>
      </c>
      <c r="Z429" s="154" t="s">
        <v>421</v>
      </c>
      <c r="AC429" s="28" t="s">
        <v>421</v>
      </c>
      <c r="AD429" s="28" t="s">
        <v>421</v>
      </c>
      <c r="AE429" s="9" t="s">
        <v>1626</v>
      </c>
      <c r="AF429" s="28" t="s">
        <v>1626</v>
      </c>
      <c r="AG429" s="28">
        <v>0.1462</v>
      </c>
      <c r="AH429" s="28">
        <v>32.140900000000002</v>
      </c>
      <c r="AI429" s="28" t="s">
        <v>1626</v>
      </c>
      <c r="AJ429" s="28" t="s">
        <v>1626</v>
      </c>
      <c r="AK429" s="28" t="s">
        <v>1626</v>
      </c>
      <c r="AL429" s="28">
        <v>62.232399999999998</v>
      </c>
      <c r="AM429" s="28" t="s">
        <v>1626</v>
      </c>
      <c r="AN429" s="28">
        <v>0.98719999999999997</v>
      </c>
      <c r="AO429" s="28" t="s">
        <v>1626</v>
      </c>
      <c r="AP429" s="156">
        <f t="shared" si="6"/>
        <v>95.506699999999995</v>
      </c>
    </row>
    <row r="430" spans="1:42" x14ac:dyDescent="0.2">
      <c r="A430" s="9" t="s">
        <v>1263</v>
      </c>
      <c r="B430" s="9" t="s">
        <v>1264</v>
      </c>
      <c r="C430" s="9" t="s">
        <v>127</v>
      </c>
      <c r="D430" s="9" t="s">
        <v>132</v>
      </c>
      <c r="E430" s="154">
        <v>312659.74897383357</v>
      </c>
      <c r="F430" s="154">
        <v>302113.69402309333</v>
      </c>
      <c r="G430" s="154">
        <v>186.1130440849268</v>
      </c>
      <c r="H430" s="154">
        <v>9706.2123231096994</v>
      </c>
      <c r="I430" s="154">
        <v>0.77727302951428667</v>
      </c>
      <c r="J430" s="154">
        <v>2731.9678890705709</v>
      </c>
      <c r="K430" s="154">
        <v>614635</v>
      </c>
      <c r="L430" s="154">
        <v>619407.52713878267</v>
      </c>
      <c r="M430" s="154">
        <v>6.90896253931699</v>
      </c>
      <c r="N430" s="154">
        <v>2445.666808652587</v>
      </c>
      <c r="O430" s="154">
        <v>3002.7101349697546</v>
      </c>
      <c r="P430" s="154" t="s">
        <v>421</v>
      </c>
      <c r="Q430" s="154">
        <v>762.27815334551042</v>
      </c>
      <c r="R430" s="154">
        <v>86.740716423038847</v>
      </c>
      <c r="S430" s="154" t="s">
        <v>421</v>
      </c>
      <c r="T430" s="154">
        <v>0.25878510361335572</v>
      </c>
      <c r="U430" s="154">
        <v>0.24332584266431906</v>
      </c>
      <c r="V430" s="154">
        <v>117.65402595014524</v>
      </c>
      <c r="W430" s="154">
        <v>8.351161528588273</v>
      </c>
      <c r="X430" s="154">
        <v>3864.1554957456365</v>
      </c>
      <c r="Y430" s="154">
        <v>19997.220059560546</v>
      </c>
      <c r="Z430" s="154" t="s">
        <v>421</v>
      </c>
      <c r="AC430" s="28" t="s">
        <v>421</v>
      </c>
      <c r="AD430" s="28" t="s">
        <v>421</v>
      </c>
      <c r="AE430" s="9" t="s">
        <v>1626</v>
      </c>
      <c r="AF430" s="28" t="s">
        <v>1626</v>
      </c>
      <c r="AG430" s="28" t="s">
        <v>421</v>
      </c>
      <c r="AH430" s="28">
        <v>32.275300000000001</v>
      </c>
      <c r="AI430" s="28" t="s">
        <v>1626</v>
      </c>
      <c r="AJ430" s="28" t="s">
        <v>1626</v>
      </c>
      <c r="AK430" s="28" t="s">
        <v>1626</v>
      </c>
      <c r="AL430" s="28">
        <v>61.463500000000003</v>
      </c>
      <c r="AM430" s="28" t="s">
        <v>1626</v>
      </c>
      <c r="AN430" s="28">
        <v>2.2239</v>
      </c>
      <c r="AO430" s="28" t="s">
        <v>1626</v>
      </c>
      <c r="AP430" s="156">
        <f t="shared" si="6"/>
        <v>95.962699999999998</v>
      </c>
    </row>
    <row r="431" spans="1:42" x14ac:dyDescent="0.2">
      <c r="A431" s="9" t="s">
        <v>1265</v>
      </c>
      <c r="B431" s="9" t="s">
        <v>1266</v>
      </c>
      <c r="C431" s="9" t="s">
        <v>127</v>
      </c>
      <c r="D431" s="9" t="s">
        <v>132</v>
      </c>
      <c r="E431" s="154">
        <v>328340.39865709649</v>
      </c>
      <c r="F431" s="154">
        <v>318581.73488136352</v>
      </c>
      <c r="G431" s="154">
        <v>191.23949386120876</v>
      </c>
      <c r="H431" s="154">
        <v>9763.8692161655399</v>
      </c>
      <c r="I431" s="154">
        <v>0.6902862859854475</v>
      </c>
      <c r="J431" s="154">
        <v>2681.9436814458782</v>
      </c>
      <c r="K431" s="154">
        <v>619617</v>
      </c>
      <c r="L431" s="154">
        <v>624209.66391647083</v>
      </c>
      <c r="M431" s="154">
        <v>7.9553749536051885</v>
      </c>
      <c r="N431" s="154">
        <v>2669.8279112834016</v>
      </c>
      <c r="O431" s="154">
        <v>2992.6781187510055</v>
      </c>
      <c r="P431" s="154">
        <v>1.7407474044024511</v>
      </c>
      <c r="Q431" s="154">
        <v>818.62736573503162</v>
      </c>
      <c r="R431" s="154">
        <v>100.52999572550814</v>
      </c>
      <c r="S431" s="154" t="s">
        <v>421</v>
      </c>
      <c r="T431" s="154">
        <v>0.23478463308871958</v>
      </c>
      <c r="U431" s="154">
        <v>0.39898393415942585</v>
      </c>
      <c r="V431" s="154">
        <v>157.06596172003248</v>
      </c>
      <c r="W431" s="154">
        <v>8.0539537134647077</v>
      </c>
      <c r="X431" s="154">
        <v>3865.6066251414841</v>
      </c>
      <c r="Y431" s="154">
        <v>20522.722525051322</v>
      </c>
      <c r="Z431" s="154" t="s">
        <v>421</v>
      </c>
      <c r="AC431" s="28" t="s">
        <v>421</v>
      </c>
      <c r="AD431" s="28" t="s">
        <v>421</v>
      </c>
      <c r="AE431" s="9" t="s">
        <v>1626</v>
      </c>
      <c r="AF431" s="28" t="s">
        <v>1626</v>
      </c>
      <c r="AG431" s="28">
        <v>1.7100000000000001E-2</v>
      </c>
      <c r="AH431" s="28">
        <v>31.8781</v>
      </c>
      <c r="AI431" s="28" t="s">
        <v>1626</v>
      </c>
      <c r="AJ431" s="28" t="s">
        <v>1626</v>
      </c>
      <c r="AK431" s="28" t="s">
        <v>1626</v>
      </c>
      <c r="AL431" s="28">
        <v>61.9617</v>
      </c>
      <c r="AM431" s="28" t="s">
        <v>1626</v>
      </c>
      <c r="AN431" s="28">
        <v>1.6393</v>
      </c>
      <c r="AO431" s="28" t="s">
        <v>1626</v>
      </c>
      <c r="AP431" s="156">
        <f t="shared" si="6"/>
        <v>95.496200000000002</v>
      </c>
    </row>
    <row r="432" spans="1:42" x14ac:dyDescent="0.2">
      <c r="A432" s="9" t="s">
        <v>1267</v>
      </c>
      <c r="B432" s="9" t="s">
        <v>1268</v>
      </c>
      <c r="C432" s="9" t="s">
        <v>127</v>
      </c>
      <c r="D432" s="9" t="s">
        <v>132</v>
      </c>
      <c r="E432" s="154">
        <v>319841.5796700897</v>
      </c>
      <c r="F432" s="154">
        <v>301083.19597826438</v>
      </c>
      <c r="G432" s="154">
        <v>219.65900510814126</v>
      </c>
      <c r="H432" s="154">
        <v>14724.593051159885</v>
      </c>
      <c r="I432" s="154">
        <v>0.82467126547661562</v>
      </c>
      <c r="J432" s="154">
        <v>2611.9593551627081</v>
      </c>
      <c r="K432" s="154">
        <v>613838</v>
      </c>
      <c r="L432" s="154">
        <v>609630.77386473841</v>
      </c>
      <c r="M432" s="154">
        <v>1.8777398130551395</v>
      </c>
      <c r="N432" s="154">
        <v>2690.5300677026103</v>
      </c>
      <c r="O432" s="154">
        <v>4567.2071390030824</v>
      </c>
      <c r="P432" s="154">
        <v>1.1751080263350948</v>
      </c>
      <c r="Q432" s="154">
        <v>1271.726955830115</v>
      </c>
      <c r="R432" s="154">
        <v>33.740322038464704</v>
      </c>
      <c r="S432" s="154">
        <v>1.3746761028565721E-2</v>
      </c>
      <c r="T432" s="154">
        <v>0.34396192251731172</v>
      </c>
      <c r="U432" s="154">
        <v>0.51195918967471676</v>
      </c>
      <c r="V432" s="154">
        <v>20.351971989453759</v>
      </c>
      <c r="W432" s="154">
        <v>5.4463554783448158</v>
      </c>
      <c r="X432" s="154">
        <v>4167.6066915801966</v>
      </c>
      <c r="Y432" s="154">
        <v>13675.182542351738</v>
      </c>
      <c r="Z432" s="154">
        <v>1.257729049200686E-2</v>
      </c>
      <c r="AC432" s="28" t="s">
        <v>421</v>
      </c>
      <c r="AD432" s="28" t="s">
        <v>421</v>
      </c>
      <c r="AE432" s="9" t="s">
        <v>1626</v>
      </c>
      <c r="AF432" s="28" t="s">
        <v>1626</v>
      </c>
      <c r="AG432" s="28">
        <v>1.24E-2</v>
      </c>
      <c r="AH432" s="28">
        <v>31.8141</v>
      </c>
      <c r="AI432" s="28" t="s">
        <v>1626</v>
      </c>
      <c r="AJ432" s="28" t="s">
        <v>1626</v>
      </c>
      <c r="AK432" s="28" t="s">
        <v>1626</v>
      </c>
      <c r="AL432" s="28">
        <v>61.383800000000001</v>
      </c>
      <c r="AM432" s="28" t="s">
        <v>1626</v>
      </c>
      <c r="AN432" s="28">
        <v>1.6418999999999999</v>
      </c>
      <c r="AO432" s="28" t="s">
        <v>1626</v>
      </c>
      <c r="AP432" s="156">
        <f t="shared" si="6"/>
        <v>94.852200000000011</v>
      </c>
    </row>
    <row r="433" spans="1:42" x14ac:dyDescent="0.2">
      <c r="A433" s="9" t="s">
        <v>1269</v>
      </c>
      <c r="B433" s="9" t="s">
        <v>1270</v>
      </c>
      <c r="C433" s="9" t="s">
        <v>127</v>
      </c>
      <c r="D433" s="9" t="s">
        <v>132</v>
      </c>
      <c r="E433" s="154">
        <v>330892.9100531342</v>
      </c>
      <c r="F433" s="154">
        <v>319369.03051303216</v>
      </c>
      <c r="G433" s="154">
        <v>194.44850979229005</v>
      </c>
      <c r="H433" s="154">
        <v>10534.836499466259</v>
      </c>
      <c r="I433" s="154">
        <v>0.67579635487435696</v>
      </c>
      <c r="J433" s="154">
        <v>2941.9466284252385</v>
      </c>
      <c r="K433" s="154">
        <v>618774</v>
      </c>
      <c r="L433" s="154">
        <v>616823.9192473992</v>
      </c>
      <c r="M433" s="154">
        <v>6.9349951274938437</v>
      </c>
      <c r="N433" s="154">
        <v>2595.2864026109692</v>
      </c>
      <c r="O433" s="154">
        <v>3407.1104026179919</v>
      </c>
      <c r="P433" s="154" t="s">
        <v>421</v>
      </c>
      <c r="Q433" s="154">
        <v>547.27310933468209</v>
      </c>
      <c r="R433" s="154">
        <v>80.901545099639421</v>
      </c>
      <c r="S433" s="154" t="s">
        <v>421</v>
      </c>
      <c r="T433" s="154">
        <v>0.22092901933922654</v>
      </c>
      <c r="U433" s="154">
        <v>0.20225453206572011</v>
      </c>
      <c r="V433" s="154">
        <v>95.963811577126236</v>
      </c>
      <c r="W433" s="154">
        <v>5.6479517039532068</v>
      </c>
      <c r="X433" s="154">
        <v>3843.5938472733988</v>
      </c>
      <c r="Y433" s="154">
        <v>19746.59097712404</v>
      </c>
      <c r="Z433" s="154" t="s">
        <v>421</v>
      </c>
      <c r="AC433" s="28" t="s">
        <v>421</v>
      </c>
      <c r="AD433" s="28" t="s">
        <v>421</v>
      </c>
      <c r="AE433" s="9" t="s">
        <v>1626</v>
      </c>
      <c r="AF433" s="28" t="s">
        <v>1626</v>
      </c>
      <c r="AG433" s="28">
        <v>9.7999999999999997E-3</v>
      </c>
      <c r="AH433" s="28">
        <v>32.212299999999999</v>
      </c>
      <c r="AI433" s="28" t="s">
        <v>1626</v>
      </c>
      <c r="AJ433" s="28" t="s">
        <v>1626</v>
      </c>
      <c r="AK433" s="28" t="s">
        <v>1626</v>
      </c>
      <c r="AL433" s="28">
        <v>61.877400000000002</v>
      </c>
      <c r="AM433" s="28" t="s">
        <v>1626</v>
      </c>
      <c r="AN433" s="28">
        <v>1.6895</v>
      </c>
      <c r="AO433" s="28" t="s">
        <v>1626</v>
      </c>
      <c r="AP433" s="156">
        <f t="shared" si="6"/>
        <v>95.789000000000001</v>
      </c>
    </row>
    <row r="434" spans="1:42" x14ac:dyDescent="0.2">
      <c r="A434" s="9" t="s">
        <v>1271</v>
      </c>
      <c r="B434" s="9" t="s">
        <v>1272</v>
      </c>
      <c r="C434" s="9" t="s">
        <v>127</v>
      </c>
      <c r="D434" s="9" t="s">
        <v>132</v>
      </c>
      <c r="E434" s="154">
        <v>333091.17884261906</v>
      </c>
      <c r="F434" s="154">
        <v>323608.97121024749</v>
      </c>
      <c r="G434" s="154">
        <v>198.26647748783699</v>
      </c>
      <c r="H434" s="154">
        <v>11477.098989445651</v>
      </c>
      <c r="I434" s="154">
        <v>0.68599679577639983</v>
      </c>
      <c r="J434" s="154">
        <v>3203.7135473166099</v>
      </c>
      <c r="K434" s="154">
        <v>612424</v>
      </c>
      <c r="L434" s="154">
        <v>606534.86183505063</v>
      </c>
      <c r="M434" s="154">
        <v>6.0637556712851</v>
      </c>
      <c r="N434" s="154">
        <v>2722.8789661963233</v>
      </c>
      <c r="O434" s="154">
        <v>3610.0083670261438</v>
      </c>
      <c r="P434" s="154">
        <v>1.0153175865363306</v>
      </c>
      <c r="Q434" s="154">
        <v>646.32522131683515</v>
      </c>
      <c r="R434" s="154">
        <v>59.448352032265753</v>
      </c>
      <c r="S434" s="154" t="s">
        <v>421</v>
      </c>
      <c r="T434" s="154" t="s">
        <v>421</v>
      </c>
      <c r="U434" s="154">
        <v>0.21881363383296107</v>
      </c>
      <c r="V434" s="154">
        <v>69.087573986988389</v>
      </c>
      <c r="W434" s="154">
        <v>4.7422217548010028</v>
      </c>
      <c r="X434" s="154">
        <v>4245.8600338172118</v>
      </c>
      <c r="Y434" s="154">
        <v>20889.573000380347</v>
      </c>
      <c r="Z434" s="154" t="s">
        <v>421</v>
      </c>
      <c r="AC434" s="28" t="s">
        <v>421</v>
      </c>
      <c r="AD434" s="28" t="s">
        <v>421</v>
      </c>
      <c r="AE434" s="9" t="s">
        <v>1626</v>
      </c>
      <c r="AF434" s="28" t="s">
        <v>1626</v>
      </c>
      <c r="AG434" s="28">
        <v>2.8999999999999998E-3</v>
      </c>
      <c r="AH434" s="28">
        <v>32.068100000000001</v>
      </c>
      <c r="AI434" s="28" t="s">
        <v>1626</v>
      </c>
      <c r="AJ434" s="28" t="s">
        <v>1626</v>
      </c>
      <c r="AK434" s="28" t="s">
        <v>1626</v>
      </c>
      <c r="AL434" s="28">
        <v>61.242400000000004</v>
      </c>
      <c r="AM434" s="28" t="s">
        <v>1626</v>
      </c>
      <c r="AN434" s="28">
        <v>1.7313000000000001</v>
      </c>
      <c r="AO434" s="28" t="s">
        <v>1626</v>
      </c>
      <c r="AP434" s="156">
        <f t="shared" si="6"/>
        <v>95.044700000000006</v>
      </c>
    </row>
    <row r="435" spans="1:42" x14ac:dyDescent="0.2">
      <c r="A435" s="9" t="s">
        <v>1273</v>
      </c>
      <c r="B435" s="9" t="s">
        <v>1274</v>
      </c>
      <c r="C435" s="9" t="s">
        <v>127</v>
      </c>
      <c r="D435" s="9" t="s">
        <v>132</v>
      </c>
      <c r="E435" s="154">
        <v>344249.73295792291</v>
      </c>
      <c r="F435" s="154">
        <v>336667.75796787301</v>
      </c>
      <c r="G435" s="154">
        <v>219.20814779619948</v>
      </c>
      <c r="H435" s="154">
        <v>16873.44758339199</v>
      </c>
      <c r="I435" s="154">
        <v>0.82256267200564304</v>
      </c>
      <c r="J435" s="154">
        <v>3507.1841503610844</v>
      </c>
      <c r="K435" s="154">
        <v>617461</v>
      </c>
      <c r="L435" s="154">
        <v>629093.99753194419</v>
      </c>
      <c r="M435" s="154">
        <v>1.9962317576178079</v>
      </c>
      <c r="N435" s="154">
        <v>2861.0619689824812</v>
      </c>
      <c r="O435" s="154">
        <v>3642.1865965270658</v>
      </c>
      <c r="P435" s="154" t="s">
        <v>421</v>
      </c>
      <c r="Q435" s="154">
        <v>515.03003002832713</v>
      </c>
      <c r="R435" s="154">
        <v>28.96043438597351</v>
      </c>
      <c r="S435" s="154">
        <v>1.3486155814590181E-2</v>
      </c>
      <c r="T435" s="154" t="s">
        <v>421</v>
      </c>
      <c r="U435" s="154">
        <v>0.21322793413258015</v>
      </c>
      <c r="V435" s="154">
        <v>17.735971566783725</v>
      </c>
      <c r="W435" s="154">
        <v>5.6892775536084281</v>
      </c>
      <c r="X435" s="154">
        <v>4776.9094736008619</v>
      </c>
      <c r="Y435" s="154">
        <v>15350.885144502336</v>
      </c>
      <c r="Z435" s="154" t="s">
        <v>421</v>
      </c>
      <c r="AC435" s="28" t="s">
        <v>421</v>
      </c>
      <c r="AD435" s="28" t="s">
        <v>421</v>
      </c>
      <c r="AE435" s="9" t="s">
        <v>1626</v>
      </c>
      <c r="AF435" s="28" t="s">
        <v>1626</v>
      </c>
      <c r="AG435" s="28">
        <v>1.09E-2</v>
      </c>
      <c r="AH435" s="28">
        <v>32.493899999999996</v>
      </c>
      <c r="AI435" s="28" t="s">
        <v>1626</v>
      </c>
      <c r="AJ435" s="28" t="s">
        <v>1626</v>
      </c>
      <c r="AK435" s="28" t="s">
        <v>1626</v>
      </c>
      <c r="AL435" s="28">
        <v>61.746099999999998</v>
      </c>
      <c r="AM435" s="28" t="s">
        <v>1626</v>
      </c>
      <c r="AN435" s="28">
        <v>2.3653</v>
      </c>
      <c r="AO435" s="28" t="s">
        <v>1626</v>
      </c>
      <c r="AP435" s="156">
        <f t="shared" si="6"/>
        <v>96.616200000000006</v>
      </c>
    </row>
    <row r="436" spans="1:42" x14ac:dyDescent="0.2">
      <c r="A436" s="9" t="s">
        <v>1275</v>
      </c>
      <c r="B436" s="9" t="s">
        <v>1276</v>
      </c>
      <c r="C436" s="9" t="s">
        <v>127</v>
      </c>
      <c r="D436" s="9" t="s">
        <v>133</v>
      </c>
      <c r="E436" s="154">
        <v>322369.73437515914</v>
      </c>
      <c r="F436" s="154">
        <v>305929.28787217248</v>
      </c>
      <c r="G436" s="154">
        <v>268.78374734899398</v>
      </c>
      <c r="H436" s="154">
        <v>8759.6647840521582</v>
      </c>
      <c r="I436" s="154">
        <v>7.614432818131131E-2</v>
      </c>
      <c r="J436" s="154" t="s">
        <v>421</v>
      </c>
      <c r="K436" s="154">
        <v>635818</v>
      </c>
      <c r="L436" s="154">
        <v>633520.46295301453</v>
      </c>
      <c r="M436" s="154">
        <v>28.654683424300124</v>
      </c>
      <c r="N436" s="154">
        <v>62.652660186884304</v>
      </c>
      <c r="O436" s="154">
        <v>130.16855801568101</v>
      </c>
      <c r="P436" s="154" t="s">
        <v>421</v>
      </c>
      <c r="Q436" s="154">
        <v>185.95063491127138</v>
      </c>
      <c r="R436" s="154">
        <v>209.47958452476155</v>
      </c>
      <c r="S436" s="154" t="s">
        <v>421</v>
      </c>
      <c r="T436" s="154">
        <v>0.33595055765787663</v>
      </c>
      <c r="U436" s="154">
        <v>0.54177257735138429</v>
      </c>
      <c r="V436" s="154">
        <v>8989.1348467997159</v>
      </c>
      <c r="W436" s="154">
        <v>9.3207846924554474</v>
      </c>
      <c r="X436" s="154">
        <v>1481.3535841493238</v>
      </c>
      <c r="Y436" s="154">
        <v>13467.812814538769</v>
      </c>
      <c r="Z436" s="154" t="s">
        <v>421</v>
      </c>
      <c r="AC436" s="28" t="s">
        <v>421</v>
      </c>
      <c r="AD436" s="28" t="s">
        <v>421</v>
      </c>
      <c r="AE436" s="9" t="s">
        <v>1626</v>
      </c>
      <c r="AF436" s="28" t="s">
        <v>1626</v>
      </c>
      <c r="AG436" s="28">
        <v>1.34E-2</v>
      </c>
      <c r="AH436" s="28">
        <v>32.604199999999999</v>
      </c>
      <c r="AI436" s="28" t="s">
        <v>1626</v>
      </c>
      <c r="AJ436" s="28" t="s">
        <v>1626</v>
      </c>
      <c r="AK436" s="28" t="s">
        <v>1626</v>
      </c>
      <c r="AL436" s="28">
        <v>63.581800000000001</v>
      </c>
      <c r="AM436" s="28" t="s">
        <v>1626</v>
      </c>
      <c r="AN436" s="28">
        <v>1.3771</v>
      </c>
      <c r="AO436" s="28" t="s">
        <v>1626</v>
      </c>
      <c r="AP436" s="156">
        <f t="shared" si="6"/>
        <v>97.576499999999996</v>
      </c>
    </row>
    <row r="437" spans="1:42" x14ac:dyDescent="0.2">
      <c r="A437" s="9" t="s">
        <v>1277</v>
      </c>
      <c r="B437" s="9" t="s">
        <v>1278</v>
      </c>
      <c r="C437" s="9" t="s">
        <v>127</v>
      </c>
      <c r="D437" s="9" t="s">
        <v>133</v>
      </c>
      <c r="E437" s="154">
        <v>326074.78653624188</v>
      </c>
      <c r="F437" s="154">
        <v>321285.66623840586</v>
      </c>
      <c r="G437" s="154">
        <v>210.22127423896788</v>
      </c>
      <c r="H437" s="154">
        <v>7270.16841691227</v>
      </c>
      <c r="I437" s="154" t="s">
        <v>421</v>
      </c>
      <c r="J437" s="154">
        <v>6.7709064502063432E-2</v>
      </c>
      <c r="K437" s="154">
        <v>634449</v>
      </c>
      <c r="L437" s="154">
        <v>640275.85786527896</v>
      </c>
      <c r="M437" s="154">
        <v>28.63686700337189</v>
      </c>
      <c r="N437" s="154">
        <v>33.007294584849035</v>
      </c>
      <c r="O437" s="154">
        <v>102.7501838296446</v>
      </c>
      <c r="P437" s="154" t="s">
        <v>421</v>
      </c>
      <c r="Q437" s="154">
        <v>355.51717107372656</v>
      </c>
      <c r="R437" s="154">
        <v>4030.0580379868506</v>
      </c>
      <c r="S437" s="154">
        <v>0.68834096944158574</v>
      </c>
      <c r="T437" s="154">
        <v>0.885021239067181</v>
      </c>
      <c r="U437" s="154">
        <v>0.7396658036133843</v>
      </c>
      <c r="V437" s="154">
        <v>11616.594773700204</v>
      </c>
      <c r="W437" s="154">
        <v>47.631787218262332</v>
      </c>
      <c r="X437" s="154">
        <v>1838.8365197552921</v>
      </c>
      <c r="Y437" s="154">
        <v>15119.66709362815</v>
      </c>
      <c r="Z437" s="154">
        <v>0.68533189722875731</v>
      </c>
      <c r="AC437" s="28" t="s">
        <v>421</v>
      </c>
      <c r="AD437" s="28" t="s">
        <v>421</v>
      </c>
      <c r="AE437" s="9" t="s">
        <v>1626</v>
      </c>
      <c r="AF437" s="28" t="s">
        <v>1626</v>
      </c>
      <c r="AG437" s="28">
        <v>0.54290000000000005</v>
      </c>
      <c r="AH437" s="28">
        <v>32.290300000000002</v>
      </c>
      <c r="AI437" s="28" t="s">
        <v>1626</v>
      </c>
      <c r="AJ437" s="28" t="s">
        <v>1626</v>
      </c>
      <c r="AK437" s="28" t="s">
        <v>1626</v>
      </c>
      <c r="AL437" s="28">
        <v>63.444899999999997</v>
      </c>
      <c r="AM437" s="28" t="s">
        <v>1626</v>
      </c>
      <c r="AN437" s="28">
        <v>0.97209999999999996</v>
      </c>
      <c r="AO437" s="28" t="s">
        <v>1626</v>
      </c>
      <c r="AP437" s="156">
        <f t="shared" si="6"/>
        <v>97.250199999999992</v>
      </c>
    </row>
    <row r="438" spans="1:42" x14ac:dyDescent="0.2">
      <c r="A438" s="9" t="s">
        <v>1279</v>
      </c>
      <c r="B438" s="9" t="s">
        <v>1280</v>
      </c>
      <c r="C438" s="9" t="s">
        <v>127</v>
      </c>
      <c r="D438" s="9" t="s">
        <v>133</v>
      </c>
      <c r="E438" s="154">
        <v>319382.62652625312</v>
      </c>
      <c r="F438" s="154">
        <v>305286.85095760686</v>
      </c>
      <c r="G438" s="154">
        <v>171.67870100524587</v>
      </c>
      <c r="H438" s="154">
        <v>6841.959930079568</v>
      </c>
      <c r="I438" s="154">
        <v>6.9257088061172284E-2</v>
      </c>
      <c r="J438" s="154">
        <v>555.70407907264621</v>
      </c>
      <c r="K438" s="154">
        <v>608692</v>
      </c>
      <c r="L438" s="154">
        <v>602714.35336546332</v>
      </c>
      <c r="M438" s="154">
        <v>22.412817612553606</v>
      </c>
      <c r="N438" s="154">
        <v>43.292658510914634</v>
      </c>
      <c r="O438" s="154">
        <v>168.39240442952513</v>
      </c>
      <c r="P438" s="154" t="s">
        <v>421</v>
      </c>
      <c r="Q438" s="154">
        <v>7932.4629276443538</v>
      </c>
      <c r="R438" s="154">
        <v>17678.429486556412</v>
      </c>
      <c r="S438" s="154">
        <v>1555.7297437191846</v>
      </c>
      <c r="T438" s="154">
        <v>156.66791853353402</v>
      </c>
      <c r="U438" s="154">
        <v>158.96776672081691</v>
      </c>
      <c r="V438" s="154">
        <v>15882.140402640578</v>
      </c>
      <c r="W438" s="154">
        <v>483.17847984281798</v>
      </c>
      <c r="X438" s="154">
        <v>2360.2620149906447</v>
      </c>
      <c r="Y438" s="154">
        <v>20462.565795361297</v>
      </c>
      <c r="Z438" s="154">
        <v>1555.1970727961707</v>
      </c>
      <c r="AC438" s="28" t="s">
        <v>421</v>
      </c>
      <c r="AD438" s="28" t="s">
        <v>421</v>
      </c>
      <c r="AE438" s="9" t="s">
        <v>1626</v>
      </c>
      <c r="AF438" s="28" t="s">
        <v>1626</v>
      </c>
      <c r="AG438" s="28">
        <v>1.4479</v>
      </c>
      <c r="AH438" s="28">
        <v>32.014000000000003</v>
      </c>
      <c r="AI438" s="28" t="s">
        <v>1626</v>
      </c>
      <c r="AJ438" s="28" t="s">
        <v>1626</v>
      </c>
      <c r="AK438" s="28" t="s">
        <v>1626</v>
      </c>
      <c r="AL438" s="28">
        <v>60.869199999999999</v>
      </c>
      <c r="AM438" s="28" t="s">
        <v>1626</v>
      </c>
      <c r="AN438" s="28">
        <v>1.1923999999999999</v>
      </c>
      <c r="AO438" s="28" t="s">
        <v>1626</v>
      </c>
      <c r="AP438" s="156">
        <f t="shared" si="6"/>
        <v>95.523499999999999</v>
      </c>
    </row>
    <row r="439" spans="1:42" x14ac:dyDescent="0.2">
      <c r="A439" s="9" t="s">
        <v>1281</v>
      </c>
      <c r="B439" s="9" t="s">
        <v>1282</v>
      </c>
      <c r="C439" s="9" t="s">
        <v>127</v>
      </c>
      <c r="D439" s="9" t="s">
        <v>133</v>
      </c>
      <c r="E439" s="154">
        <v>325107.29123413732</v>
      </c>
      <c r="F439" s="154">
        <v>319316.65699429094</v>
      </c>
      <c r="G439" s="154">
        <v>209.01376453333302</v>
      </c>
      <c r="H439" s="154">
        <v>6832.7309758568808</v>
      </c>
      <c r="I439" s="154">
        <v>4.1141561990693062E-2</v>
      </c>
      <c r="J439" s="154">
        <v>297.08625278277475</v>
      </c>
      <c r="K439" s="154">
        <v>624480</v>
      </c>
      <c r="L439" s="154">
        <v>631204.29249110376</v>
      </c>
      <c r="M439" s="154">
        <v>28.603421959308559</v>
      </c>
      <c r="N439" s="154">
        <v>32.97301183180597</v>
      </c>
      <c r="O439" s="154">
        <v>103.15946573357064</v>
      </c>
      <c r="P439" s="154" t="s">
        <v>421</v>
      </c>
      <c r="Q439" s="154">
        <v>1961.7194050110791</v>
      </c>
      <c r="R439" s="154">
        <v>7387.6443806188836</v>
      </c>
      <c r="S439" s="154">
        <v>18.971919199710353</v>
      </c>
      <c r="T439" s="154">
        <v>4.3473654184924255</v>
      </c>
      <c r="U439" s="154">
        <v>4.2796278145691398</v>
      </c>
      <c r="V439" s="154">
        <v>10909.600853408019</v>
      </c>
      <c r="W439" s="154">
        <v>134.12507055278019</v>
      </c>
      <c r="X439" s="154">
        <v>1602.3184418750648</v>
      </c>
      <c r="Y439" s="154">
        <v>14561.507887308979</v>
      </c>
      <c r="Z439" s="154">
        <v>18.957138157287478</v>
      </c>
      <c r="AC439" s="28" t="s">
        <v>421</v>
      </c>
      <c r="AD439" s="28" t="s">
        <v>421</v>
      </c>
      <c r="AE439" s="9" t="s">
        <v>1626</v>
      </c>
      <c r="AF439" s="28" t="s">
        <v>1626</v>
      </c>
      <c r="AG439" s="28">
        <v>0.68710000000000004</v>
      </c>
      <c r="AH439" s="28">
        <v>32.240400000000001</v>
      </c>
      <c r="AI439" s="28" t="s">
        <v>1626</v>
      </c>
      <c r="AJ439" s="28" t="s">
        <v>1626</v>
      </c>
      <c r="AK439" s="28" t="s">
        <v>1626</v>
      </c>
      <c r="AL439" s="28">
        <v>62.448</v>
      </c>
      <c r="AM439" s="28" t="s">
        <v>1626</v>
      </c>
      <c r="AN439" s="28">
        <v>1.1428</v>
      </c>
      <c r="AO439" s="28" t="s">
        <v>1626</v>
      </c>
      <c r="AP439" s="156">
        <f t="shared" si="6"/>
        <v>96.518299999999996</v>
      </c>
    </row>
    <row r="440" spans="1:42" x14ac:dyDescent="0.2">
      <c r="A440" s="9" t="s">
        <v>1283</v>
      </c>
      <c r="B440" s="9" t="s">
        <v>1284</v>
      </c>
      <c r="C440" s="9" t="s">
        <v>127</v>
      </c>
      <c r="D440" s="9" t="s">
        <v>133</v>
      </c>
      <c r="E440" s="154">
        <v>327644.98012422683</v>
      </c>
      <c r="F440" s="154">
        <v>315271.54759121052</v>
      </c>
      <c r="G440" s="154">
        <v>127.76369442388309</v>
      </c>
      <c r="H440" s="154">
        <v>9555.5591331944779</v>
      </c>
      <c r="I440" s="154" t="s">
        <v>421</v>
      </c>
      <c r="J440" s="154">
        <v>1778.6466546581926</v>
      </c>
      <c r="K440" s="154">
        <v>615457</v>
      </c>
      <c r="L440" s="154">
        <v>603419.49075866234</v>
      </c>
      <c r="M440" s="154">
        <v>34.650122433440174</v>
      </c>
      <c r="N440" s="154">
        <v>28.792417907870021</v>
      </c>
      <c r="O440" s="154">
        <v>135.07830921513985</v>
      </c>
      <c r="P440" s="154" t="s">
        <v>421</v>
      </c>
      <c r="Q440" s="154">
        <v>7197.4248207519395</v>
      </c>
      <c r="R440" s="154">
        <v>16944.081137523317</v>
      </c>
      <c r="S440" s="154">
        <v>1589.5463517564788</v>
      </c>
      <c r="T440" s="154">
        <v>172.57258856317489</v>
      </c>
      <c r="U440" s="154">
        <v>173.88289630431373</v>
      </c>
      <c r="V440" s="154">
        <v>13334.800780698341</v>
      </c>
      <c r="W440" s="154">
        <v>926.24868925561179</v>
      </c>
      <c r="X440" s="154">
        <v>1978.678625898455</v>
      </c>
      <c r="Y440" s="154">
        <v>15490.324559642906</v>
      </c>
      <c r="Z440" s="154">
        <v>1588.9596049553641</v>
      </c>
      <c r="AC440" s="28" t="s">
        <v>421</v>
      </c>
      <c r="AD440" s="28" t="s">
        <v>421</v>
      </c>
      <c r="AE440" s="9" t="s">
        <v>1626</v>
      </c>
      <c r="AF440" s="28" t="s">
        <v>1626</v>
      </c>
      <c r="AG440" s="28">
        <v>1.1434</v>
      </c>
      <c r="AH440" s="28">
        <v>32.238799999999998</v>
      </c>
      <c r="AI440" s="28" t="s">
        <v>1626</v>
      </c>
      <c r="AJ440" s="28" t="s">
        <v>1626</v>
      </c>
      <c r="AK440" s="28" t="s">
        <v>1626</v>
      </c>
      <c r="AL440" s="28">
        <v>61.545699999999997</v>
      </c>
      <c r="AM440" s="28" t="s">
        <v>1626</v>
      </c>
      <c r="AN440" s="28">
        <v>1.4080999999999999</v>
      </c>
      <c r="AO440" s="28" t="s">
        <v>1626</v>
      </c>
      <c r="AP440" s="156">
        <f t="shared" si="6"/>
        <v>96.335999999999999</v>
      </c>
    </row>
    <row r="441" spans="1:42" x14ac:dyDescent="0.2">
      <c r="A441" s="9" t="s">
        <v>1285</v>
      </c>
      <c r="B441" s="9" t="s">
        <v>1286</v>
      </c>
      <c r="C441" s="9" t="s">
        <v>127</v>
      </c>
      <c r="D441" s="9" t="s">
        <v>133</v>
      </c>
      <c r="E441" s="154">
        <v>333506.14263733418</v>
      </c>
      <c r="F441" s="154">
        <v>323128.36083073635</v>
      </c>
      <c r="G441" s="154">
        <v>172.4068509328383</v>
      </c>
      <c r="H441" s="154">
        <v>7522.8221764311775</v>
      </c>
      <c r="I441" s="154" t="s">
        <v>421</v>
      </c>
      <c r="J441" s="154">
        <v>272.74776374520758</v>
      </c>
      <c r="K441" s="154">
        <v>608687</v>
      </c>
      <c r="L441" s="154">
        <v>614601.96492433932</v>
      </c>
      <c r="M441" s="154">
        <v>25.110094467242906</v>
      </c>
      <c r="N441" s="154">
        <v>40.829741392673228</v>
      </c>
      <c r="O441" s="154">
        <v>159.94344704079495</v>
      </c>
      <c r="P441" s="154" t="s">
        <v>421</v>
      </c>
      <c r="Q441" s="154">
        <v>7184.2383229795387</v>
      </c>
      <c r="R441" s="154">
        <v>16839.503868242093</v>
      </c>
      <c r="S441" s="154">
        <v>1321.9470082235439</v>
      </c>
      <c r="T441" s="154">
        <v>142.84981887329056</v>
      </c>
      <c r="U441" s="154">
        <v>139.38074623173841</v>
      </c>
      <c r="V441" s="154">
        <v>15672.868716567542</v>
      </c>
      <c r="W441" s="154">
        <v>621.96877199446783</v>
      </c>
      <c r="X441" s="154">
        <v>2330.64599806152</v>
      </c>
      <c r="Y441" s="154">
        <v>20505.765109474341</v>
      </c>
      <c r="Z441" s="154">
        <v>1321.4613188393746</v>
      </c>
      <c r="AC441" s="28" t="s">
        <v>421</v>
      </c>
      <c r="AD441" s="28" t="s">
        <v>421</v>
      </c>
      <c r="AE441" s="9" t="s">
        <v>1626</v>
      </c>
      <c r="AF441" s="28" t="s">
        <v>1626</v>
      </c>
      <c r="AG441" s="28">
        <v>1.2895000000000001</v>
      </c>
      <c r="AH441" s="28">
        <v>32.142499999999998</v>
      </c>
      <c r="AI441" s="28" t="s">
        <v>1626</v>
      </c>
      <c r="AJ441" s="28" t="s">
        <v>1626</v>
      </c>
      <c r="AK441" s="28" t="s">
        <v>1626</v>
      </c>
      <c r="AL441" s="28">
        <v>60.868699999999997</v>
      </c>
      <c r="AM441" s="28" t="s">
        <v>1626</v>
      </c>
      <c r="AN441" s="28">
        <v>1.0166999999999999</v>
      </c>
      <c r="AO441" s="28" t="s">
        <v>1626</v>
      </c>
      <c r="AP441" s="156">
        <f t="shared" si="6"/>
        <v>95.317399999999992</v>
      </c>
    </row>
    <row r="442" spans="1:42" x14ac:dyDescent="0.2">
      <c r="A442" s="9" t="s">
        <v>1287</v>
      </c>
      <c r="B442" s="9" t="s">
        <v>1288</v>
      </c>
      <c r="C442" s="9" t="s">
        <v>127</v>
      </c>
      <c r="D442" s="9" t="s">
        <v>133</v>
      </c>
      <c r="E442" s="154">
        <v>331713.5791995835</v>
      </c>
      <c r="F442" s="154">
        <v>326885.02282533556</v>
      </c>
      <c r="G442" s="154">
        <v>217.71386450144325</v>
      </c>
      <c r="H442" s="154">
        <v>7207.6320518579714</v>
      </c>
      <c r="I442" s="154">
        <v>3.7641778772700689E-2</v>
      </c>
      <c r="J442" s="154">
        <v>23.60345369961977</v>
      </c>
      <c r="K442" s="154">
        <v>627155</v>
      </c>
      <c r="L442" s="154">
        <v>627960.67528802075</v>
      </c>
      <c r="M442" s="154">
        <v>29.03630907828871</v>
      </c>
      <c r="N442" s="154">
        <v>36.977898416603715</v>
      </c>
      <c r="O442" s="154">
        <v>112.8966244662259</v>
      </c>
      <c r="P442" s="154">
        <v>1.5891543203781833</v>
      </c>
      <c r="Q442" s="154">
        <v>1658.2443303287951</v>
      </c>
      <c r="R442" s="154">
        <v>7480.5706744172003</v>
      </c>
      <c r="S442" s="154">
        <v>20.166199793194409</v>
      </c>
      <c r="T442" s="154">
        <v>4.1100930456911504</v>
      </c>
      <c r="U442" s="154">
        <v>4.0660632029803896</v>
      </c>
      <c r="V442" s="154">
        <v>11990.156612992521</v>
      </c>
      <c r="W442" s="154">
        <v>90.799720464479037</v>
      </c>
      <c r="X442" s="154">
        <v>1847.880423863737</v>
      </c>
      <c r="Y442" s="154">
        <v>15745.631355618945</v>
      </c>
      <c r="Z442" s="154">
        <v>20.15222547683906</v>
      </c>
      <c r="AC442" s="28" t="s">
        <v>421</v>
      </c>
      <c r="AD442" s="28" t="s">
        <v>421</v>
      </c>
      <c r="AE442" s="9" t="s">
        <v>1626</v>
      </c>
      <c r="AF442" s="28" t="s">
        <v>1626</v>
      </c>
      <c r="AG442" s="28">
        <v>0.66300000000000003</v>
      </c>
      <c r="AH442" s="28">
        <v>32.349600000000002</v>
      </c>
      <c r="AI442" s="28" t="s">
        <v>1626</v>
      </c>
      <c r="AJ442" s="28" t="s">
        <v>1626</v>
      </c>
      <c r="AK442" s="28" t="s">
        <v>1626</v>
      </c>
      <c r="AL442" s="28">
        <v>62.715499999999999</v>
      </c>
      <c r="AM442" s="28" t="s">
        <v>1626</v>
      </c>
      <c r="AN442" s="28">
        <v>1.3059000000000001</v>
      </c>
      <c r="AO442" s="28" t="s">
        <v>1626</v>
      </c>
      <c r="AP442" s="156">
        <f t="shared" si="6"/>
        <v>97.033999999999992</v>
      </c>
    </row>
    <row r="443" spans="1:42" x14ac:dyDescent="0.2">
      <c r="A443" s="9" t="s">
        <v>1289</v>
      </c>
      <c r="B443" s="9" t="s">
        <v>1290</v>
      </c>
      <c r="C443" s="9" t="s">
        <v>127</v>
      </c>
      <c r="D443" s="9" t="s">
        <v>133</v>
      </c>
      <c r="E443" s="154">
        <v>331009.71750827954</v>
      </c>
      <c r="F443" s="154">
        <v>325982.40194721107</v>
      </c>
      <c r="G443" s="154">
        <v>286.76916187208531</v>
      </c>
      <c r="H443" s="154">
        <v>10326.037168310242</v>
      </c>
      <c r="I443" s="154">
        <v>6.8099932571351385E-2</v>
      </c>
      <c r="J443" s="154">
        <v>11.286872207522588</v>
      </c>
      <c r="K443" s="154">
        <v>630648</v>
      </c>
      <c r="L443" s="154">
        <v>632227.47532364703</v>
      </c>
      <c r="M443" s="154">
        <v>29.659989505547632</v>
      </c>
      <c r="N443" s="154">
        <v>47.118135378166542</v>
      </c>
      <c r="O443" s="154">
        <v>94.318425122885586</v>
      </c>
      <c r="P443" s="154" t="s">
        <v>421</v>
      </c>
      <c r="Q443" s="154">
        <v>176.33161639579939</v>
      </c>
      <c r="R443" s="154">
        <v>363.25189273222696</v>
      </c>
      <c r="S443" s="154" t="s">
        <v>421</v>
      </c>
      <c r="T443" s="154">
        <v>0.40933102512353176</v>
      </c>
      <c r="U443" s="154">
        <v>0.44313316888260879</v>
      </c>
      <c r="V443" s="154">
        <v>8252.8317007395035</v>
      </c>
      <c r="W443" s="154">
        <v>4.9134282846910571</v>
      </c>
      <c r="X443" s="154">
        <v>1335.4516454949674</v>
      </c>
      <c r="Y443" s="154">
        <v>13419.606932941013</v>
      </c>
      <c r="Z443" s="154" t="s">
        <v>421</v>
      </c>
      <c r="AC443" s="28" t="s">
        <v>421</v>
      </c>
      <c r="AD443" s="28" t="s">
        <v>421</v>
      </c>
      <c r="AE443" s="9" t="s">
        <v>1626</v>
      </c>
      <c r="AF443" s="28" t="s">
        <v>1626</v>
      </c>
      <c r="AG443" s="28">
        <v>4.1599999999999998E-2</v>
      </c>
      <c r="AH443" s="28">
        <v>32.561500000000002</v>
      </c>
      <c r="AI443" s="28" t="s">
        <v>1626</v>
      </c>
      <c r="AJ443" s="28" t="s">
        <v>1626</v>
      </c>
      <c r="AK443" s="28" t="s">
        <v>1626</v>
      </c>
      <c r="AL443" s="28">
        <v>63.064799999999998</v>
      </c>
      <c r="AM443" s="28" t="s">
        <v>1626</v>
      </c>
      <c r="AN443" s="28">
        <v>1.7347999999999999</v>
      </c>
      <c r="AO443" s="28" t="s">
        <v>1626</v>
      </c>
      <c r="AP443" s="156">
        <f t="shared" si="6"/>
        <v>97.40270000000001</v>
      </c>
    </row>
    <row r="444" spans="1:42" x14ac:dyDescent="0.2">
      <c r="A444" s="9" t="s">
        <v>1291</v>
      </c>
      <c r="B444" s="9" t="s">
        <v>1292</v>
      </c>
      <c r="C444" s="9" t="s">
        <v>127</v>
      </c>
      <c r="D444" s="9" t="s">
        <v>133</v>
      </c>
      <c r="E444" s="154">
        <v>331872.77483691904</v>
      </c>
      <c r="F444" s="154">
        <v>328221.44424602756</v>
      </c>
      <c r="G444" s="154">
        <v>223.41429392776115</v>
      </c>
      <c r="H444" s="154">
        <v>6671.0332355592009</v>
      </c>
      <c r="I444" s="154">
        <v>3.9358879351793608E-2</v>
      </c>
      <c r="J444" s="154">
        <v>6.3422250974971742E-2</v>
      </c>
      <c r="K444" s="154">
        <v>638929</v>
      </c>
      <c r="L444" s="154">
        <v>629840.89725731453</v>
      </c>
      <c r="M444" s="154">
        <v>18.896137649767063</v>
      </c>
      <c r="N444" s="154">
        <v>35.130404017010953</v>
      </c>
      <c r="O444" s="154">
        <v>72.147656842494982</v>
      </c>
      <c r="P444" s="154" t="s">
        <v>421</v>
      </c>
      <c r="Q444" s="154">
        <v>27.721932761747553</v>
      </c>
      <c r="R444" s="154">
        <v>1478.772440294495</v>
      </c>
      <c r="S444" s="154" t="s">
        <v>421</v>
      </c>
      <c r="T444" s="154">
        <v>0.45732544149661625</v>
      </c>
      <c r="U444" s="154">
        <v>0.24631070566641936</v>
      </c>
      <c r="V444" s="154">
        <v>7090.5473388177143</v>
      </c>
      <c r="W444" s="154">
        <v>22.509653867789059</v>
      </c>
      <c r="X444" s="154">
        <v>1031.8375301186088</v>
      </c>
      <c r="Y444" s="154">
        <v>9542.0587069864505</v>
      </c>
      <c r="Z444" s="154" t="s">
        <v>421</v>
      </c>
      <c r="AC444" s="28" t="s">
        <v>421</v>
      </c>
      <c r="AD444" s="28" t="s">
        <v>421</v>
      </c>
      <c r="AE444" s="9" t="s">
        <v>1626</v>
      </c>
      <c r="AF444" s="28" t="s">
        <v>1626</v>
      </c>
      <c r="AG444" s="28">
        <v>0.1313</v>
      </c>
      <c r="AH444" s="28">
        <v>32.626100000000001</v>
      </c>
      <c r="AI444" s="28" t="s">
        <v>1626</v>
      </c>
      <c r="AJ444" s="28" t="s">
        <v>1626</v>
      </c>
      <c r="AK444" s="28" t="s">
        <v>1626</v>
      </c>
      <c r="AL444" s="28">
        <v>63.892899999999997</v>
      </c>
      <c r="AM444" s="28" t="s">
        <v>1626</v>
      </c>
      <c r="AN444" s="28">
        <v>1.0116000000000001</v>
      </c>
      <c r="AO444" s="28" t="s">
        <v>1626</v>
      </c>
      <c r="AP444" s="156">
        <f t="shared" si="6"/>
        <v>97.661900000000003</v>
      </c>
    </row>
    <row r="445" spans="1:42" x14ac:dyDescent="0.2">
      <c r="A445" s="9" t="s">
        <v>1293</v>
      </c>
      <c r="B445" s="9" t="s">
        <v>1294</v>
      </c>
      <c r="C445" s="9" t="s">
        <v>127</v>
      </c>
      <c r="D445" s="9" t="s">
        <v>133</v>
      </c>
      <c r="E445" s="154">
        <v>348438.83657697937</v>
      </c>
      <c r="F445" s="154">
        <v>329072.38226460089</v>
      </c>
      <c r="G445" s="154">
        <v>288.37360891463612</v>
      </c>
      <c r="H445" s="154">
        <v>10805.54808454359</v>
      </c>
      <c r="I445" s="154">
        <v>3.6815143865360563E-2</v>
      </c>
      <c r="J445" s="154">
        <v>6.0882215028862194E-2</v>
      </c>
      <c r="K445" s="154">
        <v>631135</v>
      </c>
      <c r="L445" s="154">
        <v>622289.37301398849</v>
      </c>
      <c r="M445" s="154">
        <v>35.434851875338857</v>
      </c>
      <c r="N445" s="154">
        <v>66.281684406690076</v>
      </c>
      <c r="O445" s="154">
        <v>157.06529144120634</v>
      </c>
      <c r="P445" s="154">
        <v>1.6708835978793841</v>
      </c>
      <c r="Q445" s="154">
        <v>248.89427148534674</v>
      </c>
      <c r="R445" s="154">
        <v>164.80872990962243</v>
      </c>
      <c r="S445" s="154" t="s">
        <v>421</v>
      </c>
      <c r="T445" s="154">
        <v>0.39301313290590695</v>
      </c>
      <c r="U445" s="154" t="s">
        <v>421</v>
      </c>
      <c r="V445" s="154">
        <v>9729.0965438734238</v>
      </c>
      <c r="W445" s="154">
        <v>4.0189434607965042</v>
      </c>
      <c r="X445" s="154">
        <v>1724.2700513382003</v>
      </c>
      <c r="Y445" s="154">
        <v>14838.592713183029</v>
      </c>
      <c r="Z445" s="154" t="s">
        <v>421</v>
      </c>
      <c r="AC445" s="28" t="s">
        <v>421</v>
      </c>
      <c r="AD445" s="28" t="s">
        <v>421</v>
      </c>
      <c r="AE445" s="9" t="s">
        <v>1626</v>
      </c>
      <c r="AF445" s="28" t="s">
        <v>1626</v>
      </c>
      <c r="AG445" s="28">
        <v>3.6999999999999998E-2</v>
      </c>
      <c r="AH445" s="28">
        <v>32.485500000000002</v>
      </c>
      <c r="AI445" s="28" t="s">
        <v>1626</v>
      </c>
      <c r="AJ445" s="28" t="s">
        <v>1626</v>
      </c>
      <c r="AK445" s="28" t="s">
        <v>1626</v>
      </c>
      <c r="AL445" s="28">
        <v>63.113500000000002</v>
      </c>
      <c r="AM445" s="28" t="s">
        <v>1626</v>
      </c>
      <c r="AN445" s="28">
        <v>1.5396000000000001</v>
      </c>
      <c r="AO445" s="28" t="s">
        <v>1626</v>
      </c>
      <c r="AP445" s="156">
        <f t="shared" si="6"/>
        <v>97.175600000000003</v>
      </c>
    </row>
    <row r="446" spans="1:42" x14ac:dyDescent="0.2">
      <c r="A446" s="9" t="s">
        <v>1295</v>
      </c>
      <c r="B446" s="9" t="s">
        <v>1296</v>
      </c>
      <c r="C446" s="9" t="s">
        <v>127</v>
      </c>
      <c r="D446" s="9" t="s">
        <v>133</v>
      </c>
      <c r="E446" s="154">
        <v>326639.19630882906</v>
      </c>
      <c r="F446" s="154">
        <v>326638.42279645742</v>
      </c>
      <c r="G446" s="154">
        <v>239.05386932202049</v>
      </c>
      <c r="H446" s="154">
        <v>7946.1671092323886</v>
      </c>
      <c r="I446" s="154" t="s">
        <v>421</v>
      </c>
      <c r="J446" s="154">
        <v>7.5931700724153187E-2</v>
      </c>
      <c r="K446" s="154">
        <v>629252</v>
      </c>
      <c r="L446" s="154">
        <v>610823.16560514877</v>
      </c>
      <c r="M446" s="154">
        <v>29.668362934877344</v>
      </c>
      <c r="N446" s="154">
        <v>49.605653072329623</v>
      </c>
      <c r="O446" s="154">
        <v>162.93526067011351</v>
      </c>
      <c r="P446" s="154" t="s">
        <v>421</v>
      </c>
      <c r="Q446" s="154">
        <v>403.71789093630099</v>
      </c>
      <c r="R446" s="154">
        <v>2268.8113048382002</v>
      </c>
      <c r="S446" s="154" t="s">
        <v>421</v>
      </c>
      <c r="T446" s="154">
        <v>0.30296219021323562</v>
      </c>
      <c r="U446" s="154">
        <v>0.53477150161366838</v>
      </c>
      <c r="V446" s="154">
        <v>15214.588299082752</v>
      </c>
      <c r="W446" s="154">
        <v>19.691734934135553</v>
      </c>
      <c r="X446" s="154">
        <v>2446.7002922182846</v>
      </c>
      <c r="Y446" s="154">
        <v>20345.311759695294</v>
      </c>
      <c r="Z446" s="154" t="s">
        <v>421</v>
      </c>
      <c r="AC446" s="28" t="s">
        <v>421</v>
      </c>
      <c r="AD446" s="28" t="s">
        <v>421</v>
      </c>
      <c r="AE446" s="9" t="s">
        <v>1626</v>
      </c>
      <c r="AF446" s="28" t="s">
        <v>1626</v>
      </c>
      <c r="AG446" s="28">
        <v>0.20979999999999999</v>
      </c>
      <c r="AH446" s="28">
        <v>32.1633</v>
      </c>
      <c r="AI446" s="28" t="s">
        <v>1626</v>
      </c>
      <c r="AJ446" s="28" t="s">
        <v>1626</v>
      </c>
      <c r="AK446" s="28" t="s">
        <v>1626</v>
      </c>
      <c r="AL446" s="28">
        <v>62.925199999999997</v>
      </c>
      <c r="AM446" s="28" t="s">
        <v>1626</v>
      </c>
      <c r="AN446" s="28">
        <v>1.1209</v>
      </c>
      <c r="AO446" s="28" t="s">
        <v>1626</v>
      </c>
      <c r="AP446" s="156">
        <f t="shared" si="6"/>
        <v>96.419200000000004</v>
      </c>
    </row>
    <row r="447" spans="1:42" x14ac:dyDescent="0.2">
      <c r="A447" s="9" t="s">
        <v>1297</v>
      </c>
      <c r="B447" s="9" t="s">
        <v>1298</v>
      </c>
      <c r="C447" s="9" t="s">
        <v>127</v>
      </c>
      <c r="D447" s="9" t="s">
        <v>133</v>
      </c>
      <c r="E447" s="154">
        <v>323575.61641882121</v>
      </c>
      <c r="F447" s="154">
        <v>316148.12397199008</v>
      </c>
      <c r="G447" s="154">
        <v>228.03848345311857</v>
      </c>
      <c r="H447" s="154">
        <v>7191.4521543903429</v>
      </c>
      <c r="I447" s="154" t="s">
        <v>421</v>
      </c>
      <c r="J447" s="154">
        <v>0.97851317536330107</v>
      </c>
      <c r="K447" s="154">
        <v>625639</v>
      </c>
      <c r="L447" s="154">
        <v>614595.48423312965</v>
      </c>
      <c r="M447" s="154">
        <v>25.008382082354419</v>
      </c>
      <c r="N447" s="154">
        <v>44.709356195247864</v>
      </c>
      <c r="O447" s="154">
        <v>134.41844801476066</v>
      </c>
      <c r="P447" s="154" t="s">
        <v>421</v>
      </c>
      <c r="Q447" s="154">
        <v>329.69907884009996</v>
      </c>
      <c r="R447" s="154">
        <v>3278.077858073048</v>
      </c>
      <c r="S447" s="154">
        <v>0.46758786433997018</v>
      </c>
      <c r="T447" s="154">
        <v>0.83473453747922632</v>
      </c>
      <c r="U447" s="154">
        <v>0.82708080964089614</v>
      </c>
      <c r="V447" s="154">
        <v>13337.469972199344</v>
      </c>
      <c r="W447" s="154">
        <v>52.363898765181347</v>
      </c>
      <c r="X447" s="154">
        <v>2016.5337406186395</v>
      </c>
      <c r="Y447" s="154">
        <v>18901.731060145688</v>
      </c>
      <c r="Z447" s="154">
        <v>0.46474976691254083</v>
      </c>
      <c r="AC447" s="28" t="s">
        <v>421</v>
      </c>
      <c r="AD447" s="28" t="s">
        <v>421</v>
      </c>
      <c r="AE447" s="9" t="s">
        <v>1626</v>
      </c>
      <c r="AF447" s="28" t="s">
        <v>1626</v>
      </c>
      <c r="AG447" s="28">
        <v>0.36649999999999999</v>
      </c>
      <c r="AH447" s="28">
        <v>32.379399999999997</v>
      </c>
      <c r="AI447" s="28" t="s">
        <v>1626</v>
      </c>
      <c r="AJ447" s="28" t="s">
        <v>1626</v>
      </c>
      <c r="AK447" s="28" t="s">
        <v>1626</v>
      </c>
      <c r="AL447" s="28">
        <v>62.563899999999997</v>
      </c>
      <c r="AM447" s="28" t="s">
        <v>1626</v>
      </c>
      <c r="AN447" s="28">
        <v>1.0650999999999999</v>
      </c>
      <c r="AO447" s="28" t="s">
        <v>1626</v>
      </c>
      <c r="AP447" s="156">
        <f t="shared" si="6"/>
        <v>96.374899999999997</v>
      </c>
    </row>
    <row r="448" spans="1:42" x14ac:dyDescent="0.2">
      <c r="A448" s="9" t="s">
        <v>1299</v>
      </c>
      <c r="B448" s="9" t="s">
        <v>1300</v>
      </c>
      <c r="C448" s="9" t="s">
        <v>127</v>
      </c>
      <c r="D448" s="9" t="s">
        <v>134</v>
      </c>
      <c r="E448" s="154">
        <v>341661.40714748751</v>
      </c>
      <c r="F448" s="154">
        <v>332595.22325861891</v>
      </c>
      <c r="G448" s="154">
        <v>112.49456769464554</v>
      </c>
      <c r="H448" s="154">
        <v>4066.0225906979731</v>
      </c>
      <c r="I448" s="154">
        <v>0.40996551350649546</v>
      </c>
      <c r="J448" s="154">
        <v>53.805821419247721</v>
      </c>
      <c r="K448" s="154">
        <v>649871</v>
      </c>
      <c r="L448" s="154">
        <v>643353.14527169825</v>
      </c>
      <c r="M448" s="154">
        <v>29.266363361382602</v>
      </c>
      <c r="N448" s="154">
        <v>3.0083228669870037</v>
      </c>
      <c r="O448" s="154">
        <v>2.8939153627352328</v>
      </c>
      <c r="P448" s="154" t="s">
        <v>421</v>
      </c>
      <c r="Q448" s="154">
        <v>595.22121703051698</v>
      </c>
      <c r="R448" s="154">
        <v>2369.6137003953222</v>
      </c>
      <c r="S448" s="154" t="s">
        <v>421</v>
      </c>
      <c r="T448" s="154">
        <v>0.22989212713248167</v>
      </c>
      <c r="U448" s="154">
        <v>0.24233458194242494</v>
      </c>
      <c r="V448" s="154">
        <v>193.24244339929169</v>
      </c>
      <c r="W448" s="154">
        <v>33.098972149398605</v>
      </c>
      <c r="X448" s="154">
        <v>37.251129781585419</v>
      </c>
      <c r="Y448" s="154">
        <v>560.01769748508423</v>
      </c>
      <c r="Z448" s="154" t="s">
        <v>421</v>
      </c>
      <c r="AC448" s="28" t="s">
        <v>421</v>
      </c>
      <c r="AD448" s="28" t="s">
        <v>421</v>
      </c>
      <c r="AE448" s="9" t="s">
        <v>1626</v>
      </c>
      <c r="AF448" s="28" t="s">
        <v>1626</v>
      </c>
      <c r="AG448" s="28">
        <v>0.40670000000000001</v>
      </c>
      <c r="AH448" s="28">
        <v>32.759799999999998</v>
      </c>
      <c r="AI448" s="28" t="s">
        <v>1626</v>
      </c>
      <c r="AJ448" s="28" t="s">
        <v>1626</v>
      </c>
      <c r="AK448" s="28" t="s">
        <v>1626</v>
      </c>
      <c r="AL448" s="28">
        <v>64.987099999999998</v>
      </c>
      <c r="AM448" s="28" t="s">
        <v>1626</v>
      </c>
      <c r="AN448" s="28">
        <v>0.87009999999999998</v>
      </c>
      <c r="AO448" s="28" t="s">
        <v>1626</v>
      </c>
      <c r="AP448" s="156">
        <f t="shared" si="6"/>
        <v>99.023699999999991</v>
      </c>
    </row>
    <row r="449" spans="1:42" x14ac:dyDescent="0.2">
      <c r="A449" s="9" t="s">
        <v>1301</v>
      </c>
      <c r="B449" s="9" t="s">
        <v>1302</v>
      </c>
      <c r="C449" s="9" t="s">
        <v>127</v>
      </c>
      <c r="D449" s="9" t="s">
        <v>134</v>
      </c>
      <c r="E449" s="154">
        <v>344606.93493256625</v>
      </c>
      <c r="F449" s="154">
        <v>332171.2899523119</v>
      </c>
      <c r="G449" s="154">
        <v>151.76281615287934</v>
      </c>
      <c r="H449" s="154">
        <v>4357.9188256332245</v>
      </c>
      <c r="I449" s="154">
        <v>0.38874316165754425</v>
      </c>
      <c r="J449" s="154">
        <v>2.6641340650551308</v>
      </c>
      <c r="K449" s="154">
        <v>656097</v>
      </c>
      <c r="L449" s="154">
        <v>635035.04557812493</v>
      </c>
      <c r="M449" s="154">
        <v>29.763228567535162</v>
      </c>
      <c r="N449" s="154">
        <v>11.016579397397313</v>
      </c>
      <c r="O449" s="154">
        <v>9.4284984564646095</v>
      </c>
      <c r="P449" s="154" t="s">
        <v>421</v>
      </c>
      <c r="Q449" s="154">
        <v>5.0421638351293652</v>
      </c>
      <c r="R449" s="154">
        <v>1099.9087650895615</v>
      </c>
      <c r="S449" s="154" t="s">
        <v>421</v>
      </c>
      <c r="T449" s="154">
        <v>0.28215242598921986</v>
      </c>
      <c r="U449" s="154">
        <v>0.24262814522012996</v>
      </c>
      <c r="V449" s="154">
        <v>417.51658435216564</v>
      </c>
      <c r="W449" s="154">
        <v>13.143997103261281</v>
      </c>
      <c r="X449" s="154">
        <v>68.134646527572883</v>
      </c>
      <c r="Y449" s="154">
        <v>777.89145931658197</v>
      </c>
      <c r="Z449" s="154" t="s">
        <v>421</v>
      </c>
      <c r="AC449" s="28" t="s">
        <v>421</v>
      </c>
      <c r="AD449" s="28" t="s">
        <v>421</v>
      </c>
      <c r="AE449" s="9" t="s">
        <v>1626</v>
      </c>
      <c r="AF449" s="28" t="s">
        <v>1626</v>
      </c>
      <c r="AG449" s="28">
        <v>0.1014</v>
      </c>
      <c r="AH449" s="28">
        <v>32.4041</v>
      </c>
      <c r="AI449" s="28" t="s">
        <v>1626</v>
      </c>
      <c r="AJ449" s="28" t="s">
        <v>1626</v>
      </c>
      <c r="AK449" s="28" t="s">
        <v>1626</v>
      </c>
      <c r="AL449" s="28">
        <v>65.609700000000004</v>
      </c>
      <c r="AM449" s="28" t="s">
        <v>1626</v>
      </c>
      <c r="AN449" s="28">
        <v>0.56030000000000002</v>
      </c>
      <c r="AO449" s="28" t="s">
        <v>1626</v>
      </c>
      <c r="AP449" s="156">
        <f t="shared" si="6"/>
        <v>98.6755</v>
      </c>
    </row>
    <row r="450" spans="1:42" x14ac:dyDescent="0.2">
      <c r="A450" s="9" t="s">
        <v>1303</v>
      </c>
      <c r="B450" s="9" t="s">
        <v>1304</v>
      </c>
      <c r="C450" s="9" t="s">
        <v>127</v>
      </c>
      <c r="D450" s="9" t="s">
        <v>134</v>
      </c>
      <c r="E450" s="154">
        <v>347819.60648829013</v>
      </c>
      <c r="F450" s="154">
        <v>343886.57243009511</v>
      </c>
      <c r="G450" s="154">
        <v>282.23503996149066</v>
      </c>
      <c r="H450" s="154">
        <v>6605.8185428138349</v>
      </c>
      <c r="I450" s="154">
        <v>0.37992489026974452</v>
      </c>
      <c r="J450" s="154">
        <v>5.5003020913364242</v>
      </c>
      <c r="K450" s="154">
        <v>648870</v>
      </c>
      <c r="L450" s="154">
        <v>661137.8976495004</v>
      </c>
      <c r="M450" s="154">
        <v>36.888052056503426</v>
      </c>
      <c r="N450" s="154">
        <v>24.886639280760068</v>
      </c>
      <c r="O450" s="154">
        <v>19.182836779277206</v>
      </c>
      <c r="P450" s="154" t="s">
        <v>421</v>
      </c>
      <c r="Q450" s="154">
        <v>21.919563015221016</v>
      </c>
      <c r="R450" s="154">
        <v>906.34239059487584</v>
      </c>
      <c r="S450" s="154" t="s">
        <v>421</v>
      </c>
      <c r="T450" s="154" t="s">
        <v>421</v>
      </c>
      <c r="U450" s="154">
        <v>0.16502796113350954</v>
      </c>
      <c r="V450" s="154">
        <v>658.74110795145873</v>
      </c>
      <c r="W450" s="154">
        <v>12.409342890622355</v>
      </c>
      <c r="X450" s="154">
        <v>94.082865941604041</v>
      </c>
      <c r="Y450" s="154">
        <v>1040.777194933079</v>
      </c>
      <c r="Z450" s="154" t="s">
        <v>421</v>
      </c>
      <c r="AC450" s="28" t="s">
        <v>421</v>
      </c>
      <c r="AD450" s="28" t="s">
        <v>421</v>
      </c>
      <c r="AE450" s="9" t="s">
        <v>1626</v>
      </c>
      <c r="AF450" s="28" t="s">
        <v>1626</v>
      </c>
      <c r="AG450" s="28">
        <v>0.1052</v>
      </c>
      <c r="AH450" s="28">
        <v>32.603400000000001</v>
      </c>
      <c r="AI450" s="28" t="s">
        <v>1626</v>
      </c>
      <c r="AJ450" s="28" t="s">
        <v>1626</v>
      </c>
      <c r="AK450" s="28" t="s">
        <v>1626</v>
      </c>
      <c r="AL450" s="28">
        <v>64.887</v>
      </c>
      <c r="AM450" s="28" t="s">
        <v>1626</v>
      </c>
      <c r="AN450" s="28">
        <v>0.81859999999999999</v>
      </c>
      <c r="AO450" s="28" t="s">
        <v>1626</v>
      </c>
      <c r="AP450" s="156">
        <f t="shared" si="6"/>
        <v>98.414200000000008</v>
      </c>
    </row>
    <row r="451" spans="1:42" x14ac:dyDescent="0.2">
      <c r="A451" s="9" t="s">
        <v>1305</v>
      </c>
      <c r="B451" s="9" t="s">
        <v>1306</v>
      </c>
      <c r="C451" s="9" t="s">
        <v>127</v>
      </c>
      <c r="D451" s="9" t="s">
        <v>134</v>
      </c>
      <c r="E451" s="154">
        <v>357746.40843118448</v>
      </c>
      <c r="F451" s="154">
        <v>338400.612629715</v>
      </c>
      <c r="G451" s="154">
        <v>248.21009655576563</v>
      </c>
      <c r="H451" s="154">
        <v>3805.1764983670828</v>
      </c>
      <c r="I451" s="154">
        <v>0.41742835718063398</v>
      </c>
      <c r="J451" s="154">
        <v>6.3391934625582627</v>
      </c>
      <c r="K451" s="154">
        <v>653903</v>
      </c>
      <c r="L451" s="154">
        <v>659022.86518414982</v>
      </c>
      <c r="M451" s="154">
        <v>23.813895825803318</v>
      </c>
      <c r="N451" s="154">
        <v>9.0361574210116693</v>
      </c>
      <c r="O451" s="154">
        <v>8.6501688543382755</v>
      </c>
      <c r="P451" s="154" t="s">
        <v>421</v>
      </c>
      <c r="Q451" s="154">
        <v>83.033068305787722</v>
      </c>
      <c r="R451" s="154">
        <v>1128.9620523674807</v>
      </c>
      <c r="S451" s="154" t="s">
        <v>421</v>
      </c>
      <c r="T451" s="154" t="s">
        <v>421</v>
      </c>
      <c r="U451" s="154" t="s">
        <v>421</v>
      </c>
      <c r="V451" s="154">
        <v>340.20419106781526</v>
      </c>
      <c r="W451" s="154">
        <v>15.162005356996964</v>
      </c>
      <c r="X451" s="154">
        <v>45.934874314743489</v>
      </c>
      <c r="Y451" s="154">
        <v>1836.6822395548004</v>
      </c>
      <c r="Z451" s="154" t="s">
        <v>421</v>
      </c>
      <c r="AC451" s="28" t="s">
        <v>421</v>
      </c>
      <c r="AD451" s="28" t="s">
        <v>421</v>
      </c>
      <c r="AE451" s="9" t="s">
        <v>1626</v>
      </c>
      <c r="AF451" s="28" t="s">
        <v>1626</v>
      </c>
      <c r="AG451" s="28">
        <v>0.21709999999999999</v>
      </c>
      <c r="AH451" s="28">
        <v>32.683399999999999</v>
      </c>
      <c r="AI451" s="28" t="s">
        <v>1626</v>
      </c>
      <c r="AJ451" s="28" t="s">
        <v>1626</v>
      </c>
      <c r="AK451" s="28" t="s">
        <v>1626</v>
      </c>
      <c r="AL451" s="28">
        <v>65.390299999999996</v>
      </c>
      <c r="AM451" s="28" t="s">
        <v>1626</v>
      </c>
      <c r="AN451" s="28">
        <v>0.59030000000000005</v>
      </c>
      <c r="AO451" s="28" t="s">
        <v>1626</v>
      </c>
      <c r="AP451" s="156">
        <f t="shared" si="6"/>
        <v>98.881099999999989</v>
      </c>
    </row>
    <row r="452" spans="1:42" x14ac:dyDescent="0.2">
      <c r="A452" s="9" t="s">
        <v>1307</v>
      </c>
      <c r="B452" s="9" t="s">
        <v>1308</v>
      </c>
      <c r="C452" s="9" t="s">
        <v>127</v>
      </c>
      <c r="D452" s="9" t="s">
        <v>134</v>
      </c>
      <c r="E452" s="154">
        <v>355790.85308751365</v>
      </c>
      <c r="F452" s="154">
        <v>341143.83205832791</v>
      </c>
      <c r="G452" s="154">
        <v>212.86832595132759</v>
      </c>
      <c r="H452" s="154">
        <v>6616.1609636371231</v>
      </c>
      <c r="I452" s="154">
        <v>0.46791078954833337</v>
      </c>
      <c r="J452" s="154">
        <v>0.21972621478941609</v>
      </c>
      <c r="K452" s="154">
        <v>651864.00000000012</v>
      </c>
      <c r="L452" s="154">
        <v>650337.43140141957</v>
      </c>
      <c r="M452" s="154">
        <v>34.875165083243495</v>
      </c>
      <c r="N452" s="154">
        <v>20.140572593480492</v>
      </c>
      <c r="O452" s="154">
        <v>14.970915664764426</v>
      </c>
      <c r="P452" s="154" t="s">
        <v>421</v>
      </c>
      <c r="Q452" s="154">
        <v>0.56227049103834237</v>
      </c>
      <c r="R452" s="154">
        <v>790.38508753121448</v>
      </c>
      <c r="S452" s="154" t="s">
        <v>421</v>
      </c>
      <c r="T452" s="154">
        <v>0.23319948446784153</v>
      </c>
      <c r="U452" s="154">
        <v>0.17986011285987172</v>
      </c>
      <c r="V452" s="154">
        <v>579.61944493938677</v>
      </c>
      <c r="W452" s="154">
        <v>20.555891304885353</v>
      </c>
      <c r="X452" s="154">
        <v>88.69829217121007</v>
      </c>
      <c r="Y452" s="154">
        <v>912.05326493431141</v>
      </c>
      <c r="Z452" s="154" t="s">
        <v>421</v>
      </c>
      <c r="AC452" s="28" t="s">
        <v>421</v>
      </c>
      <c r="AD452" s="28" t="s">
        <v>421</v>
      </c>
      <c r="AE452" s="9" t="s">
        <v>1626</v>
      </c>
      <c r="AF452" s="28" t="s">
        <v>1626</v>
      </c>
      <c r="AG452" s="28">
        <v>0.1135</v>
      </c>
      <c r="AH452" s="28">
        <v>32.658799999999999</v>
      </c>
      <c r="AI452" s="28" t="s">
        <v>1626</v>
      </c>
      <c r="AJ452" s="28" t="s">
        <v>1626</v>
      </c>
      <c r="AK452" s="28" t="s">
        <v>1626</v>
      </c>
      <c r="AL452" s="28">
        <v>65.186400000000006</v>
      </c>
      <c r="AM452" s="28" t="s">
        <v>1626</v>
      </c>
      <c r="AN452" s="28">
        <v>0.88070000000000004</v>
      </c>
      <c r="AO452" s="28" t="s">
        <v>1626</v>
      </c>
      <c r="AP452" s="156">
        <f t="shared" si="6"/>
        <v>98.839400000000012</v>
      </c>
    </row>
    <row r="453" spans="1:42" x14ac:dyDescent="0.2">
      <c r="A453" s="9" t="s">
        <v>1309</v>
      </c>
      <c r="B453" s="9" t="s">
        <v>1310</v>
      </c>
      <c r="C453" s="9" t="s">
        <v>127</v>
      </c>
      <c r="D453" s="9" t="s">
        <v>134</v>
      </c>
      <c r="E453" s="154">
        <v>341469.08018396137</v>
      </c>
      <c r="F453" s="154">
        <v>342602.82226417447</v>
      </c>
      <c r="G453" s="154">
        <v>207.40400344844304</v>
      </c>
      <c r="H453" s="154">
        <v>3333.5218742847374</v>
      </c>
      <c r="I453" s="154">
        <v>0.29092044583116805</v>
      </c>
      <c r="J453" s="154">
        <v>5.7051818358003468</v>
      </c>
      <c r="K453" s="154">
        <v>653069</v>
      </c>
      <c r="L453" s="154">
        <v>659342.58387533447</v>
      </c>
      <c r="M453" s="154">
        <v>22.730032916819269</v>
      </c>
      <c r="N453" s="154">
        <v>9.7619946008241243</v>
      </c>
      <c r="O453" s="154">
        <v>7.8902815994391666</v>
      </c>
      <c r="P453" s="154" t="s">
        <v>421</v>
      </c>
      <c r="Q453" s="154">
        <v>607.58259527607333</v>
      </c>
      <c r="R453" s="154">
        <v>2841.8765693770729</v>
      </c>
      <c r="S453" s="154" t="s">
        <v>421</v>
      </c>
      <c r="T453" s="154">
        <v>0.30590641273323754</v>
      </c>
      <c r="U453" s="154" t="s">
        <v>421</v>
      </c>
      <c r="V453" s="154">
        <v>476.28988246034083</v>
      </c>
      <c r="W453" s="154">
        <v>18.456864637374117</v>
      </c>
      <c r="X453" s="154">
        <v>87.148375477148406</v>
      </c>
      <c r="Y453" s="154">
        <v>2080.5215490457358</v>
      </c>
      <c r="Z453" s="154" t="s">
        <v>421</v>
      </c>
      <c r="AC453" s="28" t="s">
        <v>421</v>
      </c>
      <c r="AD453" s="28" t="s">
        <v>421</v>
      </c>
      <c r="AE453" s="9" t="s">
        <v>1626</v>
      </c>
      <c r="AF453" s="28" t="s">
        <v>1626</v>
      </c>
      <c r="AG453" s="28">
        <v>0.39069999999999999</v>
      </c>
      <c r="AH453" s="28">
        <v>32.601999999999997</v>
      </c>
      <c r="AI453" s="28" t="s">
        <v>1626</v>
      </c>
      <c r="AJ453" s="28" t="s">
        <v>1626</v>
      </c>
      <c r="AK453" s="28" t="s">
        <v>1626</v>
      </c>
      <c r="AL453" s="28">
        <v>65.306899999999999</v>
      </c>
      <c r="AM453" s="28" t="s">
        <v>1626</v>
      </c>
      <c r="AN453" s="28">
        <v>0.44779999999999998</v>
      </c>
      <c r="AO453" s="28" t="s">
        <v>1626</v>
      </c>
      <c r="AP453" s="156">
        <f t="shared" si="6"/>
        <v>98.747399999999999</v>
      </c>
    </row>
    <row r="454" spans="1:42" x14ac:dyDescent="0.2">
      <c r="A454" s="9" t="s">
        <v>1311</v>
      </c>
      <c r="B454" s="9" t="s">
        <v>1312</v>
      </c>
      <c r="C454" s="9" t="s">
        <v>127</v>
      </c>
      <c r="D454" s="9" t="s">
        <v>134</v>
      </c>
      <c r="E454" s="154">
        <v>339269.23291912145</v>
      </c>
      <c r="F454" s="154">
        <v>337545.17969909159</v>
      </c>
      <c r="G454" s="154">
        <v>138.29179760461494</v>
      </c>
      <c r="H454" s="154">
        <v>4866.9788540022237</v>
      </c>
      <c r="I454" s="154">
        <v>0.35340012221835487</v>
      </c>
      <c r="J454" s="154">
        <v>28.50387319972987</v>
      </c>
      <c r="K454" s="154">
        <v>655055</v>
      </c>
      <c r="L454" s="154">
        <v>640916.28219567146</v>
      </c>
      <c r="M454" s="154">
        <v>27.11816665700135</v>
      </c>
      <c r="N454" s="154">
        <v>13.905824861983067</v>
      </c>
      <c r="O454" s="154">
        <v>16.038400842164314</v>
      </c>
      <c r="P454" s="154" t="s">
        <v>421</v>
      </c>
      <c r="Q454" s="154">
        <v>672.18222389936739</v>
      </c>
      <c r="R454" s="154">
        <v>2315.4382792808556</v>
      </c>
      <c r="S454" s="154" t="s">
        <v>421</v>
      </c>
      <c r="T454" s="154" t="s">
        <v>421</v>
      </c>
      <c r="U454" s="154">
        <v>0.22229736422398494</v>
      </c>
      <c r="V454" s="154">
        <v>512.34290563554293</v>
      </c>
      <c r="W454" s="154">
        <v>37.031435937298937</v>
      </c>
      <c r="X454" s="154">
        <v>84.060784281338158</v>
      </c>
      <c r="Y454" s="154">
        <v>1756.976902143816</v>
      </c>
      <c r="Z454" s="154" t="s">
        <v>421</v>
      </c>
      <c r="AC454" s="28" t="s">
        <v>421</v>
      </c>
      <c r="AD454" s="28" t="s">
        <v>421</v>
      </c>
      <c r="AE454" s="9" t="s">
        <v>1626</v>
      </c>
      <c r="AF454" s="28" t="s">
        <v>1626</v>
      </c>
      <c r="AG454" s="28">
        <v>0.2215</v>
      </c>
      <c r="AH454" s="28">
        <v>32.837600000000002</v>
      </c>
      <c r="AI454" s="28" t="s">
        <v>1626</v>
      </c>
      <c r="AJ454" s="28" t="s">
        <v>1626</v>
      </c>
      <c r="AK454" s="28" t="s">
        <v>1626</v>
      </c>
      <c r="AL454" s="28">
        <v>65.505499999999998</v>
      </c>
      <c r="AM454" s="28" t="s">
        <v>1626</v>
      </c>
      <c r="AN454" s="28">
        <v>0.58520000000000005</v>
      </c>
      <c r="AO454" s="28" t="s">
        <v>1626</v>
      </c>
      <c r="AP454" s="156">
        <f t="shared" si="6"/>
        <v>99.149799999999999</v>
      </c>
    </row>
    <row r="455" spans="1:42" x14ac:dyDescent="0.2">
      <c r="A455" s="9" t="s">
        <v>1313</v>
      </c>
      <c r="B455" s="9" t="s">
        <v>1314</v>
      </c>
      <c r="C455" s="9" t="s">
        <v>127</v>
      </c>
      <c r="D455" s="9" t="s">
        <v>134</v>
      </c>
      <c r="E455" s="154">
        <v>332479.4808604155</v>
      </c>
      <c r="F455" s="154">
        <v>298558.58204618673</v>
      </c>
      <c r="G455" s="154">
        <v>151.03883346194087</v>
      </c>
      <c r="H455" s="154">
        <v>3962.5113815057794</v>
      </c>
      <c r="I455" s="154">
        <v>0.28111751865509926</v>
      </c>
      <c r="J455" s="154">
        <v>297.28360085852762</v>
      </c>
      <c r="K455" s="154">
        <v>637556</v>
      </c>
      <c r="L455" s="154">
        <v>634447.72242217313</v>
      </c>
      <c r="M455" s="154">
        <v>14.373639937973303</v>
      </c>
      <c r="N455" s="154">
        <v>14.562968855114116</v>
      </c>
      <c r="O455" s="154">
        <v>15.535906199918326</v>
      </c>
      <c r="P455" s="154" t="s">
        <v>421</v>
      </c>
      <c r="Q455" s="154">
        <v>3182.6680646503737</v>
      </c>
      <c r="R455" s="154">
        <v>3033.9983711378322</v>
      </c>
      <c r="S455" s="154" t="s">
        <v>421</v>
      </c>
      <c r="T455" s="154">
        <v>0.31865407043389476</v>
      </c>
      <c r="U455" s="154">
        <v>0.46230627759583337</v>
      </c>
      <c r="V455" s="154">
        <v>884.9917863375656</v>
      </c>
      <c r="W455" s="154">
        <v>15.758813540600771</v>
      </c>
      <c r="X455" s="154">
        <v>105.76187662382921</v>
      </c>
      <c r="Y455" s="154">
        <v>8846.0738656010835</v>
      </c>
      <c r="Z455" s="154" t="s">
        <v>421</v>
      </c>
      <c r="AC455" s="28" t="s">
        <v>421</v>
      </c>
      <c r="AD455" s="28" t="s">
        <v>421</v>
      </c>
      <c r="AE455" s="9" t="s">
        <v>1626</v>
      </c>
      <c r="AF455" s="28" t="s">
        <v>1626</v>
      </c>
      <c r="AG455" s="28">
        <v>0.60360000000000003</v>
      </c>
      <c r="AH455" s="28">
        <v>32.119</v>
      </c>
      <c r="AI455" s="28" t="s">
        <v>1626</v>
      </c>
      <c r="AJ455" s="28" t="s">
        <v>1626</v>
      </c>
      <c r="AK455" s="28" t="s">
        <v>1626</v>
      </c>
      <c r="AL455" s="28">
        <v>63.755600000000001</v>
      </c>
      <c r="AM455" s="28" t="s">
        <v>1626</v>
      </c>
      <c r="AN455" s="28">
        <v>0.77849999999999997</v>
      </c>
      <c r="AO455" s="28" t="s">
        <v>1626</v>
      </c>
      <c r="AP455" s="156">
        <f t="shared" si="6"/>
        <v>97.256699999999995</v>
      </c>
    </row>
    <row r="456" spans="1:42" x14ac:dyDescent="0.2">
      <c r="A456" s="9" t="s">
        <v>1315</v>
      </c>
      <c r="B456" s="9" t="s">
        <v>1316</v>
      </c>
      <c r="C456" s="9" t="s">
        <v>127</v>
      </c>
      <c r="D456" s="9" t="s">
        <v>134</v>
      </c>
      <c r="E456" s="154">
        <v>340148.74322861817</v>
      </c>
      <c r="F456" s="154">
        <v>325731.12078131799</v>
      </c>
      <c r="G456" s="154">
        <v>264.73264291278281</v>
      </c>
      <c r="H456" s="154">
        <v>6178.0572216916635</v>
      </c>
      <c r="I456" s="154">
        <v>0.41760072776035068</v>
      </c>
      <c r="J456" s="154">
        <v>91.984460642742164</v>
      </c>
      <c r="K456" s="154">
        <v>643077</v>
      </c>
      <c r="L456" s="154">
        <v>656131.07897634304</v>
      </c>
      <c r="M456" s="154">
        <v>28.398270159635636</v>
      </c>
      <c r="N456" s="154">
        <v>61.520846257694643</v>
      </c>
      <c r="O456" s="154">
        <v>58.133752408054832</v>
      </c>
      <c r="P456" s="154">
        <v>1.6714588439039746</v>
      </c>
      <c r="Q456" s="154">
        <v>315.52671166828173</v>
      </c>
      <c r="R456" s="154">
        <v>1419.8334225158806</v>
      </c>
      <c r="S456" s="154" t="s">
        <v>421</v>
      </c>
      <c r="T456" s="154">
        <v>0.38602596266082351</v>
      </c>
      <c r="U456" s="154">
        <v>0.26091983533160562</v>
      </c>
      <c r="V456" s="154">
        <v>2842.6477611973187</v>
      </c>
      <c r="W456" s="154">
        <v>21.204786446052417</v>
      </c>
      <c r="X456" s="154">
        <v>268.52255877026909</v>
      </c>
      <c r="Y456" s="154">
        <v>6219.7078486652117</v>
      </c>
      <c r="Z456" s="154" t="s">
        <v>421</v>
      </c>
      <c r="AC456" s="28" t="s">
        <v>421</v>
      </c>
      <c r="AD456" s="28" t="s">
        <v>421</v>
      </c>
      <c r="AE456" s="9" t="s">
        <v>1626</v>
      </c>
      <c r="AF456" s="28" t="s">
        <v>1626</v>
      </c>
      <c r="AG456" s="28">
        <v>0.1225</v>
      </c>
      <c r="AH456" s="28">
        <v>32.235799999999998</v>
      </c>
      <c r="AI456" s="28" t="s">
        <v>1626</v>
      </c>
      <c r="AJ456" s="28" t="s">
        <v>1626</v>
      </c>
      <c r="AK456" s="28" t="s">
        <v>1626</v>
      </c>
      <c r="AL456" s="28">
        <v>64.307699999999997</v>
      </c>
      <c r="AM456" s="28" t="s">
        <v>1626</v>
      </c>
      <c r="AN456" s="28">
        <v>0.89680000000000004</v>
      </c>
      <c r="AO456" s="28" t="s">
        <v>1626</v>
      </c>
      <c r="AP456" s="156">
        <f t="shared" ref="AP456:AP519" si="7">SUM(AC456:AO456)</f>
        <v>97.562799999999996</v>
      </c>
    </row>
    <row r="457" spans="1:42" x14ac:dyDescent="0.2">
      <c r="A457" s="9" t="s">
        <v>1317</v>
      </c>
      <c r="B457" s="9" t="s">
        <v>1318</v>
      </c>
      <c r="C457" s="9" t="s">
        <v>127</v>
      </c>
      <c r="D457" s="9" t="s">
        <v>134</v>
      </c>
      <c r="E457" s="154">
        <v>338497.98152304173</v>
      </c>
      <c r="F457" s="154">
        <v>327489.54238347686</v>
      </c>
      <c r="G457" s="154">
        <v>261.38429121246378</v>
      </c>
      <c r="H457" s="154">
        <v>8428.4843516537148</v>
      </c>
      <c r="I457" s="154">
        <v>0.43161474744581907</v>
      </c>
      <c r="J457" s="154">
        <v>13.01798561776674</v>
      </c>
      <c r="K457" s="154">
        <v>646421</v>
      </c>
      <c r="L457" s="154">
        <v>634521.66817836754</v>
      </c>
      <c r="M457" s="154">
        <v>31.506314714356357</v>
      </c>
      <c r="N457" s="154">
        <v>51.004557455516036</v>
      </c>
      <c r="O457" s="154">
        <v>53.308405995548384</v>
      </c>
      <c r="P457" s="154" t="s">
        <v>421</v>
      </c>
      <c r="Q457" s="154">
        <v>436.8124530288548</v>
      </c>
      <c r="R457" s="154">
        <v>1800.7244401681062</v>
      </c>
      <c r="S457" s="154" t="s">
        <v>421</v>
      </c>
      <c r="T457" s="154">
        <v>0.45648143866389729</v>
      </c>
      <c r="U457" s="154">
        <v>0.49155111866072165</v>
      </c>
      <c r="V457" s="154">
        <v>2790.1327260618464</v>
      </c>
      <c r="W457" s="154">
        <v>20.883069214164205</v>
      </c>
      <c r="X457" s="154">
        <v>242.16987290287639</v>
      </c>
      <c r="Y457" s="154">
        <v>4864.8354017379716</v>
      </c>
      <c r="Z457" s="154" t="s">
        <v>421</v>
      </c>
      <c r="AC457" s="28" t="s">
        <v>421</v>
      </c>
      <c r="AD457" s="28" t="s">
        <v>421</v>
      </c>
      <c r="AE457" s="9" t="s">
        <v>1626</v>
      </c>
      <c r="AF457" s="28" t="s">
        <v>1626</v>
      </c>
      <c r="AG457" s="28">
        <v>0.20469999999999999</v>
      </c>
      <c r="AH457" s="28">
        <v>32.587499999999999</v>
      </c>
      <c r="AI457" s="28" t="s">
        <v>1626</v>
      </c>
      <c r="AJ457" s="28" t="s">
        <v>1626</v>
      </c>
      <c r="AK457" s="28" t="s">
        <v>1626</v>
      </c>
      <c r="AL457" s="28">
        <v>64.642099999999999</v>
      </c>
      <c r="AM457" s="28" t="s">
        <v>1626</v>
      </c>
      <c r="AN457" s="28">
        <v>1.0617000000000001</v>
      </c>
      <c r="AO457" s="28" t="s">
        <v>1626</v>
      </c>
      <c r="AP457" s="156">
        <f t="shared" si="7"/>
        <v>98.496000000000009</v>
      </c>
    </row>
    <row r="458" spans="1:42" x14ac:dyDescent="0.2">
      <c r="A458" s="9" t="s">
        <v>1319</v>
      </c>
      <c r="B458" s="9" t="s">
        <v>1320</v>
      </c>
      <c r="C458" s="9" t="s">
        <v>127</v>
      </c>
      <c r="D458" s="9" t="s">
        <v>134</v>
      </c>
      <c r="E458" s="154">
        <v>338033.44929021469</v>
      </c>
      <c r="F458" s="154">
        <v>330804.37575380481</v>
      </c>
      <c r="G458" s="154">
        <v>147.60040512048849</v>
      </c>
      <c r="H458" s="154">
        <v>3131.361639441187</v>
      </c>
      <c r="I458" s="154">
        <v>0.36354298838765586</v>
      </c>
      <c r="J458" s="154">
        <v>287.91133011694075</v>
      </c>
      <c r="K458" s="154">
        <v>646999</v>
      </c>
      <c r="L458" s="154">
        <v>642797.17977409018</v>
      </c>
      <c r="M458" s="154">
        <v>7.6583362949760545</v>
      </c>
      <c r="N458" s="154">
        <v>15.236992188012769</v>
      </c>
      <c r="O458" s="154">
        <v>12.258891440362129</v>
      </c>
      <c r="P458" s="154" t="s">
        <v>421</v>
      </c>
      <c r="Q458" s="154">
        <v>4653.0017533643659</v>
      </c>
      <c r="R458" s="154">
        <v>2468.3031892511176</v>
      </c>
      <c r="S458" s="154" t="s">
        <v>421</v>
      </c>
      <c r="T458" s="154">
        <v>0.29383814920532053</v>
      </c>
      <c r="U458" s="154">
        <v>0.26296931743215041</v>
      </c>
      <c r="V458" s="154">
        <v>751.12706080919077</v>
      </c>
      <c r="W458" s="154">
        <v>9.2118683406243154</v>
      </c>
      <c r="X458" s="154">
        <v>61.229612406795965</v>
      </c>
      <c r="Y458" s="154">
        <v>12134.387046866746</v>
      </c>
      <c r="Z458" s="154" t="s">
        <v>421</v>
      </c>
      <c r="AC458" s="28" t="s">
        <v>421</v>
      </c>
      <c r="AD458" s="28" t="s">
        <v>421</v>
      </c>
      <c r="AE458" s="9" t="s">
        <v>1626</v>
      </c>
      <c r="AF458" s="28" t="s">
        <v>1626</v>
      </c>
      <c r="AG458" s="28">
        <v>0.29509999999999997</v>
      </c>
      <c r="AH458" s="28">
        <v>32.309100000000001</v>
      </c>
      <c r="AI458" s="28" t="s">
        <v>1626</v>
      </c>
      <c r="AJ458" s="28" t="s">
        <v>1626</v>
      </c>
      <c r="AK458" s="28" t="s">
        <v>1626</v>
      </c>
      <c r="AL458" s="28">
        <v>64.6999</v>
      </c>
      <c r="AM458" s="28" t="s">
        <v>1626</v>
      </c>
      <c r="AN458" s="28">
        <v>0.44929999999999998</v>
      </c>
      <c r="AO458" s="28" t="s">
        <v>1626</v>
      </c>
      <c r="AP458" s="156">
        <f t="shared" si="7"/>
        <v>97.753399999999999</v>
      </c>
    </row>
    <row r="459" spans="1:42" x14ac:dyDescent="0.2">
      <c r="A459" s="9" t="s">
        <v>1321</v>
      </c>
      <c r="B459" s="9" t="s">
        <v>1322</v>
      </c>
      <c r="C459" s="9" t="s">
        <v>127</v>
      </c>
      <c r="D459" s="9" t="s">
        <v>134</v>
      </c>
      <c r="E459" s="154">
        <v>331044.45862928004</v>
      </c>
      <c r="F459" s="154">
        <v>323269.62772240565</v>
      </c>
      <c r="G459" s="154">
        <v>263.64943857591777</v>
      </c>
      <c r="H459" s="154">
        <v>5570.7221560898624</v>
      </c>
      <c r="I459" s="154">
        <v>0.40822757406908655</v>
      </c>
      <c r="J459" s="154">
        <v>12.525471097127708</v>
      </c>
      <c r="K459" s="154">
        <v>638357</v>
      </c>
      <c r="L459" s="154">
        <v>636705.54780319403</v>
      </c>
      <c r="M459" s="154">
        <v>23.998385185006946</v>
      </c>
      <c r="N459" s="154">
        <v>52.093733198406589</v>
      </c>
      <c r="O459" s="154">
        <v>45.275947302525232</v>
      </c>
      <c r="P459" s="154" t="s">
        <v>421</v>
      </c>
      <c r="Q459" s="154">
        <v>270.61879447499638</v>
      </c>
      <c r="R459" s="154">
        <v>1436.550825074575</v>
      </c>
      <c r="S459" s="154" t="s">
        <v>421</v>
      </c>
      <c r="T459" s="154">
        <v>0.41387205489345463</v>
      </c>
      <c r="U459" s="154">
        <v>0.23924990759385217</v>
      </c>
      <c r="V459" s="154">
        <v>2434.040984696529</v>
      </c>
      <c r="W459" s="154">
        <v>18.679909684193575</v>
      </c>
      <c r="X459" s="154">
        <v>228.30928369856701</v>
      </c>
      <c r="Y459" s="154">
        <v>5413.1945251222869</v>
      </c>
      <c r="Z459" s="154" t="s">
        <v>421</v>
      </c>
      <c r="AC459" s="28" t="s">
        <v>421</v>
      </c>
      <c r="AD459" s="28" t="s">
        <v>421</v>
      </c>
      <c r="AE459" s="9" t="s">
        <v>1626</v>
      </c>
      <c r="AF459" s="28" t="s">
        <v>1626</v>
      </c>
      <c r="AG459" s="28">
        <v>0.2339</v>
      </c>
      <c r="AH459" s="28">
        <v>32.273400000000002</v>
      </c>
      <c r="AI459" s="28" t="s">
        <v>1626</v>
      </c>
      <c r="AJ459" s="28" t="s">
        <v>1626</v>
      </c>
      <c r="AK459" s="28" t="s">
        <v>1626</v>
      </c>
      <c r="AL459" s="28">
        <v>63.835700000000003</v>
      </c>
      <c r="AM459" s="28" t="s">
        <v>1626</v>
      </c>
      <c r="AN459" s="28">
        <v>1.1744000000000001</v>
      </c>
      <c r="AO459" s="28" t="s">
        <v>1626</v>
      </c>
      <c r="AP459" s="156">
        <f t="shared" si="7"/>
        <v>97.517400000000009</v>
      </c>
    </row>
    <row r="460" spans="1:42" x14ac:dyDescent="0.2">
      <c r="A460" s="9" t="s">
        <v>1323</v>
      </c>
      <c r="B460" s="9" t="s">
        <v>1324</v>
      </c>
      <c r="C460" s="9" t="s">
        <v>127</v>
      </c>
      <c r="D460" s="9" t="s">
        <v>134</v>
      </c>
      <c r="E460" s="154">
        <v>335824.76424120629</v>
      </c>
      <c r="F460" s="154">
        <v>327618.99217087851</v>
      </c>
      <c r="G460" s="154">
        <v>255.79317831904623</v>
      </c>
      <c r="H460" s="154">
        <v>6281.0130139254179</v>
      </c>
      <c r="I460" s="154">
        <v>0.34340436126557244</v>
      </c>
      <c r="J460" s="154">
        <v>1.2618532504176585</v>
      </c>
      <c r="K460" s="154">
        <v>645097</v>
      </c>
      <c r="L460" s="154">
        <v>642915.35342138004</v>
      </c>
      <c r="M460" s="154">
        <v>25.981575124339365</v>
      </c>
      <c r="N460" s="154">
        <v>48.677769331700475</v>
      </c>
      <c r="O460" s="154">
        <v>45.052115786862061</v>
      </c>
      <c r="P460" s="154">
        <v>1.6273021911395422</v>
      </c>
      <c r="Q460" s="154">
        <v>342.35938380591051</v>
      </c>
      <c r="R460" s="154">
        <v>2143.1326312110477</v>
      </c>
      <c r="S460" s="154" t="s">
        <v>421</v>
      </c>
      <c r="T460" s="154">
        <v>0.31987958776240288</v>
      </c>
      <c r="U460" s="154">
        <v>0.47269679332251557</v>
      </c>
      <c r="V460" s="154">
        <v>2626.5723670138132</v>
      </c>
      <c r="W460" s="154">
        <v>26.561450267208468</v>
      </c>
      <c r="X460" s="154">
        <v>235.91579780025316</v>
      </c>
      <c r="Y460" s="154">
        <v>5826.7428001434264</v>
      </c>
      <c r="Z460" s="154" t="s">
        <v>421</v>
      </c>
      <c r="AC460" s="28" t="s">
        <v>421</v>
      </c>
      <c r="AD460" s="28" t="s">
        <v>421</v>
      </c>
      <c r="AE460" s="9" t="s">
        <v>1626</v>
      </c>
      <c r="AF460" s="28" t="s">
        <v>1626</v>
      </c>
      <c r="AG460" s="28">
        <v>0.34760000000000002</v>
      </c>
      <c r="AH460" s="28">
        <v>32.416800000000002</v>
      </c>
      <c r="AI460" s="28" t="s">
        <v>1626</v>
      </c>
      <c r="AJ460" s="28" t="s">
        <v>1626</v>
      </c>
      <c r="AK460" s="28" t="s">
        <v>1626</v>
      </c>
      <c r="AL460" s="28">
        <v>64.509699999999995</v>
      </c>
      <c r="AM460" s="28" t="s">
        <v>1626</v>
      </c>
      <c r="AN460" s="28">
        <v>1.1992</v>
      </c>
      <c r="AO460" s="28" t="s">
        <v>1626</v>
      </c>
      <c r="AP460" s="156">
        <f t="shared" si="7"/>
        <v>98.473300000000009</v>
      </c>
    </row>
    <row r="461" spans="1:42" x14ac:dyDescent="0.2">
      <c r="A461" s="9" t="s">
        <v>1325</v>
      </c>
      <c r="B461" s="9" t="s">
        <v>1326</v>
      </c>
      <c r="C461" s="9" t="s">
        <v>127</v>
      </c>
      <c r="D461" s="9" t="s">
        <v>134</v>
      </c>
      <c r="E461" s="154">
        <v>331761.08561096335</v>
      </c>
      <c r="F461" s="154">
        <v>333121.46711368818</v>
      </c>
      <c r="G461" s="154">
        <v>241.36864816235379</v>
      </c>
      <c r="H461" s="154">
        <v>4323.9603804239978</v>
      </c>
      <c r="I461" s="154">
        <v>0.29164428349426424</v>
      </c>
      <c r="J461" s="154">
        <v>4.7263339987445168</v>
      </c>
      <c r="K461" s="154">
        <v>648338</v>
      </c>
      <c r="L461" s="154">
        <v>644228.70619055221</v>
      </c>
      <c r="M461" s="154">
        <v>20.68340332968241</v>
      </c>
      <c r="N461" s="154">
        <v>39.029324841882286</v>
      </c>
      <c r="O461" s="154">
        <v>33.039568651925528</v>
      </c>
      <c r="P461" s="154" t="s">
        <v>421</v>
      </c>
      <c r="Q461" s="154">
        <v>349.51631428985496</v>
      </c>
      <c r="R461" s="154">
        <v>1565.5482467298264</v>
      </c>
      <c r="S461" s="154" t="s">
        <v>421</v>
      </c>
      <c r="T461" s="154">
        <v>0.4832562624043113</v>
      </c>
      <c r="U461" s="154">
        <v>0.3350433221373762</v>
      </c>
      <c r="V461" s="154">
        <v>1237.5618626537812</v>
      </c>
      <c r="W461" s="154">
        <v>21.256715084975159</v>
      </c>
      <c r="X461" s="154">
        <v>178.79741445093163</v>
      </c>
      <c r="Y461" s="154">
        <v>5305.6012465837912</v>
      </c>
      <c r="Z461" s="154" t="s">
        <v>421</v>
      </c>
      <c r="AC461" s="28" t="s">
        <v>421</v>
      </c>
      <c r="AD461" s="28" t="s">
        <v>421</v>
      </c>
      <c r="AE461" s="9" t="s">
        <v>1626</v>
      </c>
      <c r="AF461" s="28" t="s">
        <v>1626</v>
      </c>
      <c r="AG461" s="28">
        <v>0.21049999999999999</v>
      </c>
      <c r="AH461" s="28">
        <v>32.482700000000001</v>
      </c>
      <c r="AI461" s="28" t="s">
        <v>1626</v>
      </c>
      <c r="AJ461" s="28" t="s">
        <v>1626</v>
      </c>
      <c r="AK461" s="28" t="s">
        <v>1626</v>
      </c>
      <c r="AL461" s="28">
        <v>64.833799999999997</v>
      </c>
      <c r="AM461" s="28" t="s">
        <v>1626</v>
      </c>
      <c r="AN461" s="28">
        <v>0.78400000000000003</v>
      </c>
      <c r="AO461" s="28" t="s">
        <v>1626</v>
      </c>
      <c r="AP461" s="156">
        <f t="shared" si="7"/>
        <v>98.311000000000007</v>
      </c>
    </row>
    <row r="462" spans="1:42" x14ac:dyDescent="0.2">
      <c r="A462" s="9" t="s">
        <v>1327</v>
      </c>
      <c r="B462" s="9" t="s">
        <v>1328</v>
      </c>
      <c r="C462" s="9" t="s">
        <v>127</v>
      </c>
      <c r="D462" s="9" t="s">
        <v>134</v>
      </c>
      <c r="E462" s="154">
        <v>342359.06779877347</v>
      </c>
      <c r="F462" s="154">
        <v>332702.35675617249</v>
      </c>
      <c r="G462" s="154">
        <v>149.00920082669811</v>
      </c>
      <c r="H462" s="154">
        <v>3629.9711035548066</v>
      </c>
      <c r="I462" s="154">
        <v>0.39787874154885183</v>
      </c>
      <c r="J462" s="154">
        <v>72.38930509997725</v>
      </c>
      <c r="K462" s="154">
        <v>646409</v>
      </c>
      <c r="L462" s="154">
        <v>651037.39129593759</v>
      </c>
      <c r="M462" s="154">
        <v>21.828360336080102</v>
      </c>
      <c r="N462" s="154">
        <v>8.3551722347695367</v>
      </c>
      <c r="O462" s="154">
        <v>8.1790242214483637</v>
      </c>
      <c r="P462" s="154" t="s">
        <v>421</v>
      </c>
      <c r="Q462" s="154">
        <v>1925.4223831669281</v>
      </c>
      <c r="R462" s="154">
        <v>2909.8901267433198</v>
      </c>
      <c r="S462" s="154" t="s">
        <v>421</v>
      </c>
      <c r="T462" s="154">
        <v>0.36209564229980118</v>
      </c>
      <c r="U462" s="154">
        <v>0.26510124430870652</v>
      </c>
      <c r="V462" s="154">
        <v>518.88984868565626</v>
      </c>
      <c r="W462" s="154">
        <v>13.869585733882767</v>
      </c>
      <c r="X462" s="154">
        <v>73.89609552641727</v>
      </c>
      <c r="Y462" s="154">
        <v>3110.0650830643494</v>
      </c>
      <c r="Z462" s="154" t="s">
        <v>421</v>
      </c>
      <c r="AC462" s="28" t="s">
        <v>421</v>
      </c>
      <c r="AD462" s="28" t="s">
        <v>421</v>
      </c>
      <c r="AE462" s="9" t="s">
        <v>1626</v>
      </c>
      <c r="AF462" s="28" t="s">
        <v>1626</v>
      </c>
      <c r="AG462" s="28">
        <v>0.40620000000000001</v>
      </c>
      <c r="AH462" s="28">
        <v>32.406399999999998</v>
      </c>
      <c r="AI462" s="28" t="s">
        <v>1626</v>
      </c>
      <c r="AJ462" s="28" t="s">
        <v>1626</v>
      </c>
      <c r="AK462" s="28" t="s">
        <v>1626</v>
      </c>
      <c r="AL462" s="28">
        <v>64.640900000000002</v>
      </c>
      <c r="AM462" s="28" t="s">
        <v>1626</v>
      </c>
      <c r="AN462" s="28">
        <v>0.63749999999999996</v>
      </c>
      <c r="AO462" s="28" t="s">
        <v>1626</v>
      </c>
      <c r="AP462" s="156">
        <f t="shared" si="7"/>
        <v>98.090999999999994</v>
      </c>
    </row>
    <row r="463" spans="1:42" x14ac:dyDescent="0.2">
      <c r="A463" s="9" t="s">
        <v>1329</v>
      </c>
      <c r="B463" s="9" t="s">
        <v>1330</v>
      </c>
      <c r="C463" s="9" t="s">
        <v>127</v>
      </c>
      <c r="D463" s="9" t="s">
        <v>135</v>
      </c>
      <c r="E463" s="154">
        <v>335445.62004089408</v>
      </c>
      <c r="F463" s="154">
        <v>325107.30591201654</v>
      </c>
      <c r="G463" s="154">
        <v>533.85361378904793</v>
      </c>
      <c r="H463" s="154">
        <v>16845.175922489903</v>
      </c>
      <c r="I463" s="154">
        <v>0.26448150542703142</v>
      </c>
      <c r="J463" s="154">
        <v>216.15609151923479</v>
      </c>
      <c r="K463" s="154">
        <v>615555</v>
      </c>
      <c r="L463" s="154">
        <v>617285.99138274579</v>
      </c>
      <c r="M463" s="154">
        <v>56.874718024762551</v>
      </c>
      <c r="N463" s="154">
        <v>136.62058837733011</v>
      </c>
      <c r="O463" s="154">
        <v>219.06211512668389</v>
      </c>
      <c r="P463" s="154" t="s">
        <v>421</v>
      </c>
      <c r="Q463" s="154">
        <v>845.15298157772372</v>
      </c>
      <c r="R463" s="154">
        <v>1708.8948962882992</v>
      </c>
      <c r="S463" s="154">
        <v>3.6556777757252377E-2</v>
      </c>
      <c r="T463" s="154">
        <v>0.88872692452422253</v>
      </c>
      <c r="U463" s="154">
        <v>1.1627039042507288</v>
      </c>
      <c r="V463" s="154">
        <v>12622.137203180993</v>
      </c>
      <c r="W463" s="154">
        <v>79.243275439090411</v>
      </c>
      <c r="X463" s="154">
        <v>1837.2605531900049</v>
      </c>
      <c r="Y463" s="154">
        <v>19937.284023068525</v>
      </c>
      <c r="Z463" s="154">
        <v>3.3535106213870021E-2</v>
      </c>
      <c r="AC463" s="28" t="s">
        <v>421</v>
      </c>
      <c r="AD463" s="28" t="s">
        <v>421</v>
      </c>
      <c r="AE463" s="9" t="s">
        <v>1626</v>
      </c>
      <c r="AF463" s="28" t="s">
        <v>1626</v>
      </c>
      <c r="AG463" s="28">
        <v>0.18579999999999999</v>
      </c>
      <c r="AH463" s="28">
        <v>32.3797</v>
      </c>
      <c r="AI463" s="28" t="s">
        <v>1626</v>
      </c>
      <c r="AJ463" s="28" t="s">
        <v>1626</v>
      </c>
      <c r="AK463" s="28" t="s">
        <v>1626</v>
      </c>
      <c r="AL463" s="28">
        <v>61.555500000000002</v>
      </c>
      <c r="AM463" s="28" t="s">
        <v>1626</v>
      </c>
      <c r="AN463" s="28">
        <v>2.4420999999999999</v>
      </c>
      <c r="AO463" s="28" t="s">
        <v>1626</v>
      </c>
      <c r="AP463" s="156">
        <f t="shared" si="7"/>
        <v>96.563100000000006</v>
      </c>
    </row>
    <row r="464" spans="1:42" x14ac:dyDescent="0.2">
      <c r="A464" s="9" t="s">
        <v>1331</v>
      </c>
      <c r="B464" s="9" t="s">
        <v>1332</v>
      </c>
      <c r="C464" s="9" t="s">
        <v>127</v>
      </c>
      <c r="D464" s="9" t="s">
        <v>135</v>
      </c>
      <c r="E464" s="154">
        <v>335881.20135926193</v>
      </c>
      <c r="F464" s="154">
        <v>330521.97859476903</v>
      </c>
      <c r="G464" s="154">
        <v>374.89196934550893</v>
      </c>
      <c r="H464" s="154">
        <v>11865.117650580351</v>
      </c>
      <c r="I464" s="154">
        <v>0.28303542071515575</v>
      </c>
      <c r="J464" s="154">
        <v>4499.3203764055561</v>
      </c>
      <c r="K464" s="154">
        <v>615126</v>
      </c>
      <c r="L464" s="154">
        <v>617365.56252967997</v>
      </c>
      <c r="M464" s="154">
        <v>58.290121685980857</v>
      </c>
      <c r="N464" s="154">
        <v>125.68131268960758</v>
      </c>
      <c r="O464" s="154">
        <v>291.2113723262795</v>
      </c>
      <c r="P464" s="154" t="s">
        <v>421</v>
      </c>
      <c r="Q464" s="154">
        <v>2678.9631141258392</v>
      </c>
      <c r="R464" s="154">
        <v>3833.3247100092576</v>
      </c>
      <c r="S464" s="154">
        <v>3.598410206428456</v>
      </c>
      <c r="T464" s="154">
        <v>33.667907403773242</v>
      </c>
      <c r="U464" s="154">
        <v>29.944945860476491</v>
      </c>
      <c r="V464" s="154">
        <v>11999.423085390967</v>
      </c>
      <c r="W464" s="154">
        <v>350.78481758162786</v>
      </c>
      <c r="X464" s="154">
        <v>686.73703917778766</v>
      </c>
      <c r="Y464" s="154">
        <v>18615.642688631979</v>
      </c>
      <c r="Z464" s="154">
        <v>3.4839393212556269</v>
      </c>
      <c r="AC464" s="28" t="s">
        <v>421</v>
      </c>
      <c r="AD464" s="28" t="s">
        <v>421</v>
      </c>
      <c r="AE464" s="9" t="s">
        <v>1626</v>
      </c>
      <c r="AF464" s="28" t="s">
        <v>1626</v>
      </c>
      <c r="AG464" s="28">
        <v>0.46510000000000001</v>
      </c>
      <c r="AH464" s="28">
        <v>32.219000000000001</v>
      </c>
      <c r="AI464" s="28" t="s">
        <v>1626</v>
      </c>
      <c r="AJ464" s="28" t="s">
        <v>1626</v>
      </c>
      <c r="AK464" s="28" t="s">
        <v>1626</v>
      </c>
      <c r="AL464" s="28">
        <v>61.512599999999999</v>
      </c>
      <c r="AM464" s="28" t="s">
        <v>1626</v>
      </c>
      <c r="AN464" s="28">
        <v>1.6890000000000001</v>
      </c>
      <c r="AO464" s="28" t="s">
        <v>1626</v>
      </c>
      <c r="AP464" s="156">
        <f t="shared" si="7"/>
        <v>95.885699999999986</v>
      </c>
    </row>
    <row r="465" spans="1:42" x14ac:dyDescent="0.2">
      <c r="A465" s="9" t="s">
        <v>1333</v>
      </c>
      <c r="B465" s="9" t="s">
        <v>1334</v>
      </c>
      <c r="C465" s="9" t="s">
        <v>127</v>
      </c>
      <c r="D465" s="9" t="s">
        <v>135</v>
      </c>
      <c r="E465" s="154">
        <v>332304.42643861013</v>
      </c>
      <c r="F465" s="154">
        <v>324919.87236961164</v>
      </c>
      <c r="G465" s="154">
        <v>415.21145201236374</v>
      </c>
      <c r="H465" s="154">
        <v>11704.533211607464</v>
      </c>
      <c r="I465" s="154">
        <v>0.27102817468985202</v>
      </c>
      <c r="J465" s="154">
        <v>340.38855615210196</v>
      </c>
      <c r="K465" s="154">
        <v>621502</v>
      </c>
      <c r="L465" s="154">
        <v>617447.71141795383</v>
      </c>
      <c r="M465" s="154">
        <v>55.796243663260313</v>
      </c>
      <c r="N465" s="154">
        <v>125.76996733733132</v>
      </c>
      <c r="O465" s="154">
        <v>231.52993884396304</v>
      </c>
      <c r="P465" s="154">
        <v>1.8672670144442449</v>
      </c>
      <c r="Q465" s="154">
        <v>2206.8936174119772</v>
      </c>
      <c r="R465" s="154">
        <v>3282.286904033534</v>
      </c>
      <c r="S465" s="154">
        <v>0.10556443252120541</v>
      </c>
      <c r="T465" s="154">
        <v>1.8117333374781635</v>
      </c>
      <c r="U465" s="154">
        <v>1.4882878225392357</v>
      </c>
      <c r="V465" s="154">
        <v>10301.693234029704</v>
      </c>
      <c r="W465" s="154">
        <v>186.59877684403503</v>
      </c>
      <c r="X465" s="154">
        <v>1306.1660820765087</v>
      </c>
      <c r="Y465" s="154">
        <v>14683.373588616636</v>
      </c>
      <c r="Z465" s="154">
        <v>9.9404539173779657E-2</v>
      </c>
      <c r="AC465" s="28" t="s">
        <v>421</v>
      </c>
      <c r="AD465" s="28" t="s">
        <v>421</v>
      </c>
      <c r="AE465" s="9" t="s">
        <v>1626</v>
      </c>
      <c r="AF465" s="28" t="s">
        <v>1626</v>
      </c>
      <c r="AG465" s="28">
        <v>0.36449999999999999</v>
      </c>
      <c r="AH465" s="28">
        <v>32.485500000000002</v>
      </c>
      <c r="AI465" s="28" t="s">
        <v>1626</v>
      </c>
      <c r="AJ465" s="28" t="s">
        <v>1626</v>
      </c>
      <c r="AK465" s="28" t="s">
        <v>1626</v>
      </c>
      <c r="AL465" s="28">
        <v>62.150199999999998</v>
      </c>
      <c r="AM465" s="28" t="s">
        <v>1626</v>
      </c>
      <c r="AN465" s="28">
        <v>1.8181</v>
      </c>
      <c r="AO465" s="28" t="s">
        <v>1626</v>
      </c>
      <c r="AP465" s="156">
        <f t="shared" si="7"/>
        <v>96.818300000000008</v>
      </c>
    </row>
    <row r="466" spans="1:42" x14ac:dyDescent="0.2">
      <c r="A466" s="9" t="s">
        <v>1335</v>
      </c>
      <c r="B466" s="9" t="s">
        <v>1336</v>
      </c>
      <c r="C466" s="9" t="s">
        <v>127</v>
      </c>
      <c r="D466" s="9" t="s">
        <v>135</v>
      </c>
      <c r="E466" s="154">
        <v>343036.3792436287</v>
      </c>
      <c r="F466" s="154">
        <v>330756.85451652535</v>
      </c>
      <c r="G466" s="154">
        <v>411.44853511200478</v>
      </c>
      <c r="H466" s="154">
        <v>10626.988870935267</v>
      </c>
      <c r="I466" s="154">
        <v>0.28613846813948374</v>
      </c>
      <c r="J466" s="154">
        <v>544.78864275927549</v>
      </c>
      <c r="K466" s="154">
        <v>621038</v>
      </c>
      <c r="L466" s="154">
        <v>616929.69955815468</v>
      </c>
      <c r="M466" s="154">
        <v>49.698951698162901</v>
      </c>
      <c r="N466" s="154">
        <v>129.22133313391657</v>
      </c>
      <c r="O466" s="154">
        <v>218.04673248202292</v>
      </c>
      <c r="P466" s="154" t="s">
        <v>421</v>
      </c>
      <c r="Q466" s="154">
        <v>2599.452730443003</v>
      </c>
      <c r="R466" s="154">
        <v>3419.2952232870898</v>
      </c>
      <c r="S466" s="154">
        <v>0.19119314978751906</v>
      </c>
      <c r="T466" s="154">
        <v>2.5443646655523682</v>
      </c>
      <c r="U466" s="154">
        <v>2.5132377735396525</v>
      </c>
      <c r="V466" s="154">
        <v>10118.910207875249</v>
      </c>
      <c r="W466" s="154">
        <v>135.71841606225018</v>
      </c>
      <c r="X466" s="154">
        <v>1194.3465254544508</v>
      </c>
      <c r="Y466" s="154">
        <v>14792.642391367503</v>
      </c>
      <c r="Z466" s="154">
        <v>0.18254230992464102</v>
      </c>
      <c r="AC466" s="28" t="s">
        <v>421</v>
      </c>
      <c r="AD466" s="28" t="s">
        <v>421</v>
      </c>
      <c r="AE466" s="9" t="s">
        <v>1626</v>
      </c>
      <c r="AF466" s="28" t="s">
        <v>1626</v>
      </c>
      <c r="AG466" s="28">
        <v>0.38879999999999998</v>
      </c>
      <c r="AH466" s="28">
        <v>32.315100000000001</v>
      </c>
      <c r="AI466" s="28" t="s">
        <v>1626</v>
      </c>
      <c r="AJ466" s="28" t="s">
        <v>1626</v>
      </c>
      <c r="AK466" s="28" t="s">
        <v>1626</v>
      </c>
      <c r="AL466" s="28">
        <v>62.1038</v>
      </c>
      <c r="AM466" s="28" t="s">
        <v>1626</v>
      </c>
      <c r="AN466" s="28">
        <v>1.9206000000000001</v>
      </c>
      <c r="AO466" s="28" t="s">
        <v>1626</v>
      </c>
      <c r="AP466" s="156">
        <f t="shared" si="7"/>
        <v>96.728300000000004</v>
      </c>
    </row>
    <row r="467" spans="1:42" x14ac:dyDescent="0.2">
      <c r="A467" s="9" t="s">
        <v>1337</v>
      </c>
      <c r="B467" s="9" t="s">
        <v>1338</v>
      </c>
      <c r="C467" s="9" t="s">
        <v>127</v>
      </c>
      <c r="D467" s="9" t="s">
        <v>135</v>
      </c>
      <c r="E467" s="154">
        <v>322420.42277115997</v>
      </c>
      <c r="F467" s="154">
        <v>313028.0102687343</v>
      </c>
      <c r="G467" s="154">
        <v>497.68087900687584</v>
      </c>
      <c r="H467" s="154">
        <v>14576.700229371138</v>
      </c>
      <c r="I467" s="154">
        <v>0.27944314905928558</v>
      </c>
      <c r="J467" s="154">
        <v>1931.011534573162</v>
      </c>
      <c r="K467" s="154">
        <v>610487</v>
      </c>
      <c r="L467" s="154">
        <v>600568.78540196968</v>
      </c>
      <c r="M467" s="154">
        <v>62.318787917794715</v>
      </c>
      <c r="N467" s="154">
        <v>299.25404281462954</v>
      </c>
      <c r="O467" s="154">
        <v>539.31789647623805</v>
      </c>
      <c r="P467" s="154" t="s">
        <v>421</v>
      </c>
      <c r="Q467" s="154">
        <v>510.9955268046329</v>
      </c>
      <c r="R467" s="154">
        <v>931.95955021934446</v>
      </c>
      <c r="S467" s="154" t="s">
        <v>421</v>
      </c>
      <c r="T467" s="154">
        <v>0.32208245608078778</v>
      </c>
      <c r="U467" s="154">
        <v>0.29214659608777066</v>
      </c>
      <c r="V467" s="154">
        <v>12543.315546379334</v>
      </c>
      <c r="W467" s="154">
        <v>42.215463401694457</v>
      </c>
      <c r="X467" s="154">
        <v>2306.1819741712475</v>
      </c>
      <c r="Y467" s="154">
        <v>21069.331449391739</v>
      </c>
      <c r="Z467" s="154" t="s">
        <v>421</v>
      </c>
      <c r="AC467" s="28" t="s">
        <v>421</v>
      </c>
      <c r="AD467" s="28" t="s">
        <v>421</v>
      </c>
      <c r="AE467" s="9" t="s">
        <v>1626</v>
      </c>
      <c r="AF467" s="28" t="s">
        <v>1626</v>
      </c>
      <c r="AG467" s="28">
        <v>0.10920000000000001</v>
      </c>
      <c r="AH467" s="28">
        <v>32.2562</v>
      </c>
      <c r="AI467" s="28" t="s">
        <v>1626</v>
      </c>
      <c r="AJ467" s="28" t="s">
        <v>1626</v>
      </c>
      <c r="AK467" s="28" t="s">
        <v>1626</v>
      </c>
      <c r="AL467" s="28">
        <v>61.048699999999997</v>
      </c>
      <c r="AM467" s="28" t="s">
        <v>1626</v>
      </c>
      <c r="AN467" s="28">
        <v>2.6575000000000002</v>
      </c>
      <c r="AO467" s="28" t="s">
        <v>1626</v>
      </c>
      <c r="AP467" s="156">
        <f t="shared" si="7"/>
        <v>96.071599999999989</v>
      </c>
    </row>
    <row r="468" spans="1:42" x14ac:dyDescent="0.2">
      <c r="A468" s="9" t="s">
        <v>1339</v>
      </c>
      <c r="B468" s="9" t="s">
        <v>1340</v>
      </c>
      <c r="C468" s="9" t="s">
        <v>127</v>
      </c>
      <c r="D468" s="9" t="s">
        <v>135</v>
      </c>
      <c r="E468" s="154">
        <v>330937.75842085085</v>
      </c>
      <c r="F468" s="154">
        <v>320051.09221402975</v>
      </c>
      <c r="G468" s="154">
        <v>370.83149936838527</v>
      </c>
      <c r="H468" s="154">
        <v>10173.803473333423</v>
      </c>
      <c r="I468" s="154">
        <v>0.36127588178852427</v>
      </c>
      <c r="J468" s="154">
        <v>6.2937726299162478</v>
      </c>
      <c r="K468" s="154">
        <v>628910</v>
      </c>
      <c r="L468" s="154">
        <v>621285.33249396144</v>
      </c>
      <c r="M468" s="154">
        <v>38.487007231665508</v>
      </c>
      <c r="N468" s="154">
        <v>252.09819214283303</v>
      </c>
      <c r="O468" s="154">
        <v>267.16583807486052</v>
      </c>
      <c r="P468" s="154">
        <v>1.6358920336903506</v>
      </c>
      <c r="Q468" s="154">
        <v>376.94867354338305</v>
      </c>
      <c r="R468" s="154">
        <v>1593.8821241085518</v>
      </c>
      <c r="S468" s="154" t="s">
        <v>421</v>
      </c>
      <c r="T468" s="154" t="s">
        <v>421</v>
      </c>
      <c r="U468" s="154">
        <v>0.22890915216115268</v>
      </c>
      <c r="V468" s="154">
        <v>6434.523414283638</v>
      </c>
      <c r="W468" s="154">
        <v>16.146995624704868</v>
      </c>
      <c r="X468" s="154">
        <v>1252.4812349148094</v>
      </c>
      <c r="Y468" s="154">
        <v>12052.0748126538</v>
      </c>
      <c r="Z468" s="154" t="s">
        <v>421</v>
      </c>
      <c r="AC468" s="28" t="s">
        <v>421</v>
      </c>
      <c r="AD468" s="28" t="s">
        <v>421</v>
      </c>
      <c r="AE468" s="9" t="s">
        <v>1626</v>
      </c>
      <c r="AF468" s="28" t="s">
        <v>1626</v>
      </c>
      <c r="AG468" s="28">
        <v>0.1416</v>
      </c>
      <c r="AH468" s="28">
        <v>32.217399999999998</v>
      </c>
      <c r="AI468" s="28" t="s">
        <v>1626</v>
      </c>
      <c r="AJ468" s="28" t="s">
        <v>1626</v>
      </c>
      <c r="AK468" s="28" t="s">
        <v>1626</v>
      </c>
      <c r="AL468" s="28">
        <v>62.890999999999998</v>
      </c>
      <c r="AM468" s="28" t="s">
        <v>1626</v>
      </c>
      <c r="AN468" s="28">
        <v>1.7696000000000001</v>
      </c>
      <c r="AO468" s="28" t="s">
        <v>1626</v>
      </c>
      <c r="AP468" s="156">
        <f t="shared" si="7"/>
        <v>97.019599999999997</v>
      </c>
    </row>
    <row r="469" spans="1:42" x14ac:dyDescent="0.2">
      <c r="A469" s="9" t="s">
        <v>1341</v>
      </c>
      <c r="B469" s="9" t="s">
        <v>1342</v>
      </c>
      <c r="C469" s="9" t="s">
        <v>127</v>
      </c>
      <c r="D469" s="9" t="s">
        <v>135</v>
      </c>
      <c r="E469" s="154">
        <v>336591.53715592681</v>
      </c>
      <c r="F469" s="154">
        <v>319380.17018163484</v>
      </c>
      <c r="G469" s="154">
        <v>318.27766219693405</v>
      </c>
      <c r="H469" s="154">
        <v>7763.6818440049583</v>
      </c>
      <c r="I469" s="154">
        <v>0.33068205255187055</v>
      </c>
      <c r="J469" s="154">
        <v>23.234963913720346</v>
      </c>
      <c r="K469" s="154">
        <v>625687</v>
      </c>
      <c r="L469" s="154">
        <v>644032.53182762722</v>
      </c>
      <c r="M469" s="154">
        <v>34.350393723021696</v>
      </c>
      <c r="N469" s="154">
        <v>144.28484040498785</v>
      </c>
      <c r="O469" s="154">
        <v>154.12455615866926</v>
      </c>
      <c r="P469" s="154" t="s">
        <v>421</v>
      </c>
      <c r="Q469" s="154">
        <v>875.9279158045988</v>
      </c>
      <c r="R469" s="154">
        <v>2784.051856431196</v>
      </c>
      <c r="S469" s="154" t="s">
        <v>421</v>
      </c>
      <c r="T469" s="154">
        <v>0.27803120934226089</v>
      </c>
      <c r="U469" s="154">
        <v>0.47278145273931571</v>
      </c>
      <c r="V469" s="154">
        <v>6333.1002992984068</v>
      </c>
      <c r="W469" s="154">
        <v>23.96490806375494</v>
      </c>
      <c r="X469" s="154">
        <v>1018.0033180890499</v>
      </c>
      <c r="Y469" s="154">
        <v>11599.957646668705</v>
      </c>
      <c r="Z469" s="154" t="s">
        <v>421</v>
      </c>
      <c r="AC469" s="28" t="s">
        <v>421</v>
      </c>
      <c r="AD469" s="28" t="s">
        <v>421</v>
      </c>
      <c r="AE469" s="9" t="s">
        <v>1626</v>
      </c>
      <c r="AF469" s="28" t="s">
        <v>1626</v>
      </c>
      <c r="AG469" s="28">
        <v>0.25269999999999998</v>
      </c>
      <c r="AH469" s="28">
        <v>32.104300000000002</v>
      </c>
      <c r="AI469" s="28" t="s">
        <v>1626</v>
      </c>
      <c r="AJ469" s="28" t="s">
        <v>1626</v>
      </c>
      <c r="AK469" s="28" t="s">
        <v>1626</v>
      </c>
      <c r="AL469" s="28">
        <v>62.5687</v>
      </c>
      <c r="AM469" s="28" t="s">
        <v>1626</v>
      </c>
      <c r="AN469" s="28">
        <v>1.3217000000000001</v>
      </c>
      <c r="AO469" s="28" t="s">
        <v>1626</v>
      </c>
      <c r="AP469" s="156">
        <f t="shared" si="7"/>
        <v>96.247400000000013</v>
      </c>
    </row>
    <row r="470" spans="1:42" x14ac:dyDescent="0.2">
      <c r="A470" s="9" t="s">
        <v>1343</v>
      </c>
      <c r="B470" s="9" t="s">
        <v>1344</v>
      </c>
      <c r="C470" s="9" t="s">
        <v>127</v>
      </c>
      <c r="D470" s="9" t="s">
        <v>135</v>
      </c>
      <c r="E470" s="154">
        <v>316904.78803982487</v>
      </c>
      <c r="F470" s="154">
        <v>304717.91194432665</v>
      </c>
      <c r="G470" s="154">
        <v>529.76886136128724</v>
      </c>
      <c r="H470" s="154">
        <v>17634.412745591806</v>
      </c>
      <c r="I470" s="154">
        <v>0.30553332375490994</v>
      </c>
      <c r="J470" s="154">
        <v>5.727213392850202</v>
      </c>
      <c r="K470" s="154">
        <v>612762</v>
      </c>
      <c r="L470" s="154">
        <v>611916.69389593333</v>
      </c>
      <c r="M470" s="154">
        <v>57.310641710648383</v>
      </c>
      <c r="N470" s="154">
        <v>137.79434301856483</v>
      </c>
      <c r="O470" s="154">
        <v>220.94782528612731</v>
      </c>
      <c r="P470" s="154" t="s">
        <v>421</v>
      </c>
      <c r="Q470" s="154">
        <v>723.43766496099158</v>
      </c>
      <c r="R470" s="154">
        <v>1251.0899442362918</v>
      </c>
      <c r="S470" s="154">
        <v>1.902195338752187E-2</v>
      </c>
      <c r="T470" s="154">
        <v>0.69055622194994748</v>
      </c>
      <c r="U470" s="154">
        <v>0.82387495146635703</v>
      </c>
      <c r="V470" s="154">
        <v>12170.881233619926</v>
      </c>
      <c r="W470" s="154">
        <v>57.224921756291778</v>
      </c>
      <c r="X470" s="154">
        <v>1839.4776447161521</v>
      </c>
      <c r="Y470" s="154">
        <v>19724.307200588646</v>
      </c>
      <c r="Z470" s="154">
        <v>1.6674062232892049E-2</v>
      </c>
      <c r="AC470" s="28" t="s">
        <v>421</v>
      </c>
      <c r="AD470" s="28" t="s">
        <v>421</v>
      </c>
      <c r="AE470" s="9" t="s">
        <v>1626</v>
      </c>
      <c r="AF470" s="28" t="s">
        <v>1626</v>
      </c>
      <c r="AG470" s="28">
        <v>0.13039999999999999</v>
      </c>
      <c r="AH470" s="28">
        <v>32.442700000000002</v>
      </c>
      <c r="AI470" s="28" t="s">
        <v>1626</v>
      </c>
      <c r="AJ470" s="28" t="s">
        <v>1626</v>
      </c>
      <c r="AK470" s="28" t="s">
        <v>1626</v>
      </c>
      <c r="AL470" s="28">
        <v>61.276200000000003</v>
      </c>
      <c r="AM470" s="28" t="s">
        <v>1626</v>
      </c>
      <c r="AN470" s="28">
        <v>2.8664999999999998</v>
      </c>
      <c r="AO470" s="28" t="s">
        <v>1626</v>
      </c>
      <c r="AP470" s="156">
        <f t="shared" si="7"/>
        <v>96.715800000000002</v>
      </c>
    </row>
    <row r="471" spans="1:42" x14ac:dyDescent="0.2">
      <c r="A471" s="9" t="s">
        <v>1345</v>
      </c>
      <c r="B471" s="9" t="s">
        <v>1346</v>
      </c>
      <c r="C471" s="9" t="s">
        <v>127</v>
      </c>
      <c r="D471" s="9" t="s">
        <v>135</v>
      </c>
      <c r="E471" s="154">
        <v>320304.47247176053</v>
      </c>
      <c r="F471" s="154">
        <v>312870.5567942019</v>
      </c>
      <c r="G471" s="154">
        <v>516.73391397712885</v>
      </c>
      <c r="H471" s="154">
        <v>17214.238153766841</v>
      </c>
      <c r="I471" s="154">
        <v>0.29184120998385488</v>
      </c>
      <c r="J471" s="154">
        <v>8.7306839488067762</v>
      </c>
      <c r="K471" s="154">
        <v>608002</v>
      </c>
      <c r="L471" s="154">
        <v>611828.64395749418</v>
      </c>
      <c r="M471" s="154">
        <v>58.62074255211121</v>
      </c>
      <c r="N471" s="154">
        <v>129.79172054757811</v>
      </c>
      <c r="O471" s="154">
        <v>210.68240476367686</v>
      </c>
      <c r="P471" s="154">
        <v>1.684993176003289</v>
      </c>
      <c r="Q471" s="154">
        <v>824.8873667632306</v>
      </c>
      <c r="R471" s="154">
        <v>1360.3458596526548</v>
      </c>
      <c r="S471" s="154">
        <v>3.4859513644477459E-2</v>
      </c>
      <c r="T471" s="154">
        <v>0.73398372478524876</v>
      </c>
      <c r="U471" s="154">
        <v>0.95837712219585514</v>
      </c>
      <c r="V471" s="154">
        <v>11752.902891332062</v>
      </c>
      <c r="W471" s="154">
        <v>67.9722911885613</v>
      </c>
      <c r="X471" s="154">
        <v>1774.41631982532</v>
      </c>
      <c r="Y471" s="154">
        <v>19203.881417995497</v>
      </c>
      <c r="Z471" s="154">
        <v>3.2363968980207616E-2</v>
      </c>
      <c r="AC471" s="28" t="s">
        <v>421</v>
      </c>
      <c r="AD471" s="28" t="s">
        <v>421</v>
      </c>
      <c r="AE471" s="9" t="s">
        <v>1626</v>
      </c>
      <c r="AF471" s="28" t="s">
        <v>1626</v>
      </c>
      <c r="AG471" s="28">
        <v>0.14860000000000001</v>
      </c>
      <c r="AH471" s="28">
        <v>32.5152</v>
      </c>
      <c r="AI471" s="28" t="s">
        <v>1626</v>
      </c>
      <c r="AJ471" s="28" t="s">
        <v>1626</v>
      </c>
      <c r="AK471" s="28" t="s">
        <v>1626</v>
      </c>
      <c r="AL471" s="28">
        <v>60.800199999999997</v>
      </c>
      <c r="AM471" s="28" t="s">
        <v>1626</v>
      </c>
      <c r="AN471" s="28">
        <v>3.0141</v>
      </c>
      <c r="AO471" s="28" t="s">
        <v>1626</v>
      </c>
      <c r="AP471" s="156">
        <f t="shared" si="7"/>
        <v>96.478099999999998</v>
      </c>
    </row>
    <row r="472" spans="1:42" x14ac:dyDescent="0.2">
      <c r="A472" s="9" t="s">
        <v>1347</v>
      </c>
      <c r="B472" s="9" t="s">
        <v>1348</v>
      </c>
      <c r="C472" s="9" t="s">
        <v>127</v>
      </c>
      <c r="D472" s="9" t="s">
        <v>135</v>
      </c>
      <c r="E472" s="154">
        <v>308054.24267671292</v>
      </c>
      <c r="F472" s="154">
        <v>296464.03229083447</v>
      </c>
      <c r="G472" s="154">
        <v>502.08902272595657</v>
      </c>
      <c r="H472" s="154">
        <v>16223.39774618346</v>
      </c>
      <c r="I472" s="154">
        <v>0.25286394158493525</v>
      </c>
      <c r="J472" s="154">
        <v>12.050198309709243</v>
      </c>
      <c r="K472" s="154">
        <v>610590</v>
      </c>
      <c r="L472" s="154">
        <v>594404.46930655115</v>
      </c>
      <c r="M472" s="154">
        <v>55.171006289829812</v>
      </c>
      <c r="N472" s="154">
        <v>143.89939614557727</v>
      </c>
      <c r="O472" s="154">
        <v>229.98392060039049</v>
      </c>
      <c r="P472" s="154" t="s">
        <v>421</v>
      </c>
      <c r="Q472" s="154">
        <v>937.11371309187484</v>
      </c>
      <c r="R472" s="154">
        <v>1653.2975847247872</v>
      </c>
      <c r="S472" s="154">
        <v>2.2943258000400965E-2</v>
      </c>
      <c r="T472" s="154">
        <v>0.87959412589017871</v>
      </c>
      <c r="U472" s="154">
        <v>0.76504088707781237</v>
      </c>
      <c r="V472" s="154">
        <v>10823.81100191298</v>
      </c>
      <c r="W472" s="154">
        <v>76.417668659677418</v>
      </c>
      <c r="X472" s="154">
        <v>1682.1158657227008</v>
      </c>
      <c r="Y472" s="154">
        <v>17601.261363086182</v>
      </c>
      <c r="Z472" s="154">
        <v>1.9952637972374357E-2</v>
      </c>
      <c r="AC472" s="28" t="s">
        <v>421</v>
      </c>
      <c r="AD472" s="28" t="s">
        <v>421</v>
      </c>
      <c r="AE472" s="9" t="s">
        <v>1626</v>
      </c>
      <c r="AF472" s="28" t="s">
        <v>1626</v>
      </c>
      <c r="AG472" s="28">
        <v>0.1973</v>
      </c>
      <c r="AH472" s="28">
        <v>32.392499999999998</v>
      </c>
      <c r="AI472" s="28" t="s">
        <v>1626</v>
      </c>
      <c r="AJ472" s="28" t="s">
        <v>1626</v>
      </c>
      <c r="AK472" s="28" t="s">
        <v>1626</v>
      </c>
      <c r="AL472" s="28">
        <v>61.058999999999997</v>
      </c>
      <c r="AM472" s="28" t="s">
        <v>1626</v>
      </c>
      <c r="AN472" s="28">
        <v>2.5941000000000001</v>
      </c>
      <c r="AO472" s="28" t="s">
        <v>1626</v>
      </c>
      <c r="AP472" s="156">
        <f t="shared" si="7"/>
        <v>96.242899999999992</v>
      </c>
    </row>
    <row r="473" spans="1:42" x14ac:dyDescent="0.2">
      <c r="A473" s="9" t="s">
        <v>1349</v>
      </c>
      <c r="B473" s="9" t="s">
        <v>1350</v>
      </c>
      <c r="C473" s="9" t="s">
        <v>127</v>
      </c>
      <c r="D473" s="9" t="s">
        <v>135</v>
      </c>
      <c r="E473" s="154">
        <v>322230.73984217719</v>
      </c>
      <c r="F473" s="154">
        <v>309524.76335611992</v>
      </c>
      <c r="G473" s="154">
        <v>354.57312614628404</v>
      </c>
      <c r="H473" s="154">
        <v>5823.3093047558523</v>
      </c>
      <c r="I473" s="154">
        <v>0.80326769882621341</v>
      </c>
      <c r="J473" s="154">
        <v>420.83621303220906</v>
      </c>
      <c r="K473" s="154">
        <v>630499</v>
      </c>
      <c r="L473" s="154">
        <v>629740.67532674305</v>
      </c>
      <c r="M473" s="154">
        <v>43.992323989282525</v>
      </c>
      <c r="N473" s="154">
        <v>338.47949214560151</v>
      </c>
      <c r="O473" s="154">
        <v>528.45225418089012</v>
      </c>
      <c r="P473" s="154" t="s">
        <v>421</v>
      </c>
      <c r="Q473" s="154">
        <v>271.01485620151851</v>
      </c>
      <c r="R473" s="154">
        <v>1491.9352108166604</v>
      </c>
      <c r="S473" s="154">
        <v>7.9032678582824728E-2</v>
      </c>
      <c r="T473" s="154">
        <v>0.81899064580138969</v>
      </c>
      <c r="U473" s="154">
        <v>0.75190319460302502</v>
      </c>
      <c r="V473" s="154">
        <v>4605.6737115349715</v>
      </c>
      <c r="W473" s="154">
        <v>22.437129879337462</v>
      </c>
      <c r="X473" s="154">
        <v>1205.5237401901597</v>
      </c>
      <c r="Y473" s="154">
        <v>16003.683929865076</v>
      </c>
      <c r="Z473" s="154">
        <v>7.6248110387099999E-2</v>
      </c>
      <c r="AC473" s="28" t="s">
        <v>421</v>
      </c>
      <c r="AD473" s="28" t="s">
        <v>421</v>
      </c>
      <c r="AE473" s="9" t="s">
        <v>1626</v>
      </c>
      <c r="AF473" s="28" t="s">
        <v>1626</v>
      </c>
      <c r="AG473" s="28">
        <v>0.1832</v>
      </c>
      <c r="AH473" s="28">
        <v>32.110799999999998</v>
      </c>
      <c r="AI473" s="28" t="s">
        <v>1626</v>
      </c>
      <c r="AJ473" s="28" t="s">
        <v>1626</v>
      </c>
      <c r="AK473" s="28" t="s">
        <v>1626</v>
      </c>
      <c r="AL473" s="28">
        <v>63.049900000000001</v>
      </c>
      <c r="AM473" s="28" t="s">
        <v>1626</v>
      </c>
      <c r="AN473" s="28">
        <v>1.2781</v>
      </c>
      <c r="AO473" s="28" t="s">
        <v>1626</v>
      </c>
      <c r="AP473" s="156">
        <f t="shared" si="7"/>
        <v>96.621999999999986</v>
      </c>
    </row>
    <row r="474" spans="1:42" x14ac:dyDescent="0.2">
      <c r="A474" s="9" t="s">
        <v>1351</v>
      </c>
      <c r="B474" s="9" t="s">
        <v>1352</v>
      </c>
      <c r="C474" s="9" t="s">
        <v>127</v>
      </c>
      <c r="D474" s="9" t="s">
        <v>135</v>
      </c>
      <c r="E474" s="154">
        <v>321798.31829842296</v>
      </c>
      <c r="F474" s="154">
        <v>258921.39241261446</v>
      </c>
      <c r="G474" s="154">
        <v>406.71173489136402</v>
      </c>
      <c r="H474" s="154">
        <v>13595.508310891546</v>
      </c>
      <c r="I474" s="154">
        <v>1.074554029875096</v>
      </c>
      <c r="J474" s="154">
        <v>1048.8552004153798</v>
      </c>
      <c r="K474" s="154">
        <v>609172</v>
      </c>
      <c r="L474" s="154">
        <v>602810.04935716372</v>
      </c>
      <c r="M474" s="154">
        <v>83.28495162892375</v>
      </c>
      <c r="N474" s="154">
        <v>745.72999537588805</v>
      </c>
      <c r="O474" s="154">
        <v>1354.9222391256142</v>
      </c>
      <c r="P474" s="154">
        <v>2.7952643701263304</v>
      </c>
      <c r="Q474" s="154">
        <v>612.23484254982463</v>
      </c>
      <c r="R474" s="154">
        <v>1512.4005795995995</v>
      </c>
      <c r="S474" s="154">
        <v>6.9987118539253754E-2</v>
      </c>
      <c r="T474" s="154">
        <v>0.53581043972819686</v>
      </c>
      <c r="U474" s="154">
        <v>0.41830759487879204</v>
      </c>
      <c r="V474" s="154">
        <v>5096.0396603000918</v>
      </c>
      <c r="W474" s="154">
        <v>56.080259712184265</v>
      </c>
      <c r="X474" s="154">
        <v>2016.1302314072955</v>
      </c>
      <c r="Y474" s="154">
        <v>21278.556754493915</v>
      </c>
      <c r="Z474" s="154">
        <v>6.816536304417789E-2</v>
      </c>
      <c r="AC474" s="28" t="s">
        <v>421</v>
      </c>
      <c r="AD474" s="28" t="s">
        <v>421</v>
      </c>
      <c r="AE474" s="9" t="s">
        <v>1626</v>
      </c>
      <c r="AF474" s="28" t="s">
        <v>1626</v>
      </c>
      <c r="AG474" s="28">
        <v>0.14130000000000001</v>
      </c>
      <c r="AH474" s="28">
        <v>31.900600000000001</v>
      </c>
      <c r="AI474" s="28" t="s">
        <v>1626</v>
      </c>
      <c r="AJ474" s="28" t="s">
        <v>1626</v>
      </c>
      <c r="AK474" s="28" t="s">
        <v>1626</v>
      </c>
      <c r="AL474" s="28">
        <v>60.917200000000001</v>
      </c>
      <c r="AM474" s="28" t="s">
        <v>1626</v>
      </c>
      <c r="AN474" s="28">
        <v>2.2961</v>
      </c>
      <c r="AO474" s="28" t="s">
        <v>1626</v>
      </c>
      <c r="AP474" s="156">
        <f t="shared" si="7"/>
        <v>95.255200000000002</v>
      </c>
    </row>
    <row r="475" spans="1:42" x14ac:dyDescent="0.2">
      <c r="A475" s="9" t="s">
        <v>1353</v>
      </c>
      <c r="B475" s="9" t="s">
        <v>1354</v>
      </c>
      <c r="C475" s="9" t="s">
        <v>127</v>
      </c>
      <c r="D475" s="9" t="s">
        <v>135</v>
      </c>
      <c r="E475" s="154">
        <v>326803.52384300943</v>
      </c>
      <c r="F475" s="154">
        <v>314038.62552830169</v>
      </c>
      <c r="G475" s="154">
        <v>306.5412271279954</v>
      </c>
      <c r="H475" s="154">
        <v>6371.8871162706491</v>
      </c>
      <c r="I475" s="154">
        <v>0.70859015312654239</v>
      </c>
      <c r="J475" s="154">
        <v>198.18280715270731</v>
      </c>
      <c r="K475" s="154">
        <v>629824</v>
      </c>
      <c r="L475" s="154">
        <v>629706.45504608471</v>
      </c>
      <c r="M475" s="154">
        <v>35.710299157281085</v>
      </c>
      <c r="N475" s="154">
        <v>120.29887451564335</v>
      </c>
      <c r="O475" s="154">
        <v>168.60148785755763</v>
      </c>
      <c r="P475" s="154" t="s">
        <v>421</v>
      </c>
      <c r="Q475" s="154">
        <v>2371.0724042461156</v>
      </c>
      <c r="R475" s="154">
        <v>2798.8031509012326</v>
      </c>
      <c r="S475" s="154" t="s">
        <v>421</v>
      </c>
      <c r="T475" s="154">
        <v>0.34782116793698964</v>
      </c>
      <c r="U475" s="154">
        <v>0.25375605555374869</v>
      </c>
      <c r="V475" s="154">
        <v>6630.0442762578732</v>
      </c>
      <c r="W475" s="154">
        <v>23.719195399067114</v>
      </c>
      <c r="X475" s="154">
        <v>536.99327472816697</v>
      </c>
      <c r="Y475" s="154">
        <v>14647.363304481945</v>
      </c>
      <c r="Z475" s="154" t="s">
        <v>421</v>
      </c>
      <c r="AC475" s="28" t="s">
        <v>421</v>
      </c>
      <c r="AD475" s="28" t="s">
        <v>421</v>
      </c>
      <c r="AE475" s="9" t="s">
        <v>1626</v>
      </c>
      <c r="AF475" s="28" t="s">
        <v>1626</v>
      </c>
      <c r="AG475" s="28">
        <v>0.37169999999999997</v>
      </c>
      <c r="AH475" s="28">
        <v>31.967300000000002</v>
      </c>
      <c r="AI475" s="28" t="s">
        <v>1626</v>
      </c>
      <c r="AJ475" s="28" t="s">
        <v>1626</v>
      </c>
      <c r="AK475" s="28" t="s">
        <v>1626</v>
      </c>
      <c r="AL475" s="28">
        <v>62.982399999999998</v>
      </c>
      <c r="AM475" s="28" t="s">
        <v>1626</v>
      </c>
      <c r="AN475" s="28">
        <v>1.1949000000000001</v>
      </c>
      <c r="AO475" s="28" t="s">
        <v>1626</v>
      </c>
      <c r="AP475" s="156">
        <f t="shared" si="7"/>
        <v>96.516300000000001</v>
      </c>
    </row>
    <row r="476" spans="1:42" x14ac:dyDescent="0.2">
      <c r="A476" s="9" t="s">
        <v>1355</v>
      </c>
      <c r="B476" s="9" t="s">
        <v>1356</v>
      </c>
      <c r="C476" s="9" t="s">
        <v>127</v>
      </c>
      <c r="D476" s="9" t="s">
        <v>135</v>
      </c>
      <c r="E476" s="154">
        <v>323240.68416759704</v>
      </c>
      <c r="F476" s="154">
        <v>318026.2640394842</v>
      </c>
      <c r="G476" s="154">
        <v>431.79339232538359</v>
      </c>
      <c r="H476" s="154">
        <v>11633.819772703868</v>
      </c>
      <c r="I476" s="154">
        <v>0.24707528020480996</v>
      </c>
      <c r="J476" s="154">
        <v>768.92011915545811</v>
      </c>
      <c r="K476" s="154">
        <v>614173</v>
      </c>
      <c r="L476" s="154">
        <v>628155.26882853196</v>
      </c>
      <c r="M476" s="154">
        <v>48.494424927353521</v>
      </c>
      <c r="N476" s="154">
        <v>102.12437977595765</v>
      </c>
      <c r="O476" s="154">
        <v>182.04694261810261</v>
      </c>
      <c r="P476" s="154" t="s">
        <v>421</v>
      </c>
      <c r="Q476" s="154">
        <v>5572.4467466340657</v>
      </c>
      <c r="R476" s="154">
        <v>4011.8684244520568</v>
      </c>
      <c r="S476" s="154">
        <v>0.83126155353060061</v>
      </c>
      <c r="T476" s="154">
        <v>9.1946440052800842</v>
      </c>
      <c r="U476" s="154">
        <v>9.7990334834789934</v>
      </c>
      <c r="V476" s="154">
        <v>11416.801617699986</v>
      </c>
      <c r="W476" s="154">
        <v>234.78694932072267</v>
      </c>
      <c r="X476" s="154">
        <v>1192.1784836559998</v>
      </c>
      <c r="Y476" s="154">
        <v>17389.627904589386</v>
      </c>
      <c r="Z476" s="154">
        <v>0.79999976391264838</v>
      </c>
      <c r="AC476" s="28" t="s">
        <v>421</v>
      </c>
      <c r="AD476" s="28" t="s">
        <v>421</v>
      </c>
      <c r="AE476" s="9" t="s">
        <v>1626</v>
      </c>
      <c r="AF476" s="28" t="s">
        <v>1626</v>
      </c>
      <c r="AG476" s="28">
        <v>0.45300000000000001</v>
      </c>
      <c r="AH476" s="28">
        <v>32.421500000000002</v>
      </c>
      <c r="AI476" s="28" t="s">
        <v>1626</v>
      </c>
      <c r="AJ476" s="28" t="s">
        <v>1626</v>
      </c>
      <c r="AK476" s="28" t="s">
        <v>1626</v>
      </c>
      <c r="AL476" s="28">
        <v>61.417299999999997</v>
      </c>
      <c r="AM476" s="28" t="s">
        <v>1626</v>
      </c>
      <c r="AN476" s="28">
        <v>1.9169</v>
      </c>
      <c r="AO476" s="28" t="s">
        <v>1626</v>
      </c>
      <c r="AP476" s="156">
        <f t="shared" si="7"/>
        <v>96.208699999999993</v>
      </c>
    </row>
    <row r="477" spans="1:42" x14ac:dyDescent="0.2">
      <c r="A477" s="9" t="s">
        <v>1357</v>
      </c>
      <c r="B477" s="9" t="s">
        <v>1358</v>
      </c>
      <c r="C477" s="9" t="s">
        <v>127</v>
      </c>
      <c r="D477" s="9" t="s">
        <v>136</v>
      </c>
      <c r="E477" s="154">
        <v>326888.71255526843</v>
      </c>
      <c r="F477" s="154">
        <v>318473.09470159485</v>
      </c>
      <c r="G477" s="154">
        <v>144.77447188158988</v>
      </c>
      <c r="H477" s="154">
        <v>8481.5255505466903</v>
      </c>
      <c r="I477" s="154">
        <v>4.1114432074642993E-2</v>
      </c>
      <c r="J477" s="154">
        <v>6.2336672415316716</v>
      </c>
      <c r="K477" s="154">
        <v>637629</v>
      </c>
      <c r="L477" s="154">
        <v>632112.3979371551</v>
      </c>
      <c r="M477" s="154">
        <v>41.05485586089172</v>
      </c>
      <c r="N477" s="154">
        <v>11.552525348434424</v>
      </c>
      <c r="O477" s="154">
        <v>34.636803984232237</v>
      </c>
      <c r="P477" s="154">
        <v>1.8192860264380084</v>
      </c>
      <c r="Q477" s="154">
        <v>871.14357592446856</v>
      </c>
      <c r="R477" s="154">
        <v>9547.2232116167052</v>
      </c>
      <c r="S477" s="154">
        <v>1.3711364853600776</v>
      </c>
      <c r="T477" s="154">
        <v>5.6893725251032352</v>
      </c>
      <c r="U477" s="154">
        <v>5.5478225863838011</v>
      </c>
      <c r="V477" s="154">
        <v>4403.587066135542</v>
      </c>
      <c r="W477" s="154">
        <v>209.03952806397828</v>
      </c>
      <c r="X477" s="154">
        <v>330.45160704982214</v>
      </c>
      <c r="Y477" s="154">
        <v>4836.5712985488235</v>
      </c>
      <c r="Z477" s="154">
        <v>1.3517926187747267</v>
      </c>
      <c r="AC477" s="28" t="s">
        <v>421</v>
      </c>
      <c r="AD477" s="28" t="s">
        <v>421</v>
      </c>
      <c r="AE477" s="9" t="s">
        <v>1626</v>
      </c>
      <c r="AF477" s="28" t="s">
        <v>1626</v>
      </c>
      <c r="AG477" s="28">
        <v>0.05</v>
      </c>
      <c r="AH477" s="28">
        <v>32.500399999999999</v>
      </c>
      <c r="AI477" s="28" t="s">
        <v>1626</v>
      </c>
      <c r="AJ477" s="28" t="s">
        <v>1626</v>
      </c>
      <c r="AK477" s="28" t="s">
        <v>1626</v>
      </c>
      <c r="AL477" s="28">
        <v>63.762900000000002</v>
      </c>
      <c r="AM477" s="28" t="s">
        <v>1626</v>
      </c>
      <c r="AN477" s="28">
        <v>1.4789000000000001</v>
      </c>
      <c r="AO477" s="28" t="s">
        <v>1626</v>
      </c>
      <c r="AP477" s="156">
        <f t="shared" si="7"/>
        <v>97.792199999999994</v>
      </c>
    </row>
    <row r="478" spans="1:42" x14ac:dyDescent="0.2">
      <c r="A478" s="9" t="s">
        <v>1359</v>
      </c>
      <c r="B478" s="9" t="s">
        <v>1360</v>
      </c>
      <c r="C478" s="9" t="s">
        <v>127</v>
      </c>
      <c r="D478" s="9" t="s">
        <v>136</v>
      </c>
      <c r="E478" s="154">
        <v>332968.61304971029</v>
      </c>
      <c r="F478" s="154">
        <v>323907.05679215683</v>
      </c>
      <c r="G478" s="154">
        <v>231.30450132844379</v>
      </c>
      <c r="H478" s="154">
        <v>11526.615299933648</v>
      </c>
      <c r="I478" s="154">
        <v>4.1221423955714376E-2</v>
      </c>
      <c r="J478" s="154">
        <v>121.73726994132819</v>
      </c>
      <c r="K478" s="154">
        <v>641989</v>
      </c>
      <c r="L478" s="154">
        <v>652715.21550170251</v>
      </c>
      <c r="M478" s="154">
        <v>40.673899732719363</v>
      </c>
      <c r="N478" s="154">
        <v>42.091525344580987</v>
      </c>
      <c r="O478" s="154">
        <v>95.38965716904363</v>
      </c>
      <c r="P478" s="154">
        <v>1.8319153851160996</v>
      </c>
      <c r="Q478" s="154">
        <v>54.542602327898464</v>
      </c>
      <c r="R478" s="154">
        <v>116.05174630306789</v>
      </c>
      <c r="S478" s="154" t="s">
        <v>421</v>
      </c>
      <c r="T478" s="154">
        <v>0.38802876167091749</v>
      </c>
      <c r="U478" s="154">
        <v>0.26781039596822998</v>
      </c>
      <c r="V478" s="154">
        <v>8226.3812262513056</v>
      </c>
      <c r="W478" s="154">
        <v>3.6315011845488692</v>
      </c>
      <c r="X478" s="154">
        <v>1476.5188820101644</v>
      </c>
      <c r="Y478" s="154">
        <v>10901.012503908287</v>
      </c>
      <c r="Z478" s="154" t="s">
        <v>421</v>
      </c>
      <c r="AC478" s="28" t="s">
        <v>421</v>
      </c>
      <c r="AD478" s="28" t="s">
        <v>421</v>
      </c>
      <c r="AE478" s="9" t="s">
        <v>1626</v>
      </c>
      <c r="AF478" s="28" t="s">
        <v>1626</v>
      </c>
      <c r="AG478" s="28">
        <v>4.7999999999999996E-3</v>
      </c>
      <c r="AH478" s="28">
        <v>32.5212</v>
      </c>
      <c r="AI478" s="28" t="s">
        <v>1626</v>
      </c>
      <c r="AJ478" s="28" t="s">
        <v>1626</v>
      </c>
      <c r="AK478" s="28" t="s">
        <v>1626</v>
      </c>
      <c r="AL478" s="28">
        <v>64.198899999999995</v>
      </c>
      <c r="AM478" s="28" t="s">
        <v>1626</v>
      </c>
      <c r="AN478" s="28">
        <v>1.0766</v>
      </c>
      <c r="AO478" s="28" t="s">
        <v>1626</v>
      </c>
      <c r="AP478" s="156">
        <f t="shared" si="7"/>
        <v>97.80149999999999</v>
      </c>
    </row>
    <row r="479" spans="1:42" x14ac:dyDescent="0.2">
      <c r="A479" s="9" t="s">
        <v>1361</v>
      </c>
      <c r="B479" s="9" t="s">
        <v>1362</v>
      </c>
      <c r="C479" s="9" t="s">
        <v>127</v>
      </c>
      <c r="D479" s="9" t="s">
        <v>136</v>
      </c>
      <c r="E479" s="154">
        <v>325161.57298821997</v>
      </c>
      <c r="F479" s="154">
        <v>316895.79100552853</v>
      </c>
      <c r="G479" s="154">
        <v>252.94894544068302</v>
      </c>
      <c r="H479" s="154">
        <v>8585.5958345730469</v>
      </c>
      <c r="I479" s="154" t="s">
        <v>421</v>
      </c>
      <c r="J479" s="154">
        <v>17.684099630548157</v>
      </c>
      <c r="K479" s="154">
        <v>638408</v>
      </c>
      <c r="L479" s="154">
        <v>634662.59857659705</v>
      </c>
      <c r="M479" s="154">
        <v>32.230525108808514</v>
      </c>
      <c r="N479" s="154">
        <v>71.128979445783685</v>
      </c>
      <c r="O479" s="154">
        <v>79.538982757651368</v>
      </c>
      <c r="P479" s="154" t="s">
        <v>421</v>
      </c>
      <c r="Q479" s="154">
        <v>107.76087767150729</v>
      </c>
      <c r="R479" s="154">
        <v>737.12985549525865</v>
      </c>
      <c r="S479" s="154" t="s">
        <v>421</v>
      </c>
      <c r="T479" s="154">
        <v>0.24026988137146132</v>
      </c>
      <c r="U479" s="154">
        <v>0.24145745702428328</v>
      </c>
      <c r="V479" s="154">
        <v>7707.1749299817175</v>
      </c>
      <c r="W479" s="154">
        <v>6.3312271241760607</v>
      </c>
      <c r="X479" s="154">
        <v>1372.1871028863231</v>
      </c>
      <c r="Y479" s="154">
        <v>12035.789613222447</v>
      </c>
      <c r="Z479" s="154" t="s">
        <v>421</v>
      </c>
      <c r="AC479" s="28" t="s">
        <v>421</v>
      </c>
      <c r="AD479" s="28" t="s">
        <v>421</v>
      </c>
      <c r="AE479" s="9" t="s">
        <v>1626</v>
      </c>
      <c r="AF479" s="28" t="s">
        <v>1626</v>
      </c>
      <c r="AG479" s="28">
        <v>6.25E-2</v>
      </c>
      <c r="AH479" s="28">
        <v>32.589700000000001</v>
      </c>
      <c r="AI479" s="28" t="s">
        <v>1626</v>
      </c>
      <c r="AJ479" s="28" t="s">
        <v>1626</v>
      </c>
      <c r="AK479" s="28" t="s">
        <v>1626</v>
      </c>
      <c r="AL479" s="28">
        <v>63.840800000000002</v>
      </c>
      <c r="AM479" s="28" t="s">
        <v>1626</v>
      </c>
      <c r="AN479" s="28">
        <v>1.0446</v>
      </c>
      <c r="AO479" s="28" t="s">
        <v>1626</v>
      </c>
      <c r="AP479" s="156">
        <f t="shared" si="7"/>
        <v>97.537599999999998</v>
      </c>
    </row>
    <row r="480" spans="1:42" x14ac:dyDescent="0.2">
      <c r="A480" s="9" t="s">
        <v>1363</v>
      </c>
      <c r="B480" s="9" t="s">
        <v>1364</v>
      </c>
      <c r="C480" s="9" t="s">
        <v>127</v>
      </c>
      <c r="D480" s="9" t="s">
        <v>136</v>
      </c>
      <c r="E480" s="154">
        <v>325510.2933896149</v>
      </c>
      <c r="F480" s="154">
        <v>293726.61070793204</v>
      </c>
      <c r="G480" s="154">
        <v>240.81545755266066</v>
      </c>
      <c r="H480" s="154">
        <v>8476.575488698134</v>
      </c>
      <c r="I480" s="154" t="s">
        <v>421</v>
      </c>
      <c r="J480" s="154">
        <v>237.42789907130472</v>
      </c>
      <c r="K480" s="154">
        <v>632661</v>
      </c>
      <c r="L480" s="154">
        <v>632355.00107540155</v>
      </c>
      <c r="M480" s="154">
        <v>35.190688752898026</v>
      </c>
      <c r="N480" s="154">
        <v>65.790624856398665</v>
      </c>
      <c r="O480" s="154">
        <v>81.19212201728206</v>
      </c>
      <c r="P480" s="154" t="s">
        <v>421</v>
      </c>
      <c r="Q480" s="154">
        <v>65.162856049288408</v>
      </c>
      <c r="R480" s="154">
        <v>573.49627633978753</v>
      </c>
      <c r="S480" s="154" t="s">
        <v>421</v>
      </c>
      <c r="T480" s="154">
        <v>0.30320476576135802</v>
      </c>
      <c r="U480" s="154">
        <v>0.78022475359787435</v>
      </c>
      <c r="V480" s="154">
        <v>7840.134926192165</v>
      </c>
      <c r="W480" s="154">
        <v>6.076812673885045</v>
      </c>
      <c r="X480" s="154">
        <v>787.98010591290756</v>
      </c>
      <c r="Y480" s="154">
        <v>10536.40770689463</v>
      </c>
      <c r="Z480" s="154" t="s">
        <v>421</v>
      </c>
      <c r="AC480" s="28" t="s">
        <v>421</v>
      </c>
      <c r="AD480" s="28" t="s">
        <v>421</v>
      </c>
      <c r="AE480" s="9" t="s">
        <v>1626</v>
      </c>
      <c r="AF480" s="28" t="s">
        <v>1626</v>
      </c>
      <c r="AG480" s="28">
        <v>7.1900000000000006E-2</v>
      </c>
      <c r="AH480" s="28">
        <v>32.560600000000001</v>
      </c>
      <c r="AI480" s="28" t="s">
        <v>1626</v>
      </c>
      <c r="AJ480" s="28" t="s">
        <v>1626</v>
      </c>
      <c r="AK480" s="28" t="s">
        <v>1626</v>
      </c>
      <c r="AL480" s="28">
        <v>63.266100000000002</v>
      </c>
      <c r="AM480" s="28" t="s">
        <v>1626</v>
      </c>
      <c r="AN480" s="28">
        <v>1.7745</v>
      </c>
      <c r="AO480" s="28" t="s">
        <v>1626</v>
      </c>
      <c r="AP480" s="156">
        <f t="shared" si="7"/>
        <v>97.673100000000005</v>
      </c>
    </row>
    <row r="481" spans="1:42" x14ac:dyDescent="0.2">
      <c r="A481" s="9" t="s">
        <v>1365</v>
      </c>
      <c r="B481" s="9" t="s">
        <v>1366</v>
      </c>
      <c r="C481" s="9" t="s">
        <v>127</v>
      </c>
      <c r="D481" s="9" t="s">
        <v>136</v>
      </c>
      <c r="E481" s="154">
        <v>326893.93319589796</v>
      </c>
      <c r="F481" s="154">
        <v>309699.93056406878</v>
      </c>
      <c r="G481" s="154">
        <v>235.81507159450112</v>
      </c>
      <c r="H481" s="154">
        <v>9931.628575416491</v>
      </c>
      <c r="I481" s="154">
        <v>5.1473396174205113E-2</v>
      </c>
      <c r="J481" s="154">
        <v>37.335806503145079</v>
      </c>
      <c r="K481" s="154">
        <v>629039</v>
      </c>
      <c r="L481" s="154">
        <v>633197.19994438591</v>
      </c>
      <c r="M481" s="154">
        <v>42.040191645552703</v>
      </c>
      <c r="N481" s="154">
        <v>64.409700992582955</v>
      </c>
      <c r="O481" s="154">
        <v>86.759075388970601</v>
      </c>
      <c r="P481" s="154" t="s">
        <v>421</v>
      </c>
      <c r="Q481" s="154">
        <v>95.793210061355168</v>
      </c>
      <c r="R481" s="154">
        <v>624.21162989666357</v>
      </c>
      <c r="S481" s="154" t="s">
        <v>421</v>
      </c>
      <c r="T481" s="154">
        <v>0.29006449856074623</v>
      </c>
      <c r="U481" s="154">
        <v>0.38140082285738286</v>
      </c>
      <c r="V481" s="154">
        <v>7830.5918928614092</v>
      </c>
      <c r="W481" s="154">
        <v>6.3851307249747409</v>
      </c>
      <c r="X481" s="154">
        <v>1464.1294693411353</v>
      </c>
      <c r="Y481" s="154">
        <v>10784.548160086046</v>
      </c>
      <c r="Z481" s="154" t="s">
        <v>421</v>
      </c>
      <c r="AC481" s="28" t="s">
        <v>421</v>
      </c>
      <c r="AD481" s="28" t="s">
        <v>421</v>
      </c>
      <c r="AE481" s="9" t="s">
        <v>1626</v>
      </c>
      <c r="AF481" s="28" t="s">
        <v>1626</v>
      </c>
      <c r="AG481" s="28">
        <v>8.1900000000000001E-2</v>
      </c>
      <c r="AH481" s="28">
        <v>32.4863</v>
      </c>
      <c r="AI481" s="28" t="s">
        <v>1626</v>
      </c>
      <c r="AJ481" s="28" t="s">
        <v>1626</v>
      </c>
      <c r="AK481" s="28" t="s">
        <v>1626</v>
      </c>
      <c r="AL481" s="28">
        <v>62.9039</v>
      </c>
      <c r="AM481" s="28" t="s">
        <v>1626</v>
      </c>
      <c r="AN481" s="28">
        <v>1.6345000000000001</v>
      </c>
      <c r="AO481" s="28" t="s">
        <v>1626</v>
      </c>
      <c r="AP481" s="156">
        <f t="shared" si="7"/>
        <v>97.1066</v>
      </c>
    </row>
    <row r="482" spans="1:42" x14ac:dyDescent="0.2">
      <c r="A482" s="9" t="s">
        <v>1367</v>
      </c>
      <c r="B482" s="9" t="s">
        <v>1368</v>
      </c>
      <c r="C482" s="9" t="s">
        <v>127</v>
      </c>
      <c r="D482" s="9" t="s">
        <v>136</v>
      </c>
      <c r="E482" s="154">
        <v>319752.09342020005</v>
      </c>
      <c r="F482" s="154">
        <v>312985.72625818418</v>
      </c>
      <c r="G482" s="154">
        <v>213.49291367921631</v>
      </c>
      <c r="H482" s="154">
        <v>7686.1045122305959</v>
      </c>
      <c r="I482" s="154">
        <v>7.5465658988292383E-2</v>
      </c>
      <c r="J482" s="154">
        <v>24.666640369137451</v>
      </c>
      <c r="K482" s="154">
        <v>631286</v>
      </c>
      <c r="L482" s="154">
        <v>623115.81160416547</v>
      </c>
      <c r="M482" s="154">
        <v>24.502333958079991</v>
      </c>
      <c r="N482" s="154">
        <v>24.566478239703763</v>
      </c>
      <c r="O482" s="154">
        <v>71.4834259529364</v>
      </c>
      <c r="P482" s="154">
        <v>1.6288378335743461</v>
      </c>
      <c r="Q482" s="154">
        <v>111.03162632146997</v>
      </c>
      <c r="R482" s="154">
        <v>3730.4237468925326</v>
      </c>
      <c r="S482" s="154">
        <v>0.72225309161436624</v>
      </c>
      <c r="T482" s="154">
        <v>1.2859669419626403</v>
      </c>
      <c r="U482" s="154">
        <v>1.2025215946254595</v>
      </c>
      <c r="V482" s="154">
        <v>8282.1571434624238</v>
      </c>
      <c r="W482" s="154">
        <v>49.811690005342903</v>
      </c>
      <c r="X482" s="154">
        <v>1279.7229431908611</v>
      </c>
      <c r="Y482" s="154">
        <v>9409.0155659345764</v>
      </c>
      <c r="Z482" s="154">
        <v>0.7178808040116933</v>
      </c>
      <c r="AC482" s="28" t="s">
        <v>421</v>
      </c>
      <c r="AD482" s="28" t="s">
        <v>421</v>
      </c>
      <c r="AE482" s="9" t="s">
        <v>1626</v>
      </c>
      <c r="AF482" s="28" t="s">
        <v>1626</v>
      </c>
      <c r="AG482" s="28">
        <v>0.35970000000000002</v>
      </c>
      <c r="AH482" s="28">
        <v>32.437800000000003</v>
      </c>
      <c r="AI482" s="28" t="s">
        <v>1626</v>
      </c>
      <c r="AJ482" s="28" t="s">
        <v>1626</v>
      </c>
      <c r="AK482" s="28" t="s">
        <v>1626</v>
      </c>
      <c r="AL482" s="28">
        <v>63.128599999999999</v>
      </c>
      <c r="AM482" s="28" t="s">
        <v>1626</v>
      </c>
      <c r="AN482" s="28">
        <v>1.3657999999999999</v>
      </c>
      <c r="AO482" s="28" t="s">
        <v>1626</v>
      </c>
      <c r="AP482" s="156">
        <f t="shared" si="7"/>
        <v>97.291899999999984</v>
      </c>
    </row>
    <row r="483" spans="1:42" x14ac:dyDescent="0.2">
      <c r="A483" s="9" t="s">
        <v>1369</v>
      </c>
      <c r="B483" s="9" t="s">
        <v>1370</v>
      </c>
      <c r="C483" s="9" t="s">
        <v>127</v>
      </c>
      <c r="D483" s="9" t="s">
        <v>136</v>
      </c>
      <c r="E483" s="154">
        <v>321257.90632310737</v>
      </c>
      <c r="F483" s="154">
        <v>308191.25015095429</v>
      </c>
      <c r="G483" s="154">
        <v>199.33725342564989</v>
      </c>
      <c r="H483" s="154">
        <v>9126.29552610869</v>
      </c>
      <c r="I483" s="154">
        <v>7.2287118531508848E-2</v>
      </c>
      <c r="J483" s="154">
        <v>241.92130695265135</v>
      </c>
      <c r="K483" s="154">
        <v>639486</v>
      </c>
      <c r="L483" s="154">
        <v>642993.3742313215</v>
      </c>
      <c r="M483" s="154">
        <v>36.515635207339827</v>
      </c>
      <c r="N483" s="154">
        <v>22.893863929551848</v>
      </c>
      <c r="O483" s="154">
        <v>49.66076226202162</v>
      </c>
      <c r="P483" s="154" t="s">
        <v>421</v>
      </c>
      <c r="Q483" s="154">
        <v>36.48056615648823</v>
      </c>
      <c r="R483" s="154">
        <v>1936.6495727941492</v>
      </c>
      <c r="S483" s="154">
        <v>0.50442136823576078</v>
      </c>
      <c r="T483" s="154">
        <v>0.48872983278823762</v>
      </c>
      <c r="U483" s="154">
        <v>0.45833933854760889</v>
      </c>
      <c r="V483" s="154">
        <v>6064.9061633434549</v>
      </c>
      <c r="W483" s="154">
        <v>26.030453032013998</v>
      </c>
      <c r="X483" s="154">
        <v>544.91541872190578</v>
      </c>
      <c r="Y483" s="154">
        <v>6938.543588853895</v>
      </c>
      <c r="Z483" s="154">
        <v>0.50275968680428074</v>
      </c>
      <c r="AC483" s="28" t="s">
        <v>421</v>
      </c>
      <c r="AD483" s="28" t="s">
        <v>421</v>
      </c>
      <c r="AE483" s="9" t="s">
        <v>1626</v>
      </c>
      <c r="AF483" s="28" t="s">
        <v>1626</v>
      </c>
      <c r="AG483" s="28">
        <v>0.1492</v>
      </c>
      <c r="AH483" s="28">
        <v>32.601599999999998</v>
      </c>
      <c r="AI483" s="28" t="s">
        <v>1626</v>
      </c>
      <c r="AJ483" s="28" t="s">
        <v>1626</v>
      </c>
      <c r="AK483" s="28" t="s">
        <v>1626</v>
      </c>
      <c r="AL483" s="28">
        <v>63.948599999999999</v>
      </c>
      <c r="AM483" s="28" t="s">
        <v>1626</v>
      </c>
      <c r="AN483" s="28">
        <v>1.2381</v>
      </c>
      <c r="AO483" s="28" t="s">
        <v>1626</v>
      </c>
      <c r="AP483" s="156">
        <f t="shared" si="7"/>
        <v>97.9375</v>
      </c>
    </row>
    <row r="484" spans="1:42" x14ac:dyDescent="0.2">
      <c r="A484" s="9" t="s">
        <v>1371</v>
      </c>
      <c r="B484" s="9" t="s">
        <v>1372</v>
      </c>
      <c r="C484" s="9" t="s">
        <v>127</v>
      </c>
      <c r="D484" s="9" t="s">
        <v>136</v>
      </c>
      <c r="E484" s="154">
        <v>317787.36101564066</v>
      </c>
      <c r="F484" s="154">
        <v>312905.16389446141</v>
      </c>
      <c r="G484" s="154">
        <v>244.59395799847709</v>
      </c>
      <c r="H484" s="154">
        <v>10754.736102700241</v>
      </c>
      <c r="I484" s="154">
        <v>8.7502188750000764E-2</v>
      </c>
      <c r="J484" s="154">
        <v>232.82971968542614</v>
      </c>
      <c r="K484" s="154">
        <v>642211.00000000012</v>
      </c>
      <c r="L484" s="154">
        <v>646748.99208555475</v>
      </c>
      <c r="M484" s="154">
        <v>43.608636314147553</v>
      </c>
      <c r="N484" s="154">
        <v>63.407738946845505</v>
      </c>
      <c r="O484" s="154">
        <v>115.89287744717586</v>
      </c>
      <c r="P484" s="154" t="s">
        <v>421</v>
      </c>
      <c r="Q484" s="154">
        <v>74.575267654750434</v>
      </c>
      <c r="R484" s="154">
        <v>51.481350307559289</v>
      </c>
      <c r="S484" s="154" t="s">
        <v>421</v>
      </c>
      <c r="T484" s="154">
        <v>0.3140104318335406</v>
      </c>
      <c r="U484" s="154">
        <v>0.26581884998967015</v>
      </c>
      <c r="V484" s="154">
        <v>7956.3183759071089</v>
      </c>
      <c r="W484" s="154">
        <v>3.7625055391650415</v>
      </c>
      <c r="X484" s="154">
        <v>1467.1895316291909</v>
      </c>
      <c r="Y484" s="154">
        <v>12553.525826544765</v>
      </c>
      <c r="Z484" s="154" t="s">
        <v>421</v>
      </c>
      <c r="AC484" s="28" t="s">
        <v>421</v>
      </c>
      <c r="AD484" s="28" t="s">
        <v>421</v>
      </c>
      <c r="AE484" s="9" t="s">
        <v>1626</v>
      </c>
      <c r="AF484" s="28" t="s">
        <v>1626</v>
      </c>
      <c r="AG484" s="28">
        <v>9.4999999999999998E-3</v>
      </c>
      <c r="AH484" s="28">
        <v>32.536200000000001</v>
      </c>
      <c r="AI484" s="28" t="s">
        <v>1626</v>
      </c>
      <c r="AJ484" s="28" t="s">
        <v>1626</v>
      </c>
      <c r="AK484" s="28" t="s">
        <v>1626</v>
      </c>
      <c r="AL484" s="28">
        <v>64.221100000000007</v>
      </c>
      <c r="AM484" s="28" t="s">
        <v>1626</v>
      </c>
      <c r="AN484" s="28">
        <v>1.2674000000000001</v>
      </c>
      <c r="AO484" s="28" t="s">
        <v>1626</v>
      </c>
      <c r="AP484" s="156">
        <f t="shared" si="7"/>
        <v>98.034200000000013</v>
      </c>
    </row>
    <row r="485" spans="1:42" x14ac:dyDescent="0.2">
      <c r="A485" s="9" t="s">
        <v>1373</v>
      </c>
      <c r="B485" s="9" t="s">
        <v>1374</v>
      </c>
      <c r="C485" s="9" t="s">
        <v>127</v>
      </c>
      <c r="D485" s="9" t="s">
        <v>136</v>
      </c>
      <c r="E485" s="154">
        <v>325075.23930242256</v>
      </c>
      <c r="F485" s="154">
        <v>311404.55693557468</v>
      </c>
      <c r="G485" s="154">
        <v>224.13914488248892</v>
      </c>
      <c r="H485" s="154">
        <v>9217.4685115037773</v>
      </c>
      <c r="I485" s="154">
        <v>8.2085004651772389E-2</v>
      </c>
      <c r="J485" s="154">
        <v>21.536838245743777</v>
      </c>
      <c r="K485" s="154">
        <v>630552</v>
      </c>
      <c r="L485" s="154">
        <v>630496.73479770334</v>
      </c>
      <c r="M485" s="154">
        <v>36.634506181070265</v>
      </c>
      <c r="N485" s="154">
        <v>47.739801221161528</v>
      </c>
      <c r="O485" s="154">
        <v>97.248933482863876</v>
      </c>
      <c r="P485" s="154">
        <v>1.788228950690699</v>
      </c>
      <c r="Q485" s="154">
        <v>86.791333761229936</v>
      </c>
      <c r="R485" s="154">
        <v>107.57675628787493</v>
      </c>
      <c r="S485" s="154" t="s">
        <v>421</v>
      </c>
      <c r="T485" s="154">
        <v>0.32220753385148687</v>
      </c>
      <c r="U485" s="154">
        <v>0.213528090815888</v>
      </c>
      <c r="V485" s="154">
        <v>7776.8400918967754</v>
      </c>
      <c r="W485" s="154">
        <v>4.1078186923001629</v>
      </c>
      <c r="X485" s="154">
        <v>1385.0801786202946</v>
      </c>
      <c r="Y485" s="154">
        <v>10437.564810074278</v>
      </c>
      <c r="Z485" s="154" t="s">
        <v>421</v>
      </c>
      <c r="AC485" s="28" t="s">
        <v>421</v>
      </c>
      <c r="AD485" s="28" t="s">
        <v>421</v>
      </c>
      <c r="AE485" s="9" t="s">
        <v>1626</v>
      </c>
      <c r="AF485" s="28" t="s">
        <v>1626</v>
      </c>
      <c r="AG485" s="28" t="s">
        <v>421</v>
      </c>
      <c r="AH485" s="28">
        <v>32.472000000000001</v>
      </c>
      <c r="AI485" s="28" t="s">
        <v>1626</v>
      </c>
      <c r="AJ485" s="28" t="s">
        <v>1626</v>
      </c>
      <c r="AK485" s="28" t="s">
        <v>1626</v>
      </c>
      <c r="AL485" s="28">
        <v>63.055199999999999</v>
      </c>
      <c r="AM485" s="28" t="s">
        <v>1626</v>
      </c>
      <c r="AN485" s="28">
        <v>2.0085999999999999</v>
      </c>
      <c r="AO485" s="28" t="s">
        <v>1626</v>
      </c>
      <c r="AP485" s="156">
        <f t="shared" si="7"/>
        <v>97.535799999999995</v>
      </c>
    </row>
    <row r="486" spans="1:42" x14ac:dyDescent="0.2">
      <c r="A486" s="9" t="s">
        <v>1375</v>
      </c>
      <c r="B486" s="9" t="s">
        <v>1376</v>
      </c>
      <c r="C486" s="9" t="s">
        <v>127</v>
      </c>
      <c r="D486" s="9" t="s">
        <v>137</v>
      </c>
      <c r="E486" s="154">
        <v>311243.99437737232</v>
      </c>
      <c r="F486" s="154">
        <v>300146.30100932927</v>
      </c>
      <c r="G486" s="154">
        <v>199.69088590459322</v>
      </c>
      <c r="H486" s="154">
        <v>8632.1252851924473</v>
      </c>
      <c r="I486" s="154">
        <v>4.0645759348548909E-2</v>
      </c>
      <c r="J486" s="154" t="s">
        <v>421</v>
      </c>
      <c r="K486" s="154">
        <v>626715</v>
      </c>
      <c r="L486" s="154">
        <v>618434.70054128487</v>
      </c>
      <c r="M486" s="154">
        <v>29.674631209432622</v>
      </c>
      <c r="N486" s="154">
        <v>25.09412423632175</v>
      </c>
      <c r="O486" s="154">
        <v>73.674916931475551</v>
      </c>
      <c r="P486" s="154">
        <v>1.3045524011932526</v>
      </c>
      <c r="Q486" s="154">
        <v>44.822685888252899</v>
      </c>
      <c r="R486" s="154">
        <v>2900.7670538118573</v>
      </c>
      <c r="S486" s="154">
        <v>3.9635041283500136E-2</v>
      </c>
      <c r="T486" s="154">
        <v>0.26209145413386337</v>
      </c>
      <c r="U486" s="154">
        <v>0.21036597745003191</v>
      </c>
      <c r="V486" s="154">
        <v>8591.8657874802902</v>
      </c>
      <c r="W486" s="154">
        <v>69.075140493321783</v>
      </c>
      <c r="X486" s="154">
        <v>1385.6318570502938</v>
      </c>
      <c r="Y486" s="154">
        <v>10016.136064462509</v>
      </c>
      <c r="Z486" s="154">
        <v>3.8743930339445003E-2</v>
      </c>
      <c r="AC486" s="28" t="s">
        <v>421</v>
      </c>
      <c r="AD486" s="28" t="s">
        <v>421</v>
      </c>
      <c r="AE486" s="9" t="s">
        <v>1626</v>
      </c>
      <c r="AF486" s="28" t="s">
        <v>1626</v>
      </c>
      <c r="AG486" s="28">
        <v>0.46820000000000001</v>
      </c>
      <c r="AH486" s="28">
        <v>32.444899999999997</v>
      </c>
      <c r="AI486" s="28" t="s">
        <v>1626</v>
      </c>
      <c r="AJ486" s="28" t="s">
        <v>1626</v>
      </c>
      <c r="AK486" s="28" t="s">
        <v>1626</v>
      </c>
      <c r="AL486" s="28">
        <v>62.671500000000002</v>
      </c>
      <c r="AM486" s="28" t="s">
        <v>1626</v>
      </c>
      <c r="AN486" s="28">
        <v>1.9944</v>
      </c>
      <c r="AO486" s="28" t="s">
        <v>1626</v>
      </c>
      <c r="AP486" s="156">
        <f t="shared" si="7"/>
        <v>97.578999999999994</v>
      </c>
    </row>
    <row r="487" spans="1:42" x14ac:dyDescent="0.2">
      <c r="A487" s="9" t="s">
        <v>1377</v>
      </c>
      <c r="B487" s="9" t="s">
        <v>1378</v>
      </c>
      <c r="C487" s="9" t="s">
        <v>127</v>
      </c>
      <c r="D487" s="9" t="s">
        <v>137</v>
      </c>
      <c r="E487" s="154">
        <v>310718.43074303062</v>
      </c>
      <c r="F487" s="154">
        <v>303266.75613764877</v>
      </c>
      <c r="G487" s="154">
        <v>214.01048598666907</v>
      </c>
      <c r="H487" s="154">
        <v>10154.362900098145</v>
      </c>
      <c r="I487" s="154">
        <v>7.5630907517789725E-2</v>
      </c>
      <c r="J487" s="154">
        <v>1.1865904767246294</v>
      </c>
      <c r="K487" s="154">
        <v>630154</v>
      </c>
      <c r="L487" s="154">
        <v>627526.83440911828</v>
      </c>
      <c r="M487" s="154">
        <v>37.893140719343855</v>
      </c>
      <c r="N487" s="154">
        <v>39.729996881627677</v>
      </c>
      <c r="O487" s="154">
        <v>90.965253421013458</v>
      </c>
      <c r="P487" s="154" t="s">
        <v>421</v>
      </c>
      <c r="Q487" s="154">
        <v>45.160653330061059</v>
      </c>
      <c r="R487" s="154">
        <v>96.265792680847142</v>
      </c>
      <c r="S487" s="154" t="s">
        <v>421</v>
      </c>
      <c r="T487" s="154">
        <v>0.21232599454910722</v>
      </c>
      <c r="U487" s="154">
        <v>0.2000212517628808</v>
      </c>
      <c r="V487" s="154">
        <v>8057.6402691905778</v>
      </c>
      <c r="W487" s="154">
        <v>4.6160511831309048</v>
      </c>
      <c r="X487" s="154">
        <v>1385.2505843875451</v>
      </c>
      <c r="Y487" s="154">
        <v>9499.7382644328336</v>
      </c>
      <c r="Z487" s="154" t="s">
        <v>421</v>
      </c>
      <c r="AC487" s="28" t="s">
        <v>421</v>
      </c>
      <c r="AD487" s="28" t="s">
        <v>421</v>
      </c>
      <c r="AE487" s="9" t="s">
        <v>1626</v>
      </c>
      <c r="AF487" s="28" t="s">
        <v>1626</v>
      </c>
      <c r="AG487" s="28">
        <v>9.2999999999999992E-3</v>
      </c>
      <c r="AH487" s="28">
        <v>32.711100000000002</v>
      </c>
      <c r="AI487" s="28" t="s">
        <v>1626</v>
      </c>
      <c r="AJ487" s="28" t="s">
        <v>1626</v>
      </c>
      <c r="AK487" s="28" t="s">
        <v>1626</v>
      </c>
      <c r="AL487" s="28">
        <v>63.0154</v>
      </c>
      <c r="AM487" s="28" t="s">
        <v>1626</v>
      </c>
      <c r="AN487" s="28">
        <v>1.9252</v>
      </c>
      <c r="AO487" s="28" t="s">
        <v>1626</v>
      </c>
      <c r="AP487" s="156">
        <f t="shared" si="7"/>
        <v>97.661000000000016</v>
      </c>
    </row>
    <row r="488" spans="1:42" x14ac:dyDescent="0.2">
      <c r="A488" s="9" t="s">
        <v>1379</v>
      </c>
      <c r="B488" s="9" t="s">
        <v>1380</v>
      </c>
      <c r="C488" s="9" t="s">
        <v>127</v>
      </c>
      <c r="D488" s="9" t="s">
        <v>137</v>
      </c>
      <c r="E488" s="154">
        <v>315525.43767924444</v>
      </c>
      <c r="F488" s="154">
        <v>306952.50928045803</v>
      </c>
      <c r="G488" s="154">
        <v>150.25512061091845</v>
      </c>
      <c r="H488" s="154">
        <v>6157.2286303578312</v>
      </c>
      <c r="I488" s="154" t="s">
        <v>421</v>
      </c>
      <c r="J488" s="154">
        <v>75.338627196513428</v>
      </c>
      <c r="K488" s="154">
        <v>637818</v>
      </c>
      <c r="L488" s="154">
        <v>638134.2457982403</v>
      </c>
      <c r="M488" s="154">
        <v>24.684558907251947</v>
      </c>
      <c r="N488" s="154">
        <v>20.473288122902048</v>
      </c>
      <c r="O488" s="154">
        <v>46.104934005966811</v>
      </c>
      <c r="P488" s="154">
        <v>1.3261807855457626</v>
      </c>
      <c r="Q488" s="154">
        <v>19.865278366800919</v>
      </c>
      <c r="R488" s="154">
        <v>1433.8161193351507</v>
      </c>
      <c r="S488" s="154" t="s">
        <v>421</v>
      </c>
      <c r="T488" s="154" t="s">
        <v>421</v>
      </c>
      <c r="U488" s="154">
        <v>0.15836208437265195</v>
      </c>
      <c r="V488" s="154">
        <v>5830.9279263966073</v>
      </c>
      <c r="W488" s="154">
        <v>12.137818813772846</v>
      </c>
      <c r="X488" s="154">
        <v>502.57646978859356</v>
      </c>
      <c r="Y488" s="154">
        <v>6501.3334772125281</v>
      </c>
      <c r="Z488" s="154" t="s">
        <v>421</v>
      </c>
      <c r="AC488" s="28" t="s">
        <v>421</v>
      </c>
      <c r="AD488" s="28" t="s">
        <v>421</v>
      </c>
      <c r="AE488" s="9" t="s">
        <v>1626</v>
      </c>
      <c r="AF488" s="28" t="s">
        <v>1626</v>
      </c>
      <c r="AG488" s="28">
        <v>0.1885</v>
      </c>
      <c r="AH488" s="28">
        <v>32.648200000000003</v>
      </c>
      <c r="AI488" s="28" t="s">
        <v>1626</v>
      </c>
      <c r="AJ488" s="28" t="s">
        <v>1626</v>
      </c>
      <c r="AK488" s="28" t="s">
        <v>1626</v>
      </c>
      <c r="AL488" s="28">
        <v>63.781799999999997</v>
      </c>
      <c r="AM488" s="28" t="s">
        <v>1626</v>
      </c>
      <c r="AN488" s="28">
        <v>1.3997999999999999</v>
      </c>
      <c r="AO488" s="28" t="s">
        <v>1626</v>
      </c>
      <c r="AP488" s="156">
        <f t="shared" si="7"/>
        <v>98.018299999999996</v>
      </c>
    </row>
    <row r="489" spans="1:42" x14ac:dyDescent="0.2">
      <c r="A489" s="9" t="s">
        <v>1381</v>
      </c>
      <c r="B489" s="9" t="s">
        <v>1382</v>
      </c>
      <c r="C489" s="9" t="s">
        <v>127</v>
      </c>
      <c r="D489" s="9" t="s">
        <v>137</v>
      </c>
      <c r="E489" s="154">
        <v>322131.68336095172</v>
      </c>
      <c r="F489" s="154">
        <v>310758.24495173967</v>
      </c>
      <c r="G489" s="154">
        <v>190.20864613917635</v>
      </c>
      <c r="H489" s="154">
        <v>10976.500852055631</v>
      </c>
      <c r="I489" s="154">
        <v>4.7058619408948767E-2</v>
      </c>
      <c r="J489" s="154">
        <v>0.89907193861228962</v>
      </c>
      <c r="K489" s="154">
        <v>640757</v>
      </c>
      <c r="L489" s="154">
        <v>648231.47039189632</v>
      </c>
      <c r="M489" s="154">
        <v>37.115614876885793</v>
      </c>
      <c r="N489" s="154">
        <v>25.246863261735314</v>
      </c>
      <c r="O489" s="154">
        <v>65.890839185558548</v>
      </c>
      <c r="P489" s="154">
        <v>1.8095619297221641</v>
      </c>
      <c r="Q489" s="154">
        <v>17.983009479735312</v>
      </c>
      <c r="R489" s="154">
        <v>294.46237125814298</v>
      </c>
      <c r="S489" s="154" t="s">
        <v>421</v>
      </c>
      <c r="T489" s="154" t="s">
        <v>421</v>
      </c>
      <c r="U489" s="154">
        <v>0.22834119282997659</v>
      </c>
      <c r="V489" s="154">
        <v>6708.0910319367731</v>
      </c>
      <c r="W489" s="154">
        <v>4.8979080539776074</v>
      </c>
      <c r="X489" s="154">
        <v>1101.7496734888603</v>
      </c>
      <c r="Y489" s="154">
        <v>6778.8145319646337</v>
      </c>
      <c r="Z489" s="154" t="s">
        <v>421</v>
      </c>
      <c r="AC489" s="28" t="s">
        <v>421</v>
      </c>
      <c r="AD489" s="28" t="s">
        <v>421</v>
      </c>
      <c r="AE489" s="9" t="s">
        <v>1626</v>
      </c>
      <c r="AF489" s="28" t="s">
        <v>1626</v>
      </c>
      <c r="AG489" s="28">
        <v>0.34610000000000002</v>
      </c>
      <c r="AH489" s="28">
        <v>32.707299999999996</v>
      </c>
      <c r="AI489" s="28" t="s">
        <v>1626</v>
      </c>
      <c r="AJ489" s="28" t="s">
        <v>1626</v>
      </c>
      <c r="AK489" s="28" t="s">
        <v>1626</v>
      </c>
      <c r="AL489" s="28">
        <v>64.075699999999998</v>
      </c>
      <c r="AM489" s="28" t="s">
        <v>1626</v>
      </c>
      <c r="AN489" s="28">
        <v>1.5495000000000001</v>
      </c>
      <c r="AO489" s="28" t="s">
        <v>1626</v>
      </c>
      <c r="AP489" s="156">
        <f t="shared" si="7"/>
        <v>98.678599999999989</v>
      </c>
    </row>
    <row r="490" spans="1:42" x14ac:dyDescent="0.2">
      <c r="A490" s="9" t="s">
        <v>1383</v>
      </c>
      <c r="B490" s="9" t="s">
        <v>1384</v>
      </c>
      <c r="C490" s="9" t="s">
        <v>127</v>
      </c>
      <c r="D490" s="9" t="s">
        <v>137</v>
      </c>
      <c r="E490" s="154">
        <v>316668.45969702961</v>
      </c>
      <c r="F490" s="154">
        <v>308926.60865493881</v>
      </c>
      <c r="G490" s="154">
        <v>201.52704154885075</v>
      </c>
      <c r="H490" s="154">
        <v>7243.1565614909196</v>
      </c>
      <c r="I490" s="154">
        <v>4.4695962441843574E-2</v>
      </c>
      <c r="J490" s="154">
        <v>0.13907662958191894</v>
      </c>
      <c r="K490" s="154">
        <v>633288</v>
      </c>
      <c r="L490" s="154">
        <v>636088.68834572169</v>
      </c>
      <c r="M490" s="154">
        <v>24.342499883057368</v>
      </c>
      <c r="N490" s="154">
        <v>27.455490065426648</v>
      </c>
      <c r="O490" s="154">
        <v>70.021539413784666</v>
      </c>
      <c r="P490" s="154" t="s">
        <v>421</v>
      </c>
      <c r="Q490" s="154">
        <v>140.60698113635416</v>
      </c>
      <c r="R490" s="154">
        <v>3786.7934296403682</v>
      </c>
      <c r="S490" s="154">
        <v>0.37551396073619481</v>
      </c>
      <c r="T490" s="154">
        <v>1.0561392505592373</v>
      </c>
      <c r="U490" s="154">
        <v>0.65703964021342132</v>
      </c>
      <c r="V490" s="154">
        <v>8186.1347466637362</v>
      </c>
      <c r="W490" s="154">
        <v>143.39472239046512</v>
      </c>
      <c r="X490" s="154">
        <v>1278.7764338437246</v>
      </c>
      <c r="Y490" s="154">
        <v>10966.639702297236</v>
      </c>
      <c r="Z490" s="154">
        <v>0.37192308728429341</v>
      </c>
      <c r="AC490" s="28" t="s">
        <v>421</v>
      </c>
      <c r="AD490" s="28" t="s">
        <v>421</v>
      </c>
      <c r="AE490" s="9" t="s">
        <v>1626</v>
      </c>
      <c r="AF490" s="28" t="s">
        <v>1626</v>
      </c>
      <c r="AG490" s="28">
        <v>0.67079999999999995</v>
      </c>
      <c r="AH490" s="28">
        <v>32.589399999999998</v>
      </c>
      <c r="AI490" s="28" t="s">
        <v>1626</v>
      </c>
      <c r="AJ490" s="28" t="s">
        <v>1626</v>
      </c>
      <c r="AK490" s="28" t="s">
        <v>1626</v>
      </c>
      <c r="AL490" s="28">
        <v>63.328800000000001</v>
      </c>
      <c r="AM490" s="28" t="s">
        <v>1626</v>
      </c>
      <c r="AN490" s="28">
        <v>1.2884</v>
      </c>
      <c r="AO490" s="28" t="s">
        <v>1626</v>
      </c>
      <c r="AP490" s="156">
        <f t="shared" si="7"/>
        <v>97.877399999999994</v>
      </c>
    </row>
    <row r="491" spans="1:42" x14ac:dyDescent="0.2">
      <c r="A491" s="9" t="s">
        <v>1385</v>
      </c>
      <c r="B491" s="9" t="s">
        <v>1386</v>
      </c>
      <c r="C491" s="9" t="s">
        <v>127</v>
      </c>
      <c r="D491" s="9" t="s">
        <v>137</v>
      </c>
      <c r="E491" s="154">
        <v>329606.12490106584</v>
      </c>
      <c r="F491" s="154">
        <v>321399.21310074074</v>
      </c>
      <c r="G491" s="154">
        <v>154.69020440755872</v>
      </c>
      <c r="H491" s="154">
        <v>7461.4281984418858</v>
      </c>
      <c r="I491" s="154" t="s">
        <v>421</v>
      </c>
      <c r="J491" s="154">
        <v>35.678623955219457</v>
      </c>
      <c r="K491" s="154">
        <v>643642</v>
      </c>
      <c r="L491" s="154">
        <v>639490.77234062657</v>
      </c>
      <c r="M491" s="154">
        <v>34.585232654279324</v>
      </c>
      <c r="N491" s="154">
        <v>17.112713436622801</v>
      </c>
      <c r="O491" s="154">
        <v>43.749030170963813</v>
      </c>
      <c r="P491" s="154" t="s">
        <v>421</v>
      </c>
      <c r="Q491" s="154">
        <v>32.91331172501058</v>
      </c>
      <c r="R491" s="154">
        <v>1369.6375240632785</v>
      </c>
      <c r="S491" s="154" t="s">
        <v>421</v>
      </c>
      <c r="T491" s="154">
        <v>0.25057530799197181</v>
      </c>
      <c r="U491" s="154" t="s">
        <v>421</v>
      </c>
      <c r="V491" s="154">
        <v>5901.667801332178</v>
      </c>
      <c r="W491" s="154">
        <v>12.092054698553079</v>
      </c>
      <c r="X491" s="154">
        <v>905.15151793120208</v>
      </c>
      <c r="Y491" s="154">
        <v>6066.9451296665366</v>
      </c>
      <c r="Z491" s="154" t="s">
        <v>421</v>
      </c>
      <c r="AC491" s="28" t="s">
        <v>421</v>
      </c>
      <c r="AD491" s="28" t="s">
        <v>421</v>
      </c>
      <c r="AE491" s="9" t="s">
        <v>1626</v>
      </c>
      <c r="AF491" s="28" t="s">
        <v>1626</v>
      </c>
      <c r="AG491" s="28">
        <v>0.14810000000000001</v>
      </c>
      <c r="AH491" s="28">
        <v>32.784100000000002</v>
      </c>
      <c r="AI491" s="28" t="s">
        <v>1626</v>
      </c>
      <c r="AJ491" s="28" t="s">
        <v>1626</v>
      </c>
      <c r="AK491" s="28" t="s">
        <v>1626</v>
      </c>
      <c r="AL491" s="28">
        <v>64.364199999999997</v>
      </c>
      <c r="AM491" s="28" t="s">
        <v>1626</v>
      </c>
      <c r="AN491" s="28">
        <v>1.0362</v>
      </c>
      <c r="AO491" s="28" t="s">
        <v>1626</v>
      </c>
      <c r="AP491" s="156">
        <f t="shared" si="7"/>
        <v>98.332599999999999</v>
      </c>
    </row>
    <row r="492" spans="1:42" x14ac:dyDescent="0.2">
      <c r="A492" s="9" t="s">
        <v>1387</v>
      </c>
      <c r="B492" s="9" t="s">
        <v>1388</v>
      </c>
      <c r="C492" s="9" t="s">
        <v>127</v>
      </c>
      <c r="D492" s="9" t="s">
        <v>137</v>
      </c>
      <c r="E492" s="154">
        <v>344157.86275450455</v>
      </c>
      <c r="F492" s="154">
        <v>325564.070929015</v>
      </c>
      <c r="G492" s="154">
        <v>206.67626535590711</v>
      </c>
      <c r="H492" s="154">
        <v>7263.0887686958386</v>
      </c>
      <c r="I492" s="154">
        <v>4.4850009352107617E-2</v>
      </c>
      <c r="J492" s="154">
        <v>1.5057160698048682</v>
      </c>
      <c r="K492" s="154">
        <v>642510</v>
      </c>
      <c r="L492" s="154">
        <v>656745.66349257075</v>
      </c>
      <c r="M492" s="154">
        <v>34.660086367145709</v>
      </c>
      <c r="N492" s="154">
        <v>13.988103134447661</v>
      </c>
      <c r="O492" s="154">
        <v>33.554906038770802</v>
      </c>
      <c r="P492" s="154" t="s">
        <v>421</v>
      </c>
      <c r="Q492" s="154">
        <v>352.33095237001311</v>
      </c>
      <c r="R492" s="154">
        <v>3388.4871225499787</v>
      </c>
      <c r="S492" s="154">
        <v>0.83178148984950562</v>
      </c>
      <c r="T492" s="154">
        <v>1.2199172634318465</v>
      </c>
      <c r="U492" s="154">
        <v>1.079553679568158</v>
      </c>
      <c r="V492" s="154">
        <v>4428.3937427816936</v>
      </c>
      <c r="W492" s="154">
        <v>132.47660833012006</v>
      </c>
      <c r="X492" s="154">
        <v>363.17464355445492</v>
      </c>
      <c r="Y492" s="154">
        <v>6501.8826563142511</v>
      </c>
      <c r="Z492" s="154">
        <v>0.82763377115383729</v>
      </c>
      <c r="AC492" s="28" t="s">
        <v>421</v>
      </c>
      <c r="AD492" s="28" t="s">
        <v>421</v>
      </c>
      <c r="AE492" s="9" t="s">
        <v>1626</v>
      </c>
      <c r="AF492" s="28" t="s">
        <v>1626</v>
      </c>
      <c r="AG492" s="28">
        <v>0.2346</v>
      </c>
      <c r="AH492" s="28">
        <v>32.540199999999999</v>
      </c>
      <c r="AI492" s="28" t="s">
        <v>1626</v>
      </c>
      <c r="AJ492" s="28" t="s">
        <v>1626</v>
      </c>
      <c r="AK492" s="28" t="s">
        <v>1626</v>
      </c>
      <c r="AL492" s="28">
        <v>64.251000000000005</v>
      </c>
      <c r="AM492" s="28" t="s">
        <v>1626</v>
      </c>
      <c r="AN492" s="28">
        <v>1.2146999999999999</v>
      </c>
      <c r="AO492" s="28" t="s">
        <v>1626</v>
      </c>
      <c r="AP492" s="156">
        <f t="shared" si="7"/>
        <v>98.240499999999997</v>
      </c>
    </row>
    <row r="493" spans="1:42" x14ac:dyDescent="0.2">
      <c r="A493" s="9" t="s">
        <v>1389</v>
      </c>
      <c r="B493" s="9" t="s">
        <v>1390</v>
      </c>
      <c r="C493" s="9" t="s">
        <v>127</v>
      </c>
      <c r="D493" s="9" t="s">
        <v>137</v>
      </c>
      <c r="E493" s="154">
        <v>319954.24532911665</v>
      </c>
      <c r="F493" s="154">
        <v>308990.93689908978</v>
      </c>
      <c r="G493" s="154">
        <v>170.42271831061802</v>
      </c>
      <c r="H493" s="154">
        <v>7165.2929342763155</v>
      </c>
      <c r="I493" s="154" t="s">
        <v>421</v>
      </c>
      <c r="J493" s="154">
        <v>5.7680304789472352</v>
      </c>
      <c r="K493" s="154">
        <v>635407</v>
      </c>
      <c r="L493" s="154">
        <v>641689.63689802063</v>
      </c>
      <c r="M493" s="154">
        <v>26.251373421366136</v>
      </c>
      <c r="N493" s="154">
        <v>18.130350283263951</v>
      </c>
      <c r="O493" s="154">
        <v>46.231700156271408</v>
      </c>
      <c r="P493" s="154" t="s">
        <v>421</v>
      </c>
      <c r="Q493" s="154">
        <v>310.50817310352153</v>
      </c>
      <c r="R493" s="154">
        <v>3695.4477475917606</v>
      </c>
      <c r="S493" s="154">
        <v>1.0437499016476763</v>
      </c>
      <c r="T493" s="154">
        <v>1.5438970228455873</v>
      </c>
      <c r="U493" s="154">
        <v>1.8730191665144191</v>
      </c>
      <c r="V493" s="154">
        <v>5983.5760063228736</v>
      </c>
      <c r="W493" s="154">
        <v>122.27322858264297</v>
      </c>
      <c r="X493" s="154">
        <v>818.7226745927627</v>
      </c>
      <c r="Y493" s="154">
        <v>7174.0517654284031</v>
      </c>
      <c r="Z493" s="154">
        <v>1.0385006517700013</v>
      </c>
      <c r="AC493" s="28" t="s">
        <v>421</v>
      </c>
      <c r="AD493" s="28" t="s">
        <v>421</v>
      </c>
      <c r="AE493" s="9" t="s">
        <v>1626</v>
      </c>
      <c r="AF493" s="28" t="s">
        <v>1626</v>
      </c>
      <c r="AG493" s="28">
        <v>0.72009999999999996</v>
      </c>
      <c r="AH493" s="28">
        <v>32.583599999999997</v>
      </c>
      <c r="AI493" s="28" t="s">
        <v>1626</v>
      </c>
      <c r="AJ493" s="28" t="s">
        <v>1626</v>
      </c>
      <c r="AK493" s="28" t="s">
        <v>1626</v>
      </c>
      <c r="AL493" s="28">
        <v>63.540700000000001</v>
      </c>
      <c r="AM493" s="28" t="s">
        <v>1626</v>
      </c>
      <c r="AN493" s="28">
        <v>1.1140000000000001</v>
      </c>
      <c r="AO493" s="28" t="s">
        <v>1626</v>
      </c>
      <c r="AP493" s="156">
        <f t="shared" si="7"/>
        <v>97.958400000000012</v>
      </c>
    </row>
    <row r="494" spans="1:42" x14ac:dyDescent="0.2">
      <c r="A494" s="9" t="s">
        <v>1391</v>
      </c>
      <c r="B494" s="9" t="s">
        <v>1392</v>
      </c>
      <c r="C494" s="9" t="s">
        <v>127</v>
      </c>
      <c r="D494" s="9" t="s">
        <v>137</v>
      </c>
      <c r="E494" s="154">
        <v>338413.52938512736</v>
      </c>
      <c r="F494" s="154">
        <v>338800.88714377891</v>
      </c>
      <c r="G494" s="154">
        <v>223.04066998552065</v>
      </c>
      <c r="H494" s="154">
        <v>6303.0268044351405</v>
      </c>
      <c r="I494" s="154" t="s">
        <v>421</v>
      </c>
      <c r="J494" s="154" t="s">
        <v>421</v>
      </c>
      <c r="K494" s="154">
        <v>635347</v>
      </c>
      <c r="L494" s="154">
        <v>649829.44088897039</v>
      </c>
      <c r="M494" s="154">
        <v>21.462464081991829</v>
      </c>
      <c r="N494" s="154">
        <v>26.991122373638635</v>
      </c>
      <c r="O494" s="154">
        <v>67.837289970469186</v>
      </c>
      <c r="P494" s="154">
        <v>1.2724831651394142</v>
      </c>
      <c r="Q494" s="154">
        <v>9.0910113640497254</v>
      </c>
      <c r="R494" s="154">
        <v>2371.2613730283156</v>
      </c>
      <c r="S494" s="154">
        <v>2.0663503734098459E-2</v>
      </c>
      <c r="T494" s="154">
        <v>0.21693316755005684</v>
      </c>
      <c r="U494" s="154">
        <v>0.18629572180510895</v>
      </c>
      <c r="V494" s="154">
        <v>7697.7575189635991</v>
      </c>
      <c r="W494" s="154">
        <v>51.101886109802557</v>
      </c>
      <c r="X494" s="154">
        <v>1157.1155516837221</v>
      </c>
      <c r="Y494" s="154">
        <v>9920.7256579643345</v>
      </c>
      <c r="Z494" s="154">
        <v>1.9925930964428264E-2</v>
      </c>
      <c r="AC494" s="28" t="s">
        <v>421</v>
      </c>
      <c r="AD494" s="28" t="s">
        <v>421</v>
      </c>
      <c r="AE494" s="9" t="s">
        <v>1626</v>
      </c>
      <c r="AF494" s="28" t="s">
        <v>1626</v>
      </c>
      <c r="AG494" s="28">
        <v>0.59360000000000002</v>
      </c>
      <c r="AH494" s="28">
        <v>32.5017</v>
      </c>
      <c r="AI494" s="28" t="s">
        <v>1626</v>
      </c>
      <c r="AJ494" s="28" t="s">
        <v>1626</v>
      </c>
      <c r="AK494" s="28" t="s">
        <v>1626</v>
      </c>
      <c r="AL494" s="28">
        <v>63.534700000000001</v>
      </c>
      <c r="AM494" s="28" t="s">
        <v>1626</v>
      </c>
      <c r="AN494" s="28">
        <v>1.4076</v>
      </c>
      <c r="AO494" s="28" t="s">
        <v>1626</v>
      </c>
      <c r="AP494" s="156">
        <f t="shared" si="7"/>
        <v>98.037599999999998</v>
      </c>
    </row>
    <row r="495" spans="1:42" x14ac:dyDescent="0.2">
      <c r="A495" s="9" t="s">
        <v>1393</v>
      </c>
      <c r="B495" s="9" t="s">
        <v>1394</v>
      </c>
      <c r="C495" s="9" t="s">
        <v>127</v>
      </c>
      <c r="D495" s="9" t="s">
        <v>138</v>
      </c>
      <c r="E495" s="154">
        <v>324800.34050320886</v>
      </c>
      <c r="F495" s="154">
        <v>318192.47850051342</v>
      </c>
      <c r="G495" s="154">
        <v>248.03897739784276</v>
      </c>
      <c r="H495" s="154">
        <v>12189.421158931484</v>
      </c>
      <c r="I495" s="154">
        <v>4.017059582059436E-2</v>
      </c>
      <c r="J495" s="154">
        <v>280.84630444599691</v>
      </c>
      <c r="K495" s="154">
        <v>629814</v>
      </c>
      <c r="L495" s="154">
        <v>628739.18016831449</v>
      </c>
      <c r="M495" s="154">
        <v>42.643236369321791</v>
      </c>
      <c r="N495" s="154">
        <v>58.913080976724075</v>
      </c>
      <c r="O495" s="154">
        <v>110.61905215062482</v>
      </c>
      <c r="P495" s="154" t="s">
        <v>421</v>
      </c>
      <c r="Q495" s="154">
        <v>50.186191585531368</v>
      </c>
      <c r="R495" s="154">
        <v>129.2201672444356</v>
      </c>
      <c r="S495" s="154">
        <v>4.4771974846881911E-2</v>
      </c>
      <c r="T495" s="154">
        <v>0.42657192142385508</v>
      </c>
      <c r="U495" s="154">
        <v>0.25764094399266496</v>
      </c>
      <c r="V495" s="154">
        <v>6425.7719778351266</v>
      </c>
      <c r="W495" s="154">
        <v>3.7600963105851339</v>
      </c>
      <c r="X495" s="154">
        <v>1165.3815106424533</v>
      </c>
      <c r="Y495" s="154">
        <v>9904.5817081467867</v>
      </c>
      <c r="Z495" s="154">
        <v>4.3321630314040807E-2</v>
      </c>
      <c r="AC495" s="28" t="s">
        <v>421</v>
      </c>
      <c r="AD495" s="28" t="s">
        <v>421</v>
      </c>
      <c r="AE495" s="9" t="s">
        <v>1626</v>
      </c>
      <c r="AF495" s="28" t="s">
        <v>1626</v>
      </c>
      <c r="AG495" s="28">
        <v>3.3E-3</v>
      </c>
      <c r="AH495" s="28">
        <v>32.643700000000003</v>
      </c>
      <c r="AI495" s="28" t="s">
        <v>1626</v>
      </c>
      <c r="AJ495" s="28" t="s">
        <v>1626</v>
      </c>
      <c r="AK495" s="28" t="s">
        <v>1626</v>
      </c>
      <c r="AL495" s="28">
        <v>62.981400000000001</v>
      </c>
      <c r="AM495" s="28" t="s">
        <v>1626</v>
      </c>
      <c r="AN495" s="28">
        <v>2.1804000000000001</v>
      </c>
      <c r="AO495" s="28" t="s">
        <v>1626</v>
      </c>
      <c r="AP495" s="156">
        <f t="shared" si="7"/>
        <v>97.808800000000005</v>
      </c>
    </row>
    <row r="496" spans="1:42" x14ac:dyDescent="0.2">
      <c r="A496" s="9" t="s">
        <v>1395</v>
      </c>
      <c r="B496" s="9" t="s">
        <v>1396</v>
      </c>
      <c r="C496" s="9" t="s">
        <v>127</v>
      </c>
      <c r="D496" s="9" t="s">
        <v>138</v>
      </c>
      <c r="E496" s="154">
        <v>327143.80404360103</v>
      </c>
      <c r="F496" s="154">
        <v>324261.77701979975</v>
      </c>
      <c r="G496" s="154">
        <v>206.94345978225658</v>
      </c>
      <c r="H496" s="154">
        <v>8970.6409985074461</v>
      </c>
      <c r="I496" s="154">
        <v>3.9767594385390556E-2</v>
      </c>
      <c r="J496" s="154">
        <v>0.50252124118585617</v>
      </c>
      <c r="K496" s="154">
        <v>637975</v>
      </c>
      <c r="L496" s="154">
        <v>638006.18763966765</v>
      </c>
      <c r="M496" s="154">
        <v>33.581297278199862</v>
      </c>
      <c r="N496" s="154">
        <v>25.498566065186139</v>
      </c>
      <c r="O496" s="154">
        <v>70.988346745067005</v>
      </c>
      <c r="P496" s="154">
        <v>1.7958579490004691</v>
      </c>
      <c r="Q496" s="154">
        <v>116.95707270143969</v>
      </c>
      <c r="R496" s="154">
        <v>413.43605457911008</v>
      </c>
      <c r="S496" s="154" t="s">
        <v>421</v>
      </c>
      <c r="T496" s="154">
        <v>0.24269450085923888</v>
      </c>
      <c r="U496" s="154">
        <v>0.2944964344835363</v>
      </c>
      <c r="V496" s="154">
        <v>7641.5980703004643</v>
      </c>
      <c r="W496" s="154">
        <v>3.367101365491358</v>
      </c>
      <c r="X496" s="154">
        <v>1318.5522662161516</v>
      </c>
      <c r="Y496" s="154">
        <v>10692.772828059078</v>
      </c>
      <c r="Z496" s="154" t="s">
        <v>421</v>
      </c>
      <c r="AC496" s="28" t="s">
        <v>421</v>
      </c>
      <c r="AD496" s="28" t="s">
        <v>421</v>
      </c>
      <c r="AE496" s="9" t="s">
        <v>1626</v>
      </c>
      <c r="AF496" s="28" t="s">
        <v>1626</v>
      </c>
      <c r="AG496" s="28">
        <v>6.0499999999999998E-2</v>
      </c>
      <c r="AH496" s="28">
        <v>32.521799999999999</v>
      </c>
      <c r="AI496" s="28" t="s">
        <v>1626</v>
      </c>
      <c r="AJ496" s="28" t="s">
        <v>1626</v>
      </c>
      <c r="AK496" s="28" t="s">
        <v>1626</v>
      </c>
      <c r="AL496" s="28">
        <v>63.797499999999999</v>
      </c>
      <c r="AM496" s="28" t="s">
        <v>1626</v>
      </c>
      <c r="AN496" s="28">
        <v>1.3117000000000001</v>
      </c>
      <c r="AO496" s="28" t="s">
        <v>1626</v>
      </c>
      <c r="AP496" s="156">
        <f t="shared" si="7"/>
        <v>97.691499999999991</v>
      </c>
    </row>
    <row r="497" spans="1:42" x14ac:dyDescent="0.2">
      <c r="A497" s="9" t="s">
        <v>1397</v>
      </c>
      <c r="B497" s="9" t="s">
        <v>1398</v>
      </c>
      <c r="C497" s="9" t="s">
        <v>127</v>
      </c>
      <c r="D497" s="9" t="s">
        <v>138</v>
      </c>
      <c r="E497" s="154">
        <v>331088.05997846962</v>
      </c>
      <c r="F497" s="154">
        <v>322273.05972914299</v>
      </c>
      <c r="G497" s="154">
        <v>222.04721027256264</v>
      </c>
      <c r="H497" s="154">
        <v>6738.6783143169605</v>
      </c>
      <c r="I497" s="154">
        <v>8.0610155542141085E-2</v>
      </c>
      <c r="J497" s="154">
        <v>10.526360430103916</v>
      </c>
      <c r="K497" s="154">
        <v>641562</v>
      </c>
      <c r="L497" s="154">
        <v>643837.53677920962</v>
      </c>
      <c r="M497" s="154">
        <v>19.811920839993753</v>
      </c>
      <c r="N497" s="154">
        <v>29.44652880607488</v>
      </c>
      <c r="O497" s="154">
        <v>67.85884556582603</v>
      </c>
      <c r="P497" s="154">
        <v>1.7986387419101924</v>
      </c>
      <c r="Q497" s="154">
        <v>36.861726615054543</v>
      </c>
      <c r="R497" s="154">
        <v>558.186975283523</v>
      </c>
      <c r="S497" s="154" t="s">
        <v>421</v>
      </c>
      <c r="T497" s="154">
        <v>0.34618458596594071</v>
      </c>
      <c r="U497" s="154">
        <v>0.23627391068234033</v>
      </c>
      <c r="V497" s="154">
        <v>7299.3211271148684</v>
      </c>
      <c r="W497" s="154">
        <v>4.2250576399970168</v>
      </c>
      <c r="X497" s="154">
        <v>1096.1218650494625</v>
      </c>
      <c r="Y497" s="154">
        <v>9435.9699445905353</v>
      </c>
      <c r="Z497" s="154" t="s">
        <v>421</v>
      </c>
      <c r="AC497" s="28" t="s">
        <v>421</v>
      </c>
      <c r="AD497" s="28" t="s">
        <v>421</v>
      </c>
      <c r="AE497" s="9" t="s">
        <v>1626</v>
      </c>
      <c r="AF497" s="28" t="s">
        <v>1626</v>
      </c>
      <c r="AG497" s="28">
        <v>7.7299999999999994E-2</v>
      </c>
      <c r="AH497" s="28">
        <v>32.638199999999998</v>
      </c>
      <c r="AI497" s="28" t="s">
        <v>1626</v>
      </c>
      <c r="AJ497" s="28" t="s">
        <v>1626</v>
      </c>
      <c r="AK497" s="28" t="s">
        <v>1626</v>
      </c>
      <c r="AL497" s="28">
        <v>64.156199999999998</v>
      </c>
      <c r="AM497" s="28" t="s">
        <v>1626</v>
      </c>
      <c r="AN497" s="28">
        <v>1.0851999999999999</v>
      </c>
      <c r="AO497" s="28" t="s">
        <v>1626</v>
      </c>
      <c r="AP497" s="156">
        <f t="shared" si="7"/>
        <v>97.956900000000005</v>
      </c>
    </row>
    <row r="498" spans="1:42" x14ac:dyDescent="0.2">
      <c r="A498" s="9" t="s">
        <v>1399</v>
      </c>
      <c r="B498" s="9" t="s">
        <v>1400</v>
      </c>
      <c r="C498" s="9" t="s">
        <v>127</v>
      </c>
      <c r="D498" s="9" t="s">
        <v>138</v>
      </c>
      <c r="E498" s="154">
        <v>327538.93047713354</v>
      </c>
      <c r="F498" s="154">
        <v>317774.91680519714</v>
      </c>
      <c r="G498" s="154">
        <v>215.65252017239825</v>
      </c>
      <c r="H498" s="154">
        <v>9013.402297800676</v>
      </c>
      <c r="I498" s="154" t="s">
        <v>421</v>
      </c>
      <c r="J498" s="154">
        <v>37.489520321587854</v>
      </c>
      <c r="K498" s="154">
        <v>631408</v>
      </c>
      <c r="L498" s="154">
        <v>632688.06181498338</v>
      </c>
      <c r="M498" s="154">
        <v>35.239688110605194</v>
      </c>
      <c r="N498" s="154">
        <v>23.703959956472705</v>
      </c>
      <c r="O498" s="154">
        <v>65.925578353331787</v>
      </c>
      <c r="P498" s="154" t="s">
        <v>421</v>
      </c>
      <c r="Q498" s="154">
        <v>57.72630435533771</v>
      </c>
      <c r="R498" s="154">
        <v>1995.7840061755414</v>
      </c>
      <c r="S498" s="154" t="s">
        <v>421</v>
      </c>
      <c r="T498" s="154">
        <v>0.2113631377577751</v>
      </c>
      <c r="U498" s="154" t="s">
        <v>421</v>
      </c>
      <c r="V498" s="154">
        <v>7543.5549292899632</v>
      </c>
      <c r="W498" s="154">
        <v>42.853503075957022</v>
      </c>
      <c r="X498" s="154">
        <v>1250.8080968310339</v>
      </c>
      <c r="Y498" s="154">
        <v>9580.929141888324</v>
      </c>
      <c r="Z498" s="154" t="s">
        <v>421</v>
      </c>
      <c r="AC498" s="28" t="s">
        <v>421</v>
      </c>
      <c r="AD498" s="28" t="s">
        <v>421</v>
      </c>
      <c r="AE498" s="9" t="s">
        <v>1626</v>
      </c>
      <c r="AF498" s="28" t="s">
        <v>1626</v>
      </c>
      <c r="AG498" s="28">
        <v>0.29749999999999999</v>
      </c>
      <c r="AH498" s="28">
        <v>32.658099999999997</v>
      </c>
      <c r="AI498" s="28" t="s">
        <v>1626</v>
      </c>
      <c r="AJ498" s="28" t="s">
        <v>1626</v>
      </c>
      <c r="AK498" s="28" t="s">
        <v>1626</v>
      </c>
      <c r="AL498" s="28">
        <v>63.140799999999999</v>
      </c>
      <c r="AM498" s="28" t="s">
        <v>1626</v>
      </c>
      <c r="AN498" s="28">
        <v>1.6064000000000001</v>
      </c>
      <c r="AO498" s="28" t="s">
        <v>1626</v>
      </c>
      <c r="AP498" s="156">
        <f t="shared" si="7"/>
        <v>97.702799999999982</v>
      </c>
    </row>
    <row r="499" spans="1:42" x14ac:dyDescent="0.2">
      <c r="A499" s="9" t="s">
        <v>1401</v>
      </c>
      <c r="B499" s="9" t="s">
        <v>1402</v>
      </c>
      <c r="C499" s="9" t="s">
        <v>127</v>
      </c>
      <c r="D499" s="9" t="s">
        <v>138</v>
      </c>
      <c r="E499" s="154">
        <v>327977.90790707117</v>
      </c>
      <c r="F499" s="154">
        <v>324256.11859346047</v>
      </c>
      <c r="G499" s="154">
        <v>193.81260708343945</v>
      </c>
      <c r="H499" s="154">
        <v>10019.190132023665</v>
      </c>
      <c r="I499" s="154" t="s">
        <v>421</v>
      </c>
      <c r="J499" s="154">
        <v>0.22692236773439681</v>
      </c>
      <c r="K499" s="154">
        <v>637745</v>
      </c>
      <c r="L499" s="154">
        <v>642865.02285199985</v>
      </c>
      <c r="M499" s="154">
        <v>35.691800979467168</v>
      </c>
      <c r="N499" s="154">
        <v>23.549830946939313</v>
      </c>
      <c r="O499" s="154">
        <v>49.27012047190501</v>
      </c>
      <c r="P499" s="154" t="s">
        <v>421</v>
      </c>
      <c r="Q499" s="154">
        <v>21.207255652970254</v>
      </c>
      <c r="R499" s="154">
        <v>391.23020678837804</v>
      </c>
      <c r="S499" s="154" t="s">
        <v>421</v>
      </c>
      <c r="T499" s="154">
        <v>0.38109410213318923</v>
      </c>
      <c r="U499" s="154">
        <v>0.25843488057469061</v>
      </c>
      <c r="V499" s="154">
        <v>5608.9988174032023</v>
      </c>
      <c r="W499" s="154">
        <v>3.9792097700002378</v>
      </c>
      <c r="X499" s="154">
        <v>522.49759286390588</v>
      </c>
      <c r="Y499" s="154">
        <v>7041.2876006913475</v>
      </c>
      <c r="Z499" s="154" t="s">
        <v>421</v>
      </c>
      <c r="AC499" s="28" t="s">
        <v>421</v>
      </c>
      <c r="AD499" s="28" t="s">
        <v>421</v>
      </c>
      <c r="AE499" s="9" t="s">
        <v>1626</v>
      </c>
      <c r="AF499" s="28" t="s">
        <v>1626</v>
      </c>
      <c r="AG499" s="28">
        <v>6.6299999999999998E-2</v>
      </c>
      <c r="AH499" s="28">
        <v>32.720799999999997</v>
      </c>
      <c r="AI499" s="28" t="s">
        <v>1626</v>
      </c>
      <c r="AJ499" s="28" t="s">
        <v>1626</v>
      </c>
      <c r="AK499" s="28" t="s">
        <v>1626</v>
      </c>
      <c r="AL499" s="28">
        <v>63.774500000000003</v>
      </c>
      <c r="AM499" s="28" t="s">
        <v>1626</v>
      </c>
      <c r="AN499" s="28">
        <v>1.5214000000000001</v>
      </c>
      <c r="AO499" s="28" t="s">
        <v>1626</v>
      </c>
      <c r="AP499" s="156">
        <f t="shared" si="7"/>
        <v>98.082999999999998</v>
      </c>
    </row>
    <row r="500" spans="1:42" x14ac:dyDescent="0.2">
      <c r="A500" s="9" t="s">
        <v>1403</v>
      </c>
      <c r="B500" s="9" t="s">
        <v>1404</v>
      </c>
      <c r="C500" s="9" t="s">
        <v>127</v>
      </c>
      <c r="D500" s="9" t="s">
        <v>138</v>
      </c>
      <c r="E500" s="154">
        <v>328942.0795418031</v>
      </c>
      <c r="F500" s="154">
        <v>314035.05008213065</v>
      </c>
      <c r="G500" s="154">
        <v>202.34919147606166</v>
      </c>
      <c r="H500" s="154">
        <v>7487.8887766212429</v>
      </c>
      <c r="I500" s="154" t="s">
        <v>421</v>
      </c>
      <c r="J500" s="154">
        <v>0.21002518970158934</v>
      </c>
      <c r="K500" s="154">
        <v>638758</v>
      </c>
      <c r="L500" s="154">
        <v>629665.15342510911</v>
      </c>
      <c r="M500" s="154">
        <v>23.292279962875675</v>
      </c>
      <c r="N500" s="154">
        <v>30.142921129823129</v>
      </c>
      <c r="O500" s="154">
        <v>71.771194930739256</v>
      </c>
      <c r="P500" s="154">
        <v>1.749546769042825</v>
      </c>
      <c r="Q500" s="154">
        <v>42.930452302148744</v>
      </c>
      <c r="R500" s="154">
        <v>552.9062291591548</v>
      </c>
      <c r="S500" s="154" t="s">
        <v>421</v>
      </c>
      <c r="T500" s="154" t="s">
        <v>421</v>
      </c>
      <c r="U500" s="154">
        <v>0.2560089335169885</v>
      </c>
      <c r="V500" s="154">
        <v>7396.5620966617189</v>
      </c>
      <c r="W500" s="154">
        <v>2.9373552960078424</v>
      </c>
      <c r="X500" s="154">
        <v>1191.295373366391</v>
      </c>
      <c r="Y500" s="154">
        <v>9396.7025520294355</v>
      </c>
      <c r="Z500" s="154" t="s">
        <v>421</v>
      </c>
      <c r="AC500" s="28" t="s">
        <v>421</v>
      </c>
      <c r="AD500" s="28" t="s">
        <v>421</v>
      </c>
      <c r="AE500" s="9" t="s">
        <v>1626</v>
      </c>
      <c r="AF500" s="28" t="s">
        <v>1626</v>
      </c>
      <c r="AG500" s="28">
        <v>8.1100000000000005E-2</v>
      </c>
      <c r="AH500" s="28">
        <v>32.619900000000001</v>
      </c>
      <c r="AI500" s="28" t="s">
        <v>1626</v>
      </c>
      <c r="AJ500" s="28" t="s">
        <v>1626</v>
      </c>
      <c r="AK500" s="28" t="s">
        <v>1626</v>
      </c>
      <c r="AL500" s="28">
        <v>63.875799999999998</v>
      </c>
      <c r="AM500" s="28" t="s">
        <v>1626</v>
      </c>
      <c r="AN500" s="28">
        <v>1.2657</v>
      </c>
      <c r="AO500" s="28" t="s">
        <v>1626</v>
      </c>
      <c r="AP500" s="156">
        <f t="shared" si="7"/>
        <v>97.842499999999987</v>
      </c>
    </row>
    <row r="501" spans="1:42" x14ac:dyDescent="0.2">
      <c r="A501" s="9" t="s">
        <v>1405</v>
      </c>
      <c r="B501" s="9" t="s">
        <v>1406</v>
      </c>
      <c r="C501" s="9" t="s">
        <v>127</v>
      </c>
      <c r="D501" s="9" t="s">
        <v>138</v>
      </c>
      <c r="E501" s="154">
        <v>313931.638884969</v>
      </c>
      <c r="F501" s="154">
        <v>309287.91518952762</v>
      </c>
      <c r="G501" s="154">
        <v>173.57424543154147</v>
      </c>
      <c r="H501" s="154">
        <v>6256.3123761302395</v>
      </c>
      <c r="I501" s="154" t="s">
        <v>421</v>
      </c>
      <c r="J501" s="154">
        <v>0.3585527655707299</v>
      </c>
      <c r="K501" s="154">
        <v>645668</v>
      </c>
      <c r="L501" s="154">
        <v>638831.34771062399</v>
      </c>
      <c r="M501" s="154">
        <v>29.196585506043959</v>
      </c>
      <c r="N501" s="154">
        <v>17.046486512092606</v>
      </c>
      <c r="O501" s="154">
        <v>39.2541533750912</v>
      </c>
      <c r="P501" s="154" t="s">
        <v>421</v>
      </c>
      <c r="Q501" s="154">
        <v>27.528902828407574</v>
      </c>
      <c r="R501" s="154">
        <v>953.73380932206987</v>
      </c>
      <c r="S501" s="154" t="s">
        <v>421</v>
      </c>
      <c r="T501" s="154">
        <v>0.19369265450160933</v>
      </c>
      <c r="U501" s="154">
        <v>0.27909864813479685</v>
      </c>
      <c r="V501" s="154">
        <v>5137.3949473172042</v>
      </c>
      <c r="W501" s="154">
        <v>4.0982296637961584</v>
      </c>
      <c r="X501" s="154">
        <v>425.31513496487287</v>
      </c>
      <c r="Y501" s="154">
        <v>6717.288060078301</v>
      </c>
      <c r="Z501" s="154" t="s">
        <v>421</v>
      </c>
      <c r="AC501" s="28" t="s">
        <v>421</v>
      </c>
      <c r="AD501" s="28" t="s">
        <v>421</v>
      </c>
      <c r="AE501" s="9" t="s">
        <v>1626</v>
      </c>
      <c r="AF501" s="28" t="s">
        <v>1626</v>
      </c>
      <c r="AG501" s="28">
        <v>9.5399999999999999E-2</v>
      </c>
      <c r="AH501" s="28">
        <v>32.668399999999998</v>
      </c>
      <c r="AI501" s="28" t="s">
        <v>1626</v>
      </c>
      <c r="AJ501" s="28" t="s">
        <v>1626</v>
      </c>
      <c r="AK501" s="28" t="s">
        <v>1626</v>
      </c>
      <c r="AL501" s="28">
        <v>64.566800000000001</v>
      </c>
      <c r="AM501" s="28" t="s">
        <v>1626</v>
      </c>
      <c r="AN501" s="28">
        <v>1.3086</v>
      </c>
      <c r="AO501" s="28" t="s">
        <v>1626</v>
      </c>
      <c r="AP501" s="156">
        <f t="shared" si="7"/>
        <v>98.639200000000002</v>
      </c>
    </row>
    <row r="502" spans="1:42" x14ac:dyDescent="0.2">
      <c r="A502" s="9" t="s">
        <v>1407</v>
      </c>
      <c r="B502" s="9" t="s">
        <v>1408</v>
      </c>
      <c r="C502" s="9" t="s">
        <v>127</v>
      </c>
      <c r="D502" s="9" t="s">
        <v>138</v>
      </c>
      <c r="E502" s="154">
        <v>321937.96055844467</v>
      </c>
      <c r="F502" s="154">
        <v>316889.77520342136</v>
      </c>
      <c r="G502" s="154">
        <v>203.53956798094541</v>
      </c>
      <c r="H502" s="154">
        <v>6563.3468928782568</v>
      </c>
      <c r="I502" s="154">
        <v>4.3361592400423227E-2</v>
      </c>
      <c r="J502" s="154" t="s">
        <v>421</v>
      </c>
      <c r="K502" s="154">
        <v>640127</v>
      </c>
      <c r="L502" s="154">
        <v>647848.8788140926</v>
      </c>
      <c r="M502" s="154">
        <v>21.201208724604758</v>
      </c>
      <c r="N502" s="154">
        <v>30.054894954818309</v>
      </c>
      <c r="O502" s="154">
        <v>67.326833125087333</v>
      </c>
      <c r="P502" s="154" t="s">
        <v>421</v>
      </c>
      <c r="Q502" s="154">
        <v>28.843825047349277</v>
      </c>
      <c r="R502" s="154">
        <v>385.45041262065104</v>
      </c>
      <c r="S502" s="154" t="s">
        <v>421</v>
      </c>
      <c r="T502" s="154">
        <v>0.5051865719330243</v>
      </c>
      <c r="U502" s="154">
        <v>0.56401712828117045</v>
      </c>
      <c r="V502" s="154">
        <v>7141.5949906414762</v>
      </c>
      <c r="W502" s="154">
        <v>3.0296257832145548</v>
      </c>
      <c r="X502" s="154">
        <v>574.91076982550487</v>
      </c>
      <c r="Y502" s="154">
        <v>9664.2372004923709</v>
      </c>
      <c r="Z502" s="154" t="s">
        <v>421</v>
      </c>
      <c r="AC502" s="28" t="s">
        <v>421</v>
      </c>
      <c r="AD502" s="28" t="s">
        <v>421</v>
      </c>
      <c r="AE502" s="9" t="s">
        <v>1626</v>
      </c>
      <c r="AF502" s="28" t="s">
        <v>1626</v>
      </c>
      <c r="AG502" s="28">
        <v>4.53E-2</v>
      </c>
      <c r="AH502" s="28">
        <v>32.6693</v>
      </c>
      <c r="AI502" s="28" t="s">
        <v>1626</v>
      </c>
      <c r="AJ502" s="28" t="s">
        <v>1626</v>
      </c>
      <c r="AK502" s="28" t="s">
        <v>1626</v>
      </c>
      <c r="AL502" s="28">
        <v>64.012699999999995</v>
      </c>
      <c r="AM502" s="28" t="s">
        <v>1626</v>
      </c>
      <c r="AN502" s="28">
        <v>1.2281</v>
      </c>
      <c r="AO502" s="28" t="s">
        <v>1626</v>
      </c>
      <c r="AP502" s="156">
        <f t="shared" si="7"/>
        <v>97.955399999999983</v>
      </c>
    </row>
    <row r="503" spans="1:42" x14ac:dyDescent="0.2">
      <c r="A503" s="9" t="s">
        <v>1409</v>
      </c>
      <c r="B503" s="9" t="s">
        <v>1410</v>
      </c>
      <c r="C503" s="9" t="s">
        <v>127</v>
      </c>
      <c r="D503" s="9" t="s">
        <v>138</v>
      </c>
      <c r="E503" s="154">
        <v>326933.84442703135</v>
      </c>
      <c r="F503" s="154">
        <v>323155.67181076959</v>
      </c>
      <c r="G503" s="154">
        <v>161.30057038463448</v>
      </c>
      <c r="H503" s="154">
        <v>6557.305809800032</v>
      </c>
      <c r="I503" s="154" t="s">
        <v>421</v>
      </c>
      <c r="J503" s="154">
        <v>0.20917394015118992</v>
      </c>
      <c r="K503" s="154">
        <v>643575</v>
      </c>
      <c r="L503" s="154">
        <v>639432.45279379294</v>
      </c>
      <c r="M503" s="154">
        <v>30.682199517279642</v>
      </c>
      <c r="N503" s="154">
        <v>12.452989891914399</v>
      </c>
      <c r="O503" s="154">
        <v>26.787095237588453</v>
      </c>
      <c r="P503" s="154" t="s">
        <v>421</v>
      </c>
      <c r="Q503" s="154">
        <v>225.86793389359295</v>
      </c>
      <c r="R503" s="154">
        <v>1530.3947643256595</v>
      </c>
      <c r="S503" s="154" t="s">
        <v>421</v>
      </c>
      <c r="T503" s="154">
        <v>0.37837389850948255</v>
      </c>
      <c r="U503" s="154">
        <v>0.56187939393993191</v>
      </c>
      <c r="V503" s="154">
        <v>3627.8955957998432</v>
      </c>
      <c r="W503" s="154">
        <v>25.997711482182527</v>
      </c>
      <c r="X503" s="154">
        <v>279.74528179629868</v>
      </c>
      <c r="Y503" s="154">
        <v>4539.0729236660709</v>
      </c>
      <c r="Z503" s="154" t="s">
        <v>421</v>
      </c>
      <c r="AC503" s="28" t="s">
        <v>421</v>
      </c>
      <c r="AD503" s="28" t="s">
        <v>421</v>
      </c>
      <c r="AE503" s="9" t="s">
        <v>1626</v>
      </c>
      <c r="AF503" s="28" t="s">
        <v>1626</v>
      </c>
      <c r="AG503" s="28">
        <v>0.50209999999999999</v>
      </c>
      <c r="AH503" s="28">
        <v>32.732199999999999</v>
      </c>
      <c r="AI503" s="28" t="s">
        <v>1626</v>
      </c>
      <c r="AJ503" s="28" t="s">
        <v>1626</v>
      </c>
      <c r="AK503" s="28" t="s">
        <v>1626</v>
      </c>
      <c r="AL503" s="28">
        <v>64.357500000000002</v>
      </c>
      <c r="AM503" s="28" t="s">
        <v>1626</v>
      </c>
      <c r="AN503" s="28">
        <v>1.4098999999999999</v>
      </c>
      <c r="AO503" s="28" t="s">
        <v>1626</v>
      </c>
      <c r="AP503" s="156">
        <f t="shared" si="7"/>
        <v>99.0017</v>
      </c>
    </row>
    <row r="504" spans="1:42" x14ac:dyDescent="0.2">
      <c r="A504" s="9" t="s">
        <v>1411</v>
      </c>
      <c r="B504" s="9" t="s">
        <v>1412</v>
      </c>
      <c r="C504" s="9" t="s">
        <v>139</v>
      </c>
      <c r="D504" s="9" t="s">
        <v>140</v>
      </c>
      <c r="E504" s="154">
        <v>316667.30944476544</v>
      </c>
      <c r="F504" s="154">
        <v>311814.64125394064</v>
      </c>
      <c r="G504" s="154">
        <v>0.50946940651250705</v>
      </c>
      <c r="H504" s="154">
        <v>384.69562864532276</v>
      </c>
      <c r="I504" s="154">
        <v>4.1458289048856791</v>
      </c>
      <c r="J504" s="154">
        <v>105.82428319079357</v>
      </c>
      <c r="K504" s="154">
        <v>661965</v>
      </c>
      <c r="L504" s="154">
        <v>668682.69533087849</v>
      </c>
      <c r="M504" s="154">
        <v>91.103326550838375</v>
      </c>
      <c r="N504" s="154">
        <v>1.1761331968022002</v>
      </c>
      <c r="O504" s="154">
        <v>3.0340638537647564</v>
      </c>
      <c r="P504" s="154" t="s">
        <v>421</v>
      </c>
      <c r="Q504" s="154">
        <v>15.223781087869689</v>
      </c>
      <c r="R504" s="154">
        <v>1408.6664568674471</v>
      </c>
      <c r="S504" s="154">
        <v>26.678680525169142</v>
      </c>
      <c r="T504" s="154">
        <v>14.426030796329401</v>
      </c>
      <c r="U504" s="154">
        <v>15.143013369312431</v>
      </c>
      <c r="V504" s="154">
        <v>79.604715775231313</v>
      </c>
      <c r="W504" s="154">
        <v>47.2154573665157</v>
      </c>
      <c r="X504" s="154" t="s">
        <v>421</v>
      </c>
      <c r="Y504" s="154">
        <v>9.1666954997299541</v>
      </c>
      <c r="Z504" s="154">
        <v>26.629632020461621</v>
      </c>
      <c r="AC504" s="28" t="s">
        <v>421</v>
      </c>
      <c r="AD504" s="28" t="s">
        <v>421</v>
      </c>
      <c r="AE504" s="9" t="s">
        <v>1626</v>
      </c>
      <c r="AF504" s="28" t="s">
        <v>1626</v>
      </c>
      <c r="AG504" s="28">
        <v>0.2172</v>
      </c>
      <c r="AH504" s="28">
        <v>32.759700000000002</v>
      </c>
      <c r="AI504" s="28" t="s">
        <v>1626</v>
      </c>
      <c r="AJ504" s="28" t="s">
        <v>1626</v>
      </c>
      <c r="AK504" s="28" t="s">
        <v>1626</v>
      </c>
      <c r="AL504" s="28">
        <v>66.1965</v>
      </c>
      <c r="AM504" s="28" t="s">
        <v>1626</v>
      </c>
      <c r="AN504" s="28">
        <v>7.5499999999999998E-2</v>
      </c>
      <c r="AO504" s="28" t="s">
        <v>1626</v>
      </c>
      <c r="AP504" s="156">
        <f t="shared" si="7"/>
        <v>99.248900000000006</v>
      </c>
    </row>
    <row r="505" spans="1:42" x14ac:dyDescent="0.2">
      <c r="A505" s="9" t="s">
        <v>1413</v>
      </c>
      <c r="B505" s="9" t="s">
        <v>1414</v>
      </c>
      <c r="C505" s="9" t="s">
        <v>139</v>
      </c>
      <c r="D505" s="9" t="s">
        <v>140</v>
      </c>
      <c r="E505" s="154">
        <v>326754.85304109799</v>
      </c>
      <c r="F505" s="154">
        <v>313108.68207719678</v>
      </c>
      <c r="G505" s="154">
        <v>1.1224193628812389</v>
      </c>
      <c r="H505" s="154">
        <v>723.75152176200163</v>
      </c>
      <c r="I505" s="154">
        <v>3.5589340161143737</v>
      </c>
      <c r="J505" s="154">
        <v>5.9001247963001751</v>
      </c>
      <c r="K505" s="154">
        <v>664462</v>
      </c>
      <c r="L505" s="154">
        <v>661032.81176576065</v>
      </c>
      <c r="M505" s="154">
        <v>5.2393251189766188</v>
      </c>
      <c r="N505" s="154">
        <v>0.25415297051628383</v>
      </c>
      <c r="O505" s="154">
        <v>0.26083114466274138</v>
      </c>
      <c r="P505" s="154" t="s">
        <v>421</v>
      </c>
      <c r="Q505" s="154">
        <v>0.84212241643624519</v>
      </c>
      <c r="R505" s="154">
        <v>4064.5384410454726</v>
      </c>
      <c r="S505" s="154">
        <v>1.6604598916282256</v>
      </c>
      <c r="T505" s="154">
        <v>0.56248893303271952</v>
      </c>
      <c r="U505" s="154">
        <v>0.78055011491627635</v>
      </c>
      <c r="V505" s="154">
        <v>2.6045664430881033</v>
      </c>
      <c r="W505" s="154">
        <v>57.995515291995488</v>
      </c>
      <c r="X505" s="154" t="s">
        <v>421</v>
      </c>
      <c r="Y505" s="154">
        <v>0.88097279811760743</v>
      </c>
      <c r="Z505" s="154">
        <v>1.6585474292559144</v>
      </c>
      <c r="AC505" s="28" t="s">
        <v>421</v>
      </c>
      <c r="AD505" s="28" t="s">
        <v>421</v>
      </c>
      <c r="AE505" s="9" t="s">
        <v>1626</v>
      </c>
      <c r="AF505" s="28" t="s">
        <v>1626</v>
      </c>
      <c r="AG505" s="28">
        <v>0.21779999999999999</v>
      </c>
      <c r="AH505" s="28">
        <v>32.863799999999998</v>
      </c>
      <c r="AI505" s="28" t="s">
        <v>1626</v>
      </c>
      <c r="AJ505" s="28" t="s">
        <v>1626</v>
      </c>
      <c r="AK505" s="28" t="s">
        <v>1626</v>
      </c>
      <c r="AL505" s="28">
        <v>66.446200000000005</v>
      </c>
      <c r="AM505" s="28" t="s">
        <v>1626</v>
      </c>
      <c r="AN505" s="28">
        <v>0.12670000000000001</v>
      </c>
      <c r="AO505" s="28" t="s">
        <v>1626</v>
      </c>
      <c r="AP505" s="156">
        <f t="shared" si="7"/>
        <v>99.654499999999999</v>
      </c>
    </row>
    <row r="506" spans="1:42" x14ac:dyDescent="0.2">
      <c r="A506" s="9" t="s">
        <v>1415</v>
      </c>
      <c r="B506" s="9" t="s">
        <v>1416</v>
      </c>
      <c r="C506" s="9" t="s">
        <v>139</v>
      </c>
      <c r="D506" s="9" t="s">
        <v>140</v>
      </c>
      <c r="E506" s="154">
        <v>314799.57471547992</v>
      </c>
      <c r="F506" s="154">
        <v>303702.10900291736</v>
      </c>
      <c r="G506" s="154">
        <v>1.9380808767220321</v>
      </c>
      <c r="H506" s="154">
        <v>841.43746561706723</v>
      </c>
      <c r="I506" s="154">
        <v>2.972867072019453</v>
      </c>
      <c r="J506" s="154">
        <v>1.5396829233263669</v>
      </c>
      <c r="K506" s="154">
        <v>657232</v>
      </c>
      <c r="L506" s="154">
        <v>654280.28415337671</v>
      </c>
      <c r="M506" s="154">
        <v>0.73632498842931182</v>
      </c>
      <c r="N506" s="154" t="s">
        <v>421</v>
      </c>
      <c r="O506" s="154">
        <v>0.29110218401244065</v>
      </c>
      <c r="P506" s="154" t="s">
        <v>421</v>
      </c>
      <c r="Q506" s="154">
        <v>0.41473783887011595</v>
      </c>
      <c r="R506" s="154">
        <v>11465.164136314535</v>
      </c>
      <c r="S506" s="154">
        <v>4.5468911152432449E-2</v>
      </c>
      <c r="T506" s="154">
        <v>0.39600744188410014</v>
      </c>
      <c r="U506" s="154">
        <v>0.43588179637185531</v>
      </c>
      <c r="V506" s="154">
        <v>1.0611129954120169</v>
      </c>
      <c r="W506" s="154">
        <v>90.131372226754394</v>
      </c>
      <c r="X506" s="154" t="s">
        <v>421</v>
      </c>
      <c r="Y506" s="154">
        <v>1.0164608218019435</v>
      </c>
      <c r="Z506" s="154">
        <v>4.412248585002651E-2</v>
      </c>
      <c r="AC506" s="28" t="s">
        <v>421</v>
      </c>
      <c r="AD506" s="28" t="s">
        <v>421</v>
      </c>
      <c r="AE506" s="9" t="s">
        <v>1626</v>
      </c>
      <c r="AF506" s="28" t="s">
        <v>1626</v>
      </c>
      <c r="AG506" s="28">
        <v>0.94389999999999996</v>
      </c>
      <c r="AH506" s="28">
        <v>32.865499999999997</v>
      </c>
      <c r="AI506" s="28" t="s">
        <v>1626</v>
      </c>
      <c r="AJ506" s="28" t="s">
        <v>1626</v>
      </c>
      <c r="AK506" s="28" t="s">
        <v>1626</v>
      </c>
      <c r="AL506" s="28">
        <v>65.723200000000006</v>
      </c>
      <c r="AM506" s="28" t="s">
        <v>1626</v>
      </c>
      <c r="AN506" s="28">
        <v>0.1353</v>
      </c>
      <c r="AO506" s="28" t="s">
        <v>1626</v>
      </c>
      <c r="AP506" s="156">
        <f t="shared" si="7"/>
        <v>99.667900000000003</v>
      </c>
    </row>
    <row r="507" spans="1:42" x14ac:dyDescent="0.2">
      <c r="A507" s="9" t="s">
        <v>1417</v>
      </c>
      <c r="B507" s="9" t="s">
        <v>1418</v>
      </c>
      <c r="C507" s="9" t="s">
        <v>139</v>
      </c>
      <c r="D507" s="9" t="s">
        <v>140</v>
      </c>
      <c r="E507" s="154">
        <v>323506.64421811356</v>
      </c>
      <c r="F507" s="154">
        <v>288989.04455364391</v>
      </c>
      <c r="G507" s="154">
        <v>0.42831981035284805</v>
      </c>
      <c r="H507" s="154">
        <v>758.7055543893523</v>
      </c>
      <c r="I507" s="154">
        <v>0.81877909934893478</v>
      </c>
      <c r="J507" s="154">
        <v>416.2743814136299</v>
      </c>
      <c r="K507" s="154">
        <v>665651</v>
      </c>
      <c r="L507" s="154">
        <v>665061.42275161098</v>
      </c>
      <c r="M507" s="154">
        <v>0.85632181302870602</v>
      </c>
      <c r="N507" s="154" t="s">
        <v>421</v>
      </c>
      <c r="O507" s="154">
        <v>0.59830878587628145</v>
      </c>
      <c r="P507" s="154" t="s">
        <v>421</v>
      </c>
      <c r="Q507" s="154">
        <v>0.39390379914340412</v>
      </c>
      <c r="R507" s="154">
        <v>1573.0567853400375</v>
      </c>
      <c r="S507" s="154">
        <v>63.165055339979205</v>
      </c>
      <c r="T507" s="154">
        <v>476.16382595824825</v>
      </c>
      <c r="U507" s="154">
        <v>474.80735033113837</v>
      </c>
      <c r="V507" s="154">
        <v>0.9746987876767903</v>
      </c>
      <c r="W507" s="154">
        <v>50.080771602063713</v>
      </c>
      <c r="X507" s="154" t="s">
        <v>421</v>
      </c>
      <c r="Y507" s="154">
        <v>0.61284301094239357</v>
      </c>
      <c r="Z507" s="154">
        <v>61.546098331721161</v>
      </c>
      <c r="AC507" s="28" t="s">
        <v>421</v>
      </c>
      <c r="AD507" s="28" t="s">
        <v>421</v>
      </c>
      <c r="AE507" s="9" t="s">
        <v>1626</v>
      </c>
      <c r="AF507" s="28" t="s">
        <v>1626</v>
      </c>
      <c r="AG507" s="28">
        <v>0.156</v>
      </c>
      <c r="AH507" s="28">
        <v>33.037500000000001</v>
      </c>
      <c r="AI507" s="28" t="s">
        <v>1626</v>
      </c>
      <c r="AJ507" s="28" t="s">
        <v>1626</v>
      </c>
      <c r="AK507" s="28" t="s">
        <v>1626</v>
      </c>
      <c r="AL507" s="28">
        <v>66.565100000000001</v>
      </c>
      <c r="AM507" s="28" t="s">
        <v>1626</v>
      </c>
      <c r="AN507" s="28">
        <v>0.16689999999999999</v>
      </c>
      <c r="AO507" s="28" t="s">
        <v>1626</v>
      </c>
      <c r="AP507" s="156">
        <f t="shared" si="7"/>
        <v>99.9255</v>
      </c>
    </row>
    <row r="508" spans="1:42" x14ac:dyDescent="0.2">
      <c r="A508" s="9" t="s">
        <v>1419</v>
      </c>
      <c r="B508" s="9" t="s">
        <v>1420</v>
      </c>
      <c r="C508" s="9" t="s">
        <v>139</v>
      </c>
      <c r="D508" s="9" t="s">
        <v>140</v>
      </c>
      <c r="E508" s="154">
        <v>313766.66911713855</v>
      </c>
      <c r="F508" s="154">
        <v>302394.86113229289</v>
      </c>
      <c r="G508" s="154">
        <v>0.90746697044883706</v>
      </c>
      <c r="H508" s="154">
        <v>431.61827153846104</v>
      </c>
      <c r="I508" s="154">
        <v>4.4448842361779004</v>
      </c>
      <c r="J508" s="154">
        <v>72.386656803117148</v>
      </c>
      <c r="K508" s="154">
        <v>662436</v>
      </c>
      <c r="L508" s="154">
        <v>663545.35453606118</v>
      </c>
      <c r="M508" s="154">
        <v>21.048782361951091</v>
      </c>
      <c r="N508" s="154">
        <v>1.6151029699506219</v>
      </c>
      <c r="O508" s="154">
        <v>2.8405775482811229</v>
      </c>
      <c r="P508" s="154" t="s">
        <v>421</v>
      </c>
      <c r="Q508" s="154">
        <v>22.1357455570041</v>
      </c>
      <c r="R508" s="154">
        <v>3251.9261960118283</v>
      </c>
      <c r="S508" s="154">
        <v>8.7344497691061811</v>
      </c>
      <c r="T508" s="154">
        <v>4.8014962782909727</v>
      </c>
      <c r="U508" s="154">
        <v>4.8743251530016334</v>
      </c>
      <c r="V508" s="154">
        <v>93.317695163759538</v>
      </c>
      <c r="W508" s="154">
        <v>64.804758339018136</v>
      </c>
      <c r="X508" s="154">
        <v>3.6136969575795604E-2</v>
      </c>
      <c r="Y508" s="154">
        <v>10.927171135673941</v>
      </c>
      <c r="Z508" s="154">
        <v>8.718124681759992</v>
      </c>
      <c r="AC508" s="28" t="s">
        <v>421</v>
      </c>
      <c r="AD508" s="28" t="s">
        <v>421</v>
      </c>
      <c r="AE508" s="9" t="s">
        <v>1626</v>
      </c>
      <c r="AF508" s="28" t="s">
        <v>1626</v>
      </c>
      <c r="AG508" s="28">
        <v>0.42120000000000002</v>
      </c>
      <c r="AH508" s="28">
        <v>32.7438</v>
      </c>
      <c r="AI508" s="28" t="s">
        <v>1626</v>
      </c>
      <c r="AJ508" s="28" t="s">
        <v>1626</v>
      </c>
      <c r="AK508" s="28" t="s">
        <v>1626</v>
      </c>
      <c r="AL508" s="28">
        <v>66.243600000000001</v>
      </c>
      <c r="AM508" s="28" t="s">
        <v>1626</v>
      </c>
      <c r="AN508" s="28">
        <v>7.7499999999999999E-2</v>
      </c>
      <c r="AO508" s="28" t="s">
        <v>1626</v>
      </c>
      <c r="AP508" s="156">
        <f t="shared" si="7"/>
        <v>99.486100000000008</v>
      </c>
    </row>
    <row r="509" spans="1:42" x14ac:dyDescent="0.2">
      <c r="A509" s="9" t="s">
        <v>1421</v>
      </c>
      <c r="B509" s="9" t="s">
        <v>1422</v>
      </c>
      <c r="C509" s="9" t="s">
        <v>139</v>
      </c>
      <c r="D509" s="9" t="s">
        <v>140</v>
      </c>
      <c r="E509" s="154">
        <v>323264.63378531975</v>
      </c>
      <c r="F509" s="154">
        <v>316323.28546227311</v>
      </c>
      <c r="G509" s="154">
        <v>1.2312700806909094</v>
      </c>
      <c r="H509" s="154">
        <v>1134.5746233955481</v>
      </c>
      <c r="I509" s="154">
        <v>0.23365297772336377</v>
      </c>
      <c r="J509" s="154">
        <v>129.95363321835427</v>
      </c>
      <c r="K509" s="154">
        <v>659834</v>
      </c>
      <c r="L509" s="154">
        <v>664016.89867944072</v>
      </c>
      <c r="M509" s="154">
        <v>11.172343018123266</v>
      </c>
      <c r="N509" s="154" t="s">
        <v>421</v>
      </c>
      <c r="O509" s="154">
        <v>2.0950266080688102</v>
      </c>
      <c r="P509" s="154">
        <v>1.7008674919831559</v>
      </c>
      <c r="Q509" s="154">
        <v>2.4156070988941369</v>
      </c>
      <c r="R509" s="154">
        <v>1454.6821368963676</v>
      </c>
      <c r="S509" s="154">
        <v>57.673889516979294</v>
      </c>
      <c r="T509" s="154">
        <v>109.41273960149618</v>
      </c>
      <c r="U509" s="154">
        <v>109.57367770547218</v>
      </c>
      <c r="V509" s="154">
        <v>18.538859378889736</v>
      </c>
      <c r="W509" s="154">
        <v>46.479566434160319</v>
      </c>
      <c r="X509" s="154" t="s">
        <v>421</v>
      </c>
      <c r="Y509" s="154">
        <v>0.94238033236776986</v>
      </c>
      <c r="Z509" s="154">
        <v>57.301886202334209</v>
      </c>
      <c r="AC509" s="28" t="s">
        <v>421</v>
      </c>
      <c r="AD509" s="28" t="s">
        <v>421</v>
      </c>
      <c r="AE509" s="9" t="s">
        <v>1626</v>
      </c>
      <c r="AF509" s="28" t="s">
        <v>1626</v>
      </c>
      <c r="AG509" s="28">
        <v>0.18390000000000001</v>
      </c>
      <c r="AH509" s="28">
        <v>33.111400000000003</v>
      </c>
      <c r="AI509" s="28" t="s">
        <v>1626</v>
      </c>
      <c r="AJ509" s="28" t="s">
        <v>1626</v>
      </c>
      <c r="AK509" s="28" t="s">
        <v>1626</v>
      </c>
      <c r="AL509" s="28">
        <v>65.983400000000003</v>
      </c>
      <c r="AM509" s="28" t="s">
        <v>1626</v>
      </c>
      <c r="AN509" s="28">
        <v>0.20749999999999999</v>
      </c>
      <c r="AO509" s="28" t="s">
        <v>1626</v>
      </c>
      <c r="AP509" s="156">
        <f t="shared" si="7"/>
        <v>99.486200000000011</v>
      </c>
    </row>
    <row r="510" spans="1:42" x14ac:dyDescent="0.2">
      <c r="A510" s="9" t="s">
        <v>1423</v>
      </c>
      <c r="B510" s="9" t="s">
        <v>1424</v>
      </c>
      <c r="C510" s="9" t="s">
        <v>139</v>
      </c>
      <c r="D510" s="9" t="s">
        <v>140</v>
      </c>
      <c r="E510" s="154">
        <v>323630.41436189687</v>
      </c>
      <c r="F510" s="154">
        <v>308524.45607710327</v>
      </c>
      <c r="G510" s="154">
        <v>1.6792669117240513</v>
      </c>
      <c r="H510" s="154">
        <v>511.27052763557401</v>
      </c>
      <c r="I510" s="154">
        <v>4.3949127864783613</v>
      </c>
      <c r="J510" s="154">
        <v>10.692730706146488</v>
      </c>
      <c r="K510" s="154">
        <v>665648</v>
      </c>
      <c r="L510" s="154">
        <v>669069.41279590235</v>
      </c>
      <c r="M510" s="154">
        <v>0.95471309913411473</v>
      </c>
      <c r="N510" s="154" t="s">
        <v>421</v>
      </c>
      <c r="O510" s="154">
        <v>0.48429019241128873</v>
      </c>
      <c r="P510" s="154" t="s">
        <v>421</v>
      </c>
      <c r="Q510" s="154">
        <v>2.2061298614515272</v>
      </c>
      <c r="R510" s="154">
        <v>4972.3073441137185</v>
      </c>
      <c r="S510" s="154">
        <v>1.0659857791528198</v>
      </c>
      <c r="T510" s="154">
        <v>2.3517719937077657</v>
      </c>
      <c r="U510" s="154">
        <v>2.3228475696022239</v>
      </c>
      <c r="V510" s="154">
        <v>9.3565145635652858</v>
      </c>
      <c r="W510" s="154">
        <v>90.332880624163039</v>
      </c>
      <c r="X510" s="154" t="s">
        <v>421</v>
      </c>
      <c r="Y510" s="154">
        <v>2.1033753746206361</v>
      </c>
      <c r="Z510" s="154">
        <v>1.0579897543742134</v>
      </c>
      <c r="AC510" s="28" t="s">
        <v>421</v>
      </c>
      <c r="AD510" s="28" t="s">
        <v>421</v>
      </c>
      <c r="AE510" s="9" t="s">
        <v>1626</v>
      </c>
      <c r="AF510" s="28" t="s">
        <v>1626</v>
      </c>
      <c r="AG510" s="28">
        <v>0.22550000000000001</v>
      </c>
      <c r="AH510" s="28">
        <v>32.889099999999999</v>
      </c>
      <c r="AI510" s="28" t="s">
        <v>1626</v>
      </c>
      <c r="AJ510" s="28" t="s">
        <v>1626</v>
      </c>
      <c r="AK510" s="28" t="s">
        <v>1626</v>
      </c>
      <c r="AL510" s="28">
        <v>66.564800000000005</v>
      </c>
      <c r="AM510" s="28" t="s">
        <v>1626</v>
      </c>
      <c r="AN510" s="28">
        <v>6.1499999999999999E-2</v>
      </c>
      <c r="AO510" s="28" t="s">
        <v>1626</v>
      </c>
      <c r="AP510" s="156">
        <f t="shared" si="7"/>
        <v>99.740899999999996</v>
      </c>
    </row>
    <row r="511" spans="1:42" x14ac:dyDescent="0.2">
      <c r="A511" s="9" t="s">
        <v>1425</v>
      </c>
      <c r="B511" s="9" t="s">
        <v>1426</v>
      </c>
      <c r="C511" s="9" t="s">
        <v>139</v>
      </c>
      <c r="D511" s="9" t="s">
        <v>140</v>
      </c>
      <c r="E511" s="154">
        <v>323015.83735076938</v>
      </c>
      <c r="F511" s="154">
        <v>317040.26953250193</v>
      </c>
      <c r="G511" s="154">
        <v>1.7393509977355184</v>
      </c>
      <c r="H511" s="154">
        <v>633.08973405038171</v>
      </c>
      <c r="I511" s="154">
        <v>2.2988122677716225</v>
      </c>
      <c r="J511" s="154">
        <v>237.58095731147543</v>
      </c>
      <c r="K511" s="154">
        <v>661213</v>
      </c>
      <c r="L511" s="154">
        <v>678893.16751436866</v>
      </c>
      <c r="M511" s="154">
        <v>106.60332448821437</v>
      </c>
      <c r="N511" s="154">
        <v>1.1986149366685099</v>
      </c>
      <c r="O511" s="154">
        <v>2.9298197546691753</v>
      </c>
      <c r="P511" s="154" t="s">
        <v>421</v>
      </c>
      <c r="Q511" s="154">
        <v>26.08819585512634</v>
      </c>
      <c r="R511" s="154">
        <v>1007.7473208577816</v>
      </c>
      <c r="S511" s="154">
        <v>13.142855814545836</v>
      </c>
      <c r="T511" s="154">
        <v>17.527580446398701</v>
      </c>
      <c r="U511" s="154">
        <v>17.668635425261296</v>
      </c>
      <c r="V511" s="154">
        <v>206.91361326561196</v>
      </c>
      <c r="W511" s="154">
        <v>80.888256100389938</v>
      </c>
      <c r="X511" s="154">
        <v>0.41859105294311527</v>
      </c>
      <c r="Y511" s="154">
        <v>31.694635502202559</v>
      </c>
      <c r="Z511" s="154">
        <v>13.08326204102808</v>
      </c>
      <c r="AC511" s="28" t="s">
        <v>421</v>
      </c>
      <c r="AD511" s="28" t="s">
        <v>421</v>
      </c>
      <c r="AE511" s="9" t="s">
        <v>1626</v>
      </c>
      <c r="AF511" s="28" t="s">
        <v>1626</v>
      </c>
      <c r="AG511" s="28">
        <v>0.25609999999999999</v>
      </c>
      <c r="AH511" s="28">
        <v>32.788200000000003</v>
      </c>
      <c r="AI511" s="28" t="s">
        <v>1626</v>
      </c>
      <c r="AJ511" s="28" t="s">
        <v>1626</v>
      </c>
      <c r="AK511" s="28" t="s">
        <v>1626</v>
      </c>
      <c r="AL511" s="28">
        <v>66.121300000000005</v>
      </c>
      <c r="AM511" s="28" t="s">
        <v>1626</v>
      </c>
      <c r="AN511" s="28">
        <v>9.8799999999999999E-2</v>
      </c>
      <c r="AO511" s="28" t="s">
        <v>1626</v>
      </c>
      <c r="AP511" s="156">
        <f t="shared" si="7"/>
        <v>99.264400000000009</v>
      </c>
    </row>
    <row r="512" spans="1:42" x14ac:dyDescent="0.2">
      <c r="A512" s="9" t="s">
        <v>1427</v>
      </c>
      <c r="B512" s="9" t="s">
        <v>1428</v>
      </c>
      <c r="C512" s="9" t="s">
        <v>139</v>
      </c>
      <c r="D512" s="9" t="s">
        <v>140</v>
      </c>
      <c r="E512" s="154">
        <v>323152.66491969296</v>
      </c>
      <c r="F512" s="154">
        <v>318144.43692625646</v>
      </c>
      <c r="G512" s="154">
        <v>0.84894372755048719</v>
      </c>
      <c r="H512" s="154">
        <v>972.23823078594546</v>
      </c>
      <c r="I512" s="154">
        <v>0.63551542171783482</v>
      </c>
      <c r="J512" s="154">
        <v>28.742116389685265</v>
      </c>
      <c r="K512" s="154">
        <v>661910</v>
      </c>
      <c r="L512" s="154">
        <v>665402.22377885703</v>
      </c>
      <c r="M512" s="154">
        <v>4.3796534669481337</v>
      </c>
      <c r="N512" s="154" t="s">
        <v>421</v>
      </c>
      <c r="O512" s="154">
        <v>0.28117651682693096</v>
      </c>
      <c r="P512" s="154">
        <v>1.7883664235041772</v>
      </c>
      <c r="Q512" s="154">
        <v>0.14330220313746153</v>
      </c>
      <c r="R512" s="154">
        <v>2271.5570150933368</v>
      </c>
      <c r="S512" s="154">
        <v>19.368358394711457</v>
      </c>
      <c r="T512" s="154">
        <v>21.583311334336805</v>
      </c>
      <c r="U512" s="154">
        <v>21.488670820360785</v>
      </c>
      <c r="V512" s="154">
        <v>0.7256339875607688</v>
      </c>
      <c r="W512" s="154">
        <v>56.252837951878263</v>
      </c>
      <c r="X512" s="154">
        <v>3.8262409998031051E-2</v>
      </c>
      <c r="Y512" s="154">
        <v>0.56728580060139611</v>
      </c>
      <c r="Z512" s="154">
        <v>19.294975136174713</v>
      </c>
      <c r="AC512" s="28" t="s">
        <v>421</v>
      </c>
      <c r="AD512" s="28" t="s">
        <v>421</v>
      </c>
      <c r="AE512" s="9" t="s">
        <v>1626</v>
      </c>
      <c r="AF512" s="28" t="s">
        <v>1626</v>
      </c>
      <c r="AG512" s="28">
        <v>0.26939999999999997</v>
      </c>
      <c r="AH512" s="28">
        <v>32.824800000000003</v>
      </c>
      <c r="AI512" s="28" t="s">
        <v>1626</v>
      </c>
      <c r="AJ512" s="28" t="s">
        <v>1626</v>
      </c>
      <c r="AK512" s="28" t="s">
        <v>1626</v>
      </c>
      <c r="AL512" s="28">
        <v>66.191000000000003</v>
      </c>
      <c r="AM512" s="28" t="s">
        <v>1626</v>
      </c>
      <c r="AN512" s="28">
        <v>0.1948</v>
      </c>
      <c r="AO512" s="28" t="s">
        <v>1626</v>
      </c>
      <c r="AP512" s="156">
        <f t="shared" si="7"/>
        <v>99.48</v>
      </c>
    </row>
    <row r="513" spans="1:42" x14ac:dyDescent="0.2">
      <c r="A513" s="9" t="s">
        <v>1429</v>
      </c>
      <c r="B513" s="9" t="s">
        <v>1430</v>
      </c>
      <c r="C513" s="9" t="s">
        <v>139</v>
      </c>
      <c r="D513" s="9" t="s">
        <v>140</v>
      </c>
      <c r="E513" s="154">
        <v>320646.48087816127</v>
      </c>
      <c r="F513" s="154">
        <v>319394.94590445881</v>
      </c>
      <c r="G513" s="154">
        <v>0.51138580839049286</v>
      </c>
      <c r="H513" s="154">
        <v>1060.3770298191653</v>
      </c>
      <c r="I513" s="154">
        <v>0.33276115475774992</v>
      </c>
      <c r="J513" s="154">
        <v>42.031257417616544</v>
      </c>
      <c r="K513" s="154">
        <v>662915</v>
      </c>
      <c r="L513" s="154">
        <v>663034.98248297337</v>
      </c>
      <c r="M513" s="154">
        <v>12.060023025583948</v>
      </c>
      <c r="N513" s="154">
        <v>0.47846945793541035</v>
      </c>
      <c r="O513" s="154">
        <v>0.26809099226189048</v>
      </c>
      <c r="P513" s="154">
        <v>1.7405155433793245</v>
      </c>
      <c r="Q513" s="154">
        <v>0.33289163250164339</v>
      </c>
      <c r="R513" s="154">
        <v>1371.8736387129134</v>
      </c>
      <c r="S513" s="154">
        <v>27.810463750460674</v>
      </c>
      <c r="T513" s="154">
        <v>22.337143074495167</v>
      </c>
      <c r="U513" s="154">
        <v>24.482372385918769</v>
      </c>
      <c r="V513" s="154">
        <v>2.0005894122761099</v>
      </c>
      <c r="W513" s="154">
        <v>41.464507706278084</v>
      </c>
      <c r="X513" s="154" t="s">
        <v>421</v>
      </c>
      <c r="Y513" s="154">
        <v>0.85876594362917169</v>
      </c>
      <c r="Z513" s="154">
        <v>27.734517464007389</v>
      </c>
      <c r="AC513" s="28" t="s">
        <v>421</v>
      </c>
      <c r="AD513" s="28" t="s">
        <v>421</v>
      </c>
      <c r="AE513" s="9" t="s">
        <v>1626</v>
      </c>
      <c r="AF513" s="28" t="s">
        <v>1626</v>
      </c>
      <c r="AG513" s="28">
        <v>0.18260000000000001</v>
      </c>
      <c r="AH513" s="28">
        <v>32.862400000000001</v>
      </c>
      <c r="AI513" s="28" t="s">
        <v>1626</v>
      </c>
      <c r="AJ513" s="28" t="s">
        <v>1626</v>
      </c>
      <c r="AK513" s="28" t="s">
        <v>1626</v>
      </c>
      <c r="AL513" s="28">
        <v>66.291499999999999</v>
      </c>
      <c r="AM513" s="28" t="s">
        <v>1626</v>
      </c>
      <c r="AN513" s="28">
        <v>0.1691</v>
      </c>
      <c r="AO513" s="28" t="s">
        <v>1626</v>
      </c>
      <c r="AP513" s="156">
        <f t="shared" si="7"/>
        <v>99.505600000000001</v>
      </c>
    </row>
    <row r="514" spans="1:42" x14ac:dyDescent="0.2">
      <c r="A514" s="9" t="s">
        <v>1431</v>
      </c>
      <c r="B514" s="9" t="s">
        <v>1432</v>
      </c>
      <c r="C514" s="9" t="s">
        <v>139</v>
      </c>
      <c r="D514" s="9" t="s">
        <v>141</v>
      </c>
      <c r="E514" s="154">
        <v>337844.41463286552</v>
      </c>
      <c r="F514" s="154">
        <v>326814.14992182574</v>
      </c>
      <c r="G514" s="154">
        <v>0.72352521106652801</v>
      </c>
      <c r="H514" s="154">
        <v>1042.5006255825999</v>
      </c>
      <c r="I514" s="154">
        <v>0.12763915793680944</v>
      </c>
      <c r="J514" s="154">
        <v>28.173855516436831</v>
      </c>
      <c r="K514" s="154">
        <v>662383</v>
      </c>
      <c r="L514" s="154">
        <v>671055.61526222667</v>
      </c>
      <c r="M514" s="154">
        <v>19.561128756565246</v>
      </c>
      <c r="N514" s="154" t="s">
        <v>421</v>
      </c>
      <c r="O514" s="154" t="s">
        <v>421</v>
      </c>
      <c r="P514" s="154" t="s">
        <v>421</v>
      </c>
      <c r="Q514" s="154">
        <v>0.21473723740137268</v>
      </c>
      <c r="R514" s="154">
        <v>1180.11637835338</v>
      </c>
      <c r="S514" s="154">
        <v>25.564672433300572</v>
      </c>
      <c r="T514" s="154">
        <v>5.1287049865933971</v>
      </c>
      <c r="U514" s="154">
        <v>6.2775890955306313</v>
      </c>
      <c r="V514" s="154">
        <v>0.75332844612921512</v>
      </c>
      <c r="W514" s="154">
        <v>35.527681417505697</v>
      </c>
      <c r="X514" s="154" t="s">
        <v>421</v>
      </c>
      <c r="Y514" s="154">
        <v>0.72132856658896527</v>
      </c>
      <c r="Z514" s="154">
        <v>25.547234836346156</v>
      </c>
      <c r="AC514" s="28" t="s">
        <v>421</v>
      </c>
      <c r="AD514" s="28" t="s">
        <v>421</v>
      </c>
      <c r="AE514" s="9" t="s">
        <v>1626</v>
      </c>
      <c r="AF514" s="28" t="s">
        <v>1626</v>
      </c>
      <c r="AG514" s="28">
        <v>0.16259999999999999</v>
      </c>
      <c r="AH514" s="28">
        <v>32.8568</v>
      </c>
      <c r="AI514" s="28" t="s">
        <v>1626</v>
      </c>
      <c r="AJ514" s="28" t="s">
        <v>1626</v>
      </c>
      <c r="AK514" s="28" t="s">
        <v>1626</v>
      </c>
      <c r="AL514" s="28">
        <v>66.238299999999995</v>
      </c>
      <c r="AM514" s="28" t="s">
        <v>1626</v>
      </c>
      <c r="AN514" s="28">
        <v>0.16800000000000001</v>
      </c>
      <c r="AO514" s="28" t="s">
        <v>1626</v>
      </c>
      <c r="AP514" s="156">
        <f t="shared" si="7"/>
        <v>99.425700000000006</v>
      </c>
    </row>
    <row r="515" spans="1:42" x14ac:dyDescent="0.2">
      <c r="A515" s="9" t="s">
        <v>1433</v>
      </c>
      <c r="B515" s="9" t="s">
        <v>1434</v>
      </c>
      <c r="C515" s="9" t="s">
        <v>139</v>
      </c>
      <c r="D515" s="9" t="s">
        <v>141</v>
      </c>
      <c r="E515" s="154">
        <v>361560.86537594383</v>
      </c>
      <c r="F515" s="154">
        <v>343478.29186872015</v>
      </c>
      <c r="G515" s="154">
        <v>0.85557343351626458</v>
      </c>
      <c r="H515" s="154">
        <v>587.34529705170462</v>
      </c>
      <c r="I515" s="154">
        <v>4.1082811007191093</v>
      </c>
      <c r="J515" s="154">
        <v>70.670511220419669</v>
      </c>
      <c r="K515" s="154">
        <v>664918</v>
      </c>
      <c r="L515" s="154">
        <v>668396.14162003633</v>
      </c>
      <c r="M515" s="154">
        <v>22.638108786256137</v>
      </c>
      <c r="N515" s="154" t="s">
        <v>421</v>
      </c>
      <c r="O515" s="154">
        <v>1.7382474988383674</v>
      </c>
      <c r="P515" s="154" t="s">
        <v>421</v>
      </c>
      <c r="Q515" s="154">
        <v>17.028893097109389</v>
      </c>
      <c r="R515" s="154">
        <v>1922.8319613228675</v>
      </c>
      <c r="S515" s="154">
        <v>4.3296710711499475</v>
      </c>
      <c r="T515" s="154">
        <v>7.3982687583465916</v>
      </c>
      <c r="U515" s="154">
        <v>6.7650810994029458</v>
      </c>
      <c r="V515" s="154">
        <v>91.181510926624966</v>
      </c>
      <c r="W515" s="154">
        <v>30.176867545006932</v>
      </c>
      <c r="X515" s="154">
        <v>4.2718316985289453E-2</v>
      </c>
      <c r="Y515" s="154">
        <v>6.9384736145201886</v>
      </c>
      <c r="Z515" s="154">
        <v>4.3045169573715691</v>
      </c>
      <c r="AC515" s="28" t="s">
        <v>421</v>
      </c>
      <c r="AD515" s="28" t="s">
        <v>421</v>
      </c>
      <c r="AE515" s="9" t="s">
        <v>1626</v>
      </c>
      <c r="AF515" s="28" t="s">
        <v>1626</v>
      </c>
      <c r="AG515" s="28">
        <v>0.2326</v>
      </c>
      <c r="AH515" s="28">
        <v>32.730200000000004</v>
      </c>
      <c r="AI515" s="28" t="s">
        <v>1626</v>
      </c>
      <c r="AJ515" s="28" t="s">
        <v>1626</v>
      </c>
      <c r="AK515" s="28" t="s">
        <v>1626</v>
      </c>
      <c r="AL515" s="28">
        <v>66.491799999999998</v>
      </c>
      <c r="AM515" s="28" t="s">
        <v>1626</v>
      </c>
      <c r="AN515" s="28">
        <v>0.1206</v>
      </c>
      <c r="AO515" s="28" t="s">
        <v>1626</v>
      </c>
      <c r="AP515" s="156">
        <f t="shared" si="7"/>
        <v>99.575199999999995</v>
      </c>
    </row>
    <row r="516" spans="1:42" x14ac:dyDescent="0.2">
      <c r="A516" s="9" t="s">
        <v>1435</v>
      </c>
      <c r="B516" s="9" t="s">
        <v>1436</v>
      </c>
      <c r="C516" s="9" t="s">
        <v>139</v>
      </c>
      <c r="D516" s="9" t="s">
        <v>141</v>
      </c>
      <c r="E516" s="154">
        <v>350075.58003663184</v>
      </c>
      <c r="F516" s="154">
        <v>350299.25975556881</v>
      </c>
      <c r="G516" s="154">
        <v>0.93159583558482417</v>
      </c>
      <c r="H516" s="154">
        <v>415.32819947745651</v>
      </c>
      <c r="I516" s="154">
        <v>4.3764081317533678</v>
      </c>
      <c r="J516" s="154">
        <v>17.546577594003836</v>
      </c>
      <c r="K516" s="154">
        <v>662240</v>
      </c>
      <c r="L516" s="154">
        <v>660824.09426508646</v>
      </c>
      <c r="M516" s="154">
        <v>8.4864667643069414</v>
      </c>
      <c r="N516" s="154" t="s">
        <v>421</v>
      </c>
      <c r="O516" s="154">
        <v>0.72784156850479731</v>
      </c>
      <c r="P516" s="154">
        <v>1.677775825417394</v>
      </c>
      <c r="Q516" s="154">
        <v>5.5521061724689291</v>
      </c>
      <c r="R516" s="154">
        <v>1302.8453690793037</v>
      </c>
      <c r="S516" s="154">
        <v>5.2840199851357399</v>
      </c>
      <c r="T516" s="154">
        <v>1.211558166878284</v>
      </c>
      <c r="U516" s="154">
        <v>1.2333297987355667</v>
      </c>
      <c r="V516" s="154">
        <v>24.914443081425603</v>
      </c>
      <c r="W516" s="154">
        <v>25.794160930351822</v>
      </c>
      <c r="X516" s="154">
        <v>3.9548704004034228E-2</v>
      </c>
      <c r="Y516" s="154">
        <v>6.1523667413671426</v>
      </c>
      <c r="Z516" s="154">
        <v>5.2799006873683538</v>
      </c>
      <c r="AC516" s="28" t="s">
        <v>421</v>
      </c>
      <c r="AD516" s="28" t="s">
        <v>421</v>
      </c>
      <c r="AE516" s="9" t="s">
        <v>1626</v>
      </c>
      <c r="AF516" s="28" t="s">
        <v>1626</v>
      </c>
      <c r="AG516" s="28">
        <v>6.5699999999999995E-2</v>
      </c>
      <c r="AH516" s="28">
        <v>32.765500000000003</v>
      </c>
      <c r="AI516" s="28" t="s">
        <v>1626</v>
      </c>
      <c r="AJ516" s="28" t="s">
        <v>1626</v>
      </c>
      <c r="AK516" s="28" t="s">
        <v>1626</v>
      </c>
      <c r="AL516" s="28">
        <v>66.224000000000004</v>
      </c>
      <c r="AM516" s="28" t="s">
        <v>1626</v>
      </c>
      <c r="AN516" s="28">
        <v>7.0699999999999999E-2</v>
      </c>
      <c r="AO516" s="28" t="s">
        <v>1626</v>
      </c>
      <c r="AP516" s="156">
        <f t="shared" si="7"/>
        <v>99.125900000000016</v>
      </c>
    </row>
    <row r="517" spans="1:42" x14ac:dyDescent="0.2">
      <c r="A517" s="9" t="s">
        <v>1437</v>
      </c>
      <c r="B517" s="9" t="s">
        <v>1438</v>
      </c>
      <c r="C517" s="9" t="s">
        <v>139</v>
      </c>
      <c r="D517" s="9" t="s">
        <v>141</v>
      </c>
      <c r="E517" s="154">
        <v>348346.99341265875</v>
      </c>
      <c r="F517" s="154">
        <v>339034.65853606188</v>
      </c>
      <c r="G517" s="154">
        <v>1.1194051958695124</v>
      </c>
      <c r="H517" s="154">
        <v>1038.8169605720666</v>
      </c>
      <c r="I517" s="154">
        <v>0.32978019535654107</v>
      </c>
      <c r="J517" s="154">
        <v>22.982913920530812</v>
      </c>
      <c r="K517" s="154">
        <v>662495</v>
      </c>
      <c r="L517" s="154">
        <v>677802.98343241261</v>
      </c>
      <c r="M517" s="154">
        <v>12.401993419531903</v>
      </c>
      <c r="N517" s="154" t="s">
        <v>421</v>
      </c>
      <c r="O517" s="154">
        <v>0.27965151255186704</v>
      </c>
      <c r="P517" s="154" t="s">
        <v>421</v>
      </c>
      <c r="Q517" s="154">
        <v>0.79341881492568755</v>
      </c>
      <c r="R517" s="154">
        <v>1894.8802711386436</v>
      </c>
      <c r="S517" s="154">
        <v>22.675441374377677</v>
      </c>
      <c r="T517" s="154">
        <v>0.56809790551101458</v>
      </c>
      <c r="U517" s="154">
        <v>0.66344263755243904</v>
      </c>
      <c r="V517" s="154">
        <v>3.546650400967573</v>
      </c>
      <c r="W517" s="154">
        <v>49.700053444961206</v>
      </c>
      <c r="X517" s="154">
        <v>0.17139441539901598</v>
      </c>
      <c r="Y517" s="154">
        <v>2.089939439412269</v>
      </c>
      <c r="Z517" s="154">
        <v>22.673509841498941</v>
      </c>
      <c r="AC517" s="28" t="s">
        <v>421</v>
      </c>
      <c r="AD517" s="28" t="s">
        <v>421</v>
      </c>
      <c r="AE517" s="9" t="s">
        <v>1626</v>
      </c>
      <c r="AF517" s="28" t="s">
        <v>1626</v>
      </c>
      <c r="AG517" s="28">
        <v>0.17810000000000001</v>
      </c>
      <c r="AH517" s="28">
        <v>32.723799999999997</v>
      </c>
      <c r="AI517" s="28" t="s">
        <v>1626</v>
      </c>
      <c r="AJ517" s="28" t="s">
        <v>1626</v>
      </c>
      <c r="AK517" s="28" t="s">
        <v>1626</v>
      </c>
      <c r="AL517" s="28">
        <v>66.249499999999998</v>
      </c>
      <c r="AM517" s="28" t="s">
        <v>1626</v>
      </c>
      <c r="AN517" s="28">
        <v>0.1726</v>
      </c>
      <c r="AO517" s="28" t="s">
        <v>1626</v>
      </c>
      <c r="AP517" s="156">
        <f t="shared" si="7"/>
        <v>99.323999999999998</v>
      </c>
    </row>
    <row r="518" spans="1:42" x14ac:dyDescent="0.2">
      <c r="A518" s="9" t="s">
        <v>1439</v>
      </c>
      <c r="B518" s="9" t="s">
        <v>1440</v>
      </c>
      <c r="C518" s="9" t="s">
        <v>139</v>
      </c>
      <c r="D518" s="9" t="s">
        <v>141</v>
      </c>
      <c r="E518" s="154">
        <v>342753.91084740963</v>
      </c>
      <c r="F518" s="154">
        <v>338564.18169517023</v>
      </c>
      <c r="G518" s="154">
        <v>0.72302190827642066</v>
      </c>
      <c r="H518" s="154">
        <v>792.01797481554649</v>
      </c>
      <c r="I518" s="154">
        <v>1.4955280154744395</v>
      </c>
      <c r="J518" s="154">
        <v>25.611225163292008</v>
      </c>
      <c r="K518" s="154">
        <v>661962</v>
      </c>
      <c r="L518" s="154">
        <v>671427.97789799352</v>
      </c>
      <c r="M518" s="154">
        <v>10.803300633941468</v>
      </c>
      <c r="N518" s="154" t="s">
        <v>421</v>
      </c>
      <c r="O518" s="154">
        <v>0.88985410389416242</v>
      </c>
      <c r="P518" s="154">
        <v>1.368924715067372</v>
      </c>
      <c r="Q518" s="154">
        <v>2.6748876736886364</v>
      </c>
      <c r="R518" s="154">
        <v>1574.9969883572091</v>
      </c>
      <c r="S518" s="154">
        <v>7.6130266936779352</v>
      </c>
      <c r="T518" s="154">
        <v>2.9681452516316829</v>
      </c>
      <c r="U518" s="154">
        <v>3.3919305415824219</v>
      </c>
      <c r="V518" s="154">
        <v>13.886346475781757</v>
      </c>
      <c r="W518" s="154">
        <v>38.371695442802107</v>
      </c>
      <c r="X518" s="154">
        <v>3.5792246550789594E-2</v>
      </c>
      <c r="Y518" s="154">
        <v>2.5243159204899808</v>
      </c>
      <c r="Z518" s="154">
        <v>7.6029349998223879</v>
      </c>
      <c r="AC518" s="28" t="s">
        <v>421</v>
      </c>
      <c r="AD518" s="28" t="s">
        <v>421</v>
      </c>
      <c r="AE518" s="9" t="s">
        <v>1626</v>
      </c>
      <c r="AF518" s="28" t="s">
        <v>1626</v>
      </c>
      <c r="AG518" s="28">
        <v>0.21659999999999999</v>
      </c>
      <c r="AH518" s="28">
        <v>32.834299999999999</v>
      </c>
      <c r="AI518" s="28" t="s">
        <v>1626</v>
      </c>
      <c r="AJ518" s="28" t="s">
        <v>1626</v>
      </c>
      <c r="AK518" s="28" t="s">
        <v>1626</v>
      </c>
      <c r="AL518" s="28">
        <v>66.196200000000005</v>
      </c>
      <c r="AM518" s="28" t="s">
        <v>1626</v>
      </c>
      <c r="AN518" s="28">
        <v>0.14080000000000001</v>
      </c>
      <c r="AO518" s="28" t="s">
        <v>1626</v>
      </c>
      <c r="AP518" s="156">
        <f t="shared" si="7"/>
        <v>99.387900000000002</v>
      </c>
    </row>
    <row r="519" spans="1:42" x14ac:dyDescent="0.2">
      <c r="A519" s="9" t="s">
        <v>1441</v>
      </c>
      <c r="B519" s="9" t="s">
        <v>1442</v>
      </c>
      <c r="C519" s="9" t="s">
        <v>139</v>
      </c>
      <c r="D519" s="9" t="s">
        <v>141</v>
      </c>
      <c r="E519" s="154">
        <v>348501.29171923915</v>
      </c>
      <c r="F519" s="154">
        <v>295985.17968414153</v>
      </c>
      <c r="G519" s="154">
        <v>1.0872133837230107</v>
      </c>
      <c r="H519" s="154">
        <v>724.63420537757315</v>
      </c>
      <c r="I519" s="154">
        <v>1.2714219368376447</v>
      </c>
      <c r="J519" s="154">
        <v>149.83140596727941</v>
      </c>
      <c r="K519" s="154">
        <v>662744</v>
      </c>
      <c r="L519" s="154">
        <v>676957.55113271659</v>
      </c>
      <c r="M519" s="154">
        <v>17.411975117526474</v>
      </c>
      <c r="N519" s="154">
        <v>0.6320402356980499</v>
      </c>
      <c r="O519" s="154">
        <v>6.5935499750890685</v>
      </c>
      <c r="P519" s="154" t="s">
        <v>421</v>
      </c>
      <c r="Q519" s="154">
        <v>15.748373525346393</v>
      </c>
      <c r="R519" s="154">
        <v>1604.9840288075241</v>
      </c>
      <c r="S519" s="154">
        <v>60.208959521413995</v>
      </c>
      <c r="T519" s="154">
        <v>32.972704863885482</v>
      </c>
      <c r="U519" s="154">
        <v>27.653465822982277</v>
      </c>
      <c r="V519" s="154">
        <v>136.0920916769866</v>
      </c>
      <c r="W519" s="154">
        <v>56.380676146302683</v>
      </c>
      <c r="X519" s="154" t="s">
        <v>421</v>
      </c>
      <c r="Y519" s="154">
        <v>3.1028743669435768</v>
      </c>
      <c r="Z519" s="154">
        <v>60.096852324876785</v>
      </c>
      <c r="AC519" s="28" t="s">
        <v>421</v>
      </c>
      <c r="AD519" s="28" t="s">
        <v>421</v>
      </c>
      <c r="AE519" s="9" t="s">
        <v>1626</v>
      </c>
      <c r="AF519" s="28" t="s">
        <v>1626</v>
      </c>
      <c r="AG519" s="28">
        <v>0.1865</v>
      </c>
      <c r="AH519" s="28">
        <v>32.825299999999999</v>
      </c>
      <c r="AI519" s="28" t="s">
        <v>1626</v>
      </c>
      <c r="AJ519" s="28" t="s">
        <v>1626</v>
      </c>
      <c r="AK519" s="28" t="s">
        <v>1626</v>
      </c>
      <c r="AL519" s="28">
        <v>66.2744</v>
      </c>
      <c r="AM519" s="28" t="s">
        <v>1626</v>
      </c>
      <c r="AN519" s="28">
        <v>0.128</v>
      </c>
      <c r="AO519" s="28" t="s">
        <v>1626</v>
      </c>
      <c r="AP519" s="156">
        <f t="shared" si="7"/>
        <v>99.414200000000008</v>
      </c>
    </row>
    <row r="520" spans="1:42" x14ac:dyDescent="0.2">
      <c r="A520" s="9" t="s">
        <v>1443</v>
      </c>
      <c r="B520" s="9" t="s">
        <v>1444</v>
      </c>
      <c r="C520" s="9" t="s">
        <v>139</v>
      </c>
      <c r="D520" s="9" t="s">
        <v>141</v>
      </c>
      <c r="E520" s="154">
        <v>342884.13504647312</v>
      </c>
      <c r="F520" s="154">
        <v>341397.8819483624</v>
      </c>
      <c r="G520" s="154">
        <v>0.962745394611633</v>
      </c>
      <c r="H520" s="154">
        <v>1102.8778162550561</v>
      </c>
      <c r="I520" s="154">
        <v>0.17876755223985774</v>
      </c>
      <c r="J520" s="154">
        <v>249.25158242884146</v>
      </c>
      <c r="K520" s="154">
        <v>664321</v>
      </c>
      <c r="L520" s="154">
        <v>666093.0655993555</v>
      </c>
      <c r="M520" s="154">
        <v>32.25763892515279</v>
      </c>
      <c r="N520" s="154" t="s">
        <v>421</v>
      </c>
      <c r="O520" s="154">
        <v>20.24357442764089</v>
      </c>
      <c r="P520" s="154">
        <v>1.797968075126424</v>
      </c>
      <c r="Q520" s="154">
        <v>24.186077960752918</v>
      </c>
      <c r="R520" s="154">
        <v>1315.3194483246918</v>
      </c>
      <c r="S520" s="154">
        <v>121.19796129825052</v>
      </c>
      <c r="T520" s="154">
        <v>60.525070767421411</v>
      </c>
      <c r="U520" s="154">
        <v>60.593521164653566</v>
      </c>
      <c r="V520" s="154">
        <v>219.62410337978568</v>
      </c>
      <c r="W520" s="154">
        <v>31.784222983702801</v>
      </c>
      <c r="X520" s="154">
        <v>3.5940177531832082E-2</v>
      </c>
      <c r="Y520" s="154">
        <v>5.8593216619694415</v>
      </c>
      <c r="Z520" s="154">
        <v>120.99217605764129</v>
      </c>
      <c r="AC520" s="28" t="s">
        <v>421</v>
      </c>
      <c r="AD520" s="28" t="s">
        <v>421</v>
      </c>
      <c r="AE520" s="9" t="s">
        <v>1626</v>
      </c>
      <c r="AF520" s="28" t="s">
        <v>1626</v>
      </c>
      <c r="AG520" s="28">
        <v>0.1976</v>
      </c>
      <c r="AH520" s="28">
        <v>32.895600000000002</v>
      </c>
      <c r="AI520" s="28" t="s">
        <v>1626</v>
      </c>
      <c r="AJ520" s="28" t="s">
        <v>1626</v>
      </c>
      <c r="AK520" s="28" t="s">
        <v>1626</v>
      </c>
      <c r="AL520" s="28">
        <v>66.432100000000005</v>
      </c>
      <c r="AM520" s="28" t="s">
        <v>1626</v>
      </c>
      <c r="AN520" s="28">
        <v>0.14849999999999999</v>
      </c>
      <c r="AO520" s="28" t="s">
        <v>1626</v>
      </c>
      <c r="AP520" s="156">
        <f t="shared" ref="AP520:AP583" si="8">SUM(AC520:AO520)</f>
        <v>99.673800000000014</v>
      </c>
    </row>
    <row r="521" spans="1:42" x14ac:dyDescent="0.2">
      <c r="A521" s="9" t="s">
        <v>1445</v>
      </c>
      <c r="B521" s="9" t="s">
        <v>1446</v>
      </c>
      <c r="C521" s="9" t="s">
        <v>139</v>
      </c>
      <c r="D521" s="9" t="s">
        <v>141</v>
      </c>
      <c r="E521" s="154">
        <v>346156.70517376717</v>
      </c>
      <c r="F521" s="154">
        <v>340772.98884404678</v>
      </c>
      <c r="G521" s="154">
        <v>1.0261474493927003</v>
      </c>
      <c r="H521" s="154">
        <v>1061.3551788894854</v>
      </c>
      <c r="I521" s="154">
        <v>0.17892891369518327</v>
      </c>
      <c r="J521" s="154">
        <v>184.60956253068679</v>
      </c>
      <c r="K521" s="154">
        <v>664151</v>
      </c>
      <c r="L521" s="154">
        <v>669642.57558840211</v>
      </c>
      <c r="M521" s="154">
        <v>28.568324840644461</v>
      </c>
      <c r="N521" s="154" t="s">
        <v>421</v>
      </c>
      <c r="O521" s="154">
        <v>14.92859141251239</v>
      </c>
      <c r="P521" s="154" t="s">
        <v>421</v>
      </c>
      <c r="Q521" s="154">
        <v>13.352737247218904</v>
      </c>
      <c r="R521" s="154">
        <v>1325.1549430645505</v>
      </c>
      <c r="S521" s="154">
        <v>124.90008200461126</v>
      </c>
      <c r="T521" s="154">
        <v>45.030743824675326</v>
      </c>
      <c r="U521" s="154">
        <v>43.545625752671981</v>
      </c>
      <c r="V521" s="154">
        <v>124.59356458529416</v>
      </c>
      <c r="W521" s="154">
        <v>29.875022049728955</v>
      </c>
      <c r="X521" s="154" t="s">
        <v>421</v>
      </c>
      <c r="Y521" s="154">
        <v>2.4840839677066451</v>
      </c>
      <c r="Z521" s="154">
        <v>124.74697747560737</v>
      </c>
      <c r="AC521" s="28" t="s">
        <v>421</v>
      </c>
      <c r="AD521" s="28" t="s">
        <v>421</v>
      </c>
      <c r="AE521" s="9" t="s">
        <v>1626</v>
      </c>
      <c r="AF521" s="28" t="s">
        <v>1626</v>
      </c>
      <c r="AG521" s="28">
        <v>0.14510000000000001</v>
      </c>
      <c r="AH521" s="28">
        <v>32.3429</v>
      </c>
      <c r="AI521" s="28" t="s">
        <v>1626</v>
      </c>
      <c r="AJ521" s="28" t="s">
        <v>1626</v>
      </c>
      <c r="AK521" s="28" t="s">
        <v>1626</v>
      </c>
      <c r="AL521" s="28">
        <v>66.415099999999995</v>
      </c>
      <c r="AM521" s="28" t="s">
        <v>1626</v>
      </c>
      <c r="AN521" s="28">
        <v>0.17530000000000001</v>
      </c>
      <c r="AO521" s="28" t="s">
        <v>1626</v>
      </c>
      <c r="AP521" s="156">
        <f t="shared" si="8"/>
        <v>99.078399999999988</v>
      </c>
    </row>
    <row r="522" spans="1:42" x14ac:dyDescent="0.2">
      <c r="A522" s="9" t="s">
        <v>1447</v>
      </c>
      <c r="B522" s="9" t="s">
        <v>1448</v>
      </c>
      <c r="C522" s="9" t="s">
        <v>139</v>
      </c>
      <c r="D522" s="9" t="s">
        <v>141</v>
      </c>
      <c r="E522" s="154">
        <v>343367.90279925452</v>
      </c>
      <c r="F522" s="154">
        <v>277733.6816424845</v>
      </c>
      <c r="G522" s="154" t="s">
        <v>421</v>
      </c>
      <c r="H522" s="154">
        <v>398.62187754192041</v>
      </c>
      <c r="I522" s="154">
        <v>3.7803853501457416</v>
      </c>
      <c r="J522" s="154">
        <v>28.48730961487577</v>
      </c>
      <c r="K522" s="154">
        <v>649666</v>
      </c>
      <c r="L522" s="154">
        <v>645024.41164728114</v>
      </c>
      <c r="M522" s="154">
        <v>8.0138633942681334</v>
      </c>
      <c r="N522" s="154" t="s">
        <v>421</v>
      </c>
      <c r="O522" s="154">
        <v>1.1227869831269222</v>
      </c>
      <c r="P522" s="154" t="s">
        <v>421</v>
      </c>
      <c r="Q522" s="154">
        <v>8.1090183412212937</v>
      </c>
      <c r="R522" s="154">
        <v>1114.5385604762321</v>
      </c>
      <c r="S522" s="154">
        <v>10.528120049794506</v>
      </c>
      <c r="T522" s="154">
        <v>6.6957711917828968</v>
      </c>
      <c r="U522" s="154">
        <v>6.9875335093523008</v>
      </c>
      <c r="V522" s="154">
        <v>29.130891036416028</v>
      </c>
      <c r="W522" s="154">
        <v>30.106170524067618</v>
      </c>
      <c r="X522" s="154">
        <v>7.7325874718651946E-2</v>
      </c>
      <c r="Y522" s="154">
        <v>6.4434341528215731</v>
      </c>
      <c r="Z522" s="154">
        <v>10.505354427742445</v>
      </c>
      <c r="AC522" s="28" t="s">
        <v>421</v>
      </c>
      <c r="AD522" s="28" t="s">
        <v>421</v>
      </c>
      <c r="AE522" s="9" t="s">
        <v>1626</v>
      </c>
      <c r="AF522" s="28" t="s">
        <v>1626</v>
      </c>
      <c r="AG522" s="28">
        <v>5.5500000000000001E-2</v>
      </c>
      <c r="AH522" s="28">
        <v>32.853700000000003</v>
      </c>
      <c r="AI522" s="28" t="s">
        <v>1626</v>
      </c>
      <c r="AJ522" s="28" t="s">
        <v>1626</v>
      </c>
      <c r="AK522" s="28" t="s">
        <v>1626</v>
      </c>
      <c r="AL522" s="28">
        <v>64.9666</v>
      </c>
      <c r="AM522" s="28" t="s">
        <v>1626</v>
      </c>
      <c r="AN522" s="28">
        <v>1.0394000000000001</v>
      </c>
      <c r="AO522" s="28" t="s">
        <v>1626</v>
      </c>
      <c r="AP522" s="156">
        <f t="shared" si="8"/>
        <v>98.915199999999999</v>
      </c>
    </row>
    <row r="523" spans="1:42" x14ac:dyDescent="0.2">
      <c r="A523" s="9" t="s">
        <v>1449</v>
      </c>
      <c r="B523" s="9" t="s">
        <v>1450</v>
      </c>
      <c r="C523" s="9" t="s">
        <v>139</v>
      </c>
      <c r="D523" s="9" t="s">
        <v>141</v>
      </c>
      <c r="E523" s="154">
        <v>352585.09839965904</v>
      </c>
      <c r="F523" s="154">
        <v>283097.37827134441</v>
      </c>
      <c r="G523" s="154">
        <v>0.30912648504247492</v>
      </c>
      <c r="H523" s="154">
        <v>851.75348136450577</v>
      </c>
      <c r="I523" s="154">
        <v>0.4916414173469083</v>
      </c>
      <c r="J523" s="154">
        <v>37.204436710495784</v>
      </c>
      <c r="K523" s="154">
        <v>664789</v>
      </c>
      <c r="L523" s="154">
        <v>656721.34030328516</v>
      </c>
      <c r="M523" s="154">
        <v>9.0482298696455832</v>
      </c>
      <c r="N523" s="154" t="s">
        <v>421</v>
      </c>
      <c r="O523" s="154">
        <v>2.0829389783330203</v>
      </c>
      <c r="P523" s="154" t="s">
        <v>421</v>
      </c>
      <c r="Q523" s="154">
        <v>6.353122976578617</v>
      </c>
      <c r="R523" s="154">
        <v>1596.6517417195305</v>
      </c>
      <c r="S523" s="154">
        <v>34.049478880385607</v>
      </c>
      <c r="T523" s="154">
        <v>15.62801128200708</v>
      </c>
      <c r="U523" s="154">
        <v>16.156615787804736</v>
      </c>
      <c r="V523" s="154">
        <v>18.833351266762143</v>
      </c>
      <c r="W523" s="154">
        <v>44.098216764435854</v>
      </c>
      <c r="X523" s="154">
        <v>8.0987812542096013E-2</v>
      </c>
      <c r="Y523" s="154">
        <v>4.6581949992203935</v>
      </c>
      <c r="Z523" s="154">
        <v>33.99634364202678</v>
      </c>
      <c r="AC523" s="28" t="s">
        <v>421</v>
      </c>
      <c r="AD523" s="28" t="s">
        <v>421</v>
      </c>
      <c r="AE523" s="9" t="s">
        <v>1626</v>
      </c>
      <c r="AF523" s="28" t="s">
        <v>1626</v>
      </c>
      <c r="AG523" s="28">
        <v>0.1706</v>
      </c>
      <c r="AH523" s="28">
        <v>32.766399999999997</v>
      </c>
      <c r="AI523" s="28" t="s">
        <v>1626</v>
      </c>
      <c r="AJ523" s="28" t="s">
        <v>1626</v>
      </c>
      <c r="AK523" s="28" t="s">
        <v>1626</v>
      </c>
      <c r="AL523" s="28">
        <v>66.478899999999996</v>
      </c>
      <c r="AM523" s="28" t="s">
        <v>1626</v>
      </c>
      <c r="AN523" s="28">
        <v>0.12770000000000001</v>
      </c>
      <c r="AO523" s="28" t="s">
        <v>1626</v>
      </c>
      <c r="AP523" s="156">
        <f t="shared" si="8"/>
        <v>99.543599999999998</v>
      </c>
    </row>
    <row r="524" spans="1:42" x14ac:dyDescent="0.2">
      <c r="A524" s="9" t="s">
        <v>1451</v>
      </c>
      <c r="B524" s="9" t="s">
        <v>1452</v>
      </c>
      <c r="C524" s="9" t="s">
        <v>139</v>
      </c>
      <c r="D524" s="9" t="s">
        <v>141</v>
      </c>
      <c r="E524" s="154">
        <v>344408.76732246729</v>
      </c>
      <c r="F524" s="154">
        <v>329713.2880806874</v>
      </c>
      <c r="G524" s="154">
        <v>0.79587873853607682</v>
      </c>
      <c r="H524" s="154">
        <v>563.30784937516944</v>
      </c>
      <c r="I524" s="154">
        <v>3.1005628398986858</v>
      </c>
      <c r="J524" s="154">
        <v>147.2485121756493</v>
      </c>
      <c r="K524" s="154">
        <v>665423</v>
      </c>
      <c r="L524" s="154">
        <v>659961.47873670515</v>
      </c>
      <c r="M524" s="154">
        <v>11.303504353195436</v>
      </c>
      <c r="N524" s="154">
        <v>0.58063993284201232</v>
      </c>
      <c r="O524" s="154">
        <v>1.5270922485862877</v>
      </c>
      <c r="P524" s="154" t="s">
        <v>421</v>
      </c>
      <c r="Q524" s="154">
        <v>17.602055344787274</v>
      </c>
      <c r="R524" s="154">
        <v>1960.6062626858829</v>
      </c>
      <c r="S524" s="154">
        <v>127.16708505278828</v>
      </c>
      <c r="T524" s="154">
        <v>29.65548496814046</v>
      </c>
      <c r="U524" s="154">
        <v>28.43454039691434</v>
      </c>
      <c r="V524" s="154">
        <v>75.499846754825583</v>
      </c>
      <c r="W524" s="154">
        <v>31.648063341512632</v>
      </c>
      <c r="X524" s="154" t="s">
        <v>421</v>
      </c>
      <c r="Y524" s="154">
        <v>9.6333618497650519</v>
      </c>
      <c r="Z524" s="154">
        <v>127.0662564038966</v>
      </c>
      <c r="AC524" s="28" t="s">
        <v>421</v>
      </c>
      <c r="AD524" s="28" t="s">
        <v>421</v>
      </c>
      <c r="AE524" s="9" t="s">
        <v>1626</v>
      </c>
      <c r="AF524" s="28" t="s">
        <v>1626</v>
      </c>
      <c r="AG524" s="28">
        <v>0.20930000000000001</v>
      </c>
      <c r="AH524" s="28">
        <v>32.951999999999998</v>
      </c>
      <c r="AI524" s="28" t="s">
        <v>1626</v>
      </c>
      <c r="AJ524" s="28" t="s">
        <v>1626</v>
      </c>
      <c r="AK524" s="28" t="s">
        <v>1626</v>
      </c>
      <c r="AL524" s="28">
        <v>66.542299999999997</v>
      </c>
      <c r="AM524" s="28" t="s">
        <v>1626</v>
      </c>
      <c r="AN524" s="28">
        <v>0.1085</v>
      </c>
      <c r="AO524" s="28" t="s">
        <v>1626</v>
      </c>
      <c r="AP524" s="156">
        <f t="shared" si="8"/>
        <v>99.812100000000001</v>
      </c>
    </row>
    <row r="525" spans="1:42" x14ac:dyDescent="0.2">
      <c r="A525" s="9" t="s">
        <v>1453</v>
      </c>
      <c r="B525" s="9" t="s">
        <v>1454</v>
      </c>
      <c r="C525" s="9" t="s">
        <v>139</v>
      </c>
      <c r="D525" s="9" t="s">
        <v>141</v>
      </c>
      <c r="E525" s="154">
        <v>348175.03340963658</v>
      </c>
      <c r="F525" s="154">
        <v>282591.92745804309</v>
      </c>
      <c r="G525" s="154">
        <v>0.70857133926824611</v>
      </c>
      <c r="H525" s="154">
        <v>1049.0849509606085</v>
      </c>
      <c r="I525" s="154">
        <v>0.1533821595087119</v>
      </c>
      <c r="J525" s="154">
        <v>13.354708533879736</v>
      </c>
      <c r="K525" s="154">
        <v>661962</v>
      </c>
      <c r="L525" s="154">
        <v>658955.98268553161</v>
      </c>
      <c r="M525" s="154">
        <v>19.094749997706295</v>
      </c>
      <c r="N525" s="154" t="s">
        <v>421</v>
      </c>
      <c r="O525" s="154" t="s">
        <v>421</v>
      </c>
      <c r="P525" s="154" t="s">
        <v>421</v>
      </c>
      <c r="Q525" s="154">
        <v>0.26322576915306056</v>
      </c>
      <c r="R525" s="154">
        <v>1308.1442497322575</v>
      </c>
      <c r="S525" s="154">
        <v>1.9117364494399047</v>
      </c>
      <c r="T525" s="154">
        <v>0.60468205125851948</v>
      </c>
      <c r="U525" s="154">
        <v>0.47185589881192408</v>
      </c>
      <c r="V525" s="154">
        <v>1.2586781985719984</v>
      </c>
      <c r="W525" s="154">
        <v>41.160960466828023</v>
      </c>
      <c r="X525" s="154" t="s">
        <v>421</v>
      </c>
      <c r="Y525" s="154">
        <v>0.6498181266766323</v>
      </c>
      <c r="Z525" s="154">
        <v>1.9096805304656257</v>
      </c>
      <c r="AC525" s="28" t="s">
        <v>421</v>
      </c>
      <c r="AD525" s="28" t="s">
        <v>421</v>
      </c>
      <c r="AE525" s="9" t="s">
        <v>1626</v>
      </c>
      <c r="AF525" s="28" t="s">
        <v>1626</v>
      </c>
      <c r="AG525" s="28">
        <v>0.14680000000000001</v>
      </c>
      <c r="AH525" s="28">
        <v>32.743200000000002</v>
      </c>
      <c r="AI525" s="28" t="s">
        <v>1626</v>
      </c>
      <c r="AJ525" s="28" t="s">
        <v>1626</v>
      </c>
      <c r="AK525" s="28" t="s">
        <v>1626</v>
      </c>
      <c r="AL525" s="28">
        <v>66.196200000000005</v>
      </c>
      <c r="AM525" s="28" t="s">
        <v>1626</v>
      </c>
      <c r="AN525" s="28">
        <v>0.18609999999999999</v>
      </c>
      <c r="AO525" s="28" t="s">
        <v>1626</v>
      </c>
      <c r="AP525" s="156">
        <f t="shared" si="8"/>
        <v>99.272300000000001</v>
      </c>
    </row>
    <row r="526" spans="1:42" x14ac:dyDescent="0.2">
      <c r="A526" s="9" t="s">
        <v>1455</v>
      </c>
      <c r="B526" s="9" t="s">
        <v>1456</v>
      </c>
      <c r="C526" s="9" t="s">
        <v>139</v>
      </c>
      <c r="D526" s="9" t="s">
        <v>141</v>
      </c>
      <c r="E526" s="154">
        <v>353150.15903367428</v>
      </c>
      <c r="F526" s="154">
        <v>343453.63818604703</v>
      </c>
      <c r="G526" s="154">
        <v>1.2562008972341057</v>
      </c>
      <c r="H526" s="154">
        <v>838.88665279089275</v>
      </c>
      <c r="I526" s="154">
        <v>1.0770554581326928</v>
      </c>
      <c r="J526" s="154">
        <v>21.833067682093908</v>
      </c>
      <c r="K526" s="154">
        <v>661847.00000000012</v>
      </c>
      <c r="L526" s="154">
        <v>664633.29275428469</v>
      </c>
      <c r="M526" s="154">
        <v>8.5886616550507036</v>
      </c>
      <c r="N526" s="154" t="s">
        <v>421</v>
      </c>
      <c r="O526" s="154">
        <v>2.3305142773599639</v>
      </c>
      <c r="P526" s="154" t="s">
        <v>421</v>
      </c>
      <c r="Q526" s="154">
        <v>7.3376611496995148</v>
      </c>
      <c r="R526" s="154">
        <v>2242.2950719527717</v>
      </c>
      <c r="S526" s="154">
        <v>3.4140163528165535</v>
      </c>
      <c r="T526" s="154">
        <v>0.88883234818788248</v>
      </c>
      <c r="U526" s="154">
        <v>0.59445201762896538</v>
      </c>
      <c r="V526" s="154">
        <v>28.201985829426729</v>
      </c>
      <c r="W526" s="154">
        <v>49.737516978387461</v>
      </c>
      <c r="X526" s="154">
        <v>4.9656236990604327E-2</v>
      </c>
      <c r="Y526" s="154">
        <v>9.6665430338958505</v>
      </c>
      <c r="Z526" s="154">
        <v>3.4109943228327149</v>
      </c>
      <c r="AC526" s="28" t="s">
        <v>421</v>
      </c>
      <c r="AD526" s="28" t="s">
        <v>421</v>
      </c>
      <c r="AE526" s="9" t="s">
        <v>1626</v>
      </c>
      <c r="AF526" s="28" t="s">
        <v>1626</v>
      </c>
      <c r="AG526" s="28">
        <v>0.34599999999999997</v>
      </c>
      <c r="AH526" s="28">
        <v>32.839700000000001</v>
      </c>
      <c r="AI526" s="28" t="s">
        <v>1626</v>
      </c>
      <c r="AJ526" s="28" t="s">
        <v>1626</v>
      </c>
      <c r="AK526" s="28" t="s">
        <v>1626</v>
      </c>
      <c r="AL526" s="28">
        <v>66.184700000000007</v>
      </c>
      <c r="AM526" s="28" t="s">
        <v>1626</v>
      </c>
      <c r="AN526" s="28">
        <v>0.1285</v>
      </c>
      <c r="AO526" s="28" t="s">
        <v>1626</v>
      </c>
      <c r="AP526" s="156">
        <f t="shared" si="8"/>
        <v>99.498900000000006</v>
      </c>
    </row>
    <row r="527" spans="1:42" x14ac:dyDescent="0.2">
      <c r="A527" s="9" t="s">
        <v>1457</v>
      </c>
      <c r="B527" s="9" t="s">
        <v>1458</v>
      </c>
      <c r="C527" s="9" t="s">
        <v>139</v>
      </c>
      <c r="D527" s="9" t="s">
        <v>141</v>
      </c>
      <c r="E527" s="154">
        <v>359918.84165947401</v>
      </c>
      <c r="F527" s="154">
        <v>344986.96931173193</v>
      </c>
      <c r="G527" s="154">
        <v>0.98127096515406709</v>
      </c>
      <c r="H527" s="154">
        <v>790.42216014190706</v>
      </c>
      <c r="I527" s="154">
        <v>1.5054373397962724</v>
      </c>
      <c r="J527" s="154">
        <v>64.677907301535114</v>
      </c>
      <c r="K527" s="154">
        <v>663233</v>
      </c>
      <c r="L527" s="154">
        <v>670928.17868797213</v>
      </c>
      <c r="M527" s="154">
        <v>10.033945570572817</v>
      </c>
      <c r="N527" s="154" t="s">
        <v>421</v>
      </c>
      <c r="O527" s="154">
        <v>1.9263823085454808</v>
      </c>
      <c r="P527" s="154" t="s">
        <v>421</v>
      </c>
      <c r="Q527" s="154">
        <v>3.9893137420410572</v>
      </c>
      <c r="R527" s="154">
        <v>1493.5716762454881</v>
      </c>
      <c r="S527" s="154">
        <v>65.440136730770703</v>
      </c>
      <c r="T527" s="154">
        <v>19.671948796730092</v>
      </c>
      <c r="U527" s="154">
        <v>16.977837341859228</v>
      </c>
      <c r="V527" s="154">
        <v>16.573834224474105</v>
      </c>
      <c r="W527" s="154">
        <v>33.124325269217692</v>
      </c>
      <c r="X527" s="154">
        <v>4.4441709452147996E-2</v>
      </c>
      <c r="Y527" s="154">
        <v>4.8345136288811226</v>
      </c>
      <c r="Z527" s="154">
        <v>65.37325210486182</v>
      </c>
      <c r="AC527" s="28" t="s">
        <v>421</v>
      </c>
      <c r="AD527" s="28" t="s">
        <v>421</v>
      </c>
      <c r="AE527" s="9" t="s">
        <v>1626</v>
      </c>
      <c r="AF527" s="28" t="s">
        <v>1626</v>
      </c>
      <c r="AG527" s="28">
        <v>0.1764</v>
      </c>
      <c r="AH527" s="28">
        <v>32.689399999999999</v>
      </c>
      <c r="AI527" s="28" t="s">
        <v>1626</v>
      </c>
      <c r="AJ527" s="28" t="s">
        <v>1626</v>
      </c>
      <c r="AK527" s="28" t="s">
        <v>1626</v>
      </c>
      <c r="AL527" s="28">
        <v>66.323300000000003</v>
      </c>
      <c r="AM527" s="28" t="s">
        <v>1626</v>
      </c>
      <c r="AN527" s="28">
        <v>0.1358</v>
      </c>
      <c r="AO527" s="28" t="s">
        <v>1626</v>
      </c>
      <c r="AP527" s="156">
        <f t="shared" si="8"/>
        <v>99.3249</v>
      </c>
    </row>
    <row r="528" spans="1:42" x14ac:dyDescent="0.2">
      <c r="A528" s="9" t="s">
        <v>1459</v>
      </c>
      <c r="B528" s="9" t="s">
        <v>1460</v>
      </c>
      <c r="C528" s="9" t="s">
        <v>139</v>
      </c>
      <c r="D528" s="9" t="s">
        <v>142</v>
      </c>
      <c r="E528" s="154">
        <v>368697.64408543549</v>
      </c>
      <c r="F528" s="154">
        <v>364944.76435865054</v>
      </c>
      <c r="G528" s="154">
        <v>1.1606454267130264</v>
      </c>
      <c r="H528" s="154">
        <v>579.97206973086486</v>
      </c>
      <c r="I528" s="154">
        <v>10.231831241070182</v>
      </c>
      <c r="J528" s="154">
        <v>125.79383035811563</v>
      </c>
      <c r="K528" s="154">
        <v>663823</v>
      </c>
      <c r="L528" s="154">
        <v>647451.31060023967</v>
      </c>
      <c r="M528" s="154">
        <v>176.20652239503363</v>
      </c>
      <c r="N528" s="154">
        <v>0.98832665640554829</v>
      </c>
      <c r="O528" s="154">
        <v>0.91675087930007282</v>
      </c>
      <c r="P528" s="154" t="s">
        <v>421</v>
      </c>
      <c r="Q528" s="154">
        <v>5.0237421966683184</v>
      </c>
      <c r="R528" s="154">
        <v>2387.9618648739779</v>
      </c>
      <c r="S528" s="154">
        <v>5.4539278175077963E-2</v>
      </c>
      <c r="T528" s="154">
        <v>2.2438233300209953</v>
      </c>
      <c r="U528" s="154">
        <v>2.7763927094492824</v>
      </c>
      <c r="V528" s="154">
        <v>41.599539882130003</v>
      </c>
      <c r="W528" s="154">
        <v>10.590462138948107</v>
      </c>
      <c r="X528" s="154">
        <v>5.0926503515969002E-2</v>
      </c>
      <c r="Y528" s="154">
        <v>10.039495211370898</v>
      </c>
      <c r="Z528" s="154">
        <v>4.6910278853006582E-2</v>
      </c>
      <c r="AC528" s="28" t="s">
        <v>421</v>
      </c>
      <c r="AD528" s="28" t="s">
        <v>421</v>
      </c>
      <c r="AE528" s="9" t="s">
        <v>1626</v>
      </c>
      <c r="AF528" s="28" t="s">
        <v>1626</v>
      </c>
      <c r="AG528" s="28">
        <v>0.318</v>
      </c>
      <c r="AH528" s="28">
        <v>32.731200000000001</v>
      </c>
      <c r="AI528" s="28" t="s">
        <v>1626</v>
      </c>
      <c r="AJ528" s="28" t="s">
        <v>1626</v>
      </c>
      <c r="AK528" s="28" t="s">
        <v>1626</v>
      </c>
      <c r="AL528" s="28">
        <v>66.382300000000001</v>
      </c>
      <c r="AM528" s="28" t="s">
        <v>1626</v>
      </c>
      <c r="AN528" s="28">
        <v>9.1700000000000004E-2</v>
      </c>
      <c r="AO528" s="28" t="s">
        <v>1626</v>
      </c>
      <c r="AP528" s="156">
        <f t="shared" si="8"/>
        <v>99.523200000000003</v>
      </c>
    </row>
    <row r="529" spans="1:42" x14ac:dyDescent="0.2">
      <c r="A529" s="9" t="s">
        <v>1461</v>
      </c>
      <c r="B529" s="9" t="s">
        <v>1462</v>
      </c>
      <c r="C529" s="9" t="s">
        <v>139</v>
      </c>
      <c r="D529" s="9" t="s">
        <v>142</v>
      </c>
      <c r="E529" s="154">
        <v>372080.60049325682</v>
      </c>
      <c r="F529" s="154">
        <v>367341.21414863999</v>
      </c>
      <c r="G529" s="154">
        <v>2.1994160915885863</v>
      </c>
      <c r="H529" s="154">
        <v>692.62647361993436</v>
      </c>
      <c r="I529" s="154">
        <v>10.561727729076784</v>
      </c>
      <c r="J529" s="154">
        <v>46.475821228388206</v>
      </c>
      <c r="K529" s="154">
        <v>652019</v>
      </c>
      <c r="L529" s="154">
        <v>648102.90808660188</v>
      </c>
      <c r="M529" s="154">
        <v>9.0915789148827457</v>
      </c>
      <c r="N529" s="154">
        <v>0.5692454009114144</v>
      </c>
      <c r="O529" s="154">
        <v>1.427103288764981</v>
      </c>
      <c r="P529" s="154">
        <v>2.2580588088213971</v>
      </c>
      <c r="Q529" s="154">
        <v>5.6879472325550946</v>
      </c>
      <c r="R529" s="154">
        <v>16005.575848642202</v>
      </c>
      <c r="S529" s="154" t="s">
        <v>421</v>
      </c>
      <c r="T529" s="154">
        <v>0.55448366908100077</v>
      </c>
      <c r="U529" s="154">
        <v>0.57889903623394734</v>
      </c>
      <c r="V529" s="154">
        <v>45.494866015053908</v>
      </c>
      <c r="W529" s="154">
        <v>14.225746089518257</v>
      </c>
      <c r="X529" s="154">
        <v>9.5873570504816083E-2</v>
      </c>
      <c r="Y529" s="154">
        <v>21.158297814181513</v>
      </c>
      <c r="Z529" s="154" t="s">
        <v>421</v>
      </c>
      <c r="AC529" s="28" t="s">
        <v>421</v>
      </c>
      <c r="AD529" s="28" t="s">
        <v>421</v>
      </c>
      <c r="AE529" s="9" t="s">
        <v>1626</v>
      </c>
      <c r="AF529" s="28" t="s">
        <v>1626</v>
      </c>
      <c r="AG529" s="28">
        <v>1.3312999999999999</v>
      </c>
      <c r="AH529" s="28">
        <v>32.934399999999997</v>
      </c>
      <c r="AI529" s="28" t="s">
        <v>1626</v>
      </c>
      <c r="AJ529" s="28" t="s">
        <v>1626</v>
      </c>
      <c r="AK529" s="28" t="s">
        <v>1626</v>
      </c>
      <c r="AL529" s="28">
        <v>65.201899999999995</v>
      </c>
      <c r="AM529" s="28" t="s">
        <v>1626</v>
      </c>
      <c r="AN529" s="28">
        <v>0.1268</v>
      </c>
      <c r="AO529" s="28" t="s">
        <v>1626</v>
      </c>
      <c r="AP529" s="156">
        <f t="shared" si="8"/>
        <v>99.594399999999993</v>
      </c>
    </row>
    <row r="530" spans="1:42" x14ac:dyDescent="0.2">
      <c r="A530" s="9" t="s">
        <v>1463</v>
      </c>
      <c r="B530" s="9" t="s">
        <v>1464</v>
      </c>
      <c r="C530" s="9" t="s">
        <v>139</v>
      </c>
      <c r="D530" s="9" t="s">
        <v>142</v>
      </c>
      <c r="E530" s="154">
        <v>374174.90726384963</v>
      </c>
      <c r="F530" s="154">
        <v>365892.90668307629</v>
      </c>
      <c r="G530" s="154">
        <v>0.85805778320691806</v>
      </c>
      <c r="H530" s="154">
        <v>503.87782200961959</v>
      </c>
      <c r="I530" s="154">
        <v>8.8727839292581105</v>
      </c>
      <c r="J530" s="154">
        <v>214.9604778643214</v>
      </c>
      <c r="K530" s="154">
        <v>657891</v>
      </c>
      <c r="L530" s="154">
        <v>653024.97446202184</v>
      </c>
      <c r="M530" s="154">
        <v>173.65027863649564</v>
      </c>
      <c r="N530" s="154">
        <v>0.74749667758705307</v>
      </c>
      <c r="O530" s="154">
        <v>3.2312449480884071</v>
      </c>
      <c r="P530" s="154" t="s">
        <v>421</v>
      </c>
      <c r="Q530" s="154">
        <v>24.590620605523505</v>
      </c>
      <c r="R530" s="154">
        <v>3247.8682653343567</v>
      </c>
      <c r="S530" s="154">
        <v>11.585971853228365</v>
      </c>
      <c r="T530" s="154">
        <v>12.780281832785056</v>
      </c>
      <c r="U530" s="154">
        <v>12.062531408909418</v>
      </c>
      <c r="V530" s="154">
        <v>160.28010830090125</v>
      </c>
      <c r="W530" s="154">
        <v>10.494060985799404</v>
      </c>
      <c r="X530" s="154">
        <v>0.18811344798363869</v>
      </c>
      <c r="Y530" s="154">
        <v>38.425321499303351</v>
      </c>
      <c r="Z530" s="154">
        <v>11.542518894996896</v>
      </c>
      <c r="AC530" s="28" t="s">
        <v>421</v>
      </c>
      <c r="AD530" s="28" t="s">
        <v>421</v>
      </c>
      <c r="AE530" s="9" t="s">
        <v>1626</v>
      </c>
      <c r="AF530" s="28" t="s">
        <v>1626</v>
      </c>
      <c r="AG530" s="28">
        <v>0.60750000000000004</v>
      </c>
      <c r="AH530" s="28">
        <v>32.770699999999998</v>
      </c>
      <c r="AI530" s="28" t="s">
        <v>1626</v>
      </c>
      <c r="AJ530" s="28" t="s">
        <v>1626</v>
      </c>
      <c r="AK530" s="28" t="s">
        <v>1626</v>
      </c>
      <c r="AL530" s="28">
        <v>65.789100000000005</v>
      </c>
      <c r="AM530" s="28" t="s">
        <v>1626</v>
      </c>
      <c r="AN530" s="28">
        <v>8.0299999999999996E-2</v>
      </c>
      <c r="AO530" s="28" t="s">
        <v>1626</v>
      </c>
      <c r="AP530" s="156">
        <f t="shared" si="8"/>
        <v>99.247600000000006</v>
      </c>
    </row>
    <row r="531" spans="1:42" x14ac:dyDescent="0.2">
      <c r="A531" s="9" t="s">
        <v>1465</v>
      </c>
      <c r="B531" s="9" t="s">
        <v>1466</v>
      </c>
      <c r="C531" s="9" t="s">
        <v>139</v>
      </c>
      <c r="D531" s="9" t="s">
        <v>142</v>
      </c>
      <c r="E531" s="154">
        <v>375868.62081363518</v>
      </c>
      <c r="F531" s="154">
        <v>374141.5223454262</v>
      </c>
      <c r="G531" s="154">
        <v>0.67324006070940223</v>
      </c>
      <c r="H531" s="154">
        <v>391.63065000108355</v>
      </c>
      <c r="I531" s="154">
        <v>7.9226713693606969</v>
      </c>
      <c r="J531" s="154">
        <v>379.76049419669772</v>
      </c>
      <c r="K531" s="154">
        <v>657775</v>
      </c>
      <c r="L531" s="154">
        <v>650551.15720700717</v>
      </c>
      <c r="M531" s="154">
        <v>410.98700209472122</v>
      </c>
      <c r="N531" s="154">
        <v>2.5276746845001958</v>
      </c>
      <c r="O531" s="154">
        <v>4.3351727444669423</v>
      </c>
      <c r="P531" s="154">
        <v>2.1046885972288432</v>
      </c>
      <c r="Q531" s="154">
        <v>39.833310551353897</v>
      </c>
      <c r="R531" s="154">
        <v>2242.1227273224749</v>
      </c>
      <c r="S531" s="154">
        <v>0.10001841784431301</v>
      </c>
      <c r="T531" s="154">
        <v>3.1356057859339468</v>
      </c>
      <c r="U531" s="154">
        <v>3.5341368098085022</v>
      </c>
      <c r="V531" s="154">
        <v>252.73136957606468</v>
      </c>
      <c r="W531" s="154">
        <v>9.1724691174673527</v>
      </c>
      <c r="X531" s="154">
        <v>0.39781713684049269</v>
      </c>
      <c r="Y531" s="154">
        <v>44.685221822333524</v>
      </c>
      <c r="Z531" s="154">
        <v>8.935735817213758E-2</v>
      </c>
      <c r="AC531" s="28" t="s">
        <v>421</v>
      </c>
      <c r="AD531" s="28" t="s">
        <v>421</v>
      </c>
      <c r="AE531" s="9" t="s">
        <v>1626</v>
      </c>
      <c r="AF531" s="28" t="s">
        <v>1626</v>
      </c>
      <c r="AG531" s="28">
        <v>0.32790000000000002</v>
      </c>
      <c r="AH531" s="28">
        <v>32.868299999999998</v>
      </c>
      <c r="AI531" s="28" t="s">
        <v>1626</v>
      </c>
      <c r="AJ531" s="28" t="s">
        <v>1626</v>
      </c>
      <c r="AK531" s="28" t="s">
        <v>1626</v>
      </c>
      <c r="AL531" s="28">
        <v>65.777500000000003</v>
      </c>
      <c r="AM531" s="28" t="s">
        <v>1626</v>
      </c>
      <c r="AN531" s="28">
        <v>6.3899999999999998E-2</v>
      </c>
      <c r="AO531" s="28" t="s">
        <v>1626</v>
      </c>
      <c r="AP531" s="156">
        <f t="shared" si="8"/>
        <v>99.037600000000012</v>
      </c>
    </row>
    <row r="532" spans="1:42" x14ac:dyDescent="0.2">
      <c r="A532" s="9" t="s">
        <v>1467</v>
      </c>
      <c r="B532" s="9" t="s">
        <v>1468</v>
      </c>
      <c r="C532" s="9" t="s">
        <v>139</v>
      </c>
      <c r="D532" s="9" t="s">
        <v>142</v>
      </c>
      <c r="E532" s="154">
        <v>374327.79978778563</v>
      </c>
      <c r="F532" s="154">
        <v>371002.0537317617</v>
      </c>
      <c r="G532" s="154">
        <v>1.2202889363999339</v>
      </c>
      <c r="H532" s="154">
        <v>468.56796681255588</v>
      </c>
      <c r="I532" s="154">
        <v>6.8302323179585294</v>
      </c>
      <c r="J532" s="154">
        <v>2926.143046085092</v>
      </c>
      <c r="K532" s="154">
        <v>654145.99999999988</v>
      </c>
      <c r="L532" s="154">
        <v>648047.69691792573</v>
      </c>
      <c r="M532" s="154">
        <v>778.25780043941313</v>
      </c>
      <c r="N532" s="154">
        <v>44.746864687022786</v>
      </c>
      <c r="O532" s="154">
        <v>34.488761912893857</v>
      </c>
      <c r="P532" s="154">
        <v>1.9932326979558697</v>
      </c>
      <c r="Q532" s="154">
        <v>175.75639059950018</v>
      </c>
      <c r="R532" s="154">
        <v>3894.2422371922898</v>
      </c>
      <c r="S532" s="154">
        <v>17.948667463563222</v>
      </c>
      <c r="T532" s="154">
        <v>161.21942195394857</v>
      </c>
      <c r="U532" s="154">
        <v>159.01491954046372</v>
      </c>
      <c r="V532" s="154">
        <v>2805.0822954329947</v>
      </c>
      <c r="W532" s="154">
        <v>6.9950599495726085</v>
      </c>
      <c r="X532" s="154">
        <v>1.4650069832097423</v>
      </c>
      <c r="Y532" s="154">
        <v>509.05020617928119</v>
      </c>
      <c r="Z532" s="154">
        <v>17.400521428919795</v>
      </c>
      <c r="AC532" s="28" t="s">
        <v>421</v>
      </c>
      <c r="AD532" s="28" t="s">
        <v>421</v>
      </c>
      <c r="AE532" s="9" t="s">
        <v>1626</v>
      </c>
      <c r="AF532" s="28" t="s">
        <v>1626</v>
      </c>
      <c r="AG532" s="28">
        <v>0.48270000000000002</v>
      </c>
      <c r="AH532" s="28">
        <v>32.755600000000001</v>
      </c>
      <c r="AI532" s="28" t="s">
        <v>1626</v>
      </c>
      <c r="AJ532" s="28" t="s">
        <v>1626</v>
      </c>
      <c r="AK532" s="28" t="s">
        <v>1626</v>
      </c>
      <c r="AL532" s="28">
        <v>65.414599999999993</v>
      </c>
      <c r="AM532" s="28" t="s">
        <v>1626</v>
      </c>
      <c r="AN532" s="28">
        <v>8.7999999999999995E-2</v>
      </c>
      <c r="AO532" s="28" t="s">
        <v>1626</v>
      </c>
      <c r="AP532" s="156">
        <f t="shared" si="8"/>
        <v>98.740899999999982</v>
      </c>
    </row>
    <row r="533" spans="1:42" x14ac:dyDescent="0.2">
      <c r="A533" s="9" t="s">
        <v>1469</v>
      </c>
      <c r="B533" s="9" t="s">
        <v>1470</v>
      </c>
      <c r="C533" s="9" t="s">
        <v>139</v>
      </c>
      <c r="D533" s="9" t="s">
        <v>142</v>
      </c>
      <c r="E533" s="154">
        <v>388192.63048153545</v>
      </c>
      <c r="F533" s="154">
        <v>381325.12468464003</v>
      </c>
      <c r="G533" s="154">
        <v>1.2811787095752472</v>
      </c>
      <c r="H533" s="154">
        <v>537.55094960362544</v>
      </c>
      <c r="I533" s="154">
        <v>13.086739266241301</v>
      </c>
      <c r="J533" s="154">
        <v>1109.5688389120621</v>
      </c>
      <c r="K533" s="154">
        <v>658650</v>
      </c>
      <c r="L533" s="154">
        <v>652074.42449869262</v>
      </c>
      <c r="M533" s="154">
        <v>629.37743913774</v>
      </c>
      <c r="N533" s="154">
        <v>42.653622157306579</v>
      </c>
      <c r="O533" s="154">
        <v>21.726262652471569</v>
      </c>
      <c r="P533" s="154">
        <v>2.0062391422158883</v>
      </c>
      <c r="Q533" s="154">
        <v>118.40848382362789</v>
      </c>
      <c r="R533" s="154">
        <v>2833.3524356298785</v>
      </c>
      <c r="S533" s="154">
        <v>4.5212291959873134</v>
      </c>
      <c r="T533" s="154">
        <v>57.948279167349177</v>
      </c>
      <c r="U533" s="154">
        <v>54.414259234034091</v>
      </c>
      <c r="V533" s="154">
        <v>1079.5057528495547</v>
      </c>
      <c r="W533" s="154">
        <v>9.5003527283975391</v>
      </c>
      <c r="X533" s="154">
        <v>0.84273755234923509</v>
      </c>
      <c r="Y533" s="154">
        <v>251.8727727481191</v>
      </c>
      <c r="Z533" s="154">
        <v>4.3242050468183262</v>
      </c>
      <c r="AC533" s="28" t="s">
        <v>421</v>
      </c>
      <c r="AD533" s="28" t="s">
        <v>421</v>
      </c>
      <c r="AE533" s="9" t="s">
        <v>1626</v>
      </c>
      <c r="AF533" s="28" t="s">
        <v>1626</v>
      </c>
      <c r="AG533" s="28">
        <v>1.0376000000000001</v>
      </c>
      <c r="AH533" s="28">
        <v>32.958199999999998</v>
      </c>
      <c r="AI533" s="28" t="s">
        <v>1626</v>
      </c>
      <c r="AJ533" s="28" t="s">
        <v>1626</v>
      </c>
      <c r="AK533" s="28" t="s">
        <v>1626</v>
      </c>
      <c r="AL533" s="28">
        <v>65.864999999999995</v>
      </c>
      <c r="AM533" s="28" t="s">
        <v>1626</v>
      </c>
      <c r="AN533" s="28">
        <v>0.106</v>
      </c>
      <c r="AO533" s="28" t="s">
        <v>1626</v>
      </c>
      <c r="AP533" s="156">
        <f t="shared" si="8"/>
        <v>99.966799999999978</v>
      </c>
    </row>
    <row r="534" spans="1:42" x14ac:dyDescent="0.2">
      <c r="A534" s="9" t="s">
        <v>1471</v>
      </c>
      <c r="B534" s="9" t="s">
        <v>1472</v>
      </c>
      <c r="C534" s="9" t="s">
        <v>139</v>
      </c>
      <c r="D534" s="9" t="s">
        <v>142</v>
      </c>
      <c r="E534" s="154">
        <v>383558.62201333093</v>
      </c>
      <c r="F534" s="154">
        <v>388189.74417099467</v>
      </c>
      <c r="G534" s="154">
        <v>2.8086420150059976</v>
      </c>
      <c r="H534" s="154">
        <v>977.06492425434976</v>
      </c>
      <c r="I534" s="154">
        <v>10.144273262077839</v>
      </c>
      <c r="J534" s="154">
        <v>318.32462555929533</v>
      </c>
      <c r="K534" s="154">
        <v>649729</v>
      </c>
      <c r="L534" s="154">
        <v>654139.11454816198</v>
      </c>
      <c r="M534" s="154">
        <v>209.70376334597304</v>
      </c>
      <c r="N534" s="154">
        <v>1.3453377708247323</v>
      </c>
      <c r="O534" s="154">
        <v>5.7071581534930136</v>
      </c>
      <c r="P534" s="154" t="s">
        <v>421</v>
      </c>
      <c r="Q534" s="154">
        <v>40.35760154621255</v>
      </c>
      <c r="R534" s="154">
        <v>5363.8587727037166</v>
      </c>
      <c r="S534" s="154">
        <v>3.9862272839859814</v>
      </c>
      <c r="T534" s="154">
        <v>46.140216624128101</v>
      </c>
      <c r="U534" s="154">
        <v>44.704887763014433</v>
      </c>
      <c r="V534" s="154">
        <v>269.65301964575326</v>
      </c>
      <c r="W534" s="154">
        <v>14.151592270118442</v>
      </c>
      <c r="X534" s="154">
        <v>0.34625356111001454</v>
      </c>
      <c r="Y534" s="154">
        <v>92.022212086608775</v>
      </c>
      <c r="Z534" s="154">
        <v>3.829350547463946</v>
      </c>
      <c r="AC534" s="28" t="s">
        <v>421</v>
      </c>
      <c r="AD534" s="28" t="s">
        <v>421</v>
      </c>
      <c r="AE534" s="9" t="s">
        <v>1626</v>
      </c>
      <c r="AF534" s="28" t="s">
        <v>1626</v>
      </c>
      <c r="AG534" s="28">
        <v>1.3297000000000001</v>
      </c>
      <c r="AH534" s="28">
        <v>32.558199999999999</v>
      </c>
      <c r="AI534" s="28" t="s">
        <v>1626</v>
      </c>
      <c r="AJ534" s="28" t="s">
        <v>1626</v>
      </c>
      <c r="AK534" s="28" t="s">
        <v>1626</v>
      </c>
      <c r="AL534" s="28">
        <v>64.972899999999996</v>
      </c>
      <c r="AM534" s="28" t="s">
        <v>1626</v>
      </c>
      <c r="AN534" s="28">
        <v>0.21659999999999999</v>
      </c>
      <c r="AO534" s="28" t="s">
        <v>1626</v>
      </c>
      <c r="AP534" s="156">
        <f t="shared" si="8"/>
        <v>99.077399999999997</v>
      </c>
    </row>
    <row r="535" spans="1:42" x14ac:dyDescent="0.2">
      <c r="A535" s="9" t="s">
        <v>1473</v>
      </c>
      <c r="B535" s="9" t="s">
        <v>1474</v>
      </c>
      <c r="C535" s="9" t="s">
        <v>139</v>
      </c>
      <c r="D535" s="9" t="s">
        <v>142</v>
      </c>
      <c r="E535" s="154">
        <v>389690.35832505778</v>
      </c>
      <c r="F535" s="154">
        <v>387532.56349845143</v>
      </c>
      <c r="G535" s="154">
        <v>4.262840507544686</v>
      </c>
      <c r="H535" s="154">
        <v>1404.4027398726894</v>
      </c>
      <c r="I535" s="154">
        <v>11.760233903874685</v>
      </c>
      <c r="J535" s="154">
        <v>100.50188328859922</v>
      </c>
      <c r="K535" s="154">
        <v>659822.00000000012</v>
      </c>
      <c r="L535" s="154">
        <v>656156.86404567456</v>
      </c>
      <c r="M535" s="154">
        <v>44.814025561570944</v>
      </c>
      <c r="N535" s="154" t="s">
        <v>421</v>
      </c>
      <c r="O535" s="154" t="s">
        <v>421</v>
      </c>
      <c r="P535" s="154" t="s">
        <v>421</v>
      </c>
      <c r="Q535" s="154">
        <v>12.22223121504639</v>
      </c>
      <c r="R535" s="154">
        <v>16177.692004225661</v>
      </c>
      <c r="S535" s="154">
        <v>0.96864922069918857</v>
      </c>
      <c r="T535" s="154">
        <v>12.690743137716899</v>
      </c>
      <c r="U535" s="154">
        <v>11.100548513842536</v>
      </c>
      <c r="V535" s="154">
        <v>112.42232695924352</v>
      </c>
      <c r="W535" s="154">
        <v>17.578620376957634</v>
      </c>
      <c r="X535" s="154" t="s">
        <v>421</v>
      </c>
      <c r="Y535" s="154">
        <v>37.557001748181698</v>
      </c>
      <c r="Z535" s="154">
        <v>0.92550069403095114</v>
      </c>
      <c r="AC535" s="28" t="s">
        <v>421</v>
      </c>
      <c r="AD535" s="28" t="s">
        <v>421</v>
      </c>
      <c r="AE535" s="9" t="s">
        <v>1626</v>
      </c>
      <c r="AF535" s="28" t="s">
        <v>1626</v>
      </c>
      <c r="AG535" s="28">
        <v>0.25719999999999998</v>
      </c>
      <c r="AH535" s="28">
        <v>32.9054</v>
      </c>
      <c r="AI535" s="28" t="s">
        <v>1626</v>
      </c>
      <c r="AJ535" s="28" t="s">
        <v>1626</v>
      </c>
      <c r="AK535" s="28" t="s">
        <v>1626</v>
      </c>
      <c r="AL535" s="28">
        <v>65.982200000000006</v>
      </c>
      <c r="AM535" s="28" t="s">
        <v>1626</v>
      </c>
      <c r="AN535" s="28">
        <v>8.4099999999999994E-2</v>
      </c>
      <c r="AO535" s="28" t="s">
        <v>1626</v>
      </c>
      <c r="AP535" s="156">
        <f t="shared" si="8"/>
        <v>99.22890000000001</v>
      </c>
    </row>
    <row r="536" spans="1:42" x14ac:dyDescent="0.2">
      <c r="A536" s="9" t="s">
        <v>1475</v>
      </c>
      <c r="B536" s="9" t="s">
        <v>1476</v>
      </c>
      <c r="C536" s="9" t="s">
        <v>139</v>
      </c>
      <c r="D536" s="9" t="s">
        <v>142</v>
      </c>
      <c r="E536" s="154">
        <v>379300.50524304766</v>
      </c>
      <c r="F536" s="154">
        <v>369737.04913115426</v>
      </c>
      <c r="G536" s="154">
        <v>0.69394582217723699</v>
      </c>
      <c r="H536" s="154">
        <v>385.71846469692849</v>
      </c>
      <c r="I536" s="154">
        <v>6.8882267336651708</v>
      </c>
      <c r="J536" s="154">
        <v>3211.5044699476366</v>
      </c>
      <c r="K536" s="154">
        <v>654299</v>
      </c>
      <c r="L536" s="154">
        <v>650078.92541310005</v>
      </c>
      <c r="M536" s="154">
        <v>1002.176646573245</v>
      </c>
      <c r="N536" s="154">
        <v>46.826734498917475</v>
      </c>
      <c r="O536" s="154">
        <v>44.855169012526723</v>
      </c>
      <c r="P536" s="154" t="s">
        <v>421</v>
      </c>
      <c r="Q536" s="154">
        <v>177.80086352986487</v>
      </c>
      <c r="R536" s="154">
        <v>2631.08518151819</v>
      </c>
      <c r="S536" s="154">
        <v>57.369665278550649</v>
      </c>
      <c r="T536" s="154">
        <v>166.24186790618384</v>
      </c>
      <c r="U536" s="154">
        <v>174.92360659264415</v>
      </c>
      <c r="V536" s="154">
        <v>3125.2709399227083</v>
      </c>
      <c r="W536" s="154">
        <v>8.5335252876714094</v>
      </c>
      <c r="X536" s="154">
        <v>1.8804309625926576</v>
      </c>
      <c r="Y536" s="154">
        <v>519.65783298411384</v>
      </c>
      <c r="Z536" s="154">
        <v>56.804442927669626</v>
      </c>
      <c r="AC536" s="28" t="s">
        <v>421</v>
      </c>
      <c r="AD536" s="28" t="s">
        <v>421</v>
      </c>
      <c r="AE536" s="9" t="s">
        <v>1626</v>
      </c>
      <c r="AF536" s="28" t="s">
        <v>1626</v>
      </c>
      <c r="AG536" s="28">
        <v>0.33100000000000002</v>
      </c>
      <c r="AH536" s="28">
        <v>32.794199999999996</v>
      </c>
      <c r="AI536" s="28" t="s">
        <v>1626</v>
      </c>
      <c r="AJ536" s="28" t="s">
        <v>1626</v>
      </c>
      <c r="AK536" s="28" t="s">
        <v>1626</v>
      </c>
      <c r="AL536" s="28">
        <v>65.429900000000004</v>
      </c>
      <c r="AM536" s="28" t="s">
        <v>1626</v>
      </c>
      <c r="AN536" s="28">
        <v>6.6900000000000001E-2</v>
      </c>
      <c r="AO536" s="28" t="s">
        <v>1626</v>
      </c>
      <c r="AP536" s="156">
        <f t="shared" si="8"/>
        <v>98.622000000000014</v>
      </c>
    </row>
    <row r="537" spans="1:42" x14ac:dyDescent="0.2">
      <c r="A537" s="9" t="s">
        <v>1477</v>
      </c>
      <c r="B537" s="9" t="s">
        <v>1478</v>
      </c>
      <c r="C537" s="9" t="s">
        <v>139</v>
      </c>
      <c r="D537" s="9" t="s">
        <v>142</v>
      </c>
      <c r="E537" s="154">
        <v>394824.80316498183</v>
      </c>
      <c r="F537" s="154">
        <v>369183.63170373638</v>
      </c>
      <c r="G537" s="154">
        <v>1.9211541593612005</v>
      </c>
      <c r="H537" s="154">
        <v>936.89249879097849</v>
      </c>
      <c r="I537" s="154">
        <v>13.327277504931647</v>
      </c>
      <c r="J537" s="154">
        <v>285.61139011362656</v>
      </c>
      <c r="K537" s="154">
        <v>660345</v>
      </c>
      <c r="L537" s="154">
        <v>667592.24140911154</v>
      </c>
      <c r="M537" s="154">
        <v>208.43756254972632</v>
      </c>
      <c r="N537" s="154">
        <v>1.182858934345268</v>
      </c>
      <c r="O537" s="154">
        <v>5.0276933020733257</v>
      </c>
      <c r="P537" s="154">
        <v>2.4101829925614933</v>
      </c>
      <c r="Q537" s="154">
        <v>39.919733547613831</v>
      </c>
      <c r="R537" s="154">
        <v>3560.8341932110129</v>
      </c>
      <c r="S537" s="154">
        <v>2.4622435454979397</v>
      </c>
      <c r="T537" s="154">
        <v>5.4773160688405085</v>
      </c>
      <c r="U537" s="154">
        <v>5.3274530368339379</v>
      </c>
      <c r="V537" s="154">
        <v>263.70795312589411</v>
      </c>
      <c r="W537" s="154">
        <v>13.841258310677093</v>
      </c>
      <c r="X537" s="154">
        <v>0.37730163923794491</v>
      </c>
      <c r="Y537" s="154">
        <v>66.088994880635312</v>
      </c>
      <c r="Z537" s="154">
        <v>2.4436206708638819</v>
      </c>
      <c r="AC537" s="28" t="s">
        <v>421</v>
      </c>
      <c r="AD537" s="28" t="s">
        <v>421</v>
      </c>
      <c r="AE537" s="9" t="s">
        <v>1626</v>
      </c>
      <c r="AF537" s="28" t="s">
        <v>1626</v>
      </c>
      <c r="AG537" s="28">
        <v>0.41210000000000002</v>
      </c>
      <c r="AH537" s="28">
        <v>32.848599999999998</v>
      </c>
      <c r="AI537" s="28" t="s">
        <v>1626</v>
      </c>
      <c r="AJ537" s="28" t="s">
        <v>1626</v>
      </c>
      <c r="AK537" s="28" t="s">
        <v>1626</v>
      </c>
      <c r="AL537" s="28">
        <v>66.034499999999994</v>
      </c>
      <c r="AM537" s="28" t="s">
        <v>1626</v>
      </c>
      <c r="AN537" s="28">
        <v>0.14180000000000001</v>
      </c>
      <c r="AO537" s="28" t="s">
        <v>1626</v>
      </c>
      <c r="AP537" s="156">
        <f t="shared" si="8"/>
        <v>99.436999999999998</v>
      </c>
    </row>
    <row r="538" spans="1:42" x14ac:dyDescent="0.2">
      <c r="A538" s="9" t="s">
        <v>1479</v>
      </c>
      <c r="B538" s="9" t="s">
        <v>1480</v>
      </c>
      <c r="C538" s="9" t="s">
        <v>139</v>
      </c>
      <c r="D538" s="9" t="s">
        <v>143</v>
      </c>
      <c r="E538" s="154">
        <v>368245.95073183445</v>
      </c>
      <c r="F538" s="154">
        <v>355891.30508019513</v>
      </c>
      <c r="G538" s="154">
        <v>0.63462281014583921</v>
      </c>
      <c r="H538" s="154">
        <v>361.25304479536493</v>
      </c>
      <c r="I538" s="154">
        <v>5.879465576566151</v>
      </c>
      <c r="J538" s="154">
        <v>215.69254210509845</v>
      </c>
      <c r="K538" s="154">
        <v>658179</v>
      </c>
      <c r="L538" s="154">
        <v>657501.43527311028</v>
      </c>
      <c r="M538" s="154">
        <v>218.82286557732661</v>
      </c>
      <c r="N538" s="154">
        <v>2.1107174586668984</v>
      </c>
      <c r="O538" s="154">
        <v>3.0128001938692255</v>
      </c>
      <c r="P538" s="154" t="s">
        <v>421</v>
      </c>
      <c r="Q538" s="154">
        <v>21.315504669343227</v>
      </c>
      <c r="R538" s="154">
        <v>2991.484683785563</v>
      </c>
      <c r="S538" s="154">
        <v>1.4170731586783187</v>
      </c>
      <c r="T538" s="154">
        <v>9.0613201502209932</v>
      </c>
      <c r="U538" s="154">
        <v>11.351579214731734</v>
      </c>
      <c r="V538" s="154">
        <v>134.67634587142405</v>
      </c>
      <c r="W538" s="154">
        <v>9.2582092012465154</v>
      </c>
      <c r="X538" s="154">
        <v>0.28117293694592577</v>
      </c>
      <c r="Y538" s="154">
        <v>31.686140918172171</v>
      </c>
      <c r="Z538" s="154">
        <v>1.3862646701675674</v>
      </c>
      <c r="AC538" s="28" t="s">
        <v>421</v>
      </c>
      <c r="AD538" s="28" t="s">
        <v>421</v>
      </c>
      <c r="AE538" s="9" t="s">
        <v>1626</v>
      </c>
      <c r="AF538" s="28" t="s">
        <v>1626</v>
      </c>
      <c r="AG538" s="28">
        <v>0.37859999999999999</v>
      </c>
      <c r="AH538" s="28">
        <v>32.908999999999999</v>
      </c>
      <c r="AI538" s="28" t="s">
        <v>1626</v>
      </c>
      <c r="AJ538" s="28" t="s">
        <v>1626</v>
      </c>
      <c r="AK538" s="28" t="s">
        <v>1626</v>
      </c>
      <c r="AL538" s="28">
        <v>65.817899999999995</v>
      </c>
      <c r="AM538" s="28" t="s">
        <v>1626</v>
      </c>
      <c r="AN538" s="28">
        <v>6.3E-2</v>
      </c>
      <c r="AO538" s="28" t="s">
        <v>1626</v>
      </c>
      <c r="AP538" s="156">
        <f t="shared" si="8"/>
        <v>99.168499999999995</v>
      </c>
    </row>
    <row r="539" spans="1:42" x14ac:dyDescent="0.2">
      <c r="A539" s="9" t="s">
        <v>1481</v>
      </c>
      <c r="B539" s="9" t="s">
        <v>1482</v>
      </c>
      <c r="C539" s="9" t="s">
        <v>139</v>
      </c>
      <c r="D539" s="9" t="s">
        <v>143</v>
      </c>
      <c r="E539" s="154">
        <v>378324.17870249512</v>
      </c>
      <c r="F539" s="154">
        <v>354527.36094862624</v>
      </c>
      <c r="G539" s="154">
        <v>0.75019788903878248</v>
      </c>
      <c r="H539" s="154">
        <v>466.1678320766531</v>
      </c>
      <c r="I539" s="154">
        <v>8.4924389775073283</v>
      </c>
      <c r="J539" s="154">
        <v>165.33674454617264</v>
      </c>
      <c r="K539" s="154">
        <v>658815</v>
      </c>
      <c r="L539" s="154">
        <v>658186.15907758486</v>
      </c>
      <c r="M539" s="154">
        <v>132.4784516138532</v>
      </c>
      <c r="N539" s="154">
        <v>1.2174572101473078</v>
      </c>
      <c r="O539" s="154">
        <v>2.7184944175325247</v>
      </c>
      <c r="P539" s="154" t="s">
        <v>421</v>
      </c>
      <c r="Q539" s="154">
        <v>13.742289753719803</v>
      </c>
      <c r="R539" s="154">
        <v>3042.2470248230297</v>
      </c>
      <c r="S539" s="154">
        <v>0.34384714661263382</v>
      </c>
      <c r="T539" s="154">
        <v>6.6335160545188421</v>
      </c>
      <c r="U539" s="154">
        <v>6.3090123765169821</v>
      </c>
      <c r="V539" s="154">
        <v>119.54441235171124</v>
      </c>
      <c r="W539" s="154">
        <v>8.6034274133523905</v>
      </c>
      <c r="X539" s="154">
        <v>0.11555728813480985</v>
      </c>
      <c r="Y539" s="154">
        <v>36.888041629972655</v>
      </c>
      <c r="Z539" s="154">
        <v>0.32129319202726975</v>
      </c>
      <c r="AC539" s="28" t="s">
        <v>421</v>
      </c>
      <c r="AD539" s="28" t="s">
        <v>421</v>
      </c>
      <c r="AE539" s="9" t="s">
        <v>1626</v>
      </c>
      <c r="AF539" s="28" t="s">
        <v>1626</v>
      </c>
      <c r="AG539" s="28">
        <v>0.33789999999999998</v>
      </c>
      <c r="AH539" s="28">
        <v>32.805999999999997</v>
      </c>
      <c r="AI539" s="28" t="s">
        <v>1626</v>
      </c>
      <c r="AJ539" s="28" t="s">
        <v>1626</v>
      </c>
      <c r="AK539" s="28" t="s">
        <v>1626</v>
      </c>
      <c r="AL539" s="28">
        <v>65.881500000000003</v>
      </c>
      <c r="AM539" s="28" t="s">
        <v>1626</v>
      </c>
      <c r="AN539" s="28">
        <v>6.5600000000000006E-2</v>
      </c>
      <c r="AO539" s="28" t="s">
        <v>1626</v>
      </c>
      <c r="AP539" s="156">
        <f t="shared" si="8"/>
        <v>99.090999999999994</v>
      </c>
    </row>
    <row r="540" spans="1:42" x14ac:dyDescent="0.2">
      <c r="A540" s="9" t="s">
        <v>1483</v>
      </c>
      <c r="B540" s="9" t="s">
        <v>1484</v>
      </c>
      <c r="C540" s="9" t="s">
        <v>139</v>
      </c>
      <c r="D540" s="9" t="s">
        <v>143</v>
      </c>
      <c r="E540" s="154">
        <v>372481.99301286769</v>
      </c>
      <c r="F540" s="154">
        <v>363416.15239594289</v>
      </c>
      <c r="G540" s="154">
        <v>0.87415496434729056</v>
      </c>
      <c r="H540" s="154">
        <v>452.42563133885915</v>
      </c>
      <c r="I540" s="154">
        <v>10.961323331867844</v>
      </c>
      <c r="J540" s="154">
        <v>527.04598698694326</v>
      </c>
      <c r="K540" s="154">
        <v>659015</v>
      </c>
      <c r="L540" s="154">
        <v>648026.02657454228</v>
      </c>
      <c r="M540" s="154">
        <v>485.63131247762044</v>
      </c>
      <c r="N540" s="154">
        <v>10.519000240197242</v>
      </c>
      <c r="O540" s="154">
        <v>9.412298872063575</v>
      </c>
      <c r="P540" s="154">
        <v>2.291897653854817</v>
      </c>
      <c r="Q540" s="154">
        <v>53.302220559183951</v>
      </c>
      <c r="R540" s="154">
        <v>2007.5826569146745</v>
      </c>
      <c r="S540" s="154">
        <v>0.10282368613075622</v>
      </c>
      <c r="T540" s="154">
        <v>1.9747017321427038</v>
      </c>
      <c r="U540" s="154">
        <v>1.3887498955769422</v>
      </c>
      <c r="V540" s="154">
        <v>401.53194094651258</v>
      </c>
      <c r="W540" s="154">
        <v>7.3652169328735537</v>
      </c>
      <c r="X540" s="154">
        <v>0.64077392737703653</v>
      </c>
      <c r="Y540" s="154">
        <v>105.40927024883077</v>
      </c>
      <c r="Z540" s="154">
        <v>9.610970024147103E-2</v>
      </c>
      <c r="AC540" s="28" t="s">
        <v>421</v>
      </c>
      <c r="AD540" s="28" t="s">
        <v>421</v>
      </c>
      <c r="AE540" s="9" t="s">
        <v>1626</v>
      </c>
      <c r="AF540" s="28" t="s">
        <v>1626</v>
      </c>
      <c r="AG540" s="28">
        <v>0.2636</v>
      </c>
      <c r="AH540" s="28">
        <v>32.848799999999997</v>
      </c>
      <c r="AI540" s="28" t="s">
        <v>1626</v>
      </c>
      <c r="AJ540" s="28" t="s">
        <v>1626</v>
      </c>
      <c r="AK540" s="28" t="s">
        <v>1626</v>
      </c>
      <c r="AL540" s="28">
        <v>65.901499999999999</v>
      </c>
      <c r="AM540" s="28" t="s">
        <v>1626</v>
      </c>
      <c r="AN540" s="28">
        <v>7.9200000000000007E-2</v>
      </c>
      <c r="AO540" s="28" t="s">
        <v>1626</v>
      </c>
      <c r="AP540" s="156">
        <f t="shared" si="8"/>
        <v>99.093099999999993</v>
      </c>
    </row>
    <row r="541" spans="1:42" x14ac:dyDescent="0.2">
      <c r="A541" s="9" t="s">
        <v>1485</v>
      </c>
      <c r="B541" s="9" t="s">
        <v>1486</v>
      </c>
      <c r="C541" s="9" t="s">
        <v>139</v>
      </c>
      <c r="D541" s="9" t="s">
        <v>143</v>
      </c>
      <c r="E541" s="154">
        <v>376190.98217713501</v>
      </c>
      <c r="F541" s="154">
        <v>371438.45245947666</v>
      </c>
      <c r="G541" s="154">
        <v>0.85035100558978427</v>
      </c>
      <c r="H541" s="154">
        <v>466.67114206960923</v>
      </c>
      <c r="I541" s="154">
        <v>11.409809608964588</v>
      </c>
      <c r="J541" s="154">
        <v>3506.58079327423</v>
      </c>
      <c r="K541" s="154">
        <v>653516.99999999988</v>
      </c>
      <c r="L541" s="154">
        <v>643948.23488436197</v>
      </c>
      <c r="M541" s="154">
        <v>896.36644899856117</v>
      </c>
      <c r="N541" s="154">
        <v>52.233069531511077</v>
      </c>
      <c r="O541" s="154">
        <v>47.791166521924865</v>
      </c>
      <c r="P541" s="154" t="s">
        <v>421</v>
      </c>
      <c r="Q541" s="154">
        <v>262.90186188477458</v>
      </c>
      <c r="R541" s="154">
        <v>3001.4422351675248</v>
      </c>
      <c r="S541" s="154">
        <v>2.7184542588505516</v>
      </c>
      <c r="T541" s="154">
        <v>52.966665723522574</v>
      </c>
      <c r="U541" s="154">
        <v>51.114460966825334</v>
      </c>
      <c r="V541" s="154">
        <v>3444.8406473329424</v>
      </c>
      <c r="W541" s="154">
        <v>6.4387895297564768</v>
      </c>
      <c r="X541" s="154">
        <v>2.5573462238726057</v>
      </c>
      <c r="Y541" s="154">
        <v>646.21381018878731</v>
      </c>
      <c r="Z541" s="154">
        <v>2.5383675953905747</v>
      </c>
      <c r="AC541" s="28" t="s">
        <v>421</v>
      </c>
      <c r="AD541" s="28" t="s">
        <v>421</v>
      </c>
      <c r="AE541" s="9" t="s">
        <v>1626</v>
      </c>
      <c r="AF541" s="28" t="s">
        <v>1626</v>
      </c>
      <c r="AG541" s="28">
        <v>0.34439999999999998</v>
      </c>
      <c r="AH541" s="28">
        <v>32.869700000000002</v>
      </c>
      <c r="AI541" s="28" t="s">
        <v>1626</v>
      </c>
      <c r="AJ541" s="28" t="s">
        <v>1626</v>
      </c>
      <c r="AK541" s="28" t="s">
        <v>1626</v>
      </c>
      <c r="AL541" s="28">
        <v>65.351699999999994</v>
      </c>
      <c r="AM541" s="28" t="s">
        <v>1626</v>
      </c>
      <c r="AN541" s="28">
        <v>7.7799999999999994E-2</v>
      </c>
      <c r="AO541" s="28" t="s">
        <v>1626</v>
      </c>
      <c r="AP541" s="156">
        <f t="shared" si="8"/>
        <v>98.643599999999992</v>
      </c>
    </row>
    <row r="542" spans="1:42" x14ac:dyDescent="0.2">
      <c r="A542" s="9" t="s">
        <v>1487</v>
      </c>
      <c r="B542" s="9" t="s">
        <v>1488</v>
      </c>
      <c r="C542" s="9" t="s">
        <v>139</v>
      </c>
      <c r="D542" s="9" t="s">
        <v>143</v>
      </c>
      <c r="E542" s="154">
        <v>390960.79448476521</v>
      </c>
      <c r="F542" s="154">
        <v>386867.72753955645</v>
      </c>
      <c r="G542" s="154">
        <v>0.72520578033013006</v>
      </c>
      <c r="H542" s="154">
        <v>350.17899418863323</v>
      </c>
      <c r="I542" s="154">
        <v>6.0295069605147056</v>
      </c>
      <c r="J542" s="154">
        <v>202.90480223166495</v>
      </c>
      <c r="K542" s="154">
        <v>659265.99999999988</v>
      </c>
      <c r="L542" s="154">
        <v>661491.33949405781</v>
      </c>
      <c r="M542" s="154">
        <v>174.09861131166519</v>
      </c>
      <c r="N542" s="154">
        <v>5.1047418185833866</v>
      </c>
      <c r="O542" s="154">
        <v>2.6525905655883619</v>
      </c>
      <c r="P542" s="154">
        <v>2.6182616674058341</v>
      </c>
      <c r="Q542" s="154">
        <v>25.419156390779847</v>
      </c>
      <c r="R542" s="154">
        <v>2801.759929614564</v>
      </c>
      <c r="S542" s="154">
        <v>0.99371090795867889</v>
      </c>
      <c r="T542" s="154">
        <v>25.459810602600758</v>
      </c>
      <c r="U542" s="154">
        <v>26.019286201050353</v>
      </c>
      <c r="V542" s="154">
        <v>122.01140511809643</v>
      </c>
      <c r="W542" s="154">
        <v>6.8692581883004014</v>
      </c>
      <c r="X542" s="154">
        <v>0.33302272442071518</v>
      </c>
      <c r="Y542" s="154">
        <v>50.259417841786124</v>
      </c>
      <c r="Z542" s="154">
        <v>0.90714755190983631</v>
      </c>
      <c r="AC542" s="28" t="s">
        <v>421</v>
      </c>
      <c r="AD542" s="28" t="s">
        <v>421</v>
      </c>
      <c r="AE542" s="9" t="s">
        <v>1626</v>
      </c>
      <c r="AF542" s="28" t="s">
        <v>1626</v>
      </c>
      <c r="AG542" s="28">
        <v>0.27310000000000001</v>
      </c>
      <c r="AH542" s="28">
        <v>32.814500000000002</v>
      </c>
      <c r="AI542" s="28" t="s">
        <v>1626</v>
      </c>
      <c r="AJ542" s="28" t="s">
        <v>1626</v>
      </c>
      <c r="AK542" s="28" t="s">
        <v>1626</v>
      </c>
      <c r="AL542" s="28">
        <v>65.926599999999993</v>
      </c>
      <c r="AM542" s="28" t="s">
        <v>1626</v>
      </c>
      <c r="AN542" s="28">
        <v>6.1600000000000002E-2</v>
      </c>
      <c r="AO542" s="28" t="s">
        <v>1626</v>
      </c>
      <c r="AP542" s="156">
        <f t="shared" si="8"/>
        <v>99.075799999999987</v>
      </c>
    </row>
    <row r="543" spans="1:42" x14ac:dyDescent="0.2">
      <c r="A543" s="9" t="s">
        <v>1489</v>
      </c>
      <c r="B543" s="9" t="s">
        <v>1490</v>
      </c>
      <c r="C543" s="9" t="s">
        <v>139</v>
      </c>
      <c r="D543" s="9" t="s">
        <v>143</v>
      </c>
      <c r="E543" s="154">
        <v>384990.80379037478</v>
      </c>
      <c r="F543" s="154">
        <v>375828.68684387265</v>
      </c>
      <c r="G543" s="154">
        <v>2.3392554421953582</v>
      </c>
      <c r="H543" s="154">
        <v>841.01906973719406</v>
      </c>
      <c r="I543" s="154">
        <v>6.2378168513461398</v>
      </c>
      <c r="J543" s="154">
        <v>788.72050317856713</v>
      </c>
      <c r="K543" s="154">
        <v>644201</v>
      </c>
      <c r="L543" s="154">
        <v>644762.42479007063</v>
      </c>
      <c r="M543" s="154">
        <v>108.78944766884452</v>
      </c>
      <c r="N543" s="154">
        <v>1.9140660038446411</v>
      </c>
      <c r="O543" s="154">
        <v>12.055228069042109</v>
      </c>
      <c r="P543" s="154">
        <v>1.9067311763538237</v>
      </c>
      <c r="Q543" s="154">
        <v>59.090708376156044</v>
      </c>
      <c r="R543" s="154">
        <v>14180.026330949348</v>
      </c>
      <c r="S543" s="154">
        <v>72.28168945015841</v>
      </c>
      <c r="T543" s="154">
        <v>143.68774033635441</v>
      </c>
      <c r="U543" s="154">
        <v>148.94905852803245</v>
      </c>
      <c r="V543" s="154">
        <v>727.03824784053757</v>
      </c>
      <c r="W543" s="154">
        <v>8.2819238557387109</v>
      </c>
      <c r="X543" s="154">
        <v>0.56057980997456491</v>
      </c>
      <c r="Y543" s="154">
        <v>328.11891117647968</v>
      </c>
      <c r="Z543" s="154">
        <v>71.793151133014803</v>
      </c>
      <c r="AC543" s="28" t="s">
        <v>421</v>
      </c>
      <c r="AD543" s="28" t="s">
        <v>421</v>
      </c>
      <c r="AE543" s="9" t="s">
        <v>1626</v>
      </c>
      <c r="AF543" s="28" t="s">
        <v>1626</v>
      </c>
      <c r="AG543" s="28">
        <v>1.4554</v>
      </c>
      <c r="AH543" s="28">
        <v>32.590699999999998</v>
      </c>
      <c r="AI543" s="28" t="s">
        <v>1626</v>
      </c>
      <c r="AJ543" s="28" t="s">
        <v>1626</v>
      </c>
      <c r="AK543" s="28" t="s">
        <v>1626</v>
      </c>
      <c r="AL543" s="28">
        <v>64.420100000000005</v>
      </c>
      <c r="AM543" s="28" t="s">
        <v>1626</v>
      </c>
      <c r="AN543" s="28">
        <v>0.14860000000000001</v>
      </c>
      <c r="AO543" s="28" t="s">
        <v>1626</v>
      </c>
      <c r="AP543" s="156">
        <f t="shared" si="8"/>
        <v>98.614800000000002</v>
      </c>
    </row>
    <row r="544" spans="1:42" x14ac:dyDescent="0.2">
      <c r="A544" s="9" t="s">
        <v>1491</v>
      </c>
      <c r="B544" s="9" t="s">
        <v>1492</v>
      </c>
      <c r="C544" s="9" t="s">
        <v>139</v>
      </c>
      <c r="D544" s="9" t="s">
        <v>143</v>
      </c>
      <c r="E544" s="154">
        <v>401699.34020385944</v>
      </c>
      <c r="F544" s="154">
        <v>391979.44001805835</v>
      </c>
      <c r="G544" s="154">
        <v>1.7740300245113936</v>
      </c>
      <c r="H544" s="154">
        <v>596.84457229328268</v>
      </c>
      <c r="I544" s="154">
        <v>7.7578969326296736</v>
      </c>
      <c r="J544" s="154">
        <v>377.72549577153904</v>
      </c>
      <c r="K544" s="154">
        <v>655288</v>
      </c>
      <c r="L544" s="154">
        <v>659484.41608742415</v>
      </c>
      <c r="M544" s="154">
        <v>42.849205330978187</v>
      </c>
      <c r="N544" s="154">
        <v>1.6064400466198705</v>
      </c>
      <c r="O544" s="154">
        <v>5.1957761547465786</v>
      </c>
      <c r="P544" s="154">
        <v>1.8358222601659584</v>
      </c>
      <c r="Q544" s="154">
        <v>32.945317657262521</v>
      </c>
      <c r="R544" s="154">
        <v>10864.779077081053</v>
      </c>
      <c r="S544" s="154">
        <v>0.50468700893105001</v>
      </c>
      <c r="T544" s="154">
        <v>4.3831619201294663</v>
      </c>
      <c r="U544" s="154">
        <v>4.5163464875079722</v>
      </c>
      <c r="V544" s="154">
        <v>391.68328069666347</v>
      </c>
      <c r="W544" s="154">
        <v>6.954860635642599</v>
      </c>
      <c r="X544" s="154">
        <v>0.35132939308874322</v>
      </c>
      <c r="Y544" s="154">
        <v>228.22884524165511</v>
      </c>
      <c r="Z544" s="154">
        <v>0.48978425840260981</v>
      </c>
      <c r="AC544" s="28" t="s">
        <v>421</v>
      </c>
      <c r="AD544" s="28" t="s">
        <v>421</v>
      </c>
      <c r="AE544" s="9" t="s">
        <v>1626</v>
      </c>
      <c r="AF544" s="28" t="s">
        <v>1626</v>
      </c>
      <c r="AG544" s="28">
        <v>0.87790000000000001</v>
      </c>
      <c r="AH544" s="28">
        <v>33.139400000000002</v>
      </c>
      <c r="AI544" s="28" t="s">
        <v>1626</v>
      </c>
      <c r="AJ544" s="28" t="s">
        <v>1626</v>
      </c>
      <c r="AK544" s="28" t="s">
        <v>1626</v>
      </c>
      <c r="AL544" s="28">
        <v>65.528800000000004</v>
      </c>
      <c r="AM544" s="28" t="s">
        <v>1626</v>
      </c>
      <c r="AN544" s="28">
        <v>0.10349999999999999</v>
      </c>
      <c r="AO544" s="28" t="s">
        <v>1626</v>
      </c>
      <c r="AP544" s="156">
        <f t="shared" si="8"/>
        <v>99.649599999999992</v>
      </c>
    </row>
    <row r="545" spans="1:42" x14ac:dyDescent="0.2">
      <c r="A545" s="9" t="s">
        <v>1493</v>
      </c>
      <c r="B545" s="9" t="s">
        <v>1494</v>
      </c>
      <c r="C545" s="9" t="s">
        <v>139</v>
      </c>
      <c r="D545" s="9" t="s">
        <v>143</v>
      </c>
      <c r="E545" s="154">
        <v>397512.61390794744</v>
      </c>
      <c r="F545" s="154">
        <v>391370.85172543494</v>
      </c>
      <c r="G545" s="154">
        <v>0.96243988845970596</v>
      </c>
      <c r="H545" s="154">
        <v>431.52108398032459</v>
      </c>
      <c r="I545" s="154">
        <v>10.970163586530575</v>
      </c>
      <c r="J545" s="154">
        <v>61.709657534353035</v>
      </c>
      <c r="K545" s="154">
        <v>659679</v>
      </c>
      <c r="L545" s="154">
        <v>656464.98473730183</v>
      </c>
      <c r="M545" s="154">
        <v>102.28745585466518</v>
      </c>
      <c r="N545" s="154">
        <v>1.066759847794716</v>
      </c>
      <c r="O545" s="154">
        <v>0.65492570371517311</v>
      </c>
      <c r="P545" s="154">
        <v>2.1114126537385154</v>
      </c>
      <c r="Q545" s="154">
        <v>1.9551974934315515</v>
      </c>
      <c r="R545" s="154">
        <v>2307.1153094794331</v>
      </c>
      <c r="S545" s="154">
        <v>0.73149523500941116</v>
      </c>
      <c r="T545" s="154">
        <v>5.9420747210543468</v>
      </c>
      <c r="U545" s="154">
        <v>6.9662238944731696</v>
      </c>
      <c r="V545" s="154">
        <v>16.163371568051947</v>
      </c>
      <c r="W545" s="154">
        <v>6.2628833006945834</v>
      </c>
      <c r="X545" s="154" t="s">
        <v>421</v>
      </c>
      <c r="Y545" s="154">
        <v>3.9045247299986898</v>
      </c>
      <c r="Z545" s="154">
        <v>0.71129218095782643</v>
      </c>
      <c r="AC545" s="28" t="s">
        <v>421</v>
      </c>
      <c r="AD545" s="28" t="s">
        <v>421</v>
      </c>
      <c r="AE545" s="9" t="s">
        <v>1626</v>
      </c>
      <c r="AF545" s="28" t="s">
        <v>1626</v>
      </c>
      <c r="AG545" s="28">
        <v>0.35499999999999998</v>
      </c>
      <c r="AH545" s="28">
        <v>32.805500000000002</v>
      </c>
      <c r="AI545" s="28" t="s">
        <v>1626</v>
      </c>
      <c r="AJ545" s="28" t="s">
        <v>1626</v>
      </c>
      <c r="AK545" s="28" t="s">
        <v>1626</v>
      </c>
      <c r="AL545" s="28">
        <v>65.9679</v>
      </c>
      <c r="AM545" s="28" t="s">
        <v>1626</v>
      </c>
      <c r="AN545" s="28">
        <v>8.14E-2</v>
      </c>
      <c r="AO545" s="28" t="s">
        <v>1626</v>
      </c>
      <c r="AP545" s="156">
        <f t="shared" si="8"/>
        <v>99.209800000000001</v>
      </c>
    </row>
    <row r="546" spans="1:42" x14ac:dyDescent="0.2">
      <c r="A546" s="9" t="s">
        <v>1495</v>
      </c>
      <c r="B546" s="9" t="s">
        <v>1496</v>
      </c>
      <c r="C546" s="9" t="s">
        <v>139</v>
      </c>
      <c r="D546" s="9" t="s">
        <v>143</v>
      </c>
      <c r="E546" s="154">
        <v>394763.37549322232</v>
      </c>
      <c r="F546" s="154">
        <v>384486.04696548439</v>
      </c>
      <c r="G546" s="154">
        <v>2.5530915833729337</v>
      </c>
      <c r="H546" s="154">
        <v>921.26971610108342</v>
      </c>
      <c r="I546" s="154">
        <v>7.6558816774400098</v>
      </c>
      <c r="J546" s="154">
        <v>1867.4376529916399</v>
      </c>
      <c r="K546" s="154">
        <v>649293</v>
      </c>
      <c r="L546" s="154">
        <v>648077.95936925511</v>
      </c>
      <c r="M546" s="154">
        <v>64.621174769134655</v>
      </c>
      <c r="N546" s="154">
        <v>3.3524484621315538</v>
      </c>
      <c r="O546" s="154">
        <v>19.651412851289603</v>
      </c>
      <c r="P546" s="154">
        <v>1.6874321022310568</v>
      </c>
      <c r="Q546" s="154">
        <v>130.35184906141347</v>
      </c>
      <c r="R546" s="154">
        <v>18106.997847715149</v>
      </c>
      <c r="S546" s="154">
        <v>56.093959939295864</v>
      </c>
      <c r="T546" s="154">
        <v>311.54274132138403</v>
      </c>
      <c r="U546" s="154">
        <v>308.98849556957754</v>
      </c>
      <c r="V546" s="154">
        <v>1340.5194710320698</v>
      </c>
      <c r="W546" s="154">
        <v>10.904808522905089</v>
      </c>
      <c r="X546" s="154">
        <v>1.7097128531524515</v>
      </c>
      <c r="Y546" s="154">
        <v>544.68548971830285</v>
      </c>
      <c r="Z546" s="154">
        <v>55.034714618803157</v>
      </c>
      <c r="AC546" s="28" t="s">
        <v>421</v>
      </c>
      <c r="AD546" s="28" t="s">
        <v>421</v>
      </c>
      <c r="AE546" s="9" t="s">
        <v>1626</v>
      </c>
      <c r="AF546" s="28" t="s">
        <v>1626</v>
      </c>
      <c r="AG546" s="28">
        <v>1.6274999999999999</v>
      </c>
      <c r="AH546" s="28">
        <v>32.864400000000003</v>
      </c>
      <c r="AI546" s="28" t="s">
        <v>1626</v>
      </c>
      <c r="AJ546" s="28" t="s">
        <v>1626</v>
      </c>
      <c r="AK546" s="28" t="s">
        <v>1626</v>
      </c>
      <c r="AL546" s="28">
        <v>64.929299999999998</v>
      </c>
      <c r="AM546" s="28" t="s">
        <v>1626</v>
      </c>
      <c r="AN546" s="28">
        <v>0.16309999999999999</v>
      </c>
      <c r="AO546" s="28" t="s">
        <v>1626</v>
      </c>
      <c r="AP546" s="156">
        <f t="shared" si="8"/>
        <v>99.584299999999999</v>
      </c>
    </row>
    <row r="547" spans="1:42" x14ac:dyDescent="0.2">
      <c r="A547" s="9" t="s">
        <v>1497</v>
      </c>
      <c r="B547" s="9" t="s">
        <v>1498</v>
      </c>
      <c r="C547" s="9" t="s">
        <v>139</v>
      </c>
      <c r="D547" s="9" t="s">
        <v>143</v>
      </c>
      <c r="E547" s="154">
        <v>400352.1336893228</v>
      </c>
      <c r="F547" s="154">
        <v>393750.49538703659</v>
      </c>
      <c r="G547" s="154">
        <v>0.66826646420648261</v>
      </c>
      <c r="H547" s="154">
        <v>406.21783768973307</v>
      </c>
      <c r="I547" s="154">
        <v>7.6313502568737652</v>
      </c>
      <c r="J547" s="154">
        <v>518.90152912833457</v>
      </c>
      <c r="K547" s="154">
        <v>663430</v>
      </c>
      <c r="L547" s="154">
        <v>662360.77706777188</v>
      </c>
      <c r="M547" s="154">
        <v>440.70190583104323</v>
      </c>
      <c r="N547" s="154">
        <v>11.303745141467816</v>
      </c>
      <c r="O547" s="154">
        <v>7.1541547794986435</v>
      </c>
      <c r="P547" s="154">
        <v>2.0143710454848702</v>
      </c>
      <c r="Q547" s="154">
        <v>42.772087727463486</v>
      </c>
      <c r="R547" s="154">
        <v>2426.7719730398558</v>
      </c>
      <c r="S547" s="154">
        <v>4.7724124366575484</v>
      </c>
      <c r="T547" s="154">
        <v>77.36826027498978</v>
      </c>
      <c r="U547" s="154">
        <v>59.285283535390498</v>
      </c>
      <c r="V547" s="154">
        <v>332.33752174471408</v>
      </c>
      <c r="W547" s="154">
        <v>4.7313830229930929</v>
      </c>
      <c r="X547" s="154">
        <v>0.43816723888392889</v>
      </c>
      <c r="Y547" s="154">
        <v>85.262151644459664</v>
      </c>
      <c r="Z547" s="154">
        <v>4.5093603517225835</v>
      </c>
      <c r="AC547" s="28" t="s">
        <v>421</v>
      </c>
      <c r="AD547" s="28" t="s">
        <v>421</v>
      </c>
      <c r="AE547" s="9" t="s">
        <v>1626</v>
      </c>
      <c r="AF547" s="28" t="s">
        <v>1626</v>
      </c>
      <c r="AG547" s="28">
        <v>0.27760000000000001</v>
      </c>
      <c r="AH547" s="28">
        <v>33.027999999999999</v>
      </c>
      <c r="AI547" s="28" t="s">
        <v>1626</v>
      </c>
      <c r="AJ547" s="28" t="s">
        <v>1626</v>
      </c>
      <c r="AK547" s="28" t="s">
        <v>1626</v>
      </c>
      <c r="AL547" s="28">
        <v>66.343000000000004</v>
      </c>
      <c r="AM547" s="28" t="s">
        <v>1626</v>
      </c>
      <c r="AN547" s="28">
        <v>6.6000000000000003E-2</v>
      </c>
      <c r="AO547" s="28" t="s">
        <v>1626</v>
      </c>
      <c r="AP547" s="156">
        <f t="shared" si="8"/>
        <v>99.714600000000004</v>
      </c>
    </row>
    <row r="548" spans="1:42" x14ac:dyDescent="0.2">
      <c r="A548" s="9" t="s">
        <v>1499</v>
      </c>
      <c r="B548" s="9" t="s">
        <v>1500</v>
      </c>
      <c r="C548" s="9" t="s">
        <v>139</v>
      </c>
      <c r="D548" s="9" t="s">
        <v>143</v>
      </c>
      <c r="E548" s="154">
        <v>391607.81546621391</v>
      </c>
      <c r="F548" s="154">
        <v>381920.95194628905</v>
      </c>
      <c r="G548" s="154">
        <v>0.72773797355806236</v>
      </c>
      <c r="H548" s="154">
        <v>358.02406578860649</v>
      </c>
      <c r="I548" s="154">
        <v>6.4676673110439893</v>
      </c>
      <c r="J548" s="154">
        <v>354.78728871775013</v>
      </c>
      <c r="K548" s="154">
        <v>657206.99999999988</v>
      </c>
      <c r="L548" s="154">
        <v>635804.8939762502</v>
      </c>
      <c r="M548" s="154">
        <v>388.84854704302808</v>
      </c>
      <c r="N548" s="154">
        <v>6.9162880869229406</v>
      </c>
      <c r="O548" s="154">
        <v>3.8299879001320289</v>
      </c>
      <c r="P548" s="154">
        <v>2.9860624002298133</v>
      </c>
      <c r="Q548" s="154">
        <v>21.813072623883858</v>
      </c>
      <c r="R548" s="154">
        <v>2335.2641098180047</v>
      </c>
      <c r="S548" s="154">
        <v>10.723074654255241</v>
      </c>
      <c r="T548" s="154">
        <v>37.060463713381822</v>
      </c>
      <c r="U548" s="154">
        <v>35.447018843445953</v>
      </c>
      <c r="V548" s="154">
        <v>157.84631923206828</v>
      </c>
      <c r="W548" s="154">
        <v>4.4949972603757171</v>
      </c>
      <c r="X548" s="154">
        <v>0.31215962449063644</v>
      </c>
      <c r="Y548" s="154">
        <v>27.038985692862909</v>
      </c>
      <c r="Z548" s="154">
        <v>10.597069077629742</v>
      </c>
      <c r="AC548" s="28" t="s">
        <v>421</v>
      </c>
      <c r="AD548" s="28" t="s">
        <v>421</v>
      </c>
      <c r="AE548" s="9" t="s">
        <v>1626</v>
      </c>
      <c r="AF548" s="28" t="s">
        <v>1626</v>
      </c>
      <c r="AG548" s="28">
        <v>0.32419999999999999</v>
      </c>
      <c r="AH548" s="28">
        <v>32.876899999999999</v>
      </c>
      <c r="AI548" s="28" t="s">
        <v>1626</v>
      </c>
      <c r="AJ548" s="28" t="s">
        <v>1626</v>
      </c>
      <c r="AK548" s="28" t="s">
        <v>1626</v>
      </c>
      <c r="AL548" s="28">
        <v>65.720699999999994</v>
      </c>
      <c r="AM548" s="28" t="s">
        <v>1626</v>
      </c>
      <c r="AN548" s="28">
        <v>5.0200000000000002E-2</v>
      </c>
      <c r="AO548" s="28" t="s">
        <v>1626</v>
      </c>
      <c r="AP548" s="156">
        <f t="shared" si="8"/>
        <v>98.971999999999994</v>
      </c>
    </row>
    <row r="549" spans="1:42" x14ac:dyDescent="0.2">
      <c r="A549" s="9" t="s">
        <v>1501</v>
      </c>
      <c r="B549" s="9" t="s">
        <v>1502</v>
      </c>
      <c r="C549" s="9" t="s">
        <v>139</v>
      </c>
      <c r="D549" s="9" t="s">
        <v>143</v>
      </c>
      <c r="E549" s="154">
        <v>396311.04242243356</v>
      </c>
      <c r="F549" s="154">
        <v>390273.93028548238</v>
      </c>
      <c r="G549" s="154">
        <v>1.2968630252104454</v>
      </c>
      <c r="H549" s="154">
        <v>584.04381702303363</v>
      </c>
      <c r="I549" s="154">
        <v>9.5506272573838693</v>
      </c>
      <c r="J549" s="154">
        <v>308.38353582971268</v>
      </c>
      <c r="K549" s="154">
        <v>665149</v>
      </c>
      <c r="L549" s="154">
        <v>658063.17146691063</v>
      </c>
      <c r="M549" s="154">
        <v>205.66439300359218</v>
      </c>
      <c r="N549" s="154">
        <v>3.0738057110382782</v>
      </c>
      <c r="O549" s="154">
        <v>4.2318521994470535</v>
      </c>
      <c r="P549" s="154" t="s">
        <v>421</v>
      </c>
      <c r="Q549" s="154">
        <v>33.659253579322105</v>
      </c>
      <c r="R549" s="154">
        <v>2656.613422963193</v>
      </c>
      <c r="S549" s="154">
        <v>0.37749027216352493</v>
      </c>
      <c r="T549" s="154">
        <v>28.89220889583315</v>
      </c>
      <c r="U549" s="154">
        <v>29.985966891150383</v>
      </c>
      <c r="V549" s="154">
        <v>239.88772824202064</v>
      </c>
      <c r="W549" s="154">
        <v>5.508699397122867</v>
      </c>
      <c r="X549" s="154">
        <v>0.25859591369448182</v>
      </c>
      <c r="Y549" s="154">
        <v>77.923240965868402</v>
      </c>
      <c r="Z549" s="154">
        <v>0.27925676191769222</v>
      </c>
      <c r="AC549" s="28" t="s">
        <v>421</v>
      </c>
      <c r="AD549" s="28" t="s">
        <v>421</v>
      </c>
      <c r="AE549" s="9" t="s">
        <v>1626</v>
      </c>
      <c r="AF549" s="28" t="s">
        <v>1626</v>
      </c>
      <c r="AG549" s="28">
        <v>0.26500000000000001</v>
      </c>
      <c r="AH549" s="28">
        <v>32.919499999999999</v>
      </c>
      <c r="AI549" s="28" t="s">
        <v>1626</v>
      </c>
      <c r="AJ549" s="28" t="s">
        <v>1626</v>
      </c>
      <c r="AK549" s="28" t="s">
        <v>1626</v>
      </c>
      <c r="AL549" s="28">
        <v>66.514899999999997</v>
      </c>
      <c r="AM549" s="28" t="s">
        <v>1626</v>
      </c>
      <c r="AN549" s="28">
        <v>8.5599999999999996E-2</v>
      </c>
      <c r="AO549" s="28" t="s">
        <v>1626</v>
      </c>
      <c r="AP549" s="156">
        <f t="shared" si="8"/>
        <v>99.784999999999997</v>
      </c>
    </row>
    <row r="550" spans="1:42" x14ac:dyDescent="0.2">
      <c r="A550" s="9" t="s">
        <v>1503</v>
      </c>
      <c r="B550" s="9" t="s">
        <v>1504</v>
      </c>
      <c r="C550" s="9" t="s">
        <v>139</v>
      </c>
      <c r="D550" s="9" t="s">
        <v>143</v>
      </c>
      <c r="E550" s="154">
        <v>392724.91408133216</v>
      </c>
      <c r="F550" s="154">
        <v>373873.12388660858</v>
      </c>
      <c r="G550" s="154">
        <v>2.3650121278955094</v>
      </c>
      <c r="H550" s="154">
        <v>811.80746913298606</v>
      </c>
      <c r="I550" s="154">
        <v>7.523398246627294</v>
      </c>
      <c r="J550" s="154">
        <v>1199.4279426231299</v>
      </c>
      <c r="K550" s="154">
        <v>650016</v>
      </c>
      <c r="L550" s="154">
        <v>652781.32439248124</v>
      </c>
      <c r="M550" s="154">
        <v>95.315385160431219</v>
      </c>
      <c r="N550" s="154">
        <v>3.0366440639472012</v>
      </c>
      <c r="O550" s="154">
        <v>17.627641210952937</v>
      </c>
      <c r="P550" s="154">
        <v>2.1568329860327387</v>
      </c>
      <c r="Q550" s="154">
        <v>103.22545073272548</v>
      </c>
      <c r="R550" s="154">
        <v>17270.848230336724</v>
      </c>
      <c r="S550" s="154">
        <v>239.37290595917327</v>
      </c>
      <c r="T550" s="154">
        <v>414.44992958002825</v>
      </c>
      <c r="U550" s="154">
        <v>411.51906927580029</v>
      </c>
      <c r="V550" s="154">
        <v>995.76160608594523</v>
      </c>
      <c r="W550" s="154">
        <v>12.687943322122608</v>
      </c>
      <c r="X550" s="154">
        <v>1.1157492352826739</v>
      </c>
      <c r="Y550" s="154">
        <v>356.19379628723595</v>
      </c>
      <c r="Z550" s="154">
        <v>237.96377619860118</v>
      </c>
      <c r="AC550" s="28" t="s">
        <v>421</v>
      </c>
      <c r="AD550" s="28" t="s">
        <v>421</v>
      </c>
      <c r="AE550" s="9" t="s">
        <v>1626</v>
      </c>
      <c r="AF550" s="28" t="s">
        <v>1626</v>
      </c>
      <c r="AG550" s="28">
        <v>1.5760000000000001</v>
      </c>
      <c r="AH550" s="28">
        <v>32.774099999999997</v>
      </c>
      <c r="AI550" s="28" t="s">
        <v>1626</v>
      </c>
      <c r="AJ550" s="28" t="s">
        <v>1626</v>
      </c>
      <c r="AK550" s="28" t="s">
        <v>1626</v>
      </c>
      <c r="AL550" s="28">
        <v>65.001599999999996</v>
      </c>
      <c r="AM550" s="28" t="s">
        <v>1626</v>
      </c>
      <c r="AN550" s="28">
        <v>0.13059999999999999</v>
      </c>
      <c r="AO550" s="28" t="s">
        <v>1626</v>
      </c>
      <c r="AP550" s="156">
        <f t="shared" si="8"/>
        <v>99.482299999999995</v>
      </c>
    </row>
    <row r="551" spans="1:42" x14ac:dyDescent="0.2">
      <c r="A551" s="9" t="s">
        <v>1505</v>
      </c>
      <c r="B551" s="9" t="s">
        <v>1506</v>
      </c>
      <c r="C551" s="9" t="s">
        <v>139</v>
      </c>
      <c r="D551" s="9" t="s">
        <v>143</v>
      </c>
      <c r="E551" s="154">
        <v>395189.92481242795</v>
      </c>
      <c r="F551" s="154">
        <v>376479.87910142896</v>
      </c>
      <c r="G551" s="154">
        <v>1.0453599727166833</v>
      </c>
      <c r="H551" s="154">
        <v>572.82644739209979</v>
      </c>
      <c r="I551" s="154">
        <v>11.148834680561926</v>
      </c>
      <c r="J551" s="154">
        <v>965.44148369527034</v>
      </c>
      <c r="K551" s="154">
        <v>660610.00000000012</v>
      </c>
      <c r="L551" s="154">
        <v>659808.79494075105</v>
      </c>
      <c r="M551" s="154">
        <v>337.62898099190949</v>
      </c>
      <c r="N551" s="154">
        <v>3.2205481120209534</v>
      </c>
      <c r="O551" s="154">
        <v>14.049179557928829</v>
      </c>
      <c r="P551" s="154" t="s">
        <v>421</v>
      </c>
      <c r="Q551" s="154">
        <v>102.93466943925037</v>
      </c>
      <c r="R551" s="154">
        <v>3472.3993351735271</v>
      </c>
      <c r="S551" s="154">
        <v>285.69091873391426</v>
      </c>
      <c r="T551" s="154">
        <v>216.5990998628867</v>
      </c>
      <c r="U551" s="154">
        <v>214.39791453610766</v>
      </c>
      <c r="V551" s="154">
        <v>680.70597097200539</v>
      </c>
      <c r="W551" s="154">
        <v>8.6461956190185223</v>
      </c>
      <c r="X551" s="154">
        <v>0.70939371899731385</v>
      </c>
      <c r="Y551" s="154">
        <v>169.79200910173915</v>
      </c>
      <c r="Z551" s="154">
        <v>284.95448179438046</v>
      </c>
      <c r="AC551" s="28" t="s">
        <v>421</v>
      </c>
      <c r="AD551" s="28" t="s">
        <v>421</v>
      </c>
      <c r="AE551" s="9" t="s">
        <v>1626</v>
      </c>
      <c r="AF551" s="28" t="s">
        <v>1626</v>
      </c>
      <c r="AG551" s="28">
        <v>0.32150000000000001</v>
      </c>
      <c r="AH551" s="28">
        <v>32.869799999999998</v>
      </c>
      <c r="AI551" s="28" t="s">
        <v>1626</v>
      </c>
      <c r="AJ551" s="28" t="s">
        <v>1626</v>
      </c>
      <c r="AK551" s="28" t="s">
        <v>1626</v>
      </c>
      <c r="AL551" s="28">
        <v>66.061000000000007</v>
      </c>
      <c r="AM551" s="28" t="s">
        <v>1626</v>
      </c>
      <c r="AN551" s="28">
        <v>7.7799999999999994E-2</v>
      </c>
      <c r="AO551" s="28" t="s">
        <v>1626</v>
      </c>
      <c r="AP551" s="156">
        <f t="shared" si="8"/>
        <v>99.330100000000002</v>
      </c>
    </row>
    <row r="552" spans="1:42" x14ac:dyDescent="0.2">
      <c r="A552" s="9" t="s">
        <v>1507</v>
      </c>
      <c r="B552" s="9" t="s">
        <v>1508</v>
      </c>
      <c r="C552" s="9" t="s">
        <v>139</v>
      </c>
      <c r="D552" s="9" t="s">
        <v>143</v>
      </c>
      <c r="E552" s="154">
        <v>391170.82359512767</v>
      </c>
      <c r="F552" s="154">
        <v>377852.70614528266</v>
      </c>
      <c r="G552" s="154">
        <v>0.8694411499483895</v>
      </c>
      <c r="H552" s="154">
        <v>521.33430437485561</v>
      </c>
      <c r="I552" s="154">
        <v>10.527328060775634</v>
      </c>
      <c r="J552" s="154">
        <v>773.3048465262608</v>
      </c>
      <c r="K552" s="154">
        <v>653047</v>
      </c>
      <c r="L552" s="154">
        <v>655565.1449616655</v>
      </c>
      <c r="M552" s="154">
        <v>358.60395826634948</v>
      </c>
      <c r="N552" s="154">
        <v>9.9374976894007681</v>
      </c>
      <c r="O552" s="154">
        <v>15.015696931036882</v>
      </c>
      <c r="P552" s="154">
        <v>1.9152396869187494</v>
      </c>
      <c r="Q552" s="154">
        <v>78.928943573941339</v>
      </c>
      <c r="R552" s="154">
        <v>4210.8969103443378</v>
      </c>
      <c r="S552" s="154">
        <v>9.956004840683681</v>
      </c>
      <c r="T552" s="154">
        <v>44.691971172064065</v>
      </c>
      <c r="U552" s="154">
        <v>44.938172776441547</v>
      </c>
      <c r="V552" s="154">
        <v>697.88698622380787</v>
      </c>
      <c r="W552" s="154">
        <v>9.2683732795392917</v>
      </c>
      <c r="X552" s="154">
        <v>0.95675935282029922</v>
      </c>
      <c r="Y552" s="154">
        <v>170.6927854343177</v>
      </c>
      <c r="Z552" s="154">
        <v>9.8040521386986637</v>
      </c>
      <c r="AC552" s="28" t="s">
        <v>421</v>
      </c>
      <c r="AD552" s="28" t="s">
        <v>421</v>
      </c>
      <c r="AE552" s="9" t="s">
        <v>1626</v>
      </c>
      <c r="AF552" s="28" t="s">
        <v>1626</v>
      </c>
      <c r="AG552" s="28">
        <v>1.3163</v>
      </c>
      <c r="AH552" s="28">
        <v>32.619799999999998</v>
      </c>
      <c r="AI552" s="28" t="s">
        <v>1626</v>
      </c>
      <c r="AJ552" s="28" t="s">
        <v>1626</v>
      </c>
      <c r="AK552" s="28" t="s">
        <v>1626</v>
      </c>
      <c r="AL552" s="28">
        <v>65.304699999999997</v>
      </c>
      <c r="AM552" s="28" t="s">
        <v>1626</v>
      </c>
      <c r="AN552" s="28">
        <v>0.1242</v>
      </c>
      <c r="AO552" s="28" t="s">
        <v>1626</v>
      </c>
      <c r="AP552" s="156">
        <f t="shared" si="8"/>
        <v>99.364999999999995</v>
      </c>
    </row>
    <row r="553" spans="1:42" x14ac:dyDescent="0.2">
      <c r="A553" s="9" t="s">
        <v>1509</v>
      </c>
      <c r="B553" s="9" t="s">
        <v>1510</v>
      </c>
      <c r="C553" s="9" t="s">
        <v>139</v>
      </c>
      <c r="D553" s="9" t="s">
        <v>144</v>
      </c>
      <c r="E553" s="154">
        <v>410295.45952255104</v>
      </c>
      <c r="F553" s="154">
        <v>385065.37828564423</v>
      </c>
      <c r="G553" s="154">
        <v>3.3770025996324966</v>
      </c>
      <c r="H553" s="154">
        <v>1507.3688985203141</v>
      </c>
      <c r="I553" s="154">
        <v>20.072429104822277</v>
      </c>
      <c r="J553" s="154">
        <v>969.35435810622482</v>
      </c>
      <c r="K553" s="154">
        <v>656577</v>
      </c>
      <c r="L553" s="154">
        <v>666815.29475241294</v>
      </c>
      <c r="M553" s="154">
        <v>317.62143755518269</v>
      </c>
      <c r="N553" s="154">
        <v>15.370510581950182</v>
      </c>
      <c r="O553" s="154">
        <v>23.040543251689304</v>
      </c>
      <c r="P553" s="154">
        <v>1.8945459392340014</v>
      </c>
      <c r="Q553" s="154">
        <v>101.27365004909434</v>
      </c>
      <c r="R553" s="154">
        <v>9462.4469773927503</v>
      </c>
      <c r="S553" s="154">
        <v>2.0482683633227864E-2</v>
      </c>
      <c r="T553" s="154">
        <v>3.2613815535347435</v>
      </c>
      <c r="U553" s="154">
        <v>3.314196128551758</v>
      </c>
      <c r="V553" s="154">
        <v>852.9034763952809</v>
      </c>
      <c r="W553" s="154">
        <v>7.5103329902500526</v>
      </c>
      <c r="X553" s="154">
        <v>0.71507491431379566</v>
      </c>
      <c r="Y553" s="154">
        <v>213.82995164732816</v>
      </c>
      <c r="Z553" s="154">
        <v>9.3939863512097349E-3</v>
      </c>
      <c r="AC553" s="28" t="s">
        <v>421</v>
      </c>
      <c r="AD553" s="28" t="s">
        <v>421</v>
      </c>
      <c r="AE553" s="9" t="s">
        <v>1626</v>
      </c>
      <c r="AF553" s="28" t="s">
        <v>1626</v>
      </c>
      <c r="AG553" s="28">
        <v>0.28470000000000001</v>
      </c>
      <c r="AH553" s="28">
        <v>32.870800000000003</v>
      </c>
      <c r="AI553" s="28" t="s">
        <v>1626</v>
      </c>
      <c r="AJ553" s="28" t="s">
        <v>1626</v>
      </c>
      <c r="AK553" s="28" t="s">
        <v>1626</v>
      </c>
      <c r="AL553" s="28">
        <v>65.657700000000006</v>
      </c>
      <c r="AM553" s="28" t="s">
        <v>1626</v>
      </c>
      <c r="AN553" s="28">
        <v>0.18060000000000001</v>
      </c>
      <c r="AO553" s="28" t="s">
        <v>1626</v>
      </c>
      <c r="AP553" s="156">
        <f t="shared" si="8"/>
        <v>98.993800000000007</v>
      </c>
    </row>
    <row r="554" spans="1:42" x14ac:dyDescent="0.2">
      <c r="A554" s="9" t="s">
        <v>1511</v>
      </c>
      <c r="B554" s="9" t="s">
        <v>1512</v>
      </c>
      <c r="C554" s="9" t="s">
        <v>139</v>
      </c>
      <c r="D554" s="9" t="s">
        <v>144</v>
      </c>
      <c r="E554" s="154">
        <v>406929.43262740399</v>
      </c>
      <c r="F554" s="154">
        <v>334649.22291115113</v>
      </c>
      <c r="G554" s="154">
        <v>2.8508299309464706</v>
      </c>
      <c r="H554" s="154">
        <v>1345.6444656139968</v>
      </c>
      <c r="I554" s="154">
        <v>22.8363827865034</v>
      </c>
      <c r="J554" s="154">
        <v>3017.2894041876912</v>
      </c>
      <c r="K554" s="154">
        <v>653889.00000000012</v>
      </c>
      <c r="L554" s="154">
        <v>642283.08018767054</v>
      </c>
      <c r="M554" s="154">
        <v>1020.7121627791541</v>
      </c>
      <c r="N554" s="154">
        <v>47.271163558511311</v>
      </c>
      <c r="O554" s="154">
        <v>48.213236342691211</v>
      </c>
      <c r="P554" s="154">
        <v>3.046230835600519</v>
      </c>
      <c r="Q554" s="154">
        <v>180.66040148484535</v>
      </c>
      <c r="R554" s="154">
        <v>3452.2169303263181</v>
      </c>
      <c r="S554" s="154">
        <v>7.1527788484255811E-2</v>
      </c>
      <c r="T554" s="154">
        <v>2.7945167724573392</v>
      </c>
      <c r="U554" s="154">
        <v>3.9286889579198299</v>
      </c>
      <c r="V554" s="154">
        <v>1792.9615832392967</v>
      </c>
      <c r="W554" s="154">
        <v>10.375720824509658</v>
      </c>
      <c r="X554" s="154">
        <v>1.6288178305046561</v>
      </c>
      <c r="Y554" s="154">
        <v>447.65654515608747</v>
      </c>
      <c r="Z554" s="154">
        <v>6.2026431457900856E-2</v>
      </c>
      <c r="AC554" s="28" t="s">
        <v>421</v>
      </c>
      <c r="AD554" s="28" t="s">
        <v>421</v>
      </c>
      <c r="AE554" s="9" t="s">
        <v>1626</v>
      </c>
      <c r="AF554" s="28" t="s">
        <v>1626</v>
      </c>
      <c r="AG554" s="28">
        <v>0.42520000000000002</v>
      </c>
      <c r="AH554" s="28">
        <v>32.672400000000003</v>
      </c>
      <c r="AI554" s="28" t="s">
        <v>1626</v>
      </c>
      <c r="AJ554" s="28" t="s">
        <v>1626</v>
      </c>
      <c r="AK554" s="28" t="s">
        <v>1626</v>
      </c>
      <c r="AL554" s="28">
        <v>65.388900000000007</v>
      </c>
      <c r="AM554" s="28" t="s">
        <v>1626</v>
      </c>
      <c r="AN554" s="28">
        <v>0.1888</v>
      </c>
      <c r="AO554" s="28" t="s">
        <v>1626</v>
      </c>
      <c r="AP554" s="156">
        <f t="shared" si="8"/>
        <v>98.675300000000007</v>
      </c>
    </row>
    <row r="555" spans="1:42" x14ac:dyDescent="0.2">
      <c r="A555" s="9" t="s">
        <v>1513</v>
      </c>
      <c r="B555" s="9" t="s">
        <v>1514</v>
      </c>
      <c r="C555" s="9" t="s">
        <v>139</v>
      </c>
      <c r="D555" s="9" t="s">
        <v>144</v>
      </c>
      <c r="E555" s="154">
        <v>391031.85847532528</v>
      </c>
      <c r="F555" s="154">
        <v>330856.7188143612</v>
      </c>
      <c r="G555" s="154">
        <v>1.3953627352695586</v>
      </c>
      <c r="H555" s="154">
        <v>1112.5096157781975</v>
      </c>
      <c r="I555" s="154">
        <v>23.225813576908251</v>
      </c>
      <c r="J555" s="154">
        <v>386.45062362062799</v>
      </c>
      <c r="K555" s="154">
        <v>657115</v>
      </c>
      <c r="L555" s="154">
        <v>650045.78492892673</v>
      </c>
      <c r="M555" s="154">
        <v>291.53279566915791</v>
      </c>
      <c r="N555" s="154">
        <v>5.1149424957074032</v>
      </c>
      <c r="O555" s="154">
        <v>9.827678026861367</v>
      </c>
      <c r="P555" s="154" t="s">
        <v>421</v>
      </c>
      <c r="Q555" s="154">
        <v>34.175315257065456</v>
      </c>
      <c r="R555" s="154">
        <v>2378.8589322072894</v>
      </c>
      <c r="S555" s="154" t="s">
        <v>421</v>
      </c>
      <c r="T555" s="154">
        <v>1.2299843180046477</v>
      </c>
      <c r="U555" s="154">
        <v>1.1561227199002648</v>
      </c>
      <c r="V555" s="154">
        <v>337.89384882455568</v>
      </c>
      <c r="W555" s="154">
        <v>9.9639352587253658</v>
      </c>
      <c r="X555" s="154">
        <v>0.37634725028232663</v>
      </c>
      <c r="Y555" s="154">
        <v>56.341973491956651</v>
      </c>
      <c r="Z555" s="154" t="s">
        <v>421</v>
      </c>
      <c r="AC555" s="28" t="s">
        <v>421</v>
      </c>
      <c r="AD555" s="28" t="s">
        <v>421</v>
      </c>
      <c r="AE555" s="9" t="s">
        <v>1626</v>
      </c>
      <c r="AF555" s="28" t="s">
        <v>1626</v>
      </c>
      <c r="AG555" s="28">
        <v>0.27050000000000002</v>
      </c>
      <c r="AH555" s="28">
        <v>32.857399999999998</v>
      </c>
      <c r="AI555" s="28" t="s">
        <v>1626</v>
      </c>
      <c r="AJ555" s="28" t="s">
        <v>1626</v>
      </c>
      <c r="AK555" s="28" t="s">
        <v>1626</v>
      </c>
      <c r="AL555" s="28">
        <v>65.711500000000001</v>
      </c>
      <c r="AM555" s="28" t="s">
        <v>1626</v>
      </c>
      <c r="AN555" s="28">
        <v>0.1361</v>
      </c>
      <c r="AO555" s="28" t="s">
        <v>1626</v>
      </c>
      <c r="AP555" s="156">
        <f t="shared" si="8"/>
        <v>98.975499999999997</v>
      </c>
    </row>
    <row r="556" spans="1:42" x14ac:dyDescent="0.2">
      <c r="A556" s="9" t="s">
        <v>1515</v>
      </c>
      <c r="B556" s="9" t="s">
        <v>1516</v>
      </c>
      <c r="C556" s="9" t="s">
        <v>139</v>
      </c>
      <c r="D556" s="9" t="s">
        <v>144</v>
      </c>
      <c r="E556" s="154">
        <v>380598.131633955</v>
      </c>
      <c r="F556" s="154">
        <v>375303.18171422731</v>
      </c>
      <c r="G556" s="154">
        <v>1.5100556227674706</v>
      </c>
      <c r="H556" s="154">
        <v>1048.4001584390987</v>
      </c>
      <c r="I556" s="154">
        <v>19.773389006081018</v>
      </c>
      <c r="J556" s="154">
        <v>1076.9995923706406</v>
      </c>
      <c r="K556" s="154">
        <v>657475</v>
      </c>
      <c r="L556" s="154">
        <v>654222.80390471325</v>
      </c>
      <c r="M556" s="154">
        <v>752.0045377881504</v>
      </c>
      <c r="N556" s="154">
        <v>7.010036270120712</v>
      </c>
      <c r="O556" s="154">
        <v>21.297503360507058</v>
      </c>
      <c r="P556" s="154">
        <v>2.55622549263961</v>
      </c>
      <c r="Q556" s="154">
        <v>117.68049343445686</v>
      </c>
      <c r="R556" s="154">
        <v>2263.4490644492694</v>
      </c>
      <c r="S556" s="154">
        <v>0.48492823153889503</v>
      </c>
      <c r="T556" s="154">
        <v>22.027483452745699</v>
      </c>
      <c r="U556" s="154">
        <v>22.17193447336188</v>
      </c>
      <c r="V556" s="154">
        <v>825.0142005513469</v>
      </c>
      <c r="W556" s="154">
        <v>6.0772034776918566</v>
      </c>
      <c r="X556" s="154">
        <v>0.91429608539080143</v>
      </c>
      <c r="Y556" s="154">
        <v>131.30918525305765</v>
      </c>
      <c r="Z556" s="154">
        <v>0.41003478779955965</v>
      </c>
      <c r="AC556" s="28" t="s">
        <v>421</v>
      </c>
      <c r="AD556" s="28" t="s">
        <v>421</v>
      </c>
      <c r="AE556" s="9" t="s">
        <v>1626</v>
      </c>
      <c r="AF556" s="28" t="s">
        <v>1626</v>
      </c>
      <c r="AG556" s="28">
        <v>0.2767</v>
      </c>
      <c r="AH556" s="28">
        <v>32.881599999999999</v>
      </c>
      <c r="AI556" s="28" t="s">
        <v>1626</v>
      </c>
      <c r="AJ556" s="28" t="s">
        <v>1626</v>
      </c>
      <c r="AK556" s="28" t="s">
        <v>1626</v>
      </c>
      <c r="AL556" s="28">
        <v>65.747500000000002</v>
      </c>
      <c r="AM556" s="28" t="s">
        <v>1626</v>
      </c>
      <c r="AN556" s="28">
        <v>0.14360000000000001</v>
      </c>
      <c r="AO556" s="28" t="s">
        <v>1626</v>
      </c>
      <c r="AP556" s="156">
        <f t="shared" si="8"/>
        <v>99.049400000000006</v>
      </c>
    </row>
    <row r="557" spans="1:42" x14ac:dyDescent="0.2">
      <c r="A557" s="9" t="s">
        <v>1517</v>
      </c>
      <c r="B557" s="9" t="s">
        <v>1518</v>
      </c>
      <c r="C557" s="9" t="s">
        <v>139</v>
      </c>
      <c r="D557" s="9" t="s">
        <v>144</v>
      </c>
      <c r="E557" s="154">
        <v>419569.75444778305</v>
      </c>
      <c r="F557" s="154">
        <v>344746.61033654545</v>
      </c>
      <c r="G557" s="154">
        <v>1.9512761617818548</v>
      </c>
      <c r="H557" s="154">
        <v>1222.5956881489251</v>
      </c>
      <c r="I557" s="154">
        <v>9.6223586252805688</v>
      </c>
      <c r="J557" s="154">
        <v>1137.0902071901721</v>
      </c>
      <c r="K557" s="154">
        <v>652286</v>
      </c>
      <c r="L557" s="154">
        <v>651815.65732191538</v>
      </c>
      <c r="M557" s="154">
        <v>138.53042771356229</v>
      </c>
      <c r="N557" s="154">
        <v>1.8838316180179024</v>
      </c>
      <c r="O557" s="154">
        <v>17.436034266546621</v>
      </c>
      <c r="P557" s="154">
        <v>8.6940032146479975</v>
      </c>
      <c r="Q557" s="154">
        <v>113.87436147224</v>
      </c>
      <c r="R557" s="154">
        <v>5217.6156671998815</v>
      </c>
      <c r="S557" s="154">
        <v>1095.1123213548703</v>
      </c>
      <c r="T557" s="154">
        <v>275.48097906455774</v>
      </c>
      <c r="U557" s="154">
        <v>276.57717520727516</v>
      </c>
      <c r="V557" s="154">
        <v>1161.9231318957204</v>
      </c>
      <c r="W557" s="154">
        <v>18.066624028844473</v>
      </c>
      <c r="X557" s="154">
        <v>0.43370198317298764</v>
      </c>
      <c r="Y557" s="154">
        <v>393.22230347332288</v>
      </c>
      <c r="Z557" s="154">
        <v>1094.1756860260509</v>
      </c>
      <c r="AC557" s="28" t="s">
        <v>421</v>
      </c>
      <c r="AD557" s="28" t="s">
        <v>421</v>
      </c>
      <c r="AE557" s="9" t="s">
        <v>1626</v>
      </c>
      <c r="AF557" s="28" t="s">
        <v>1626</v>
      </c>
      <c r="AG557" s="28">
        <v>0.87719999999999998</v>
      </c>
      <c r="AH557" s="28">
        <v>32.723500000000001</v>
      </c>
      <c r="AI557" s="28" t="s">
        <v>1626</v>
      </c>
      <c r="AJ557" s="28" t="s">
        <v>1626</v>
      </c>
      <c r="AK557" s="28" t="s">
        <v>1626</v>
      </c>
      <c r="AL557" s="28">
        <v>65.2286</v>
      </c>
      <c r="AM557" s="28" t="s">
        <v>1626</v>
      </c>
      <c r="AN557" s="28">
        <v>0.28870000000000001</v>
      </c>
      <c r="AO557" s="28" t="s">
        <v>1626</v>
      </c>
      <c r="AP557" s="156">
        <f t="shared" si="8"/>
        <v>99.118000000000009</v>
      </c>
    </row>
    <row r="558" spans="1:42" x14ac:dyDescent="0.2">
      <c r="A558" s="9" t="s">
        <v>1519</v>
      </c>
      <c r="B558" s="9" t="s">
        <v>1520</v>
      </c>
      <c r="C558" s="9" t="s">
        <v>139</v>
      </c>
      <c r="D558" s="9" t="s">
        <v>144</v>
      </c>
      <c r="E558" s="154">
        <v>397297.82651699497</v>
      </c>
      <c r="F558" s="154">
        <v>387384.57667396025</v>
      </c>
      <c r="G558" s="154">
        <v>5.7567484848148052</v>
      </c>
      <c r="H558" s="154">
        <v>1961.9820163684121</v>
      </c>
      <c r="I558" s="154">
        <v>7.5833365854620762</v>
      </c>
      <c r="J558" s="154">
        <v>1622.7340852284096</v>
      </c>
      <c r="K558" s="154">
        <v>642995</v>
      </c>
      <c r="L558" s="154">
        <v>639164.13879266754</v>
      </c>
      <c r="M558" s="154">
        <v>15.879078714292675</v>
      </c>
      <c r="N558" s="154">
        <v>1.6143323876501348</v>
      </c>
      <c r="O558" s="154">
        <v>14.630782349139068</v>
      </c>
      <c r="P558" s="154">
        <v>9.3822700229031462</v>
      </c>
      <c r="Q558" s="154">
        <v>80.547223321354352</v>
      </c>
      <c r="R558" s="154">
        <v>20887.198369124617</v>
      </c>
      <c r="S558" s="154">
        <v>422.60549025119099</v>
      </c>
      <c r="T558" s="154">
        <v>150.71500220567583</v>
      </c>
      <c r="U558" s="154">
        <v>151.05227982026329</v>
      </c>
      <c r="V558" s="154">
        <v>1170.0207605505198</v>
      </c>
      <c r="W558" s="154">
        <v>13.875507255799693</v>
      </c>
      <c r="X558" s="154">
        <v>1.064812230621708</v>
      </c>
      <c r="Y558" s="154">
        <v>678.31066261670776</v>
      </c>
      <c r="Z558" s="154">
        <v>422.0930592436917</v>
      </c>
      <c r="AC558" s="28" t="s">
        <v>421</v>
      </c>
      <c r="AD558" s="28" t="s">
        <v>421</v>
      </c>
      <c r="AE558" s="9" t="s">
        <v>1626</v>
      </c>
      <c r="AF558" s="28" t="s">
        <v>1626</v>
      </c>
      <c r="AG558" s="28">
        <v>1.7531000000000001</v>
      </c>
      <c r="AH558" s="28">
        <v>33.398099999999999</v>
      </c>
      <c r="AI558" s="28" t="s">
        <v>1626</v>
      </c>
      <c r="AJ558" s="28" t="s">
        <v>1626</v>
      </c>
      <c r="AK558" s="28" t="s">
        <v>1626</v>
      </c>
      <c r="AL558" s="28">
        <v>64.299499999999995</v>
      </c>
      <c r="AM558" s="28" t="s">
        <v>1626</v>
      </c>
      <c r="AN558" s="28">
        <v>0.30349999999999999</v>
      </c>
      <c r="AO558" s="28" t="s">
        <v>1626</v>
      </c>
      <c r="AP558" s="156">
        <f t="shared" si="8"/>
        <v>99.754199999999997</v>
      </c>
    </row>
    <row r="559" spans="1:42" x14ac:dyDescent="0.2">
      <c r="A559" s="9" t="s">
        <v>1521</v>
      </c>
      <c r="B559" s="9" t="s">
        <v>1522</v>
      </c>
      <c r="C559" s="9" t="s">
        <v>139</v>
      </c>
      <c r="D559" s="9" t="s">
        <v>144</v>
      </c>
      <c r="E559" s="154">
        <v>419936.44130891317</v>
      </c>
      <c r="F559" s="154">
        <v>343418.17424372549</v>
      </c>
      <c r="G559" s="154">
        <v>1.5981441218135655</v>
      </c>
      <c r="H559" s="154">
        <v>447.53280814921283</v>
      </c>
      <c r="I559" s="154">
        <v>6.8511233146500228</v>
      </c>
      <c r="J559" s="154">
        <v>2094.5917067317773</v>
      </c>
      <c r="K559" s="154">
        <v>647534</v>
      </c>
      <c r="L559" s="154">
        <v>649842.93253603671</v>
      </c>
      <c r="M559" s="154">
        <v>512.91810072379303</v>
      </c>
      <c r="N559" s="154">
        <v>26.756505815412631</v>
      </c>
      <c r="O559" s="154">
        <v>63.43999660544096</v>
      </c>
      <c r="P559" s="154" t="s">
        <v>421</v>
      </c>
      <c r="Q559" s="154">
        <v>242.14040667451405</v>
      </c>
      <c r="R559" s="154">
        <v>3581.0101152163516</v>
      </c>
      <c r="S559" s="154">
        <v>4.1704028852822566</v>
      </c>
      <c r="T559" s="154">
        <v>102.70199551698424</v>
      </c>
      <c r="U559" s="154">
        <v>89.173295937429941</v>
      </c>
      <c r="V559" s="154">
        <v>2821.5363398295649</v>
      </c>
      <c r="W559" s="154">
        <v>21.266973721092047</v>
      </c>
      <c r="X559" s="154">
        <v>1.7134124327764351</v>
      </c>
      <c r="Y559" s="154">
        <v>471.13663273738956</v>
      </c>
      <c r="Z559" s="154">
        <v>3.8212161005245102</v>
      </c>
      <c r="AC559" s="28" t="s">
        <v>421</v>
      </c>
      <c r="AD559" s="28" t="s">
        <v>421</v>
      </c>
      <c r="AE559" s="9" t="s">
        <v>1626</v>
      </c>
      <c r="AF559" s="28" t="s">
        <v>1626</v>
      </c>
      <c r="AG559" s="28">
        <v>1.2950999999999999</v>
      </c>
      <c r="AH559" s="28">
        <v>32.6633</v>
      </c>
      <c r="AI559" s="28" t="s">
        <v>1626</v>
      </c>
      <c r="AJ559" s="28" t="s">
        <v>1626</v>
      </c>
      <c r="AK559" s="28" t="s">
        <v>1626</v>
      </c>
      <c r="AL559" s="28">
        <v>64.753399999999999</v>
      </c>
      <c r="AM559" s="28" t="s">
        <v>1626</v>
      </c>
      <c r="AN559" s="28">
        <v>8.8400000000000006E-2</v>
      </c>
      <c r="AO559" s="28" t="s">
        <v>1626</v>
      </c>
      <c r="AP559" s="156">
        <f t="shared" si="8"/>
        <v>98.80019999999999</v>
      </c>
    </row>
    <row r="560" spans="1:42" x14ac:dyDescent="0.2">
      <c r="A560" s="9" t="s">
        <v>1523</v>
      </c>
      <c r="B560" s="9" t="s">
        <v>1524</v>
      </c>
      <c r="C560" s="9" t="s">
        <v>139</v>
      </c>
      <c r="D560" s="9" t="s">
        <v>144</v>
      </c>
      <c r="E560" s="154">
        <v>405447.53501263511</v>
      </c>
      <c r="F560" s="154">
        <v>399171.37734185648</v>
      </c>
      <c r="G560" s="154">
        <v>2.9479625490715899</v>
      </c>
      <c r="H560" s="154">
        <v>1115.6550218314194</v>
      </c>
      <c r="I560" s="154">
        <v>12.001201397043845</v>
      </c>
      <c r="J560" s="154">
        <v>3.2349350168143172</v>
      </c>
      <c r="K560" s="154">
        <v>651989</v>
      </c>
      <c r="L560" s="154">
        <v>653714.84414022416</v>
      </c>
      <c r="M560" s="154">
        <v>0.84457631194274985</v>
      </c>
      <c r="N560" s="154" t="s">
        <v>421</v>
      </c>
      <c r="O560" s="154" t="s">
        <v>421</v>
      </c>
      <c r="P560" s="154">
        <v>1.6674581915632263</v>
      </c>
      <c r="Q560" s="154">
        <v>7.5999609556882772E-2</v>
      </c>
      <c r="R560" s="154">
        <v>16593.14999694793</v>
      </c>
      <c r="S560" s="154">
        <v>0.29008616734107034</v>
      </c>
      <c r="T560" s="154">
        <v>0.25386223310945938</v>
      </c>
      <c r="U560" s="154">
        <v>0.32418639316746489</v>
      </c>
      <c r="V560" s="154">
        <v>1.247018216151186</v>
      </c>
      <c r="W560" s="154">
        <v>15.503329608940779</v>
      </c>
      <c r="X560" s="154" t="s">
        <v>421</v>
      </c>
      <c r="Y560" s="154">
        <v>0.96837280847084739</v>
      </c>
      <c r="Z560" s="154">
        <v>0.28922303574849817</v>
      </c>
      <c r="AC560" s="28" t="s">
        <v>421</v>
      </c>
      <c r="AD560" s="28" t="s">
        <v>421</v>
      </c>
      <c r="AE560" s="9" t="s">
        <v>1626</v>
      </c>
      <c r="AF560" s="28" t="s">
        <v>1626</v>
      </c>
      <c r="AG560" s="28">
        <v>1.4033</v>
      </c>
      <c r="AH560" s="28">
        <v>32.653300000000002</v>
      </c>
      <c r="AI560" s="28" t="s">
        <v>1626</v>
      </c>
      <c r="AJ560" s="28" t="s">
        <v>1626</v>
      </c>
      <c r="AK560" s="28" t="s">
        <v>1626</v>
      </c>
      <c r="AL560" s="28">
        <v>65.198899999999995</v>
      </c>
      <c r="AM560" s="28" t="s">
        <v>1626</v>
      </c>
      <c r="AN560" s="28">
        <v>0.17219999999999999</v>
      </c>
      <c r="AO560" s="28" t="s">
        <v>1626</v>
      </c>
      <c r="AP560" s="156">
        <f t="shared" si="8"/>
        <v>99.427700000000002</v>
      </c>
    </row>
    <row r="561" spans="1:42" x14ac:dyDescent="0.2">
      <c r="A561" s="9" t="s">
        <v>1525</v>
      </c>
      <c r="B561" s="9" t="s">
        <v>1526</v>
      </c>
      <c r="C561" s="9" t="s">
        <v>139</v>
      </c>
      <c r="D561" s="9" t="s">
        <v>144</v>
      </c>
      <c r="E561" s="154">
        <v>402665.75895958749</v>
      </c>
      <c r="F561" s="154">
        <v>403185.51703016309</v>
      </c>
      <c r="G561" s="154">
        <v>1.2960649157375819</v>
      </c>
      <c r="H561" s="154">
        <v>654.27906518474697</v>
      </c>
      <c r="I561" s="154">
        <v>13.454598030368857</v>
      </c>
      <c r="J561" s="154">
        <v>653.60788155827515</v>
      </c>
      <c r="K561" s="154">
        <v>660017</v>
      </c>
      <c r="L561" s="154">
        <v>645820.61846782535</v>
      </c>
      <c r="M561" s="154">
        <v>348.68849178581542</v>
      </c>
      <c r="N561" s="154">
        <v>5.2038417619198905</v>
      </c>
      <c r="O561" s="154">
        <v>12.223259425655886</v>
      </c>
      <c r="P561" s="154">
        <v>1.9893146463390325</v>
      </c>
      <c r="Q561" s="154">
        <v>70.510808302891377</v>
      </c>
      <c r="R561" s="154">
        <v>5657.2809238462323</v>
      </c>
      <c r="S561" s="154">
        <v>58.535931665776417</v>
      </c>
      <c r="T561" s="154">
        <v>84.657395676863516</v>
      </c>
      <c r="U561" s="154">
        <v>87.735959842875829</v>
      </c>
      <c r="V561" s="154">
        <v>593.56073974076935</v>
      </c>
      <c r="W561" s="154">
        <v>8.8085171233839823</v>
      </c>
      <c r="X561" s="154">
        <v>0.78213684501352809</v>
      </c>
      <c r="Y561" s="154">
        <v>179.90929429308721</v>
      </c>
      <c r="Z561" s="154">
        <v>58.24809652047508</v>
      </c>
      <c r="AC561" s="28" t="s">
        <v>421</v>
      </c>
      <c r="AD561" s="28" t="s">
        <v>421</v>
      </c>
      <c r="AE561" s="9" t="s">
        <v>1626</v>
      </c>
      <c r="AF561" s="28" t="s">
        <v>1626</v>
      </c>
      <c r="AG561" s="28">
        <v>0.35899999999999999</v>
      </c>
      <c r="AH561" s="28">
        <v>32.779800000000002</v>
      </c>
      <c r="AI561" s="28" t="s">
        <v>1626</v>
      </c>
      <c r="AJ561" s="28" t="s">
        <v>1626</v>
      </c>
      <c r="AK561" s="28" t="s">
        <v>1626</v>
      </c>
      <c r="AL561" s="28">
        <v>66.0017</v>
      </c>
      <c r="AM561" s="28" t="s">
        <v>1626</v>
      </c>
      <c r="AN561" s="28">
        <v>0.12180000000000001</v>
      </c>
      <c r="AO561" s="28" t="s">
        <v>1626</v>
      </c>
      <c r="AP561" s="156">
        <f t="shared" si="8"/>
        <v>99.262299999999996</v>
      </c>
    </row>
    <row r="562" spans="1:42" x14ac:dyDescent="0.2">
      <c r="A562" s="9" t="s">
        <v>1527</v>
      </c>
      <c r="B562" s="9" t="s">
        <v>1528</v>
      </c>
      <c r="C562" s="9" t="s">
        <v>139</v>
      </c>
      <c r="D562" s="9" t="s">
        <v>144</v>
      </c>
      <c r="E562" s="154">
        <v>397668.96543451509</v>
      </c>
      <c r="F562" s="154">
        <v>398898.67753095337</v>
      </c>
      <c r="G562" s="154">
        <v>5.3348790658279821</v>
      </c>
      <c r="H562" s="154">
        <v>1702.9644602907204</v>
      </c>
      <c r="I562" s="154">
        <v>7.9039408503391329</v>
      </c>
      <c r="J562" s="154">
        <v>2243.6425636785598</v>
      </c>
      <c r="K562" s="154">
        <v>639968</v>
      </c>
      <c r="L562" s="154">
        <v>633069.69095352176</v>
      </c>
      <c r="M562" s="154">
        <v>56.48434846991406</v>
      </c>
      <c r="N562" s="154">
        <v>2.5109953184983311</v>
      </c>
      <c r="O562" s="154">
        <v>26.328756176297674</v>
      </c>
      <c r="P562" s="154">
        <v>4.4424456057184711</v>
      </c>
      <c r="Q562" s="154">
        <v>133.47273193445434</v>
      </c>
      <c r="R562" s="154">
        <v>16480.793118291476</v>
      </c>
      <c r="S562" s="154">
        <v>74.586774813887601</v>
      </c>
      <c r="T562" s="154">
        <v>57.517537695394438</v>
      </c>
      <c r="U562" s="154">
        <v>59.052918981415388</v>
      </c>
      <c r="V562" s="154">
        <v>2555.3012699299993</v>
      </c>
      <c r="W562" s="154">
        <v>6.4664057276102893</v>
      </c>
      <c r="X562" s="154">
        <v>1.4874139230634398</v>
      </c>
      <c r="Y562" s="154">
        <v>1622.1405760460755</v>
      </c>
      <c r="Z562" s="154">
        <v>74.391215185723254</v>
      </c>
      <c r="AC562" s="28" t="s">
        <v>421</v>
      </c>
      <c r="AD562" s="28" t="s">
        <v>421</v>
      </c>
      <c r="AE562" s="9" t="s">
        <v>1626</v>
      </c>
      <c r="AF562" s="28" t="s">
        <v>1626</v>
      </c>
      <c r="AG562" s="28">
        <v>1.7867999999999999</v>
      </c>
      <c r="AH562" s="28">
        <v>32.542700000000004</v>
      </c>
      <c r="AI562" s="28" t="s">
        <v>1626</v>
      </c>
      <c r="AJ562" s="28" t="s">
        <v>1626</v>
      </c>
      <c r="AK562" s="28" t="s">
        <v>1626</v>
      </c>
      <c r="AL562" s="28">
        <v>63.9968</v>
      </c>
      <c r="AM562" s="28" t="s">
        <v>1626</v>
      </c>
      <c r="AN562" s="28">
        <v>0.10920000000000001</v>
      </c>
      <c r="AO562" s="28" t="s">
        <v>1626</v>
      </c>
      <c r="AP562" s="156">
        <f t="shared" si="8"/>
        <v>98.435500000000005</v>
      </c>
    </row>
    <row r="563" spans="1:42" x14ac:dyDescent="0.2">
      <c r="A563" s="9" t="s">
        <v>1529</v>
      </c>
      <c r="B563" s="9" t="s">
        <v>1530</v>
      </c>
      <c r="C563" s="9" t="s">
        <v>139</v>
      </c>
      <c r="D563" s="9" t="s">
        <v>144</v>
      </c>
      <c r="E563" s="154">
        <v>400297.8623949071</v>
      </c>
      <c r="F563" s="154">
        <v>324085.62270996888</v>
      </c>
      <c r="G563" s="154">
        <v>0.95914696873655736</v>
      </c>
      <c r="H563" s="154">
        <v>366.59922696285707</v>
      </c>
      <c r="I563" s="154">
        <v>6.8821694239855473</v>
      </c>
      <c r="J563" s="154">
        <v>474.10877019253485</v>
      </c>
      <c r="K563" s="154">
        <v>652863</v>
      </c>
      <c r="L563" s="154">
        <v>647206.30227241712</v>
      </c>
      <c r="M563" s="154">
        <v>181.35436174055309</v>
      </c>
      <c r="N563" s="154">
        <v>2.7920490381334213</v>
      </c>
      <c r="O563" s="154">
        <v>9.801604137244011</v>
      </c>
      <c r="P563" s="154" t="s">
        <v>421</v>
      </c>
      <c r="Q563" s="154">
        <v>55.921747437473762</v>
      </c>
      <c r="R563" s="154">
        <v>4083.773957902526</v>
      </c>
      <c r="S563" s="154">
        <v>22.136059553521889</v>
      </c>
      <c r="T563" s="154">
        <v>25.860726349889816</v>
      </c>
      <c r="U563" s="154">
        <v>30.520874871339938</v>
      </c>
      <c r="V563" s="154">
        <v>589.33060450358562</v>
      </c>
      <c r="W563" s="154">
        <v>6.5796916490923598</v>
      </c>
      <c r="X563" s="154">
        <v>0.32299288997416853</v>
      </c>
      <c r="Y563" s="154">
        <v>252.70697088395812</v>
      </c>
      <c r="Z563" s="154">
        <v>22.048133083932264</v>
      </c>
      <c r="AC563" s="28" t="s">
        <v>421</v>
      </c>
      <c r="AD563" s="28" t="s">
        <v>421</v>
      </c>
      <c r="AE563" s="9" t="s">
        <v>1626</v>
      </c>
      <c r="AF563" s="28" t="s">
        <v>1626</v>
      </c>
      <c r="AG563" s="28">
        <v>0.41310000000000002</v>
      </c>
      <c r="AH563" s="28">
        <v>32.678199999999997</v>
      </c>
      <c r="AI563" s="28" t="s">
        <v>1626</v>
      </c>
      <c r="AJ563" s="28" t="s">
        <v>1626</v>
      </c>
      <c r="AK563" s="28" t="s">
        <v>1626</v>
      </c>
      <c r="AL563" s="28">
        <v>65.286299999999997</v>
      </c>
      <c r="AM563" s="28" t="s">
        <v>1626</v>
      </c>
      <c r="AN563" s="28">
        <v>9.35E-2</v>
      </c>
      <c r="AO563" s="28" t="s">
        <v>1626</v>
      </c>
      <c r="AP563" s="156">
        <f t="shared" si="8"/>
        <v>98.471100000000007</v>
      </c>
    </row>
    <row r="564" spans="1:42" x14ac:dyDescent="0.2">
      <c r="A564" s="9" t="s">
        <v>1531</v>
      </c>
      <c r="B564" s="9" t="s">
        <v>1532</v>
      </c>
      <c r="C564" s="9" t="s">
        <v>139</v>
      </c>
      <c r="D564" s="9" t="s">
        <v>144</v>
      </c>
      <c r="E564" s="154">
        <v>373946.04508586234</v>
      </c>
      <c r="F564" s="154">
        <v>366960.75759531534</v>
      </c>
      <c r="G564" s="154">
        <v>5.7876498162108527</v>
      </c>
      <c r="H564" s="154">
        <v>2101.1383576423609</v>
      </c>
      <c r="I564" s="154">
        <v>19.927977163292244</v>
      </c>
      <c r="J564" s="154">
        <v>105.43125753781949</v>
      </c>
      <c r="K564" s="154">
        <v>646915.99999999988</v>
      </c>
      <c r="L564" s="154">
        <v>643266.92869581608</v>
      </c>
      <c r="M564" s="154">
        <v>58.562846433411686</v>
      </c>
      <c r="N564" s="154">
        <v>1.9858532546939229</v>
      </c>
      <c r="O564" s="154">
        <v>2.4143048269178493</v>
      </c>
      <c r="P564" s="154">
        <v>2.1453862078068227</v>
      </c>
      <c r="Q564" s="154">
        <v>7.8284404426888035</v>
      </c>
      <c r="R564" s="154">
        <v>16782.799881473115</v>
      </c>
      <c r="S564" s="154" t="s">
        <v>421</v>
      </c>
      <c r="T564" s="154">
        <v>1.0084345311616372</v>
      </c>
      <c r="U564" s="154">
        <v>0.75642421752907107</v>
      </c>
      <c r="V564" s="154">
        <v>93.432111596633916</v>
      </c>
      <c r="W564" s="154">
        <v>11.466881654580645</v>
      </c>
      <c r="X564" s="154">
        <v>7.7563116702678292E-2</v>
      </c>
      <c r="Y564" s="154">
        <v>16.56953469654125</v>
      </c>
      <c r="Z564" s="154" t="s">
        <v>421</v>
      </c>
      <c r="AC564" s="28" t="s">
        <v>421</v>
      </c>
      <c r="AD564" s="28" t="s">
        <v>421</v>
      </c>
      <c r="AE564" s="9" t="s">
        <v>1626</v>
      </c>
      <c r="AF564" s="28" t="s">
        <v>1626</v>
      </c>
      <c r="AG564" s="28">
        <v>1.6012</v>
      </c>
      <c r="AH564" s="28">
        <v>32.840200000000003</v>
      </c>
      <c r="AI564" s="28" t="s">
        <v>1626</v>
      </c>
      <c r="AJ564" s="28" t="s">
        <v>1626</v>
      </c>
      <c r="AK564" s="28" t="s">
        <v>1626</v>
      </c>
      <c r="AL564" s="28">
        <v>64.691599999999994</v>
      </c>
      <c r="AM564" s="28" t="s">
        <v>1626</v>
      </c>
      <c r="AN564" s="28">
        <v>0.3931</v>
      </c>
      <c r="AO564" s="28" t="s">
        <v>1626</v>
      </c>
      <c r="AP564" s="156">
        <f t="shared" si="8"/>
        <v>99.5261</v>
      </c>
    </row>
    <row r="565" spans="1:42" x14ac:dyDescent="0.2">
      <c r="A565" s="9" t="s">
        <v>1533</v>
      </c>
      <c r="B565" s="9" t="s">
        <v>1534</v>
      </c>
      <c r="C565" s="9" t="s">
        <v>139</v>
      </c>
      <c r="D565" s="9" t="s">
        <v>144</v>
      </c>
      <c r="E565" s="154">
        <v>399346.74035905843</v>
      </c>
      <c r="F565" s="154">
        <v>400432.83070305182</v>
      </c>
      <c r="G565" s="154">
        <v>1.877758196111148</v>
      </c>
      <c r="H565" s="154">
        <v>1135.9834972619944</v>
      </c>
      <c r="I565" s="154">
        <v>25.762932888898014</v>
      </c>
      <c r="J565" s="154">
        <v>444.02971172273163</v>
      </c>
      <c r="K565" s="154">
        <v>658323</v>
      </c>
      <c r="L565" s="154">
        <v>657105.02862546116</v>
      </c>
      <c r="M565" s="154">
        <v>566.597656105993</v>
      </c>
      <c r="N565" s="154">
        <v>3.9389876018795067</v>
      </c>
      <c r="O565" s="154">
        <v>4.2473889262373081</v>
      </c>
      <c r="P565" s="154">
        <v>4.4396585330663205</v>
      </c>
      <c r="Q565" s="154">
        <v>15.232135700480576</v>
      </c>
      <c r="R565" s="154">
        <v>2082.3397254112524</v>
      </c>
      <c r="S565" s="154">
        <v>2.5384435983174292E-2</v>
      </c>
      <c r="T565" s="154">
        <v>1.6146340800366408</v>
      </c>
      <c r="U565" s="154">
        <v>1.627337907502391</v>
      </c>
      <c r="V565" s="154">
        <v>173.32294429961559</v>
      </c>
      <c r="W565" s="154">
        <v>10.454189443502521</v>
      </c>
      <c r="X565" s="154">
        <v>0.20346059896849722</v>
      </c>
      <c r="Y565" s="154">
        <v>21.901329302796842</v>
      </c>
      <c r="Z565" s="154">
        <v>1.9894680111049712E-2</v>
      </c>
      <c r="AC565" s="28" t="s">
        <v>421</v>
      </c>
      <c r="AD565" s="28" t="s">
        <v>421</v>
      </c>
      <c r="AE565" s="9" t="s">
        <v>1626</v>
      </c>
      <c r="AF565" s="28" t="s">
        <v>1626</v>
      </c>
      <c r="AG565" s="28">
        <v>0.29630000000000001</v>
      </c>
      <c r="AH565" s="28">
        <v>32.796300000000002</v>
      </c>
      <c r="AI565" s="28" t="s">
        <v>1626</v>
      </c>
      <c r="AJ565" s="28" t="s">
        <v>1626</v>
      </c>
      <c r="AK565" s="28" t="s">
        <v>1626</v>
      </c>
      <c r="AL565" s="28">
        <v>65.832300000000004</v>
      </c>
      <c r="AM565" s="28" t="s">
        <v>1626</v>
      </c>
      <c r="AN565" s="28">
        <v>0.20230000000000001</v>
      </c>
      <c r="AO565" s="28" t="s">
        <v>1626</v>
      </c>
      <c r="AP565" s="156">
        <f t="shared" si="8"/>
        <v>99.127200000000002</v>
      </c>
    </row>
    <row r="566" spans="1:42" x14ac:dyDescent="0.2">
      <c r="A566" s="9" t="s">
        <v>1535</v>
      </c>
      <c r="B566" s="9" t="s">
        <v>1536</v>
      </c>
      <c r="C566" s="9" t="s">
        <v>139</v>
      </c>
      <c r="D566" s="9" t="s">
        <v>144</v>
      </c>
      <c r="E566" s="154">
        <v>416457.42189233052</v>
      </c>
      <c r="F566" s="154">
        <v>339949.99803363136</v>
      </c>
      <c r="G566" s="154">
        <v>4.2698041435165974</v>
      </c>
      <c r="H566" s="154">
        <v>1314.3240070693837</v>
      </c>
      <c r="I566" s="154">
        <v>16.200134121649672</v>
      </c>
      <c r="J566" s="154">
        <v>1215.0701617236239</v>
      </c>
      <c r="K566" s="154">
        <v>656395</v>
      </c>
      <c r="L566" s="154">
        <v>652439.62469433411</v>
      </c>
      <c r="M566" s="154">
        <v>343.22960504312346</v>
      </c>
      <c r="N566" s="154">
        <v>10.385568587419264</v>
      </c>
      <c r="O566" s="154">
        <v>33.9001935662248</v>
      </c>
      <c r="P566" s="154" t="s">
        <v>421</v>
      </c>
      <c r="Q566" s="154">
        <v>172.47350018392086</v>
      </c>
      <c r="R566" s="154">
        <v>7913.4011305692375</v>
      </c>
      <c r="S566" s="154" t="s">
        <v>421</v>
      </c>
      <c r="T566" s="154">
        <v>4.9632340845965341</v>
      </c>
      <c r="U566" s="154">
        <v>5.6808985638292997</v>
      </c>
      <c r="V566" s="154">
        <v>1552.9291871500795</v>
      </c>
      <c r="W566" s="154">
        <v>34.922661224062139</v>
      </c>
      <c r="X566" s="154">
        <v>1.0753195468949246</v>
      </c>
      <c r="Y566" s="154">
        <v>311.85953782195486</v>
      </c>
      <c r="Z566" s="154" t="s">
        <v>421</v>
      </c>
      <c r="AC566" s="28" t="s">
        <v>421</v>
      </c>
      <c r="AD566" s="28" t="s">
        <v>421</v>
      </c>
      <c r="AE566" s="9" t="s">
        <v>1626</v>
      </c>
      <c r="AF566" s="28" t="s">
        <v>1626</v>
      </c>
      <c r="AG566" s="28">
        <v>0.35239999999999999</v>
      </c>
      <c r="AH566" s="28">
        <v>32.911900000000003</v>
      </c>
      <c r="AI566" s="28" t="s">
        <v>1626</v>
      </c>
      <c r="AJ566" s="28" t="s">
        <v>1626</v>
      </c>
      <c r="AK566" s="28" t="s">
        <v>1626</v>
      </c>
      <c r="AL566" s="28">
        <v>65.639499999999998</v>
      </c>
      <c r="AM566" s="28" t="s">
        <v>1626</v>
      </c>
      <c r="AN566" s="28">
        <v>0.15720000000000001</v>
      </c>
      <c r="AO566" s="28" t="s">
        <v>1626</v>
      </c>
      <c r="AP566" s="156">
        <f t="shared" si="8"/>
        <v>99.061000000000007</v>
      </c>
    </row>
    <row r="567" spans="1:42" x14ac:dyDescent="0.2">
      <c r="A567" s="9" t="s">
        <v>1537</v>
      </c>
      <c r="B567" s="9" t="s">
        <v>1538</v>
      </c>
      <c r="C567" s="9" t="s">
        <v>139</v>
      </c>
      <c r="D567" s="9" t="s">
        <v>144</v>
      </c>
      <c r="E567" s="154">
        <v>409921.88886234863</v>
      </c>
      <c r="F567" s="154">
        <v>345498.1323709414</v>
      </c>
      <c r="G567" s="154">
        <v>2.1741014708296187</v>
      </c>
      <c r="H567" s="154">
        <v>1033.5694284784313</v>
      </c>
      <c r="I567" s="154">
        <v>15.648916415460643</v>
      </c>
      <c r="J567" s="154">
        <v>1047.6519385853817</v>
      </c>
      <c r="K567" s="154">
        <v>659325</v>
      </c>
      <c r="L567" s="154">
        <v>662497.14313812263</v>
      </c>
      <c r="M567" s="154">
        <v>431.82549346656384</v>
      </c>
      <c r="N567" s="154">
        <v>13.641908021920541</v>
      </c>
      <c r="O567" s="154">
        <v>22.503978150209317</v>
      </c>
      <c r="P567" s="154">
        <v>4.7209317466046041</v>
      </c>
      <c r="Q567" s="154">
        <v>80.376442130319049</v>
      </c>
      <c r="R567" s="154">
        <v>6003.428571804403</v>
      </c>
      <c r="S567" s="154">
        <v>8.0409613372336892</v>
      </c>
      <c r="T567" s="154">
        <v>90.708748787888183</v>
      </c>
      <c r="U567" s="154">
        <v>93.04220706090554</v>
      </c>
      <c r="V567" s="154">
        <v>828.71110208021776</v>
      </c>
      <c r="W567" s="154">
        <v>16.134031563711712</v>
      </c>
      <c r="X567" s="154">
        <v>0.7565099998745658</v>
      </c>
      <c r="Y567" s="154">
        <v>212.70950578388729</v>
      </c>
      <c r="Z567" s="154">
        <v>7.732551591354869</v>
      </c>
      <c r="AC567" s="28" t="s">
        <v>421</v>
      </c>
      <c r="AD567" s="28" t="s">
        <v>421</v>
      </c>
      <c r="AE567" s="9" t="s">
        <v>1626</v>
      </c>
      <c r="AF567" s="28" t="s">
        <v>1626</v>
      </c>
      <c r="AG567" s="28">
        <v>0.60070000000000001</v>
      </c>
      <c r="AH567" s="28">
        <v>32.854999999999997</v>
      </c>
      <c r="AI567" s="28" t="s">
        <v>1626</v>
      </c>
      <c r="AJ567" s="28" t="s">
        <v>1626</v>
      </c>
      <c r="AK567" s="28" t="s">
        <v>1626</v>
      </c>
      <c r="AL567" s="28">
        <v>65.932500000000005</v>
      </c>
      <c r="AM567" s="28" t="s">
        <v>1626</v>
      </c>
      <c r="AN567" s="28">
        <v>0.13170000000000001</v>
      </c>
      <c r="AO567" s="28" t="s">
        <v>1626</v>
      </c>
      <c r="AP567" s="156">
        <f t="shared" si="8"/>
        <v>99.519900000000007</v>
      </c>
    </row>
    <row r="568" spans="1:42" x14ac:dyDescent="0.2">
      <c r="A568" s="9" t="s">
        <v>1539</v>
      </c>
      <c r="B568" s="9" t="s">
        <v>1540</v>
      </c>
      <c r="C568" s="9" t="s">
        <v>139</v>
      </c>
      <c r="D568" s="9" t="s">
        <v>144</v>
      </c>
      <c r="E568" s="154">
        <v>397266.32440844271</v>
      </c>
      <c r="F568" s="154">
        <v>380854.55521258083</v>
      </c>
      <c r="G568" s="154">
        <v>1.4767467114761668</v>
      </c>
      <c r="H568" s="154">
        <v>906.5541559470928</v>
      </c>
      <c r="I568" s="154">
        <v>19.854637013774386</v>
      </c>
      <c r="J568" s="154">
        <v>319.98866854171268</v>
      </c>
      <c r="K568" s="154">
        <v>659201.99999999988</v>
      </c>
      <c r="L568" s="154">
        <v>658867.01592663268</v>
      </c>
      <c r="M568" s="154">
        <v>280.20943436365133</v>
      </c>
      <c r="N568" s="154">
        <v>2.2844244979467399</v>
      </c>
      <c r="O568" s="154">
        <v>5.4655387953808212</v>
      </c>
      <c r="P568" s="154">
        <v>2.8619764222354829</v>
      </c>
      <c r="Q568" s="154">
        <v>17.842039409976465</v>
      </c>
      <c r="R568" s="154">
        <v>2741.7507637152935</v>
      </c>
      <c r="S568" s="154">
        <v>7.3433221166121152</v>
      </c>
      <c r="T568" s="154">
        <v>18.87946963372864</v>
      </c>
      <c r="U568" s="154">
        <v>16.941982352663295</v>
      </c>
      <c r="V568" s="154">
        <v>200.28759655493658</v>
      </c>
      <c r="W568" s="154">
        <v>11.235847295805261</v>
      </c>
      <c r="X568" s="154">
        <v>0.11536830228183448</v>
      </c>
      <c r="Y568" s="154">
        <v>29.498370884569617</v>
      </c>
      <c r="Z568" s="154">
        <v>7.2791319198574378</v>
      </c>
      <c r="AC568" s="28" t="s">
        <v>421</v>
      </c>
      <c r="AD568" s="28" t="s">
        <v>421</v>
      </c>
      <c r="AE568" s="9" t="s">
        <v>1626</v>
      </c>
      <c r="AF568" s="28" t="s">
        <v>1626</v>
      </c>
      <c r="AG568" s="28">
        <v>0.45650000000000002</v>
      </c>
      <c r="AH568" s="28">
        <v>33.602899999999998</v>
      </c>
      <c r="AI568" s="28" t="s">
        <v>1626</v>
      </c>
      <c r="AJ568" s="28" t="s">
        <v>1626</v>
      </c>
      <c r="AK568" s="28" t="s">
        <v>1626</v>
      </c>
      <c r="AL568" s="28">
        <v>65.920199999999994</v>
      </c>
      <c r="AM568" s="28" t="s">
        <v>1626</v>
      </c>
      <c r="AN568" s="28">
        <v>0.20100000000000001</v>
      </c>
      <c r="AO568" s="28" t="s">
        <v>1626</v>
      </c>
      <c r="AP568" s="156">
        <f t="shared" si="8"/>
        <v>100.18059999999998</v>
      </c>
    </row>
    <row r="569" spans="1:42" x14ac:dyDescent="0.2">
      <c r="A569" s="9" t="s">
        <v>1541</v>
      </c>
      <c r="B569" s="9" t="s">
        <v>1542</v>
      </c>
      <c r="C569" s="9" t="s">
        <v>139</v>
      </c>
      <c r="D569" s="9" t="s">
        <v>145</v>
      </c>
      <c r="E569" s="154">
        <v>319378.32019555132</v>
      </c>
      <c r="F569" s="154">
        <v>314876.63256406755</v>
      </c>
      <c r="G569" s="154">
        <v>5.9059992637875558</v>
      </c>
      <c r="H569" s="154">
        <v>3219.0991767797673</v>
      </c>
      <c r="I569" s="154">
        <v>25.929637769338672</v>
      </c>
      <c r="J569" s="154">
        <v>2090.5029350621771</v>
      </c>
      <c r="K569" s="154">
        <v>636922</v>
      </c>
      <c r="L569" s="154">
        <v>642781.47882554389</v>
      </c>
      <c r="M569" s="154">
        <v>658.2303299171565</v>
      </c>
      <c r="N569" s="154">
        <v>10.397468211530382</v>
      </c>
      <c r="O569" s="154">
        <v>31.064723800342673</v>
      </c>
      <c r="P569" s="154">
        <v>1.9122749340344751</v>
      </c>
      <c r="Q569" s="154">
        <v>122.97782016249688</v>
      </c>
      <c r="R569" s="154">
        <v>17749.780853359855</v>
      </c>
      <c r="S569" s="154">
        <v>632.33364610932426</v>
      </c>
      <c r="T569" s="154">
        <v>9.4415452957176278</v>
      </c>
      <c r="U569" s="154">
        <v>10.06811892046928</v>
      </c>
      <c r="V569" s="154">
        <v>1021.3793070743186</v>
      </c>
      <c r="W569" s="154">
        <v>17.998173259869674</v>
      </c>
      <c r="X569" s="154">
        <v>0.29236110922189923</v>
      </c>
      <c r="Y569" s="154">
        <v>286.08433130915853</v>
      </c>
      <c r="Z569" s="154">
        <v>632.30154485531887</v>
      </c>
      <c r="AC569" s="28" t="s">
        <v>421</v>
      </c>
      <c r="AD569" s="28" t="s">
        <v>421</v>
      </c>
      <c r="AE569" s="9" t="s">
        <v>1626</v>
      </c>
      <c r="AF569" s="28" t="s">
        <v>1626</v>
      </c>
      <c r="AG569" s="28">
        <v>1.8926000000000001</v>
      </c>
      <c r="AH569" s="28">
        <v>32.851199999999999</v>
      </c>
      <c r="AI569" s="28" t="s">
        <v>1626</v>
      </c>
      <c r="AJ569" s="28" t="s">
        <v>1626</v>
      </c>
      <c r="AK569" s="28" t="s">
        <v>1626</v>
      </c>
      <c r="AL569" s="28">
        <v>63.6922</v>
      </c>
      <c r="AM569" s="28" t="s">
        <v>1626</v>
      </c>
      <c r="AN569" s="28">
        <v>0.61970000000000003</v>
      </c>
      <c r="AO569" s="28" t="s">
        <v>1626</v>
      </c>
      <c r="AP569" s="156">
        <f t="shared" si="8"/>
        <v>99.055700000000002</v>
      </c>
    </row>
    <row r="570" spans="1:42" x14ac:dyDescent="0.2">
      <c r="A570" s="9" t="s">
        <v>1543</v>
      </c>
      <c r="B570" s="9" t="s">
        <v>1544</v>
      </c>
      <c r="C570" s="9" t="s">
        <v>139</v>
      </c>
      <c r="D570" s="9" t="s">
        <v>145</v>
      </c>
      <c r="E570" s="154">
        <v>328052.40700504632</v>
      </c>
      <c r="F570" s="154">
        <v>324390.97159384255</v>
      </c>
      <c r="G570" s="154">
        <v>3.4891339781723105</v>
      </c>
      <c r="H570" s="154">
        <v>2281.7175597276246</v>
      </c>
      <c r="I570" s="154">
        <v>24.400183925959141</v>
      </c>
      <c r="J570" s="154">
        <v>3327.685666102409</v>
      </c>
      <c r="K570" s="154">
        <v>646223</v>
      </c>
      <c r="L570" s="154">
        <v>651043.12548263173</v>
      </c>
      <c r="M570" s="154">
        <v>1748.077934339077</v>
      </c>
      <c r="N570" s="154">
        <v>18.644615314393093</v>
      </c>
      <c r="O570" s="154">
        <v>54.80013928181647</v>
      </c>
      <c r="P570" s="154" t="s">
        <v>421</v>
      </c>
      <c r="Q570" s="154">
        <v>209.40751118032367</v>
      </c>
      <c r="R570" s="154">
        <v>12743.870034276228</v>
      </c>
      <c r="S570" s="154">
        <v>276.62297887366873</v>
      </c>
      <c r="T570" s="154">
        <v>25.450955116097852</v>
      </c>
      <c r="U570" s="154">
        <v>26.176511411518934</v>
      </c>
      <c r="V570" s="154">
        <v>2593.5779977926068</v>
      </c>
      <c r="W570" s="154">
        <v>13.339468913348783</v>
      </c>
      <c r="X570" s="154">
        <v>0.52032689501012475</v>
      </c>
      <c r="Y570" s="154">
        <v>396.62794593359877</v>
      </c>
      <c r="Z570" s="154">
        <v>276.53644562627397</v>
      </c>
      <c r="AC570" s="28" t="s">
        <v>421</v>
      </c>
      <c r="AD570" s="28" t="s">
        <v>421</v>
      </c>
      <c r="AE570" s="9" t="s">
        <v>1626</v>
      </c>
      <c r="AF570" s="28" t="s">
        <v>1626</v>
      </c>
      <c r="AG570" s="28">
        <v>0.49330000000000002</v>
      </c>
      <c r="AH570" s="28">
        <v>32.677300000000002</v>
      </c>
      <c r="AI570" s="28" t="s">
        <v>1626</v>
      </c>
      <c r="AJ570" s="28" t="s">
        <v>1626</v>
      </c>
      <c r="AK570" s="28" t="s">
        <v>1626</v>
      </c>
      <c r="AL570" s="28">
        <v>64.622299999999996</v>
      </c>
      <c r="AM570" s="28" t="s">
        <v>1626</v>
      </c>
      <c r="AN570" s="28">
        <v>0.26340000000000002</v>
      </c>
      <c r="AO570" s="28" t="s">
        <v>1626</v>
      </c>
      <c r="AP570" s="156">
        <f t="shared" si="8"/>
        <v>98.056300000000007</v>
      </c>
    </row>
    <row r="571" spans="1:42" x14ac:dyDescent="0.2">
      <c r="A571" s="9" t="s">
        <v>1545</v>
      </c>
      <c r="B571" s="9" t="s">
        <v>1546</v>
      </c>
      <c r="C571" s="9" t="s">
        <v>139</v>
      </c>
      <c r="D571" s="9" t="s">
        <v>145</v>
      </c>
      <c r="E571" s="154">
        <v>329845.98692231078</v>
      </c>
      <c r="F571" s="154">
        <v>328167.5842566322</v>
      </c>
      <c r="G571" s="154">
        <v>6.7795358791739231</v>
      </c>
      <c r="H571" s="154">
        <v>4137.2754619812622</v>
      </c>
      <c r="I571" s="154">
        <v>36.862890806973681</v>
      </c>
      <c r="J571" s="154">
        <v>2287.3501218139013</v>
      </c>
      <c r="K571" s="154">
        <v>641679</v>
      </c>
      <c r="L571" s="154">
        <v>647874.29331229965</v>
      </c>
      <c r="M571" s="154">
        <v>714.53221987312713</v>
      </c>
      <c r="N571" s="154">
        <v>14.136402771197808</v>
      </c>
      <c r="O571" s="154">
        <v>35.090047814275053</v>
      </c>
      <c r="P571" s="154" t="s">
        <v>421</v>
      </c>
      <c r="Q571" s="154">
        <v>158.61754241261855</v>
      </c>
      <c r="R571" s="154">
        <v>9808.3038280399905</v>
      </c>
      <c r="S571" s="154">
        <v>6.7272711347797859E-2</v>
      </c>
      <c r="T571" s="154">
        <v>0.63489224270170952</v>
      </c>
      <c r="U571" s="154">
        <v>0.84114499371932305</v>
      </c>
      <c r="V571" s="154">
        <v>1246.0056915843325</v>
      </c>
      <c r="W571" s="154">
        <v>16.47858802234623</v>
      </c>
      <c r="X571" s="154">
        <v>0.34379842534229232</v>
      </c>
      <c r="Y571" s="154">
        <v>562.65615768462465</v>
      </c>
      <c r="Z571" s="154">
        <v>6.5114077722612046E-2</v>
      </c>
      <c r="AC571" s="28" t="s">
        <v>421</v>
      </c>
      <c r="AD571" s="28" t="s">
        <v>421</v>
      </c>
      <c r="AE571" s="9" t="s">
        <v>1626</v>
      </c>
      <c r="AF571" s="28" t="s">
        <v>1626</v>
      </c>
      <c r="AG571" s="28">
        <v>0.77470000000000006</v>
      </c>
      <c r="AH571" s="28">
        <v>32.750399999999999</v>
      </c>
      <c r="AI571" s="28" t="s">
        <v>1626</v>
      </c>
      <c r="AJ571" s="28" t="s">
        <v>1626</v>
      </c>
      <c r="AK571" s="28" t="s">
        <v>1626</v>
      </c>
      <c r="AL571" s="28">
        <v>64.167900000000003</v>
      </c>
      <c r="AM571" s="28" t="s">
        <v>1626</v>
      </c>
      <c r="AN571" s="28">
        <v>0.61280000000000001</v>
      </c>
      <c r="AO571" s="28" t="s">
        <v>1626</v>
      </c>
      <c r="AP571" s="156">
        <f t="shared" si="8"/>
        <v>98.305800000000005</v>
      </c>
    </row>
    <row r="572" spans="1:42" x14ac:dyDescent="0.2">
      <c r="A572" s="9" t="s">
        <v>1547</v>
      </c>
      <c r="B572" s="9" t="s">
        <v>1548</v>
      </c>
      <c r="C572" s="9" t="s">
        <v>139</v>
      </c>
      <c r="D572" s="9" t="s">
        <v>145</v>
      </c>
      <c r="E572" s="154">
        <v>338188.55709386239</v>
      </c>
      <c r="F572" s="154">
        <v>334658.58780716587</v>
      </c>
      <c r="G572" s="154">
        <v>1.0869642915342008</v>
      </c>
      <c r="H572" s="154">
        <v>847.98083833065402</v>
      </c>
      <c r="I572" s="154">
        <v>0.2835563853741131</v>
      </c>
      <c r="J572" s="154">
        <v>148.32255796931724</v>
      </c>
      <c r="K572" s="154">
        <v>661885.99999999988</v>
      </c>
      <c r="L572" s="154">
        <v>667449.63458639709</v>
      </c>
      <c r="M572" s="154">
        <v>15.929616124376595</v>
      </c>
      <c r="N572" s="154" t="s">
        <v>421</v>
      </c>
      <c r="O572" s="154">
        <v>0.6246237114546983</v>
      </c>
      <c r="P572" s="154">
        <v>1.983655621470449</v>
      </c>
      <c r="Q572" s="154">
        <v>1.6943491518054088</v>
      </c>
      <c r="R572" s="154">
        <v>1964.5818384139238</v>
      </c>
      <c r="S572" s="154">
        <v>266.67437802247696</v>
      </c>
      <c r="T572" s="154">
        <v>18.938095014198979</v>
      </c>
      <c r="U572" s="154">
        <v>14.719158037148819</v>
      </c>
      <c r="V572" s="154">
        <v>1.124383050395761</v>
      </c>
      <c r="W572" s="154">
        <v>7.1790944925809095</v>
      </c>
      <c r="X572" s="154" t="s">
        <v>421</v>
      </c>
      <c r="Y572" s="154">
        <v>3.7255866869525587</v>
      </c>
      <c r="Z572" s="154">
        <v>266.60998849942871</v>
      </c>
      <c r="AC572" s="28" t="s">
        <v>421</v>
      </c>
      <c r="AD572" s="28" t="s">
        <v>421</v>
      </c>
      <c r="AE572" s="9" t="s">
        <v>1626</v>
      </c>
      <c r="AF572" s="28" t="s">
        <v>1626</v>
      </c>
      <c r="AG572" s="28">
        <v>0.26290000000000002</v>
      </c>
      <c r="AH572" s="28">
        <v>32.890599999999999</v>
      </c>
      <c r="AI572" s="28" t="s">
        <v>1626</v>
      </c>
      <c r="AJ572" s="28" t="s">
        <v>1626</v>
      </c>
      <c r="AK572" s="28" t="s">
        <v>1626</v>
      </c>
      <c r="AL572" s="28">
        <v>66.188599999999994</v>
      </c>
      <c r="AM572" s="28" t="s">
        <v>1626</v>
      </c>
      <c r="AN572" s="28">
        <v>0.1643</v>
      </c>
      <c r="AO572" s="28" t="s">
        <v>1626</v>
      </c>
      <c r="AP572" s="156">
        <f t="shared" si="8"/>
        <v>99.506399999999985</v>
      </c>
    </row>
    <row r="573" spans="1:42" x14ac:dyDescent="0.2">
      <c r="A573" s="9" t="s">
        <v>1549</v>
      </c>
      <c r="B573" s="9" t="s">
        <v>1550</v>
      </c>
      <c r="C573" s="9" t="s">
        <v>139</v>
      </c>
      <c r="D573" s="9" t="s">
        <v>145</v>
      </c>
      <c r="E573" s="154">
        <v>344755.96763625485</v>
      </c>
      <c r="F573" s="154">
        <v>338524.55748259567</v>
      </c>
      <c r="G573" s="154">
        <v>0.8103069866305409</v>
      </c>
      <c r="H573" s="154">
        <v>593.451772655323</v>
      </c>
      <c r="I573" s="154">
        <v>3.1464791118078304</v>
      </c>
      <c r="J573" s="154">
        <v>394.84426698017643</v>
      </c>
      <c r="K573" s="154">
        <v>663760.99999999988</v>
      </c>
      <c r="L573" s="154">
        <v>665675.13614501082</v>
      </c>
      <c r="M573" s="154">
        <v>109.87329977334549</v>
      </c>
      <c r="N573" s="154">
        <v>6.9345237022330162</v>
      </c>
      <c r="O573" s="154">
        <v>4.7808525465490703</v>
      </c>
      <c r="P573" s="154" t="s">
        <v>421</v>
      </c>
      <c r="Q573" s="154">
        <v>23.237303783988903</v>
      </c>
      <c r="R573" s="154">
        <v>2452.5700522758566</v>
      </c>
      <c r="S573" s="154">
        <v>72.219906432197945</v>
      </c>
      <c r="T573" s="154">
        <v>292.53561788021381</v>
      </c>
      <c r="U573" s="154">
        <v>296.66996165079985</v>
      </c>
      <c r="V573" s="154">
        <v>69.18089267647332</v>
      </c>
      <c r="W573" s="154">
        <v>10.149841209405487</v>
      </c>
      <c r="X573" s="154">
        <v>0.31852037078247847</v>
      </c>
      <c r="Y573" s="154">
        <v>30.188079305758997</v>
      </c>
      <c r="Z573" s="154">
        <v>71.225285331405217</v>
      </c>
      <c r="AC573" s="28" t="s">
        <v>421</v>
      </c>
      <c r="AD573" s="28" t="s">
        <v>421</v>
      </c>
      <c r="AE573" s="9" t="s">
        <v>1626</v>
      </c>
      <c r="AF573" s="28" t="s">
        <v>1626</v>
      </c>
      <c r="AG573" s="28">
        <v>0.19919999999999999</v>
      </c>
      <c r="AH573" s="28">
        <v>32.790799999999997</v>
      </c>
      <c r="AI573" s="28" t="s">
        <v>1626</v>
      </c>
      <c r="AJ573" s="28" t="s">
        <v>1626</v>
      </c>
      <c r="AK573" s="28" t="s">
        <v>1626</v>
      </c>
      <c r="AL573" s="28">
        <v>66.376099999999994</v>
      </c>
      <c r="AM573" s="28" t="s">
        <v>1626</v>
      </c>
      <c r="AN573" s="28">
        <v>5.6099999999999997E-2</v>
      </c>
      <c r="AO573" s="28" t="s">
        <v>1626</v>
      </c>
      <c r="AP573" s="156">
        <f t="shared" si="8"/>
        <v>99.422199999999989</v>
      </c>
    </row>
    <row r="574" spans="1:42" x14ac:dyDescent="0.2">
      <c r="A574" s="9" t="s">
        <v>1551</v>
      </c>
      <c r="B574" s="9" t="s">
        <v>1552</v>
      </c>
      <c r="C574" s="9" t="s">
        <v>139</v>
      </c>
      <c r="D574" s="9" t="s">
        <v>145</v>
      </c>
      <c r="E574" s="154">
        <v>342864.66608505859</v>
      </c>
      <c r="F574" s="154">
        <v>341008.99706308299</v>
      </c>
      <c r="G574" s="154">
        <v>2.3509337843487375</v>
      </c>
      <c r="H574" s="154">
        <v>2037.1555239527675</v>
      </c>
      <c r="I574" s="154">
        <v>43.214525924161279</v>
      </c>
      <c r="J574" s="154">
        <v>244.35173937947729</v>
      </c>
      <c r="K574" s="154">
        <v>659200</v>
      </c>
      <c r="L574" s="154">
        <v>660381.48515450559</v>
      </c>
      <c r="M574" s="154">
        <v>311.73399840685261</v>
      </c>
      <c r="N574" s="154">
        <v>3.683816059940225</v>
      </c>
      <c r="O574" s="154">
        <v>3.7366018792106912</v>
      </c>
      <c r="P574" s="154">
        <v>1.839824706042785</v>
      </c>
      <c r="Q574" s="154">
        <v>15.453753053073873</v>
      </c>
      <c r="R574" s="154">
        <v>2962.4216716686228</v>
      </c>
      <c r="S574" s="154">
        <v>2.2310851934764338E-2</v>
      </c>
      <c r="T574" s="154">
        <v>0.47755513171696007</v>
      </c>
      <c r="U574" s="154">
        <v>0.5254281057557173</v>
      </c>
      <c r="V574" s="154">
        <v>101.00637329561023</v>
      </c>
      <c r="W574" s="154">
        <v>10.307782089559627</v>
      </c>
      <c r="X574" s="154" t="s">
        <v>421</v>
      </c>
      <c r="Y574" s="154">
        <v>19.601613232016728</v>
      </c>
      <c r="Z574" s="154">
        <v>2.0687164486926674E-2</v>
      </c>
      <c r="AC574" s="28" t="s">
        <v>421</v>
      </c>
      <c r="AD574" s="28" t="s">
        <v>421</v>
      </c>
      <c r="AE574" s="9" t="s">
        <v>1626</v>
      </c>
      <c r="AF574" s="28" t="s">
        <v>1626</v>
      </c>
      <c r="AG574" s="28">
        <v>0.3785</v>
      </c>
      <c r="AH574" s="28">
        <v>32.690399999999997</v>
      </c>
      <c r="AI574" s="28" t="s">
        <v>1626</v>
      </c>
      <c r="AJ574" s="28" t="s">
        <v>1626</v>
      </c>
      <c r="AK574" s="28" t="s">
        <v>1626</v>
      </c>
      <c r="AL574" s="28">
        <v>65.92</v>
      </c>
      <c r="AM574" s="28" t="s">
        <v>1626</v>
      </c>
      <c r="AN574" s="28">
        <v>0.2868</v>
      </c>
      <c r="AO574" s="28" t="s">
        <v>1626</v>
      </c>
      <c r="AP574" s="156">
        <f t="shared" si="8"/>
        <v>99.275700000000001</v>
      </c>
    </row>
    <row r="575" spans="1:42" x14ac:dyDescent="0.2">
      <c r="A575" s="9" t="s">
        <v>1553</v>
      </c>
      <c r="B575" s="9" t="s">
        <v>1554</v>
      </c>
      <c r="C575" s="9" t="s">
        <v>139</v>
      </c>
      <c r="D575" s="9" t="s">
        <v>145</v>
      </c>
      <c r="E575" s="154">
        <v>337165.71674975898</v>
      </c>
      <c r="F575" s="154">
        <v>322954.29457036901</v>
      </c>
      <c r="G575" s="154">
        <v>2.3710683214464638</v>
      </c>
      <c r="H575" s="154">
        <v>1837.4717472969571</v>
      </c>
      <c r="I575" s="154">
        <v>28.952568944926941</v>
      </c>
      <c r="J575" s="154">
        <v>381.66822358322054</v>
      </c>
      <c r="K575" s="154">
        <v>656089</v>
      </c>
      <c r="L575" s="154">
        <v>636083.39545369742</v>
      </c>
      <c r="M575" s="154">
        <v>380.46638059744646</v>
      </c>
      <c r="N575" s="154">
        <v>5.428787327281464</v>
      </c>
      <c r="O575" s="154">
        <v>7.7665990114490464</v>
      </c>
      <c r="P575" s="154">
        <v>4.1760691687447506</v>
      </c>
      <c r="Q575" s="154">
        <v>39.971236534359228</v>
      </c>
      <c r="R575" s="154">
        <v>3355.0292523186772</v>
      </c>
      <c r="S575" s="154">
        <v>5.7076491839176735E-2</v>
      </c>
      <c r="T575" s="154">
        <v>1.0956146222240075</v>
      </c>
      <c r="U575" s="154">
        <v>1.4228894317442793</v>
      </c>
      <c r="V575" s="154">
        <v>246.97661225711224</v>
      </c>
      <c r="W575" s="154">
        <v>9.7134231086787928</v>
      </c>
      <c r="X575" s="154">
        <v>6.3462521817140127E-2</v>
      </c>
      <c r="Y575" s="154">
        <v>55.157661709986037</v>
      </c>
      <c r="Z575" s="154">
        <v>5.335140212361511E-2</v>
      </c>
      <c r="AC575" s="28" t="s">
        <v>421</v>
      </c>
      <c r="AD575" s="28" t="s">
        <v>421</v>
      </c>
      <c r="AE575" s="9" t="s">
        <v>1626</v>
      </c>
      <c r="AF575" s="28" t="s">
        <v>1626</v>
      </c>
      <c r="AG575" s="28">
        <v>0.45660000000000001</v>
      </c>
      <c r="AH575" s="28">
        <v>33.016100000000002</v>
      </c>
      <c r="AI575" s="28" t="s">
        <v>1626</v>
      </c>
      <c r="AJ575" s="28" t="s">
        <v>1626</v>
      </c>
      <c r="AK575" s="28" t="s">
        <v>1626</v>
      </c>
      <c r="AL575" s="28">
        <v>65.608900000000006</v>
      </c>
      <c r="AM575" s="28" t="s">
        <v>1626</v>
      </c>
      <c r="AN575" s="28">
        <v>0.32390000000000002</v>
      </c>
      <c r="AO575" s="28" t="s">
        <v>1626</v>
      </c>
      <c r="AP575" s="156">
        <f t="shared" si="8"/>
        <v>99.405500000000004</v>
      </c>
    </row>
    <row r="576" spans="1:42" x14ac:dyDescent="0.2">
      <c r="A576" s="9" t="s">
        <v>1555</v>
      </c>
      <c r="B576" s="9" t="s">
        <v>1556</v>
      </c>
      <c r="C576" s="9" t="s">
        <v>139</v>
      </c>
      <c r="D576" s="9" t="s">
        <v>145</v>
      </c>
      <c r="E576" s="154">
        <v>341485.83074971108</v>
      </c>
      <c r="F576" s="154">
        <v>338398.73360353895</v>
      </c>
      <c r="G576" s="154">
        <v>3.981309890734714</v>
      </c>
      <c r="H576" s="154">
        <v>2937.475831765576</v>
      </c>
      <c r="I576" s="154">
        <v>42.018537918145419</v>
      </c>
      <c r="J576" s="154">
        <v>805.86850035629709</v>
      </c>
      <c r="K576" s="154">
        <v>649269</v>
      </c>
      <c r="L576" s="154">
        <v>654358.99137723923</v>
      </c>
      <c r="M576" s="154">
        <v>907.89986177765411</v>
      </c>
      <c r="N576" s="154">
        <v>5.1381944761506855</v>
      </c>
      <c r="O576" s="154">
        <v>12.505083901693911</v>
      </c>
      <c r="P576" s="154">
        <v>1.9829159913456169</v>
      </c>
      <c r="Q576" s="154">
        <v>73.792713488913975</v>
      </c>
      <c r="R576" s="154">
        <v>3532.5271796327402</v>
      </c>
      <c r="S576" s="154">
        <v>7.2333109764124132E-2</v>
      </c>
      <c r="T576" s="154">
        <v>2.5136270925601658</v>
      </c>
      <c r="U576" s="154">
        <v>2.3336199191594531</v>
      </c>
      <c r="V576" s="154">
        <v>508.60904717041319</v>
      </c>
      <c r="W576" s="154">
        <v>12.251588235488551</v>
      </c>
      <c r="X576" s="154">
        <v>0.21257542378141336</v>
      </c>
      <c r="Y576" s="154">
        <v>100.59099681468183</v>
      </c>
      <c r="Z576" s="154">
        <v>6.3786777649419563E-2</v>
      </c>
      <c r="AC576" s="28" t="s">
        <v>421</v>
      </c>
      <c r="AD576" s="28" t="s">
        <v>421</v>
      </c>
      <c r="AE576" s="9" t="s">
        <v>1626</v>
      </c>
      <c r="AF576" s="28" t="s">
        <v>1626</v>
      </c>
      <c r="AG576" s="28">
        <v>0.45800000000000002</v>
      </c>
      <c r="AH576" s="28">
        <v>32.689100000000003</v>
      </c>
      <c r="AI576" s="28" t="s">
        <v>1626</v>
      </c>
      <c r="AJ576" s="28" t="s">
        <v>1626</v>
      </c>
      <c r="AK576" s="28" t="s">
        <v>1626</v>
      </c>
      <c r="AL576" s="28">
        <v>64.926900000000003</v>
      </c>
      <c r="AM576" s="28" t="s">
        <v>1626</v>
      </c>
      <c r="AN576" s="28">
        <v>0.4788</v>
      </c>
      <c r="AO576" s="28" t="s">
        <v>1626</v>
      </c>
      <c r="AP576" s="156">
        <f t="shared" si="8"/>
        <v>98.552800000000019</v>
      </c>
    </row>
    <row r="577" spans="1:42" x14ac:dyDescent="0.2">
      <c r="A577" s="9" t="s">
        <v>1557</v>
      </c>
      <c r="B577" s="9" t="s">
        <v>1558</v>
      </c>
      <c r="C577" s="9" t="s">
        <v>139</v>
      </c>
      <c r="D577" s="9" t="s">
        <v>145</v>
      </c>
      <c r="E577" s="154">
        <v>353712.64335563034</v>
      </c>
      <c r="F577" s="154">
        <v>339782.74109030026</v>
      </c>
      <c r="G577" s="154">
        <v>4.7057801057515878</v>
      </c>
      <c r="H577" s="154">
        <v>3023.4794038179762</v>
      </c>
      <c r="I577" s="154">
        <v>35.002835811141232</v>
      </c>
      <c r="J577" s="154">
        <v>725.10157493428108</v>
      </c>
      <c r="K577" s="154">
        <v>654693.99999999988</v>
      </c>
      <c r="L577" s="154">
        <v>660741.83299100504</v>
      </c>
      <c r="M577" s="154">
        <v>592.85355106050679</v>
      </c>
      <c r="N577" s="154">
        <v>7.2865450006514214</v>
      </c>
      <c r="O577" s="154">
        <v>11.436739163305035</v>
      </c>
      <c r="P577" s="154">
        <v>1.943214391668302</v>
      </c>
      <c r="Q577" s="154">
        <v>55.734827056762569</v>
      </c>
      <c r="R577" s="154">
        <v>4583.098109742099</v>
      </c>
      <c r="S577" s="154">
        <v>121.15323701221696</v>
      </c>
      <c r="T577" s="154">
        <v>19.810862358510839</v>
      </c>
      <c r="U577" s="154">
        <v>18.955762846884831</v>
      </c>
      <c r="V577" s="154">
        <v>438.31780856932289</v>
      </c>
      <c r="W577" s="154">
        <v>10.206928654140974</v>
      </c>
      <c r="X577" s="154">
        <v>0.12543020939895785</v>
      </c>
      <c r="Y577" s="154">
        <v>111.38549680087945</v>
      </c>
      <c r="Z577" s="154">
        <v>121.08588008019802</v>
      </c>
      <c r="AC577" s="28" t="s">
        <v>421</v>
      </c>
      <c r="AD577" s="28" t="s">
        <v>421</v>
      </c>
      <c r="AE577" s="9" t="s">
        <v>1626</v>
      </c>
      <c r="AF577" s="28" t="s">
        <v>1626</v>
      </c>
      <c r="AG577" s="28">
        <v>0.44040000000000001</v>
      </c>
      <c r="AH577" s="28">
        <v>32.669800000000002</v>
      </c>
      <c r="AI577" s="28" t="s">
        <v>1626</v>
      </c>
      <c r="AJ577" s="28" t="s">
        <v>1626</v>
      </c>
      <c r="AK577" s="28" t="s">
        <v>1626</v>
      </c>
      <c r="AL577" s="28">
        <v>65.469399999999993</v>
      </c>
      <c r="AM577" s="28" t="s">
        <v>1626</v>
      </c>
      <c r="AN577" s="28">
        <v>0.41060000000000002</v>
      </c>
      <c r="AO577" s="28" t="s">
        <v>1626</v>
      </c>
      <c r="AP577" s="156">
        <f t="shared" si="8"/>
        <v>98.990200000000002</v>
      </c>
    </row>
    <row r="578" spans="1:42" x14ac:dyDescent="0.2">
      <c r="A578" s="9" t="s">
        <v>1559</v>
      </c>
      <c r="B578" s="9" t="s">
        <v>1560</v>
      </c>
      <c r="C578" s="9" t="s">
        <v>139</v>
      </c>
      <c r="D578" s="9" t="s">
        <v>146</v>
      </c>
      <c r="E578" s="154">
        <v>341604.56358371652</v>
      </c>
      <c r="F578" s="154">
        <v>339191.45874181465</v>
      </c>
      <c r="G578" s="154">
        <v>1.3226419430415888</v>
      </c>
      <c r="H578" s="154">
        <v>669.7847318170609</v>
      </c>
      <c r="I578" s="154">
        <v>11.253412648732722</v>
      </c>
      <c r="J578" s="154">
        <v>409.61340849330611</v>
      </c>
      <c r="K578" s="154">
        <v>662310</v>
      </c>
      <c r="L578" s="154">
        <v>657405.32427308767</v>
      </c>
      <c r="M578" s="154">
        <v>291.45681695209771</v>
      </c>
      <c r="N578" s="154">
        <v>2.0197632070316667</v>
      </c>
      <c r="O578" s="154">
        <v>7.2922580903642427</v>
      </c>
      <c r="P578" s="154">
        <v>1.4889643767291174</v>
      </c>
      <c r="Q578" s="154">
        <v>70.230183245978864</v>
      </c>
      <c r="R578" s="154">
        <v>2350.2223890216037</v>
      </c>
      <c r="S578" s="154">
        <v>0.4074065693145108</v>
      </c>
      <c r="T578" s="154">
        <v>37.004828885934096</v>
      </c>
      <c r="U578" s="154">
        <v>35.956685051099157</v>
      </c>
      <c r="V578" s="154">
        <v>371.41356809214892</v>
      </c>
      <c r="W578" s="154">
        <v>7.0450064960445671</v>
      </c>
      <c r="X578" s="154">
        <v>0.32358685083036837</v>
      </c>
      <c r="Y578" s="154">
        <v>98.394010188459418</v>
      </c>
      <c r="Z578" s="154">
        <v>0.28159015110233487</v>
      </c>
      <c r="AC578" s="28" t="s">
        <v>421</v>
      </c>
      <c r="AD578" s="28" t="s">
        <v>421</v>
      </c>
      <c r="AE578" s="9" t="s">
        <v>1626</v>
      </c>
      <c r="AF578" s="28" t="s">
        <v>1626</v>
      </c>
      <c r="AG578" s="28">
        <v>0.30609999999999998</v>
      </c>
      <c r="AH578" s="28">
        <v>32.781700000000001</v>
      </c>
      <c r="AI578" s="28" t="s">
        <v>1626</v>
      </c>
      <c r="AJ578" s="28" t="s">
        <v>1626</v>
      </c>
      <c r="AK578" s="28" t="s">
        <v>1626</v>
      </c>
      <c r="AL578" s="28">
        <v>66.230999999999995</v>
      </c>
      <c r="AM578" s="28" t="s">
        <v>1626</v>
      </c>
      <c r="AN578" s="28">
        <v>9.6299999999999997E-2</v>
      </c>
      <c r="AO578" s="28" t="s">
        <v>1626</v>
      </c>
      <c r="AP578" s="156">
        <f t="shared" si="8"/>
        <v>99.415099999999995</v>
      </c>
    </row>
    <row r="579" spans="1:42" x14ac:dyDescent="0.2">
      <c r="A579" s="9" t="s">
        <v>1561</v>
      </c>
      <c r="B579" s="9" t="s">
        <v>1562</v>
      </c>
      <c r="C579" s="9" t="s">
        <v>139</v>
      </c>
      <c r="D579" s="9" t="s">
        <v>146</v>
      </c>
      <c r="E579" s="154">
        <v>348690.56098460132</v>
      </c>
      <c r="F579" s="154">
        <v>352328.26830979111</v>
      </c>
      <c r="G579" s="154">
        <v>1.2106305759917215</v>
      </c>
      <c r="H579" s="154">
        <v>535.27901946056056</v>
      </c>
      <c r="I579" s="154">
        <v>11.72750489077368</v>
      </c>
      <c r="J579" s="154">
        <v>222.22597730521994</v>
      </c>
      <c r="K579" s="154">
        <v>666548</v>
      </c>
      <c r="L579" s="154">
        <v>669385.30287286453</v>
      </c>
      <c r="M579" s="154">
        <v>216.02899307865488</v>
      </c>
      <c r="N579" s="154">
        <v>1.7840538060015665</v>
      </c>
      <c r="O579" s="154">
        <v>4.4869029593653611</v>
      </c>
      <c r="P579" s="154">
        <v>2.9275085179476261</v>
      </c>
      <c r="Q579" s="154">
        <v>27.497657852497458</v>
      </c>
      <c r="R579" s="154">
        <v>2616.1449512955937</v>
      </c>
      <c r="S579" s="154">
        <v>1.6694463708734033E-2</v>
      </c>
      <c r="T579" s="154">
        <v>0.44405579399097495</v>
      </c>
      <c r="U579" s="154">
        <v>0.23508567095865465</v>
      </c>
      <c r="V579" s="154">
        <v>188.45598969763239</v>
      </c>
      <c r="W579" s="154">
        <v>4.2989840044363747</v>
      </c>
      <c r="X579" s="154">
        <v>0.27203619797008044</v>
      </c>
      <c r="Y579" s="154">
        <v>46.525452907809601</v>
      </c>
      <c r="Z579" s="154">
        <v>1.5184674009164718E-2</v>
      </c>
      <c r="AC579" s="28" t="s">
        <v>421</v>
      </c>
      <c r="AD579" s="28" t="s">
        <v>421</v>
      </c>
      <c r="AE579" s="9" t="s">
        <v>1626</v>
      </c>
      <c r="AF579" s="28" t="s">
        <v>1626</v>
      </c>
      <c r="AG579" s="28">
        <v>0.35020000000000001</v>
      </c>
      <c r="AH579" s="28">
        <v>32.832500000000003</v>
      </c>
      <c r="AI579" s="28" t="s">
        <v>1626</v>
      </c>
      <c r="AJ579" s="28" t="s">
        <v>1626</v>
      </c>
      <c r="AK579" s="28" t="s">
        <v>1626</v>
      </c>
      <c r="AL579" s="28">
        <v>66.654799999999994</v>
      </c>
      <c r="AM579" s="28" t="s">
        <v>1626</v>
      </c>
      <c r="AN579" s="28">
        <v>8.5500000000000007E-2</v>
      </c>
      <c r="AO579" s="28" t="s">
        <v>1626</v>
      </c>
      <c r="AP579" s="156">
        <f t="shared" si="8"/>
        <v>99.923000000000002</v>
      </c>
    </row>
    <row r="580" spans="1:42" x14ac:dyDescent="0.2">
      <c r="A580" s="9" t="s">
        <v>1563</v>
      </c>
      <c r="B580" s="9" t="s">
        <v>1564</v>
      </c>
      <c r="C580" s="9" t="s">
        <v>139</v>
      </c>
      <c r="D580" s="9" t="s">
        <v>146</v>
      </c>
      <c r="E580" s="154">
        <v>343321.04543515207</v>
      </c>
      <c r="F580" s="154">
        <v>351016.25703588838</v>
      </c>
      <c r="G580" s="154">
        <v>1.7533074418082741</v>
      </c>
      <c r="H580" s="154">
        <v>566.62292853498332</v>
      </c>
      <c r="I580" s="154">
        <v>7.4134678747718139</v>
      </c>
      <c r="J580" s="154">
        <v>892.37041672562634</v>
      </c>
      <c r="K580" s="154">
        <v>653927.99999999988</v>
      </c>
      <c r="L580" s="154">
        <v>653832.74808212277</v>
      </c>
      <c r="M580" s="154">
        <v>378.37281387072136</v>
      </c>
      <c r="N580" s="154">
        <v>20.523248913119467</v>
      </c>
      <c r="O580" s="154">
        <v>19.593970809318829</v>
      </c>
      <c r="P580" s="154">
        <v>5.0983262441328074</v>
      </c>
      <c r="Q580" s="154">
        <v>86.103497388347293</v>
      </c>
      <c r="R580" s="154">
        <v>5125.9304861611099</v>
      </c>
      <c r="S580" s="154">
        <v>52.164565085283044</v>
      </c>
      <c r="T580" s="154">
        <v>139.55293320172004</v>
      </c>
      <c r="U580" s="154">
        <v>136.74236456746192</v>
      </c>
      <c r="V580" s="154">
        <v>668.53022672755355</v>
      </c>
      <c r="W580" s="154">
        <v>6.1428081669531611</v>
      </c>
      <c r="X580" s="154">
        <v>0.81251980077402786</v>
      </c>
      <c r="Y580" s="154">
        <v>213.97377848936131</v>
      </c>
      <c r="Z580" s="154">
        <v>51.690085112397199</v>
      </c>
      <c r="AC580" s="28" t="s">
        <v>421</v>
      </c>
      <c r="AD580" s="28" t="s">
        <v>421</v>
      </c>
      <c r="AE580" s="9" t="s">
        <v>1626</v>
      </c>
      <c r="AF580" s="28" t="s">
        <v>1626</v>
      </c>
      <c r="AG580" s="28">
        <v>1.1365000000000001</v>
      </c>
      <c r="AH580" s="28">
        <v>33.501800000000003</v>
      </c>
      <c r="AI580" s="28" t="s">
        <v>1626</v>
      </c>
      <c r="AJ580" s="28" t="s">
        <v>1626</v>
      </c>
      <c r="AK580" s="28" t="s">
        <v>1626</v>
      </c>
      <c r="AL580" s="28">
        <v>65.392799999999994</v>
      </c>
      <c r="AM580" s="28" t="s">
        <v>1626</v>
      </c>
      <c r="AN580" s="28">
        <v>0.13189999999999999</v>
      </c>
      <c r="AO580" s="28" t="s">
        <v>1626</v>
      </c>
      <c r="AP580" s="156">
        <f t="shared" si="8"/>
        <v>100.163</v>
      </c>
    </row>
    <row r="581" spans="1:42" x14ac:dyDescent="0.2">
      <c r="A581" s="9" t="s">
        <v>1565</v>
      </c>
      <c r="B581" s="9" t="s">
        <v>1566</v>
      </c>
      <c r="C581" s="9" t="s">
        <v>139</v>
      </c>
      <c r="D581" s="9" t="s">
        <v>146</v>
      </c>
      <c r="E581" s="154">
        <v>347034.47998799244</v>
      </c>
      <c r="F581" s="154">
        <v>344234.63816924358</v>
      </c>
      <c r="G581" s="154">
        <v>1.3601173476702806</v>
      </c>
      <c r="H581" s="154">
        <v>432.91008188554861</v>
      </c>
      <c r="I581" s="154">
        <v>8.2327204426250713</v>
      </c>
      <c r="J581" s="154">
        <v>928.9728493265543</v>
      </c>
      <c r="K581" s="154">
        <v>656379</v>
      </c>
      <c r="L581" s="154">
        <v>657329.77503839543</v>
      </c>
      <c r="M581" s="154">
        <v>493.30862826694965</v>
      </c>
      <c r="N581" s="154">
        <v>29.054174609273947</v>
      </c>
      <c r="O581" s="154">
        <v>15.863919987187074</v>
      </c>
      <c r="P581" s="154">
        <v>1.7656377055268819</v>
      </c>
      <c r="Q581" s="154">
        <v>53.147281868049888</v>
      </c>
      <c r="R581" s="154">
        <v>3868.433896106485</v>
      </c>
      <c r="S581" s="154">
        <v>15.615626513331481</v>
      </c>
      <c r="T581" s="154">
        <v>47.139233916709685</v>
      </c>
      <c r="U581" s="154">
        <v>40.390345305901207</v>
      </c>
      <c r="V581" s="154">
        <v>651.3258912462054</v>
      </c>
      <c r="W581" s="154">
        <v>5.9892185307675296</v>
      </c>
      <c r="X581" s="154">
        <v>0.68227154955514802</v>
      </c>
      <c r="Y581" s="154">
        <v>147.43590601061052</v>
      </c>
      <c r="Z581" s="154">
        <v>15.455353118014669</v>
      </c>
      <c r="AC581" s="28" t="s">
        <v>421</v>
      </c>
      <c r="AD581" s="28" t="s">
        <v>421</v>
      </c>
      <c r="AE581" s="9" t="s">
        <v>1626</v>
      </c>
      <c r="AF581" s="28" t="s">
        <v>1626</v>
      </c>
      <c r="AG581" s="28">
        <v>0.51449999999999996</v>
      </c>
      <c r="AH581" s="28">
        <v>32.649500000000003</v>
      </c>
      <c r="AI581" s="28" t="s">
        <v>1626</v>
      </c>
      <c r="AJ581" s="28" t="s">
        <v>1626</v>
      </c>
      <c r="AK581" s="28" t="s">
        <v>1626</v>
      </c>
      <c r="AL581" s="28">
        <v>65.637900000000002</v>
      </c>
      <c r="AM581" s="28" t="s">
        <v>1626</v>
      </c>
      <c r="AN581" s="28">
        <v>7.0900000000000005E-2</v>
      </c>
      <c r="AO581" s="28" t="s">
        <v>1626</v>
      </c>
      <c r="AP581" s="156">
        <f t="shared" si="8"/>
        <v>98.872799999999998</v>
      </c>
    </row>
    <row r="582" spans="1:42" x14ac:dyDescent="0.2">
      <c r="A582" s="9" t="s">
        <v>1567</v>
      </c>
      <c r="B582" s="9" t="s">
        <v>1568</v>
      </c>
      <c r="C582" s="9" t="s">
        <v>139</v>
      </c>
      <c r="D582" s="9" t="s">
        <v>146</v>
      </c>
      <c r="E582" s="154">
        <v>347869.13996531622</v>
      </c>
      <c r="F582" s="154">
        <v>347563.4455484522</v>
      </c>
      <c r="G582" s="154">
        <v>2.7435619056319998</v>
      </c>
      <c r="H582" s="154">
        <v>951.05607470502025</v>
      </c>
      <c r="I582" s="154">
        <v>9.0881591409896902</v>
      </c>
      <c r="J582" s="154">
        <v>20.366480683301251</v>
      </c>
      <c r="K582" s="154">
        <v>659287.00000000012</v>
      </c>
      <c r="L582" s="154">
        <v>664724.6167038196</v>
      </c>
      <c r="M582" s="154">
        <v>29.75597486603413</v>
      </c>
      <c r="N582" s="154" t="s">
        <v>421</v>
      </c>
      <c r="O582" s="154">
        <v>0.9769929931650142</v>
      </c>
      <c r="P582" s="154" t="s">
        <v>421</v>
      </c>
      <c r="Q582" s="154">
        <v>2.4257076140226213</v>
      </c>
      <c r="R582" s="154">
        <v>12984.757165133349</v>
      </c>
      <c r="S582" s="154">
        <v>2.1268896966893255E-2</v>
      </c>
      <c r="T582" s="154">
        <v>1.3555639841754796</v>
      </c>
      <c r="U582" s="154">
        <v>1.0501228354280723</v>
      </c>
      <c r="V582" s="154">
        <v>16.838974755818029</v>
      </c>
      <c r="W582" s="154">
        <v>9.2561483769276904</v>
      </c>
      <c r="X582" s="154">
        <v>4.1931477287422324E-2</v>
      </c>
      <c r="Y582" s="154">
        <v>4.1668422472447153</v>
      </c>
      <c r="Z582" s="154">
        <v>1.6659979420696625E-2</v>
      </c>
      <c r="AC582" s="28" t="s">
        <v>421</v>
      </c>
      <c r="AD582" s="28" t="s">
        <v>421</v>
      </c>
      <c r="AE582" s="9" t="s">
        <v>1626</v>
      </c>
      <c r="AF582" s="28" t="s">
        <v>1626</v>
      </c>
      <c r="AG582" s="28">
        <v>0.37919999999999998</v>
      </c>
      <c r="AH582" s="28">
        <v>32.761099999999999</v>
      </c>
      <c r="AI582" s="28" t="s">
        <v>1626</v>
      </c>
      <c r="AJ582" s="28" t="s">
        <v>1626</v>
      </c>
      <c r="AK582" s="28" t="s">
        <v>1626</v>
      </c>
      <c r="AL582" s="28">
        <v>65.928700000000006</v>
      </c>
      <c r="AM582" s="28" t="s">
        <v>1626</v>
      </c>
      <c r="AN582" s="28">
        <v>9.8000000000000004E-2</v>
      </c>
      <c r="AO582" s="28" t="s">
        <v>1626</v>
      </c>
      <c r="AP582" s="156">
        <f t="shared" si="8"/>
        <v>99.167000000000002</v>
      </c>
    </row>
    <row r="583" spans="1:42" x14ac:dyDescent="0.2">
      <c r="A583" s="9" t="s">
        <v>1569</v>
      </c>
      <c r="B583" s="9" t="s">
        <v>1568</v>
      </c>
      <c r="C583" s="9" t="s">
        <v>139</v>
      </c>
      <c r="D583" s="9" t="s">
        <v>146</v>
      </c>
      <c r="E583" s="154">
        <v>366271.89082404796</v>
      </c>
      <c r="F583" s="154">
        <v>354559.62597016315</v>
      </c>
      <c r="G583" s="154">
        <v>1.5564542820931249</v>
      </c>
      <c r="H583" s="154">
        <v>629.93265589927955</v>
      </c>
      <c r="I583" s="154">
        <v>9.6972238472009469</v>
      </c>
      <c r="J583" s="154">
        <v>137.02064617394521</v>
      </c>
      <c r="K583" s="154">
        <v>659287.00000000012</v>
      </c>
      <c r="L583" s="154">
        <v>662438.7879468567</v>
      </c>
      <c r="M583" s="154">
        <v>151.24297235252629</v>
      </c>
      <c r="N583" s="154">
        <v>1.0966771915048483</v>
      </c>
      <c r="O583" s="154">
        <v>2.3631110069980741</v>
      </c>
      <c r="P583" s="154" t="s">
        <v>421</v>
      </c>
      <c r="Q583" s="154">
        <v>17.647608538087695</v>
      </c>
      <c r="R583" s="154">
        <v>4665.8274751421804</v>
      </c>
      <c r="S583" s="154">
        <v>2.1670319150612932E-2</v>
      </c>
      <c r="T583" s="154">
        <v>2.4006488476702526</v>
      </c>
      <c r="U583" s="154">
        <v>1.9484832931826295</v>
      </c>
      <c r="V583" s="154">
        <v>106.80066124604005</v>
      </c>
      <c r="W583" s="154">
        <v>6.5997819249283891</v>
      </c>
      <c r="X583" s="154">
        <v>0.1148961487068853</v>
      </c>
      <c r="Y583" s="154">
        <v>26.273102473160865</v>
      </c>
      <c r="Z583" s="154">
        <v>1.3508113068534073E-2</v>
      </c>
      <c r="AC583" s="28" t="s">
        <v>421</v>
      </c>
      <c r="AD583" s="28" t="s">
        <v>421</v>
      </c>
      <c r="AE583" s="9" t="s">
        <v>1626</v>
      </c>
      <c r="AF583" s="28" t="s">
        <v>1626</v>
      </c>
      <c r="AG583" s="28">
        <v>0.37919999999999998</v>
      </c>
      <c r="AH583" s="28">
        <v>32.761099999999999</v>
      </c>
      <c r="AI583" s="28" t="s">
        <v>1626</v>
      </c>
      <c r="AJ583" s="28" t="s">
        <v>1626</v>
      </c>
      <c r="AK583" s="28" t="s">
        <v>1626</v>
      </c>
      <c r="AL583" s="28">
        <v>65.928700000000006</v>
      </c>
      <c r="AM583" s="28" t="s">
        <v>1626</v>
      </c>
      <c r="AN583" s="28">
        <v>9.8000000000000004E-2</v>
      </c>
      <c r="AO583" s="28" t="s">
        <v>1626</v>
      </c>
      <c r="AP583" s="156">
        <f t="shared" si="8"/>
        <v>99.167000000000002</v>
      </c>
    </row>
    <row r="584" spans="1:42" x14ac:dyDescent="0.2">
      <c r="A584" s="9" t="s">
        <v>1570</v>
      </c>
      <c r="B584" s="9" t="s">
        <v>1571</v>
      </c>
      <c r="C584" s="9" t="s">
        <v>139</v>
      </c>
      <c r="D584" s="9" t="s">
        <v>146</v>
      </c>
      <c r="E584" s="154">
        <v>353458.14151390363</v>
      </c>
      <c r="F584" s="154">
        <v>346245.28041966155</v>
      </c>
      <c r="G584" s="154">
        <v>1.617953795557489</v>
      </c>
      <c r="H584" s="154">
        <v>735.89592279751139</v>
      </c>
      <c r="I584" s="154">
        <v>10.596332025549149</v>
      </c>
      <c r="J584" s="154">
        <v>85.448164585122527</v>
      </c>
      <c r="K584" s="154">
        <v>660535</v>
      </c>
      <c r="L584" s="154">
        <v>663656.23067772749</v>
      </c>
      <c r="M584" s="154">
        <v>164.1284770639495</v>
      </c>
      <c r="N584" s="154">
        <v>0.90407897392835612</v>
      </c>
      <c r="O584" s="154">
        <v>0.818917993709398</v>
      </c>
      <c r="P584" s="154" t="s">
        <v>421</v>
      </c>
      <c r="Q584" s="154">
        <v>3.7921332683892373</v>
      </c>
      <c r="R584" s="154">
        <v>2786.5943738208907</v>
      </c>
      <c r="S584" s="154">
        <v>1.1236247569234019</v>
      </c>
      <c r="T584" s="154">
        <v>2.7257641598679379</v>
      </c>
      <c r="U584" s="154">
        <v>3.320698229679941</v>
      </c>
      <c r="V584" s="154">
        <v>27.260594320668361</v>
      </c>
      <c r="W584" s="154">
        <v>6.1299701686087715</v>
      </c>
      <c r="X584" s="154" t="s">
        <v>421</v>
      </c>
      <c r="Y584" s="154">
        <v>7.2347890612579562</v>
      </c>
      <c r="Z584" s="154">
        <v>1.1143571587798509</v>
      </c>
      <c r="AC584" s="28" t="s">
        <v>421</v>
      </c>
      <c r="AD584" s="28" t="s">
        <v>421</v>
      </c>
      <c r="AE584" s="9" t="s">
        <v>1626</v>
      </c>
      <c r="AF584" s="28" t="s">
        <v>1626</v>
      </c>
      <c r="AG584" s="28">
        <v>0.38569999999999999</v>
      </c>
      <c r="AH584" s="28">
        <v>32.605400000000003</v>
      </c>
      <c r="AI584" s="28" t="s">
        <v>1626</v>
      </c>
      <c r="AJ584" s="28" t="s">
        <v>1626</v>
      </c>
      <c r="AK584" s="28" t="s">
        <v>1626</v>
      </c>
      <c r="AL584" s="28">
        <v>66.0535</v>
      </c>
      <c r="AM584" s="28" t="s">
        <v>1626</v>
      </c>
      <c r="AN584" s="28">
        <v>0.1016</v>
      </c>
      <c r="AO584" s="28" t="s">
        <v>1626</v>
      </c>
      <c r="AP584" s="156">
        <f t="shared" ref="AP584" si="9">SUM(AC584:AO584)</f>
        <v>99.146200000000007</v>
      </c>
    </row>
    <row r="585" spans="1:42" x14ac:dyDescent="0.2">
      <c r="A585" s="9" t="s">
        <v>1572</v>
      </c>
      <c r="B585" s="9" t="s">
        <v>1573</v>
      </c>
      <c r="C585" s="9" t="s">
        <v>139</v>
      </c>
      <c r="D585" s="9" t="s">
        <v>146</v>
      </c>
      <c r="E585" s="154">
        <v>368161.10689702129</v>
      </c>
      <c r="F585" s="154">
        <v>354779.39479104872</v>
      </c>
      <c r="G585" s="154">
        <v>0.82543353216675852</v>
      </c>
      <c r="H585" s="154">
        <v>433.2847281862451</v>
      </c>
      <c r="I585" s="154">
        <v>7.2329122297040582</v>
      </c>
      <c r="J585" s="154">
        <v>114.75250541210828</v>
      </c>
      <c r="K585" s="154">
        <v>655408.99999999988</v>
      </c>
      <c r="L585" s="154">
        <v>656772.50598221947</v>
      </c>
      <c r="M585" s="154">
        <v>101.90143317190555</v>
      </c>
      <c r="N585" s="154">
        <v>0.50584782630209357</v>
      </c>
      <c r="O585" s="154">
        <v>1.464816298645534</v>
      </c>
      <c r="P585" s="154">
        <v>2.766128406715183</v>
      </c>
      <c r="Q585" s="154">
        <v>12.378709797068556</v>
      </c>
      <c r="R585" s="154">
        <v>3061.9058607985912</v>
      </c>
      <c r="S585" s="154">
        <v>1.8014234359267516</v>
      </c>
      <c r="T585" s="154">
        <v>6.514736194247198</v>
      </c>
      <c r="U585" s="154">
        <v>6.2526444699294181</v>
      </c>
      <c r="V585" s="154">
        <v>85.883231908617432</v>
      </c>
      <c r="W585" s="154">
        <v>4.2471197814957726</v>
      </c>
      <c r="X585" s="154">
        <v>0.10579331862084027</v>
      </c>
      <c r="Y585" s="154">
        <v>22.87167590714181</v>
      </c>
      <c r="Z585" s="154">
        <v>1.7792733328663111</v>
      </c>
      <c r="AC585" s="28" t="s">
        <v>421</v>
      </c>
      <c r="AD585" s="28" t="s">
        <v>421</v>
      </c>
      <c r="AE585" s="9" t="s">
        <v>1626</v>
      </c>
      <c r="AF585" s="28" t="s">
        <v>1626</v>
      </c>
      <c r="AG585" s="28">
        <v>0.40579999999999999</v>
      </c>
      <c r="AH585" s="28">
        <v>32.747599999999998</v>
      </c>
      <c r="AI585" s="28" t="s">
        <v>1626</v>
      </c>
      <c r="AJ585" s="28" t="s">
        <v>1626</v>
      </c>
      <c r="AK585" s="28" t="s">
        <v>1626</v>
      </c>
      <c r="AL585" s="28">
        <v>65.540899999999993</v>
      </c>
      <c r="AM585" s="28" t="s">
        <v>1626</v>
      </c>
      <c r="AN585" s="28">
        <v>8.9499999999999996E-2</v>
      </c>
      <c r="AO585" s="28" t="s">
        <v>1626</v>
      </c>
      <c r="AP585" s="156">
        <f t="shared" ref="AP585:AP603" si="10">SUM(AC585:AO585)</f>
        <v>98.783799999999999</v>
      </c>
    </row>
    <row r="586" spans="1:42" x14ac:dyDescent="0.2">
      <c r="A586" s="9" t="s">
        <v>1574</v>
      </c>
      <c r="B586" s="9" t="s">
        <v>1575</v>
      </c>
      <c r="C586" s="9" t="s">
        <v>139</v>
      </c>
      <c r="D586" s="9" t="s">
        <v>146</v>
      </c>
      <c r="E586" s="154">
        <v>353072.19723524112</v>
      </c>
      <c r="F586" s="154">
        <v>344610.05630493991</v>
      </c>
      <c r="G586" s="154">
        <v>2.5527788243905429</v>
      </c>
      <c r="H586" s="154">
        <v>1034.8355874776896</v>
      </c>
      <c r="I586" s="154">
        <v>12.984549961543886</v>
      </c>
      <c r="J586" s="154">
        <v>857.86878348423147</v>
      </c>
      <c r="K586" s="154">
        <v>657446</v>
      </c>
      <c r="L586" s="154">
        <v>666554.83973385207</v>
      </c>
      <c r="M586" s="154">
        <v>296.94883509586447</v>
      </c>
      <c r="N586" s="154">
        <v>2.0336939926091726</v>
      </c>
      <c r="O586" s="154">
        <v>14.38535101884783</v>
      </c>
      <c r="P586" s="154">
        <v>1.4974071118161711</v>
      </c>
      <c r="Q586" s="154">
        <v>166.49769999150121</v>
      </c>
      <c r="R586" s="154">
        <v>3711.294261237133</v>
      </c>
      <c r="S586" s="154">
        <v>38.43155540902378</v>
      </c>
      <c r="T586" s="154">
        <v>54.926997956950551</v>
      </c>
      <c r="U586" s="154">
        <v>54.918980670716934</v>
      </c>
      <c r="V586" s="154">
        <v>973.25265049629263</v>
      </c>
      <c r="W586" s="154">
        <v>10.259979078702434</v>
      </c>
      <c r="X586" s="154">
        <v>0.94212866125925721</v>
      </c>
      <c r="Y586" s="154">
        <v>329.85937870399493</v>
      </c>
      <c r="Z586" s="154">
        <v>38.244803615970149</v>
      </c>
      <c r="AC586" s="28" t="s">
        <v>421</v>
      </c>
      <c r="AD586" s="28" t="s">
        <v>421</v>
      </c>
      <c r="AE586" s="9" t="s">
        <v>1626</v>
      </c>
      <c r="AF586" s="28" t="s">
        <v>1626</v>
      </c>
      <c r="AG586" s="28">
        <v>0.46439999999999998</v>
      </c>
      <c r="AH586" s="28">
        <v>32.917400000000001</v>
      </c>
      <c r="AI586" s="28" t="s">
        <v>1626</v>
      </c>
      <c r="AJ586" s="28" t="s">
        <v>1626</v>
      </c>
      <c r="AK586" s="28" t="s">
        <v>1626</v>
      </c>
      <c r="AL586" s="28">
        <v>65.744600000000005</v>
      </c>
      <c r="AM586" s="28" t="s">
        <v>1626</v>
      </c>
      <c r="AN586" s="28">
        <v>0.16520000000000001</v>
      </c>
      <c r="AO586" s="28" t="s">
        <v>1626</v>
      </c>
      <c r="AP586" s="156">
        <f t="shared" si="10"/>
        <v>99.291600000000003</v>
      </c>
    </row>
    <row r="587" spans="1:42" x14ac:dyDescent="0.2">
      <c r="A587" s="9" t="s">
        <v>1576</v>
      </c>
      <c r="B587" s="9" t="s">
        <v>1577</v>
      </c>
      <c r="C587" s="9" t="s">
        <v>139</v>
      </c>
      <c r="D587" s="9" t="s">
        <v>146</v>
      </c>
      <c r="E587" s="154">
        <v>342524.15845980472</v>
      </c>
      <c r="F587" s="154">
        <v>341283.91676556732</v>
      </c>
      <c r="G587" s="154">
        <v>2.014096058722624</v>
      </c>
      <c r="H587" s="154">
        <v>563.96753827555858</v>
      </c>
      <c r="I587" s="154">
        <v>6.7350735962656794</v>
      </c>
      <c r="J587" s="154">
        <v>10.843676398285082</v>
      </c>
      <c r="K587" s="154">
        <v>649828</v>
      </c>
      <c r="L587" s="154">
        <v>640765.98401888087</v>
      </c>
      <c r="M587" s="154">
        <v>2.3675875989422082</v>
      </c>
      <c r="N587" s="154" t="s">
        <v>421</v>
      </c>
      <c r="O587" s="154">
        <v>0.30663611373122873</v>
      </c>
      <c r="P587" s="154" t="s">
        <v>421</v>
      </c>
      <c r="Q587" s="154">
        <v>1.7504081430980514</v>
      </c>
      <c r="R587" s="154">
        <v>15435.183360246994</v>
      </c>
      <c r="S587" s="154">
        <v>0.13773031468894503</v>
      </c>
      <c r="T587" s="154">
        <v>0.83835842854975062</v>
      </c>
      <c r="U587" s="154">
        <v>0.79596931112336</v>
      </c>
      <c r="V587" s="154">
        <v>10.355204873089205</v>
      </c>
      <c r="W587" s="154">
        <v>6.6173714341233891</v>
      </c>
      <c r="X587" s="154">
        <v>4.6205589459047125E-2</v>
      </c>
      <c r="Y587" s="154">
        <v>4.818155425183976</v>
      </c>
      <c r="Z587" s="154">
        <v>0.13487989603187589</v>
      </c>
      <c r="AC587" s="28" t="s">
        <v>421</v>
      </c>
      <c r="AD587" s="28" t="s">
        <v>421</v>
      </c>
      <c r="AE587" s="9" t="s">
        <v>1626</v>
      </c>
      <c r="AF587" s="28" t="s">
        <v>1626</v>
      </c>
      <c r="AG587" s="28">
        <v>1.3479000000000001</v>
      </c>
      <c r="AH587" s="28">
        <v>32.616999999999997</v>
      </c>
      <c r="AI587" s="28" t="s">
        <v>1626</v>
      </c>
      <c r="AJ587" s="28" t="s">
        <v>1626</v>
      </c>
      <c r="AK587" s="28" t="s">
        <v>1626</v>
      </c>
      <c r="AL587" s="28">
        <v>64.982799999999997</v>
      </c>
      <c r="AM587" s="28" t="s">
        <v>1626</v>
      </c>
      <c r="AN587" s="28">
        <v>9.7100000000000006E-2</v>
      </c>
      <c r="AO587" s="28" t="s">
        <v>1626</v>
      </c>
      <c r="AP587" s="156">
        <f t="shared" si="10"/>
        <v>99.044799999999995</v>
      </c>
    </row>
    <row r="588" spans="1:42" x14ac:dyDescent="0.2">
      <c r="A588" s="9" t="s">
        <v>1578</v>
      </c>
      <c r="B588" s="9" t="s">
        <v>1579</v>
      </c>
      <c r="C588" s="9" t="s">
        <v>139</v>
      </c>
      <c r="D588" s="9" t="s">
        <v>146</v>
      </c>
      <c r="E588" s="154">
        <v>356320.70569040324</v>
      </c>
      <c r="F588" s="154">
        <v>352080.43398057151</v>
      </c>
      <c r="G588" s="154">
        <v>0.75557484489094584</v>
      </c>
      <c r="H588" s="154">
        <v>380.49744835944449</v>
      </c>
      <c r="I588" s="154">
        <v>6.065479649272385</v>
      </c>
      <c r="J588" s="154">
        <v>148.92465002645773</v>
      </c>
      <c r="K588" s="154">
        <v>660177</v>
      </c>
      <c r="L588" s="154">
        <v>668212.2760247268</v>
      </c>
      <c r="M588" s="154">
        <v>165.13404336323836</v>
      </c>
      <c r="N588" s="154">
        <v>0.56014880340616446</v>
      </c>
      <c r="O588" s="154">
        <v>1.5086233549587618</v>
      </c>
      <c r="P588" s="154">
        <v>2.5727338531783164</v>
      </c>
      <c r="Q588" s="154">
        <v>15.076453079104429</v>
      </c>
      <c r="R588" s="154">
        <v>2936.9557427258851</v>
      </c>
      <c r="S588" s="154">
        <v>13.254506901892473</v>
      </c>
      <c r="T588" s="154">
        <v>11.281085768099887</v>
      </c>
      <c r="U588" s="154">
        <v>11.167842128470362</v>
      </c>
      <c r="V588" s="154">
        <v>102.98449668228591</v>
      </c>
      <c r="W588" s="154">
        <v>5.2412425145085022</v>
      </c>
      <c r="X588" s="154">
        <v>0.16434354468673609</v>
      </c>
      <c r="Y588" s="154">
        <v>26.587272847379751</v>
      </c>
      <c r="Z588" s="154">
        <v>13.216151210280934</v>
      </c>
      <c r="AC588" s="28" t="s">
        <v>421</v>
      </c>
      <c r="AD588" s="28" t="s">
        <v>421</v>
      </c>
      <c r="AE588" s="9" t="s">
        <v>1626</v>
      </c>
      <c r="AF588" s="28" t="s">
        <v>1626</v>
      </c>
      <c r="AG588" s="28">
        <v>0.38800000000000001</v>
      </c>
      <c r="AH588" s="28">
        <v>32.7468</v>
      </c>
      <c r="AI588" s="28" t="s">
        <v>1626</v>
      </c>
      <c r="AJ588" s="28" t="s">
        <v>1626</v>
      </c>
      <c r="AK588" s="28" t="s">
        <v>1626</v>
      </c>
      <c r="AL588" s="28">
        <v>66.017700000000005</v>
      </c>
      <c r="AM588" s="28" t="s">
        <v>1626</v>
      </c>
      <c r="AN588" s="28">
        <v>5.3800000000000001E-2</v>
      </c>
      <c r="AO588" s="28" t="s">
        <v>1626</v>
      </c>
      <c r="AP588" s="156">
        <f t="shared" si="10"/>
        <v>99.206299999999999</v>
      </c>
    </row>
    <row r="589" spans="1:42" x14ac:dyDescent="0.2">
      <c r="A589" s="9" t="s">
        <v>1580</v>
      </c>
      <c r="B589" s="9" t="s">
        <v>1581</v>
      </c>
      <c r="C589" s="9" t="s">
        <v>139</v>
      </c>
      <c r="D589" s="9" t="s">
        <v>146</v>
      </c>
      <c r="E589" s="154">
        <v>346875.8761516306</v>
      </c>
      <c r="F589" s="154">
        <v>343683.68102129188</v>
      </c>
      <c r="G589" s="154">
        <v>1.5139518828319227</v>
      </c>
      <c r="H589" s="154">
        <v>596.50343120443677</v>
      </c>
      <c r="I589" s="154">
        <v>8.867333044209504</v>
      </c>
      <c r="J589" s="154">
        <v>292.93060380709483</v>
      </c>
      <c r="K589" s="154">
        <v>651781</v>
      </c>
      <c r="L589" s="154">
        <v>664903.85779943934</v>
      </c>
      <c r="M589" s="154">
        <v>204.45889868915106</v>
      </c>
      <c r="N589" s="154">
        <v>1.3846006564765998</v>
      </c>
      <c r="O589" s="154">
        <v>5.8567784918022197</v>
      </c>
      <c r="P589" s="154" t="s">
        <v>421</v>
      </c>
      <c r="Q589" s="154">
        <v>43.561889583859376</v>
      </c>
      <c r="R589" s="154">
        <v>3060.1572209857782</v>
      </c>
      <c r="S589" s="154">
        <v>0.55755012496612111</v>
      </c>
      <c r="T589" s="154">
        <v>30.569260013300017</v>
      </c>
      <c r="U589" s="154">
        <v>31.707164576859356</v>
      </c>
      <c r="V589" s="154">
        <v>290.79334954794882</v>
      </c>
      <c r="W589" s="154">
        <v>8.4761688446326797</v>
      </c>
      <c r="X589" s="154">
        <v>0.37795621515677885</v>
      </c>
      <c r="Y589" s="154">
        <v>91.777429201651387</v>
      </c>
      <c r="Z589" s="154">
        <v>0.45361464092090104</v>
      </c>
      <c r="AC589" s="28" t="s">
        <v>421</v>
      </c>
      <c r="AD589" s="28" t="s">
        <v>421</v>
      </c>
      <c r="AE589" s="9" t="s">
        <v>1626</v>
      </c>
      <c r="AF589" s="28" t="s">
        <v>1626</v>
      </c>
      <c r="AG589" s="28">
        <v>1.2547999999999999</v>
      </c>
      <c r="AH589" s="28">
        <v>32.604100000000003</v>
      </c>
      <c r="AI589" s="28" t="s">
        <v>1626</v>
      </c>
      <c r="AJ589" s="28" t="s">
        <v>1626</v>
      </c>
      <c r="AK589" s="28" t="s">
        <v>1626</v>
      </c>
      <c r="AL589" s="28">
        <v>65.178100000000001</v>
      </c>
      <c r="AM589" s="28" t="s">
        <v>1626</v>
      </c>
      <c r="AN589" s="28">
        <v>0.1487</v>
      </c>
      <c r="AO589" s="28" t="s">
        <v>1626</v>
      </c>
      <c r="AP589" s="156">
        <f t="shared" si="10"/>
        <v>99.185700000000011</v>
      </c>
    </row>
    <row r="590" spans="1:42" x14ac:dyDescent="0.2">
      <c r="A590" s="9" t="s">
        <v>1582</v>
      </c>
      <c r="B590" s="9" t="s">
        <v>1583</v>
      </c>
      <c r="C590" s="9" t="s">
        <v>139</v>
      </c>
      <c r="D590" s="9" t="s">
        <v>146</v>
      </c>
      <c r="E590" s="154">
        <v>355895.83967517666</v>
      </c>
      <c r="F590" s="154">
        <v>342696.6413842013</v>
      </c>
      <c r="G590" s="154">
        <v>1.6367007215184364</v>
      </c>
      <c r="H590" s="154">
        <v>554.45942128580816</v>
      </c>
      <c r="I590" s="154">
        <v>8.6296698805400869</v>
      </c>
      <c r="J590" s="154">
        <v>2365.6763170121567</v>
      </c>
      <c r="K590" s="154">
        <v>656519</v>
      </c>
      <c r="L590" s="154">
        <v>654738.83512268681</v>
      </c>
      <c r="M590" s="154">
        <v>745.02048659266688</v>
      </c>
      <c r="N590" s="154">
        <v>32.122223029621239</v>
      </c>
      <c r="O590" s="154">
        <v>25.857006089357714</v>
      </c>
      <c r="P590" s="154">
        <v>1.6459973569658475</v>
      </c>
      <c r="Q590" s="154">
        <v>140.89675311827253</v>
      </c>
      <c r="R590" s="154">
        <v>3399.5838693393157</v>
      </c>
      <c r="S590" s="154">
        <v>3.9525753170037654</v>
      </c>
      <c r="T590" s="154">
        <v>335.74976637752519</v>
      </c>
      <c r="U590" s="154">
        <v>344.73493357802261</v>
      </c>
      <c r="V590" s="154">
        <v>1630.6449397907068</v>
      </c>
      <c r="W590" s="154">
        <v>9.4530831585417427</v>
      </c>
      <c r="X590" s="154">
        <v>1.3215759055988412</v>
      </c>
      <c r="Y590" s="154">
        <v>475.49639125068722</v>
      </c>
      <c r="Z590" s="154">
        <v>2.8110261113201798</v>
      </c>
      <c r="AC590" s="28" t="s">
        <v>421</v>
      </c>
      <c r="AD590" s="28" t="s">
        <v>421</v>
      </c>
      <c r="AE590" s="9" t="s">
        <v>1626</v>
      </c>
      <c r="AF590" s="28" t="s">
        <v>1626</v>
      </c>
      <c r="AG590" s="28">
        <v>0.45469999999999999</v>
      </c>
      <c r="AH590" s="28">
        <v>32.8506</v>
      </c>
      <c r="AI590" s="28" t="s">
        <v>1626</v>
      </c>
      <c r="AJ590" s="28" t="s">
        <v>1626</v>
      </c>
      <c r="AK590" s="28" t="s">
        <v>1626</v>
      </c>
      <c r="AL590" s="28">
        <v>65.651899999999998</v>
      </c>
      <c r="AM590" s="28" t="s">
        <v>1626</v>
      </c>
      <c r="AN590" s="28">
        <v>0.14749999999999999</v>
      </c>
      <c r="AO590" s="28" t="s">
        <v>1626</v>
      </c>
      <c r="AP590" s="156">
        <f t="shared" si="10"/>
        <v>99.104699999999994</v>
      </c>
    </row>
    <row r="591" spans="1:42" x14ac:dyDescent="0.2">
      <c r="A591" s="9" t="s">
        <v>1584</v>
      </c>
      <c r="B591" s="9" t="s">
        <v>1585</v>
      </c>
      <c r="C591" s="9" t="s">
        <v>139</v>
      </c>
      <c r="D591" s="9" t="s">
        <v>147</v>
      </c>
      <c r="E591" s="154">
        <v>357078.27189991163</v>
      </c>
      <c r="F591" s="154">
        <v>342303.65449771343</v>
      </c>
      <c r="G591" s="154">
        <v>1.3559905370758409</v>
      </c>
      <c r="H591" s="154">
        <v>916.52362272269215</v>
      </c>
      <c r="I591" s="154">
        <v>12.835462445626371</v>
      </c>
      <c r="J591" s="154">
        <v>2595.6634899776668</v>
      </c>
      <c r="K591" s="154">
        <v>650610.00000000012</v>
      </c>
      <c r="L591" s="154">
        <v>664429.58903815073</v>
      </c>
      <c r="M591" s="154">
        <v>415.54721751836735</v>
      </c>
      <c r="N591" s="154">
        <v>8.5757059333070735</v>
      </c>
      <c r="O591" s="154">
        <v>65.827064625852273</v>
      </c>
      <c r="P591" s="154" t="s">
        <v>421</v>
      </c>
      <c r="Q591" s="154">
        <v>393.54328123252134</v>
      </c>
      <c r="R591" s="154">
        <v>3902.6761306610224</v>
      </c>
      <c r="S591" s="154">
        <v>0.39583966426778472</v>
      </c>
      <c r="T591" s="154">
        <v>9.3611091020284114</v>
      </c>
      <c r="U591" s="154">
        <v>8.9296131409890886</v>
      </c>
      <c r="V591" s="154">
        <v>3785.8455794019874</v>
      </c>
      <c r="W591" s="154">
        <v>6.0401103142059993</v>
      </c>
      <c r="X591" s="154">
        <v>1.6289506697482339</v>
      </c>
      <c r="Y591" s="154">
        <v>486.89408311279914</v>
      </c>
      <c r="Z591" s="154">
        <v>0.36401189332088812</v>
      </c>
      <c r="AC591" s="28" t="s">
        <v>421</v>
      </c>
      <c r="AD591" s="28" t="s">
        <v>421</v>
      </c>
      <c r="AE591" s="9" t="s">
        <v>1626</v>
      </c>
      <c r="AF591" s="28" t="s">
        <v>1626</v>
      </c>
      <c r="AG591" s="28">
        <v>0.55530000000000002</v>
      </c>
      <c r="AH591" s="28">
        <v>32.728400000000001</v>
      </c>
      <c r="AI591" s="28" t="s">
        <v>1626</v>
      </c>
      <c r="AJ591" s="28" t="s">
        <v>1626</v>
      </c>
      <c r="AK591" s="28" t="s">
        <v>1626</v>
      </c>
      <c r="AL591" s="28">
        <v>65.061000000000007</v>
      </c>
      <c r="AM591" s="28" t="s">
        <v>1626</v>
      </c>
      <c r="AN591" s="28">
        <v>0.19819999999999999</v>
      </c>
      <c r="AO591" s="28" t="s">
        <v>1626</v>
      </c>
      <c r="AP591" s="156">
        <f t="shared" si="10"/>
        <v>98.542900000000017</v>
      </c>
    </row>
    <row r="592" spans="1:42" x14ac:dyDescent="0.2">
      <c r="A592" s="9" t="s">
        <v>1586</v>
      </c>
      <c r="B592" s="9" t="s">
        <v>1587</v>
      </c>
      <c r="C592" s="9" t="s">
        <v>139</v>
      </c>
      <c r="D592" s="9" t="s">
        <v>147</v>
      </c>
      <c r="E592" s="154">
        <v>349279.23253432149</v>
      </c>
      <c r="F592" s="154">
        <v>347414.74485960888</v>
      </c>
      <c r="G592" s="154">
        <v>2.5536184611884014</v>
      </c>
      <c r="H592" s="154">
        <v>1232.6557065379645</v>
      </c>
      <c r="I592" s="154">
        <v>12.701351380507592</v>
      </c>
      <c r="J592" s="154">
        <v>4867.5618459141342</v>
      </c>
      <c r="K592" s="154">
        <v>643480</v>
      </c>
      <c r="L592" s="154">
        <v>649247.31994003535</v>
      </c>
      <c r="M592" s="154">
        <v>709.81270547245356</v>
      </c>
      <c r="N592" s="154">
        <v>26.266530680440258</v>
      </c>
      <c r="O592" s="154">
        <v>89.1516309140072</v>
      </c>
      <c r="P592" s="154" t="s">
        <v>421</v>
      </c>
      <c r="Q592" s="154">
        <v>527.46373582588535</v>
      </c>
      <c r="R592" s="154">
        <v>11738.682923483648</v>
      </c>
      <c r="S592" s="154">
        <v>1158.242255791353</v>
      </c>
      <c r="T592" s="154">
        <v>322.10450358130851</v>
      </c>
      <c r="U592" s="154">
        <v>319.44846605777178</v>
      </c>
      <c r="V592" s="154">
        <v>5696.7560417200848</v>
      </c>
      <c r="W592" s="154">
        <v>8.574481464543636</v>
      </c>
      <c r="X592" s="154">
        <v>2.7475387774951177</v>
      </c>
      <c r="Y592" s="154">
        <v>891.26207736229935</v>
      </c>
      <c r="Z592" s="154">
        <v>1157.1471004791765</v>
      </c>
      <c r="AC592" s="28" t="s">
        <v>421</v>
      </c>
      <c r="AD592" s="28" t="s">
        <v>421</v>
      </c>
      <c r="AE592" s="9" t="s">
        <v>1626</v>
      </c>
      <c r="AF592" s="28" t="s">
        <v>1626</v>
      </c>
      <c r="AG592" s="28">
        <v>1.0785</v>
      </c>
      <c r="AH592" s="28">
        <v>32.6935</v>
      </c>
      <c r="AI592" s="28" t="s">
        <v>1626</v>
      </c>
      <c r="AJ592" s="28" t="s">
        <v>1626</v>
      </c>
      <c r="AK592" s="28" t="s">
        <v>1626</v>
      </c>
      <c r="AL592" s="28">
        <v>64.347999999999999</v>
      </c>
      <c r="AM592" s="28" t="s">
        <v>1626</v>
      </c>
      <c r="AN592" s="28">
        <v>0.20039999999999999</v>
      </c>
      <c r="AO592" s="28" t="s">
        <v>1626</v>
      </c>
      <c r="AP592" s="156">
        <f t="shared" si="10"/>
        <v>98.320400000000006</v>
      </c>
    </row>
    <row r="593" spans="1:42" x14ac:dyDescent="0.2">
      <c r="A593" s="9" t="s">
        <v>1588</v>
      </c>
      <c r="B593" s="9" t="s">
        <v>1589</v>
      </c>
      <c r="C593" s="9" t="s">
        <v>139</v>
      </c>
      <c r="D593" s="9" t="s">
        <v>147</v>
      </c>
      <c r="E593" s="154">
        <v>348278.86726513947</v>
      </c>
      <c r="F593" s="154">
        <v>343866.88971964555</v>
      </c>
      <c r="G593" s="154">
        <v>1.6562704000900395</v>
      </c>
      <c r="H593" s="154">
        <v>1051.9357257779286</v>
      </c>
      <c r="I593" s="154">
        <v>13.971026667460766</v>
      </c>
      <c r="J593" s="154">
        <v>2695.9291512461064</v>
      </c>
      <c r="K593" s="154">
        <v>646333</v>
      </c>
      <c r="L593" s="154">
        <v>646049.86768625979</v>
      </c>
      <c r="M593" s="154">
        <v>474.80415823293174</v>
      </c>
      <c r="N593" s="154">
        <v>12.11905349231329</v>
      </c>
      <c r="O593" s="154">
        <v>66.599463441037273</v>
      </c>
      <c r="P593" s="154">
        <v>1.6585002427697662</v>
      </c>
      <c r="Q593" s="154">
        <v>411.35639963724327</v>
      </c>
      <c r="R593" s="154">
        <v>4263.4024443613862</v>
      </c>
      <c r="S593" s="154">
        <v>46.135895538311118</v>
      </c>
      <c r="T593" s="154">
        <v>65.120841737363918</v>
      </c>
      <c r="U593" s="154">
        <v>67.240700489774355</v>
      </c>
      <c r="V593" s="154">
        <v>3816.467879665372</v>
      </c>
      <c r="W593" s="154">
        <v>7.3573303235390846</v>
      </c>
      <c r="X593" s="154">
        <v>1.5787341632818859</v>
      </c>
      <c r="Y593" s="154">
        <v>557.1678290723313</v>
      </c>
      <c r="Z593" s="154">
        <v>45.914484676404079</v>
      </c>
      <c r="AC593" s="28" t="s">
        <v>421</v>
      </c>
      <c r="AD593" s="28" t="s">
        <v>421</v>
      </c>
      <c r="AE593" s="9" t="s">
        <v>1626</v>
      </c>
      <c r="AF593" s="28" t="s">
        <v>1626</v>
      </c>
      <c r="AG593" s="28">
        <v>0.70789999999999997</v>
      </c>
      <c r="AH593" s="28">
        <v>32.606699999999996</v>
      </c>
      <c r="AI593" s="28" t="s">
        <v>1626</v>
      </c>
      <c r="AJ593" s="28" t="s">
        <v>1626</v>
      </c>
      <c r="AK593" s="28" t="s">
        <v>1626</v>
      </c>
      <c r="AL593" s="28">
        <v>64.633300000000006</v>
      </c>
      <c r="AM593" s="28" t="s">
        <v>1626</v>
      </c>
      <c r="AN593" s="28">
        <v>0.17960000000000001</v>
      </c>
      <c r="AO593" s="28" t="s">
        <v>1626</v>
      </c>
      <c r="AP593" s="156">
        <f t="shared" si="10"/>
        <v>98.127499999999998</v>
      </c>
    </row>
    <row r="594" spans="1:42" x14ac:dyDescent="0.2">
      <c r="A594" s="9" t="s">
        <v>1590</v>
      </c>
      <c r="B594" s="9" t="s">
        <v>1591</v>
      </c>
      <c r="C594" s="9" t="s">
        <v>139</v>
      </c>
      <c r="D594" s="9" t="s">
        <v>148</v>
      </c>
      <c r="E594" s="154">
        <v>335911.25338084722</v>
      </c>
      <c r="F594" s="154">
        <v>327393.61978945968</v>
      </c>
      <c r="G594" s="154">
        <v>20.492502206822181</v>
      </c>
      <c r="H594" s="154">
        <v>1452.1488676662764</v>
      </c>
      <c r="I594" s="154">
        <v>0.92847490495854934</v>
      </c>
      <c r="J594" s="154">
        <v>599.44178918783393</v>
      </c>
      <c r="K594" s="154">
        <v>653607</v>
      </c>
      <c r="L594" s="154">
        <v>656082.58516147267</v>
      </c>
      <c r="M594" s="154">
        <v>147.2569915445188</v>
      </c>
      <c r="N594" s="154">
        <v>4.5338899395285646</v>
      </c>
      <c r="O594" s="154">
        <v>11.293612195354889</v>
      </c>
      <c r="P594" s="154">
        <v>1.8219957687153561</v>
      </c>
      <c r="Q594" s="154">
        <v>749.01483905642056</v>
      </c>
      <c r="R594" s="154">
        <v>3542.8883007406544</v>
      </c>
      <c r="S594" s="154">
        <v>0.1782813237157351</v>
      </c>
      <c r="T594" s="154">
        <v>2.4168421151713364</v>
      </c>
      <c r="U594" s="154">
        <v>1.983178188124102</v>
      </c>
      <c r="V594" s="154">
        <v>1118.4706168600069</v>
      </c>
      <c r="W594" s="154">
        <v>9998.5541660981653</v>
      </c>
      <c r="X594" s="154">
        <v>84.610642369883053</v>
      </c>
      <c r="Y594" s="154">
        <v>604.48561701208916</v>
      </c>
      <c r="Z594" s="154">
        <v>0.17006406052415257</v>
      </c>
      <c r="AC594" s="28" t="s">
        <v>421</v>
      </c>
      <c r="AD594" s="28" t="s">
        <v>421</v>
      </c>
      <c r="AE594" s="9" t="s">
        <v>1626</v>
      </c>
      <c r="AF594" s="28" t="s">
        <v>1626</v>
      </c>
      <c r="AG594" s="28">
        <v>0.39700000000000002</v>
      </c>
      <c r="AH594" s="28">
        <v>32.819600000000001</v>
      </c>
      <c r="AI594" s="28" t="s">
        <v>1626</v>
      </c>
      <c r="AJ594" s="28" t="s">
        <v>1626</v>
      </c>
      <c r="AK594" s="28" t="s">
        <v>1626</v>
      </c>
      <c r="AL594" s="28">
        <v>65.360699999999994</v>
      </c>
      <c r="AM594" s="28" t="s">
        <v>1626</v>
      </c>
      <c r="AN594" s="28">
        <v>0.65849999999999997</v>
      </c>
      <c r="AO594" s="28" t="s">
        <v>1626</v>
      </c>
      <c r="AP594" s="156">
        <f t="shared" si="10"/>
        <v>99.235799999999998</v>
      </c>
    </row>
    <row r="595" spans="1:42" x14ac:dyDescent="0.2">
      <c r="A595" s="9" t="s">
        <v>1592</v>
      </c>
      <c r="B595" s="9" t="s">
        <v>1593</v>
      </c>
      <c r="C595" s="9" t="s">
        <v>139</v>
      </c>
      <c r="D595" s="9" t="s">
        <v>148</v>
      </c>
      <c r="E595" s="154">
        <v>345066.8853693906</v>
      </c>
      <c r="F595" s="154">
        <v>337185.15055487177</v>
      </c>
      <c r="G595" s="154">
        <v>5.3053066351464375</v>
      </c>
      <c r="H595" s="154">
        <v>388.55175125622685</v>
      </c>
      <c r="I595" s="154">
        <v>0.89729186606766131</v>
      </c>
      <c r="J595" s="154">
        <v>132.14465335361206</v>
      </c>
      <c r="K595" s="154">
        <v>666792</v>
      </c>
      <c r="L595" s="154">
        <v>663393.60569302633</v>
      </c>
      <c r="M595" s="154">
        <v>9.2724423229677093</v>
      </c>
      <c r="N595" s="154">
        <v>1.0090892235352051</v>
      </c>
      <c r="O595" s="154">
        <v>0.77077267948194128</v>
      </c>
      <c r="P595" s="154" t="s">
        <v>421</v>
      </c>
      <c r="Q595" s="154">
        <v>167.14290141995741</v>
      </c>
      <c r="R595" s="154">
        <v>506.87955958461066</v>
      </c>
      <c r="S595" s="154" t="s">
        <v>421</v>
      </c>
      <c r="T595" s="154">
        <v>0.34804669513216574</v>
      </c>
      <c r="U595" s="154">
        <v>0.28747943303685608</v>
      </c>
      <c r="V595" s="154">
        <v>89.352480834524044</v>
      </c>
      <c r="W595" s="154">
        <v>82.065317377392873</v>
      </c>
      <c r="X595" s="154">
        <v>8.1696287573931539</v>
      </c>
      <c r="Y595" s="154">
        <v>99.099016928955379</v>
      </c>
      <c r="Z595" s="154" t="s">
        <v>421</v>
      </c>
      <c r="AC595" s="28" t="s">
        <v>421</v>
      </c>
      <c r="AD595" s="28" t="s">
        <v>421</v>
      </c>
      <c r="AE595" s="9" t="s">
        <v>1626</v>
      </c>
      <c r="AF595" s="28" t="s">
        <v>1626</v>
      </c>
      <c r="AG595" s="28">
        <v>6.8000000000000005E-2</v>
      </c>
      <c r="AH595" s="28">
        <v>32.780999999999999</v>
      </c>
      <c r="AI595" s="28" t="s">
        <v>1626</v>
      </c>
      <c r="AJ595" s="28" t="s">
        <v>1626</v>
      </c>
      <c r="AK595" s="28" t="s">
        <v>1626</v>
      </c>
      <c r="AL595" s="28">
        <v>66.679199999999994</v>
      </c>
      <c r="AM595" s="28" t="s">
        <v>1626</v>
      </c>
      <c r="AN595" s="28">
        <v>4.5999999999999999E-2</v>
      </c>
      <c r="AO595" s="28" t="s">
        <v>1626</v>
      </c>
      <c r="AP595" s="156">
        <f t="shared" si="10"/>
        <v>99.574200000000005</v>
      </c>
    </row>
    <row r="596" spans="1:42" x14ac:dyDescent="0.2">
      <c r="A596" s="9" t="s">
        <v>1594</v>
      </c>
      <c r="B596" s="9" t="s">
        <v>1593</v>
      </c>
      <c r="C596" s="9" t="s">
        <v>139</v>
      </c>
      <c r="D596" s="9" t="s">
        <v>148</v>
      </c>
      <c r="E596" s="154">
        <v>343579.40357568988</v>
      </c>
      <c r="F596" s="154">
        <v>338653.56843892485</v>
      </c>
      <c r="G596" s="154">
        <v>6.7120864038427177</v>
      </c>
      <c r="H596" s="154">
        <v>347.42946406199445</v>
      </c>
      <c r="I596" s="154">
        <v>1.052159708371738</v>
      </c>
      <c r="J596" s="154">
        <v>99.919021357629987</v>
      </c>
      <c r="K596" s="154">
        <v>666792</v>
      </c>
      <c r="L596" s="154">
        <v>665929.17496457696</v>
      </c>
      <c r="M596" s="154">
        <v>3.7074575597709067</v>
      </c>
      <c r="N596" s="154" t="s">
        <v>421</v>
      </c>
      <c r="O596" s="154">
        <v>0.29730632544935037</v>
      </c>
      <c r="P596" s="154" t="s">
        <v>421</v>
      </c>
      <c r="Q596" s="154">
        <v>179.48573651607575</v>
      </c>
      <c r="R596" s="154">
        <v>510.15802776640339</v>
      </c>
      <c r="S596" s="154" t="s">
        <v>421</v>
      </c>
      <c r="T596" s="154">
        <v>0.40781482083689946</v>
      </c>
      <c r="U596" s="154">
        <v>0.26970260863593781</v>
      </c>
      <c r="V596" s="154">
        <v>54.935361126255842</v>
      </c>
      <c r="W596" s="154">
        <v>35.08118983966245</v>
      </c>
      <c r="X596" s="154">
        <v>4.0201316964718039</v>
      </c>
      <c r="Y596" s="154">
        <v>101.26612231532845</v>
      </c>
      <c r="Z596" s="154" t="s">
        <v>421</v>
      </c>
      <c r="AC596" s="28" t="s">
        <v>421</v>
      </c>
      <c r="AD596" s="28" t="s">
        <v>421</v>
      </c>
      <c r="AE596" s="9" t="s">
        <v>1626</v>
      </c>
      <c r="AF596" s="28" t="s">
        <v>1626</v>
      </c>
      <c r="AG596" s="28">
        <v>6.8000000000000005E-2</v>
      </c>
      <c r="AH596" s="28">
        <v>32.780999999999999</v>
      </c>
      <c r="AI596" s="28" t="s">
        <v>1626</v>
      </c>
      <c r="AJ596" s="28" t="s">
        <v>1626</v>
      </c>
      <c r="AK596" s="28" t="s">
        <v>1626</v>
      </c>
      <c r="AL596" s="28">
        <v>66.679199999999994</v>
      </c>
      <c r="AM596" s="28" t="s">
        <v>1626</v>
      </c>
      <c r="AN596" s="28">
        <v>4.5999999999999999E-2</v>
      </c>
      <c r="AO596" s="28" t="s">
        <v>1626</v>
      </c>
      <c r="AP596" s="156">
        <f t="shared" si="10"/>
        <v>99.574200000000005</v>
      </c>
    </row>
    <row r="597" spans="1:42" x14ac:dyDescent="0.2">
      <c r="A597" s="9" t="s">
        <v>1595</v>
      </c>
      <c r="B597" s="9" t="s">
        <v>1591</v>
      </c>
      <c r="C597" s="9" t="s">
        <v>139</v>
      </c>
      <c r="D597" s="9" t="s">
        <v>148</v>
      </c>
      <c r="E597" s="154">
        <v>336706.09286402818</v>
      </c>
      <c r="F597" s="154">
        <v>332498.63996408897</v>
      </c>
      <c r="G597" s="154">
        <v>44.192565261314506</v>
      </c>
      <c r="H597" s="154">
        <v>1068.1126058550556</v>
      </c>
      <c r="I597" s="154">
        <v>1.0873839107426453</v>
      </c>
      <c r="J597" s="154">
        <v>962.66357831791686</v>
      </c>
      <c r="K597" s="154">
        <v>653607</v>
      </c>
      <c r="L597" s="154">
        <v>643990.57652808982</v>
      </c>
      <c r="M597" s="154">
        <v>91.197996586282727</v>
      </c>
      <c r="N597" s="154">
        <v>4.5894303552369111</v>
      </c>
      <c r="O597" s="154">
        <v>22.929772502946232</v>
      </c>
      <c r="P597" s="154">
        <v>1.818845019358746</v>
      </c>
      <c r="Q597" s="154">
        <v>1960.0764409099615</v>
      </c>
      <c r="R597" s="154">
        <v>3685.0374179149735</v>
      </c>
      <c r="S597" s="154">
        <v>1.1734527081497561</v>
      </c>
      <c r="T597" s="154">
        <v>1.8813625821959326</v>
      </c>
      <c r="U597" s="154">
        <v>1.9334191738444291</v>
      </c>
      <c r="V597" s="154">
        <v>2878.5495571907677</v>
      </c>
      <c r="W597" s="154">
        <v>2035.6935389106375</v>
      </c>
      <c r="X597" s="154">
        <v>54.315197885641759</v>
      </c>
      <c r="Y597" s="154">
        <v>2478.7972146401603</v>
      </c>
      <c r="Z597" s="154">
        <v>1.1670560753702899</v>
      </c>
      <c r="AC597" s="28" t="s">
        <v>421</v>
      </c>
      <c r="AD597" s="28" t="s">
        <v>421</v>
      </c>
      <c r="AE597" s="9" t="s">
        <v>1626</v>
      </c>
      <c r="AF597" s="28" t="s">
        <v>1626</v>
      </c>
      <c r="AG597" s="28">
        <v>0.39700000000000002</v>
      </c>
      <c r="AH597" s="28">
        <v>32.819600000000001</v>
      </c>
      <c r="AI597" s="28" t="s">
        <v>1626</v>
      </c>
      <c r="AJ597" s="28" t="s">
        <v>1626</v>
      </c>
      <c r="AK597" s="28" t="s">
        <v>1626</v>
      </c>
      <c r="AL597" s="28">
        <v>65.360699999999994</v>
      </c>
      <c r="AM597" s="28" t="s">
        <v>1626</v>
      </c>
      <c r="AN597" s="28">
        <v>0.65849999999999997</v>
      </c>
      <c r="AO597" s="28" t="s">
        <v>1626</v>
      </c>
      <c r="AP597" s="156">
        <f t="shared" si="10"/>
        <v>99.235799999999998</v>
      </c>
    </row>
    <row r="598" spans="1:42" x14ac:dyDescent="0.2">
      <c r="A598" s="9" t="s">
        <v>1596</v>
      </c>
      <c r="B598" s="9" t="s">
        <v>1597</v>
      </c>
      <c r="C598" s="9" t="s">
        <v>139</v>
      </c>
      <c r="D598" s="9" t="s">
        <v>149</v>
      </c>
      <c r="E598" s="154">
        <v>343679.33489285986</v>
      </c>
      <c r="F598" s="154">
        <v>336858.69282163377</v>
      </c>
      <c r="G598" s="154">
        <v>55.381877722360578</v>
      </c>
      <c r="H598" s="154">
        <v>1860.6162897779116</v>
      </c>
      <c r="I598" s="154">
        <v>2.3182734928458557</v>
      </c>
      <c r="J598" s="154">
        <v>1687.6874124337041</v>
      </c>
      <c r="K598" s="154">
        <v>656115.00000000012</v>
      </c>
      <c r="L598" s="154">
        <v>654560.040422822</v>
      </c>
      <c r="M598" s="154">
        <v>65.244955745592762</v>
      </c>
      <c r="N598" s="154">
        <v>4.6167566071561623</v>
      </c>
      <c r="O598" s="154">
        <v>26.437551199185823</v>
      </c>
      <c r="P598" s="154" t="s">
        <v>421</v>
      </c>
      <c r="Q598" s="154">
        <v>1048.4395004609303</v>
      </c>
      <c r="R598" s="154">
        <v>3553.2757950070295</v>
      </c>
      <c r="S598" s="154">
        <v>18.266259028568232</v>
      </c>
      <c r="T598" s="154">
        <v>3.4555861415132454</v>
      </c>
      <c r="U598" s="154">
        <v>3.4776125043999007</v>
      </c>
      <c r="V598" s="154">
        <v>3266.8907027675118</v>
      </c>
      <c r="W598" s="154">
        <v>251.74270654997977</v>
      </c>
      <c r="X598" s="154">
        <v>60.365745840083655</v>
      </c>
      <c r="Y598" s="154">
        <v>2652.6770567709373</v>
      </c>
      <c r="Z598" s="154">
        <v>18.254510035687087</v>
      </c>
      <c r="AC598" s="28" t="s">
        <v>421</v>
      </c>
      <c r="AD598" s="28" t="s">
        <v>421</v>
      </c>
      <c r="AE598" s="9" t="s">
        <v>1626</v>
      </c>
      <c r="AF598" s="28" t="s">
        <v>1626</v>
      </c>
      <c r="AG598" s="28">
        <v>0.2382</v>
      </c>
      <c r="AH598" s="28">
        <v>32.805900000000001</v>
      </c>
      <c r="AI598" s="28" t="s">
        <v>1626</v>
      </c>
      <c r="AJ598" s="28" t="s">
        <v>1626</v>
      </c>
      <c r="AK598" s="28" t="s">
        <v>1626</v>
      </c>
      <c r="AL598" s="28">
        <v>65.611500000000007</v>
      </c>
      <c r="AM598" s="28" t="s">
        <v>1626</v>
      </c>
      <c r="AN598" s="28">
        <v>0.41889999999999999</v>
      </c>
      <c r="AO598" s="28" t="s">
        <v>1626</v>
      </c>
      <c r="AP598" s="156">
        <f t="shared" si="10"/>
        <v>99.0745</v>
      </c>
    </row>
    <row r="599" spans="1:42" x14ac:dyDescent="0.2">
      <c r="A599" s="9" t="s">
        <v>1598</v>
      </c>
      <c r="B599" s="9" t="s">
        <v>1599</v>
      </c>
      <c r="C599" s="9" t="s">
        <v>139</v>
      </c>
      <c r="D599" s="9" t="s">
        <v>149</v>
      </c>
      <c r="E599" s="154">
        <v>343384.5445216315</v>
      </c>
      <c r="F599" s="154">
        <v>338670.0775535212</v>
      </c>
      <c r="G599" s="154">
        <v>8.3869726898968509</v>
      </c>
      <c r="H599" s="154">
        <v>735.88422447291009</v>
      </c>
      <c r="I599" s="154">
        <v>0.95058003766164034</v>
      </c>
      <c r="J599" s="154">
        <v>458.60509976624951</v>
      </c>
      <c r="K599" s="154">
        <v>652644</v>
      </c>
      <c r="L599" s="154">
        <v>650014.5876006824</v>
      </c>
      <c r="M599" s="154">
        <v>8.3122280231719472</v>
      </c>
      <c r="N599" s="154">
        <v>0.54915006020601842</v>
      </c>
      <c r="O599" s="154">
        <v>2.4218931382713969</v>
      </c>
      <c r="P599" s="154" t="s">
        <v>421</v>
      </c>
      <c r="Q599" s="154">
        <v>218.68225269313015</v>
      </c>
      <c r="R599" s="154">
        <v>3309.9368656876736</v>
      </c>
      <c r="S599" s="154" t="s">
        <v>421</v>
      </c>
      <c r="T599" s="154">
        <v>0.46473188107968016</v>
      </c>
      <c r="U599" s="154" t="s">
        <v>421</v>
      </c>
      <c r="V599" s="154">
        <v>140.15530864006638</v>
      </c>
      <c r="W599" s="154">
        <v>2006.1498554025222</v>
      </c>
      <c r="X599" s="154">
        <v>6.4918058054127883</v>
      </c>
      <c r="Y599" s="154">
        <v>274.45233859467385</v>
      </c>
      <c r="Z599" s="154" t="s">
        <v>421</v>
      </c>
      <c r="AC599" s="28" t="s">
        <v>421</v>
      </c>
      <c r="AD599" s="28" t="s">
        <v>421</v>
      </c>
      <c r="AE599" s="9" t="s">
        <v>1626</v>
      </c>
      <c r="AF599" s="28" t="s">
        <v>1626</v>
      </c>
      <c r="AG599" s="28">
        <v>0.48159999999999997</v>
      </c>
      <c r="AH599" s="28">
        <v>32.694600000000001</v>
      </c>
      <c r="AI599" s="28" t="s">
        <v>1626</v>
      </c>
      <c r="AJ599" s="28" t="s">
        <v>1626</v>
      </c>
      <c r="AK599" s="28" t="s">
        <v>1626</v>
      </c>
      <c r="AL599" s="28">
        <v>65.264399999999995</v>
      </c>
      <c r="AM599" s="28" t="s">
        <v>1626</v>
      </c>
      <c r="AN599" s="28">
        <v>0.12470000000000001</v>
      </c>
      <c r="AO599" s="28" t="s">
        <v>1626</v>
      </c>
      <c r="AP599" s="156">
        <f t="shared" si="10"/>
        <v>98.565299999999993</v>
      </c>
    </row>
    <row r="600" spans="1:42" x14ac:dyDescent="0.2">
      <c r="A600" s="9" t="s">
        <v>1600</v>
      </c>
      <c r="B600" s="9" t="s">
        <v>1601</v>
      </c>
      <c r="C600" s="9" t="s">
        <v>139</v>
      </c>
      <c r="D600" s="9" t="s">
        <v>149</v>
      </c>
      <c r="E600" s="154">
        <v>333020.05088616587</v>
      </c>
      <c r="F600" s="154">
        <v>343531.58733165154</v>
      </c>
      <c r="G600" s="154">
        <v>21.27121133849538</v>
      </c>
      <c r="H600" s="154">
        <v>1120.3782842171415</v>
      </c>
      <c r="I600" s="154">
        <v>0.60224704451887789</v>
      </c>
      <c r="J600" s="154">
        <v>141.89056219153636</v>
      </c>
      <c r="K600" s="154">
        <v>655111</v>
      </c>
      <c r="L600" s="154">
        <v>638514.21551412647</v>
      </c>
      <c r="M600" s="154">
        <v>74.69281211029238</v>
      </c>
      <c r="N600" s="154">
        <v>2.2493961491226693</v>
      </c>
      <c r="O600" s="154">
        <v>1.7200773011274182</v>
      </c>
      <c r="P600" s="154" t="s">
        <v>421</v>
      </c>
      <c r="Q600" s="154">
        <v>266.61924099640692</v>
      </c>
      <c r="R600" s="154">
        <v>1169.0380789882413</v>
      </c>
      <c r="S600" s="154" t="s">
        <v>421</v>
      </c>
      <c r="T600" s="154">
        <v>0.43180571088890513</v>
      </c>
      <c r="U600" s="154">
        <v>0.31788084669626521</v>
      </c>
      <c r="V600" s="154">
        <v>245.85485569921244</v>
      </c>
      <c r="W600" s="154">
        <v>751.14547450600332</v>
      </c>
      <c r="X600" s="154">
        <v>23.999314970960143</v>
      </c>
      <c r="Y600" s="154">
        <v>251.38112072959976</v>
      </c>
      <c r="Z600" s="154" t="s">
        <v>421</v>
      </c>
      <c r="AC600" s="28" t="s">
        <v>421</v>
      </c>
      <c r="AD600" s="28" t="s">
        <v>421</v>
      </c>
      <c r="AE600" s="9" t="s">
        <v>1626</v>
      </c>
      <c r="AF600" s="28" t="s">
        <v>1626</v>
      </c>
      <c r="AG600" s="28">
        <v>0.1469</v>
      </c>
      <c r="AH600" s="28">
        <v>32.856000000000002</v>
      </c>
      <c r="AI600" s="28" t="s">
        <v>1626</v>
      </c>
      <c r="AJ600" s="28" t="s">
        <v>1626</v>
      </c>
      <c r="AK600" s="28" t="s">
        <v>1626</v>
      </c>
      <c r="AL600" s="28">
        <v>65.511099999999999</v>
      </c>
      <c r="AM600" s="28" t="s">
        <v>1626</v>
      </c>
      <c r="AN600" s="28">
        <v>0.25059999999999999</v>
      </c>
      <c r="AO600" s="28" t="s">
        <v>1626</v>
      </c>
      <c r="AP600" s="156">
        <f t="shared" si="10"/>
        <v>98.764600000000016</v>
      </c>
    </row>
    <row r="601" spans="1:42" x14ac:dyDescent="0.2">
      <c r="A601" s="9" t="s">
        <v>1602</v>
      </c>
      <c r="B601" s="9" t="s">
        <v>1603</v>
      </c>
      <c r="C601" s="9" t="s">
        <v>139</v>
      </c>
      <c r="D601" s="9" t="s">
        <v>149</v>
      </c>
      <c r="E601" s="154">
        <v>347719.20101735368</v>
      </c>
      <c r="F601" s="154">
        <v>339047.55375807296</v>
      </c>
      <c r="G601" s="154">
        <v>1.4508619151936843</v>
      </c>
      <c r="H601" s="154">
        <v>1038.2790935526134</v>
      </c>
      <c r="I601" s="154">
        <v>15.574104003106211</v>
      </c>
      <c r="J601" s="154">
        <v>502.2319615491927</v>
      </c>
      <c r="K601" s="154">
        <v>660824.00000000012</v>
      </c>
      <c r="L601" s="154">
        <v>665133.33424980368</v>
      </c>
      <c r="M601" s="154">
        <v>347.49850417000994</v>
      </c>
      <c r="N601" s="154">
        <v>6.415150255721854</v>
      </c>
      <c r="O601" s="154">
        <v>14.049064965384673</v>
      </c>
      <c r="P601" s="154">
        <v>2.0479813906140394</v>
      </c>
      <c r="Q601" s="154">
        <v>64.589141132940142</v>
      </c>
      <c r="R601" s="154">
        <v>3493.2310100796294</v>
      </c>
      <c r="S601" s="154">
        <v>5.1652638886847263E-2</v>
      </c>
      <c r="T601" s="154">
        <v>1.6056219426721805</v>
      </c>
      <c r="U601" s="154">
        <v>2.0457556263209775</v>
      </c>
      <c r="V601" s="154">
        <v>522.77219704070308</v>
      </c>
      <c r="W601" s="154">
        <v>3.773600636512954</v>
      </c>
      <c r="X601" s="154">
        <v>0.2066345962608602</v>
      </c>
      <c r="Y601" s="154">
        <v>80.791195561317011</v>
      </c>
      <c r="Z601" s="154">
        <v>4.619352428176185E-2</v>
      </c>
      <c r="AC601" s="28" t="s">
        <v>421</v>
      </c>
      <c r="AD601" s="28" t="s">
        <v>421</v>
      </c>
      <c r="AE601" s="9" t="s">
        <v>1626</v>
      </c>
      <c r="AF601" s="28" t="s">
        <v>1626</v>
      </c>
      <c r="AG601" s="28">
        <v>0.33339999999999997</v>
      </c>
      <c r="AH601" s="28">
        <v>32.905299999999997</v>
      </c>
      <c r="AI601" s="28" t="s">
        <v>1626</v>
      </c>
      <c r="AJ601" s="28" t="s">
        <v>1626</v>
      </c>
      <c r="AK601" s="28" t="s">
        <v>1626</v>
      </c>
      <c r="AL601" s="28">
        <v>66.082400000000007</v>
      </c>
      <c r="AM601" s="28" t="s">
        <v>1626</v>
      </c>
      <c r="AN601" s="28">
        <v>0.15679999999999999</v>
      </c>
      <c r="AO601" s="28" t="s">
        <v>1626</v>
      </c>
      <c r="AP601" s="156">
        <f t="shared" si="10"/>
        <v>99.477900000000005</v>
      </c>
    </row>
    <row r="602" spans="1:42" x14ac:dyDescent="0.2">
      <c r="A602" s="9" t="s">
        <v>1604</v>
      </c>
      <c r="B602" s="9" t="s">
        <v>1605</v>
      </c>
      <c r="C602" s="9" t="s">
        <v>139</v>
      </c>
      <c r="D602" s="9" t="s">
        <v>149</v>
      </c>
      <c r="E602" s="154">
        <v>343236.86750076036</v>
      </c>
      <c r="F602" s="154">
        <v>341710.38830191252</v>
      </c>
      <c r="G602" s="154">
        <v>5.225143843338051</v>
      </c>
      <c r="H602" s="154">
        <v>1625.5743423798529</v>
      </c>
      <c r="I602" s="154">
        <v>9.6809192995730164</v>
      </c>
      <c r="J602" s="154">
        <v>452.44361469696963</v>
      </c>
      <c r="K602" s="154">
        <v>661472</v>
      </c>
      <c r="L602" s="154">
        <v>670953.61477534589</v>
      </c>
      <c r="M602" s="154">
        <v>62.371581484696186</v>
      </c>
      <c r="N602" s="154">
        <v>8.1212699897408474</v>
      </c>
      <c r="O602" s="154">
        <v>11.111131729084967</v>
      </c>
      <c r="P602" s="154" t="s">
        <v>421</v>
      </c>
      <c r="Q602" s="154">
        <v>120.57272801782965</v>
      </c>
      <c r="R602" s="154">
        <v>1641.1688547766223</v>
      </c>
      <c r="S602" s="154">
        <v>2.3228658391677183E-2</v>
      </c>
      <c r="T602" s="154">
        <v>3.0532871812983569</v>
      </c>
      <c r="U602" s="154">
        <v>2.8210974022016582</v>
      </c>
      <c r="V602" s="154">
        <v>643.63305824116082</v>
      </c>
      <c r="W602" s="154">
        <v>9.8543464824391229</v>
      </c>
      <c r="X602" s="154">
        <v>1.4282630179116091</v>
      </c>
      <c r="Y602" s="154">
        <v>142.19774757229001</v>
      </c>
      <c r="Z602" s="154">
        <v>1.2847481975262769E-2</v>
      </c>
      <c r="AC602" s="28" t="s">
        <v>421</v>
      </c>
      <c r="AD602" s="28" t="s">
        <v>421</v>
      </c>
      <c r="AE602" s="9" t="s">
        <v>1626</v>
      </c>
      <c r="AF602" s="28" t="s">
        <v>1626</v>
      </c>
      <c r="AG602" s="28">
        <v>0.21560000000000001</v>
      </c>
      <c r="AH602" s="28">
        <v>32.849299999999999</v>
      </c>
      <c r="AI602" s="28" t="s">
        <v>1626</v>
      </c>
      <c r="AJ602" s="28" t="s">
        <v>1626</v>
      </c>
      <c r="AK602" s="28" t="s">
        <v>1626</v>
      </c>
      <c r="AL602" s="28">
        <v>66.147199999999998</v>
      </c>
      <c r="AM602" s="28" t="s">
        <v>1626</v>
      </c>
      <c r="AN602" s="28">
        <v>0.23830000000000001</v>
      </c>
      <c r="AO602" s="28" t="s">
        <v>1626</v>
      </c>
      <c r="AP602" s="156">
        <f t="shared" si="10"/>
        <v>99.450399999999988</v>
      </c>
    </row>
    <row r="603" spans="1:42" ht="12" thickBot="1" x14ac:dyDescent="0.25">
      <c r="A603" s="25" t="s">
        <v>1606</v>
      </c>
      <c r="B603" s="25" t="s">
        <v>1607</v>
      </c>
      <c r="C603" s="25" t="s">
        <v>139</v>
      </c>
      <c r="D603" s="25" t="s">
        <v>149</v>
      </c>
      <c r="E603" s="155">
        <v>336019.78905235324</v>
      </c>
      <c r="F603" s="155">
        <v>337117.90222959634</v>
      </c>
      <c r="G603" s="155">
        <v>2.8996536617013708</v>
      </c>
      <c r="H603" s="155">
        <v>1889.8855139837826</v>
      </c>
      <c r="I603" s="155">
        <v>31.392609863598533</v>
      </c>
      <c r="J603" s="155">
        <v>731.67376484412114</v>
      </c>
      <c r="K603" s="155">
        <v>646806</v>
      </c>
      <c r="L603" s="155">
        <v>646959.67690829665</v>
      </c>
      <c r="M603" s="155">
        <v>421.82385521238155</v>
      </c>
      <c r="N603" s="155">
        <v>40.200705865740716</v>
      </c>
      <c r="O603" s="155">
        <v>18.737631879950175</v>
      </c>
      <c r="P603" s="155">
        <v>1.7561189585919199</v>
      </c>
      <c r="Q603" s="155">
        <v>91.942361449722128</v>
      </c>
      <c r="R603" s="155">
        <v>7724.34560256442</v>
      </c>
      <c r="S603" s="155">
        <v>3.7968998152359883</v>
      </c>
      <c r="T603" s="155">
        <v>35.538054891038897</v>
      </c>
      <c r="U603" s="155">
        <v>34.23897245194609</v>
      </c>
      <c r="V603" s="155">
        <v>666.44980057513135</v>
      </c>
      <c r="W603" s="155">
        <v>12.782178100493782</v>
      </c>
      <c r="X603" s="155">
        <v>0.58137334060912482</v>
      </c>
      <c r="Y603" s="155">
        <v>159.31814756493114</v>
      </c>
      <c r="Z603" s="155">
        <v>3.6760704286064558</v>
      </c>
      <c r="AC603" s="28" t="s">
        <v>421</v>
      </c>
      <c r="AD603" s="28" t="s">
        <v>421</v>
      </c>
      <c r="AE603" s="9" t="s">
        <v>1626</v>
      </c>
      <c r="AF603" s="28" t="s">
        <v>1626</v>
      </c>
      <c r="AG603" s="28">
        <v>1.5742</v>
      </c>
      <c r="AH603" s="28">
        <v>32.808500000000002</v>
      </c>
      <c r="AI603" s="28" t="s">
        <v>1626</v>
      </c>
      <c r="AJ603" s="28" t="s">
        <v>1626</v>
      </c>
      <c r="AK603" s="28" t="s">
        <v>1626</v>
      </c>
      <c r="AL603" s="28">
        <v>64.680599999999998</v>
      </c>
      <c r="AM603" s="28" t="s">
        <v>1626</v>
      </c>
      <c r="AN603" s="28">
        <v>0.54710000000000003</v>
      </c>
      <c r="AO603" s="28" t="s">
        <v>1626</v>
      </c>
      <c r="AP603" s="156">
        <f t="shared" si="10"/>
        <v>99.610399999999998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opLeftCell="A61" zoomScaleNormal="100" workbookViewId="0">
      <selection activeCell="F27" sqref="F27"/>
    </sheetView>
  </sheetViews>
  <sheetFormatPr baseColWidth="10" defaultRowHeight="11.25" x14ac:dyDescent="0.2"/>
  <cols>
    <col min="1" max="1" width="5.42578125" style="9" bestFit="1" customWidth="1"/>
    <col min="2" max="2" width="9.5703125" style="9" bestFit="1" customWidth="1"/>
    <col min="3" max="10" width="11.42578125" style="9"/>
    <col min="11" max="11" width="18.28515625" style="9" bestFit="1" customWidth="1"/>
    <col min="12" max="16384" width="11.42578125" style="9"/>
  </cols>
  <sheetData>
    <row r="1" spans="1:17" x14ac:dyDescent="0.2">
      <c r="A1" s="9" t="s">
        <v>0</v>
      </c>
    </row>
    <row r="3" spans="1:17" x14ac:dyDescent="0.2">
      <c r="A3" s="9" t="s">
        <v>416</v>
      </c>
    </row>
    <row r="4" spans="1:17" ht="12" thickBot="1" x14ac:dyDescent="0.25"/>
    <row r="5" spans="1:17" s="10" customFormat="1" ht="18.75" customHeight="1" x14ac:dyDescent="0.3">
      <c r="A5" s="31"/>
      <c r="B5" s="31"/>
      <c r="C5" s="31"/>
      <c r="D5" s="31" t="s">
        <v>73</v>
      </c>
      <c r="E5" s="31" t="s">
        <v>73</v>
      </c>
      <c r="F5" s="31" t="s">
        <v>73</v>
      </c>
      <c r="G5" s="31" t="s">
        <v>74</v>
      </c>
      <c r="H5" s="31" t="s">
        <v>74</v>
      </c>
      <c r="I5" s="31" t="s">
        <v>74</v>
      </c>
      <c r="J5" s="31"/>
      <c r="K5" s="31" t="s">
        <v>333</v>
      </c>
      <c r="L5" s="31" t="s">
        <v>73</v>
      </c>
      <c r="M5" s="31" t="s">
        <v>73</v>
      </c>
      <c r="N5" s="31" t="s">
        <v>73</v>
      </c>
      <c r="O5" s="31" t="s">
        <v>74</v>
      </c>
      <c r="P5" s="31" t="s">
        <v>74</v>
      </c>
      <c r="Q5" s="31" t="s">
        <v>74</v>
      </c>
    </row>
    <row r="6" spans="1:17" s="10" customFormat="1" ht="18.75" customHeight="1" thickBot="1" x14ac:dyDescent="0.35">
      <c r="A6" s="32"/>
      <c r="B6" s="32"/>
      <c r="C6" s="32"/>
      <c r="D6" s="32" t="s">
        <v>75</v>
      </c>
      <c r="E6" s="32" t="s">
        <v>76</v>
      </c>
      <c r="F6" s="32" t="s">
        <v>77</v>
      </c>
      <c r="G6" s="32" t="s">
        <v>78</v>
      </c>
      <c r="H6" s="32" t="s">
        <v>79</v>
      </c>
      <c r="I6" s="32" t="s">
        <v>80</v>
      </c>
      <c r="J6" s="32"/>
      <c r="K6" s="32"/>
      <c r="L6" s="32" t="s">
        <v>75</v>
      </c>
      <c r="M6" s="32" t="s">
        <v>76</v>
      </c>
      <c r="N6" s="32" t="s">
        <v>77</v>
      </c>
      <c r="O6" s="32" t="s">
        <v>78</v>
      </c>
      <c r="P6" s="32" t="s">
        <v>79</v>
      </c>
      <c r="Q6" s="32" t="s">
        <v>80</v>
      </c>
    </row>
    <row r="7" spans="1:17" ht="12" thickTop="1" x14ac:dyDescent="0.2">
      <c r="A7" s="9" t="s">
        <v>81</v>
      </c>
      <c r="B7" s="9" t="s">
        <v>82</v>
      </c>
      <c r="C7" s="9" t="s">
        <v>83</v>
      </c>
      <c r="D7" s="27">
        <v>92529.24504705485</v>
      </c>
      <c r="E7" s="27">
        <v>1689.9378190361865</v>
      </c>
      <c r="F7" s="27">
        <v>245.49258466309877</v>
      </c>
      <c r="G7" s="28">
        <v>11.960434304298106</v>
      </c>
      <c r="H7" s="28">
        <v>0.26142729136913834</v>
      </c>
      <c r="I7" s="28">
        <v>1.9863833542025405E-2</v>
      </c>
      <c r="J7" s="28"/>
      <c r="K7" s="9" t="s">
        <v>84</v>
      </c>
      <c r="L7" s="27">
        <v>1839.6120948959704</v>
      </c>
      <c r="M7" s="27">
        <v>205.87457976031843</v>
      </c>
      <c r="N7" s="27">
        <v>111.15707430644299</v>
      </c>
      <c r="O7" s="28">
        <v>0.12662469732770662</v>
      </c>
      <c r="P7" s="28">
        <v>3.2040588397982052E-2</v>
      </c>
      <c r="Q7" s="28">
        <v>3.1110255543791345E-2</v>
      </c>
    </row>
    <row r="8" spans="1:17" x14ac:dyDescent="0.2">
      <c r="A8" s="9" t="s">
        <v>81</v>
      </c>
      <c r="B8" s="9" t="s">
        <v>85</v>
      </c>
      <c r="C8" s="9" t="s">
        <v>83</v>
      </c>
      <c r="D8" s="27">
        <v>88389.05905930564</v>
      </c>
      <c r="E8" s="27">
        <v>427.6138819495892</v>
      </c>
      <c r="F8" s="27">
        <v>262.67808171675728</v>
      </c>
      <c r="G8" s="28">
        <v>11.264285985939777</v>
      </c>
      <c r="H8" s="28">
        <v>5.0963095193591761E-2</v>
      </c>
      <c r="I8" s="28">
        <v>1.9664989131959205E-2</v>
      </c>
      <c r="J8" s="28"/>
      <c r="K8" s="9" t="s">
        <v>84</v>
      </c>
      <c r="L8" s="27">
        <v>3013.2932451389788</v>
      </c>
      <c r="M8" s="27">
        <v>193.13485200505434</v>
      </c>
      <c r="N8" s="27">
        <v>53.294698127008623</v>
      </c>
      <c r="O8" s="28">
        <v>0.10303014880444795</v>
      </c>
      <c r="P8" s="28">
        <v>2.9831231479031408E-2</v>
      </c>
      <c r="Q8" s="28">
        <v>1.1315017443781801E-2</v>
      </c>
    </row>
    <row r="9" spans="1:17" x14ac:dyDescent="0.2">
      <c r="A9" s="9" t="s">
        <v>81</v>
      </c>
      <c r="B9" s="9" t="s">
        <v>86</v>
      </c>
      <c r="C9" s="9" t="s">
        <v>83</v>
      </c>
      <c r="D9" s="27">
        <v>99130.611754561847</v>
      </c>
      <c r="E9" s="27">
        <v>1132.8989572578819</v>
      </c>
      <c r="F9" s="27">
        <v>1226.2503055622549</v>
      </c>
      <c r="G9" s="28">
        <v>13.012865451789269</v>
      </c>
      <c r="H9" s="28">
        <v>0.1868710240475959</v>
      </c>
      <c r="I9" s="28">
        <v>0.23311569965620157</v>
      </c>
      <c r="J9" s="28"/>
      <c r="K9" s="9" t="s">
        <v>84</v>
      </c>
      <c r="L9" s="27">
        <v>2307.5746579872493</v>
      </c>
      <c r="M9" s="27">
        <v>311.59379047469213</v>
      </c>
      <c r="N9" s="27">
        <v>199.96323716047073</v>
      </c>
      <c r="O9" s="28">
        <v>0.32966889510178715</v>
      </c>
      <c r="P9" s="28">
        <v>6.2051109645871953E-2</v>
      </c>
      <c r="Q9" s="28">
        <v>4.0124590167310986E-2</v>
      </c>
    </row>
    <row r="10" spans="1:17" x14ac:dyDescent="0.2">
      <c r="A10" s="9" t="s">
        <v>81</v>
      </c>
      <c r="B10" s="9" t="s">
        <v>87</v>
      </c>
      <c r="C10" s="9" t="s">
        <v>83</v>
      </c>
      <c r="D10" s="27">
        <v>96364.735658543141</v>
      </c>
      <c r="E10" s="27">
        <v>1356.7311671354566</v>
      </c>
      <c r="F10" s="27">
        <v>396.14460532186621</v>
      </c>
      <c r="G10" s="28">
        <v>12.38939424782517</v>
      </c>
      <c r="H10" s="28">
        <v>0.22912970948422223</v>
      </c>
      <c r="I10" s="28">
        <v>4.4282054862786559E-2</v>
      </c>
      <c r="J10" s="28"/>
      <c r="K10" s="9" t="s">
        <v>84</v>
      </c>
      <c r="L10" s="27">
        <v>2715.7249035503291</v>
      </c>
      <c r="M10" s="27">
        <v>521.58498620956084</v>
      </c>
      <c r="N10" s="27">
        <v>237.4970619503253</v>
      </c>
      <c r="O10" s="28">
        <v>0.34978395999054412</v>
      </c>
      <c r="P10" s="28">
        <v>8.9406562026136199E-2</v>
      </c>
      <c r="Q10" s="28">
        <v>4.5328589947919919E-2</v>
      </c>
    </row>
    <row r="11" spans="1:17" x14ac:dyDescent="0.2">
      <c r="A11" s="9" t="s">
        <v>81</v>
      </c>
      <c r="B11" s="9" t="s">
        <v>88</v>
      </c>
      <c r="C11" s="9" t="s">
        <v>83</v>
      </c>
      <c r="D11" s="27">
        <v>100650.07856605582</v>
      </c>
      <c r="E11" s="27">
        <v>3347.6624616268696</v>
      </c>
      <c r="F11" s="27">
        <v>829.86635868083431</v>
      </c>
      <c r="G11" s="28">
        <v>13.558762190893111</v>
      </c>
      <c r="H11" s="28">
        <v>0.55265833467978087</v>
      </c>
      <c r="I11" s="28">
        <v>0.14871486656212143</v>
      </c>
      <c r="J11" s="28"/>
      <c r="K11" s="9" t="s">
        <v>84</v>
      </c>
      <c r="L11" s="27">
        <v>5823.705149136953</v>
      </c>
      <c r="M11" s="27">
        <v>1072.7751789580482</v>
      </c>
      <c r="N11" s="27">
        <v>542.41582713003959</v>
      </c>
      <c r="O11" s="28">
        <v>0.90361389571726569</v>
      </c>
      <c r="P11" s="28">
        <v>0.17907278818029998</v>
      </c>
      <c r="Q11" s="28">
        <v>9.0484055317313586E-2</v>
      </c>
    </row>
    <row r="12" spans="1:17" x14ac:dyDescent="0.2">
      <c r="A12" s="9" t="s">
        <v>81</v>
      </c>
      <c r="B12" s="9" t="s">
        <v>89</v>
      </c>
      <c r="C12" s="9" t="s">
        <v>83</v>
      </c>
      <c r="D12" s="27">
        <v>93820.306053073378</v>
      </c>
      <c r="E12" s="27">
        <v>10386.397366487807</v>
      </c>
      <c r="F12" s="27">
        <v>129.9212415174317</v>
      </c>
      <c r="G12" s="28">
        <v>12.193385739983443</v>
      </c>
      <c r="H12" s="28">
        <v>1.8668858650024454</v>
      </c>
      <c r="I12" s="28">
        <v>1.0594796911843956E-2</v>
      </c>
      <c r="J12" s="28"/>
      <c r="K12" s="9" t="s">
        <v>84</v>
      </c>
      <c r="L12" s="27">
        <v>2001.4330048639624</v>
      </c>
      <c r="M12" s="27">
        <v>4739.1672727900268</v>
      </c>
      <c r="N12" s="27">
        <v>51.283723050438276</v>
      </c>
      <c r="O12" s="28">
        <v>0.2120454830926608</v>
      </c>
      <c r="P12" s="28">
        <v>0.84826987853218005</v>
      </c>
      <c r="Q12" s="28">
        <v>8.8562219183276267E-3</v>
      </c>
    </row>
    <row r="13" spans="1:17" x14ac:dyDescent="0.2">
      <c r="A13" s="9" t="s">
        <v>81</v>
      </c>
      <c r="B13" s="9" t="s">
        <v>90</v>
      </c>
      <c r="C13" s="9" t="s">
        <v>83</v>
      </c>
      <c r="D13" s="27">
        <v>99307.094845317697</v>
      </c>
      <c r="E13" s="27">
        <v>12392.301519551462</v>
      </c>
      <c r="F13" s="27">
        <v>75.347359926214494</v>
      </c>
      <c r="G13" s="28">
        <v>12.32789644367274</v>
      </c>
      <c r="H13" s="28">
        <v>2.0734435455475073</v>
      </c>
      <c r="I13" s="28"/>
      <c r="J13" s="28"/>
      <c r="K13" s="9" t="s">
        <v>84</v>
      </c>
      <c r="L13" s="27">
        <v>2375.8424869544738</v>
      </c>
      <c r="M13" s="27">
        <v>1486.7461278830538</v>
      </c>
      <c r="N13" s="27">
        <v>77.900735152076834</v>
      </c>
      <c r="O13" s="28">
        <v>0.26138967725940937</v>
      </c>
      <c r="P13" s="28">
        <v>0.19073864981522065</v>
      </c>
      <c r="Q13" s="28">
        <v>0</v>
      </c>
    </row>
    <row r="14" spans="1:17" x14ac:dyDescent="0.2">
      <c r="A14" s="9" t="s">
        <v>81</v>
      </c>
      <c r="B14" s="9" t="s">
        <v>91</v>
      </c>
      <c r="C14" s="9" t="s">
        <v>83</v>
      </c>
      <c r="D14" s="27">
        <v>101798.21099532179</v>
      </c>
      <c r="E14" s="27">
        <v>8380.1615594705909</v>
      </c>
      <c r="F14" s="27">
        <v>14.143600106458182</v>
      </c>
      <c r="G14" s="28">
        <v>12.910478215994859</v>
      </c>
      <c r="H14" s="28">
        <v>1.3867399391042519</v>
      </c>
      <c r="I14" s="28"/>
      <c r="J14" s="28"/>
      <c r="K14" s="9" t="s">
        <v>84</v>
      </c>
      <c r="L14" s="27">
        <v>4940.1156011836656</v>
      </c>
      <c r="M14" s="27">
        <v>1750.2379638077302</v>
      </c>
      <c r="N14" s="27">
        <v>6.8834108480513416</v>
      </c>
      <c r="O14" s="28">
        <v>0.31071842773374958</v>
      </c>
      <c r="P14" s="28">
        <v>0.30391933140226479</v>
      </c>
      <c r="Q14" s="28">
        <v>0</v>
      </c>
    </row>
    <row r="15" spans="1:17" x14ac:dyDescent="0.2">
      <c r="A15" s="9" t="s">
        <v>81</v>
      </c>
      <c r="B15" s="9" t="s">
        <v>92</v>
      </c>
      <c r="C15" s="9" t="s">
        <v>83</v>
      </c>
      <c r="D15" s="27">
        <v>98842.577323646517</v>
      </c>
      <c r="E15" s="27">
        <v>3881.6207692260177</v>
      </c>
      <c r="F15" s="27">
        <v>60.048116273330891</v>
      </c>
      <c r="G15" s="28">
        <v>12.780370566435961</v>
      </c>
      <c r="H15" s="28">
        <v>0.64009010003561428</v>
      </c>
      <c r="I15" s="28"/>
      <c r="J15" s="28"/>
      <c r="K15" s="9" t="s">
        <v>84</v>
      </c>
      <c r="L15" s="27">
        <v>3491.2401490069237</v>
      </c>
      <c r="M15" s="27">
        <v>474.42071048735033</v>
      </c>
      <c r="N15" s="27">
        <v>5.5749693286001927</v>
      </c>
      <c r="O15" s="28">
        <v>7.4894809789019259E-2</v>
      </c>
      <c r="P15" s="28">
        <v>7.4439287118205882E-2</v>
      </c>
      <c r="Q15" s="28">
        <v>0</v>
      </c>
    </row>
    <row r="16" spans="1:17" x14ac:dyDescent="0.2">
      <c r="A16" s="9" t="s">
        <v>81</v>
      </c>
      <c r="B16" s="9" t="s">
        <v>93</v>
      </c>
      <c r="C16" s="9" t="s">
        <v>83</v>
      </c>
      <c r="D16" s="27">
        <v>87701.882840288119</v>
      </c>
      <c r="E16" s="27">
        <v>1388.3038876645014</v>
      </c>
      <c r="F16" s="27">
        <v>701.44117823443889</v>
      </c>
      <c r="G16" s="28">
        <v>11.542953395542705</v>
      </c>
      <c r="H16" s="28">
        <v>0.23636347381263054</v>
      </c>
      <c r="I16" s="28">
        <v>0.11572846468651099</v>
      </c>
      <c r="J16" s="28"/>
      <c r="K16" s="9" t="s">
        <v>84</v>
      </c>
      <c r="L16" s="27">
        <v>1770.4177587231165</v>
      </c>
      <c r="M16" s="27">
        <v>458.24141166788888</v>
      </c>
      <c r="N16" s="27">
        <v>141.79219250370306</v>
      </c>
      <c r="O16" s="28">
        <v>0.19809925794914005</v>
      </c>
      <c r="P16" s="28">
        <v>0.10631967691824505</v>
      </c>
      <c r="Q16" s="28">
        <v>4.4558065487630846E-2</v>
      </c>
    </row>
    <row r="17" spans="1:17" x14ac:dyDescent="0.2">
      <c r="A17" s="9" t="s">
        <v>81</v>
      </c>
      <c r="B17" s="9" t="s">
        <v>94</v>
      </c>
      <c r="C17" s="9" t="s">
        <v>83</v>
      </c>
      <c r="D17" s="27">
        <v>105064.62547254954</v>
      </c>
      <c r="E17" s="27">
        <v>1013.5406065168523</v>
      </c>
      <c r="F17" s="27">
        <v>527.08123119564993</v>
      </c>
      <c r="G17" s="28">
        <v>13.685312319991455</v>
      </c>
      <c r="H17" s="28">
        <v>0.16754954380714243</v>
      </c>
      <c r="I17" s="28">
        <v>6.7999165316123364E-2</v>
      </c>
      <c r="J17" s="28"/>
      <c r="K17" s="9" t="s">
        <v>84</v>
      </c>
      <c r="L17" s="27">
        <v>2696.2491568370579</v>
      </c>
      <c r="M17" s="27">
        <v>99.175397707162688</v>
      </c>
      <c r="N17" s="27">
        <v>271.18521926898779</v>
      </c>
      <c r="O17" s="28">
        <v>8.6524127913034418E-2</v>
      </c>
      <c r="P17" s="28">
        <v>1.4382239664870624E-2</v>
      </c>
      <c r="Q17" s="28">
        <v>6.2252245367804486E-2</v>
      </c>
    </row>
    <row r="18" spans="1:17" x14ac:dyDescent="0.2">
      <c r="A18" s="9" t="s">
        <v>81</v>
      </c>
      <c r="B18" s="9" t="s">
        <v>95</v>
      </c>
      <c r="C18" s="9" t="s">
        <v>83</v>
      </c>
      <c r="D18" s="27">
        <v>80565.869129200597</v>
      </c>
      <c r="E18" s="27">
        <v>679.55615720297465</v>
      </c>
      <c r="F18" s="27">
        <v>121.53517209319149</v>
      </c>
      <c r="G18" s="28">
        <v>10.860050808745957</v>
      </c>
      <c r="H18" s="28">
        <v>0.11637140451761946</v>
      </c>
      <c r="I18" s="28">
        <v>4.0000000000000001E-3</v>
      </c>
      <c r="J18" s="28"/>
      <c r="K18" s="9" t="s">
        <v>84</v>
      </c>
      <c r="L18" s="27">
        <v>15760.700581576617</v>
      </c>
      <c r="M18" s="27">
        <v>110.62166381037744</v>
      </c>
      <c r="N18" s="27">
        <v>27.256360216387911</v>
      </c>
      <c r="O18" s="28">
        <v>1.6437840884982484</v>
      </c>
      <c r="P18" s="28">
        <v>9.6762815688673006E-3</v>
      </c>
      <c r="Q18" s="28">
        <v>1.47E-2</v>
      </c>
    </row>
    <row r="19" spans="1:17" x14ac:dyDescent="0.2">
      <c r="A19" s="9" t="s">
        <v>81</v>
      </c>
      <c r="B19" s="9" t="s">
        <v>96</v>
      </c>
      <c r="C19" s="9" t="s">
        <v>83</v>
      </c>
      <c r="D19" s="27">
        <v>99869.901084315003</v>
      </c>
      <c r="E19" s="27">
        <v>2062.8054010042724</v>
      </c>
      <c r="F19" s="27">
        <v>612.15619102476535</v>
      </c>
      <c r="G19" s="28">
        <v>12.961485213790814</v>
      </c>
      <c r="H19" s="28">
        <v>0.33294785514393577</v>
      </c>
      <c r="I19" s="28">
        <v>0.10535029751955852</v>
      </c>
      <c r="J19" s="28"/>
      <c r="K19" s="9" t="s">
        <v>84</v>
      </c>
      <c r="L19" s="27">
        <v>2960.6708128084392</v>
      </c>
      <c r="M19" s="27">
        <v>1360.0754801566466</v>
      </c>
      <c r="N19" s="27">
        <v>161.49759340324539</v>
      </c>
      <c r="O19" s="28">
        <v>0.20714328277788802</v>
      </c>
      <c r="P19" s="28">
        <v>0.23840343453901841</v>
      </c>
      <c r="Q19" s="28">
        <v>3.1144749557509632E-2</v>
      </c>
    </row>
    <row r="20" spans="1:17" x14ac:dyDescent="0.2">
      <c r="A20" s="9" t="s">
        <v>81</v>
      </c>
      <c r="B20" s="9" t="s">
        <v>97</v>
      </c>
      <c r="C20" s="9" t="s">
        <v>83</v>
      </c>
      <c r="D20" s="27">
        <v>95232.679454208555</v>
      </c>
      <c r="E20" s="27">
        <v>5271.6349899513889</v>
      </c>
      <c r="F20" s="27">
        <v>628.49974400811618</v>
      </c>
      <c r="G20" s="28">
        <v>12.302470500148695</v>
      </c>
      <c r="H20" s="28">
        <v>0.86829797715251555</v>
      </c>
      <c r="I20" s="28">
        <v>9.9466713539824281E-2</v>
      </c>
      <c r="J20" s="28"/>
      <c r="K20" s="9" t="s">
        <v>84</v>
      </c>
      <c r="L20" s="27">
        <v>2321.235655342346</v>
      </c>
      <c r="M20" s="27">
        <v>2117.7556003701247</v>
      </c>
      <c r="N20" s="27">
        <v>167.48775877737216</v>
      </c>
      <c r="O20" s="28">
        <v>7.4690031344365054E-2</v>
      </c>
      <c r="P20" s="28">
        <v>0.3505108734303245</v>
      </c>
      <c r="Q20" s="28">
        <v>3.8149072649279442E-2</v>
      </c>
    </row>
    <row r="21" spans="1:17" x14ac:dyDescent="0.2">
      <c r="A21" s="9" t="s">
        <v>81</v>
      </c>
      <c r="B21" s="9" t="s">
        <v>98</v>
      </c>
      <c r="C21" s="9" t="s">
        <v>83</v>
      </c>
      <c r="D21" s="27">
        <v>71382.613408209567</v>
      </c>
      <c r="E21" s="27">
        <v>1753.6659047192875</v>
      </c>
      <c r="F21" s="27">
        <v>274.61109606072193</v>
      </c>
      <c r="G21" s="28">
        <v>5.2980709401152639</v>
      </c>
      <c r="H21" s="28">
        <v>0.11600084008723079</v>
      </c>
      <c r="I21" s="28">
        <v>2.9434123890313579E-2</v>
      </c>
      <c r="J21" s="28"/>
      <c r="K21" s="9" t="s">
        <v>84</v>
      </c>
      <c r="L21" s="27">
        <v>11603.303958698811</v>
      </c>
      <c r="M21" s="27">
        <v>1193.8943162568667</v>
      </c>
      <c r="N21" s="27">
        <v>70.774986304408586</v>
      </c>
      <c r="O21" s="28">
        <v>2.9585778924700188</v>
      </c>
      <c r="P21" s="28">
        <v>0.2201856381878653</v>
      </c>
      <c r="Q21" s="28">
        <v>1.5788724616003658E-2</v>
      </c>
    </row>
    <row r="22" spans="1:17" x14ac:dyDescent="0.2">
      <c r="A22" s="9" t="s">
        <v>81</v>
      </c>
      <c r="B22" s="9" t="s">
        <v>99</v>
      </c>
      <c r="C22" s="9" t="s">
        <v>83</v>
      </c>
      <c r="D22" s="27">
        <v>104425.24561743063</v>
      </c>
      <c r="E22" s="27">
        <v>1169.9510860056057</v>
      </c>
      <c r="F22" s="27">
        <v>486.73584930588748</v>
      </c>
      <c r="G22" s="28">
        <v>13.598223403838176</v>
      </c>
      <c r="H22" s="28">
        <v>0.19870271625913008</v>
      </c>
      <c r="I22" s="28">
        <v>7.839623529976604E-2</v>
      </c>
      <c r="J22" s="28"/>
      <c r="K22" s="9" t="s">
        <v>84</v>
      </c>
      <c r="L22" s="27">
        <v>3060.2385647768801</v>
      </c>
      <c r="M22" s="27">
        <v>154.9702362065045</v>
      </c>
      <c r="N22" s="27">
        <v>104.34714339583114</v>
      </c>
      <c r="O22" s="28">
        <v>0.20371207524346727</v>
      </c>
      <c r="P22" s="28">
        <v>2.6627985278650065E-2</v>
      </c>
      <c r="Q22" s="28">
        <v>2.2019645773717598E-2</v>
      </c>
    </row>
    <row r="23" spans="1:17" x14ac:dyDescent="0.2">
      <c r="A23" s="9" t="s">
        <v>81</v>
      </c>
      <c r="B23" s="9" t="s">
        <v>100</v>
      </c>
      <c r="C23" s="9" t="s">
        <v>83</v>
      </c>
      <c r="D23" s="27">
        <v>110163.48517398293</v>
      </c>
      <c r="E23" s="27">
        <v>2831.0835868184809</v>
      </c>
      <c r="F23" s="27">
        <v>133.59195546219269</v>
      </c>
      <c r="G23" s="28">
        <v>13.859687251815089</v>
      </c>
      <c r="H23" s="28">
        <v>0.44556269869509085</v>
      </c>
      <c r="I23" s="28">
        <v>3.1464265445104549E-2</v>
      </c>
      <c r="J23" s="28"/>
      <c r="K23" s="9" t="s">
        <v>84</v>
      </c>
      <c r="L23" s="27">
        <v>9482.7067233376602</v>
      </c>
      <c r="M23" s="27">
        <v>1145.0211852038001</v>
      </c>
      <c r="N23" s="27">
        <v>104.47470065213491</v>
      </c>
      <c r="O23" s="28">
        <v>0.52105684870654945</v>
      </c>
      <c r="P23" s="28">
        <v>0.19334185516850724</v>
      </c>
      <c r="Q23" s="28">
        <v>2.9400000000000025E-3</v>
      </c>
    </row>
    <row r="24" spans="1:17" x14ac:dyDescent="0.2">
      <c r="A24" s="9" t="s">
        <v>81</v>
      </c>
      <c r="B24" s="9" t="s">
        <v>101</v>
      </c>
      <c r="C24" s="9" t="s">
        <v>83</v>
      </c>
      <c r="D24" s="27">
        <v>103806.66682712773</v>
      </c>
      <c r="E24" s="27">
        <v>2079.8501265506493</v>
      </c>
      <c r="F24" s="27">
        <v>514.66914786234793</v>
      </c>
      <c r="G24" s="28">
        <v>13.361099503761929</v>
      </c>
      <c r="H24" s="28">
        <v>0.34243823630172077</v>
      </c>
      <c r="I24" s="28">
        <v>7.100949149697644E-2</v>
      </c>
      <c r="J24" s="28"/>
      <c r="K24" s="9" t="s">
        <v>84</v>
      </c>
      <c r="L24" s="27">
        <v>2749.2437642876121</v>
      </c>
      <c r="M24" s="27">
        <v>347.0855023261841</v>
      </c>
      <c r="N24" s="27">
        <v>152.06487913252286</v>
      </c>
      <c r="O24" s="28">
        <v>0.3462416691055541</v>
      </c>
      <c r="P24" s="28">
        <v>5.5415821747945085E-2</v>
      </c>
      <c r="Q24" s="28">
        <v>4.0159506969085178E-2</v>
      </c>
    </row>
    <row r="25" spans="1:17" x14ac:dyDescent="0.2">
      <c r="A25" s="9" t="s">
        <v>81</v>
      </c>
      <c r="B25" s="9" t="s">
        <v>102</v>
      </c>
      <c r="C25" s="9" t="s">
        <v>83</v>
      </c>
      <c r="D25" s="27">
        <v>84080.73223110204</v>
      </c>
      <c r="E25" s="27">
        <v>1196.4691763556227</v>
      </c>
      <c r="F25" s="27">
        <v>762.72393318678076</v>
      </c>
      <c r="G25" s="28">
        <v>10.932110580365793</v>
      </c>
      <c r="H25" s="28">
        <v>0.19989862098040892</v>
      </c>
      <c r="I25" s="28">
        <v>0.12188468051502548</v>
      </c>
      <c r="J25" s="28"/>
      <c r="K25" s="9" t="s">
        <v>84</v>
      </c>
      <c r="L25" s="27">
        <v>13784.674456908211</v>
      </c>
      <c r="M25" s="27">
        <v>240.55121897769072</v>
      </c>
      <c r="N25" s="27">
        <v>208.17146592024071</v>
      </c>
      <c r="O25" s="28">
        <v>1.7289968664562019</v>
      </c>
      <c r="P25" s="28">
        <v>3.97185889438725E-2</v>
      </c>
      <c r="Q25" s="28">
        <v>4.6131760792822052E-2</v>
      </c>
    </row>
    <row r="26" spans="1:17" x14ac:dyDescent="0.2">
      <c r="A26" s="9" t="s">
        <v>81</v>
      </c>
      <c r="B26" s="9" t="s">
        <v>103</v>
      </c>
      <c r="C26" s="9" t="s">
        <v>83</v>
      </c>
      <c r="D26" s="27">
        <v>77802.50826750038</v>
      </c>
      <c r="E26" s="27">
        <v>4277.7402928135589</v>
      </c>
      <c r="F26" s="27">
        <v>1060.6566478466482</v>
      </c>
      <c r="G26" s="28">
        <v>9.6585616460855377</v>
      </c>
      <c r="H26" s="28">
        <v>0.90400322594660487</v>
      </c>
      <c r="I26" s="28">
        <v>0.25374373566288322</v>
      </c>
      <c r="J26" s="28"/>
      <c r="K26" s="9" t="s">
        <v>84</v>
      </c>
      <c r="L26" s="27">
        <v>16481.940574023516</v>
      </c>
      <c r="M26" s="27">
        <v>2351.3490845122174</v>
      </c>
      <c r="N26" s="27">
        <v>409.32005312158253</v>
      </c>
      <c r="O26" s="28">
        <v>2.3863845929691418</v>
      </c>
      <c r="P26" s="28">
        <v>0.38601068108422976</v>
      </c>
      <c r="Q26" s="28">
        <v>8.8512695699543592E-2</v>
      </c>
    </row>
    <row r="27" spans="1:17" x14ac:dyDescent="0.2">
      <c r="A27" s="9" t="s">
        <v>81</v>
      </c>
      <c r="B27" s="9" t="s">
        <v>104</v>
      </c>
      <c r="C27" s="9" t="s">
        <v>83</v>
      </c>
      <c r="D27" s="27">
        <v>95476.07267940967</v>
      </c>
      <c r="E27" s="27">
        <v>1852.1084317147368</v>
      </c>
      <c r="F27" s="27">
        <v>67.395883887825534</v>
      </c>
      <c r="G27" s="28">
        <v>12.404215576109895</v>
      </c>
      <c r="H27" s="28">
        <v>0.30537996683729213</v>
      </c>
      <c r="I27" s="28">
        <v>1.4999999999999999E-2</v>
      </c>
      <c r="J27" s="28"/>
      <c r="K27" s="9" t="s">
        <v>84</v>
      </c>
      <c r="L27" s="27">
        <v>2051.27217889129</v>
      </c>
      <c r="M27" s="27">
        <v>258.64661263865179</v>
      </c>
      <c r="N27" s="27">
        <v>52.508498127296349</v>
      </c>
      <c r="O27" s="28">
        <v>0.27963651073015006</v>
      </c>
      <c r="P27" s="28">
        <v>4.2225572030859825E-2</v>
      </c>
      <c r="Q27" s="28">
        <v>0</v>
      </c>
    </row>
    <row r="28" spans="1:17" x14ac:dyDescent="0.2">
      <c r="A28" s="9" t="s">
        <v>81</v>
      </c>
      <c r="B28" s="9" t="s">
        <v>105</v>
      </c>
      <c r="C28" s="9" t="s">
        <v>83</v>
      </c>
      <c r="D28" s="27">
        <v>103642.59879857209</v>
      </c>
      <c r="E28" s="27">
        <v>1710.6252025677406</v>
      </c>
      <c r="F28" s="27">
        <v>468.60579884232266</v>
      </c>
      <c r="G28" s="28">
        <v>13.397976766401532</v>
      </c>
      <c r="H28" s="28">
        <v>0.28331898497881475</v>
      </c>
      <c r="I28" s="28">
        <v>7.7069322757588737E-2</v>
      </c>
      <c r="J28" s="28"/>
      <c r="K28" s="9" t="s">
        <v>84</v>
      </c>
      <c r="L28" s="27">
        <v>1882.2913519275853</v>
      </c>
      <c r="M28" s="27">
        <v>558.2586418280996</v>
      </c>
      <c r="N28" s="27">
        <v>62.212420274278422</v>
      </c>
      <c r="O28" s="28">
        <v>0.10369462075408407</v>
      </c>
      <c r="P28" s="28">
        <v>7.485329842060702E-2</v>
      </c>
      <c r="Q28" s="28">
        <v>2.6024079960255651E-2</v>
      </c>
    </row>
    <row r="29" spans="1:17" x14ac:dyDescent="0.2">
      <c r="A29" s="9" t="s">
        <v>81</v>
      </c>
      <c r="B29" s="9" t="s">
        <v>106</v>
      </c>
      <c r="C29" s="9" t="s">
        <v>83</v>
      </c>
      <c r="D29" s="27">
        <v>91403.31550924122</v>
      </c>
      <c r="E29" s="27">
        <v>1521.0730272606079</v>
      </c>
      <c r="F29" s="27">
        <v>252.86449410121949</v>
      </c>
      <c r="G29" s="28">
        <v>10.995713983603364</v>
      </c>
      <c r="H29" s="28">
        <v>0.20851828553580565</v>
      </c>
      <c r="I29" s="28">
        <v>4.2648695872708142E-2</v>
      </c>
      <c r="J29" s="28"/>
      <c r="K29" s="9" t="s">
        <v>84</v>
      </c>
      <c r="L29" s="27">
        <v>13706.400541612995</v>
      </c>
      <c r="M29" s="27">
        <v>532.34581080049395</v>
      </c>
      <c r="N29" s="27">
        <v>133.47782397908986</v>
      </c>
      <c r="O29" s="28">
        <v>2.3090730248792419</v>
      </c>
      <c r="P29" s="28">
        <v>9.4254428145313193E-2</v>
      </c>
      <c r="Q29" s="28">
        <v>2.5704650681669775E-2</v>
      </c>
    </row>
    <row r="30" spans="1:17" x14ac:dyDescent="0.2">
      <c r="A30" s="9" t="s">
        <v>81</v>
      </c>
      <c r="B30" s="9" t="s">
        <v>107</v>
      </c>
      <c r="C30" s="9" t="s">
        <v>83</v>
      </c>
      <c r="D30" s="27">
        <v>95058.807739317665</v>
      </c>
      <c r="E30" s="27">
        <v>1488.0312467631477</v>
      </c>
      <c r="F30" s="27">
        <v>1078.7003901420001</v>
      </c>
      <c r="G30" s="28">
        <v>12.380364746524839</v>
      </c>
      <c r="H30" s="28">
        <v>0.24632141211774955</v>
      </c>
      <c r="I30" s="28">
        <v>0.215</v>
      </c>
      <c r="J30" s="28"/>
      <c r="K30" s="9" t="s">
        <v>84</v>
      </c>
      <c r="L30" s="27">
        <v>4652.311914294718</v>
      </c>
      <c r="M30" s="27">
        <v>780.73769209234433</v>
      </c>
      <c r="N30" s="27">
        <v>716.02437665662853</v>
      </c>
      <c r="O30" s="28">
        <v>0.39530716046020581</v>
      </c>
      <c r="P30" s="28">
        <v>0.11344884544733508</v>
      </c>
      <c r="Q30" s="28">
        <v>0</v>
      </c>
    </row>
    <row r="31" spans="1:17" x14ac:dyDescent="0.2">
      <c r="A31" s="9" t="s">
        <v>81</v>
      </c>
      <c r="B31" s="9" t="s">
        <v>108</v>
      </c>
      <c r="C31" s="9" t="s">
        <v>83</v>
      </c>
      <c r="D31" s="27">
        <v>97486.17322519701</v>
      </c>
      <c r="E31" s="27">
        <v>3072.6244817674333</v>
      </c>
      <c r="F31" s="27">
        <v>1122.6637921793601</v>
      </c>
      <c r="G31" s="28">
        <v>12.297930736070535</v>
      </c>
      <c r="H31" s="28">
        <v>0.51185701028025687</v>
      </c>
      <c r="I31" s="28">
        <v>0.20056288286697013</v>
      </c>
      <c r="J31" s="28"/>
      <c r="K31" s="9" t="s">
        <v>84</v>
      </c>
      <c r="L31" s="27">
        <v>2434.4265446128211</v>
      </c>
      <c r="M31" s="27">
        <v>1457.3841548557677</v>
      </c>
      <c r="N31" s="27">
        <v>485.24754702690893</v>
      </c>
      <c r="O31" s="28">
        <v>0.19070649549766261</v>
      </c>
      <c r="P31" s="28">
        <v>0.23902896832810877</v>
      </c>
      <c r="Q31" s="28">
        <v>9.7489595855147534E-2</v>
      </c>
    </row>
    <row r="32" spans="1:17" x14ac:dyDescent="0.2">
      <c r="A32" s="9" t="s">
        <v>81</v>
      </c>
      <c r="B32" s="9" t="s">
        <v>109</v>
      </c>
      <c r="C32" s="9" t="s">
        <v>83</v>
      </c>
      <c r="D32" s="27">
        <v>86170.871186563803</v>
      </c>
      <c r="E32" s="27">
        <v>834.09398439217807</v>
      </c>
      <c r="F32" s="27">
        <v>547.41404170118756</v>
      </c>
      <c r="G32" s="28">
        <v>10.986864616993465</v>
      </c>
      <c r="H32" s="28">
        <v>0.12014745930194178</v>
      </c>
      <c r="I32" s="28">
        <v>7.9024609220913852E-2</v>
      </c>
      <c r="J32" s="28"/>
      <c r="K32" s="9" t="s">
        <v>84</v>
      </c>
      <c r="L32" s="27">
        <v>13324.950698015369</v>
      </c>
      <c r="M32" s="27">
        <v>313.99534686195557</v>
      </c>
      <c r="N32" s="27">
        <v>120.88025808764623</v>
      </c>
      <c r="O32" s="28">
        <v>1.8772339618971294</v>
      </c>
      <c r="P32" s="28">
        <v>5.9052623989116648E-2</v>
      </c>
      <c r="Q32" s="28">
        <v>2.8150184724083028E-2</v>
      </c>
    </row>
    <row r="33" spans="1:17" x14ac:dyDescent="0.2">
      <c r="A33" s="9" t="s">
        <v>110</v>
      </c>
      <c r="B33" s="9" t="s">
        <v>111</v>
      </c>
      <c r="C33" s="9" t="s">
        <v>83</v>
      </c>
      <c r="D33" s="27">
        <v>18155.769860223558</v>
      </c>
      <c r="E33" s="27">
        <v>359.46013680127828</v>
      </c>
      <c r="F33" s="27">
        <v>0.71819255599486309</v>
      </c>
      <c r="G33" s="28">
        <v>2.0229310466808794</v>
      </c>
      <c r="H33" s="28">
        <v>0.13423402257920528</v>
      </c>
      <c r="I33" s="28"/>
      <c r="J33" s="28"/>
      <c r="K33" s="9" t="s">
        <v>84</v>
      </c>
      <c r="L33" s="27">
        <v>22796.408486950477</v>
      </c>
      <c r="M33" s="27">
        <v>717.30152496759331</v>
      </c>
      <c r="N33" s="27">
        <v>5.3861195766468803</v>
      </c>
      <c r="O33" s="28">
        <v>2.9489951628044064</v>
      </c>
      <c r="P33" s="28">
        <v>0.10195986505799542</v>
      </c>
      <c r="Q33" s="28">
        <v>0</v>
      </c>
    </row>
    <row r="34" spans="1:17" x14ac:dyDescent="0.2">
      <c r="A34" s="9" t="s">
        <v>110</v>
      </c>
      <c r="B34" s="9" t="s">
        <v>112</v>
      </c>
      <c r="C34" s="9" t="s">
        <v>83</v>
      </c>
      <c r="D34" s="27">
        <v>94145.147895872025</v>
      </c>
      <c r="E34" s="27">
        <v>5972.1604484338186</v>
      </c>
      <c r="F34" s="27">
        <v>31.471573386284224</v>
      </c>
      <c r="G34" s="28">
        <v>8.7921415092203787</v>
      </c>
      <c r="H34" s="28">
        <v>0.71820021705100123</v>
      </c>
      <c r="I34" s="28"/>
      <c r="J34" s="28"/>
      <c r="K34" s="9" t="s">
        <v>84</v>
      </c>
      <c r="L34" s="27">
        <v>13974.765371618183</v>
      </c>
      <c r="M34" s="27">
        <v>2177.5213349088463</v>
      </c>
      <c r="N34" s="27">
        <v>10.901080641832259</v>
      </c>
      <c r="O34" s="28">
        <v>2.2674800938882695</v>
      </c>
      <c r="P34" s="28">
        <v>0.37499742080061177</v>
      </c>
      <c r="Q34" s="28">
        <v>0</v>
      </c>
    </row>
    <row r="35" spans="1:17" x14ac:dyDescent="0.2">
      <c r="A35" s="9" t="s">
        <v>110</v>
      </c>
      <c r="B35" s="9" t="s">
        <v>113</v>
      </c>
      <c r="C35" s="9" t="s">
        <v>83</v>
      </c>
      <c r="D35" s="27">
        <v>46070.432437252741</v>
      </c>
      <c r="E35" s="27">
        <v>3101.6032620018477</v>
      </c>
      <c r="F35" s="27">
        <v>1.4713242271132736</v>
      </c>
      <c r="G35" s="28">
        <v>3.5282162590774218</v>
      </c>
      <c r="H35" s="28">
        <v>0.42493820843085917</v>
      </c>
      <c r="I35" s="28"/>
      <c r="J35" s="28"/>
      <c r="K35" s="9" t="s">
        <v>84</v>
      </c>
      <c r="L35" s="27">
        <v>19867.377489866576</v>
      </c>
      <c r="M35" s="27">
        <v>1703.2320191216484</v>
      </c>
      <c r="N35" s="27">
        <v>0.90935727532114852</v>
      </c>
      <c r="O35" s="28">
        <v>2.9454675814750813</v>
      </c>
      <c r="P35" s="28">
        <v>0.29160356292290623</v>
      </c>
      <c r="Q35" s="28">
        <v>0</v>
      </c>
    </row>
    <row r="36" spans="1:17" x14ac:dyDescent="0.2">
      <c r="A36" s="9" t="s">
        <v>110</v>
      </c>
      <c r="B36" s="9" t="s">
        <v>114</v>
      </c>
      <c r="C36" s="9" t="s">
        <v>83</v>
      </c>
      <c r="D36" s="27">
        <v>96240.277291461331</v>
      </c>
      <c r="E36" s="27">
        <v>2386.4375023385464</v>
      </c>
      <c r="F36" s="27">
        <v>46.287551755464044</v>
      </c>
      <c r="G36" s="28">
        <v>12.738542721800215</v>
      </c>
      <c r="H36" s="28">
        <v>0.39181891005156122</v>
      </c>
      <c r="I36" s="28">
        <v>2.7E-2</v>
      </c>
      <c r="J36" s="28"/>
      <c r="K36" s="9" t="s">
        <v>84</v>
      </c>
      <c r="L36" s="27">
        <v>3275.958194102453</v>
      </c>
      <c r="M36" s="27">
        <v>586.69526262632485</v>
      </c>
      <c r="N36" s="27">
        <v>85.059822130401287</v>
      </c>
      <c r="O36" s="28">
        <v>0.38532755908015021</v>
      </c>
      <c r="P36" s="28">
        <v>9.8068467193985445E-2</v>
      </c>
      <c r="Q36" s="28">
        <v>0</v>
      </c>
    </row>
    <row r="37" spans="1:17" x14ac:dyDescent="0.2">
      <c r="A37" s="9" t="s">
        <v>110</v>
      </c>
      <c r="B37" s="9" t="s">
        <v>115</v>
      </c>
      <c r="C37" s="9" t="s">
        <v>83</v>
      </c>
      <c r="D37" s="27">
        <v>86562.13768909761</v>
      </c>
      <c r="E37" s="27">
        <v>3297.7078348284522</v>
      </c>
      <c r="F37" s="27">
        <v>2.8280644358079545</v>
      </c>
      <c r="G37" s="28">
        <v>11.318080572449428</v>
      </c>
      <c r="H37" s="28">
        <v>0.57270011621683459</v>
      </c>
      <c r="I37" s="28"/>
      <c r="J37" s="28"/>
      <c r="K37" s="9" t="s">
        <v>84</v>
      </c>
      <c r="L37" s="27">
        <v>2970.9377658716794</v>
      </c>
      <c r="M37" s="27">
        <v>235.67903753153621</v>
      </c>
      <c r="N37" s="27">
        <v>1.3308673484314832</v>
      </c>
      <c r="O37" s="28">
        <v>0.29899588716978098</v>
      </c>
      <c r="P37" s="28">
        <v>5.6267476683456108E-2</v>
      </c>
      <c r="Q37" s="28">
        <v>0</v>
      </c>
    </row>
    <row r="38" spans="1:17" x14ac:dyDescent="0.2">
      <c r="A38" s="9" t="s">
        <v>110</v>
      </c>
      <c r="B38" s="9" t="s">
        <v>116</v>
      </c>
      <c r="C38" s="9" t="s">
        <v>83</v>
      </c>
      <c r="D38" s="27">
        <v>94899.061936257873</v>
      </c>
      <c r="E38" s="27">
        <v>2288.300104781325</v>
      </c>
      <c r="F38" s="27">
        <v>127.06870512358481</v>
      </c>
      <c r="G38" s="28">
        <v>12.527535813493458</v>
      </c>
      <c r="H38" s="28">
        <v>0.38325499846676203</v>
      </c>
      <c r="I38" s="28">
        <v>1.9286987920074956E-2</v>
      </c>
      <c r="J38" s="28"/>
      <c r="K38" s="9" t="s">
        <v>84</v>
      </c>
      <c r="L38" s="27">
        <v>2080.9858061005725</v>
      </c>
      <c r="M38" s="27">
        <v>1033.2422869031511</v>
      </c>
      <c r="N38" s="27">
        <v>78.646428628520525</v>
      </c>
      <c r="O38" s="28">
        <v>0.38884061892074295</v>
      </c>
      <c r="P38" s="28">
        <v>0.17653580476114941</v>
      </c>
      <c r="Q38" s="28">
        <v>1.9162278918054956E-2</v>
      </c>
    </row>
    <row r="39" spans="1:17" x14ac:dyDescent="0.2">
      <c r="A39" s="9" t="s">
        <v>110</v>
      </c>
      <c r="B39" s="9" t="s">
        <v>117</v>
      </c>
      <c r="C39" s="9" t="s">
        <v>83</v>
      </c>
      <c r="D39" s="27">
        <v>78467.296381097665</v>
      </c>
      <c r="E39" s="27">
        <v>4483.8218364766208</v>
      </c>
      <c r="F39" s="27">
        <v>3.082618264770423</v>
      </c>
      <c r="G39" s="28">
        <v>10.009497967294637</v>
      </c>
      <c r="H39" s="28">
        <v>0.73938379646867169</v>
      </c>
      <c r="I39" s="28"/>
      <c r="J39" s="28"/>
      <c r="K39" s="9" t="s">
        <v>84</v>
      </c>
      <c r="L39" s="27">
        <v>4047.4960924385268</v>
      </c>
      <c r="M39" s="27">
        <v>1521.3108849865616</v>
      </c>
      <c r="N39" s="27">
        <v>1.3981058975776759</v>
      </c>
      <c r="O39" s="28">
        <v>1.0167679594799324</v>
      </c>
      <c r="P39" s="28">
        <v>0.2724321783949174</v>
      </c>
      <c r="Q39" s="28">
        <v>0</v>
      </c>
    </row>
    <row r="40" spans="1:17" x14ac:dyDescent="0.2">
      <c r="A40" s="9" t="s">
        <v>110</v>
      </c>
      <c r="B40" s="9" t="s">
        <v>118</v>
      </c>
      <c r="C40" s="9" t="s">
        <v>83</v>
      </c>
      <c r="D40" s="27">
        <v>94730.268798557634</v>
      </c>
      <c r="E40" s="27">
        <v>1398.7011472683905</v>
      </c>
      <c r="F40" s="27">
        <v>168.29022938512404</v>
      </c>
      <c r="G40" s="28">
        <v>12.866971432114299</v>
      </c>
      <c r="H40" s="28">
        <v>0.25324074310329636</v>
      </c>
      <c r="I40" s="28">
        <v>7.9590748876381696E-3</v>
      </c>
      <c r="J40" s="28"/>
      <c r="K40" s="9" t="s">
        <v>84</v>
      </c>
      <c r="L40" s="27">
        <v>3010.7484026833522</v>
      </c>
      <c r="M40" s="27">
        <v>529.16113195751791</v>
      </c>
      <c r="N40" s="27">
        <v>117.93561600007935</v>
      </c>
      <c r="O40" s="28">
        <v>0.22324096398286791</v>
      </c>
      <c r="P40" s="28">
        <v>0.1041090556419885</v>
      </c>
      <c r="Q40" s="28">
        <v>2.003721249187233E-2</v>
      </c>
    </row>
    <row r="41" spans="1:17" x14ac:dyDescent="0.2">
      <c r="A41" s="9" t="s">
        <v>110</v>
      </c>
      <c r="B41" s="9" t="s">
        <v>119</v>
      </c>
      <c r="C41" s="9" t="s">
        <v>83</v>
      </c>
      <c r="D41" s="27">
        <v>86624.410468418791</v>
      </c>
      <c r="E41" s="27">
        <v>4201.9291755767226</v>
      </c>
      <c r="F41" s="27">
        <v>5.465772147773527</v>
      </c>
      <c r="G41" s="28">
        <v>11.281537143515473</v>
      </c>
      <c r="H41" s="28">
        <v>0.70940918752530635</v>
      </c>
      <c r="I41" s="28"/>
      <c r="J41" s="28"/>
      <c r="K41" s="9" t="s">
        <v>84</v>
      </c>
      <c r="L41" s="27">
        <v>2111.3299833208157</v>
      </c>
      <c r="M41" s="27">
        <v>522.85230758446994</v>
      </c>
      <c r="N41" s="27">
        <v>2.856034484403092</v>
      </c>
      <c r="O41" s="28">
        <v>0.23338798500711008</v>
      </c>
      <c r="P41" s="28">
        <v>9.0303952444843114E-2</v>
      </c>
      <c r="Q41" s="28">
        <v>0</v>
      </c>
    </row>
    <row r="42" spans="1:17" x14ac:dyDescent="0.2">
      <c r="A42" s="9" t="s">
        <v>110</v>
      </c>
      <c r="B42" s="9" t="s">
        <v>120</v>
      </c>
      <c r="C42" s="9" t="s">
        <v>83</v>
      </c>
      <c r="D42" s="27">
        <v>31936.367475735995</v>
      </c>
      <c r="E42" s="27">
        <v>1283.6774851716732</v>
      </c>
      <c r="F42" s="27">
        <v>0.64756164871842015</v>
      </c>
      <c r="G42" s="28">
        <v>3.7168645639695415</v>
      </c>
      <c r="H42" s="28">
        <v>0.26929119648878475</v>
      </c>
      <c r="I42" s="28"/>
      <c r="J42" s="28"/>
      <c r="K42" s="9" t="s">
        <v>84</v>
      </c>
      <c r="L42" s="27">
        <v>18643.451917259983</v>
      </c>
      <c r="M42" s="27">
        <v>1061.4864847384492</v>
      </c>
      <c r="N42" s="27">
        <v>3.2331286581183942</v>
      </c>
      <c r="O42" s="28">
        <v>2.5832659730524581</v>
      </c>
      <c r="P42" s="28">
        <v>0.18197196884727562</v>
      </c>
      <c r="Q42" s="28">
        <v>0</v>
      </c>
    </row>
    <row r="43" spans="1:17" x14ac:dyDescent="0.2">
      <c r="A43" s="9" t="s">
        <v>110</v>
      </c>
      <c r="B43" s="9" t="s">
        <v>121</v>
      </c>
      <c r="C43" s="9" t="s">
        <v>83</v>
      </c>
      <c r="D43" s="27">
        <v>66912.33539097289</v>
      </c>
      <c r="E43" s="27">
        <v>2394.5486652621739</v>
      </c>
      <c r="F43" s="27">
        <v>2.6124386322464326</v>
      </c>
      <c r="G43" s="28">
        <v>6.8614601032435845</v>
      </c>
      <c r="H43" s="28">
        <v>0.31116049455730038</v>
      </c>
      <c r="I43" s="28"/>
      <c r="J43" s="28"/>
      <c r="K43" s="9" t="s">
        <v>84</v>
      </c>
      <c r="L43" s="27">
        <v>21258.666376476172</v>
      </c>
      <c r="M43" s="27">
        <v>496.33210878565973</v>
      </c>
      <c r="N43" s="27">
        <v>0.54135136386191463</v>
      </c>
      <c r="O43" s="28">
        <v>3.0409433139954016</v>
      </c>
      <c r="P43" s="28">
        <v>0.13424717700321795</v>
      </c>
      <c r="Q43" s="28">
        <v>0</v>
      </c>
    </row>
    <row r="44" spans="1:17" x14ac:dyDescent="0.2">
      <c r="A44" s="9" t="s">
        <v>110</v>
      </c>
      <c r="B44" s="9" t="s">
        <v>122</v>
      </c>
      <c r="C44" s="9" t="s">
        <v>83</v>
      </c>
      <c r="D44" s="27">
        <v>91129.46386251779</v>
      </c>
      <c r="E44" s="27">
        <v>5943.7468339757179</v>
      </c>
      <c r="F44" s="27">
        <v>0.93840359626577252</v>
      </c>
      <c r="G44" s="28">
        <v>11.86914715145322</v>
      </c>
      <c r="H44" s="28">
        <v>1.0051743975840957</v>
      </c>
      <c r="I44" s="28"/>
      <c r="J44" s="28"/>
      <c r="K44" s="9" t="s">
        <v>84</v>
      </c>
      <c r="L44" s="27">
        <v>2882.5049676352537</v>
      </c>
      <c r="M44" s="27">
        <v>769.22218408464619</v>
      </c>
      <c r="N44" s="27">
        <v>0.98387862270859316</v>
      </c>
      <c r="O44" s="28">
        <v>0.28435075985987579</v>
      </c>
      <c r="P44" s="28">
        <v>0.12774723414966349</v>
      </c>
      <c r="Q44" s="28">
        <v>0</v>
      </c>
    </row>
    <row r="45" spans="1:17" x14ac:dyDescent="0.2">
      <c r="A45" s="9" t="s">
        <v>110</v>
      </c>
      <c r="B45" s="9" t="s">
        <v>123</v>
      </c>
      <c r="C45" s="9" t="s">
        <v>83</v>
      </c>
      <c r="D45" s="27">
        <v>79606.485351056472</v>
      </c>
      <c r="E45" s="27">
        <v>3771.2516500451939</v>
      </c>
      <c r="F45" s="27">
        <v>2.4509599245060194</v>
      </c>
      <c r="G45" s="28">
        <v>10.275293286491555</v>
      </c>
      <c r="H45" s="28">
        <v>0.56985109319859939</v>
      </c>
      <c r="I45" s="28"/>
      <c r="J45" s="28"/>
      <c r="K45" s="9" t="s">
        <v>84</v>
      </c>
      <c r="L45" s="27">
        <v>2053.1235387670813</v>
      </c>
      <c r="M45" s="27">
        <v>843.44334903270737</v>
      </c>
      <c r="N45" s="27">
        <v>2.3137329175073273</v>
      </c>
      <c r="O45" s="28">
        <v>0.24317905699298994</v>
      </c>
      <c r="P45" s="28">
        <v>9.8686210857106507E-2</v>
      </c>
      <c r="Q45" s="28">
        <v>0</v>
      </c>
    </row>
    <row r="46" spans="1:17" x14ac:dyDescent="0.2">
      <c r="A46" s="9" t="s">
        <v>110</v>
      </c>
      <c r="B46" s="9" t="s">
        <v>124</v>
      </c>
      <c r="C46" s="9" t="s">
        <v>83</v>
      </c>
      <c r="D46" s="27">
        <v>37759.697889816496</v>
      </c>
      <c r="E46" s="27">
        <v>1044.655671788817</v>
      </c>
      <c r="F46" s="27">
        <v>5.7301574819277938</v>
      </c>
      <c r="G46" s="28">
        <v>5.5667094260987984</v>
      </c>
      <c r="H46" s="28">
        <v>0.21723248518714486</v>
      </c>
      <c r="I46" s="28"/>
      <c r="J46" s="28"/>
      <c r="K46" s="9" t="s">
        <v>84</v>
      </c>
      <c r="L46" s="27">
        <v>16748.305352542237</v>
      </c>
      <c r="M46" s="27">
        <v>1190.5446955777516</v>
      </c>
      <c r="N46" s="27">
        <v>7.0874612175853313</v>
      </c>
      <c r="O46" s="28">
        <v>2.3857861095696298</v>
      </c>
      <c r="P46" s="28">
        <v>0.21317964868951397</v>
      </c>
      <c r="Q46" s="28">
        <v>0</v>
      </c>
    </row>
    <row r="47" spans="1:17" x14ac:dyDescent="0.2">
      <c r="A47" s="9" t="s">
        <v>110</v>
      </c>
      <c r="B47" s="9" t="s">
        <v>125</v>
      </c>
      <c r="C47" s="9" t="s">
        <v>83</v>
      </c>
      <c r="D47" s="27">
        <v>89970.813433597286</v>
      </c>
      <c r="E47" s="27">
        <v>1657.1478250460311</v>
      </c>
      <c r="F47" s="27">
        <v>263.5669196825159</v>
      </c>
      <c r="G47" s="28">
        <v>11.861808229922827</v>
      </c>
      <c r="H47" s="28">
        <v>0.28645987111081339</v>
      </c>
      <c r="I47" s="28">
        <v>2.768404040552137E-2</v>
      </c>
      <c r="J47" s="28"/>
      <c r="K47" s="9" t="s">
        <v>84</v>
      </c>
      <c r="L47" s="27">
        <v>3377.6559581215665</v>
      </c>
      <c r="M47" s="27">
        <v>1141.3666956775287</v>
      </c>
      <c r="N47" s="27">
        <v>39.600425112938964</v>
      </c>
      <c r="O47" s="28">
        <v>0.38266558093793607</v>
      </c>
      <c r="P47" s="28">
        <v>0.23048120425763433</v>
      </c>
      <c r="Q47" s="28">
        <v>5.8711043821981683E-3</v>
      </c>
    </row>
    <row r="48" spans="1:17" x14ac:dyDescent="0.2">
      <c r="A48" s="9" t="s">
        <v>110</v>
      </c>
      <c r="B48" s="9" t="s">
        <v>126</v>
      </c>
      <c r="C48" s="9" t="s">
        <v>83</v>
      </c>
      <c r="D48" s="27">
        <v>97914.138376536081</v>
      </c>
      <c r="E48" s="27">
        <v>724.3250046308533</v>
      </c>
      <c r="F48" s="27">
        <v>360.19137200018355</v>
      </c>
      <c r="G48" s="28">
        <v>12.044409065051584</v>
      </c>
      <c r="H48" s="28">
        <v>0.10349619251898318</v>
      </c>
      <c r="I48" s="28">
        <v>4.7673328342963124E-2</v>
      </c>
      <c r="J48" s="28"/>
      <c r="K48" s="9" t="s">
        <v>84</v>
      </c>
      <c r="L48" s="27">
        <v>7034.8025647530994</v>
      </c>
      <c r="M48" s="27">
        <v>365.86746682012682</v>
      </c>
      <c r="N48" s="27">
        <v>176.34311913718238</v>
      </c>
      <c r="O48" s="28">
        <v>0.95667979470666675</v>
      </c>
      <c r="P48" s="28">
        <v>5.8732813467241449E-2</v>
      </c>
      <c r="Q48" s="28">
        <v>3.9412486600061143E-2</v>
      </c>
    </row>
    <row r="49" spans="1:17" x14ac:dyDescent="0.2">
      <c r="A49" s="9" t="s">
        <v>127</v>
      </c>
      <c r="B49" s="9" t="s">
        <v>128</v>
      </c>
      <c r="C49" s="9" t="s">
        <v>83</v>
      </c>
      <c r="D49" s="27">
        <v>9637.2701327961622</v>
      </c>
      <c r="E49" s="27">
        <v>208.1610614839239</v>
      </c>
      <c r="F49" s="27">
        <v>0.23916038143376311</v>
      </c>
      <c r="G49" s="28">
        <v>1.4476531238355466</v>
      </c>
      <c r="H49" s="28"/>
      <c r="I49" s="28"/>
      <c r="J49" s="28"/>
      <c r="K49" s="9" t="s">
        <v>84</v>
      </c>
      <c r="L49" s="27">
        <v>1391.826060675058</v>
      </c>
      <c r="M49" s="27">
        <v>32.166602441588239</v>
      </c>
      <c r="N49" s="27">
        <v>2.5169145245762614</v>
      </c>
      <c r="O49" s="28">
        <v>0.3233845729186971</v>
      </c>
      <c r="P49" s="28"/>
      <c r="Q49" s="28"/>
    </row>
    <row r="50" spans="1:17" x14ac:dyDescent="0.2">
      <c r="A50" s="9" t="s">
        <v>127</v>
      </c>
      <c r="B50" s="9" t="s">
        <v>129</v>
      </c>
      <c r="C50" s="9" t="s">
        <v>83</v>
      </c>
      <c r="D50" s="27">
        <v>9061.917880579389</v>
      </c>
      <c r="E50" s="27">
        <v>160.15576707951342</v>
      </c>
      <c r="F50" s="27">
        <v>0.4634937927433716</v>
      </c>
      <c r="G50" s="28">
        <v>1.2183953783594148</v>
      </c>
      <c r="H50" s="28"/>
      <c r="I50" s="28"/>
      <c r="J50" s="28"/>
      <c r="K50" s="9" t="s">
        <v>84</v>
      </c>
      <c r="L50" s="27">
        <v>2424.7718397396134</v>
      </c>
      <c r="M50" s="27">
        <v>49.487011615941711</v>
      </c>
      <c r="N50" s="27">
        <v>9.6098393297699101</v>
      </c>
      <c r="O50" s="28">
        <v>0.4341707139779985</v>
      </c>
      <c r="P50" s="28"/>
      <c r="Q50" s="28"/>
    </row>
    <row r="51" spans="1:17" x14ac:dyDescent="0.2">
      <c r="A51" s="9" t="s">
        <v>127</v>
      </c>
      <c r="B51" s="9" t="s">
        <v>130</v>
      </c>
      <c r="C51" s="9" t="s">
        <v>83</v>
      </c>
      <c r="D51" s="27">
        <v>8903.8821997576379</v>
      </c>
      <c r="E51" s="27">
        <v>197.60296459259578</v>
      </c>
      <c r="F51" s="27">
        <v>3.0728979222682975</v>
      </c>
      <c r="G51" s="28">
        <v>1.5098856336046271</v>
      </c>
      <c r="H51" s="28"/>
      <c r="I51" s="28"/>
      <c r="J51" s="28"/>
      <c r="K51" s="9" t="s">
        <v>84</v>
      </c>
      <c r="L51" s="27">
        <v>1386.2544433356479</v>
      </c>
      <c r="M51" s="27">
        <v>34.134818123882219</v>
      </c>
      <c r="N51" s="27">
        <v>41.907557905932038</v>
      </c>
      <c r="O51" s="28">
        <v>0.22674245944563592</v>
      </c>
      <c r="P51" s="28"/>
      <c r="Q51" s="28"/>
    </row>
    <row r="52" spans="1:17" x14ac:dyDescent="0.2">
      <c r="A52" s="9" t="s">
        <v>127</v>
      </c>
      <c r="B52" s="9" t="s">
        <v>131</v>
      </c>
      <c r="C52" s="9" t="s">
        <v>83</v>
      </c>
      <c r="D52" s="27">
        <v>8294.8058371715324</v>
      </c>
      <c r="E52" s="27">
        <v>147.85792265747989</v>
      </c>
      <c r="F52" s="27">
        <v>13.930451627028582</v>
      </c>
      <c r="G52" s="28">
        <v>1.5651050380109897</v>
      </c>
      <c r="H52" s="28"/>
      <c r="I52" s="28"/>
      <c r="J52" s="28"/>
      <c r="K52" s="9" t="s">
        <v>84</v>
      </c>
      <c r="L52" s="27">
        <v>1544.1641074478407</v>
      </c>
      <c r="M52" s="27">
        <v>31.872355621671467</v>
      </c>
      <c r="N52" s="27">
        <v>12.881684043766917</v>
      </c>
      <c r="O52" s="28">
        <v>0.33212259804290523</v>
      </c>
      <c r="P52" s="28"/>
      <c r="Q52" s="28"/>
    </row>
    <row r="53" spans="1:17" x14ac:dyDescent="0.2">
      <c r="A53" s="9" t="s">
        <v>127</v>
      </c>
      <c r="B53" s="9" t="s">
        <v>132</v>
      </c>
      <c r="C53" s="9" t="s">
        <v>83</v>
      </c>
      <c r="D53" s="27">
        <v>8719.8568713817403</v>
      </c>
      <c r="E53" s="27">
        <v>175.42534104706021</v>
      </c>
      <c r="F53" s="27">
        <v>0.71453111283414783</v>
      </c>
      <c r="G53" s="28">
        <v>1.5416161541986657</v>
      </c>
      <c r="H53" s="28"/>
      <c r="I53" s="28"/>
      <c r="J53" s="28"/>
      <c r="K53" s="9" t="s">
        <v>84</v>
      </c>
      <c r="L53" s="27">
        <v>1663.6897036729092</v>
      </c>
      <c r="M53" s="27">
        <v>19.699121678663893</v>
      </c>
      <c r="N53" s="27">
        <v>19.883788792611</v>
      </c>
      <c r="O53" s="28">
        <v>0.19125145488651249</v>
      </c>
      <c r="P53" s="28"/>
      <c r="Q53" s="28"/>
    </row>
    <row r="54" spans="1:17" x14ac:dyDescent="0.2">
      <c r="A54" s="9" t="s">
        <v>127</v>
      </c>
      <c r="B54" s="9" t="s">
        <v>133</v>
      </c>
      <c r="C54" s="9" t="s">
        <v>83</v>
      </c>
      <c r="D54" s="27">
        <v>7969.2114343284011</v>
      </c>
      <c r="E54" s="27">
        <v>215.06850848655961</v>
      </c>
      <c r="F54" s="27">
        <v>45.396680118993125</v>
      </c>
      <c r="G54" s="28">
        <v>1.2211968851772104</v>
      </c>
      <c r="H54" s="28"/>
      <c r="I54" s="28"/>
      <c r="J54" s="28"/>
      <c r="K54" s="9" t="s">
        <v>84</v>
      </c>
      <c r="L54" s="27">
        <v>813.16887416519262</v>
      </c>
      <c r="M54" s="27">
        <v>27.124522267696069</v>
      </c>
      <c r="N54" s="27">
        <v>588.98956695690777</v>
      </c>
      <c r="O54" s="28">
        <v>0.13392262488417944</v>
      </c>
      <c r="P54" s="28"/>
      <c r="Q54" s="28"/>
    </row>
    <row r="55" spans="1:17" x14ac:dyDescent="0.2">
      <c r="A55" s="9" t="s">
        <v>127</v>
      </c>
      <c r="B55" s="9" t="s">
        <v>134</v>
      </c>
      <c r="C55" s="9" t="s">
        <v>83</v>
      </c>
      <c r="D55" s="27">
        <v>4808.0616587471604</v>
      </c>
      <c r="E55" s="27">
        <v>197.59152839061326</v>
      </c>
      <c r="F55" s="27"/>
      <c r="G55" s="28">
        <v>0.74763531202579181</v>
      </c>
      <c r="H55" s="28"/>
      <c r="I55" s="28"/>
      <c r="J55" s="28"/>
      <c r="K55" s="9" t="s">
        <v>84</v>
      </c>
      <c r="L55" s="27">
        <v>773.51439023704904</v>
      </c>
      <c r="M55" s="27">
        <v>29.372467357888784</v>
      </c>
      <c r="N55" s="27">
        <v>0</v>
      </c>
      <c r="O55" s="28">
        <v>0.12144107378122873</v>
      </c>
      <c r="P55" s="28"/>
      <c r="Q55" s="28"/>
    </row>
    <row r="56" spans="1:17" x14ac:dyDescent="0.2">
      <c r="A56" s="9" t="s">
        <v>127</v>
      </c>
      <c r="B56" s="9" t="s">
        <v>135</v>
      </c>
      <c r="C56" s="9" t="s">
        <v>83</v>
      </c>
      <c r="D56" s="27">
        <v>11629.144155762071</v>
      </c>
      <c r="E56" s="27">
        <v>419.7409256888638</v>
      </c>
      <c r="F56" s="27">
        <v>9.9479277864073526E-2</v>
      </c>
      <c r="G56" s="28">
        <v>1.9723941971335082</v>
      </c>
      <c r="H56" s="28"/>
      <c r="I56" s="28"/>
      <c r="J56" s="28"/>
      <c r="K56" s="9" t="s">
        <v>84</v>
      </c>
      <c r="L56" s="27">
        <v>2062.2925887515794</v>
      </c>
      <c r="M56" s="27">
        <v>40.815328415290431</v>
      </c>
      <c r="N56" s="27">
        <v>0.69182390325836451</v>
      </c>
      <c r="O56" s="28">
        <v>0.31260731676707088</v>
      </c>
      <c r="P56" s="28"/>
      <c r="Q56" s="28"/>
    </row>
    <row r="57" spans="1:17" x14ac:dyDescent="0.2">
      <c r="A57" s="9" t="s">
        <v>127</v>
      </c>
      <c r="B57" s="9" t="s">
        <v>136</v>
      </c>
      <c r="C57" s="9" t="s">
        <v>83</v>
      </c>
      <c r="D57" s="27">
        <v>9240.8312403658838</v>
      </c>
      <c r="E57" s="27">
        <v>218.22275091433272</v>
      </c>
      <c r="F57" s="27">
        <v>0.7872408460831104</v>
      </c>
      <c r="G57" s="28">
        <v>1.4007888650243714</v>
      </c>
      <c r="H57" s="28"/>
      <c r="I57" s="28"/>
      <c r="J57" s="28"/>
      <c r="K57" s="9" t="s">
        <v>84</v>
      </c>
      <c r="L57" s="27">
        <v>799.23725757242278</v>
      </c>
      <c r="M57" s="27">
        <v>21.472210699028118</v>
      </c>
      <c r="N57" s="27">
        <v>0.5102059441049891</v>
      </c>
      <c r="O57" s="28">
        <v>0.21150755876286559</v>
      </c>
      <c r="P57" s="28"/>
      <c r="Q57" s="28"/>
    </row>
    <row r="58" spans="1:17" x14ac:dyDescent="0.2">
      <c r="A58" s="9" t="s">
        <v>127</v>
      </c>
      <c r="B58" s="9" t="s">
        <v>137</v>
      </c>
      <c r="C58" s="9" t="s">
        <v>83</v>
      </c>
      <c r="D58" s="27">
        <v>7784.8931474374695</v>
      </c>
      <c r="E58" s="27">
        <v>188.40593090005621</v>
      </c>
      <c r="F58" s="27">
        <v>0.18987338037109294</v>
      </c>
      <c r="G58" s="28">
        <v>1.4038453724746884</v>
      </c>
      <c r="H58" s="28"/>
      <c r="I58" s="28"/>
      <c r="J58" s="28"/>
      <c r="K58" s="9" t="s">
        <v>84</v>
      </c>
      <c r="L58" s="27">
        <v>1089.141585825367</v>
      </c>
      <c r="M58" s="27">
        <v>16.947033151954294</v>
      </c>
      <c r="N58" s="27">
        <v>0.40544551504845711</v>
      </c>
      <c r="O58" s="28">
        <v>0.2191841078756262</v>
      </c>
      <c r="P58" s="28"/>
      <c r="Q58" s="28"/>
    </row>
    <row r="59" spans="1:17" x14ac:dyDescent="0.2">
      <c r="A59" s="9" t="s">
        <v>127</v>
      </c>
      <c r="B59" s="9" t="s">
        <v>138</v>
      </c>
      <c r="C59" s="9" t="s">
        <v>83</v>
      </c>
      <c r="D59" s="27">
        <v>7999.6344222849011</v>
      </c>
      <c r="E59" s="27">
        <v>201.56958583413541</v>
      </c>
      <c r="F59" s="27">
        <v>4.3321630314040807E-2</v>
      </c>
      <c r="G59" s="28">
        <v>1.4080408607711004</v>
      </c>
      <c r="H59" s="28"/>
      <c r="I59" s="28"/>
      <c r="J59" s="28"/>
      <c r="K59" s="9" t="s">
        <v>84</v>
      </c>
      <c r="L59" s="27">
        <v>1312.3303437397021</v>
      </c>
      <c r="M59" s="27">
        <v>16.747483137074543</v>
      </c>
      <c r="N59" s="27">
        <v>0</v>
      </c>
      <c r="O59" s="28">
        <v>0.20892669418509166</v>
      </c>
      <c r="P59" s="28"/>
      <c r="Q59" s="28"/>
    </row>
    <row r="60" spans="1:17" x14ac:dyDescent="0.2">
      <c r="A60" s="9" t="s">
        <v>139</v>
      </c>
      <c r="B60" s="9" t="s">
        <v>140</v>
      </c>
      <c r="C60" s="9" t="s">
        <v>83</v>
      </c>
      <c r="D60" s="27">
        <v>701.9535540661052</v>
      </c>
      <c r="E60" s="27">
        <v>0.96111023202342505</v>
      </c>
      <c r="F60" s="27">
        <v>7.3235354689960204</v>
      </c>
      <c r="G60" s="28">
        <v>0.12139930833617714</v>
      </c>
      <c r="H60" s="28"/>
      <c r="I60" s="28"/>
      <c r="J60" s="28"/>
      <c r="K60" s="9" t="s">
        <v>84</v>
      </c>
      <c r="L60" s="27">
        <v>161.09512383533792</v>
      </c>
      <c r="M60" s="27">
        <v>0.34012092703754049</v>
      </c>
      <c r="N60" s="27">
        <v>14.039945665084677</v>
      </c>
      <c r="O60" s="28">
        <v>3.23438828106817E-2</v>
      </c>
      <c r="P60" s="28"/>
      <c r="Q60" s="28"/>
    </row>
    <row r="61" spans="1:17" x14ac:dyDescent="0.2">
      <c r="A61" s="9" t="s">
        <v>139</v>
      </c>
      <c r="B61" s="9" t="s">
        <v>141</v>
      </c>
      <c r="C61" s="9" t="s">
        <v>83</v>
      </c>
      <c r="D61" s="27">
        <v>765.23608596252041</v>
      </c>
      <c r="E61" s="27">
        <v>0.84248794378989433</v>
      </c>
      <c r="F61" s="27">
        <v>20.098027531167709</v>
      </c>
      <c r="G61" s="28">
        <v>0.15678828169797002</v>
      </c>
      <c r="H61" s="28"/>
      <c r="I61" s="28"/>
      <c r="J61" s="28"/>
      <c r="K61" s="9" t="s">
        <v>84</v>
      </c>
      <c r="L61" s="27">
        <v>126.49308865250576</v>
      </c>
      <c r="M61" s="27">
        <v>0.13081065953943236</v>
      </c>
      <c r="N61" s="27">
        <v>25.152586005037488</v>
      </c>
      <c r="O61" s="28">
        <v>0.12700468852520613</v>
      </c>
      <c r="P61" s="28"/>
      <c r="Q61" s="28"/>
    </row>
    <row r="62" spans="1:17" x14ac:dyDescent="0.2">
      <c r="A62" s="9" t="s">
        <v>139</v>
      </c>
      <c r="B62" s="9" t="s">
        <v>142</v>
      </c>
      <c r="C62" s="9" t="s">
        <v>83</v>
      </c>
      <c r="D62" s="27">
        <v>630.32939321109336</v>
      </c>
      <c r="E62" s="27">
        <v>1.4341180727368268</v>
      </c>
      <c r="F62" s="27">
        <v>2.2985499069892597</v>
      </c>
      <c r="G62" s="28">
        <v>9.9610479955996548E-2</v>
      </c>
      <c r="H62" s="28"/>
      <c r="I62" s="28"/>
      <c r="J62" s="28"/>
      <c r="K62" s="9" t="s">
        <v>84</v>
      </c>
      <c r="L62" s="27">
        <v>201.82874924127137</v>
      </c>
      <c r="M62" s="27">
        <v>0.70264833964574003</v>
      </c>
      <c r="N62" s="27">
        <v>12.007110194969453</v>
      </c>
      <c r="O62" s="28">
        <v>2.8412661443330784E-2</v>
      </c>
      <c r="P62" s="28"/>
      <c r="Q62" s="28"/>
    </row>
    <row r="63" spans="1:17" x14ac:dyDescent="0.2">
      <c r="A63" s="9" t="s">
        <v>139</v>
      </c>
      <c r="B63" s="9" t="s">
        <v>143</v>
      </c>
      <c r="C63" s="9" t="s">
        <v>83</v>
      </c>
      <c r="D63" s="27">
        <v>517.52476171719979</v>
      </c>
      <c r="E63" s="27">
        <v>1.0880906699594515</v>
      </c>
      <c r="F63" s="27">
        <v>4.0305819297557237</v>
      </c>
      <c r="G63" s="28">
        <v>8.655434604758043E-2</v>
      </c>
      <c r="H63" s="28"/>
      <c r="I63" s="28"/>
      <c r="J63" s="28"/>
      <c r="K63" s="9" t="s">
        <v>84</v>
      </c>
      <c r="L63" s="27">
        <v>92.289708066505199</v>
      </c>
      <c r="M63" s="27">
        <v>0.34438926352153837</v>
      </c>
      <c r="N63" s="27">
        <v>46.09677424747359</v>
      </c>
      <c r="O63" s="28">
        <v>1.7385860265552958E-2</v>
      </c>
      <c r="P63" s="28"/>
      <c r="Q63" s="28"/>
    </row>
    <row r="64" spans="1:17" x14ac:dyDescent="0.2">
      <c r="A64" s="9" t="s">
        <v>139</v>
      </c>
      <c r="B64" s="9" t="s">
        <v>144</v>
      </c>
      <c r="C64" s="9" t="s">
        <v>83</v>
      </c>
      <c r="D64" s="27">
        <v>1079.5269922102602</v>
      </c>
      <c r="E64" s="27">
        <v>2.3801224627004065</v>
      </c>
      <c r="F64" s="27">
        <v>3.5265132531517902</v>
      </c>
      <c r="G64" s="28">
        <v>0.16699458040969578</v>
      </c>
      <c r="H64" s="28"/>
      <c r="I64" s="28"/>
      <c r="J64" s="28"/>
      <c r="K64" s="9" t="s">
        <v>84</v>
      </c>
      <c r="L64" s="27">
        <v>236.21989305133658</v>
      </c>
      <c r="M64" s="27">
        <v>0.8106388548997292</v>
      </c>
      <c r="N64" s="27">
        <v>169.51532656684998</v>
      </c>
      <c r="O64" s="28">
        <v>4.0775393377573146E-2</v>
      </c>
      <c r="P64" s="28"/>
      <c r="Q64" s="28"/>
    </row>
    <row r="65" spans="1:17" x14ac:dyDescent="0.2">
      <c r="A65" s="9" t="s">
        <v>139</v>
      </c>
      <c r="B65" s="9" t="s">
        <v>145</v>
      </c>
      <c r="C65" s="9" t="s">
        <v>83</v>
      </c>
      <c r="D65" s="27">
        <v>1998.4340168410242</v>
      </c>
      <c r="E65" s="27">
        <v>2.8611882795198778</v>
      </c>
      <c r="F65" s="27">
        <v>4.9678713907323573</v>
      </c>
      <c r="G65" s="28">
        <v>0.29484015140224962</v>
      </c>
      <c r="H65" s="28"/>
      <c r="I65" s="28"/>
      <c r="J65" s="28"/>
      <c r="K65" s="9" t="s">
        <v>84</v>
      </c>
      <c r="L65" s="27">
        <v>746.66744631580434</v>
      </c>
      <c r="M65" s="27">
        <v>1.3445391417073356</v>
      </c>
      <c r="N65" s="27">
        <v>138.41325220206346</v>
      </c>
      <c r="O65" s="28">
        <v>0.12537587433073999</v>
      </c>
      <c r="P65" s="28"/>
      <c r="Q65" s="28"/>
    </row>
    <row r="66" spans="1:17" x14ac:dyDescent="0.2">
      <c r="A66" s="9" t="s">
        <v>139</v>
      </c>
      <c r="B66" s="9" t="s">
        <v>146</v>
      </c>
      <c r="C66" s="9" t="s">
        <v>83</v>
      </c>
      <c r="D66" s="27">
        <v>597.37983473204076</v>
      </c>
      <c r="E66" s="27">
        <v>1.5085937478752498</v>
      </c>
      <c r="F66" s="27">
        <v>0.85600955141837709</v>
      </c>
      <c r="G66" s="28">
        <v>0.10187297512346391</v>
      </c>
      <c r="H66" s="28"/>
      <c r="I66" s="28"/>
      <c r="J66" s="28"/>
      <c r="K66" s="9" t="s">
        <v>84</v>
      </c>
      <c r="L66" s="27">
        <v>104.43374981788608</v>
      </c>
      <c r="M66" s="27">
        <v>0.31464458813274815</v>
      </c>
      <c r="N66" s="27">
        <v>9.1336641940376921</v>
      </c>
      <c r="O66" s="28">
        <v>1.7676419778155577E-2</v>
      </c>
      <c r="P66" s="28"/>
      <c r="Q66" s="28"/>
    </row>
    <row r="67" spans="1:17" x14ac:dyDescent="0.2">
      <c r="A67" s="9" t="s">
        <v>139</v>
      </c>
      <c r="B67" s="9" t="s">
        <v>147</v>
      </c>
      <c r="C67" s="9" t="s">
        <v>83</v>
      </c>
      <c r="D67" s="27">
        <v>1059.2331225608782</v>
      </c>
      <c r="E67" s="27">
        <v>1.7899791387532524</v>
      </c>
      <c r="F67" s="27">
        <v>26.842190430425113</v>
      </c>
      <c r="G67" s="28">
        <v>0.19250228985188653</v>
      </c>
      <c r="H67" s="28"/>
      <c r="I67" s="28"/>
      <c r="J67" s="28"/>
      <c r="K67" s="9" t="s">
        <v>84</v>
      </c>
      <c r="L67" s="27">
        <v>179.47986085343541</v>
      </c>
      <c r="M67" s="27">
        <v>0.70513316344208032</v>
      </c>
      <c r="N67" s="27">
        <v>741.96938895758183</v>
      </c>
      <c r="O67" s="28">
        <v>1.2930719460949475E-2</v>
      </c>
      <c r="P67" s="28"/>
      <c r="Q67" s="28"/>
    </row>
    <row r="68" spans="1:17" x14ac:dyDescent="0.2">
      <c r="A68" s="9" t="s">
        <v>139</v>
      </c>
      <c r="B68" s="9" t="s">
        <v>148</v>
      </c>
      <c r="C68" s="9" t="s">
        <v>83</v>
      </c>
      <c r="D68" s="27">
        <v>676.45034805334922</v>
      </c>
      <c r="E68" s="27">
        <v>13.400717680540783</v>
      </c>
      <c r="F68" s="27">
        <v>0.44550453986110278</v>
      </c>
      <c r="G68" s="28">
        <v>0.17404309811078403</v>
      </c>
      <c r="H68" s="28"/>
      <c r="I68" s="28"/>
      <c r="J68" s="28"/>
      <c r="K68" s="9" t="s">
        <v>84</v>
      </c>
      <c r="L68" s="27">
        <v>527.89822211135083</v>
      </c>
      <c r="M68" s="27">
        <v>17.669982405506186</v>
      </c>
      <c r="N68" s="27">
        <v>0.97526795674534061</v>
      </c>
      <c r="O68" s="28">
        <v>0.34655449908107283</v>
      </c>
      <c r="P68" s="28"/>
      <c r="Q68" s="28"/>
    </row>
    <row r="69" spans="1:17" ht="12" thickBot="1" x14ac:dyDescent="0.25">
      <c r="A69" s="25" t="s">
        <v>139</v>
      </c>
      <c r="B69" s="25" t="s">
        <v>149</v>
      </c>
      <c r="C69" s="25" t="s">
        <v>83</v>
      </c>
      <c r="D69" s="29">
        <v>1302.960467704874</v>
      </c>
      <c r="E69" s="29">
        <v>7.7530502345173735</v>
      </c>
      <c r="F69" s="29">
        <v>0.4467229655183329</v>
      </c>
      <c r="G69" s="30">
        <v>0.25385308716610172</v>
      </c>
      <c r="H69" s="30"/>
      <c r="I69" s="30"/>
      <c r="J69" s="30"/>
      <c r="K69" s="25" t="s">
        <v>84</v>
      </c>
      <c r="L69" s="29">
        <v>383.80134714538463</v>
      </c>
      <c r="M69" s="29">
        <v>16.537533320224163</v>
      </c>
      <c r="N69" s="29">
        <v>8.4974659682182807</v>
      </c>
      <c r="O69" s="30">
        <v>0.13001417379962846</v>
      </c>
      <c r="P69" s="30"/>
      <c r="Q69" s="30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8"/>
  <sheetViews>
    <sheetView workbookViewId="0">
      <selection activeCell="E27" sqref="E27"/>
    </sheetView>
  </sheetViews>
  <sheetFormatPr baseColWidth="10" defaultRowHeight="11.25" x14ac:dyDescent="0.2"/>
  <cols>
    <col min="1" max="1" width="13.28515625" style="9" customWidth="1"/>
    <col min="2" max="3" width="11.42578125" style="9"/>
    <col min="4" max="4" width="18.7109375" style="9" customWidth="1"/>
    <col min="5" max="5" width="14.85546875" style="9" customWidth="1"/>
    <col min="6" max="11" width="11.42578125" style="9"/>
    <col min="12" max="12" width="14.42578125" style="9" customWidth="1"/>
    <col min="13" max="24" width="11.42578125" style="9"/>
    <col min="25" max="25" width="15.85546875" style="9" customWidth="1"/>
    <col min="26" max="16384" width="11.42578125" style="9"/>
  </cols>
  <sheetData>
    <row r="1" spans="1:34" x14ac:dyDescent="0.2">
      <c r="A1" s="9" t="s">
        <v>0</v>
      </c>
    </row>
    <row r="3" spans="1:34" x14ac:dyDescent="0.2">
      <c r="A3" s="23" t="s">
        <v>417</v>
      </c>
    </row>
    <row r="5" spans="1:34" x14ac:dyDescent="0.2">
      <c r="L5" s="33">
        <v>42982</v>
      </c>
      <c r="M5" s="9" t="s">
        <v>358</v>
      </c>
      <c r="N5" s="9" t="s">
        <v>359</v>
      </c>
      <c r="Y5" s="33">
        <v>42983</v>
      </c>
      <c r="Z5" s="9" t="s">
        <v>358</v>
      </c>
      <c r="AA5" s="9" t="s">
        <v>387</v>
      </c>
    </row>
    <row r="6" spans="1:34" ht="23.25" thickBot="1" x14ac:dyDescent="0.25">
      <c r="A6" s="34" t="s">
        <v>334</v>
      </c>
      <c r="B6" s="35" t="s">
        <v>389</v>
      </c>
      <c r="D6" s="36" t="s">
        <v>354</v>
      </c>
      <c r="E6" s="37" t="s">
        <v>334</v>
      </c>
      <c r="F6" s="38" t="s">
        <v>355</v>
      </c>
      <c r="G6" s="38" t="s">
        <v>356</v>
      </c>
      <c r="H6" s="38" t="s">
        <v>357</v>
      </c>
      <c r="K6" s="36" t="s">
        <v>360</v>
      </c>
      <c r="L6" s="37" t="s">
        <v>334</v>
      </c>
      <c r="M6" s="37" t="s">
        <v>361</v>
      </c>
      <c r="N6" s="37" t="s">
        <v>362</v>
      </c>
      <c r="O6" s="39" t="s">
        <v>363</v>
      </c>
      <c r="P6" s="36" t="s">
        <v>364</v>
      </c>
      <c r="Q6" s="40" t="s">
        <v>383</v>
      </c>
      <c r="R6" s="41" t="s">
        <v>384</v>
      </c>
      <c r="S6" s="38" t="s">
        <v>355</v>
      </c>
      <c r="X6" s="36" t="s">
        <v>360</v>
      </c>
      <c r="Y6" s="37" t="s">
        <v>334</v>
      </c>
      <c r="Z6" s="37" t="s">
        <v>361</v>
      </c>
      <c r="AA6" s="37" t="s">
        <v>362</v>
      </c>
      <c r="AB6" s="39" t="s">
        <v>363</v>
      </c>
      <c r="AC6" s="36" t="s">
        <v>364</v>
      </c>
      <c r="AD6" s="40" t="s">
        <v>383</v>
      </c>
      <c r="AE6" s="41" t="s">
        <v>384</v>
      </c>
      <c r="AF6" s="38" t="s">
        <v>355</v>
      </c>
    </row>
    <row r="7" spans="1:34" ht="12" thickTop="1" x14ac:dyDescent="0.2">
      <c r="A7" s="42" t="s">
        <v>335</v>
      </c>
      <c r="B7" s="43">
        <v>0.88026502500000003</v>
      </c>
      <c r="D7" s="44">
        <v>42982</v>
      </c>
      <c r="E7" s="45" t="s">
        <v>338</v>
      </c>
      <c r="F7" s="46">
        <v>0.19357869999999999</v>
      </c>
      <c r="G7" s="46"/>
      <c r="H7" s="46"/>
      <c r="J7" s="9" t="s">
        <v>365</v>
      </c>
      <c r="K7" s="47">
        <v>1</v>
      </c>
      <c r="L7" s="48" t="s">
        <v>366</v>
      </c>
      <c r="M7" s="49">
        <v>0.20699999999999999</v>
      </c>
      <c r="N7" s="49">
        <v>0.38900000000000001</v>
      </c>
      <c r="O7" s="50">
        <v>2655</v>
      </c>
      <c r="P7" s="51">
        <v>36.975000000000001</v>
      </c>
      <c r="Q7" s="51">
        <v>2.6110000000000002</v>
      </c>
      <c r="R7" s="51">
        <v>2.6081250000000002</v>
      </c>
      <c r="S7" s="46">
        <v>2.2746302500000004</v>
      </c>
      <c r="W7" s="9" t="s">
        <v>365</v>
      </c>
      <c r="X7" s="47">
        <v>1</v>
      </c>
      <c r="Y7" s="47" t="s">
        <v>366</v>
      </c>
      <c r="Z7" s="49">
        <v>0.189</v>
      </c>
      <c r="AA7" s="49">
        <v>0.55300000000000005</v>
      </c>
      <c r="AB7" s="50">
        <v>2496</v>
      </c>
      <c r="AC7" s="51">
        <v>34.841000000000001</v>
      </c>
      <c r="AD7" s="51">
        <v>2.802</v>
      </c>
      <c r="AE7" s="51">
        <v>2.7970813953488372</v>
      </c>
      <c r="AF7" s="52">
        <v>2.3287641604651164</v>
      </c>
    </row>
    <row r="8" spans="1:34" x14ac:dyDescent="0.2">
      <c r="A8" s="42" t="s">
        <v>336</v>
      </c>
      <c r="B8" s="43">
        <v>0.25630872500000007</v>
      </c>
      <c r="D8" s="53">
        <v>42982</v>
      </c>
      <c r="E8" s="42" t="s">
        <v>338</v>
      </c>
      <c r="F8" s="54">
        <v>0.22243575000000004</v>
      </c>
      <c r="G8" s="54">
        <f t="shared" ref="G8" si="0">AVERAGE(F7:F8)</f>
        <v>0.20800722500000002</v>
      </c>
      <c r="H8" s="55">
        <f t="shared" ref="H8" si="1">STDEV(F7:F8)</f>
        <v>2.0405015740039296E-2</v>
      </c>
      <c r="J8" s="9" t="s">
        <v>365</v>
      </c>
      <c r="K8" s="56">
        <v>2</v>
      </c>
      <c r="L8" s="45" t="s">
        <v>366</v>
      </c>
      <c r="M8" s="57">
        <v>0.20100000000000001</v>
      </c>
      <c r="N8" s="57">
        <v>0.40100000000000002</v>
      </c>
      <c r="O8" s="58">
        <v>2574</v>
      </c>
      <c r="P8" s="59">
        <v>37.374000000000002</v>
      </c>
      <c r="Q8" s="59">
        <v>2.8690000000000002</v>
      </c>
      <c r="R8" s="59">
        <v>2.8632500000000003</v>
      </c>
      <c r="S8" s="46">
        <v>2.5274081000000006</v>
      </c>
      <c r="W8" s="9" t="s">
        <v>365</v>
      </c>
      <c r="X8" s="56">
        <v>2</v>
      </c>
      <c r="Y8" s="56" t="s">
        <v>366</v>
      </c>
      <c r="Z8" s="57">
        <v>0.19</v>
      </c>
      <c r="AA8" s="57">
        <v>0.45700000000000002</v>
      </c>
      <c r="AB8" s="58">
        <v>2425</v>
      </c>
      <c r="AC8" s="59">
        <v>36.273000000000003</v>
      </c>
      <c r="AD8" s="59">
        <v>2.7530000000000001</v>
      </c>
      <c r="AE8" s="59">
        <v>2.7431627906976743</v>
      </c>
      <c r="AF8" s="46">
        <v>2.2752661209302323</v>
      </c>
    </row>
    <row r="9" spans="1:34" x14ac:dyDescent="0.2">
      <c r="A9" s="42" t="s">
        <v>337</v>
      </c>
      <c r="B9" s="43">
        <v>-0.965099975</v>
      </c>
      <c r="D9" s="44">
        <v>42982</v>
      </c>
      <c r="E9" s="45" t="s">
        <v>340</v>
      </c>
      <c r="F9" s="46">
        <v>-0.99513359999999995</v>
      </c>
      <c r="G9" s="46"/>
      <c r="H9" s="46"/>
      <c r="K9" s="56">
        <v>3</v>
      </c>
      <c r="L9" s="45" t="s">
        <v>367</v>
      </c>
      <c r="M9" s="57">
        <v>0.224</v>
      </c>
      <c r="N9" s="57">
        <v>0.46600000000000003</v>
      </c>
      <c r="O9" s="58">
        <v>2964</v>
      </c>
      <c r="P9" s="59">
        <v>41.959000000000003</v>
      </c>
      <c r="Q9" s="59">
        <v>-1.7000000000000001E-2</v>
      </c>
      <c r="R9" s="59">
        <v>-2.5624999999999995E-2</v>
      </c>
      <c r="S9" s="46">
        <v>-0.33488924999999997</v>
      </c>
      <c r="X9" s="56">
        <v>3</v>
      </c>
      <c r="Y9" s="56" t="s">
        <v>367</v>
      </c>
      <c r="Z9" s="57">
        <v>0.184</v>
      </c>
      <c r="AA9" s="57">
        <v>0.45700000000000002</v>
      </c>
      <c r="AB9" s="58">
        <v>2587</v>
      </c>
      <c r="AC9" s="59">
        <v>36.652999999999999</v>
      </c>
      <c r="AD9" s="59">
        <v>0.09</v>
      </c>
      <c r="AE9" s="59">
        <v>7.5244186046511632E-2</v>
      </c>
      <c r="AF9" s="46">
        <v>-0.37184271860465118</v>
      </c>
    </row>
    <row r="10" spans="1:34" x14ac:dyDescent="0.2">
      <c r="A10" s="42" t="s">
        <v>338</v>
      </c>
      <c r="B10" s="43">
        <v>0.20800722500000002</v>
      </c>
      <c r="D10" s="53">
        <v>42982</v>
      </c>
      <c r="E10" s="42" t="s">
        <v>340</v>
      </c>
      <c r="F10" s="54">
        <v>-1.2387465499999999</v>
      </c>
      <c r="G10" s="54">
        <f t="shared" ref="G10" si="2">AVERAGE(F9:F10)</f>
        <v>-1.116940075</v>
      </c>
      <c r="H10" s="55">
        <f t="shared" ref="H10" si="3">STDEV(F9:F10)</f>
        <v>0.1722603689298576</v>
      </c>
      <c r="K10" s="56">
        <v>4</v>
      </c>
      <c r="L10" s="45" t="s">
        <v>368</v>
      </c>
      <c r="M10" s="57">
        <v>0.223</v>
      </c>
      <c r="N10" s="57">
        <v>0.40799999999999997</v>
      </c>
      <c r="O10" s="58">
        <v>2773</v>
      </c>
      <c r="P10" s="59">
        <v>42.113999999999997</v>
      </c>
      <c r="Q10" s="59">
        <v>22.076000000000001</v>
      </c>
      <c r="R10" s="59">
        <v>22.064499999999999</v>
      </c>
      <c r="S10" s="46">
        <v>21.552006599999999</v>
      </c>
      <c r="X10" s="60">
        <v>4</v>
      </c>
      <c r="Y10" s="60" t="s">
        <v>368</v>
      </c>
      <c r="Z10" s="61">
        <v>0.185</v>
      </c>
      <c r="AA10" s="61">
        <v>0.69499999999999995</v>
      </c>
      <c r="AB10" s="62">
        <v>2506</v>
      </c>
      <c r="AC10" s="63">
        <v>35.926000000000002</v>
      </c>
      <c r="AD10" s="63">
        <v>22.274999999999999</v>
      </c>
      <c r="AE10" s="63">
        <v>22.255325581395347</v>
      </c>
      <c r="AF10" s="54">
        <v>21.635234041860464</v>
      </c>
      <c r="AG10" s="64"/>
      <c r="AH10" s="65"/>
    </row>
    <row r="11" spans="1:34" x14ac:dyDescent="0.2">
      <c r="A11" s="42" t="s">
        <v>339</v>
      </c>
      <c r="B11" s="43">
        <v>0.19339292500000005</v>
      </c>
      <c r="D11" s="44">
        <v>42982</v>
      </c>
      <c r="E11" s="45" t="s">
        <v>337</v>
      </c>
      <c r="F11" s="46">
        <v>-0.87004510000000002</v>
      </c>
      <c r="G11" s="46"/>
      <c r="H11" s="46"/>
      <c r="K11" s="60">
        <v>5</v>
      </c>
      <c r="L11" s="42" t="s">
        <v>368</v>
      </c>
      <c r="M11" s="61">
        <v>0.183</v>
      </c>
      <c r="N11" s="61">
        <v>0.32900000000000001</v>
      </c>
      <c r="O11" s="62">
        <v>2311</v>
      </c>
      <c r="P11" s="63">
        <v>32.000999999999998</v>
      </c>
      <c r="Q11" s="63">
        <v>22.114000000000001</v>
      </c>
      <c r="R11" s="63">
        <v>22.099625</v>
      </c>
      <c r="S11" s="54">
        <v>21.586808449999999</v>
      </c>
      <c r="X11" s="56">
        <v>5</v>
      </c>
      <c r="Y11" s="56" t="s">
        <v>346</v>
      </c>
      <c r="Z11" s="57">
        <v>9.4E-2</v>
      </c>
      <c r="AA11" s="57">
        <v>0.6</v>
      </c>
      <c r="AB11" s="58">
        <v>2471</v>
      </c>
      <c r="AC11" s="59">
        <v>40.798000000000002</v>
      </c>
      <c r="AD11" s="59">
        <v>1E-3</v>
      </c>
      <c r="AE11" s="59">
        <v>-2.3593023255813934E-2</v>
      </c>
      <c r="AF11" s="46">
        <v>-0.46990899767441857</v>
      </c>
      <c r="AG11" s="66" t="s">
        <v>356</v>
      </c>
      <c r="AH11" s="67" t="s">
        <v>357</v>
      </c>
    </row>
    <row r="12" spans="1:34" x14ac:dyDescent="0.2">
      <c r="A12" s="42" t="s">
        <v>340</v>
      </c>
      <c r="B12" s="43">
        <v>-1.116940075</v>
      </c>
      <c r="D12" s="53">
        <v>42982</v>
      </c>
      <c r="E12" s="42" t="s">
        <v>337</v>
      </c>
      <c r="F12" s="54">
        <v>-1.06015485</v>
      </c>
      <c r="G12" s="54">
        <f t="shared" ref="G12" si="4">AVERAGE(F11:F12)</f>
        <v>-0.965099975</v>
      </c>
      <c r="H12" s="55">
        <f t="shared" ref="H12" si="5">STDEV(F11:F12)</f>
        <v>0.13442789339467923</v>
      </c>
      <c r="X12" s="60">
        <v>6</v>
      </c>
      <c r="Y12" s="60" t="s">
        <v>346</v>
      </c>
      <c r="Z12" s="61">
        <v>7.0000000000000007E-2</v>
      </c>
      <c r="AA12" s="61">
        <v>0.46899999999999997</v>
      </c>
      <c r="AB12" s="62">
        <v>2373</v>
      </c>
      <c r="AC12" s="63">
        <v>35.216999999999999</v>
      </c>
      <c r="AD12" s="63">
        <v>-0.24199999999999999</v>
      </c>
      <c r="AE12" s="63">
        <v>-0.27151162790697669</v>
      </c>
      <c r="AF12" s="54">
        <v>-0.71589383720930222</v>
      </c>
      <c r="AG12" s="68">
        <v>-0.59290141744186042</v>
      </c>
      <c r="AH12" s="69">
        <v>0.17393754810420101</v>
      </c>
    </row>
    <row r="13" spans="1:34" x14ac:dyDescent="0.2">
      <c r="A13" s="60" t="s">
        <v>341</v>
      </c>
      <c r="B13" s="43">
        <v>-1.3453697453488371</v>
      </c>
      <c r="D13" s="44">
        <v>42982</v>
      </c>
      <c r="E13" s="45" t="s">
        <v>339</v>
      </c>
      <c r="F13" s="46">
        <v>0.19035860000000004</v>
      </c>
      <c r="G13" s="46"/>
      <c r="H13" s="46"/>
      <c r="K13" s="56">
        <v>18</v>
      </c>
      <c r="L13" s="45" t="s">
        <v>369</v>
      </c>
      <c r="M13" s="57">
        <v>0</v>
      </c>
      <c r="N13" s="57">
        <v>0</v>
      </c>
      <c r="O13" s="58"/>
      <c r="P13" s="59"/>
      <c r="Q13" s="59"/>
      <c r="R13" s="59"/>
      <c r="S13" s="46"/>
      <c r="X13" s="56">
        <v>7</v>
      </c>
      <c r="Y13" s="56" t="s">
        <v>342</v>
      </c>
      <c r="Z13" s="57">
        <v>8.5000000000000006E-2</v>
      </c>
      <c r="AA13" s="57">
        <v>0.42</v>
      </c>
      <c r="AB13" s="58">
        <v>2170</v>
      </c>
      <c r="AC13" s="59">
        <v>31.032</v>
      </c>
      <c r="AD13" s="59">
        <v>-0.93400000000000005</v>
      </c>
      <c r="AE13" s="59">
        <v>-0.96843023255813954</v>
      </c>
      <c r="AF13" s="46">
        <v>-1.4073764767441861</v>
      </c>
      <c r="AG13" s="66" t="s">
        <v>356</v>
      </c>
      <c r="AH13" s="67" t="s">
        <v>357</v>
      </c>
    </row>
    <row r="14" spans="1:34" x14ac:dyDescent="0.2">
      <c r="A14" s="60" t="s">
        <v>342</v>
      </c>
      <c r="B14" s="43">
        <v>-1.3463157965116279</v>
      </c>
      <c r="D14" s="53">
        <v>42982</v>
      </c>
      <c r="E14" s="42" t="s">
        <v>339</v>
      </c>
      <c r="F14" s="54">
        <v>0.19642725000000005</v>
      </c>
      <c r="G14" s="54">
        <f t="shared" ref="G14" si="6">AVERAGE(F13:F14)</f>
        <v>0.19339292500000005</v>
      </c>
      <c r="H14" s="55">
        <f t="shared" ref="H14" si="7">STDEV(F13:F14)</f>
        <v>4.2911835676477479E-3</v>
      </c>
      <c r="J14" s="9" t="s">
        <v>365</v>
      </c>
      <c r="K14" s="56">
        <v>19</v>
      </c>
      <c r="L14" s="45" t="s">
        <v>370</v>
      </c>
      <c r="M14" s="57">
        <v>0.11799999999999999</v>
      </c>
      <c r="N14" s="57">
        <v>0.61799999999999999</v>
      </c>
      <c r="O14" s="58">
        <v>1936</v>
      </c>
      <c r="P14" s="59">
        <v>30.248999999999999</v>
      </c>
      <c r="Q14" s="59">
        <v>11.430999999999999</v>
      </c>
      <c r="R14" s="59">
        <v>11.376374999999999</v>
      </c>
      <c r="S14" s="46">
        <v>10.96221235</v>
      </c>
      <c r="X14" s="60">
        <v>8</v>
      </c>
      <c r="Y14" s="60" t="s">
        <v>342</v>
      </c>
      <c r="Z14" s="61">
        <v>7.2999999999999995E-2</v>
      </c>
      <c r="AA14" s="61">
        <v>0.36299999999999999</v>
      </c>
      <c r="AB14" s="62">
        <v>1923</v>
      </c>
      <c r="AC14" s="63">
        <v>28.393999999999998</v>
      </c>
      <c r="AD14" s="63">
        <v>-0.80600000000000005</v>
      </c>
      <c r="AE14" s="63">
        <v>-0.84534883720930232</v>
      </c>
      <c r="AF14" s="54">
        <v>-1.2852551162790697</v>
      </c>
      <c r="AG14" s="68">
        <v>-1.3463157965116279</v>
      </c>
      <c r="AH14" s="69">
        <v>8.6352842112610517E-2</v>
      </c>
    </row>
    <row r="15" spans="1:34" x14ac:dyDescent="0.2">
      <c r="A15" s="60" t="s">
        <v>343</v>
      </c>
      <c r="B15" s="43">
        <v>-2.2724075872093019</v>
      </c>
      <c r="D15" s="44">
        <v>42982</v>
      </c>
      <c r="E15" s="45" t="s">
        <v>335</v>
      </c>
      <c r="F15" s="46">
        <v>0.86534110000000009</v>
      </c>
      <c r="G15" s="46"/>
      <c r="H15" s="46"/>
      <c r="K15" s="56">
        <v>20</v>
      </c>
      <c r="L15" s="45" t="s">
        <v>371</v>
      </c>
      <c r="M15" s="57">
        <v>0.22500000000000001</v>
      </c>
      <c r="N15" s="57">
        <v>0.46800000000000003</v>
      </c>
      <c r="O15" s="58">
        <v>2774</v>
      </c>
      <c r="P15" s="59">
        <v>42.183999999999997</v>
      </c>
      <c r="Q15" s="59">
        <v>-31.289000000000001</v>
      </c>
      <c r="R15" s="59">
        <v>-31.346500000000002</v>
      </c>
      <c r="S15" s="46">
        <v>-31.367612200000003</v>
      </c>
      <c r="X15" s="56">
        <v>9</v>
      </c>
      <c r="Y15" s="56" t="s">
        <v>349</v>
      </c>
      <c r="Z15" s="57">
        <v>7.4999999999999997E-2</v>
      </c>
      <c r="AA15" s="57">
        <v>0.61</v>
      </c>
      <c r="AB15" s="58">
        <v>2310</v>
      </c>
      <c r="AC15" s="59">
        <v>33.609000000000002</v>
      </c>
      <c r="AD15" s="59">
        <v>-20.802</v>
      </c>
      <c r="AE15" s="59">
        <v>-20.846267441860466</v>
      </c>
      <c r="AF15" s="46">
        <v>-21.130166555813954</v>
      </c>
      <c r="AG15" s="66" t="s">
        <v>356</v>
      </c>
      <c r="AH15" s="67" t="s">
        <v>357</v>
      </c>
    </row>
    <row r="16" spans="1:34" x14ac:dyDescent="0.2">
      <c r="A16" s="60" t="s">
        <v>344</v>
      </c>
      <c r="B16" s="43">
        <v>-0.42010863372093021</v>
      </c>
      <c r="D16" s="53">
        <v>42982</v>
      </c>
      <c r="E16" s="42" t="s">
        <v>335</v>
      </c>
      <c r="F16" s="54">
        <v>0.89518894999999998</v>
      </c>
      <c r="G16" s="54">
        <f t="shared" ref="G16" si="8">AVERAGE(F15:F16)</f>
        <v>0.88026502500000003</v>
      </c>
      <c r="H16" s="55">
        <f t="shared" ref="H16" si="9">STDEV(F15:F16)</f>
        <v>2.1105617138838819E-2</v>
      </c>
      <c r="K16" s="60">
        <v>21</v>
      </c>
      <c r="L16" s="42" t="s">
        <v>372</v>
      </c>
      <c r="M16" s="61">
        <v>0.216</v>
      </c>
      <c r="N16" s="61">
        <v>0.61399999999999999</v>
      </c>
      <c r="O16" s="62">
        <v>2868</v>
      </c>
      <c r="P16" s="63">
        <v>41.521999999999998</v>
      </c>
      <c r="Q16" s="63">
        <v>20.864999999999998</v>
      </c>
      <c r="R16" s="63">
        <v>20.804624999999998</v>
      </c>
      <c r="S16" s="54">
        <v>20.303722449999999</v>
      </c>
      <c r="X16" s="60">
        <v>10</v>
      </c>
      <c r="Y16" s="60" t="s">
        <v>349</v>
      </c>
      <c r="Z16" s="61">
        <v>7.4999999999999997E-2</v>
      </c>
      <c r="AA16" s="61">
        <v>0.442</v>
      </c>
      <c r="AB16" s="62">
        <v>2141</v>
      </c>
      <c r="AC16" s="63">
        <v>30.702999999999999</v>
      </c>
      <c r="AD16" s="63">
        <v>-20.847999999999999</v>
      </c>
      <c r="AE16" s="63">
        <v>-20.897186046511628</v>
      </c>
      <c r="AF16" s="54">
        <v>-21.180687995348837</v>
      </c>
      <c r="AG16" s="68">
        <v>-21.155427275581395</v>
      </c>
      <c r="AH16" s="69">
        <v>3.572405249042189E-2</v>
      </c>
    </row>
    <row r="17" spans="1:34" x14ac:dyDescent="0.2">
      <c r="A17" s="60" t="s">
        <v>345</v>
      </c>
      <c r="B17" s="43">
        <v>-0.8937572244186045</v>
      </c>
      <c r="D17" s="44">
        <v>42982</v>
      </c>
      <c r="E17" s="45" t="s">
        <v>336</v>
      </c>
      <c r="F17" s="46">
        <v>0.23940320000000004</v>
      </c>
      <c r="G17" s="46"/>
      <c r="H17" s="46"/>
      <c r="K17" s="56">
        <v>22</v>
      </c>
      <c r="L17" s="45" t="s">
        <v>338</v>
      </c>
      <c r="M17" s="57">
        <v>5.5E-2</v>
      </c>
      <c r="N17" s="57">
        <v>0.52</v>
      </c>
      <c r="O17" s="58">
        <v>2786</v>
      </c>
      <c r="P17" s="59">
        <v>39.814</v>
      </c>
      <c r="Q17" s="59">
        <v>0.57099999999999995</v>
      </c>
      <c r="R17" s="59">
        <v>0.50775000000000003</v>
      </c>
      <c r="S17" s="46">
        <v>0.19357869999999999</v>
      </c>
      <c r="T17" s="66" t="s">
        <v>356</v>
      </c>
      <c r="U17" s="67" t="s">
        <v>357</v>
      </c>
      <c r="X17" s="56">
        <v>11</v>
      </c>
      <c r="Y17" s="56" t="s">
        <v>352</v>
      </c>
      <c r="Z17" s="57">
        <v>7.2999999999999995E-2</v>
      </c>
      <c r="AA17" s="57">
        <v>0.32900000000000001</v>
      </c>
      <c r="AB17" s="58">
        <v>1708</v>
      </c>
      <c r="AC17" s="59">
        <v>25.635000000000002</v>
      </c>
      <c r="AD17" s="59">
        <v>-17.181000000000001</v>
      </c>
      <c r="AE17" s="59">
        <v>-17.235104651162793</v>
      </c>
      <c r="AF17" s="46">
        <v>-17.547170834883723</v>
      </c>
      <c r="AG17" s="66" t="s">
        <v>356</v>
      </c>
      <c r="AH17" s="67" t="s">
        <v>357</v>
      </c>
    </row>
    <row r="18" spans="1:34" x14ac:dyDescent="0.2">
      <c r="A18" s="60" t="s">
        <v>346</v>
      </c>
      <c r="B18" s="43">
        <v>-0.59290141744186042</v>
      </c>
      <c r="D18" s="53">
        <v>42982</v>
      </c>
      <c r="E18" s="42" t="s">
        <v>336</v>
      </c>
      <c r="F18" s="54">
        <v>0.2732142500000001</v>
      </c>
      <c r="G18" s="54">
        <f t="shared" ref="G18" si="10">AVERAGE(F17:F18)</f>
        <v>0.25630872500000007</v>
      </c>
      <c r="H18" s="55">
        <f t="shared" ref="H18" si="11">STDEV(F17:F18)</f>
        <v>2.3908022734037464E-2</v>
      </c>
      <c r="K18" s="60">
        <v>23</v>
      </c>
      <c r="L18" s="42" t="s">
        <v>338</v>
      </c>
      <c r="M18" s="61">
        <v>6.2E-2</v>
      </c>
      <c r="N18" s="61">
        <v>0.318</v>
      </c>
      <c r="O18" s="62">
        <v>3442</v>
      </c>
      <c r="P18" s="63">
        <v>48.89</v>
      </c>
      <c r="Q18" s="63">
        <v>0.60299999999999998</v>
      </c>
      <c r="R18" s="63">
        <v>0.53687499999999999</v>
      </c>
      <c r="S18" s="54">
        <v>0.22243575000000004</v>
      </c>
      <c r="T18" s="68">
        <v>0.20800722500000002</v>
      </c>
      <c r="U18" s="69">
        <v>2.0405015740039296E-2</v>
      </c>
      <c r="X18" s="60">
        <v>12</v>
      </c>
      <c r="Y18" s="60" t="s">
        <v>352</v>
      </c>
      <c r="Z18" s="61">
        <v>7.6999999999999999E-2</v>
      </c>
      <c r="AA18" s="61">
        <v>0.39700000000000002</v>
      </c>
      <c r="AB18" s="62">
        <v>2163</v>
      </c>
      <c r="AC18" s="63">
        <v>31.385000000000002</v>
      </c>
      <c r="AD18" s="63">
        <v>-17.311</v>
      </c>
      <c r="AE18" s="63">
        <v>-17.370023255813955</v>
      </c>
      <c r="AF18" s="54">
        <v>-17.681037074418605</v>
      </c>
      <c r="AG18" s="68">
        <v>-17.614103954651164</v>
      </c>
      <c r="AH18" s="69">
        <v>9.4657725747057747E-2</v>
      </c>
    </row>
    <row r="19" spans="1:34" x14ac:dyDescent="0.2">
      <c r="A19" s="60" t="s">
        <v>347</v>
      </c>
      <c r="B19" s="43">
        <v>-12.423767308139533</v>
      </c>
      <c r="D19" s="44">
        <v>42983</v>
      </c>
      <c r="E19" s="56" t="s">
        <v>346</v>
      </c>
      <c r="F19" s="46">
        <v>-0.46990899767441857</v>
      </c>
      <c r="G19" s="46"/>
      <c r="H19" s="46"/>
      <c r="K19" s="56">
        <v>24</v>
      </c>
      <c r="L19" s="45" t="s">
        <v>340</v>
      </c>
      <c r="M19" s="57">
        <v>0.184</v>
      </c>
      <c r="N19" s="57">
        <v>0.51200000000000001</v>
      </c>
      <c r="O19" s="58">
        <v>2500</v>
      </c>
      <c r="P19" s="59">
        <v>35.963999999999999</v>
      </c>
      <c r="Q19" s="59">
        <v>-0.623</v>
      </c>
      <c r="R19" s="59">
        <v>-0.69199999999999995</v>
      </c>
      <c r="S19" s="46">
        <v>-0.99513359999999995</v>
      </c>
      <c r="T19" s="66" t="s">
        <v>356</v>
      </c>
      <c r="U19" s="67" t="s">
        <v>357</v>
      </c>
      <c r="X19" s="56">
        <v>13</v>
      </c>
      <c r="Y19" s="56" t="s">
        <v>344</v>
      </c>
      <c r="Z19" s="57">
        <v>7.0999999999999994E-2</v>
      </c>
      <c r="AA19" s="57">
        <v>0.32100000000000001</v>
      </c>
      <c r="AB19" s="58">
        <v>2261</v>
      </c>
      <c r="AC19" s="59">
        <v>32.448</v>
      </c>
      <c r="AD19" s="59">
        <v>0.123</v>
      </c>
      <c r="AE19" s="59">
        <v>5.9058139534883772E-2</v>
      </c>
      <c r="AF19" s="46">
        <v>-0.38790251395348835</v>
      </c>
      <c r="AG19" s="66" t="s">
        <v>356</v>
      </c>
      <c r="AH19" s="67" t="s">
        <v>357</v>
      </c>
    </row>
    <row r="20" spans="1:34" x14ac:dyDescent="0.2">
      <c r="A20" s="60" t="s">
        <v>348</v>
      </c>
      <c r="B20" s="43">
        <v>-30.948452812790698</v>
      </c>
      <c r="D20" s="53">
        <v>42983</v>
      </c>
      <c r="E20" s="60" t="s">
        <v>346</v>
      </c>
      <c r="F20" s="54">
        <v>-0.71589383720930222</v>
      </c>
      <c r="G20" s="54">
        <f t="shared" ref="G20" si="12">AVERAGE(F19:F20)</f>
        <v>-0.59290141744186042</v>
      </c>
      <c r="H20" s="55">
        <f t="shared" ref="H20" si="13">STDEV(F19:F20)</f>
        <v>0.17393754810420101</v>
      </c>
      <c r="K20" s="60">
        <v>25</v>
      </c>
      <c r="L20" s="42" t="s">
        <v>340</v>
      </c>
      <c r="M20" s="61">
        <v>0.20399999999999999</v>
      </c>
      <c r="N20" s="61">
        <v>0.443</v>
      </c>
      <c r="O20" s="62">
        <v>2804</v>
      </c>
      <c r="P20" s="63">
        <v>40.622999999999998</v>
      </c>
      <c r="Q20" s="63">
        <v>-0.86599999999999999</v>
      </c>
      <c r="R20" s="63">
        <v>-0.9378749999999999</v>
      </c>
      <c r="S20" s="54">
        <v>-1.2387465499999999</v>
      </c>
      <c r="T20" s="68">
        <v>-1.116940075</v>
      </c>
      <c r="U20" s="69">
        <v>0.1722603689298576</v>
      </c>
      <c r="X20" s="60">
        <v>14</v>
      </c>
      <c r="Y20" s="60" t="s">
        <v>344</v>
      </c>
      <c r="Z20" s="61">
        <v>7.2999999999999995E-2</v>
      </c>
      <c r="AA20" s="61">
        <v>0.39700000000000002</v>
      </c>
      <c r="AB20" s="62">
        <v>2358</v>
      </c>
      <c r="AC20" s="63">
        <v>34.116999999999997</v>
      </c>
      <c r="AD20" s="63">
        <v>6.3E-2</v>
      </c>
      <c r="AE20" s="63">
        <v>-5.8604651162790233E-3</v>
      </c>
      <c r="AF20" s="54">
        <v>-0.45231475348837208</v>
      </c>
      <c r="AG20" s="68">
        <v>-0.42010863372093021</v>
      </c>
      <c r="AH20" s="69">
        <v>4.5546331366528518E-2</v>
      </c>
    </row>
    <row r="21" spans="1:34" x14ac:dyDescent="0.2">
      <c r="A21" s="60" t="s">
        <v>349</v>
      </c>
      <c r="B21" s="43">
        <v>-21.155427275581395</v>
      </c>
      <c r="D21" s="44">
        <v>42983</v>
      </c>
      <c r="E21" s="56" t="s">
        <v>342</v>
      </c>
      <c r="F21" s="46">
        <v>-1.4073764767441861</v>
      </c>
      <c r="G21" s="46"/>
      <c r="H21" s="46"/>
      <c r="K21" s="56">
        <v>26</v>
      </c>
      <c r="L21" s="45" t="s">
        <v>337</v>
      </c>
      <c r="M21" s="57">
        <v>0.22</v>
      </c>
      <c r="N21" s="57">
        <v>0.437</v>
      </c>
      <c r="O21" s="58">
        <v>2686</v>
      </c>
      <c r="P21" s="59">
        <v>42.962000000000003</v>
      </c>
      <c r="Q21" s="59">
        <v>-0.49099999999999999</v>
      </c>
      <c r="R21" s="59">
        <v>-0.56574999999999998</v>
      </c>
      <c r="S21" s="46">
        <v>-0.87004510000000002</v>
      </c>
      <c r="T21" s="66" t="s">
        <v>356</v>
      </c>
      <c r="U21" s="67" t="s">
        <v>357</v>
      </c>
      <c r="X21" s="56">
        <v>15</v>
      </c>
      <c r="Y21" s="56" t="s">
        <v>348</v>
      </c>
      <c r="Z21" s="57">
        <v>0.09</v>
      </c>
      <c r="AA21" s="57">
        <v>0.44800000000000001</v>
      </c>
      <c r="AB21" s="58">
        <v>2180</v>
      </c>
      <c r="AC21" s="59">
        <v>31.373999999999999</v>
      </c>
      <c r="AD21" s="59">
        <v>-30.818999999999999</v>
      </c>
      <c r="AE21" s="59">
        <v>-30.892779069767442</v>
      </c>
      <c r="AF21" s="46">
        <v>-31.098315393023256</v>
      </c>
      <c r="AG21" s="66" t="s">
        <v>356</v>
      </c>
      <c r="AH21" s="67" t="s">
        <v>357</v>
      </c>
    </row>
    <row r="22" spans="1:34" x14ac:dyDescent="0.2">
      <c r="A22" s="60" t="s">
        <v>350</v>
      </c>
      <c r="B22" s="43">
        <v>-26.145408745348838</v>
      </c>
      <c r="D22" s="53">
        <v>42983</v>
      </c>
      <c r="E22" s="60" t="s">
        <v>342</v>
      </c>
      <c r="F22" s="54">
        <v>-1.2852551162790697</v>
      </c>
      <c r="G22" s="54">
        <f t="shared" ref="G22" si="14">AVERAGE(F21:F22)</f>
        <v>-1.3463157965116279</v>
      </c>
      <c r="H22" s="55">
        <f t="shared" ref="H22" si="15">STDEV(F21:F22)</f>
        <v>8.6352842112610517E-2</v>
      </c>
      <c r="K22" s="60">
        <v>27</v>
      </c>
      <c r="L22" s="42" t="s">
        <v>337</v>
      </c>
      <c r="M22" s="61">
        <v>0.20699999999999999</v>
      </c>
      <c r="N22" s="61">
        <v>0.48099999999999998</v>
      </c>
      <c r="O22" s="62">
        <v>2778</v>
      </c>
      <c r="P22" s="63">
        <v>40.607999999999997</v>
      </c>
      <c r="Q22" s="63">
        <v>-0.68</v>
      </c>
      <c r="R22" s="63">
        <v>-0.75762499999999999</v>
      </c>
      <c r="S22" s="54">
        <v>-1.06015485</v>
      </c>
      <c r="T22" s="68">
        <v>-0.965099975</v>
      </c>
      <c r="U22" s="69">
        <v>0.13442789339467923</v>
      </c>
      <c r="X22" s="60">
        <v>16</v>
      </c>
      <c r="Y22" s="60" t="s">
        <v>348</v>
      </c>
      <c r="Z22" s="61">
        <v>8.5000000000000006E-2</v>
      </c>
      <c r="AA22" s="61">
        <v>0.439</v>
      </c>
      <c r="AB22" s="62">
        <v>2143</v>
      </c>
      <c r="AC22" s="63">
        <v>31.085999999999999</v>
      </c>
      <c r="AD22" s="63">
        <v>-30.512</v>
      </c>
      <c r="AE22" s="63">
        <v>-30.590697674418607</v>
      </c>
      <c r="AF22" s="54">
        <v>-30.798590232558141</v>
      </c>
      <c r="AG22" s="68">
        <v>-30.948452812790698</v>
      </c>
      <c r="AH22" s="69">
        <v>0.21193769345710922</v>
      </c>
    </row>
    <row r="23" spans="1:34" x14ac:dyDescent="0.2">
      <c r="A23" s="60" t="s">
        <v>351</v>
      </c>
      <c r="B23" s="43">
        <v>-24.801352704651158</v>
      </c>
      <c r="D23" s="44">
        <v>42983</v>
      </c>
      <c r="E23" s="56" t="s">
        <v>349</v>
      </c>
      <c r="F23" s="46">
        <v>-21.130166555813954</v>
      </c>
      <c r="G23" s="46"/>
      <c r="H23" s="46"/>
      <c r="K23" s="56">
        <v>28</v>
      </c>
      <c r="L23" s="45" t="s">
        <v>339</v>
      </c>
      <c r="M23" s="57">
        <v>8.5000000000000006E-2</v>
      </c>
      <c r="N23" s="57">
        <v>0.41299999999999998</v>
      </c>
      <c r="O23" s="58">
        <v>2226</v>
      </c>
      <c r="P23" s="59">
        <v>32.665999999999997</v>
      </c>
      <c r="Q23" s="59">
        <v>0.58499999999999996</v>
      </c>
      <c r="R23" s="59">
        <v>0.50450000000000006</v>
      </c>
      <c r="S23" s="46">
        <v>0.19035860000000004</v>
      </c>
      <c r="T23" s="66" t="s">
        <v>356</v>
      </c>
      <c r="U23" s="67" t="s">
        <v>357</v>
      </c>
      <c r="X23" s="56">
        <v>17</v>
      </c>
      <c r="Y23" s="56" t="s">
        <v>369</v>
      </c>
      <c r="Z23" s="57">
        <v>0</v>
      </c>
      <c r="AA23" s="57">
        <v>0</v>
      </c>
      <c r="AB23" s="58"/>
      <c r="AC23" s="59"/>
      <c r="AD23" s="59"/>
      <c r="AE23" s="59"/>
      <c r="AF23" s="46"/>
    </row>
    <row r="24" spans="1:34" x14ac:dyDescent="0.2">
      <c r="A24" s="60" t="s">
        <v>352</v>
      </c>
      <c r="B24" s="43">
        <v>-17.614103954651164</v>
      </c>
      <c r="D24" s="53">
        <v>42983</v>
      </c>
      <c r="E24" s="60" t="s">
        <v>349</v>
      </c>
      <c r="F24" s="54">
        <v>-21.180687995348837</v>
      </c>
      <c r="G24" s="54">
        <f t="shared" ref="G24" si="16">AVERAGE(F23:F24)</f>
        <v>-21.155427275581395</v>
      </c>
      <c r="H24" s="55">
        <f t="shared" ref="H24" si="17">STDEV(F23:F24)</f>
        <v>3.572405249042189E-2</v>
      </c>
      <c r="K24" s="60">
        <v>29</v>
      </c>
      <c r="L24" s="42" t="s">
        <v>339</v>
      </c>
      <c r="M24" s="61">
        <v>8.7999999999999995E-2</v>
      </c>
      <c r="N24" s="61">
        <v>0.40400000000000003</v>
      </c>
      <c r="O24" s="62">
        <v>2380</v>
      </c>
      <c r="P24" s="63">
        <v>36.000999999999998</v>
      </c>
      <c r="Q24" s="63">
        <v>0.59399999999999997</v>
      </c>
      <c r="R24" s="63">
        <v>0.510625</v>
      </c>
      <c r="S24" s="54">
        <v>0.19642725000000005</v>
      </c>
      <c r="T24" s="68">
        <v>0.19339292500000005</v>
      </c>
      <c r="U24" s="69">
        <v>4.2911835676477479E-3</v>
      </c>
      <c r="W24" s="9" t="s">
        <v>365</v>
      </c>
      <c r="X24" s="56">
        <v>18</v>
      </c>
      <c r="Y24" s="56" t="s">
        <v>370</v>
      </c>
      <c r="Z24" s="57">
        <v>9.8000000000000004E-2</v>
      </c>
      <c r="AA24" s="57">
        <v>0.72199999999999998</v>
      </c>
      <c r="AB24" s="58">
        <v>1744</v>
      </c>
      <c r="AC24" s="59">
        <v>26.702999999999999</v>
      </c>
      <c r="AD24" s="59">
        <v>11.552</v>
      </c>
      <c r="AE24" s="59">
        <v>11.463465116279069</v>
      </c>
      <c r="AF24" s="46">
        <v>10.927550088372092</v>
      </c>
    </row>
    <row r="25" spans="1:34" x14ac:dyDescent="0.2">
      <c r="A25" s="60" t="s">
        <v>353</v>
      </c>
      <c r="B25" s="43">
        <v>-5.5494826662790704</v>
      </c>
      <c r="D25" s="44">
        <v>42983</v>
      </c>
      <c r="E25" s="56" t="s">
        <v>352</v>
      </c>
      <c r="F25" s="46">
        <v>-17.547170834883723</v>
      </c>
      <c r="G25" s="46"/>
      <c r="H25" s="46"/>
      <c r="K25" s="56">
        <v>30</v>
      </c>
      <c r="L25" s="45" t="s">
        <v>335</v>
      </c>
      <c r="M25" s="57">
        <v>0.13600000000000001</v>
      </c>
      <c r="N25" s="57">
        <v>0.52800000000000002</v>
      </c>
      <c r="O25" s="58">
        <v>2941</v>
      </c>
      <c r="P25" s="59">
        <v>42.377000000000002</v>
      </c>
      <c r="Q25" s="59">
        <v>1.272</v>
      </c>
      <c r="R25" s="59">
        <v>1.1857500000000001</v>
      </c>
      <c r="S25" s="46">
        <v>0.86534110000000009</v>
      </c>
      <c r="T25" s="66" t="s">
        <v>356</v>
      </c>
      <c r="U25" s="67" t="s">
        <v>357</v>
      </c>
      <c r="X25" s="56">
        <v>19</v>
      </c>
      <c r="Y25" s="56" t="s">
        <v>371</v>
      </c>
      <c r="Z25" s="57">
        <v>0.188</v>
      </c>
      <c r="AA25" s="57">
        <v>0.52700000000000002</v>
      </c>
      <c r="AB25" s="58">
        <v>2396</v>
      </c>
      <c r="AC25" s="59">
        <v>34.988</v>
      </c>
      <c r="AD25" s="59">
        <v>-31.047999999999998</v>
      </c>
      <c r="AE25" s="59">
        <v>-31.14145348837209</v>
      </c>
      <c r="AF25" s="46">
        <v>-31.345050151162788</v>
      </c>
    </row>
    <row r="26" spans="1:34" x14ac:dyDescent="0.2">
      <c r="D26" s="53">
        <v>42983</v>
      </c>
      <c r="E26" s="60" t="s">
        <v>352</v>
      </c>
      <c r="F26" s="54">
        <v>-17.681037074418605</v>
      </c>
      <c r="G26" s="54">
        <f>AVERAGE(F25:F26)</f>
        <v>-17.614103954651164</v>
      </c>
      <c r="H26" s="55">
        <f t="shared" ref="H26" si="18">STDEV(F25:F26)</f>
        <v>9.4657725747057747E-2</v>
      </c>
      <c r="K26" s="60">
        <v>31</v>
      </c>
      <c r="L26" s="42" t="s">
        <v>335</v>
      </c>
      <c r="M26" s="61">
        <v>0.13500000000000001</v>
      </c>
      <c r="N26" s="61">
        <v>0.42</v>
      </c>
      <c r="O26" s="62">
        <v>2970</v>
      </c>
      <c r="P26" s="63">
        <v>42.162999999999997</v>
      </c>
      <c r="Q26" s="63">
        <v>1.3049999999999999</v>
      </c>
      <c r="R26" s="63">
        <v>1.215875</v>
      </c>
      <c r="S26" s="54">
        <v>0.89518894999999998</v>
      </c>
      <c r="T26" s="68">
        <v>0.88026502500000003</v>
      </c>
      <c r="U26" s="69">
        <v>2.1105617138838819E-2</v>
      </c>
      <c r="X26" s="60">
        <v>20</v>
      </c>
      <c r="Y26" s="60" t="s">
        <v>372</v>
      </c>
      <c r="Z26" s="61">
        <v>0.187</v>
      </c>
      <c r="AA26" s="61">
        <v>0.59799999999999998</v>
      </c>
      <c r="AB26" s="62">
        <v>2261</v>
      </c>
      <c r="AC26" s="63">
        <v>33.328000000000003</v>
      </c>
      <c r="AD26" s="63">
        <v>21</v>
      </c>
      <c r="AE26" s="63">
        <v>20.901627906976746</v>
      </c>
      <c r="AF26" s="54">
        <v>20.292095209302325</v>
      </c>
      <c r="AG26" s="64"/>
      <c r="AH26" s="65"/>
    </row>
    <row r="27" spans="1:34" x14ac:dyDescent="0.2">
      <c r="D27" s="44">
        <v>42983</v>
      </c>
      <c r="E27" s="56" t="s">
        <v>344</v>
      </c>
      <c r="F27" s="46">
        <v>-0.38790251395348835</v>
      </c>
      <c r="G27" s="46"/>
      <c r="H27" s="46"/>
      <c r="K27" s="56">
        <v>32</v>
      </c>
      <c r="L27" s="45" t="s">
        <v>336</v>
      </c>
      <c r="M27" s="57">
        <v>9.0999999999999998E-2</v>
      </c>
      <c r="N27" s="57">
        <v>0.44500000000000001</v>
      </c>
      <c r="O27" s="58">
        <v>3016</v>
      </c>
      <c r="P27" s="59">
        <v>44.162999999999997</v>
      </c>
      <c r="Q27" s="59">
        <v>0.64600000000000002</v>
      </c>
      <c r="R27" s="59">
        <v>0.55400000000000005</v>
      </c>
      <c r="S27" s="46">
        <v>0.23940320000000004</v>
      </c>
      <c r="T27" s="66" t="s">
        <v>356</v>
      </c>
      <c r="U27" s="67" t="s">
        <v>357</v>
      </c>
      <c r="X27" s="70">
        <v>21</v>
      </c>
      <c r="Y27" s="70" t="s">
        <v>350</v>
      </c>
      <c r="Z27" s="71">
        <v>9.0999999999999998E-2</v>
      </c>
      <c r="AA27" s="71">
        <v>0.57799999999999996</v>
      </c>
      <c r="AB27" s="72">
        <v>2024</v>
      </c>
      <c r="AC27" s="73">
        <v>36.450000000000003</v>
      </c>
      <c r="AD27" s="73">
        <v>-24.838999999999999</v>
      </c>
      <c r="AE27" s="73">
        <v>-24.942290697674416</v>
      </c>
      <c r="AF27" s="74">
        <v>-25.194240830232555</v>
      </c>
      <c r="AG27" s="66" t="s">
        <v>356</v>
      </c>
      <c r="AH27" s="67" t="s">
        <v>357</v>
      </c>
    </row>
    <row r="28" spans="1:34" x14ac:dyDescent="0.2">
      <c r="D28" s="53">
        <v>42983</v>
      </c>
      <c r="E28" s="60" t="s">
        <v>344</v>
      </c>
      <c r="F28" s="54">
        <v>-0.45231475348837208</v>
      </c>
      <c r="G28" s="54">
        <f t="shared" ref="G28" si="19">AVERAGE(F27:F28)</f>
        <v>-0.42010863372093021</v>
      </c>
      <c r="H28" s="55">
        <f t="shared" ref="H28" si="20">STDEV(F27:F28)</f>
        <v>4.5546331366528518E-2</v>
      </c>
      <c r="K28" s="60">
        <v>33</v>
      </c>
      <c r="L28" s="42" t="s">
        <v>336</v>
      </c>
      <c r="M28" s="61">
        <v>7.2999999999999995E-2</v>
      </c>
      <c r="N28" s="61">
        <v>0.45900000000000002</v>
      </c>
      <c r="O28" s="62">
        <v>2512</v>
      </c>
      <c r="P28" s="63">
        <v>36.228000000000002</v>
      </c>
      <c r="Q28" s="63">
        <v>0.68300000000000005</v>
      </c>
      <c r="R28" s="63">
        <v>0.58812500000000012</v>
      </c>
      <c r="S28" s="54">
        <v>0.2732142500000001</v>
      </c>
      <c r="T28" s="68">
        <v>0.25630872500000007</v>
      </c>
      <c r="U28" s="69">
        <v>2.3908022734037464E-2</v>
      </c>
      <c r="X28" s="60">
        <v>22</v>
      </c>
      <c r="Y28" s="60" t="s">
        <v>350</v>
      </c>
      <c r="Z28" s="61">
        <v>8.6999999999999994E-2</v>
      </c>
      <c r="AA28" s="61">
        <v>0.46200000000000002</v>
      </c>
      <c r="AB28" s="62">
        <v>2372</v>
      </c>
      <c r="AC28" s="63">
        <v>36.576000000000001</v>
      </c>
      <c r="AD28" s="63">
        <v>-25.800999999999998</v>
      </c>
      <c r="AE28" s="63">
        <v>-25.909209302325579</v>
      </c>
      <c r="AF28" s="54">
        <v>-26.15361746976744</v>
      </c>
      <c r="AG28" s="68">
        <v>-26.15361746976744</v>
      </c>
      <c r="AH28" s="69" t="s">
        <v>388</v>
      </c>
    </row>
    <row r="29" spans="1:34" x14ac:dyDescent="0.2">
      <c r="D29" s="44">
        <v>42983</v>
      </c>
      <c r="E29" s="56" t="s">
        <v>348</v>
      </c>
      <c r="F29" s="46">
        <v>-31.098315393023256</v>
      </c>
      <c r="G29" s="46"/>
      <c r="H29" s="46"/>
      <c r="K29" s="60">
        <v>34</v>
      </c>
      <c r="L29" s="42">
        <v>53745</v>
      </c>
      <c r="M29" s="61">
        <v>0.115</v>
      </c>
      <c r="N29" s="61">
        <v>0.46100000000000002</v>
      </c>
      <c r="O29" s="62">
        <v>2580</v>
      </c>
      <c r="P29" s="63">
        <v>41.85</v>
      </c>
      <c r="Q29" s="63">
        <v>-0.84399999999999997</v>
      </c>
      <c r="R29" s="63">
        <v>-0.94174999999999986</v>
      </c>
      <c r="S29" s="54">
        <v>-1.2425858999999999</v>
      </c>
      <c r="T29" s="75"/>
      <c r="U29" s="76"/>
      <c r="X29" s="70">
        <v>23</v>
      </c>
      <c r="Y29" s="70" t="s">
        <v>351</v>
      </c>
      <c r="Z29" s="71">
        <v>4.8000000000000001E-2</v>
      </c>
      <c r="AA29" s="71">
        <v>0.35</v>
      </c>
      <c r="AB29" s="72">
        <v>1395</v>
      </c>
      <c r="AC29" s="73">
        <v>22.047999999999998</v>
      </c>
      <c r="AD29" s="73">
        <v>-23.559000000000001</v>
      </c>
      <c r="AE29" s="73">
        <v>-23.672127906976744</v>
      </c>
      <c r="AF29" s="74">
        <v>-23.933985309302326</v>
      </c>
      <c r="AG29" s="66" t="s">
        <v>356</v>
      </c>
      <c r="AH29" s="67" t="s">
        <v>357</v>
      </c>
    </row>
    <row r="30" spans="1:34" x14ac:dyDescent="0.2">
      <c r="D30" s="53">
        <v>42983</v>
      </c>
      <c r="E30" s="60" t="s">
        <v>348</v>
      </c>
      <c r="F30" s="54">
        <v>-30.798590232558141</v>
      </c>
      <c r="G30" s="54">
        <f t="shared" ref="G30" si="21">AVERAGE(F29:F30)</f>
        <v>-30.948452812790698</v>
      </c>
      <c r="H30" s="55">
        <f>STDEV(F29:F30)</f>
        <v>0.21193769345710922</v>
      </c>
      <c r="K30" s="56">
        <v>35</v>
      </c>
      <c r="L30" s="77">
        <v>53737</v>
      </c>
      <c r="M30" s="78">
        <v>9.0999999999999998E-2</v>
      </c>
      <c r="N30" s="78">
        <v>0.61599999999999999</v>
      </c>
      <c r="O30" s="79">
        <v>2325</v>
      </c>
      <c r="P30" s="59">
        <v>34.762999999999998</v>
      </c>
      <c r="Q30" s="80">
        <v>-1.778</v>
      </c>
      <c r="R30" s="80">
        <v>-1.878625</v>
      </c>
      <c r="S30" s="46">
        <v>-2.1708416499999998</v>
      </c>
      <c r="T30" s="66" t="s">
        <v>356</v>
      </c>
      <c r="U30" s="67" t="s">
        <v>357</v>
      </c>
      <c r="X30" s="60">
        <v>24</v>
      </c>
      <c r="Y30" s="60" t="s">
        <v>351</v>
      </c>
      <c r="Z30" s="61">
        <v>0.05</v>
      </c>
      <c r="AA30" s="61">
        <v>0.64400000000000002</v>
      </c>
      <c r="AB30" s="62">
        <v>1966</v>
      </c>
      <c r="AC30" s="63">
        <v>29.119</v>
      </c>
      <c r="AD30" s="63">
        <v>-24.614999999999998</v>
      </c>
      <c r="AE30" s="63">
        <v>-24.733046511627904</v>
      </c>
      <c r="AF30" s="54">
        <v>-24.986628748837205</v>
      </c>
      <c r="AG30" s="68">
        <v>-24.986628748837205</v>
      </c>
      <c r="AH30" s="69" t="s">
        <v>388</v>
      </c>
    </row>
    <row r="31" spans="1:34" x14ac:dyDescent="0.2">
      <c r="D31" s="81">
        <v>42983</v>
      </c>
      <c r="E31" s="70" t="s">
        <v>350</v>
      </c>
      <c r="F31" s="74">
        <v>-25.194240830232555</v>
      </c>
      <c r="H31" s="47"/>
      <c r="K31" s="60">
        <v>36</v>
      </c>
      <c r="L31" s="82">
        <v>53737</v>
      </c>
      <c r="M31" s="83">
        <v>0.11</v>
      </c>
      <c r="N31" s="83">
        <v>0.77</v>
      </c>
      <c r="O31" s="84">
        <v>2891</v>
      </c>
      <c r="P31" s="63">
        <v>42.948</v>
      </c>
      <c r="Q31" s="85">
        <v>-2.0150000000000001</v>
      </c>
      <c r="R31" s="85">
        <v>-2.1185</v>
      </c>
      <c r="S31" s="54">
        <v>-2.4085098</v>
      </c>
      <c r="T31" s="68">
        <v>-2.2896757249999999</v>
      </c>
      <c r="U31" s="69">
        <v>0.16805676053706167</v>
      </c>
      <c r="X31" s="56">
        <v>25</v>
      </c>
      <c r="Y31" s="56" t="s">
        <v>347</v>
      </c>
      <c r="Z31" s="57">
        <v>0.20699999999999999</v>
      </c>
      <c r="AA31" s="57">
        <v>0.39600000000000002</v>
      </c>
      <c r="AB31" s="58">
        <v>2780</v>
      </c>
      <c r="AC31" s="59">
        <v>40.353999999999999</v>
      </c>
      <c r="AD31" s="59">
        <v>-12.022</v>
      </c>
      <c r="AE31" s="59">
        <v>-12.144965116279069</v>
      </c>
      <c r="AF31" s="46">
        <v>-12.496734388372092</v>
      </c>
      <c r="AG31" s="66" t="s">
        <v>356</v>
      </c>
      <c r="AH31" s="67" t="s">
        <v>357</v>
      </c>
    </row>
    <row r="32" spans="1:34" x14ac:dyDescent="0.2">
      <c r="D32" s="44">
        <v>42983</v>
      </c>
      <c r="E32" s="56" t="s">
        <v>350</v>
      </c>
      <c r="F32" s="46">
        <v>-26.15361746976744</v>
      </c>
      <c r="G32" s="86"/>
      <c r="H32" s="46"/>
      <c r="K32" s="56">
        <v>37</v>
      </c>
      <c r="L32" s="77" t="s">
        <v>369</v>
      </c>
      <c r="M32" s="78">
        <v>0</v>
      </c>
      <c r="N32" s="78">
        <v>0</v>
      </c>
      <c r="O32" s="79"/>
      <c r="P32" s="59"/>
      <c r="Q32" s="80"/>
      <c r="R32" s="80"/>
      <c r="S32" s="46"/>
      <c r="X32" s="60">
        <v>26</v>
      </c>
      <c r="Y32" s="60" t="s">
        <v>347</v>
      </c>
      <c r="Z32" s="61">
        <v>0.21</v>
      </c>
      <c r="AA32" s="61">
        <v>0.42699999999999999</v>
      </c>
      <c r="AB32" s="62">
        <v>2862</v>
      </c>
      <c r="AC32" s="63">
        <v>41.924999999999997</v>
      </c>
      <c r="AD32" s="63">
        <v>-11.87</v>
      </c>
      <c r="AE32" s="63">
        <v>-11.997883720930231</v>
      </c>
      <c r="AF32" s="54">
        <v>-12.350800227906975</v>
      </c>
      <c r="AG32" s="68">
        <v>-12.423767308139533</v>
      </c>
      <c r="AH32" s="69">
        <v>0.10319103447165015</v>
      </c>
    </row>
    <row r="33" spans="4:34" x14ac:dyDescent="0.2">
      <c r="D33" s="53">
        <v>42983</v>
      </c>
      <c r="E33" s="60" t="s">
        <v>350</v>
      </c>
      <c r="F33" s="54">
        <v>-26.137200020930234</v>
      </c>
      <c r="G33" s="87">
        <f t="shared" ref="G33" si="22">AVERAGE(F32:F33)</f>
        <v>-26.145408745348838</v>
      </c>
      <c r="H33" s="55">
        <f t="shared" ref="H33" si="23">STDEV(F32:F33)</f>
        <v>1.1608889402571701E-2</v>
      </c>
      <c r="J33" s="9" t="s">
        <v>365</v>
      </c>
      <c r="K33" s="56">
        <v>38</v>
      </c>
      <c r="L33" s="77" t="s">
        <v>366</v>
      </c>
      <c r="M33" s="78">
        <v>0.188</v>
      </c>
      <c r="N33" s="78">
        <v>0.57699999999999996</v>
      </c>
      <c r="O33" s="79">
        <v>2408</v>
      </c>
      <c r="P33" s="59">
        <v>34.838999999999999</v>
      </c>
      <c r="Q33" s="80">
        <v>2.9790000000000001</v>
      </c>
      <c r="R33" s="80">
        <v>2.8697500000000002</v>
      </c>
      <c r="S33" s="46">
        <v>2.5338483000000003</v>
      </c>
      <c r="X33" s="56">
        <v>27</v>
      </c>
      <c r="Y33" s="56" t="s">
        <v>343</v>
      </c>
      <c r="Z33" s="57">
        <v>0.17599999999999999</v>
      </c>
      <c r="AA33" s="57">
        <v>0.46800000000000003</v>
      </c>
      <c r="AB33" s="58">
        <v>2309</v>
      </c>
      <c r="AC33" s="59">
        <v>33.24</v>
      </c>
      <c r="AD33" s="59">
        <v>-1.762</v>
      </c>
      <c r="AE33" s="59">
        <v>-1.8948023255813953</v>
      </c>
      <c r="AF33" s="46">
        <v>-2.3265228674418603</v>
      </c>
      <c r="AG33" s="66" t="s">
        <v>356</v>
      </c>
      <c r="AH33" s="67" t="s">
        <v>357</v>
      </c>
    </row>
    <row r="34" spans="4:34" x14ac:dyDescent="0.2">
      <c r="D34" s="81">
        <v>42983</v>
      </c>
      <c r="E34" s="70" t="s">
        <v>351</v>
      </c>
      <c r="F34" s="74">
        <v>-23.933985309302326</v>
      </c>
      <c r="H34" s="47"/>
      <c r="K34" s="60">
        <v>39</v>
      </c>
      <c r="L34" s="82" t="s">
        <v>367</v>
      </c>
      <c r="M34" s="83">
        <v>0.21199999999999999</v>
      </c>
      <c r="N34" s="83">
        <v>0.69299999999999995</v>
      </c>
      <c r="O34" s="84">
        <v>2746</v>
      </c>
      <c r="P34" s="63">
        <v>40.156999999999996</v>
      </c>
      <c r="Q34" s="85">
        <v>0.08</v>
      </c>
      <c r="R34" s="85">
        <v>-3.2124999999999931E-2</v>
      </c>
      <c r="S34" s="54">
        <v>-0.34132944999999992</v>
      </c>
      <c r="X34" s="60">
        <v>28</v>
      </c>
      <c r="Y34" s="60" t="s">
        <v>343</v>
      </c>
      <c r="Z34" s="61">
        <v>0.19700000000000001</v>
      </c>
      <c r="AA34" s="61">
        <v>0.55800000000000005</v>
      </c>
      <c r="AB34" s="62">
        <v>2360</v>
      </c>
      <c r="AC34" s="63">
        <v>36.96</v>
      </c>
      <c r="AD34" s="63">
        <v>-1.6479999999999999</v>
      </c>
      <c r="AE34" s="63">
        <v>-1.7857209302325581</v>
      </c>
      <c r="AF34" s="54">
        <v>-2.218292306976744</v>
      </c>
      <c r="AG34" s="68">
        <v>-2.2724075872093019</v>
      </c>
      <c r="AH34" s="69">
        <v>7.6530563236504437E-2</v>
      </c>
    </row>
    <row r="35" spans="4:34" x14ac:dyDescent="0.2">
      <c r="D35" s="44">
        <v>42983</v>
      </c>
      <c r="E35" s="56" t="s">
        <v>351</v>
      </c>
      <c r="F35" s="46">
        <v>-24.986628748837205</v>
      </c>
      <c r="G35" s="86"/>
      <c r="H35" s="46"/>
      <c r="X35" s="56">
        <v>29</v>
      </c>
      <c r="Y35" s="56" t="s">
        <v>353</v>
      </c>
      <c r="Z35" s="57">
        <v>0.21299999999999999</v>
      </c>
      <c r="AA35" s="57">
        <v>0.55200000000000005</v>
      </c>
      <c r="AB35" s="58">
        <v>2801</v>
      </c>
      <c r="AC35" s="59">
        <v>40.954999999999998</v>
      </c>
      <c r="AD35" s="59">
        <v>-5.1050000000000004</v>
      </c>
      <c r="AE35" s="59">
        <v>-5.2476395348837208</v>
      </c>
      <c r="AF35" s="46">
        <v>-5.6532079465116283</v>
      </c>
      <c r="AG35" s="66" t="s">
        <v>356</v>
      </c>
      <c r="AH35" s="67" t="s">
        <v>357</v>
      </c>
    </row>
    <row r="36" spans="4:34" x14ac:dyDescent="0.2">
      <c r="D36" s="53">
        <v>42983</v>
      </c>
      <c r="E36" s="60" t="s">
        <v>351</v>
      </c>
      <c r="F36" s="54">
        <v>-24.616076660465115</v>
      </c>
      <c r="G36" s="87">
        <f>AVERAGE(F35:F36)</f>
        <v>-24.801352704651158</v>
      </c>
      <c r="H36" s="55">
        <f t="shared" ref="H36" si="24">STDEV(F35:F36)</f>
        <v>0.2620198944707417</v>
      </c>
      <c r="X36" s="60">
        <v>30</v>
      </c>
      <c r="Y36" s="60" t="s">
        <v>353</v>
      </c>
      <c r="Z36" s="61">
        <v>0.17499999999999999</v>
      </c>
      <c r="AA36" s="61">
        <v>0.56200000000000006</v>
      </c>
      <c r="AB36" s="62">
        <v>2159</v>
      </c>
      <c r="AC36" s="63">
        <v>34.146999999999998</v>
      </c>
      <c r="AD36" s="63">
        <v>-4.891</v>
      </c>
      <c r="AE36" s="63">
        <v>-5.0385581395348833</v>
      </c>
      <c r="AF36" s="54">
        <v>-5.4457573860465116</v>
      </c>
      <c r="AG36" s="68">
        <v>-5.5494826662790704</v>
      </c>
      <c r="AH36" s="69">
        <v>0.1466896980658339</v>
      </c>
    </row>
    <row r="37" spans="4:34" ht="12" thickBot="1" x14ac:dyDescent="0.25">
      <c r="D37" s="44">
        <v>42983</v>
      </c>
      <c r="E37" s="56" t="s">
        <v>347</v>
      </c>
      <c r="F37" s="46">
        <v>-12.496734388372092</v>
      </c>
      <c r="G37" s="46"/>
      <c r="H37" s="46"/>
      <c r="K37" s="36" t="s">
        <v>360</v>
      </c>
      <c r="L37" s="37" t="s">
        <v>334</v>
      </c>
      <c r="M37" s="40" t="s">
        <v>383</v>
      </c>
      <c r="X37" s="56">
        <v>31</v>
      </c>
      <c r="Y37" s="56" t="s">
        <v>341</v>
      </c>
      <c r="Z37" s="57">
        <v>7.0000000000000007E-2</v>
      </c>
      <c r="AA37" s="57">
        <v>0.41899999999999998</v>
      </c>
      <c r="AB37" s="58">
        <v>4254</v>
      </c>
      <c r="AC37" s="59">
        <v>67.096999999999994</v>
      </c>
      <c r="AD37" s="59">
        <v>-0.81899999999999995</v>
      </c>
      <c r="AE37" s="59">
        <v>-0.97147674418604635</v>
      </c>
      <c r="AF37" s="46">
        <v>-1.4103992255813953</v>
      </c>
      <c r="AG37" s="66" t="s">
        <v>356</v>
      </c>
      <c r="AH37" s="67" t="s">
        <v>357</v>
      </c>
    </row>
    <row r="38" spans="4:34" ht="12" thickTop="1" x14ac:dyDescent="0.2">
      <c r="D38" s="53">
        <v>42983</v>
      </c>
      <c r="E38" s="60" t="s">
        <v>347</v>
      </c>
      <c r="F38" s="54">
        <v>-12.350800227906975</v>
      </c>
      <c r="G38" s="54">
        <f t="shared" ref="G38" si="25">AVERAGE(F37:F38)</f>
        <v>-12.423767308139533</v>
      </c>
      <c r="H38" s="55">
        <f t="shared" ref="H38" si="26">STDEV(F37:F38)</f>
        <v>0.10319103447165015</v>
      </c>
      <c r="K38" s="56">
        <v>2</v>
      </c>
      <c r="L38" s="45" t="s">
        <v>366</v>
      </c>
      <c r="M38" s="59">
        <v>2.8690000000000002</v>
      </c>
      <c r="X38" s="60">
        <v>32</v>
      </c>
      <c r="Y38" s="60" t="s">
        <v>341</v>
      </c>
      <c r="Z38" s="61">
        <v>6.8000000000000005E-2</v>
      </c>
      <c r="AA38" s="61">
        <v>0.372</v>
      </c>
      <c r="AB38" s="62">
        <v>4039</v>
      </c>
      <c r="AC38" s="63">
        <v>60.56</v>
      </c>
      <c r="AD38" s="63">
        <v>-0.68300000000000005</v>
      </c>
      <c r="AE38" s="63">
        <v>-0.84039534883720923</v>
      </c>
      <c r="AF38" s="54">
        <v>-1.280340265116279</v>
      </c>
      <c r="AG38" s="68">
        <v>-1.3453697453488371</v>
      </c>
      <c r="AH38" s="69">
        <v>9.1965572898956849E-2</v>
      </c>
    </row>
    <row r="39" spans="4:34" x14ac:dyDescent="0.2">
      <c r="D39" s="44">
        <v>42983</v>
      </c>
      <c r="E39" s="56" t="s">
        <v>343</v>
      </c>
      <c r="F39" s="46">
        <v>-2.3265228674418603</v>
      </c>
      <c r="G39" s="46"/>
      <c r="H39" s="46"/>
      <c r="K39" s="56">
        <v>3</v>
      </c>
      <c r="L39" s="45" t="s">
        <v>367</v>
      </c>
      <c r="M39" s="59">
        <v>-1.7000000000000001E-2</v>
      </c>
      <c r="X39" s="56">
        <v>33</v>
      </c>
      <c r="Y39" s="56" t="s">
        <v>345</v>
      </c>
      <c r="Z39" s="57">
        <v>7.0999999999999994E-2</v>
      </c>
      <c r="AA39" s="57">
        <v>0.57599999999999996</v>
      </c>
      <c r="AB39" s="58">
        <v>3164</v>
      </c>
      <c r="AC39" s="59">
        <v>47.18</v>
      </c>
      <c r="AD39" s="59">
        <v>-0.36399999999999999</v>
      </c>
      <c r="AE39" s="59">
        <v>-0.52631395348837196</v>
      </c>
      <c r="AF39" s="46">
        <v>-0.96870870465116266</v>
      </c>
      <c r="AG39" s="66" t="s">
        <v>356</v>
      </c>
      <c r="AH39" s="67" t="s">
        <v>357</v>
      </c>
    </row>
    <row r="40" spans="4:34" x14ac:dyDescent="0.2">
      <c r="D40" s="53">
        <v>42983</v>
      </c>
      <c r="E40" s="60" t="s">
        <v>343</v>
      </c>
      <c r="F40" s="54">
        <v>-2.218292306976744</v>
      </c>
      <c r="G40" s="54">
        <f t="shared" ref="G40" si="27">AVERAGE(F39:F40)</f>
        <v>-2.2724075872093019</v>
      </c>
      <c r="H40" s="55">
        <f t="shared" ref="H40" si="28">STDEV(F39:F40)</f>
        <v>7.6530563236504437E-2</v>
      </c>
      <c r="K40" s="56">
        <v>38</v>
      </c>
      <c r="L40" s="77" t="s">
        <v>366</v>
      </c>
      <c r="M40" s="80">
        <v>2.9790000000000001</v>
      </c>
      <c r="N40" s="9">
        <v>36</v>
      </c>
      <c r="O40" s="88">
        <v>0.10999999999999988</v>
      </c>
      <c r="P40" s="9">
        <v>36</v>
      </c>
      <c r="Q40" s="88">
        <v>0.10349999999999994</v>
      </c>
      <c r="X40" s="60">
        <v>34</v>
      </c>
      <c r="Y40" s="60" t="s">
        <v>345</v>
      </c>
      <c r="Z40" s="61">
        <v>7.5999999999999998E-2</v>
      </c>
      <c r="AA40" s="61">
        <v>0.48</v>
      </c>
      <c r="AB40" s="62">
        <v>3125</v>
      </c>
      <c r="AC40" s="63">
        <v>47.826999999999998</v>
      </c>
      <c r="AD40" s="63">
        <v>-0.20799999999999999</v>
      </c>
      <c r="AE40" s="63">
        <v>-0.37523255813953471</v>
      </c>
      <c r="AF40" s="54">
        <v>-0.81880574418604635</v>
      </c>
      <c r="AG40" s="68">
        <v>-0.8937572244186045</v>
      </c>
      <c r="AH40" s="69">
        <v>0.10599739986482268</v>
      </c>
    </row>
    <row r="41" spans="4:34" x14ac:dyDescent="0.2">
      <c r="D41" s="44">
        <v>42983</v>
      </c>
      <c r="E41" s="56" t="s">
        <v>353</v>
      </c>
      <c r="F41" s="46">
        <v>-5.6532079465116283</v>
      </c>
      <c r="G41" s="46"/>
      <c r="H41" s="46"/>
      <c r="K41" s="60">
        <v>39</v>
      </c>
      <c r="L41" s="82" t="s">
        <v>367</v>
      </c>
      <c r="M41" s="85">
        <v>0.08</v>
      </c>
      <c r="N41" s="65">
        <v>36</v>
      </c>
      <c r="O41" s="89">
        <v>9.7000000000000003E-2</v>
      </c>
      <c r="P41" s="65">
        <v>1</v>
      </c>
      <c r="Q41" s="90">
        <v>2.8749999999999982E-3</v>
      </c>
      <c r="X41" s="56"/>
      <c r="Y41" s="91"/>
      <c r="Z41" s="78"/>
      <c r="AA41" s="78"/>
      <c r="AB41" s="79"/>
      <c r="AC41" s="59"/>
      <c r="AD41" s="80"/>
      <c r="AE41" s="59"/>
      <c r="AF41" s="46"/>
      <c r="AG41" s="66"/>
      <c r="AH41" s="67"/>
    </row>
    <row r="42" spans="4:34" x14ac:dyDescent="0.2">
      <c r="D42" s="53">
        <v>42983</v>
      </c>
      <c r="E42" s="60" t="s">
        <v>353</v>
      </c>
      <c r="F42" s="54">
        <v>-5.4457573860465116</v>
      </c>
      <c r="G42" s="54">
        <f t="shared" ref="G42" si="29">AVERAGE(F41:F42)</f>
        <v>-5.5494826662790704</v>
      </c>
      <c r="H42" s="55">
        <f t="shared" ref="H42" si="30">STDEV(F41:F42)</f>
        <v>0.1466896980658339</v>
      </c>
      <c r="X42" s="92"/>
      <c r="Y42" s="93"/>
      <c r="Z42" s="94"/>
      <c r="AA42" s="94"/>
      <c r="AB42" s="95"/>
      <c r="AC42" s="96"/>
      <c r="AD42" s="97"/>
      <c r="AE42" s="96"/>
      <c r="AF42" s="98"/>
      <c r="AG42" s="68"/>
      <c r="AH42" s="69"/>
    </row>
    <row r="43" spans="4:34" x14ac:dyDescent="0.2">
      <c r="D43" s="44">
        <v>42983</v>
      </c>
      <c r="E43" s="56" t="s">
        <v>341</v>
      </c>
      <c r="F43" s="46">
        <v>-1.4103992255813953</v>
      </c>
      <c r="G43" s="46"/>
      <c r="H43" s="46"/>
      <c r="X43" s="56"/>
      <c r="Y43" s="56"/>
      <c r="Z43" s="57"/>
      <c r="AA43" s="57"/>
      <c r="AB43" s="58"/>
      <c r="AC43" s="59"/>
      <c r="AD43" s="59"/>
      <c r="AE43" s="59"/>
      <c r="AF43" s="46"/>
      <c r="AG43" s="66"/>
      <c r="AH43" s="67"/>
    </row>
    <row r="44" spans="4:34" x14ac:dyDescent="0.2">
      <c r="D44" s="53">
        <v>42983</v>
      </c>
      <c r="E44" s="60" t="s">
        <v>341</v>
      </c>
      <c r="F44" s="54">
        <v>-1.280340265116279</v>
      </c>
      <c r="G44" s="54">
        <f t="shared" ref="G44" si="31">AVERAGE(F43:F44)</f>
        <v>-1.3453697453488371</v>
      </c>
      <c r="H44" s="55">
        <f t="shared" ref="H44" si="32">STDEV(F43:F44)</f>
        <v>9.1965572898956849E-2</v>
      </c>
      <c r="J44" s="99"/>
      <c r="K44" s="100"/>
      <c r="L44" s="33">
        <v>42982</v>
      </c>
      <c r="M44" s="9" t="s">
        <v>358</v>
      </c>
      <c r="N44" s="9" t="s">
        <v>359</v>
      </c>
      <c r="P44" s="101"/>
      <c r="Q44" s="101"/>
      <c r="R44" s="101"/>
      <c r="S44" s="101"/>
      <c r="T44" s="101"/>
      <c r="X44" s="60"/>
      <c r="Y44" s="60"/>
      <c r="Z44" s="61"/>
      <c r="AA44" s="61"/>
      <c r="AB44" s="62"/>
      <c r="AC44" s="63"/>
      <c r="AD44" s="63"/>
      <c r="AE44" s="63"/>
      <c r="AF44" s="54"/>
      <c r="AG44" s="68"/>
      <c r="AH44" s="69"/>
    </row>
    <row r="45" spans="4:34" ht="12" thickBot="1" x14ac:dyDescent="0.25">
      <c r="D45" s="44">
        <v>42983</v>
      </c>
      <c r="E45" s="56" t="s">
        <v>345</v>
      </c>
      <c r="F45" s="46">
        <v>-0.96870870465116266</v>
      </c>
      <c r="G45" s="46"/>
      <c r="H45" s="46"/>
      <c r="J45" s="102" t="s">
        <v>334</v>
      </c>
      <c r="K45" s="103" t="s">
        <v>373</v>
      </c>
      <c r="L45" s="103" t="s">
        <v>374</v>
      </c>
      <c r="M45" s="102" t="s">
        <v>375</v>
      </c>
      <c r="N45" s="104" t="s">
        <v>376</v>
      </c>
      <c r="O45" s="104" t="s">
        <v>377</v>
      </c>
      <c r="P45" s="105" t="s">
        <v>354</v>
      </c>
      <c r="Q45" s="106" t="s">
        <v>378</v>
      </c>
      <c r="R45" s="107" t="s">
        <v>385</v>
      </c>
      <c r="S45" s="101"/>
      <c r="T45" s="101"/>
      <c r="X45" s="56"/>
      <c r="Y45" s="56"/>
      <c r="Z45" s="57"/>
      <c r="AA45" s="57"/>
      <c r="AB45" s="58"/>
      <c r="AC45" s="59"/>
      <c r="AD45" s="59"/>
      <c r="AE45" s="59"/>
      <c r="AF45" s="46"/>
      <c r="AG45" s="66"/>
      <c r="AH45" s="67"/>
    </row>
    <row r="46" spans="4:34" ht="12" thickTop="1" x14ac:dyDescent="0.2">
      <c r="D46" s="53">
        <v>42983</v>
      </c>
      <c r="E46" s="60" t="s">
        <v>345</v>
      </c>
      <c r="F46" s="54">
        <v>-0.81880574418604635</v>
      </c>
      <c r="G46" s="54">
        <f t="shared" ref="G46" si="33">AVERAGE(F45:F46)</f>
        <v>-0.8937572244186045</v>
      </c>
      <c r="H46" s="55">
        <f t="shared" ref="H46" si="34">STDEV(F45:F46)</f>
        <v>0.10599739986482268</v>
      </c>
      <c r="J46" s="108" t="s">
        <v>379</v>
      </c>
      <c r="K46" s="59">
        <v>-2.5624999999999995E-2</v>
      </c>
      <c r="L46" s="109">
        <v>-0.3</v>
      </c>
      <c r="M46" s="110">
        <v>-0.33488924999999997</v>
      </c>
      <c r="N46" s="111">
        <v>0.27437499999999998</v>
      </c>
      <c r="O46" s="111">
        <v>3.4889249999999983E-2</v>
      </c>
      <c r="P46" s="112">
        <v>42982</v>
      </c>
      <c r="Q46" s="57">
        <v>0.224</v>
      </c>
      <c r="R46" s="57">
        <v>0.46600000000000003</v>
      </c>
      <c r="S46" s="101"/>
      <c r="T46" s="101"/>
      <c r="X46" s="60"/>
      <c r="Y46" s="60"/>
      <c r="Z46" s="61"/>
      <c r="AA46" s="61"/>
      <c r="AB46" s="62"/>
      <c r="AC46" s="63"/>
      <c r="AD46" s="63"/>
      <c r="AE46" s="63"/>
      <c r="AF46" s="54"/>
      <c r="AG46" s="68"/>
      <c r="AH46" s="69"/>
    </row>
    <row r="47" spans="4:34" x14ac:dyDescent="0.2">
      <c r="J47" s="108" t="s">
        <v>380</v>
      </c>
      <c r="K47" s="59">
        <v>22.064499999999999</v>
      </c>
      <c r="L47" s="113">
        <v>21.55</v>
      </c>
      <c r="M47" s="110">
        <v>21.552006599999999</v>
      </c>
      <c r="N47" s="111">
        <v>0.51449999999999818</v>
      </c>
      <c r="O47" s="114">
        <v>-2.0065999999978601E-3</v>
      </c>
      <c r="P47" s="112">
        <v>42982</v>
      </c>
      <c r="Q47" s="57">
        <v>0.223</v>
      </c>
      <c r="R47" s="57">
        <v>0.40799999999999997</v>
      </c>
      <c r="S47" s="101" t="s">
        <v>381</v>
      </c>
      <c r="T47" s="101" t="s">
        <v>382</v>
      </c>
      <c r="X47" s="115">
        <v>41</v>
      </c>
      <c r="Y47" s="115" t="s">
        <v>350</v>
      </c>
      <c r="Z47" s="116">
        <v>0.10100000000000001</v>
      </c>
      <c r="AA47" s="116">
        <v>0.47499999999999998</v>
      </c>
      <c r="AB47" s="117">
        <v>3197</v>
      </c>
      <c r="AC47" s="118">
        <v>47.317999999999998</v>
      </c>
      <c r="AD47" s="118">
        <v>-25.690999999999999</v>
      </c>
      <c r="AE47" s="118">
        <v>-25.892662790697674</v>
      </c>
      <c r="AF47" s="119">
        <v>-26.137200020930234</v>
      </c>
    </row>
    <row r="48" spans="4:34" x14ac:dyDescent="0.2">
      <c r="J48" s="108" t="s">
        <v>380</v>
      </c>
      <c r="K48" s="59">
        <v>22.099625</v>
      </c>
      <c r="L48" s="113">
        <v>21.55</v>
      </c>
      <c r="M48" s="110">
        <v>21.586808449999999</v>
      </c>
      <c r="N48" s="111">
        <v>0.54962499999999892</v>
      </c>
      <c r="O48" s="114">
        <v>-3.6808449999998771E-2</v>
      </c>
      <c r="P48" s="112">
        <v>42982</v>
      </c>
      <c r="Q48" s="57">
        <v>0.183</v>
      </c>
      <c r="R48" s="57">
        <v>0.32900000000000001</v>
      </c>
      <c r="S48" s="120">
        <v>0.99083205545896524</v>
      </c>
      <c r="T48" s="120">
        <v>-0.30946375424207062</v>
      </c>
      <c r="X48" s="115">
        <v>42</v>
      </c>
      <c r="Y48" s="115" t="s">
        <v>351</v>
      </c>
      <c r="Z48" s="116">
        <v>7.1999999999999995E-2</v>
      </c>
      <c r="AA48" s="116">
        <v>0.53700000000000003</v>
      </c>
      <c r="AB48" s="117">
        <v>2653</v>
      </c>
      <c r="AC48" s="118">
        <v>39.040999999999997</v>
      </c>
      <c r="AD48" s="118">
        <v>-24.152999999999999</v>
      </c>
      <c r="AE48" s="118">
        <v>-24.359581395348837</v>
      </c>
      <c r="AF48" s="119">
        <v>-24.616076660465115</v>
      </c>
    </row>
    <row r="49" spans="10:33" x14ac:dyDescent="0.2">
      <c r="J49" s="108" t="s">
        <v>371</v>
      </c>
      <c r="K49" s="59">
        <v>-31.346500000000002</v>
      </c>
      <c r="L49" s="113">
        <v>-31.4</v>
      </c>
      <c r="M49" s="110">
        <v>-31.367612200000003</v>
      </c>
      <c r="N49" s="111">
        <v>5.3499999999996106E-2</v>
      </c>
      <c r="O49" s="114">
        <v>-3.2387799999995082E-2</v>
      </c>
      <c r="P49" s="112">
        <v>42982</v>
      </c>
      <c r="Q49" s="57">
        <v>0.22500000000000001</v>
      </c>
      <c r="R49" s="57">
        <v>0.46800000000000003</v>
      </c>
      <c r="S49" s="101"/>
      <c r="T49" s="101"/>
      <c r="X49" s="115"/>
      <c r="Y49" s="115"/>
      <c r="Z49" s="116"/>
      <c r="AA49" s="116"/>
      <c r="AB49" s="117"/>
      <c r="AC49" s="118"/>
      <c r="AD49" s="118"/>
      <c r="AE49" s="118"/>
      <c r="AF49" s="119"/>
    </row>
    <row r="50" spans="10:33" x14ac:dyDescent="0.2">
      <c r="J50" s="121" t="s">
        <v>372</v>
      </c>
      <c r="K50" s="59">
        <v>20.804624999999998</v>
      </c>
      <c r="L50" s="113">
        <v>20.3</v>
      </c>
      <c r="M50" s="110">
        <v>20.303722449999999</v>
      </c>
      <c r="N50" s="111">
        <v>0.50462499999999721</v>
      </c>
      <c r="O50" s="111">
        <v>-3.7224499999979344E-3</v>
      </c>
      <c r="P50" s="112">
        <v>42982</v>
      </c>
      <c r="Q50" s="57">
        <v>0.216</v>
      </c>
      <c r="R50" s="57">
        <v>0.61399999999999999</v>
      </c>
      <c r="S50" s="99" t="s">
        <v>386</v>
      </c>
      <c r="T50" s="122">
        <v>0.99999752876735259</v>
      </c>
      <c r="X50" s="56">
        <v>44</v>
      </c>
      <c r="Y50" s="91" t="s">
        <v>369</v>
      </c>
      <c r="Z50" s="78">
        <v>0</v>
      </c>
      <c r="AA50" s="78">
        <v>0</v>
      </c>
      <c r="AB50" s="79"/>
      <c r="AC50" s="59"/>
      <c r="AD50" s="80"/>
      <c r="AE50" s="59"/>
      <c r="AF50" s="46"/>
    </row>
    <row r="51" spans="10:33" x14ac:dyDescent="0.2">
      <c r="J51" s="123" t="s">
        <v>379</v>
      </c>
      <c r="K51" s="85">
        <v>-3.2124999999999931E-2</v>
      </c>
      <c r="L51" s="124">
        <v>-0.3</v>
      </c>
      <c r="M51" s="125">
        <v>-0.34132944999999992</v>
      </c>
      <c r="N51" s="126">
        <v>0.26787500000000009</v>
      </c>
      <c r="O51" s="126">
        <v>4.1329449999999934E-2</v>
      </c>
      <c r="P51" s="127">
        <v>42982</v>
      </c>
      <c r="Q51" s="83">
        <v>0.21199999999999999</v>
      </c>
      <c r="R51" s="83">
        <v>0.69299999999999995</v>
      </c>
      <c r="W51" s="9" t="s">
        <v>365</v>
      </c>
      <c r="X51" s="56">
        <v>45</v>
      </c>
      <c r="Y51" s="91" t="s">
        <v>366</v>
      </c>
      <c r="Z51" s="78">
        <v>0.20799999999999999</v>
      </c>
      <c r="AA51" s="78">
        <v>0.36599999999999999</v>
      </c>
      <c r="AB51" s="79">
        <v>2602</v>
      </c>
      <c r="AC51" s="59">
        <v>37.862000000000002</v>
      </c>
      <c r="AD51" s="80">
        <v>2.9529999999999998</v>
      </c>
      <c r="AE51" s="59">
        <v>2.7316627906976745</v>
      </c>
      <c r="AF51" s="46">
        <v>2.2638558209302326</v>
      </c>
    </row>
    <row r="52" spans="10:33" x14ac:dyDescent="0.2">
      <c r="X52" s="60">
        <v>46</v>
      </c>
      <c r="Y52" s="128" t="s">
        <v>367</v>
      </c>
      <c r="Z52" s="83">
        <v>0.22800000000000001</v>
      </c>
      <c r="AA52" s="83">
        <v>0.64200000000000002</v>
      </c>
      <c r="AB52" s="84">
        <v>2887</v>
      </c>
      <c r="AC52" s="63">
        <v>42.88</v>
      </c>
      <c r="AD52" s="85">
        <v>0.313</v>
      </c>
      <c r="AE52" s="63">
        <v>8.6744186046511795E-2</v>
      </c>
      <c r="AF52" s="54">
        <v>-0.36043241860465103</v>
      </c>
    </row>
    <row r="55" spans="10:33" ht="12" thickBot="1" x14ac:dyDescent="0.25">
      <c r="X55" s="36" t="s">
        <v>360</v>
      </c>
      <c r="Y55" s="37" t="s">
        <v>334</v>
      </c>
      <c r="Z55" s="40" t="s">
        <v>383</v>
      </c>
    </row>
    <row r="56" spans="10:33" ht="12" thickTop="1" x14ac:dyDescent="0.2">
      <c r="X56" s="56">
        <v>2</v>
      </c>
      <c r="Y56" s="56" t="s">
        <v>366</v>
      </c>
      <c r="Z56" s="59">
        <v>2.7530000000000001</v>
      </c>
    </row>
    <row r="57" spans="10:33" x14ac:dyDescent="0.2">
      <c r="X57" s="56">
        <v>3</v>
      </c>
      <c r="Y57" s="56" t="s">
        <v>367</v>
      </c>
      <c r="Z57" s="59">
        <v>0.09</v>
      </c>
    </row>
    <row r="58" spans="10:33" x14ac:dyDescent="0.2">
      <c r="X58" s="56">
        <v>45</v>
      </c>
      <c r="Y58" s="91" t="s">
        <v>366</v>
      </c>
      <c r="Z58" s="80">
        <v>2.9529999999999998</v>
      </c>
      <c r="AA58" s="9">
        <v>43</v>
      </c>
      <c r="AB58" s="88">
        <v>0.19999999999999973</v>
      </c>
      <c r="AC58" s="9">
        <v>43</v>
      </c>
      <c r="AD58" s="88">
        <v>0.21149999999999985</v>
      </c>
    </row>
    <row r="59" spans="10:33" x14ac:dyDescent="0.2">
      <c r="X59" s="60">
        <v>46</v>
      </c>
      <c r="Y59" s="128" t="s">
        <v>367</v>
      </c>
      <c r="Z59" s="85">
        <v>0.313</v>
      </c>
      <c r="AA59" s="65">
        <v>43</v>
      </c>
      <c r="AB59" s="89">
        <v>0.223</v>
      </c>
      <c r="AC59" s="65">
        <v>1</v>
      </c>
      <c r="AD59" s="90">
        <v>4.9186046511627869E-3</v>
      </c>
    </row>
    <row r="62" spans="10:33" x14ac:dyDescent="0.2">
      <c r="W62" s="99"/>
      <c r="X62" s="100"/>
      <c r="Y62" s="33">
        <v>42983</v>
      </c>
      <c r="Z62" s="9" t="s">
        <v>358</v>
      </c>
      <c r="AA62" s="9" t="s">
        <v>387</v>
      </c>
      <c r="AC62" s="101"/>
      <c r="AD62" s="101"/>
      <c r="AE62" s="101"/>
      <c r="AF62" s="101"/>
      <c r="AG62" s="101"/>
    </row>
    <row r="63" spans="10:33" ht="12" thickBot="1" x14ac:dyDescent="0.25">
      <c r="W63" s="102" t="s">
        <v>334</v>
      </c>
      <c r="X63" s="103" t="s">
        <v>373</v>
      </c>
      <c r="Y63" s="103" t="s">
        <v>374</v>
      </c>
      <c r="Z63" s="102" t="s">
        <v>375</v>
      </c>
      <c r="AA63" s="104" t="s">
        <v>376</v>
      </c>
      <c r="AB63" s="104" t="s">
        <v>377</v>
      </c>
      <c r="AC63" s="105" t="s">
        <v>354</v>
      </c>
      <c r="AD63" s="106" t="s">
        <v>378</v>
      </c>
      <c r="AE63" s="107" t="s">
        <v>385</v>
      </c>
      <c r="AF63" s="101"/>
      <c r="AG63" s="101"/>
    </row>
    <row r="64" spans="10:33" ht="12" thickTop="1" x14ac:dyDescent="0.2">
      <c r="W64" s="108" t="s">
        <v>379</v>
      </c>
      <c r="X64" s="59">
        <v>7.5244186046511632E-2</v>
      </c>
      <c r="Y64" s="109">
        <v>-0.3</v>
      </c>
      <c r="Z64" s="110">
        <v>-0.37184271860465118</v>
      </c>
      <c r="AA64" s="111">
        <v>0.37524418604651161</v>
      </c>
      <c r="AB64" s="111">
        <v>7.184271860465119E-2</v>
      </c>
      <c r="AC64" s="112">
        <v>42983</v>
      </c>
      <c r="AD64" s="57">
        <v>0.184</v>
      </c>
      <c r="AE64" s="57">
        <v>0.45700000000000002</v>
      </c>
      <c r="AF64" s="101"/>
      <c r="AG64" s="101"/>
    </row>
    <row r="65" spans="23:33" x14ac:dyDescent="0.2">
      <c r="W65" s="108" t="s">
        <v>380</v>
      </c>
      <c r="X65" s="59">
        <v>22.255325581395347</v>
      </c>
      <c r="Y65" s="113">
        <v>21.55</v>
      </c>
      <c r="Z65" s="110">
        <v>21.635234041860464</v>
      </c>
      <c r="AA65" s="111">
        <v>0.70532558139534629</v>
      </c>
      <c r="AB65" s="114">
        <v>-8.523404186046335E-2</v>
      </c>
      <c r="AC65" s="112">
        <v>42983</v>
      </c>
      <c r="AD65" s="57">
        <v>0.185</v>
      </c>
      <c r="AE65" s="57">
        <v>0.69499999999999995</v>
      </c>
      <c r="AF65" s="101" t="s">
        <v>381</v>
      </c>
      <c r="AG65" s="101" t="s">
        <v>382</v>
      </c>
    </row>
    <row r="66" spans="23:33" x14ac:dyDescent="0.2">
      <c r="W66" s="108" t="s">
        <v>371</v>
      </c>
      <c r="X66" s="59">
        <v>-31.14145348837209</v>
      </c>
      <c r="Y66" s="113">
        <v>-31.4</v>
      </c>
      <c r="Z66" s="110">
        <v>-31.345050151162788</v>
      </c>
      <c r="AA66" s="111">
        <v>0.25854651162790887</v>
      </c>
      <c r="AB66" s="114">
        <v>-5.494984883721088E-2</v>
      </c>
      <c r="AC66" s="112">
        <v>42983</v>
      </c>
      <c r="AD66" s="57">
        <v>0.188</v>
      </c>
      <c r="AE66" s="57">
        <v>0.52700000000000002</v>
      </c>
      <c r="AF66" s="120">
        <v>0.99219475910976407</v>
      </c>
      <c r="AG66" s="120">
        <v>-0.4464880283821584</v>
      </c>
    </row>
    <row r="67" spans="23:33" x14ac:dyDescent="0.2">
      <c r="W67" s="121" t="s">
        <v>372</v>
      </c>
      <c r="X67" s="59">
        <v>20.901627906976746</v>
      </c>
      <c r="Y67" s="113">
        <v>20.3</v>
      </c>
      <c r="Z67" s="110">
        <v>20.292095209302325</v>
      </c>
      <c r="AA67" s="111">
        <v>0.60162790697674495</v>
      </c>
      <c r="AB67" s="111">
        <v>7.904790697676134E-3</v>
      </c>
      <c r="AC67" s="112">
        <v>42983</v>
      </c>
      <c r="AD67" s="57">
        <v>0.187</v>
      </c>
      <c r="AE67" s="57">
        <v>0.59799999999999998</v>
      </c>
      <c r="AF67" s="101"/>
      <c r="AG67" s="101"/>
    </row>
    <row r="68" spans="23:33" x14ac:dyDescent="0.2">
      <c r="W68" s="123" t="s">
        <v>379</v>
      </c>
      <c r="X68" s="63">
        <v>8.6744186046511795E-2</v>
      </c>
      <c r="Y68" s="124">
        <v>-0.3</v>
      </c>
      <c r="Z68" s="125">
        <v>-0.36043241860465103</v>
      </c>
      <c r="AA68" s="126">
        <v>0.38674418604651178</v>
      </c>
      <c r="AB68" s="126">
        <v>6.0432418604651039E-2</v>
      </c>
      <c r="AC68" s="127">
        <v>42983</v>
      </c>
      <c r="AD68" s="83">
        <v>0.22800000000000001</v>
      </c>
      <c r="AE68" s="83">
        <v>0.64200000000000002</v>
      </c>
      <c r="AF68" s="99" t="s">
        <v>386</v>
      </c>
      <c r="AG68" s="122">
        <v>0.99998960507571533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Y116"/>
  <sheetViews>
    <sheetView tabSelected="1" topLeftCell="HK1" zoomScale="85" zoomScaleNormal="85" workbookViewId="0">
      <selection activeCell="O46" sqref="O46"/>
    </sheetView>
  </sheetViews>
  <sheetFormatPr baseColWidth="10" defaultRowHeight="11.25" x14ac:dyDescent="0.2"/>
  <cols>
    <col min="1" max="1" width="26" style="145" customWidth="1"/>
    <col min="2" max="16384" width="11.42578125" style="145"/>
  </cols>
  <sheetData>
    <row r="1" spans="1:285" x14ac:dyDescent="0.2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  <c r="CA1" s="136"/>
      <c r="CB1" s="136"/>
      <c r="CC1" s="136"/>
      <c r="CD1" s="136"/>
      <c r="CE1" s="136"/>
      <c r="CF1" s="136"/>
      <c r="CG1" s="136"/>
      <c r="CH1" s="136"/>
      <c r="CI1" s="136"/>
      <c r="CJ1" s="136"/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6"/>
      <c r="CV1" s="136"/>
      <c r="CW1" s="136"/>
      <c r="CX1" s="136"/>
      <c r="CY1" s="136"/>
      <c r="CZ1" s="136"/>
      <c r="DA1" s="136"/>
      <c r="DB1" s="136"/>
      <c r="DC1" s="136"/>
      <c r="DD1" s="136"/>
      <c r="DE1" s="136"/>
      <c r="DF1" s="136"/>
      <c r="DG1" s="136"/>
      <c r="DH1" s="136"/>
      <c r="DI1" s="136"/>
      <c r="DJ1" s="136"/>
      <c r="DK1" s="136"/>
      <c r="DL1" s="136"/>
      <c r="DM1" s="136"/>
      <c r="DN1" s="136"/>
      <c r="DO1" s="136"/>
      <c r="DP1" s="136"/>
      <c r="DQ1" s="136"/>
      <c r="DR1" s="136"/>
      <c r="DS1" s="136"/>
      <c r="DT1" s="136"/>
      <c r="DU1" s="136"/>
      <c r="DV1" s="136"/>
      <c r="DW1" s="136"/>
      <c r="DX1" s="136"/>
      <c r="DY1" s="136"/>
      <c r="DZ1" s="136"/>
      <c r="EA1" s="136"/>
      <c r="EB1" s="136"/>
      <c r="EC1" s="136"/>
      <c r="ED1" s="136"/>
      <c r="EE1" s="136"/>
      <c r="EF1" s="136"/>
      <c r="EG1" s="136"/>
      <c r="EH1" s="136"/>
      <c r="EI1" s="136"/>
      <c r="EJ1" s="136"/>
      <c r="EK1" s="136"/>
      <c r="EL1" s="136"/>
      <c r="EM1" s="136"/>
      <c r="EN1" s="136"/>
      <c r="EO1" s="136"/>
      <c r="EP1" s="136"/>
      <c r="EQ1" s="136"/>
      <c r="ER1" s="136"/>
      <c r="ES1" s="136"/>
      <c r="ET1" s="136"/>
      <c r="EU1" s="136"/>
      <c r="EV1" s="136"/>
      <c r="EW1" s="136"/>
      <c r="EX1" s="136"/>
      <c r="EY1" s="136"/>
      <c r="EZ1" s="136"/>
      <c r="FA1" s="136"/>
      <c r="FB1" s="136"/>
      <c r="FC1" s="136"/>
      <c r="FD1" s="136"/>
      <c r="FE1" s="136"/>
      <c r="FF1" s="136"/>
      <c r="FG1" s="136"/>
      <c r="FH1" s="136"/>
      <c r="FI1" s="136"/>
      <c r="FJ1" s="136"/>
      <c r="FK1" s="136"/>
      <c r="FL1" s="136"/>
      <c r="FM1" s="136"/>
      <c r="FN1" s="136"/>
      <c r="FO1" s="136"/>
      <c r="FP1" s="136"/>
      <c r="FQ1" s="136"/>
      <c r="FR1" s="136"/>
      <c r="FS1" s="136"/>
      <c r="FT1" s="136"/>
      <c r="FU1" s="136"/>
      <c r="FV1" s="136"/>
      <c r="FW1" s="136"/>
      <c r="FX1" s="136"/>
      <c r="FY1" s="136"/>
      <c r="FZ1" s="136"/>
      <c r="GA1" s="136"/>
      <c r="GB1" s="136"/>
      <c r="GC1" s="136"/>
      <c r="GD1" s="136"/>
      <c r="GE1" s="136"/>
      <c r="GF1" s="136"/>
      <c r="GG1" s="136"/>
      <c r="GH1" s="136"/>
      <c r="GI1" s="136"/>
      <c r="GJ1" s="136"/>
      <c r="GK1" s="136"/>
      <c r="GL1" s="136"/>
      <c r="GM1" s="136"/>
      <c r="GN1" s="136"/>
      <c r="GO1" s="136"/>
      <c r="GP1" s="136"/>
      <c r="GQ1" s="136"/>
      <c r="GR1" s="136"/>
      <c r="GS1" s="136"/>
      <c r="GT1" s="136"/>
      <c r="GU1" s="136"/>
      <c r="GV1" s="136"/>
      <c r="GW1" s="136"/>
      <c r="GX1" s="136"/>
      <c r="GY1" s="136"/>
      <c r="GZ1" s="136"/>
      <c r="HA1" s="136"/>
      <c r="HB1" s="136"/>
      <c r="HC1" s="136"/>
      <c r="HD1" s="136"/>
      <c r="HE1" s="136"/>
      <c r="HF1" s="136"/>
      <c r="HG1" s="136"/>
      <c r="HH1" s="136"/>
      <c r="HI1" s="136"/>
      <c r="HJ1" s="136"/>
      <c r="HK1" s="136"/>
      <c r="HL1" s="136"/>
      <c r="HM1" s="136"/>
      <c r="HN1" s="136"/>
      <c r="HO1" s="136"/>
      <c r="HP1" s="136"/>
      <c r="HQ1" s="136"/>
      <c r="HR1" s="136"/>
      <c r="HS1" s="136"/>
      <c r="HT1" s="136"/>
      <c r="HU1" s="136"/>
      <c r="HV1" s="136"/>
      <c r="HW1" s="136"/>
      <c r="HX1" s="136"/>
      <c r="HY1" s="136"/>
      <c r="HZ1" s="136"/>
      <c r="IA1" s="136"/>
      <c r="IB1" s="136"/>
      <c r="IC1" s="136"/>
      <c r="ID1" s="136"/>
      <c r="IE1" s="136"/>
      <c r="IF1" s="136"/>
      <c r="IG1" s="136"/>
      <c r="IH1" s="136"/>
      <c r="II1" s="136"/>
      <c r="IJ1" s="136"/>
      <c r="IK1" s="136"/>
      <c r="IL1" s="136"/>
      <c r="IM1" s="136"/>
      <c r="IN1" s="136"/>
      <c r="IO1" s="136"/>
      <c r="IP1" s="136"/>
      <c r="IQ1" s="136"/>
      <c r="IR1" s="136"/>
      <c r="IS1" s="136"/>
      <c r="IT1" s="136"/>
      <c r="IU1" s="136"/>
      <c r="IV1" s="136"/>
      <c r="IW1" s="136"/>
      <c r="IX1" s="136"/>
      <c r="IY1" s="136"/>
      <c r="IZ1" s="136"/>
      <c r="JA1" s="136"/>
      <c r="JB1" s="136"/>
      <c r="JC1" s="136"/>
      <c r="JD1" s="136"/>
      <c r="JE1" s="136"/>
      <c r="JF1" s="136"/>
      <c r="JG1" s="136"/>
      <c r="JH1" s="136"/>
      <c r="JI1" s="136"/>
      <c r="JJ1" s="136"/>
      <c r="JK1" s="136"/>
      <c r="JL1" s="136"/>
      <c r="JM1" s="136"/>
      <c r="JN1" s="136"/>
      <c r="JO1" s="136"/>
      <c r="JP1" s="136"/>
      <c r="JQ1" s="136"/>
      <c r="JR1" s="136"/>
      <c r="JS1" s="136"/>
      <c r="JT1" s="136"/>
      <c r="JU1" s="136"/>
      <c r="JV1" s="136"/>
      <c r="JW1" s="136"/>
      <c r="JX1" s="136"/>
      <c r="JY1" s="136"/>
    </row>
    <row r="2" spans="1:285" x14ac:dyDescent="0.2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6"/>
      <c r="EP2" s="136"/>
      <c r="EQ2" s="136"/>
      <c r="ER2" s="136"/>
      <c r="ES2" s="136"/>
      <c r="ET2" s="136"/>
      <c r="EU2" s="136"/>
      <c r="EV2" s="136"/>
      <c r="EW2" s="136"/>
      <c r="EX2" s="136"/>
      <c r="EY2" s="136"/>
      <c r="EZ2" s="136"/>
      <c r="FA2" s="136"/>
      <c r="FB2" s="136"/>
      <c r="FC2" s="136"/>
      <c r="FD2" s="136"/>
      <c r="FE2" s="136"/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36"/>
      <c r="FQ2" s="136"/>
      <c r="FR2" s="136"/>
      <c r="FS2" s="136"/>
      <c r="FT2" s="136"/>
      <c r="FU2" s="136"/>
      <c r="FV2" s="136"/>
      <c r="FW2" s="136"/>
      <c r="FX2" s="136"/>
      <c r="FY2" s="136"/>
      <c r="FZ2" s="136"/>
      <c r="GA2" s="136"/>
      <c r="GB2" s="136"/>
      <c r="GC2" s="136"/>
      <c r="GD2" s="136"/>
      <c r="GE2" s="136"/>
      <c r="GF2" s="136"/>
      <c r="GG2" s="136"/>
      <c r="GH2" s="136"/>
      <c r="GI2" s="136"/>
      <c r="GJ2" s="136"/>
      <c r="GK2" s="136"/>
      <c r="GL2" s="136"/>
      <c r="GM2" s="136"/>
      <c r="GN2" s="136"/>
      <c r="GO2" s="136"/>
      <c r="GP2" s="136"/>
      <c r="GQ2" s="136"/>
      <c r="GR2" s="136"/>
      <c r="GS2" s="136"/>
      <c r="GT2" s="136"/>
      <c r="GU2" s="136"/>
      <c r="GV2" s="136"/>
      <c r="GW2" s="136"/>
      <c r="GX2" s="136"/>
      <c r="GY2" s="136"/>
      <c r="GZ2" s="136"/>
      <c r="HA2" s="136"/>
      <c r="HB2" s="136"/>
      <c r="HC2" s="136"/>
      <c r="HD2" s="136"/>
      <c r="HE2" s="136"/>
      <c r="HF2" s="136"/>
      <c r="HG2" s="136"/>
      <c r="HH2" s="136"/>
      <c r="HI2" s="136"/>
      <c r="HJ2" s="136"/>
      <c r="HK2" s="136"/>
      <c r="HL2" s="136"/>
      <c r="HM2" s="136"/>
      <c r="HN2" s="136"/>
      <c r="HO2" s="136"/>
      <c r="HP2" s="136"/>
      <c r="HQ2" s="136"/>
      <c r="HR2" s="136"/>
      <c r="HS2" s="136"/>
      <c r="HT2" s="136"/>
      <c r="HU2" s="136"/>
      <c r="HV2" s="136"/>
      <c r="HW2" s="136"/>
      <c r="HX2" s="136"/>
      <c r="HY2" s="136"/>
      <c r="HZ2" s="136"/>
      <c r="IA2" s="136"/>
      <c r="IB2" s="136"/>
      <c r="IC2" s="136"/>
      <c r="ID2" s="136"/>
      <c r="IE2" s="136"/>
      <c r="IF2" s="136"/>
      <c r="IG2" s="136"/>
      <c r="IH2" s="136"/>
      <c r="II2" s="136"/>
      <c r="IJ2" s="136"/>
      <c r="IK2" s="136"/>
      <c r="IL2" s="136"/>
      <c r="IM2" s="136"/>
      <c r="IN2" s="136"/>
      <c r="IO2" s="136"/>
      <c r="IP2" s="136"/>
      <c r="IQ2" s="136"/>
      <c r="IR2" s="136"/>
      <c r="IS2" s="136"/>
      <c r="IT2" s="136"/>
      <c r="IU2" s="136"/>
      <c r="IV2" s="136"/>
      <c r="IW2" s="136"/>
      <c r="IX2" s="136"/>
      <c r="IY2" s="136"/>
      <c r="IZ2" s="136"/>
      <c r="JA2" s="136"/>
      <c r="JB2" s="136"/>
      <c r="JC2" s="136"/>
      <c r="JD2" s="136"/>
      <c r="JE2" s="136"/>
      <c r="JF2" s="136"/>
      <c r="JG2" s="136"/>
      <c r="JH2" s="136"/>
      <c r="JI2" s="136"/>
      <c r="JJ2" s="136"/>
      <c r="JK2" s="136"/>
      <c r="JL2" s="136"/>
      <c r="JM2" s="136"/>
      <c r="JN2" s="136"/>
      <c r="JO2" s="136"/>
      <c r="JP2" s="136"/>
      <c r="JQ2" s="136"/>
      <c r="JR2" s="136"/>
      <c r="JS2" s="136"/>
      <c r="JT2" s="136"/>
      <c r="JU2" s="136"/>
      <c r="JV2" s="136"/>
      <c r="JW2" s="136"/>
      <c r="JX2" s="136"/>
      <c r="JY2" s="136"/>
    </row>
    <row r="3" spans="1:285" x14ac:dyDescent="0.2">
      <c r="A3" s="136" t="s">
        <v>418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</row>
    <row r="4" spans="1:285" x14ac:dyDescent="0.2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  <c r="DA4" s="136"/>
      <c r="DB4" s="136"/>
      <c r="DC4" s="136"/>
      <c r="DD4" s="136"/>
      <c r="DE4" s="136"/>
      <c r="DF4" s="136"/>
      <c r="DG4" s="136"/>
      <c r="DH4" s="136"/>
      <c r="DI4" s="136"/>
      <c r="DJ4" s="136"/>
      <c r="DK4" s="136"/>
      <c r="DL4" s="136"/>
      <c r="DM4" s="136"/>
      <c r="DN4" s="136"/>
      <c r="DO4" s="136"/>
      <c r="DP4" s="136"/>
      <c r="DQ4" s="136"/>
      <c r="DR4" s="136"/>
      <c r="DS4" s="136"/>
      <c r="DT4" s="136"/>
      <c r="DU4" s="136"/>
      <c r="DV4" s="136"/>
      <c r="DW4" s="136"/>
      <c r="DX4" s="136"/>
      <c r="DY4" s="136"/>
      <c r="DZ4" s="136"/>
      <c r="EA4" s="136"/>
      <c r="EB4" s="136"/>
      <c r="EC4" s="136"/>
      <c r="ED4" s="136"/>
      <c r="EE4" s="136"/>
      <c r="EF4" s="136"/>
      <c r="EG4" s="136"/>
      <c r="EH4" s="136"/>
      <c r="EI4" s="136"/>
      <c r="EJ4" s="136"/>
      <c r="EK4" s="136"/>
      <c r="EL4" s="136"/>
      <c r="EM4" s="136"/>
      <c r="EN4" s="136"/>
      <c r="EO4" s="136"/>
      <c r="EP4" s="136"/>
      <c r="EQ4" s="136"/>
      <c r="ER4" s="136"/>
      <c r="ES4" s="136"/>
      <c r="ET4" s="136"/>
      <c r="EU4" s="136"/>
      <c r="EV4" s="136"/>
      <c r="EW4" s="136"/>
      <c r="EX4" s="136"/>
      <c r="EY4" s="136"/>
      <c r="EZ4" s="136"/>
      <c r="FA4" s="136"/>
      <c r="FB4" s="136"/>
      <c r="FC4" s="136"/>
      <c r="FD4" s="136"/>
      <c r="FE4" s="136"/>
      <c r="FF4" s="136"/>
      <c r="FG4" s="136"/>
      <c r="FH4" s="136"/>
      <c r="FI4" s="136"/>
      <c r="FJ4" s="136"/>
      <c r="FK4" s="136"/>
      <c r="FL4" s="136"/>
      <c r="FM4" s="136"/>
      <c r="FN4" s="136"/>
      <c r="FO4" s="136"/>
      <c r="FP4" s="136"/>
      <c r="FQ4" s="136"/>
      <c r="FR4" s="136"/>
      <c r="FS4" s="136"/>
      <c r="FT4" s="136"/>
      <c r="FU4" s="136"/>
      <c r="FV4" s="136"/>
      <c r="FW4" s="136"/>
      <c r="FX4" s="136"/>
      <c r="FY4" s="136"/>
      <c r="FZ4" s="136"/>
      <c r="GA4" s="136"/>
      <c r="GB4" s="136"/>
      <c r="GC4" s="136"/>
      <c r="GD4" s="136"/>
      <c r="GE4" s="136"/>
      <c r="GF4" s="136"/>
      <c r="GG4" s="136"/>
      <c r="GH4" s="136"/>
      <c r="GI4" s="136"/>
      <c r="GJ4" s="136"/>
      <c r="GK4" s="136"/>
      <c r="GL4" s="136"/>
      <c r="GM4" s="136"/>
      <c r="GN4" s="136"/>
      <c r="GO4" s="136"/>
      <c r="GP4" s="136"/>
      <c r="GQ4" s="136"/>
      <c r="GR4" s="136"/>
      <c r="GS4" s="136"/>
      <c r="GT4" s="136"/>
      <c r="GU4" s="136"/>
      <c r="GV4" s="136"/>
      <c r="GW4" s="136"/>
      <c r="GX4" s="136"/>
      <c r="GY4" s="136"/>
      <c r="GZ4" s="136"/>
      <c r="HA4" s="136"/>
      <c r="HB4" s="136"/>
      <c r="HC4" s="136"/>
      <c r="HD4" s="136"/>
      <c r="HE4" s="136"/>
      <c r="HF4" s="136"/>
      <c r="HG4" s="136"/>
      <c r="HH4" s="136"/>
      <c r="HI4" s="136"/>
      <c r="HJ4" s="136"/>
      <c r="HK4" s="136"/>
      <c r="HL4" s="136"/>
      <c r="HM4" s="136"/>
      <c r="HN4" s="136"/>
      <c r="HO4" s="136"/>
      <c r="HP4" s="136"/>
      <c r="HQ4" s="136"/>
      <c r="HR4" s="136"/>
      <c r="HS4" s="136"/>
      <c r="HT4" s="136"/>
      <c r="HU4" s="136"/>
      <c r="HV4" s="136"/>
      <c r="HW4" s="136"/>
      <c r="HX4" s="136"/>
      <c r="HY4" s="136"/>
      <c r="HZ4" s="136"/>
      <c r="IA4" s="136"/>
      <c r="IB4" s="136"/>
      <c r="IC4" s="136"/>
      <c r="ID4" s="136"/>
      <c r="IE4" s="136"/>
      <c r="IF4" s="136"/>
      <c r="IG4" s="136"/>
      <c r="IH4" s="136"/>
      <c r="II4" s="136"/>
      <c r="IJ4" s="136"/>
      <c r="IK4" s="136"/>
      <c r="IL4" s="136"/>
      <c r="IM4" s="136"/>
      <c r="IN4" s="136"/>
      <c r="IO4" s="136"/>
      <c r="IP4" s="136"/>
      <c r="IQ4" s="136"/>
      <c r="IR4" s="136"/>
      <c r="IS4" s="136"/>
      <c r="IT4" s="136"/>
      <c r="IU4" s="136"/>
      <c r="IV4" s="136"/>
      <c r="IW4" s="136"/>
      <c r="IX4" s="136"/>
      <c r="IY4" s="136"/>
      <c r="IZ4" s="136"/>
      <c r="JA4" s="136"/>
      <c r="JB4" s="136"/>
      <c r="JC4" s="136"/>
      <c r="JD4" s="136"/>
      <c r="JE4" s="136"/>
      <c r="JF4" s="136"/>
      <c r="JG4" s="136"/>
      <c r="JH4" s="136"/>
      <c r="JI4" s="136"/>
      <c r="JJ4" s="136"/>
      <c r="JK4" s="136"/>
      <c r="JL4" s="136"/>
      <c r="JM4" s="136"/>
      <c r="JN4" s="136"/>
      <c r="JO4" s="136"/>
      <c r="JP4" s="136"/>
      <c r="JQ4" s="136"/>
      <c r="JR4" s="136"/>
      <c r="JS4" s="136"/>
      <c r="JT4" s="136"/>
      <c r="JU4" s="136"/>
      <c r="JV4" s="136"/>
      <c r="JW4" s="136"/>
      <c r="JX4" s="136"/>
      <c r="JY4" s="136"/>
    </row>
    <row r="5" spans="1:285" x14ac:dyDescent="0.2">
      <c r="A5" s="136" t="s">
        <v>1662</v>
      </c>
      <c r="B5" s="136" t="s">
        <v>1663</v>
      </c>
      <c r="C5" s="136" t="s">
        <v>1663</v>
      </c>
      <c r="D5" s="136" t="s">
        <v>1663</v>
      </c>
      <c r="E5" s="136" t="s">
        <v>1663</v>
      </c>
      <c r="F5" s="136" t="s">
        <v>1663</v>
      </c>
      <c r="G5" s="136" t="s">
        <v>1663</v>
      </c>
      <c r="H5" s="136" t="s">
        <v>1663</v>
      </c>
      <c r="I5" s="136" t="s">
        <v>1663</v>
      </c>
      <c r="J5" s="136"/>
      <c r="K5" s="136" t="s">
        <v>1663</v>
      </c>
      <c r="L5" s="136" t="s">
        <v>1663</v>
      </c>
      <c r="M5" s="136" t="s">
        <v>1663</v>
      </c>
      <c r="N5" s="136" t="s">
        <v>1663</v>
      </c>
      <c r="O5" s="136" t="s">
        <v>1663</v>
      </c>
      <c r="P5" s="136" t="s">
        <v>1663</v>
      </c>
      <c r="Q5" s="136" t="s">
        <v>1663</v>
      </c>
      <c r="R5" s="136"/>
      <c r="S5" s="136" t="s">
        <v>1663</v>
      </c>
      <c r="T5" s="136" t="s">
        <v>1663</v>
      </c>
      <c r="U5" s="136" t="s">
        <v>1663</v>
      </c>
      <c r="V5" s="136" t="s">
        <v>1663</v>
      </c>
      <c r="W5" s="136" t="s">
        <v>1663</v>
      </c>
      <c r="X5" s="136" t="s">
        <v>1663</v>
      </c>
      <c r="Y5" s="136"/>
      <c r="Z5" s="136" t="s">
        <v>1663</v>
      </c>
      <c r="AA5" s="136" t="s">
        <v>1663</v>
      </c>
      <c r="AB5" s="136" t="s">
        <v>1663</v>
      </c>
      <c r="AC5" s="136" t="s">
        <v>1663</v>
      </c>
      <c r="AD5" s="136" t="s">
        <v>1663</v>
      </c>
      <c r="AE5" s="136" t="s">
        <v>1663</v>
      </c>
      <c r="AF5" s="136" t="s">
        <v>1663</v>
      </c>
      <c r="AG5" s="136" t="s">
        <v>1663</v>
      </c>
      <c r="AH5" s="136" t="s">
        <v>1663</v>
      </c>
      <c r="AI5" s="136" t="s">
        <v>1663</v>
      </c>
      <c r="AJ5" s="136" t="s">
        <v>1663</v>
      </c>
      <c r="AK5" s="136" t="s">
        <v>1663</v>
      </c>
      <c r="AL5" s="136" t="s">
        <v>1663</v>
      </c>
      <c r="AM5" s="136"/>
      <c r="AN5" s="136" t="s">
        <v>1663</v>
      </c>
      <c r="AO5" s="136" t="s">
        <v>1663</v>
      </c>
      <c r="AP5" s="136" t="s">
        <v>1663</v>
      </c>
      <c r="AQ5" s="136" t="s">
        <v>1663</v>
      </c>
      <c r="AR5" s="136" t="s">
        <v>1663</v>
      </c>
      <c r="AS5" s="136" t="s">
        <v>1663</v>
      </c>
      <c r="AT5" s="136"/>
      <c r="AU5" s="136" t="s">
        <v>1663</v>
      </c>
      <c r="AV5" s="136" t="s">
        <v>1663</v>
      </c>
      <c r="AW5" s="136" t="s">
        <v>1663</v>
      </c>
      <c r="AX5" s="136" t="s">
        <v>1663</v>
      </c>
      <c r="AY5" s="136" t="s">
        <v>1663</v>
      </c>
      <c r="AZ5" s="136"/>
      <c r="BA5" s="136" t="s">
        <v>1663</v>
      </c>
      <c r="BB5" s="136" t="s">
        <v>1663</v>
      </c>
      <c r="BC5" s="136" t="s">
        <v>1663</v>
      </c>
      <c r="BD5" s="136" t="s">
        <v>1663</v>
      </c>
      <c r="BE5" s="136" t="s">
        <v>1663</v>
      </c>
      <c r="BF5" s="136" t="s">
        <v>1663</v>
      </c>
      <c r="BG5" s="136" t="s">
        <v>1663</v>
      </c>
      <c r="BH5" s="136" t="s">
        <v>1663</v>
      </c>
      <c r="BI5" s="136" t="s">
        <v>1663</v>
      </c>
      <c r="BJ5" s="136"/>
      <c r="BK5" s="136" t="s">
        <v>1663</v>
      </c>
      <c r="BL5" s="136" t="s">
        <v>1663</v>
      </c>
      <c r="BM5" s="136" t="s">
        <v>1663</v>
      </c>
      <c r="BN5" s="136" t="s">
        <v>1663</v>
      </c>
      <c r="BO5" s="136" t="s">
        <v>1663</v>
      </c>
      <c r="BP5" s="136" t="s">
        <v>1663</v>
      </c>
      <c r="BQ5" s="136" t="s">
        <v>1663</v>
      </c>
      <c r="BR5" s="136"/>
      <c r="BS5" s="136" t="s">
        <v>1663</v>
      </c>
      <c r="BT5" s="136" t="s">
        <v>1663</v>
      </c>
      <c r="BU5" s="136" t="s">
        <v>1663</v>
      </c>
      <c r="BV5" s="136" t="s">
        <v>1663</v>
      </c>
      <c r="BW5" s="136" t="s">
        <v>1663</v>
      </c>
      <c r="BX5" s="136" t="s">
        <v>1663</v>
      </c>
      <c r="BY5" s="136" t="s">
        <v>1663</v>
      </c>
      <c r="BZ5" s="136" t="s">
        <v>1663</v>
      </c>
      <c r="CA5" s="136"/>
      <c r="CB5" s="136"/>
      <c r="CC5" s="136"/>
      <c r="CD5" s="136"/>
      <c r="CE5" s="136"/>
      <c r="CF5" s="136"/>
      <c r="CG5" s="136"/>
      <c r="CH5" s="136"/>
      <c r="CI5" s="136"/>
      <c r="CJ5" s="136"/>
      <c r="CK5" s="136"/>
      <c r="CL5" s="136"/>
      <c r="CM5" s="136"/>
      <c r="CN5" s="136"/>
      <c r="CO5" s="136"/>
      <c r="CP5" s="136"/>
      <c r="CQ5" s="136"/>
      <c r="CR5" s="136"/>
      <c r="CS5" s="136" t="s">
        <v>1664</v>
      </c>
      <c r="CT5" s="136"/>
      <c r="CU5" s="136" t="s">
        <v>1664</v>
      </c>
      <c r="CV5" s="136" t="s">
        <v>1664</v>
      </c>
      <c r="CW5" s="136" t="s">
        <v>1664</v>
      </c>
      <c r="CX5" s="136" t="s">
        <v>1664</v>
      </c>
      <c r="CY5" s="136" t="s">
        <v>1664</v>
      </c>
      <c r="CZ5" s="136" t="s">
        <v>1664</v>
      </c>
      <c r="DA5" s="136"/>
      <c r="DB5" s="136" t="s">
        <v>1664</v>
      </c>
      <c r="DC5" s="136" t="s">
        <v>1664</v>
      </c>
      <c r="DD5" s="136" t="s">
        <v>1664</v>
      </c>
      <c r="DE5" s="136" t="s">
        <v>1664</v>
      </c>
      <c r="DF5" s="136" t="s">
        <v>1664</v>
      </c>
      <c r="DG5" s="136"/>
      <c r="DH5" s="136" t="s">
        <v>1664</v>
      </c>
      <c r="DI5" s="136" t="s">
        <v>1664</v>
      </c>
      <c r="DJ5" s="136" t="s">
        <v>1664</v>
      </c>
      <c r="DK5" s="136" t="s">
        <v>1664</v>
      </c>
      <c r="DL5" s="136" t="s">
        <v>1664</v>
      </c>
      <c r="DM5" s="136" t="s">
        <v>1664</v>
      </c>
      <c r="DN5" s="136"/>
      <c r="DO5" s="136" t="s">
        <v>1664</v>
      </c>
      <c r="DP5" s="136" t="s">
        <v>1664</v>
      </c>
      <c r="DQ5" s="136" t="s">
        <v>1664</v>
      </c>
      <c r="DR5" s="136" t="s">
        <v>1664</v>
      </c>
      <c r="DS5" s="136" t="s">
        <v>1664</v>
      </c>
      <c r="DT5" s="136" t="s">
        <v>1664</v>
      </c>
      <c r="DU5" s="136" t="s">
        <v>1664</v>
      </c>
      <c r="DV5" s="136"/>
      <c r="DW5" s="136" t="s">
        <v>185</v>
      </c>
      <c r="DX5" s="136" t="s">
        <v>185</v>
      </c>
      <c r="DY5" s="136" t="s">
        <v>185</v>
      </c>
      <c r="DZ5" s="136" t="s">
        <v>185</v>
      </c>
      <c r="EA5" s="136" t="s">
        <v>185</v>
      </c>
      <c r="EB5" s="136" t="s">
        <v>185</v>
      </c>
      <c r="EC5" s="136" t="s">
        <v>185</v>
      </c>
      <c r="ED5" s="136"/>
      <c r="EE5" s="136" t="s">
        <v>185</v>
      </c>
      <c r="EF5" s="136" t="s">
        <v>185</v>
      </c>
      <c r="EG5" s="136" t="s">
        <v>185</v>
      </c>
      <c r="EH5" s="136" t="s">
        <v>185</v>
      </c>
      <c r="EI5" s="136"/>
      <c r="EJ5" s="136" t="s">
        <v>164</v>
      </c>
      <c r="EK5" s="136" t="s">
        <v>164</v>
      </c>
      <c r="EL5" s="136" t="s">
        <v>164</v>
      </c>
      <c r="EM5" s="136" t="s">
        <v>164</v>
      </c>
      <c r="EN5" s="136" t="s">
        <v>164</v>
      </c>
      <c r="EO5" s="136" t="s">
        <v>164</v>
      </c>
      <c r="EP5" s="136" t="s">
        <v>164</v>
      </c>
      <c r="EQ5" s="136" t="s">
        <v>164</v>
      </c>
      <c r="ER5" s="136" t="s">
        <v>164</v>
      </c>
      <c r="ES5" s="136"/>
      <c r="ET5" s="136" t="s">
        <v>164</v>
      </c>
      <c r="EU5" s="136" t="s">
        <v>164</v>
      </c>
      <c r="EV5" s="136" t="s">
        <v>164</v>
      </c>
      <c r="EW5" s="136" t="s">
        <v>164</v>
      </c>
      <c r="EX5" s="136" t="s">
        <v>164</v>
      </c>
      <c r="EY5" s="136" t="s">
        <v>164</v>
      </c>
      <c r="EZ5" s="136" t="s">
        <v>164</v>
      </c>
      <c r="FA5" s="136"/>
      <c r="FB5" s="136" t="s">
        <v>164</v>
      </c>
      <c r="FC5" s="136" t="s">
        <v>164</v>
      </c>
      <c r="FD5" s="136" t="s">
        <v>164</v>
      </c>
      <c r="FE5" s="136" t="s">
        <v>164</v>
      </c>
      <c r="FF5" s="136" t="s">
        <v>164</v>
      </c>
      <c r="FG5" s="136" t="s">
        <v>164</v>
      </c>
      <c r="FH5" s="136" t="s">
        <v>164</v>
      </c>
      <c r="FI5" s="136" t="s">
        <v>164</v>
      </c>
      <c r="FJ5" s="136" t="s">
        <v>164</v>
      </c>
      <c r="FK5" s="136" t="s">
        <v>164</v>
      </c>
      <c r="FL5" s="136" t="s">
        <v>164</v>
      </c>
      <c r="FM5" s="136" t="s">
        <v>164</v>
      </c>
      <c r="FN5" s="136" t="s">
        <v>164</v>
      </c>
      <c r="FO5" s="136" t="s">
        <v>164</v>
      </c>
      <c r="FP5" s="136" t="s">
        <v>164</v>
      </c>
      <c r="FQ5" s="136" t="s">
        <v>164</v>
      </c>
      <c r="FR5" s="136" t="s">
        <v>164</v>
      </c>
      <c r="FS5" s="136" t="s">
        <v>164</v>
      </c>
      <c r="FT5" s="136" t="s">
        <v>164</v>
      </c>
      <c r="FU5" s="136" t="s">
        <v>164</v>
      </c>
      <c r="FV5" s="136" t="s">
        <v>164</v>
      </c>
      <c r="FW5" s="136" t="s">
        <v>164</v>
      </c>
      <c r="FX5" s="136"/>
      <c r="FY5" s="136" t="s">
        <v>164</v>
      </c>
      <c r="FZ5" s="136" t="s">
        <v>164</v>
      </c>
      <c r="GA5" s="136" t="s">
        <v>164</v>
      </c>
      <c r="GB5" s="136" t="s">
        <v>164</v>
      </c>
      <c r="GC5" s="136" t="s">
        <v>164</v>
      </c>
      <c r="GD5" s="136" t="s">
        <v>164</v>
      </c>
      <c r="GE5" s="136" t="s">
        <v>164</v>
      </c>
      <c r="GF5" s="136" t="s">
        <v>164</v>
      </c>
      <c r="GG5" s="136" t="s">
        <v>164</v>
      </c>
      <c r="GH5" s="136" t="s">
        <v>164</v>
      </c>
      <c r="GI5" s="136" t="s">
        <v>164</v>
      </c>
      <c r="GJ5" s="136" t="s">
        <v>164</v>
      </c>
      <c r="GK5" s="136" t="s">
        <v>164</v>
      </c>
      <c r="GL5" s="136" t="s">
        <v>164</v>
      </c>
      <c r="GM5" s="136" t="s">
        <v>164</v>
      </c>
      <c r="GN5" s="136" t="s">
        <v>164</v>
      </c>
      <c r="GO5" s="136" t="s">
        <v>164</v>
      </c>
      <c r="GP5" s="136" t="s">
        <v>164</v>
      </c>
      <c r="GQ5" s="136" t="s">
        <v>164</v>
      </c>
      <c r="GR5" s="136" t="s">
        <v>164</v>
      </c>
      <c r="GS5" s="136" t="s">
        <v>164</v>
      </c>
      <c r="GT5" s="136"/>
      <c r="GU5" s="136" t="s">
        <v>164</v>
      </c>
      <c r="GV5" s="136" t="s">
        <v>164</v>
      </c>
      <c r="GW5" s="136" t="s">
        <v>164</v>
      </c>
      <c r="GX5" s="136" t="s">
        <v>164</v>
      </c>
      <c r="GY5" s="136" t="s">
        <v>164</v>
      </c>
      <c r="GZ5" s="136"/>
      <c r="HA5" s="136" t="s">
        <v>164</v>
      </c>
      <c r="HB5" s="136" t="s">
        <v>164</v>
      </c>
      <c r="HC5" s="136" t="s">
        <v>164</v>
      </c>
      <c r="HD5" s="136" t="s">
        <v>164</v>
      </c>
      <c r="HE5" s="136" t="s">
        <v>164</v>
      </c>
      <c r="HF5" s="136" t="s">
        <v>164</v>
      </c>
      <c r="HG5" s="136" t="s">
        <v>164</v>
      </c>
      <c r="HH5" s="136"/>
      <c r="HI5" s="136" t="s">
        <v>164</v>
      </c>
      <c r="HJ5" s="136" t="s">
        <v>164</v>
      </c>
      <c r="HK5" s="136" t="s">
        <v>164</v>
      </c>
      <c r="HL5" s="136" t="s">
        <v>164</v>
      </c>
      <c r="HM5" s="136"/>
      <c r="HN5" s="136" t="s">
        <v>164</v>
      </c>
      <c r="HO5" s="136" t="s">
        <v>164</v>
      </c>
      <c r="HP5" s="136" t="s">
        <v>164</v>
      </c>
      <c r="HQ5" s="136" t="s">
        <v>164</v>
      </c>
      <c r="HR5" s="136" t="s">
        <v>164</v>
      </c>
      <c r="HS5" s="136" t="s">
        <v>164</v>
      </c>
      <c r="HT5" s="136"/>
      <c r="HU5" s="136" t="s">
        <v>164</v>
      </c>
      <c r="HV5" s="136" t="s">
        <v>164</v>
      </c>
      <c r="HW5" s="136" t="s">
        <v>164</v>
      </c>
      <c r="HX5" s="136" t="s">
        <v>164</v>
      </c>
      <c r="HY5" s="136" t="s">
        <v>164</v>
      </c>
      <c r="HZ5" s="136" t="s">
        <v>164</v>
      </c>
      <c r="IA5" s="136" t="s">
        <v>164</v>
      </c>
      <c r="IB5" s="136" t="s">
        <v>164</v>
      </c>
      <c r="IC5" s="136" t="s">
        <v>164</v>
      </c>
      <c r="ID5" s="136"/>
      <c r="IE5" s="136"/>
      <c r="IF5" s="136"/>
      <c r="IG5" s="136"/>
      <c r="IH5" s="136"/>
      <c r="II5" s="136"/>
      <c r="IJ5" s="136"/>
      <c r="IK5" s="136"/>
      <c r="IL5" s="136"/>
      <c r="IM5" s="136"/>
      <c r="IN5" s="136"/>
      <c r="IO5" s="136" t="s">
        <v>239</v>
      </c>
      <c r="IP5" s="136" t="s">
        <v>239</v>
      </c>
      <c r="IQ5" s="136" t="s">
        <v>239</v>
      </c>
      <c r="IR5" s="136" t="s">
        <v>239</v>
      </c>
      <c r="IS5" s="136" t="s">
        <v>239</v>
      </c>
      <c r="IT5" s="136" t="s">
        <v>239</v>
      </c>
      <c r="IU5" s="136" t="s">
        <v>239</v>
      </c>
      <c r="IV5" s="136"/>
      <c r="IW5" s="136"/>
      <c r="IX5" s="136"/>
      <c r="IY5" s="136"/>
      <c r="IZ5" s="136"/>
      <c r="JA5" s="136"/>
      <c r="JB5" s="136"/>
      <c r="JC5" s="136"/>
      <c r="JD5" s="136"/>
      <c r="JE5" s="136"/>
      <c r="JF5" s="136"/>
      <c r="JG5" s="136"/>
      <c r="JH5" s="136"/>
      <c r="JI5" s="136"/>
      <c r="JJ5" s="136"/>
      <c r="JK5" s="136"/>
      <c r="JL5" s="136"/>
      <c r="JM5" s="136"/>
      <c r="JN5" s="136"/>
      <c r="JO5" s="136"/>
      <c r="JP5" s="136"/>
      <c r="JQ5" s="136"/>
      <c r="JR5" s="136"/>
      <c r="JS5" s="136"/>
      <c r="JT5" s="136"/>
      <c r="JU5" s="136"/>
      <c r="JV5" s="136"/>
      <c r="JW5" s="136"/>
      <c r="JX5" s="136"/>
      <c r="JY5" s="136"/>
    </row>
    <row r="6" spans="1:285" x14ac:dyDescent="0.2">
      <c r="A6" s="136" t="s">
        <v>1665</v>
      </c>
      <c r="B6" s="136" t="s">
        <v>1666</v>
      </c>
      <c r="C6" s="136" t="s">
        <v>1666</v>
      </c>
      <c r="D6" s="136" t="s">
        <v>1666</v>
      </c>
      <c r="E6" s="136" t="s">
        <v>1666</v>
      </c>
      <c r="F6" s="136" t="s">
        <v>1666</v>
      </c>
      <c r="G6" s="136" t="s">
        <v>1666</v>
      </c>
      <c r="H6" s="136" t="s">
        <v>1666</v>
      </c>
      <c r="I6" s="136" t="s">
        <v>1666</v>
      </c>
      <c r="J6" s="136"/>
      <c r="K6" s="136" t="s">
        <v>1666</v>
      </c>
      <c r="L6" s="136" t="s">
        <v>1666</v>
      </c>
      <c r="M6" s="136" t="s">
        <v>1666</v>
      </c>
      <c r="N6" s="136" t="s">
        <v>1666</v>
      </c>
      <c r="O6" s="136" t="s">
        <v>1666</v>
      </c>
      <c r="P6" s="136" t="s">
        <v>1666</v>
      </c>
      <c r="Q6" s="136" t="s">
        <v>1666</v>
      </c>
      <c r="R6" s="136"/>
      <c r="S6" s="136" t="s">
        <v>1666</v>
      </c>
      <c r="T6" s="136" t="s">
        <v>1666</v>
      </c>
      <c r="U6" s="136" t="s">
        <v>1666</v>
      </c>
      <c r="V6" s="136" t="s">
        <v>1666</v>
      </c>
      <c r="W6" s="136" t="s">
        <v>1666</v>
      </c>
      <c r="X6" s="136" t="s">
        <v>1666</v>
      </c>
      <c r="Y6" s="136"/>
      <c r="Z6" s="136" t="s">
        <v>1666</v>
      </c>
      <c r="AA6" s="136" t="s">
        <v>1666</v>
      </c>
      <c r="AB6" s="136" t="s">
        <v>1666</v>
      </c>
      <c r="AC6" s="136" t="s">
        <v>1666</v>
      </c>
      <c r="AD6" s="136" t="s">
        <v>1666</v>
      </c>
      <c r="AE6" s="136" t="s">
        <v>1666</v>
      </c>
      <c r="AF6" s="136" t="s">
        <v>1666</v>
      </c>
      <c r="AG6" s="136" t="s">
        <v>1666</v>
      </c>
      <c r="AH6" s="136" t="s">
        <v>1666</v>
      </c>
      <c r="AI6" s="136" t="s">
        <v>1666</v>
      </c>
      <c r="AJ6" s="136" t="s">
        <v>1666</v>
      </c>
      <c r="AK6" s="136" t="s">
        <v>1666</v>
      </c>
      <c r="AL6" s="136" t="s">
        <v>1666</v>
      </c>
      <c r="AM6" s="136"/>
      <c r="AN6" s="136" t="s">
        <v>1666</v>
      </c>
      <c r="AO6" s="136" t="s">
        <v>1666</v>
      </c>
      <c r="AP6" s="136" t="s">
        <v>1666</v>
      </c>
      <c r="AQ6" s="136" t="s">
        <v>1666</v>
      </c>
      <c r="AR6" s="136" t="s">
        <v>1666</v>
      </c>
      <c r="AS6" s="136" t="s">
        <v>1666</v>
      </c>
      <c r="AT6" s="136"/>
      <c r="AU6" s="136" t="s">
        <v>1666</v>
      </c>
      <c r="AV6" s="136" t="s">
        <v>1666</v>
      </c>
      <c r="AW6" s="136" t="s">
        <v>1666</v>
      </c>
      <c r="AX6" s="136" t="s">
        <v>1666</v>
      </c>
      <c r="AY6" s="136" t="s">
        <v>1666</v>
      </c>
      <c r="AZ6" s="136"/>
      <c r="BA6" s="136" t="s">
        <v>1666</v>
      </c>
      <c r="BB6" s="136" t="s">
        <v>1666</v>
      </c>
      <c r="BC6" s="136" t="s">
        <v>1666</v>
      </c>
      <c r="BD6" s="136" t="s">
        <v>1666</v>
      </c>
      <c r="BE6" s="136" t="s">
        <v>1666</v>
      </c>
      <c r="BF6" s="136" t="s">
        <v>1666</v>
      </c>
      <c r="BG6" s="136" t="s">
        <v>1666</v>
      </c>
      <c r="BH6" s="136" t="s">
        <v>1666</v>
      </c>
      <c r="BI6" s="136" t="s">
        <v>1666</v>
      </c>
      <c r="BJ6" s="136"/>
      <c r="BK6" s="136" t="s">
        <v>1666</v>
      </c>
      <c r="BL6" s="136" t="s">
        <v>1666</v>
      </c>
      <c r="BM6" s="136" t="s">
        <v>1666</v>
      </c>
      <c r="BN6" s="136" t="s">
        <v>1666</v>
      </c>
      <c r="BO6" s="136" t="s">
        <v>1666</v>
      </c>
      <c r="BP6" s="136" t="s">
        <v>1666</v>
      </c>
      <c r="BQ6" s="136" t="s">
        <v>1666</v>
      </c>
      <c r="BR6" s="136"/>
      <c r="BS6" s="136" t="s">
        <v>1666</v>
      </c>
      <c r="BT6" s="136" t="s">
        <v>1666</v>
      </c>
      <c r="BU6" s="136" t="s">
        <v>1666</v>
      </c>
      <c r="BV6" s="136" t="s">
        <v>1666</v>
      </c>
      <c r="BW6" s="136" t="s">
        <v>1666</v>
      </c>
      <c r="BX6" s="136" t="s">
        <v>1666</v>
      </c>
      <c r="BY6" s="136" t="s">
        <v>1666</v>
      </c>
      <c r="BZ6" s="136" t="s">
        <v>1666</v>
      </c>
      <c r="CA6" s="136"/>
      <c r="CB6" s="136"/>
      <c r="CC6" s="136"/>
      <c r="CD6" s="136"/>
      <c r="CE6" s="136"/>
      <c r="CF6" s="136"/>
      <c r="CG6" s="136"/>
      <c r="CH6" s="136"/>
      <c r="CI6" s="136"/>
      <c r="CJ6" s="136"/>
      <c r="CK6" s="136"/>
      <c r="CL6" s="136"/>
      <c r="CM6" s="136"/>
      <c r="CN6" s="136"/>
      <c r="CO6" s="136"/>
      <c r="CP6" s="136"/>
      <c r="CQ6" s="136"/>
      <c r="CR6" s="136"/>
      <c r="CS6" s="136" t="s">
        <v>1666</v>
      </c>
      <c r="CT6" s="136"/>
      <c r="CU6" s="136" t="s">
        <v>1666</v>
      </c>
      <c r="CV6" s="136" t="s">
        <v>1666</v>
      </c>
      <c r="CW6" s="136" t="s">
        <v>1666</v>
      </c>
      <c r="CX6" s="136" t="s">
        <v>1666</v>
      </c>
      <c r="CY6" s="136" t="s">
        <v>1666</v>
      </c>
      <c r="CZ6" s="136" t="s">
        <v>1666</v>
      </c>
      <c r="DA6" s="136"/>
      <c r="DB6" s="136" t="s">
        <v>1666</v>
      </c>
      <c r="DC6" s="136" t="s">
        <v>1666</v>
      </c>
      <c r="DD6" s="136" t="s">
        <v>1666</v>
      </c>
      <c r="DE6" s="136" t="s">
        <v>1666</v>
      </c>
      <c r="DF6" s="136" t="s">
        <v>1666</v>
      </c>
      <c r="DG6" s="136"/>
      <c r="DH6" s="136" t="s">
        <v>1666</v>
      </c>
      <c r="DI6" s="136" t="s">
        <v>1666</v>
      </c>
      <c r="DJ6" s="136" t="s">
        <v>1666</v>
      </c>
      <c r="DK6" s="136" t="s">
        <v>1666</v>
      </c>
      <c r="DL6" s="136" t="s">
        <v>1666</v>
      </c>
      <c r="DM6" s="136" t="s">
        <v>1666</v>
      </c>
      <c r="DN6" s="136"/>
      <c r="DO6" s="136" t="s">
        <v>1666</v>
      </c>
      <c r="DP6" s="136" t="s">
        <v>1666</v>
      </c>
      <c r="DQ6" s="136" t="s">
        <v>1666</v>
      </c>
      <c r="DR6" s="136" t="s">
        <v>1666</v>
      </c>
      <c r="DS6" s="136" t="s">
        <v>1666</v>
      </c>
      <c r="DT6" s="136" t="s">
        <v>1666</v>
      </c>
      <c r="DU6" s="136" t="s">
        <v>1666</v>
      </c>
      <c r="DV6" s="136"/>
      <c r="DW6" s="136" t="s">
        <v>1666</v>
      </c>
      <c r="DX6" s="136" t="s">
        <v>1666</v>
      </c>
      <c r="DY6" s="136" t="s">
        <v>1666</v>
      </c>
      <c r="DZ6" s="136" t="s">
        <v>1666</v>
      </c>
      <c r="EA6" s="136" t="s">
        <v>1666</v>
      </c>
      <c r="EB6" s="136" t="s">
        <v>1666</v>
      </c>
      <c r="EC6" s="136" t="s">
        <v>1666</v>
      </c>
      <c r="ED6" s="136"/>
      <c r="EE6" s="136" t="s">
        <v>1666</v>
      </c>
      <c r="EF6" s="136" t="s">
        <v>1666</v>
      </c>
      <c r="EG6" s="136" t="s">
        <v>1666</v>
      </c>
      <c r="EH6" s="136" t="s">
        <v>1666</v>
      </c>
      <c r="EI6" s="136"/>
      <c r="EJ6" s="136" t="s">
        <v>1666</v>
      </c>
      <c r="EK6" s="136" t="s">
        <v>1666</v>
      </c>
      <c r="EL6" s="136" t="s">
        <v>1666</v>
      </c>
      <c r="EM6" s="136" t="s">
        <v>1666</v>
      </c>
      <c r="EN6" s="136" t="s">
        <v>1666</v>
      </c>
      <c r="EO6" s="136" t="s">
        <v>1666</v>
      </c>
      <c r="EP6" s="136" t="s">
        <v>1666</v>
      </c>
      <c r="EQ6" s="136" t="s">
        <v>1666</v>
      </c>
      <c r="ER6" s="136" t="s">
        <v>1666</v>
      </c>
      <c r="ES6" s="136"/>
      <c r="ET6" s="136" t="s">
        <v>1666</v>
      </c>
      <c r="EU6" s="136" t="s">
        <v>1666</v>
      </c>
      <c r="EV6" s="136" t="s">
        <v>1666</v>
      </c>
      <c r="EW6" s="136" t="s">
        <v>1666</v>
      </c>
      <c r="EX6" s="136" t="s">
        <v>1666</v>
      </c>
      <c r="EY6" s="136" t="s">
        <v>1666</v>
      </c>
      <c r="EZ6" s="136" t="s">
        <v>1666</v>
      </c>
      <c r="FA6" s="136"/>
      <c r="FB6" s="136" t="s">
        <v>1666</v>
      </c>
      <c r="FC6" s="136" t="s">
        <v>1666</v>
      </c>
      <c r="FD6" s="136" t="s">
        <v>1666</v>
      </c>
      <c r="FE6" s="136" t="s">
        <v>1666</v>
      </c>
      <c r="FF6" s="136" t="s">
        <v>1666</v>
      </c>
      <c r="FG6" s="136" t="s">
        <v>1666</v>
      </c>
      <c r="FH6" s="136" t="s">
        <v>1666</v>
      </c>
      <c r="FI6" s="136" t="s">
        <v>1666</v>
      </c>
      <c r="FJ6" s="136" t="s">
        <v>1666</v>
      </c>
      <c r="FK6" s="136" t="s">
        <v>1666</v>
      </c>
      <c r="FL6" s="136" t="s">
        <v>1666</v>
      </c>
      <c r="FM6" s="136" t="s">
        <v>1666</v>
      </c>
      <c r="FN6" s="136" t="s">
        <v>1666</v>
      </c>
      <c r="FO6" s="136" t="s">
        <v>1666</v>
      </c>
      <c r="FP6" s="136" t="s">
        <v>1666</v>
      </c>
      <c r="FQ6" s="136" t="s">
        <v>1666</v>
      </c>
      <c r="FR6" s="136" t="s">
        <v>1666</v>
      </c>
      <c r="FS6" s="136" t="s">
        <v>1666</v>
      </c>
      <c r="FT6" s="136" t="s">
        <v>1666</v>
      </c>
      <c r="FU6" s="136" t="s">
        <v>1666</v>
      </c>
      <c r="FV6" s="136" t="s">
        <v>1666</v>
      </c>
      <c r="FW6" s="136" t="s">
        <v>1666</v>
      </c>
      <c r="FX6" s="136"/>
      <c r="FY6" s="136" t="s">
        <v>1666</v>
      </c>
      <c r="FZ6" s="136" t="s">
        <v>1666</v>
      </c>
      <c r="GA6" s="136" t="s">
        <v>1666</v>
      </c>
      <c r="GB6" s="136" t="s">
        <v>1666</v>
      </c>
      <c r="GC6" s="136" t="s">
        <v>1666</v>
      </c>
      <c r="GD6" s="136" t="s">
        <v>1666</v>
      </c>
      <c r="GE6" s="136" t="s">
        <v>1666</v>
      </c>
      <c r="GF6" s="136" t="s">
        <v>1666</v>
      </c>
      <c r="GG6" s="136" t="s">
        <v>1666</v>
      </c>
      <c r="GH6" s="136" t="s">
        <v>1666</v>
      </c>
      <c r="GI6" s="136" t="s">
        <v>1666</v>
      </c>
      <c r="GJ6" s="136" t="s">
        <v>1666</v>
      </c>
      <c r="GK6" s="136" t="s">
        <v>1666</v>
      </c>
      <c r="GL6" s="136" t="s">
        <v>1666</v>
      </c>
      <c r="GM6" s="136" t="s">
        <v>1666</v>
      </c>
      <c r="GN6" s="136" t="s">
        <v>1666</v>
      </c>
      <c r="GO6" s="136" t="s">
        <v>1666</v>
      </c>
      <c r="GP6" s="136" t="s">
        <v>1666</v>
      </c>
      <c r="GQ6" s="136" t="s">
        <v>1666</v>
      </c>
      <c r="GR6" s="136" t="s">
        <v>1666</v>
      </c>
      <c r="GS6" s="136" t="s">
        <v>1666</v>
      </c>
      <c r="GT6" s="136"/>
      <c r="GU6" s="136" t="s">
        <v>1666</v>
      </c>
      <c r="GV6" s="136" t="s">
        <v>1666</v>
      </c>
      <c r="GW6" s="136" t="s">
        <v>1666</v>
      </c>
      <c r="GX6" s="136" t="s">
        <v>1666</v>
      </c>
      <c r="GY6" s="136" t="s">
        <v>1666</v>
      </c>
      <c r="GZ6" s="136"/>
      <c r="HA6" s="136" t="s">
        <v>1666</v>
      </c>
      <c r="HB6" s="136" t="s">
        <v>1666</v>
      </c>
      <c r="HC6" s="136" t="s">
        <v>1666</v>
      </c>
      <c r="HD6" s="136" t="s">
        <v>1666</v>
      </c>
      <c r="HE6" s="136" t="s">
        <v>1666</v>
      </c>
      <c r="HF6" s="136" t="s">
        <v>1666</v>
      </c>
      <c r="HG6" s="136" t="s">
        <v>1666</v>
      </c>
      <c r="HH6" s="136"/>
      <c r="HI6" s="136" t="s">
        <v>1666</v>
      </c>
      <c r="HJ6" s="136" t="s">
        <v>1666</v>
      </c>
      <c r="HK6" s="136" t="s">
        <v>1666</v>
      </c>
      <c r="HL6" s="136" t="s">
        <v>1666</v>
      </c>
      <c r="HM6" s="136"/>
      <c r="HN6" s="136" t="s">
        <v>1666</v>
      </c>
      <c r="HO6" s="136" t="s">
        <v>1666</v>
      </c>
      <c r="HP6" s="136" t="s">
        <v>1666</v>
      </c>
      <c r="HQ6" s="136" t="s">
        <v>1666</v>
      </c>
      <c r="HR6" s="136" t="s">
        <v>1666</v>
      </c>
      <c r="HS6" s="136" t="s">
        <v>1666</v>
      </c>
      <c r="HT6" s="136"/>
      <c r="HU6" s="136" t="s">
        <v>1666</v>
      </c>
      <c r="HV6" s="136" t="s">
        <v>1666</v>
      </c>
      <c r="HW6" s="136" t="s">
        <v>1666</v>
      </c>
      <c r="HX6" s="136" t="s">
        <v>1666</v>
      </c>
      <c r="HY6" s="136" t="s">
        <v>1666</v>
      </c>
      <c r="HZ6" s="136" t="s">
        <v>1666</v>
      </c>
      <c r="IA6" s="136" t="s">
        <v>1666</v>
      </c>
      <c r="IB6" s="136" t="s">
        <v>1666</v>
      </c>
      <c r="IC6" s="136" t="s">
        <v>1666</v>
      </c>
      <c r="ID6" s="136"/>
      <c r="IE6" s="136"/>
      <c r="IF6" s="136"/>
      <c r="IG6" s="136"/>
      <c r="IH6" s="136"/>
      <c r="II6" s="136"/>
      <c r="IJ6" s="136"/>
      <c r="IK6" s="136"/>
      <c r="IL6" s="136"/>
      <c r="IM6" s="136"/>
      <c r="IN6" s="136"/>
      <c r="IO6" s="136" t="s">
        <v>1667</v>
      </c>
      <c r="IP6" s="136" t="s">
        <v>1667</v>
      </c>
      <c r="IQ6" s="136" t="s">
        <v>1667</v>
      </c>
      <c r="IR6" s="136" t="s">
        <v>1667</v>
      </c>
      <c r="IS6" s="136" t="s">
        <v>1667</v>
      </c>
      <c r="IT6" s="136" t="s">
        <v>1667</v>
      </c>
      <c r="IU6" s="136" t="s">
        <v>1667</v>
      </c>
      <c r="IV6" s="136"/>
      <c r="IW6" s="136"/>
      <c r="IX6" s="136"/>
      <c r="IY6" s="136"/>
      <c r="IZ6" s="136"/>
      <c r="JA6" s="136"/>
      <c r="JB6" s="136"/>
      <c r="JC6" s="136"/>
      <c r="JD6" s="136"/>
      <c r="JE6" s="136"/>
      <c r="JF6" s="136"/>
      <c r="JG6" s="136"/>
      <c r="JH6" s="136"/>
      <c r="JI6" s="136"/>
      <c r="JJ6" s="136"/>
      <c r="JK6" s="136"/>
      <c r="JL6" s="136"/>
      <c r="JM6" s="136"/>
      <c r="JN6" s="136"/>
      <c r="JO6" s="136"/>
      <c r="JP6" s="136"/>
      <c r="JQ6" s="136"/>
      <c r="JR6" s="136"/>
      <c r="JS6" s="136"/>
      <c r="JT6" s="136"/>
      <c r="JU6" s="136"/>
      <c r="JV6" s="136"/>
      <c r="JW6" s="136"/>
      <c r="JX6" s="136"/>
      <c r="JY6" s="136"/>
    </row>
    <row r="7" spans="1:285" s="146" customFormat="1" x14ac:dyDescent="0.2">
      <c r="A7" s="138" t="s">
        <v>354</v>
      </c>
      <c r="B7" s="139">
        <v>42862</v>
      </c>
      <c r="C7" s="139">
        <v>42862</v>
      </c>
      <c r="D7" s="139">
        <v>42862</v>
      </c>
      <c r="E7" s="139">
        <v>42862</v>
      </c>
      <c r="F7" s="139">
        <v>42862</v>
      </c>
      <c r="G7" s="139">
        <v>42862</v>
      </c>
      <c r="H7" s="139">
        <v>42862</v>
      </c>
      <c r="I7" s="139">
        <v>42862</v>
      </c>
      <c r="J7" s="139"/>
      <c r="K7" s="139">
        <v>42862</v>
      </c>
      <c r="L7" s="139">
        <v>42862</v>
      </c>
      <c r="M7" s="139">
        <v>42862</v>
      </c>
      <c r="N7" s="139">
        <v>42862</v>
      </c>
      <c r="O7" s="139">
        <v>42862</v>
      </c>
      <c r="P7" s="139">
        <v>42862</v>
      </c>
      <c r="Q7" s="139">
        <v>42862</v>
      </c>
      <c r="R7" s="139"/>
      <c r="S7" s="139">
        <v>42868</v>
      </c>
      <c r="T7" s="139">
        <v>42868</v>
      </c>
      <c r="U7" s="139">
        <v>42868</v>
      </c>
      <c r="V7" s="139">
        <v>42868</v>
      </c>
      <c r="W7" s="139">
        <v>42868</v>
      </c>
      <c r="X7" s="139">
        <v>42868</v>
      </c>
      <c r="Y7" s="139"/>
      <c r="Z7" s="139">
        <v>42868</v>
      </c>
      <c r="AA7" s="139">
        <v>42868</v>
      </c>
      <c r="AB7" s="139">
        <v>42868</v>
      </c>
      <c r="AC7" s="139">
        <v>42868</v>
      </c>
      <c r="AD7" s="139">
        <v>42868</v>
      </c>
      <c r="AE7" s="139">
        <v>42868</v>
      </c>
      <c r="AF7" s="139">
        <v>42868</v>
      </c>
      <c r="AG7" s="139">
        <v>42868</v>
      </c>
      <c r="AH7" s="139">
        <v>42868</v>
      </c>
      <c r="AI7" s="139">
        <v>42868</v>
      </c>
      <c r="AJ7" s="139">
        <v>42868</v>
      </c>
      <c r="AK7" s="139">
        <v>42868</v>
      </c>
      <c r="AL7" s="139">
        <v>42868</v>
      </c>
      <c r="AM7" s="139"/>
      <c r="AN7" s="139">
        <v>42868</v>
      </c>
      <c r="AO7" s="139">
        <v>42868</v>
      </c>
      <c r="AP7" s="139">
        <v>42868</v>
      </c>
      <c r="AQ7" s="139">
        <v>42868</v>
      </c>
      <c r="AR7" s="139">
        <v>42868</v>
      </c>
      <c r="AS7" s="139">
        <v>42868</v>
      </c>
      <c r="AT7" s="139"/>
      <c r="AU7" s="139">
        <v>42883</v>
      </c>
      <c r="AV7" s="139">
        <v>42883</v>
      </c>
      <c r="AW7" s="139">
        <v>42883</v>
      </c>
      <c r="AX7" s="139">
        <v>42883</v>
      </c>
      <c r="AY7" s="139">
        <v>42883</v>
      </c>
      <c r="AZ7" s="139"/>
      <c r="BA7" s="139">
        <v>42883</v>
      </c>
      <c r="BB7" s="139">
        <v>42883</v>
      </c>
      <c r="BC7" s="139">
        <v>42883</v>
      </c>
      <c r="BD7" s="139">
        <v>42883</v>
      </c>
      <c r="BE7" s="139">
        <v>42883</v>
      </c>
      <c r="BF7" s="139">
        <v>42883</v>
      </c>
      <c r="BG7" s="139">
        <v>42883</v>
      </c>
      <c r="BH7" s="139">
        <v>42883</v>
      </c>
      <c r="BI7" s="139">
        <v>42883</v>
      </c>
      <c r="BJ7" s="139"/>
      <c r="BK7" s="139">
        <v>42883</v>
      </c>
      <c r="BL7" s="139">
        <v>42883</v>
      </c>
      <c r="BM7" s="139">
        <v>42883</v>
      </c>
      <c r="BN7" s="139">
        <v>42883</v>
      </c>
      <c r="BO7" s="139">
        <v>42883</v>
      </c>
      <c r="BP7" s="139">
        <v>42883</v>
      </c>
      <c r="BQ7" s="139">
        <v>42883</v>
      </c>
      <c r="BR7" s="139"/>
      <c r="BS7" s="139">
        <v>42883</v>
      </c>
      <c r="BT7" s="139">
        <v>42883</v>
      </c>
      <c r="BU7" s="139">
        <v>42883</v>
      </c>
      <c r="BV7" s="139">
        <v>42883</v>
      </c>
      <c r="BW7" s="139">
        <v>42883</v>
      </c>
      <c r="BX7" s="139">
        <v>42883</v>
      </c>
      <c r="BY7" s="139">
        <v>42883</v>
      </c>
      <c r="BZ7" s="139">
        <v>42883</v>
      </c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>
        <v>43037</v>
      </c>
      <c r="CT7" s="139"/>
      <c r="CU7" s="139">
        <v>43037</v>
      </c>
      <c r="CV7" s="139">
        <v>43037</v>
      </c>
      <c r="CW7" s="139">
        <v>43037</v>
      </c>
      <c r="CX7" s="139">
        <v>43037</v>
      </c>
      <c r="CY7" s="139">
        <v>43037</v>
      </c>
      <c r="CZ7" s="139">
        <v>43037</v>
      </c>
      <c r="DA7" s="139"/>
      <c r="DB7" s="139">
        <v>43037</v>
      </c>
      <c r="DC7" s="139">
        <v>43037</v>
      </c>
      <c r="DD7" s="139">
        <v>43037</v>
      </c>
      <c r="DE7" s="139">
        <v>43037</v>
      </c>
      <c r="DF7" s="139">
        <v>43037</v>
      </c>
      <c r="DG7" s="139"/>
      <c r="DH7" s="139">
        <v>43037</v>
      </c>
      <c r="DI7" s="139">
        <v>43037</v>
      </c>
      <c r="DJ7" s="139">
        <v>43037</v>
      </c>
      <c r="DK7" s="139">
        <v>43037</v>
      </c>
      <c r="DL7" s="139">
        <v>43037</v>
      </c>
      <c r="DM7" s="139">
        <v>43037</v>
      </c>
      <c r="DN7" s="139"/>
      <c r="DO7" s="139">
        <v>43037</v>
      </c>
      <c r="DP7" s="139">
        <v>43037</v>
      </c>
      <c r="DQ7" s="139">
        <v>43037</v>
      </c>
      <c r="DR7" s="139">
        <v>43037</v>
      </c>
      <c r="DS7" s="139">
        <v>43037</v>
      </c>
      <c r="DT7" s="139">
        <v>43037</v>
      </c>
      <c r="DU7" s="139">
        <v>43037</v>
      </c>
      <c r="DV7" s="139"/>
      <c r="DW7" s="139">
        <v>43012</v>
      </c>
      <c r="DX7" s="139">
        <v>43012</v>
      </c>
      <c r="DY7" s="139">
        <v>43012</v>
      </c>
      <c r="DZ7" s="139">
        <v>43012</v>
      </c>
      <c r="EA7" s="139">
        <v>43012</v>
      </c>
      <c r="EB7" s="139">
        <v>43012</v>
      </c>
      <c r="EC7" s="139">
        <v>43012</v>
      </c>
      <c r="ED7" s="140"/>
      <c r="EE7" s="139">
        <v>43012</v>
      </c>
      <c r="EF7" s="139">
        <v>43012</v>
      </c>
      <c r="EG7" s="139">
        <v>43012</v>
      </c>
      <c r="EH7" s="139">
        <v>43012</v>
      </c>
      <c r="EI7" s="139"/>
      <c r="EJ7" s="139">
        <v>43060</v>
      </c>
      <c r="EK7" s="139">
        <v>43060</v>
      </c>
      <c r="EL7" s="139">
        <v>43060</v>
      </c>
      <c r="EM7" s="139">
        <v>43060</v>
      </c>
      <c r="EN7" s="139">
        <v>43060</v>
      </c>
      <c r="EO7" s="139">
        <v>43060</v>
      </c>
      <c r="EP7" s="139">
        <v>43060</v>
      </c>
      <c r="EQ7" s="139">
        <v>43060</v>
      </c>
      <c r="ER7" s="139">
        <v>43060</v>
      </c>
      <c r="ES7" s="140"/>
      <c r="ET7" s="139">
        <v>43060</v>
      </c>
      <c r="EU7" s="139">
        <v>43060</v>
      </c>
      <c r="EV7" s="139">
        <v>43060</v>
      </c>
      <c r="EW7" s="139">
        <v>43060</v>
      </c>
      <c r="EX7" s="139">
        <v>43060</v>
      </c>
      <c r="EY7" s="139">
        <v>43060</v>
      </c>
      <c r="EZ7" s="139">
        <v>43060</v>
      </c>
      <c r="FA7" s="139"/>
      <c r="FB7" s="139">
        <v>43060</v>
      </c>
      <c r="FC7" s="139">
        <v>43060</v>
      </c>
      <c r="FD7" s="139">
        <v>43060</v>
      </c>
      <c r="FE7" s="139">
        <v>43060</v>
      </c>
      <c r="FF7" s="139">
        <v>43060</v>
      </c>
      <c r="FG7" s="139">
        <v>43060</v>
      </c>
      <c r="FH7" s="139">
        <v>43060</v>
      </c>
      <c r="FI7" s="139">
        <v>43060</v>
      </c>
      <c r="FJ7" s="139">
        <v>43060</v>
      </c>
      <c r="FK7" s="139">
        <v>43060</v>
      </c>
      <c r="FL7" s="139">
        <v>43060</v>
      </c>
      <c r="FM7" s="139">
        <v>43060</v>
      </c>
      <c r="FN7" s="139">
        <v>43060</v>
      </c>
      <c r="FO7" s="139">
        <v>43060</v>
      </c>
      <c r="FP7" s="139">
        <v>43060</v>
      </c>
      <c r="FQ7" s="139">
        <v>43060</v>
      </c>
      <c r="FR7" s="139">
        <v>43060</v>
      </c>
      <c r="FS7" s="139">
        <v>43060</v>
      </c>
      <c r="FT7" s="139">
        <v>43060</v>
      </c>
      <c r="FU7" s="139">
        <v>43060</v>
      </c>
      <c r="FV7" s="139">
        <v>43060</v>
      </c>
      <c r="FW7" s="139">
        <v>43060</v>
      </c>
      <c r="FX7" s="139"/>
      <c r="FY7" s="139">
        <v>43060</v>
      </c>
      <c r="FZ7" s="139">
        <v>43060</v>
      </c>
      <c r="GA7" s="139">
        <v>43060</v>
      </c>
      <c r="GB7" s="139">
        <v>43060</v>
      </c>
      <c r="GC7" s="139">
        <v>43060</v>
      </c>
      <c r="GD7" s="139">
        <v>43060</v>
      </c>
      <c r="GE7" s="139">
        <v>43060</v>
      </c>
      <c r="GF7" s="139">
        <v>43060</v>
      </c>
      <c r="GG7" s="139">
        <v>43060</v>
      </c>
      <c r="GH7" s="139">
        <v>43060</v>
      </c>
      <c r="GI7" s="139">
        <v>43060</v>
      </c>
      <c r="GJ7" s="139">
        <v>43060</v>
      </c>
      <c r="GK7" s="139">
        <v>43060</v>
      </c>
      <c r="GL7" s="139">
        <v>43060</v>
      </c>
      <c r="GM7" s="139">
        <v>43060</v>
      </c>
      <c r="GN7" s="139">
        <v>43060</v>
      </c>
      <c r="GO7" s="139">
        <v>43060</v>
      </c>
      <c r="GP7" s="139">
        <v>43060</v>
      </c>
      <c r="GQ7" s="139">
        <v>43060</v>
      </c>
      <c r="GR7" s="139">
        <v>43060</v>
      </c>
      <c r="GS7" s="139">
        <v>43060</v>
      </c>
      <c r="GT7" s="139"/>
      <c r="GU7" s="139">
        <v>43060</v>
      </c>
      <c r="GV7" s="139">
        <v>43060</v>
      </c>
      <c r="GW7" s="139">
        <v>43060</v>
      </c>
      <c r="GX7" s="139">
        <v>43060</v>
      </c>
      <c r="GY7" s="139">
        <v>43060</v>
      </c>
      <c r="GZ7" s="139"/>
      <c r="HA7" s="139">
        <v>43060</v>
      </c>
      <c r="HB7" s="139">
        <v>43060</v>
      </c>
      <c r="HC7" s="139">
        <v>43060</v>
      </c>
      <c r="HD7" s="139">
        <v>43060</v>
      </c>
      <c r="HE7" s="139">
        <v>43060</v>
      </c>
      <c r="HF7" s="139">
        <v>43060</v>
      </c>
      <c r="HG7" s="139">
        <v>43060</v>
      </c>
      <c r="HH7" s="139"/>
      <c r="HI7" s="139">
        <v>43061</v>
      </c>
      <c r="HJ7" s="139">
        <v>43061</v>
      </c>
      <c r="HK7" s="139">
        <v>43061</v>
      </c>
      <c r="HL7" s="139">
        <v>43061</v>
      </c>
      <c r="HM7" s="139"/>
      <c r="HN7" s="139">
        <v>43061</v>
      </c>
      <c r="HO7" s="139">
        <v>43061</v>
      </c>
      <c r="HP7" s="139">
        <v>43061</v>
      </c>
      <c r="HQ7" s="139">
        <v>43061</v>
      </c>
      <c r="HR7" s="139">
        <v>43061</v>
      </c>
      <c r="HS7" s="139">
        <v>43061</v>
      </c>
      <c r="HT7" s="140"/>
      <c r="HU7" s="139">
        <v>43061</v>
      </c>
      <c r="HV7" s="139">
        <v>43061</v>
      </c>
      <c r="HW7" s="139">
        <v>43061</v>
      </c>
      <c r="HX7" s="139">
        <v>43061</v>
      </c>
      <c r="HY7" s="139">
        <v>43061</v>
      </c>
      <c r="HZ7" s="139">
        <v>43061</v>
      </c>
      <c r="IA7" s="139">
        <v>43061</v>
      </c>
      <c r="IB7" s="139">
        <v>43061</v>
      </c>
      <c r="IC7" s="139">
        <v>43061</v>
      </c>
      <c r="ID7" s="140"/>
      <c r="IE7" s="139"/>
      <c r="IF7" s="139"/>
      <c r="IG7" s="139"/>
      <c r="IH7" s="139"/>
      <c r="II7" s="139"/>
      <c r="IJ7" s="139"/>
      <c r="IK7" s="139"/>
      <c r="IL7" s="139"/>
      <c r="IM7" s="139"/>
      <c r="IN7" s="140"/>
      <c r="IO7" s="139">
        <v>43064</v>
      </c>
      <c r="IP7" s="139">
        <v>43064</v>
      </c>
      <c r="IQ7" s="139">
        <v>43064</v>
      </c>
      <c r="IR7" s="139">
        <v>43064</v>
      </c>
      <c r="IS7" s="139">
        <v>43064</v>
      </c>
      <c r="IT7" s="139">
        <v>43064</v>
      </c>
      <c r="IU7" s="139">
        <v>43064</v>
      </c>
      <c r="IV7" s="140"/>
      <c r="IW7" s="137"/>
      <c r="IX7" s="137"/>
      <c r="IY7" s="137"/>
      <c r="IZ7" s="137"/>
      <c r="JA7" s="137"/>
      <c r="JB7" s="137"/>
      <c r="JC7" s="137"/>
      <c r="JD7" s="137"/>
      <c r="JE7" s="137"/>
      <c r="JF7" s="137"/>
      <c r="JG7" s="137"/>
      <c r="JH7" s="137"/>
      <c r="JI7" s="137"/>
      <c r="JJ7" s="137"/>
      <c r="JK7" s="137"/>
      <c r="JL7" s="137"/>
      <c r="JM7" s="137"/>
      <c r="JN7" s="137"/>
      <c r="JO7" s="137"/>
      <c r="JP7" s="137"/>
      <c r="JQ7" s="137"/>
      <c r="JR7" s="137"/>
      <c r="JS7" s="137"/>
      <c r="JT7" s="137"/>
      <c r="JU7" s="137"/>
      <c r="JV7" s="137"/>
      <c r="JW7" s="137"/>
      <c r="JX7" s="137"/>
      <c r="JY7" s="137"/>
    </row>
    <row r="8" spans="1:285" x14ac:dyDescent="0.2">
      <c r="A8" s="136" t="s">
        <v>1668</v>
      </c>
      <c r="B8" s="136" t="s">
        <v>1669</v>
      </c>
      <c r="C8" s="136" t="s">
        <v>1669</v>
      </c>
      <c r="D8" s="136" t="s">
        <v>1669</v>
      </c>
      <c r="E8" s="136" t="s">
        <v>1669</v>
      </c>
      <c r="F8" s="136" t="s">
        <v>1669</v>
      </c>
      <c r="G8" s="136" t="s">
        <v>1669</v>
      </c>
      <c r="H8" s="136" t="s">
        <v>1669</v>
      </c>
      <c r="I8" s="136" t="s">
        <v>1669</v>
      </c>
      <c r="J8" s="136"/>
      <c r="K8" s="136" t="s">
        <v>1669</v>
      </c>
      <c r="L8" s="136" t="s">
        <v>1669</v>
      </c>
      <c r="M8" s="136" t="s">
        <v>1669</v>
      </c>
      <c r="N8" s="136" t="s">
        <v>1669</v>
      </c>
      <c r="O8" s="136" t="s">
        <v>1669</v>
      </c>
      <c r="P8" s="136" t="s">
        <v>1669</v>
      </c>
      <c r="Q8" s="136" t="s">
        <v>1669</v>
      </c>
      <c r="R8" s="136"/>
      <c r="S8" s="136" t="s">
        <v>1669</v>
      </c>
      <c r="T8" s="136" t="s">
        <v>1669</v>
      </c>
      <c r="U8" s="136" t="s">
        <v>1669</v>
      </c>
      <c r="V8" s="136" t="s">
        <v>1669</v>
      </c>
      <c r="W8" s="136" t="s">
        <v>1669</v>
      </c>
      <c r="X8" s="136" t="s">
        <v>1669</v>
      </c>
      <c r="Y8" s="136"/>
      <c r="Z8" s="136" t="s">
        <v>1669</v>
      </c>
      <c r="AA8" s="136" t="s">
        <v>1669</v>
      </c>
      <c r="AB8" s="136" t="s">
        <v>1669</v>
      </c>
      <c r="AC8" s="136" t="s">
        <v>1669</v>
      </c>
      <c r="AD8" s="136" t="s">
        <v>1669</v>
      </c>
      <c r="AE8" s="136" t="s">
        <v>1669</v>
      </c>
      <c r="AF8" s="136" t="s">
        <v>1669</v>
      </c>
      <c r="AG8" s="136" t="s">
        <v>1669</v>
      </c>
      <c r="AH8" s="136" t="s">
        <v>1669</v>
      </c>
      <c r="AI8" s="136" t="s">
        <v>1669</v>
      </c>
      <c r="AJ8" s="136" t="s">
        <v>1669</v>
      </c>
      <c r="AK8" s="136" t="s">
        <v>1669</v>
      </c>
      <c r="AL8" s="136" t="s">
        <v>1669</v>
      </c>
      <c r="AM8" s="136"/>
      <c r="AN8" s="136" t="s">
        <v>1669</v>
      </c>
      <c r="AO8" s="136" t="s">
        <v>1669</v>
      </c>
      <c r="AP8" s="136" t="s">
        <v>1669</v>
      </c>
      <c r="AQ8" s="136" t="s">
        <v>1669</v>
      </c>
      <c r="AR8" s="136" t="s">
        <v>1669</v>
      </c>
      <c r="AS8" s="136" t="s">
        <v>1669</v>
      </c>
      <c r="AT8" s="136"/>
      <c r="AU8" s="136" t="s">
        <v>1669</v>
      </c>
      <c r="AV8" s="136" t="s">
        <v>1669</v>
      </c>
      <c r="AW8" s="136" t="s">
        <v>1669</v>
      </c>
      <c r="AX8" s="136" t="s">
        <v>1669</v>
      </c>
      <c r="AY8" s="136" t="s">
        <v>1669</v>
      </c>
      <c r="AZ8" s="136"/>
      <c r="BA8" s="136" t="s">
        <v>1669</v>
      </c>
      <c r="BB8" s="136" t="s">
        <v>1669</v>
      </c>
      <c r="BC8" s="136" t="s">
        <v>1669</v>
      </c>
      <c r="BD8" s="136" t="s">
        <v>1669</v>
      </c>
      <c r="BE8" s="136" t="s">
        <v>1669</v>
      </c>
      <c r="BF8" s="136" t="s">
        <v>1669</v>
      </c>
      <c r="BG8" s="136" t="s">
        <v>1669</v>
      </c>
      <c r="BH8" s="136" t="s">
        <v>1669</v>
      </c>
      <c r="BI8" s="136" t="s">
        <v>1669</v>
      </c>
      <c r="BJ8" s="136"/>
      <c r="BK8" s="136" t="s">
        <v>1669</v>
      </c>
      <c r="BL8" s="136" t="s">
        <v>1669</v>
      </c>
      <c r="BM8" s="136" t="s">
        <v>1669</v>
      </c>
      <c r="BN8" s="136" t="s">
        <v>1669</v>
      </c>
      <c r="BO8" s="136" t="s">
        <v>1669</v>
      </c>
      <c r="BP8" s="136" t="s">
        <v>1669</v>
      </c>
      <c r="BQ8" s="136" t="s">
        <v>1669</v>
      </c>
      <c r="BR8" s="136"/>
      <c r="BS8" s="136" t="s">
        <v>1669</v>
      </c>
      <c r="BT8" s="136" t="s">
        <v>1669</v>
      </c>
      <c r="BU8" s="136" t="s">
        <v>1669</v>
      </c>
      <c r="BV8" s="136" t="s">
        <v>1669</v>
      </c>
      <c r="BW8" s="136" t="s">
        <v>1669</v>
      </c>
      <c r="BX8" s="136" t="s">
        <v>1669</v>
      </c>
      <c r="BY8" s="136" t="s">
        <v>1669</v>
      </c>
      <c r="BZ8" s="136" t="s">
        <v>1669</v>
      </c>
      <c r="CA8" s="136"/>
      <c r="CB8" s="136"/>
      <c r="CC8" s="136"/>
      <c r="CD8" s="136"/>
      <c r="CE8" s="136"/>
      <c r="CF8" s="136"/>
      <c r="CG8" s="136"/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 t="s">
        <v>232</v>
      </c>
      <c r="CT8" s="136"/>
      <c r="CU8" s="136" t="s">
        <v>232</v>
      </c>
      <c r="CV8" s="136" t="s">
        <v>232</v>
      </c>
      <c r="CW8" s="136" t="s">
        <v>232</v>
      </c>
      <c r="CX8" s="136" t="s">
        <v>232</v>
      </c>
      <c r="CY8" s="136" t="s">
        <v>232</v>
      </c>
      <c r="CZ8" s="136" t="s">
        <v>232</v>
      </c>
      <c r="DA8" s="136"/>
      <c r="DB8" s="136" t="s">
        <v>232</v>
      </c>
      <c r="DC8" s="136" t="s">
        <v>232</v>
      </c>
      <c r="DD8" s="136" t="s">
        <v>232</v>
      </c>
      <c r="DE8" s="136" t="s">
        <v>232</v>
      </c>
      <c r="DF8" s="136" t="s">
        <v>232</v>
      </c>
      <c r="DG8" s="136"/>
      <c r="DH8" s="136" t="s">
        <v>232</v>
      </c>
      <c r="DI8" s="136" t="s">
        <v>232</v>
      </c>
      <c r="DJ8" s="136" t="s">
        <v>232</v>
      </c>
      <c r="DK8" s="136" t="s">
        <v>232</v>
      </c>
      <c r="DL8" s="136" t="s">
        <v>232</v>
      </c>
      <c r="DM8" s="136" t="s">
        <v>232</v>
      </c>
      <c r="DN8" s="136"/>
      <c r="DO8" s="136" t="s">
        <v>232</v>
      </c>
      <c r="DP8" s="136" t="s">
        <v>232</v>
      </c>
      <c r="DQ8" s="136" t="s">
        <v>232</v>
      </c>
      <c r="DR8" s="136" t="s">
        <v>232</v>
      </c>
      <c r="DS8" s="136" t="s">
        <v>232</v>
      </c>
      <c r="DT8" s="136" t="s">
        <v>232</v>
      </c>
      <c r="DU8" s="136" t="s">
        <v>232</v>
      </c>
      <c r="DV8" s="136"/>
      <c r="DW8" s="136" t="s">
        <v>1670</v>
      </c>
      <c r="DX8" s="136" t="s">
        <v>1670</v>
      </c>
      <c r="DY8" s="136" t="s">
        <v>1670</v>
      </c>
      <c r="DZ8" s="136" t="s">
        <v>1670</v>
      </c>
      <c r="EA8" s="136" t="s">
        <v>1670</v>
      </c>
      <c r="EB8" s="136" t="s">
        <v>1670</v>
      </c>
      <c r="EC8" s="136" t="s">
        <v>1670</v>
      </c>
      <c r="ED8" s="136"/>
      <c r="EE8" s="136" t="s">
        <v>1670</v>
      </c>
      <c r="EF8" s="136" t="s">
        <v>1670</v>
      </c>
      <c r="EG8" s="136" t="s">
        <v>1670</v>
      </c>
      <c r="EH8" s="136" t="s">
        <v>1670</v>
      </c>
      <c r="EI8" s="136"/>
      <c r="EJ8" s="136" t="s">
        <v>1671</v>
      </c>
      <c r="EK8" s="136" t="s">
        <v>1671</v>
      </c>
      <c r="EL8" s="136" t="s">
        <v>1671</v>
      </c>
      <c r="EM8" s="136" t="s">
        <v>1671</v>
      </c>
      <c r="EN8" s="136" t="s">
        <v>1671</v>
      </c>
      <c r="EO8" s="136" t="s">
        <v>1671</v>
      </c>
      <c r="EP8" s="136" t="s">
        <v>1671</v>
      </c>
      <c r="EQ8" s="136" t="s">
        <v>1671</v>
      </c>
      <c r="ER8" s="136" t="s">
        <v>1671</v>
      </c>
      <c r="ES8" s="136"/>
      <c r="ET8" s="136" t="s">
        <v>1671</v>
      </c>
      <c r="EU8" s="136" t="s">
        <v>1671</v>
      </c>
      <c r="EV8" s="136" t="s">
        <v>1671</v>
      </c>
      <c r="EW8" s="136" t="s">
        <v>1671</v>
      </c>
      <c r="EX8" s="136" t="s">
        <v>1671</v>
      </c>
      <c r="EY8" s="136" t="s">
        <v>1671</v>
      </c>
      <c r="EZ8" s="136" t="s">
        <v>1671</v>
      </c>
      <c r="FA8" s="136"/>
      <c r="FB8" s="136" t="s">
        <v>1672</v>
      </c>
      <c r="FC8" s="136" t="s">
        <v>1672</v>
      </c>
      <c r="FD8" s="136" t="s">
        <v>1672</v>
      </c>
      <c r="FE8" s="136" t="s">
        <v>1672</v>
      </c>
      <c r="FF8" s="136" t="s">
        <v>1672</v>
      </c>
      <c r="FG8" s="136" t="s">
        <v>1672</v>
      </c>
      <c r="FH8" s="136" t="s">
        <v>1672</v>
      </c>
      <c r="FI8" s="136" t="s">
        <v>1672</v>
      </c>
      <c r="FJ8" s="136" t="s">
        <v>1672</v>
      </c>
      <c r="FK8" s="136" t="s">
        <v>1672</v>
      </c>
      <c r="FL8" s="136" t="s">
        <v>1672</v>
      </c>
      <c r="FM8" s="136" t="s">
        <v>1672</v>
      </c>
      <c r="FN8" s="136" t="s">
        <v>1672</v>
      </c>
      <c r="FO8" s="136" t="s">
        <v>1672</v>
      </c>
      <c r="FP8" s="136" t="s">
        <v>1672</v>
      </c>
      <c r="FQ8" s="136" t="s">
        <v>1672</v>
      </c>
      <c r="FR8" s="136" t="s">
        <v>1672</v>
      </c>
      <c r="FS8" s="136" t="s">
        <v>1672</v>
      </c>
      <c r="FT8" s="136" t="s">
        <v>1672</v>
      </c>
      <c r="FU8" s="136" t="s">
        <v>1672</v>
      </c>
      <c r="FV8" s="136" t="s">
        <v>1672</v>
      </c>
      <c r="FW8" s="136" t="s">
        <v>1672</v>
      </c>
      <c r="FX8" s="136"/>
      <c r="FY8" s="136" t="s">
        <v>1672</v>
      </c>
      <c r="FZ8" s="136" t="s">
        <v>1672</v>
      </c>
      <c r="GA8" s="136" t="s">
        <v>1672</v>
      </c>
      <c r="GB8" s="136" t="s">
        <v>1672</v>
      </c>
      <c r="GC8" s="136" t="s">
        <v>1672</v>
      </c>
      <c r="GD8" s="136" t="s">
        <v>1672</v>
      </c>
      <c r="GE8" s="136" t="s">
        <v>1672</v>
      </c>
      <c r="GF8" s="136" t="s">
        <v>1672</v>
      </c>
      <c r="GG8" s="136" t="s">
        <v>1672</v>
      </c>
      <c r="GH8" s="136" t="s">
        <v>1672</v>
      </c>
      <c r="GI8" s="136" t="s">
        <v>1672</v>
      </c>
      <c r="GJ8" s="136" t="s">
        <v>1672</v>
      </c>
      <c r="GK8" s="136" t="s">
        <v>1672</v>
      </c>
      <c r="GL8" s="136" t="s">
        <v>1672</v>
      </c>
      <c r="GM8" s="136" t="s">
        <v>1672</v>
      </c>
      <c r="GN8" s="136" t="s">
        <v>1672</v>
      </c>
      <c r="GO8" s="136" t="s">
        <v>1672</v>
      </c>
      <c r="GP8" s="136" t="s">
        <v>1672</v>
      </c>
      <c r="GQ8" s="136" t="s">
        <v>1672</v>
      </c>
      <c r="GR8" s="136" t="s">
        <v>1672</v>
      </c>
      <c r="GS8" s="136" t="s">
        <v>1672</v>
      </c>
      <c r="GT8" s="136"/>
      <c r="GU8" s="136" t="s">
        <v>1671</v>
      </c>
      <c r="GV8" s="136" t="s">
        <v>1671</v>
      </c>
      <c r="GW8" s="136" t="s">
        <v>1671</v>
      </c>
      <c r="GX8" s="136" t="s">
        <v>1671</v>
      </c>
      <c r="GY8" s="136" t="s">
        <v>1671</v>
      </c>
      <c r="GZ8" s="136"/>
      <c r="HA8" s="136" t="s">
        <v>1672</v>
      </c>
      <c r="HB8" s="136" t="s">
        <v>1672</v>
      </c>
      <c r="HC8" s="136" t="s">
        <v>1672</v>
      </c>
      <c r="HD8" s="136" t="s">
        <v>1672</v>
      </c>
      <c r="HE8" s="136" t="s">
        <v>1672</v>
      </c>
      <c r="HF8" s="136" t="s">
        <v>1672</v>
      </c>
      <c r="HG8" s="136" t="s">
        <v>1672</v>
      </c>
      <c r="HH8" s="136"/>
      <c r="HI8" s="136" t="s">
        <v>1671</v>
      </c>
      <c r="HJ8" s="136" t="s">
        <v>1671</v>
      </c>
      <c r="HK8" s="136" t="s">
        <v>1671</v>
      </c>
      <c r="HL8" s="136" t="s">
        <v>1671</v>
      </c>
      <c r="HM8" s="136"/>
      <c r="HN8" s="136" t="s">
        <v>1671</v>
      </c>
      <c r="HO8" s="136" t="s">
        <v>1671</v>
      </c>
      <c r="HP8" s="136" t="s">
        <v>1671</v>
      </c>
      <c r="HQ8" s="136" t="s">
        <v>1671</v>
      </c>
      <c r="HR8" s="136" t="s">
        <v>1671</v>
      </c>
      <c r="HS8" s="136" t="s">
        <v>1671</v>
      </c>
      <c r="HT8" s="136"/>
      <c r="HU8" s="136" t="s">
        <v>1671</v>
      </c>
      <c r="HV8" s="136" t="s">
        <v>1671</v>
      </c>
      <c r="HW8" s="136" t="s">
        <v>1671</v>
      </c>
      <c r="HX8" s="136" t="s">
        <v>1671</v>
      </c>
      <c r="HY8" s="136" t="s">
        <v>1671</v>
      </c>
      <c r="HZ8" s="136" t="s">
        <v>1671</v>
      </c>
      <c r="IA8" s="136" t="s">
        <v>1671</v>
      </c>
      <c r="IB8" s="136" t="s">
        <v>1671</v>
      </c>
      <c r="IC8" s="136" t="s">
        <v>1671</v>
      </c>
      <c r="ID8" s="136"/>
      <c r="IE8" s="136"/>
      <c r="IF8" s="136"/>
      <c r="IG8" s="136"/>
      <c r="IH8" s="136"/>
      <c r="II8" s="136"/>
      <c r="IJ8" s="136"/>
      <c r="IK8" s="136"/>
      <c r="IL8" s="136"/>
      <c r="IM8" s="136"/>
      <c r="IN8" s="136"/>
      <c r="IO8" s="136" t="s">
        <v>266</v>
      </c>
      <c r="IP8" s="136" t="s">
        <v>266</v>
      </c>
      <c r="IQ8" s="136" t="s">
        <v>266</v>
      </c>
      <c r="IR8" s="136" t="s">
        <v>266</v>
      </c>
      <c r="IS8" s="136" t="s">
        <v>266</v>
      </c>
      <c r="IT8" s="136" t="s">
        <v>266</v>
      </c>
      <c r="IU8" s="136" t="s">
        <v>266</v>
      </c>
      <c r="IV8" s="136"/>
      <c r="IW8" s="136"/>
      <c r="IX8" s="136"/>
      <c r="IY8" s="136"/>
      <c r="IZ8" s="136"/>
      <c r="JA8" s="136"/>
      <c r="JB8" s="136"/>
      <c r="JC8" s="136"/>
      <c r="JD8" s="136"/>
      <c r="JE8" s="136"/>
      <c r="JF8" s="136"/>
      <c r="JG8" s="136"/>
      <c r="JH8" s="136"/>
      <c r="JI8" s="136"/>
      <c r="JJ8" s="136"/>
      <c r="JK8" s="136"/>
      <c r="JL8" s="136"/>
      <c r="JM8" s="136"/>
      <c r="JN8" s="136"/>
      <c r="JO8" s="136"/>
      <c r="JP8" s="136"/>
      <c r="JQ8" s="136"/>
      <c r="JR8" s="136"/>
      <c r="JS8" s="136"/>
      <c r="JT8" s="136"/>
      <c r="JU8" s="136"/>
      <c r="JV8" s="136"/>
      <c r="JW8" s="136"/>
      <c r="JX8" s="136"/>
      <c r="JY8" s="136"/>
    </row>
    <row r="9" spans="1:285" x14ac:dyDescent="0.2">
      <c r="A9" s="136" t="s">
        <v>1673</v>
      </c>
      <c r="B9" s="136" t="s">
        <v>1674</v>
      </c>
      <c r="C9" s="136" t="s">
        <v>1674</v>
      </c>
      <c r="D9" s="136" t="s">
        <v>1674</v>
      </c>
      <c r="E9" s="136" t="s">
        <v>1674</v>
      </c>
      <c r="F9" s="136" t="s">
        <v>1674</v>
      </c>
      <c r="G9" s="136" t="s">
        <v>1674</v>
      </c>
      <c r="H9" s="136" t="s">
        <v>1674</v>
      </c>
      <c r="I9" s="136" t="s">
        <v>1674</v>
      </c>
      <c r="J9" s="136"/>
      <c r="K9" s="136" t="s">
        <v>1674</v>
      </c>
      <c r="L9" s="136" t="s">
        <v>1674</v>
      </c>
      <c r="M9" s="136" t="s">
        <v>1674</v>
      </c>
      <c r="N9" s="136" t="s">
        <v>1674</v>
      </c>
      <c r="O9" s="136" t="s">
        <v>1674</v>
      </c>
      <c r="P9" s="136" t="s">
        <v>1674</v>
      </c>
      <c r="Q9" s="136" t="s">
        <v>1674</v>
      </c>
      <c r="R9" s="136"/>
      <c r="S9" s="136" t="s">
        <v>1674</v>
      </c>
      <c r="T9" s="136" t="s">
        <v>1674</v>
      </c>
      <c r="U9" s="136" t="s">
        <v>1674</v>
      </c>
      <c r="V9" s="136" t="s">
        <v>1674</v>
      </c>
      <c r="W9" s="136" t="s">
        <v>1674</v>
      </c>
      <c r="X9" s="136" t="s">
        <v>1674</v>
      </c>
      <c r="Y9" s="136"/>
      <c r="Z9" s="136" t="s">
        <v>1674</v>
      </c>
      <c r="AA9" s="136" t="s">
        <v>1674</v>
      </c>
      <c r="AB9" s="136" t="s">
        <v>1674</v>
      </c>
      <c r="AC9" s="136" t="s">
        <v>1674</v>
      </c>
      <c r="AD9" s="136" t="s">
        <v>1674</v>
      </c>
      <c r="AE9" s="136" t="s">
        <v>1674</v>
      </c>
      <c r="AF9" s="136" t="s">
        <v>1674</v>
      </c>
      <c r="AG9" s="136" t="s">
        <v>1674</v>
      </c>
      <c r="AH9" s="136" t="s">
        <v>1674</v>
      </c>
      <c r="AI9" s="136" t="s">
        <v>1674</v>
      </c>
      <c r="AJ9" s="136" t="s">
        <v>1674</v>
      </c>
      <c r="AK9" s="136" t="s">
        <v>1674</v>
      </c>
      <c r="AL9" s="136" t="s">
        <v>1674</v>
      </c>
      <c r="AM9" s="136"/>
      <c r="AN9" s="136" t="s">
        <v>1674</v>
      </c>
      <c r="AO9" s="136" t="s">
        <v>1674</v>
      </c>
      <c r="AP9" s="136" t="s">
        <v>1674</v>
      </c>
      <c r="AQ9" s="136" t="s">
        <v>1674</v>
      </c>
      <c r="AR9" s="136" t="s">
        <v>1674</v>
      </c>
      <c r="AS9" s="136" t="s">
        <v>1674</v>
      </c>
      <c r="AT9" s="136"/>
      <c r="AU9" s="136" t="s">
        <v>1675</v>
      </c>
      <c r="AV9" s="136" t="s">
        <v>1675</v>
      </c>
      <c r="AW9" s="136" t="s">
        <v>1675</v>
      </c>
      <c r="AX9" s="136" t="s">
        <v>1675</v>
      </c>
      <c r="AY9" s="136" t="s">
        <v>1675</v>
      </c>
      <c r="AZ9" s="136"/>
      <c r="BA9" s="136" t="s">
        <v>1675</v>
      </c>
      <c r="BB9" s="136" t="s">
        <v>1675</v>
      </c>
      <c r="BC9" s="136" t="s">
        <v>1675</v>
      </c>
      <c r="BD9" s="136" t="s">
        <v>1675</v>
      </c>
      <c r="BE9" s="136" t="s">
        <v>1675</v>
      </c>
      <c r="BF9" s="136" t="s">
        <v>1675</v>
      </c>
      <c r="BG9" s="136" t="s">
        <v>1675</v>
      </c>
      <c r="BH9" s="136" t="s">
        <v>1675</v>
      </c>
      <c r="BI9" s="136" t="s">
        <v>1675</v>
      </c>
      <c r="BJ9" s="136"/>
      <c r="BK9" s="136" t="s">
        <v>1675</v>
      </c>
      <c r="BL9" s="136" t="s">
        <v>1675</v>
      </c>
      <c r="BM9" s="136" t="s">
        <v>1675</v>
      </c>
      <c r="BN9" s="136" t="s">
        <v>1675</v>
      </c>
      <c r="BO9" s="136" t="s">
        <v>1675</v>
      </c>
      <c r="BP9" s="136" t="s">
        <v>1675</v>
      </c>
      <c r="BQ9" s="136" t="s">
        <v>1675</v>
      </c>
      <c r="BR9" s="136"/>
      <c r="BS9" s="136" t="s">
        <v>1675</v>
      </c>
      <c r="BT9" s="136" t="s">
        <v>1675</v>
      </c>
      <c r="BU9" s="136" t="s">
        <v>1675</v>
      </c>
      <c r="BV9" s="136" t="s">
        <v>1675</v>
      </c>
      <c r="BW9" s="136" t="s">
        <v>1675</v>
      </c>
      <c r="BX9" s="136" t="s">
        <v>1675</v>
      </c>
      <c r="BY9" s="136" t="s">
        <v>1675</v>
      </c>
      <c r="BZ9" s="136" t="s">
        <v>1675</v>
      </c>
      <c r="CA9" s="136"/>
      <c r="CB9" s="136"/>
      <c r="CC9" s="136"/>
      <c r="CD9" s="136"/>
      <c r="CE9" s="136"/>
      <c r="CF9" s="136"/>
      <c r="CG9" s="136"/>
      <c r="CH9" s="136"/>
      <c r="CI9" s="136"/>
      <c r="CJ9" s="136"/>
      <c r="CK9" s="136"/>
      <c r="CL9" s="136"/>
      <c r="CM9" s="136"/>
      <c r="CN9" s="136"/>
      <c r="CO9" s="136"/>
      <c r="CP9" s="136"/>
      <c r="CQ9" s="136"/>
      <c r="CR9" s="136"/>
      <c r="CS9" s="136" t="s">
        <v>1675</v>
      </c>
      <c r="CT9" s="136"/>
      <c r="CU9" s="136" t="s">
        <v>1675</v>
      </c>
      <c r="CV9" s="136" t="s">
        <v>1675</v>
      </c>
      <c r="CW9" s="136" t="s">
        <v>1675</v>
      </c>
      <c r="CX9" s="136" t="s">
        <v>1675</v>
      </c>
      <c r="CY9" s="136" t="s">
        <v>1675</v>
      </c>
      <c r="CZ9" s="136" t="s">
        <v>1675</v>
      </c>
      <c r="DA9" s="136"/>
      <c r="DB9" s="136" t="s">
        <v>1675</v>
      </c>
      <c r="DC9" s="136" t="s">
        <v>1675</v>
      </c>
      <c r="DD9" s="136" t="s">
        <v>1675</v>
      </c>
      <c r="DE9" s="136" t="s">
        <v>1675</v>
      </c>
      <c r="DF9" s="136" t="s">
        <v>1675</v>
      </c>
      <c r="DG9" s="136"/>
      <c r="DH9" s="136" t="s">
        <v>1675</v>
      </c>
      <c r="DI9" s="136" t="s">
        <v>1675</v>
      </c>
      <c r="DJ9" s="136" t="s">
        <v>1675</v>
      </c>
      <c r="DK9" s="136" t="s">
        <v>1675</v>
      </c>
      <c r="DL9" s="136" t="s">
        <v>1675</v>
      </c>
      <c r="DM9" s="136" t="s">
        <v>1675</v>
      </c>
      <c r="DN9" s="136"/>
      <c r="DO9" s="136" t="s">
        <v>1675</v>
      </c>
      <c r="DP9" s="136" t="s">
        <v>1675</v>
      </c>
      <c r="DQ9" s="136" t="s">
        <v>1675</v>
      </c>
      <c r="DR9" s="136" t="s">
        <v>1675</v>
      </c>
      <c r="DS9" s="136" t="s">
        <v>1675</v>
      </c>
      <c r="DT9" s="136" t="s">
        <v>1675</v>
      </c>
      <c r="DU9" s="136" t="s">
        <v>1675</v>
      </c>
      <c r="DV9" s="136"/>
      <c r="DW9" s="136" t="s">
        <v>1676</v>
      </c>
      <c r="DX9" s="136" t="s">
        <v>1676</v>
      </c>
      <c r="DY9" s="136" t="s">
        <v>1676</v>
      </c>
      <c r="DZ9" s="136" t="s">
        <v>1676</v>
      </c>
      <c r="EA9" s="136" t="s">
        <v>1676</v>
      </c>
      <c r="EB9" s="136" t="s">
        <v>1676</v>
      </c>
      <c r="EC9" s="136" t="s">
        <v>1676</v>
      </c>
      <c r="ED9" s="136"/>
      <c r="EE9" s="136" t="s">
        <v>1676</v>
      </c>
      <c r="EF9" s="136" t="s">
        <v>1676</v>
      </c>
      <c r="EG9" s="136" t="s">
        <v>1676</v>
      </c>
      <c r="EH9" s="136" t="s">
        <v>1676</v>
      </c>
      <c r="EI9" s="136"/>
      <c r="EJ9" s="136" t="s">
        <v>1676</v>
      </c>
      <c r="EK9" s="136" t="s">
        <v>1676</v>
      </c>
      <c r="EL9" s="136" t="s">
        <v>1676</v>
      </c>
      <c r="EM9" s="136" t="s">
        <v>1676</v>
      </c>
      <c r="EN9" s="136" t="s">
        <v>1676</v>
      </c>
      <c r="EO9" s="136" t="s">
        <v>1676</v>
      </c>
      <c r="EP9" s="136" t="s">
        <v>1676</v>
      </c>
      <c r="EQ9" s="136" t="s">
        <v>1676</v>
      </c>
      <c r="ER9" s="136" t="s">
        <v>1676</v>
      </c>
      <c r="ES9" s="136"/>
      <c r="ET9" s="136" t="s">
        <v>1676</v>
      </c>
      <c r="EU9" s="136" t="s">
        <v>1676</v>
      </c>
      <c r="EV9" s="136" t="s">
        <v>1676</v>
      </c>
      <c r="EW9" s="136" t="s">
        <v>1676</v>
      </c>
      <c r="EX9" s="136" t="s">
        <v>1676</v>
      </c>
      <c r="EY9" s="136" t="s">
        <v>1676</v>
      </c>
      <c r="EZ9" s="136" t="s">
        <v>1676</v>
      </c>
      <c r="FA9" s="136"/>
      <c r="FB9" s="136" t="s">
        <v>1676</v>
      </c>
      <c r="FC9" s="136" t="s">
        <v>1676</v>
      </c>
      <c r="FD9" s="136" t="s">
        <v>1676</v>
      </c>
      <c r="FE9" s="136" t="s">
        <v>1676</v>
      </c>
      <c r="FF9" s="136" t="s">
        <v>1676</v>
      </c>
      <c r="FG9" s="136" t="s">
        <v>1676</v>
      </c>
      <c r="FH9" s="136" t="s">
        <v>1676</v>
      </c>
      <c r="FI9" s="136" t="s">
        <v>1676</v>
      </c>
      <c r="FJ9" s="136" t="s">
        <v>1676</v>
      </c>
      <c r="FK9" s="136" t="s">
        <v>1676</v>
      </c>
      <c r="FL9" s="136" t="s">
        <v>1676</v>
      </c>
      <c r="FM9" s="136" t="s">
        <v>1676</v>
      </c>
      <c r="FN9" s="136" t="s">
        <v>1676</v>
      </c>
      <c r="FO9" s="136" t="s">
        <v>1676</v>
      </c>
      <c r="FP9" s="136" t="s">
        <v>1676</v>
      </c>
      <c r="FQ9" s="136" t="s">
        <v>1676</v>
      </c>
      <c r="FR9" s="136" t="s">
        <v>1676</v>
      </c>
      <c r="FS9" s="136" t="s">
        <v>1676</v>
      </c>
      <c r="FT9" s="136" t="s">
        <v>1676</v>
      </c>
      <c r="FU9" s="136" t="s">
        <v>1676</v>
      </c>
      <c r="FV9" s="136" t="s">
        <v>1676</v>
      </c>
      <c r="FW9" s="136" t="s">
        <v>1676</v>
      </c>
      <c r="FX9" s="136"/>
      <c r="FY9" s="136" t="s">
        <v>1676</v>
      </c>
      <c r="FZ9" s="136" t="s">
        <v>1676</v>
      </c>
      <c r="GA9" s="136" t="s">
        <v>1676</v>
      </c>
      <c r="GB9" s="136" t="s">
        <v>1676</v>
      </c>
      <c r="GC9" s="136" t="s">
        <v>1676</v>
      </c>
      <c r="GD9" s="136" t="s">
        <v>1676</v>
      </c>
      <c r="GE9" s="136" t="s">
        <v>1676</v>
      </c>
      <c r="GF9" s="136" t="s">
        <v>1676</v>
      </c>
      <c r="GG9" s="136" t="s">
        <v>1676</v>
      </c>
      <c r="GH9" s="136" t="s">
        <v>1676</v>
      </c>
      <c r="GI9" s="136" t="s">
        <v>1676</v>
      </c>
      <c r="GJ9" s="136" t="s">
        <v>1676</v>
      </c>
      <c r="GK9" s="136" t="s">
        <v>1676</v>
      </c>
      <c r="GL9" s="136" t="s">
        <v>1676</v>
      </c>
      <c r="GM9" s="136" t="s">
        <v>1676</v>
      </c>
      <c r="GN9" s="136" t="s">
        <v>1676</v>
      </c>
      <c r="GO9" s="136" t="s">
        <v>1676</v>
      </c>
      <c r="GP9" s="136" t="s">
        <v>1676</v>
      </c>
      <c r="GQ9" s="136" t="s">
        <v>1676</v>
      </c>
      <c r="GR9" s="136" t="s">
        <v>1676</v>
      </c>
      <c r="GS9" s="136" t="s">
        <v>1676</v>
      </c>
      <c r="GT9" s="136"/>
      <c r="GU9" s="136" t="s">
        <v>1676</v>
      </c>
      <c r="GV9" s="136" t="s">
        <v>1676</v>
      </c>
      <c r="GW9" s="136" t="s">
        <v>1676</v>
      </c>
      <c r="GX9" s="136" t="s">
        <v>1676</v>
      </c>
      <c r="GY9" s="136" t="s">
        <v>1676</v>
      </c>
      <c r="GZ9" s="136"/>
      <c r="HA9" s="136" t="s">
        <v>1676</v>
      </c>
      <c r="HB9" s="136" t="s">
        <v>1676</v>
      </c>
      <c r="HC9" s="136" t="s">
        <v>1676</v>
      </c>
      <c r="HD9" s="136" t="s">
        <v>1676</v>
      </c>
      <c r="HE9" s="136" t="s">
        <v>1676</v>
      </c>
      <c r="HF9" s="136" t="s">
        <v>1676</v>
      </c>
      <c r="HG9" s="136" t="s">
        <v>1676</v>
      </c>
      <c r="HH9" s="136"/>
      <c r="HI9" s="136" t="s">
        <v>1676</v>
      </c>
      <c r="HJ9" s="136" t="s">
        <v>1676</v>
      </c>
      <c r="HK9" s="136" t="s">
        <v>1676</v>
      </c>
      <c r="HL9" s="136" t="s">
        <v>1676</v>
      </c>
      <c r="HM9" s="136"/>
      <c r="HN9" s="136" t="s">
        <v>1676</v>
      </c>
      <c r="HO9" s="136" t="s">
        <v>1676</v>
      </c>
      <c r="HP9" s="136" t="s">
        <v>1676</v>
      </c>
      <c r="HQ9" s="136" t="s">
        <v>1676</v>
      </c>
      <c r="HR9" s="136" t="s">
        <v>1676</v>
      </c>
      <c r="HS9" s="136" t="s">
        <v>1676</v>
      </c>
      <c r="HT9" s="136"/>
      <c r="HU9" s="136" t="s">
        <v>1676</v>
      </c>
      <c r="HV9" s="136" t="s">
        <v>1676</v>
      </c>
      <c r="HW9" s="136" t="s">
        <v>1676</v>
      </c>
      <c r="HX9" s="136" t="s">
        <v>1676</v>
      </c>
      <c r="HY9" s="136" t="s">
        <v>1676</v>
      </c>
      <c r="HZ9" s="136" t="s">
        <v>1676</v>
      </c>
      <c r="IA9" s="136" t="s">
        <v>1676</v>
      </c>
      <c r="IB9" s="136" t="s">
        <v>1676</v>
      </c>
      <c r="IC9" s="136" t="s">
        <v>1676</v>
      </c>
      <c r="ID9" s="136"/>
      <c r="IE9" s="136"/>
      <c r="IF9" s="136"/>
      <c r="IG9" s="136"/>
      <c r="IH9" s="136"/>
      <c r="II9" s="136"/>
      <c r="IJ9" s="136"/>
      <c r="IK9" s="136"/>
      <c r="IL9" s="136"/>
      <c r="IM9" s="136"/>
      <c r="IN9" s="136"/>
      <c r="IO9" s="136" t="s">
        <v>1675</v>
      </c>
      <c r="IP9" s="136" t="s">
        <v>1675</v>
      </c>
      <c r="IQ9" s="136" t="s">
        <v>1675</v>
      </c>
      <c r="IR9" s="136" t="s">
        <v>1675</v>
      </c>
      <c r="IS9" s="136" t="s">
        <v>1675</v>
      </c>
      <c r="IT9" s="136" t="s">
        <v>1675</v>
      </c>
      <c r="IU9" s="136" t="s">
        <v>1675</v>
      </c>
      <c r="IV9" s="136"/>
      <c r="IW9" s="136"/>
      <c r="IX9" s="136"/>
      <c r="IY9" s="136"/>
      <c r="IZ9" s="136"/>
      <c r="JA9" s="136"/>
      <c r="JB9" s="136"/>
      <c r="JC9" s="136"/>
      <c r="JD9" s="136"/>
      <c r="JE9" s="136"/>
      <c r="JF9" s="136"/>
      <c r="JG9" s="136"/>
      <c r="JH9" s="136"/>
      <c r="JI9" s="136"/>
      <c r="JJ9" s="136"/>
      <c r="JK9" s="136"/>
      <c r="JL9" s="136"/>
      <c r="JM9" s="136"/>
      <c r="JN9" s="136"/>
      <c r="JO9" s="136"/>
      <c r="JP9" s="136"/>
      <c r="JQ9" s="136"/>
      <c r="JR9" s="136"/>
      <c r="JS9" s="136"/>
      <c r="JT9" s="136"/>
      <c r="JU9" s="136"/>
      <c r="JV9" s="136"/>
      <c r="JW9" s="136"/>
      <c r="JX9" s="136"/>
      <c r="JY9" s="136"/>
    </row>
    <row r="10" spans="1:285" x14ac:dyDescent="0.2">
      <c r="A10" s="136" t="s">
        <v>1677</v>
      </c>
      <c r="B10" s="136" t="s">
        <v>1641</v>
      </c>
      <c r="C10" s="136" t="s">
        <v>1641</v>
      </c>
      <c r="D10" s="136" t="s">
        <v>1641</v>
      </c>
      <c r="E10" s="136" t="s">
        <v>1641</v>
      </c>
      <c r="F10" s="136" t="s">
        <v>1641</v>
      </c>
      <c r="G10" s="136" t="s">
        <v>1641</v>
      </c>
      <c r="H10" s="136" t="s">
        <v>1641</v>
      </c>
      <c r="I10" s="136" t="s">
        <v>1641</v>
      </c>
      <c r="J10" s="136"/>
      <c r="K10" s="136" t="s">
        <v>1641</v>
      </c>
      <c r="L10" s="136" t="s">
        <v>1641</v>
      </c>
      <c r="M10" s="136" t="s">
        <v>1641</v>
      </c>
      <c r="N10" s="136" t="s">
        <v>1641</v>
      </c>
      <c r="O10" s="136" t="s">
        <v>1641</v>
      </c>
      <c r="P10" s="136" t="s">
        <v>1641</v>
      </c>
      <c r="Q10" s="136" t="s">
        <v>1641</v>
      </c>
      <c r="R10" s="136"/>
      <c r="S10" s="136" t="s">
        <v>1641</v>
      </c>
      <c r="T10" s="136" t="s">
        <v>1641</v>
      </c>
      <c r="U10" s="136" t="s">
        <v>1641</v>
      </c>
      <c r="V10" s="136" t="s">
        <v>1641</v>
      </c>
      <c r="W10" s="136" t="s">
        <v>1641</v>
      </c>
      <c r="X10" s="136" t="s">
        <v>1641</v>
      </c>
      <c r="Y10" s="136"/>
      <c r="Z10" s="136" t="s">
        <v>1641</v>
      </c>
      <c r="AA10" s="136" t="s">
        <v>1641</v>
      </c>
      <c r="AB10" s="136" t="s">
        <v>1641</v>
      </c>
      <c r="AC10" s="136" t="s">
        <v>1641</v>
      </c>
      <c r="AD10" s="136" t="s">
        <v>1641</v>
      </c>
      <c r="AE10" s="136" t="s">
        <v>1641</v>
      </c>
      <c r="AF10" s="136" t="s">
        <v>1641</v>
      </c>
      <c r="AG10" s="136" t="s">
        <v>1641</v>
      </c>
      <c r="AH10" s="136" t="s">
        <v>1641</v>
      </c>
      <c r="AI10" s="136" t="s">
        <v>1641</v>
      </c>
      <c r="AJ10" s="136" t="s">
        <v>1641</v>
      </c>
      <c r="AK10" s="136" t="s">
        <v>1641</v>
      </c>
      <c r="AL10" s="136" t="s">
        <v>1641</v>
      </c>
      <c r="AM10" s="136"/>
      <c r="AN10" s="136" t="s">
        <v>1641</v>
      </c>
      <c r="AO10" s="136" t="s">
        <v>1641</v>
      </c>
      <c r="AP10" s="136" t="s">
        <v>1641</v>
      </c>
      <c r="AQ10" s="136" t="s">
        <v>1641</v>
      </c>
      <c r="AR10" s="136" t="s">
        <v>1641</v>
      </c>
      <c r="AS10" s="136" t="s">
        <v>1641</v>
      </c>
      <c r="AT10" s="136"/>
      <c r="AU10" s="136" t="s">
        <v>1641</v>
      </c>
      <c r="AV10" s="136" t="s">
        <v>1641</v>
      </c>
      <c r="AW10" s="136" t="s">
        <v>1641</v>
      </c>
      <c r="AX10" s="136" t="s">
        <v>1641</v>
      </c>
      <c r="AY10" s="136" t="s">
        <v>1641</v>
      </c>
      <c r="AZ10" s="136"/>
      <c r="BA10" s="136" t="s">
        <v>1641</v>
      </c>
      <c r="BB10" s="136" t="s">
        <v>1641</v>
      </c>
      <c r="BC10" s="136" t="s">
        <v>1641</v>
      </c>
      <c r="BD10" s="136" t="s">
        <v>1641</v>
      </c>
      <c r="BE10" s="136" t="s">
        <v>1641</v>
      </c>
      <c r="BF10" s="136" t="s">
        <v>1641</v>
      </c>
      <c r="BG10" s="136" t="s">
        <v>1641</v>
      </c>
      <c r="BH10" s="136" t="s">
        <v>1641</v>
      </c>
      <c r="BI10" s="136" t="s">
        <v>1641</v>
      </c>
      <c r="BJ10" s="136"/>
      <c r="BK10" s="136" t="s">
        <v>1641</v>
      </c>
      <c r="BL10" s="136" t="s">
        <v>1641</v>
      </c>
      <c r="BM10" s="136" t="s">
        <v>1641</v>
      </c>
      <c r="BN10" s="136" t="s">
        <v>1641</v>
      </c>
      <c r="BO10" s="136" t="s">
        <v>1641</v>
      </c>
      <c r="BP10" s="136" t="s">
        <v>1641</v>
      </c>
      <c r="BQ10" s="136" t="s">
        <v>1641</v>
      </c>
      <c r="BR10" s="136"/>
      <c r="BS10" s="136" t="s">
        <v>1641</v>
      </c>
      <c r="BT10" s="136" t="s">
        <v>1641</v>
      </c>
      <c r="BU10" s="136" t="s">
        <v>1641</v>
      </c>
      <c r="BV10" s="136" t="s">
        <v>1641</v>
      </c>
      <c r="BW10" s="136" t="s">
        <v>1641</v>
      </c>
      <c r="BX10" s="136" t="s">
        <v>1641</v>
      </c>
      <c r="BY10" s="136" t="s">
        <v>1641</v>
      </c>
      <c r="BZ10" s="136" t="s">
        <v>1641</v>
      </c>
      <c r="CA10" s="136"/>
      <c r="CB10" s="136"/>
      <c r="CC10" s="136"/>
      <c r="CD10" s="136"/>
      <c r="CE10" s="136"/>
      <c r="CF10" s="136"/>
      <c r="CG10" s="136"/>
      <c r="CH10" s="136"/>
      <c r="CI10" s="136"/>
      <c r="CJ10" s="136"/>
      <c r="CK10" s="136"/>
      <c r="CL10" s="136"/>
      <c r="CM10" s="136"/>
      <c r="CN10" s="136"/>
      <c r="CO10" s="136"/>
      <c r="CP10" s="136"/>
      <c r="CQ10" s="136"/>
      <c r="CR10" s="136"/>
      <c r="CS10" s="136" t="s">
        <v>1629</v>
      </c>
      <c r="CT10" s="136"/>
      <c r="CU10" s="136" t="s">
        <v>1629</v>
      </c>
      <c r="CV10" s="136" t="s">
        <v>1629</v>
      </c>
      <c r="CW10" s="136" t="s">
        <v>1629</v>
      </c>
      <c r="CX10" s="136" t="s">
        <v>1629</v>
      </c>
      <c r="CY10" s="136" t="s">
        <v>1629</v>
      </c>
      <c r="CZ10" s="136" t="s">
        <v>1629</v>
      </c>
      <c r="DA10" s="136"/>
      <c r="DB10" s="136" t="s">
        <v>1629</v>
      </c>
      <c r="DC10" s="136" t="s">
        <v>1629</v>
      </c>
      <c r="DD10" s="136" t="s">
        <v>1629</v>
      </c>
      <c r="DE10" s="136" t="s">
        <v>1629</v>
      </c>
      <c r="DF10" s="136" t="s">
        <v>1629</v>
      </c>
      <c r="DG10" s="136"/>
      <c r="DH10" s="136" t="s">
        <v>1629</v>
      </c>
      <c r="DI10" s="136" t="s">
        <v>1629</v>
      </c>
      <c r="DJ10" s="136" t="s">
        <v>1629</v>
      </c>
      <c r="DK10" s="136" t="s">
        <v>1629</v>
      </c>
      <c r="DL10" s="136" t="s">
        <v>1629</v>
      </c>
      <c r="DM10" s="136" t="s">
        <v>1629</v>
      </c>
      <c r="DN10" s="136"/>
      <c r="DO10" s="136" t="s">
        <v>1629</v>
      </c>
      <c r="DP10" s="136" t="s">
        <v>1629</v>
      </c>
      <c r="DQ10" s="136" t="s">
        <v>1629</v>
      </c>
      <c r="DR10" s="136" t="s">
        <v>1629</v>
      </c>
      <c r="DS10" s="136" t="s">
        <v>1629</v>
      </c>
      <c r="DT10" s="136" t="s">
        <v>1629</v>
      </c>
      <c r="DU10" s="136" t="s">
        <v>1629</v>
      </c>
      <c r="DV10" s="136"/>
      <c r="DW10" s="136" t="s">
        <v>1629</v>
      </c>
      <c r="DX10" s="136" t="s">
        <v>1629</v>
      </c>
      <c r="DY10" s="136" t="s">
        <v>1629</v>
      </c>
      <c r="DZ10" s="136" t="s">
        <v>1629</v>
      </c>
      <c r="EA10" s="136" t="s">
        <v>1629</v>
      </c>
      <c r="EB10" s="136" t="s">
        <v>1629</v>
      </c>
      <c r="EC10" s="136" t="s">
        <v>1629</v>
      </c>
      <c r="ED10" s="136"/>
      <c r="EE10" s="136" t="s">
        <v>1629</v>
      </c>
      <c r="EF10" s="136" t="s">
        <v>1629</v>
      </c>
      <c r="EG10" s="136" t="s">
        <v>1629</v>
      </c>
      <c r="EH10" s="136" t="s">
        <v>1629</v>
      </c>
      <c r="EI10" s="136"/>
      <c r="EJ10" s="136" t="s">
        <v>1641</v>
      </c>
      <c r="EK10" s="136" t="s">
        <v>1641</v>
      </c>
      <c r="EL10" s="136" t="s">
        <v>1641</v>
      </c>
      <c r="EM10" s="136" t="s">
        <v>1641</v>
      </c>
      <c r="EN10" s="136" t="s">
        <v>1641</v>
      </c>
      <c r="EO10" s="136" t="s">
        <v>1641</v>
      </c>
      <c r="EP10" s="136" t="s">
        <v>1641</v>
      </c>
      <c r="EQ10" s="136" t="s">
        <v>1641</v>
      </c>
      <c r="ER10" s="136" t="s">
        <v>1641</v>
      </c>
      <c r="ES10" s="136"/>
      <c r="ET10" s="136" t="s">
        <v>1641</v>
      </c>
      <c r="EU10" s="136" t="s">
        <v>1641</v>
      </c>
      <c r="EV10" s="136" t="s">
        <v>1641</v>
      </c>
      <c r="EW10" s="136" t="s">
        <v>1641</v>
      </c>
      <c r="EX10" s="136" t="s">
        <v>1641</v>
      </c>
      <c r="EY10" s="136" t="s">
        <v>1641</v>
      </c>
      <c r="EZ10" s="136" t="s">
        <v>1641</v>
      </c>
      <c r="FA10" s="136"/>
      <c r="FB10" s="136" t="s">
        <v>1641</v>
      </c>
      <c r="FC10" s="136" t="s">
        <v>1641</v>
      </c>
      <c r="FD10" s="136" t="s">
        <v>1641</v>
      </c>
      <c r="FE10" s="136" t="s">
        <v>1641</v>
      </c>
      <c r="FF10" s="136" t="s">
        <v>1641</v>
      </c>
      <c r="FG10" s="136" t="s">
        <v>1641</v>
      </c>
      <c r="FH10" s="136" t="s">
        <v>1641</v>
      </c>
      <c r="FI10" s="136" t="s">
        <v>1641</v>
      </c>
      <c r="FJ10" s="136" t="s">
        <v>1641</v>
      </c>
      <c r="FK10" s="136" t="s">
        <v>1641</v>
      </c>
      <c r="FL10" s="136" t="s">
        <v>1641</v>
      </c>
      <c r="FM10" s="136" t="s">
        <v>1641</v>
      </c>
      <c r="FN10" s="136" t="s">
        <v>1641</v>
      </c>
      <c r="FO10" s="136" t="s">
        <v>1641</v>
      </c>
      <c r="FP10" s="136" t="s">
        <v>1641</v>
      </c>
      <c r="FQ10" s="136" t="s">
        <v>1641</v>
      </c>
      <c r="FR10" s="136" t="s">
        <v>1641</v>
      </c>
      <c r="FS10" s="136" t="s">
        <v>1641</v>
      </c>
      <c r="FT10" s="136" t="s">
        <v>1641</v>
      </c>
      <c r="FU10" s="136" t="s">
        <v>1641</v>
      </c>
      <c r="FV10" s="136" t="s">
        <v>1641</v>
      </c>
      <c r="FW10" s="136" t="s">
        <v>1641</v>
      </c>
      <c r="FX10" s="136"/>
      <c r="FY10" s="136" t="s">
        <v>1641</v>
      </c>
      <c r="FZ10" s="136" t="s">
        <v>1641</v>
      </c>
      <c r="GA10" s="136" t="s">
        <v>1641</v>
      </c>
      <c r="GB10" s="136" t="s">
        <v>1641</v>
      </c>
      <c r="GC10" s="136" t="s">
        <v>1641</v>
      </c>
      <c r="GD10" s="136" t="s">
        <v>1641</v>
      </c>
      <c r="GE10" s="136" t="s">
        <v>1641</v>
      </c>
      <c r="GF10" s="136" t="s">
        <v>1641</v>
      </c>
      <c r="GG10" s="136" t="s">
        <v>1641</v>
      </c>
      <c r="GH10" s="136" t="s">
        <v>1641</v>
      </c>
      <c r="GI10" s="136" t="s">
        <v>1641</v>
      </c>
      <c r="GJ10" s="136" t="s">
        <v>1641</v>
      </c>
      <c r="GK10" s="136" t="s">
        <v>1641</v>
      </c>
      <c r="GL10" s="136" t="s">
        <v>1641</v>
      </c>
      <c r="GM10" s="136" t="s">
        <v>1641</v>
      </c>
      <c r="GN10" s="136" t="s">
        <v>1641</v>
      </c>
      <c r="GO10" s="136" t="s">
        <v>1641</v>
      </c>
      <c r="GP10" s="136" t="s">
        <v>1641</v>
      </c>
      <c r="GQ10" s="136" t="s">
        <v>1641</v>
      </c>
      <c r="GR10" s="136" t="s">
        <v>1641</v>
      </c>
      <c r="GS10" s="136" t="s">
        <v>1641</v>
      </c>
      <c r="GT10" s="136"/>
      <c r="GU10" s="136" t="s">
        <v>1641</v>
      </c>
      <c r="GV10" s="136" t="s">
        <v>1641</v>
      </c>
      <c r="GW10" s="136" t="s">
        <v>1641</v>
      </c>
      <c r="GX10" s="136" t="s">
        <v>1641</v>
      </c>
      <c r="GY10" s="136" t="s">
        <v>1641</v>
      </c>
      <c r="GZ10" s="136"/>
      <c r="HA10" s="136" t="s">
        <v>1641</v>
      </c>
      <c r="HB10" s="136" t="s">
        <v>1641</v>
      </c>
      <c r="HC10" s="136" t="s">
        <v>1641</v>
      </c>
      <c r="HD10" s="136" t="s">
        <v>1641</v>
      </c>
      <c r="HE10" s="136" t="s">
        <v>1641</v>
      </c>
      <c r="HF10" s="136" t="s">
        <v>1641</v>
      </c>
      <c r="HG10" s="136" t="s">
        <v>1641</v>
      </c>
      <c r="HH10" s="136"/>
      <c r="HI10" s="136" t="s">
        <v>1641</v>
      </c>
      <c r="HJ10" s="136" t="s">
        <v>1641</v>
      </c>
      <c r="HK10" s="136" t="s">
        <v>1641</v>
      </c>
      <c r="HL10" s="136" t="s">
        <v>1641</v>
      </c>
      <c r="HM10" s="136"/>
      <c r="HN10" s="136" t="s">
        <v>1641</v>
      </c>
      <c r="HO10" s="136" t="s">
        <v>1641</v>
      </c>
      <c r="HP10" s="136" t="s">
        <v>1641</v>
      </c>
      <c r="HQ10" s="136" t="s">
        <v>1641</v>
      </c>
      <c r="HR10" s="136" t="s">
        <v>1641</v>
      </c>
      <c r="HS10" s="136" t="s">
        <v>1641</v>
      </c>
      <c r="HT10" s="136"/>
      <c r="HU10" s="136" t="s">
        <v>1641</v>
      </c>
      <c r="HV10" s="136" t="s">
        <v>1641</v>
      </c>
      <c r="HW10" s="136" t="s">
        <v>1641</v>
      </c>
      <c r="HX10" s="136" t="s">
        <v>1641</v>
      </c>
      <c r="HY10" s="136" t="s">
        <v>1641</v>
      </c>
      <c r="HZ10" s="136" t="s">
        <v>1641</v>
      </c>
      <c r="IA10" s="136" t="s">
        <v>1641</v>
      </c>
      <c r="IB10" s="136" t="s">
        <v>1641</v>
      </c>
      <c r="IC10" s="136" t="s">
        <v>1641</v>
      </c>
      <c r="ID10" s="136"/>
      <c r="IE10" s="136"/>
      <c r="IF10" s="136"/>
      <c r="IG10" s="136"/>
      <c r="IH10" s="136"/>
      <c r="II10" s="136"/>
      <c r="IJ10" s="136"/>
      <c r="IK10" s="136"/>
      <c r="IL10" s="136"/>
      <c r="IM10" s="136"/>
      <c r="IN10" s="136"/>
      <c r="IO10" s="136" t="s">
        <v>1641</v>
      </c>
      <c r="IP10" s="136" t="s">
        <v>1641</v>
      </c>
      <c r="IQ10" s="136" t="s">
        <v>1641</v>
      </c>
      <c r="IR10" s="136" t="s">
        <v>1641</v>
      </c>
      <c r="IS10" s="136" t="s">
        <v>1641</v>
      </c>
      <c r="IT10" s="136" t="s">
        <v>1641</v>
      </c>
      <c r="IU10" s="136" t="s">
        <v>1641</v>
      </c>
      <c r="IV10" s="136"/>
      <c r="IW10" s="136"/>
      <c r="IX10" s="136"/>
      <c r="IY10" s="136"/>
      <c r="IZ10" s="136"/>
      <c r="JA10" s="136"/>
      <c r="JB10" s="136"/>
      <c r="JC10" s="136"/>
      <c r="JD10" s="136"/>
      <c r="JE10" s="136"/>
      <c r="JF10" s="136"/>
      <c r="JG10" s="136"/>
      <c r="JH10" s="136"/>
      <c r="JI10" s="136"/>
      <c r="JJ10" s="136"/>
      <c r="JK10" s="136"/>
      <c r="JL10" s="136"/>
      <c r="JM10" s="136"/>
      <c r="JN10" s="136"/>
      <c r="JO10" s="136"/>
      <c r="JP10" s="136"/>
      <c r="JQ10" s="136"/>
      <c r="JR10" s="136"/>
      <c r="JS10" s="136"/>
      <c r="JT10" s="136"/>
      <c r="JU10" s="136"/>
      <c r="JV10" s="136"/>
      <c r="JW10" s="136"/>
      <c r="JX10" s="136"/>
      <c r="JY10" s="136"/>
    </row>
    <row r="11" spans="1:285" x14ac:dyDescent="0.2">
      <c r="A11" s="136" t="s">
        <v>1678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>
        <v>2</v>
      </c>
      <c r="AA11" s="136">
        <v>2</v>
      </c>
      <c r="AB11" s="136">
        <v>2</v>
      </c>
      <c r="AC11" s="136">
        <v>2</v>
      </c>
      <c r="AD11" s="136">
        <v>2</v>
      </c>
      <c r="AE11" s="136">
        <v>2</v>
      </c>
      <c r="AF11" s="136">
        <v>2</v>
      </c>
      <c r="AG11" s="136">
        <v>2</v>
      </c>
      <c r="AH11" s="136">
        <v>2</v>
      </c>
      <c r="AI11" s="136">
        <v>2</v>
      </c>
      <c r="AJ11" s="136">
        <v>2</v>
      </c>
      <c r="AK11" s="136">
        <v>2</v>
      </c>
      <c r="AL11" s="136">
        <v>2</v>
      </c>
      <c r="AM11" s="136"/>
      <c r="AN11" s="136">
        <v>2</v>
      </c>
      <c r="AO11" s="136">
        <v>2</v>
      </c>
      <c r="AP11" s="136">
        <v>2</v>
      </c>
      <c r="AQ11" s="136">
        <v>2</v>
      </c>
      <c r="AR11" s="136">
        <v>2</v>
      </c>
      <c r="AS11" s="136">
        <v>2</v>
      </c>
      <c r="AT11" s="136"/>
      <c r="AU11" s="136">
        <v>2</v>
      </c>
      <c r="AV11" s="136">
        <v>2</v>
      </c>
      <c r="AW11" s="136">
        <v>2</v>
      </c>
      <c r="AX11" s="136">
        <v>2</v>
      </c>
      <c r="AY11" s="136">
        <v>2</v>
      </c>
      <c r="AZ11" s="136"/>
      <c r="BA11" s="136">
        <v>2</v>
      </c>
      <c r="BB11" s="136">
        <v>2</v>
      </c>
      <c r="BC11" s="136">
        <v>2</v>
      </c>
      <c r="BD11" s="136">
        <v>2</v>
      </c>
      <c r="BE11" s="136">
        <v>2</v>
      </c>
      <c r="BF11" s="136">
        <v>2</v>
      </c>
      <c r="BG11" s="136">
        <v>2</v>
      </c>
      <c r="BH11" s="136">
        <v>2</v>
      </c>
      <c r="BI11" s="136">
        <v>2</v>
      </c>
      <c r="BJ11" s="136"/>
      <c r="BK11" s="136">
        <v>2</v>
      </c>
      <c r="BL11" s="136">
        <v>2</v>
      </c>
      <c r="BM11" s="136">
        <v>2</v>
      </c>
      <c r="BN11" s="136">
        <v>2</v>
      </c>
      <c r="BO11" s="136">
        <v>2</v>
      </c>
      <c r="BP11" s="136">
        <v>2</v>
      </c>
      <c r="BQ11" s="136">
        <v>2</v>
      </c>
      <c r="BR11" s="136"/>
      <c r="BS11" s="136">
        <v>2</v>
      </c>
      <c r="BT11" s="136">
        <v>2</v>
      </c>
      <c r="BU11" s="136">
        <v>2</v>
      </c>
      <c r="BV11" s="136">
        <v>2</v>
      </c>
      <c r="BW11" s="136">
        <v>2</v>
      </c>
      <c r="BX11" s="136">
        <v>2</v>
      </c>
      <c r="BY11" s="136">
        <v>2</v>
      </c>
      <c r="BZ11" s="136">
        <v>2</v>
      </c>
      <c r="CA11" s="136"/>
      <c r="CB11" s="136"/>
      <c r="CC11" s="136"/>
      <c r="CD11" s="136"/>
      <c r="CE11" s="136"/>
      <c r="CF11" s="136"/>
      <c r="CG11" s="136"/>
      <c r="CH11" s="136"/>
      <c r="CI11" s="136"/>
      <c r="CJ11" s="136"/>
      <c r="CK11" s="136"/>
      <c r="CL11" s="136"/>
      <c r="CM11" s="136"/>
      <c r="CN11" s="136"/>
      <c r="CO11" s="136"/>
      <c r="CP11" s="136"/>
      <c r="CQ11" s="136"/>
      <c r="CR11" s="136"/>
      <c r="CS11" s="136"/>
      <c r="CT11" s="136"/>
      <c r="CU11" s="136"/>
      <c r="CV11" s="136"/>
      <c r="CW11" s="136"/>
      <c r="CX11" s="136"/>
      <c r="CY11" s="136"/>
      <c r="CZ11" s="136"/>
      <c r="DA11" s="136"/>
      <c r="DB11" s="136"/>
      <c r="DC11" s="136"/>
      <c r="DD11" s="136"/>
      <c r="DE11" s="136"/>
      <c r="DF11" s="136"/>
      <c r="DG11" s="136"/>
      <c r="DH11" s="136"/>
      <c r="DI11" s="136"/>
      <c r="DJ11" s="136"/>
      <c r="DK11" s="136"/>
      <c r="DL11" s="136"/>
      <c r="DM11" s="136"/>
      <c r="DN11" s="136"/>
      <c r="DO11" s="136"/>
      <c r="DP11" s="136"/>
      <c r="DQ11" s="136"/>
      <c r="DR11" s="136"/>
      <c r="DS11" s="136"/>
      <c r="DT11" s="136"/>
      <c r="DU11" s="136"/>
      <c r="DV11" s="136"/>
      <c r="DW11" s="136"/>
      <c r="DX11" s="136"/>
      <c r="DY11" s="136"/>
      <c r="DZ11" s="136"/>
      <c r="EA11" s="136"/>
      <c r="EB11" s="136"/>
      <c r="EC11" s="136"/>
      <c r="ED11" s="136"/>
      <c r="EE11" s="136"/>
      <c r="EF11" s="136"/>
      <c r="EG11" s="136"/>
      <c r="EH11" s="136"/>
      <c r="EI11" s="136"/>
      <c r="EJ11" s="136">
        <v>1</v>
      </c>
      <c r="EK11" s="136">
        <v>1</v>
      </c>
      <c r="EL11" s="136">
        <v>1</v>
      </c>
      <c r="EM11" s="136">
        <v>1</v>
      </c>
      <c r="EN11" s="136">
        <v>1</v>
      </c>
      <c r="EO11" s="136">
        <v>1</v>
      </c>
      <c r="EP11" s="136">
        <v>1</v>
      </c>
      <c r="EQ11" s="136">
        <v>1</v>
      </c>
      <c r="ER11" s="136">
        <v>1</v>
      </c>
      <c r="ES11" s="136"/>
      <c r="ET11" s="136">
        <v>1</v>
      </c>
      <c r="EU11" s="136">
        <v>1</v>
      </c>
      <c r="EV11" s="136">
        <v>1</v>
      </c>
      <c r="EW11" s="136">
        <v>1</v>
      </c>
      <c r="EX11" s="136">
        <v>1</v>
      </c>
      <c r="EY11" s="136">
        <v>1</v>
      </c>
      <c r="EZ11" s="136">
        <v>1</v>
      </c>
      <c r="FA11" s="136"/>
      <c r="FB11" s="136"/>
      <c r="FC11" s="136"/>
      <c r="FD11" s="136"/>
      <c r="FE11" s="136"/>
      <c r="FF11" s="136"/>
      <c r="FG11" s="136"/>
      <c r="FH11" s="136"/>
      <c r="FI11" s="136"/>
      <c r="FJ11" s="136"/>
      <c r="FK11" s="136"/>
      <c r="FL11" s="136"/>
      <c r="FM11" s="136"/>
      <c r="FN11" s="136"/>
      <c r="FO11" s="136"/>
      <c r="FP11" s="136"/>
      <c r="FQ11" s="136"/>
      <c r="FR11" s="136"/>
      <c r="FS11" s="136"/>
      <c r="FT11" s="136"/>
      <c r="FU11" s="136"/>
      <c r="FV11" s="136"/>
      <c r="FW11" s="136"/>
      <c r="FX11" s="136"/>
      <c r="FY11" s="136"/>
      <c r="FZ11" s="136"/>
      <c r="GA11" s="136"/>
      <c r="GB11" s="136"/>
      <c r="GC11" s="136"/>
      <c r="GD11" s="136"/>
      <c r="GE11" s="136"/>
      <c r="GF11" s="136"/>
      <c r="GG11" s="136"/>
      <c r="GH11" s="136"/>
      <c r="GI11" s="136"/>
      <c r="GJ11" s="136"/>
      <c r="GK11" s="136"/>
      <c r="GL11" s="136"/>
      <c r="GM11" s="136"/>
      <c r="GN11" s="136"/>
      <c r="GO11" s="136"/>
      <c r="GP11" s="136"/>
      <c r="GQ11" s="136"/>
      <c r="GR11" s="136"/>
      <c r="GS11" s="136"/>
      <c r="GT11" s="136"/>
      <c r="GU11" s="136">
        <v>1</v>
      </c>
      <c r="GV11" s="136">
        <v>1</v>
      </c>
      <c r="GW11" s="136">
        <v>1</v>
      </c>
      <c r="GX11" s="136">
        <v>1</v>
      </c>
      <c r="GY11" s="136">
        <v>1</v>
      </c>
      <c r="GZ11" s="136"/>
      <c r="HA11" s="136"/>
      <c r="HB11" s="136"/>
      <c r="HC11" s="136"/>
      <c r="HD11" s="136"/>
      <c r="HE11" s="136"/>
      <c r="HF11" s="136"/>
      <c r="HG11" s="136"/>
      <c r="HH11" s="136"/>
      <c r="HI11" s="136">
        <v>1</v>
      </c>
      <c r="HJ11" s="136">
        <v>1</v>
      </c>
      <c r="HK11" s="136">
        <v>1</v>
      </c>
      <c r="HL11" s="136">
        <v>1</v>
      </c>
      <c r="HM11" s="136"/>
      <c r="HN11" s="136">
        <v>1</v>
      </c>
      <c r="HO11" s="136">
        <v>1</v>
      </c>
      <c r="HP11" s="136">
        <v>1</v>
      </c>
      <c r="HQ11" s="136">
        <v>1</v>
      </c>
      <c r="HR11" s="136">
        <v>1</v>
      </c>
      <c r="HS11" s="136">
        <v>1</v>
      </c>
      <c r="HT11" s="136"/>
      <c r="HU11" s="136"/>
      <c r="HV11" s="136"/>
      <c r="HW11" s="136"/>
      <c r="HX11" s="136"/>
      <c r="HY11" s="136"/>
      <c r="HZ11" s="136"/>
      <c r="IA11" s="136"/>
      <c r="IB11" s="136"/>
      <c r="IC11" s="136"/>
      <c r="ID11" s="136"/>
      <c r="IE11" s="136"/>
      <c r="IF11" s="136"/>
      <c r="IG11" s="136"/>
      <c r="IH11" s="136"/>
      <c r="II11" s="136"/>
      <c r="IJ11" s="136"/>
      <c r="IK11" s="136"/>
      <c r="IL11" s="136"/>
      <c r="IM11" s="136"/>
      <c r="IN11" s="136"/>
      <c r="IO11" s="136"/>
      <c r="IP11" s="136"/>
      <c r="IQ11" s="136"/>
      <c r="IR11" s="136"/>
      <c r="IS11" s="136"/>
      <c r="IT11" s="136"/>
      <c r="IU11" s="136"/>
      <c r="IV11" s="136"/>
      <c r="IW11" s="136"/>
      <c r="IX11" s="136"/>
      <c r="IY11" s="136"/>
      <c r="IZ11" s="136"/>
      <c r="JA11" s="136"/>
      <c r="JB11" s="136"/>
      <c r="JC11" s="136"/>
      <c r="JD11" s="136"/>
      <c r="JE11" s="136"/>
      <c r="JF11" s="136"/>
      <c r="JG11" s="136"/>
      <c r="JH11" s="136"/>
      <c r="JI11" s="136"/>
      <c r="JJ11" s="136"/>
      <c r="JK11" s="136"/>
      <c r="JL11" s="136"/>
      <c r="JM11" s="136"/>
      <c r="JN11" s="136"/>
      <c r="JO11" s="136"/>
      <c r="JP11" s="136"/>
      <c r="JQ11" s="136"/>
      <c r="JR11" s="136"/>
      <c r="JS11" s="136"/>
      <c r="JT11" s="136"/>
      <c r="JU11" s="136"/>
      <c r="JV11" s="136"/>
      <c r="JW11" s="136"/>
      <c r="JX11" s="136"/>
      <c r="JY11" s="136"/>
    </row>
    <row r="12" spans="1:285" x14ac:dyDescent="0.2">
      <c r="A12" s="136" t="s">
        <v>1679</v>
      </c>
      <c r="B12" s="136" t="s">
        <v>1680</v>
      </c>
      <c r="C12" s="136" t="s">
        <v>1680</v>
      </c>
      <c r="D12" s="136" t="s">
        <v>1680</v>
      </c>
      <c r="E12" s="136" t="s">
        <v>1680</v>
      </c>
      <c r="F12" s="136" t="s">
        <v>1680</v>
      </c>
      <c r="G12" s="136" t="s">
        <v>1680</v>
      </c>
      <c r="H12" s="136" t="s">
        <v>1680</v>
      </c>
      <c r="I12" s="136" t="s">
        <v>1680</v>
      </c>
      <c r="J12" s="136"/>
      <c r="K12" s="136" t="s">
        <v>1680</v>
      </c>
      <c r="L12" s="136" t="s">
        <v>1680</v>
      </c>
      <c r="M12" s="136" t="s">
        <v>1680</v>
      </c>
      <c r="N12" s="136" t="s">
        <v>1680</v>
      </c>
      <c r="O12" s="136" t="s">
        <v>1680</v>
      </c>
      <c r="P12" s="136" t="s">
        <v>1680</v>
      </c>
      <c r="Q12" s="136" t="s">
        <v>1680</v>
      </c>
      <c r="R12" s="136"/>
      <c r="S12" s="136" t="s">
        <v>1681</v>
      </c>
      <c r="T12" s="136" t="s">
        <v>1681</v>
      </c>
      <c r="U12" s="136" t="s">
        <v>1681</v>
      </c>
      <c r="V12" s="136" t="s">
        <v>1681</v>
      </c>
      <c r="W12" s="136" t="s">
        <v>1681</v>
      </c>
      <c r="X12" s="136" t="s">
        <v>1681</v>
      </c>
      <c r="Y12" s="136"/>
      <c r="Z12" s="136" t="s">
        <v>1682</v>
      </c>
      <c r="AA12" s="136" t="s">
        <v>1682</v>
      </c>
      <c r="AB12" s="136" t="s">
        <v>1682</v>
      </c>
      <c r="AC12" s="136" t="s">
        <v>1682</v>
      </c>
      <c r="AD12" s="136" t="s">
        <v>1682</v>
      </c>
      <c r="AE12" s="136" t="s">
        <v>1682</v>
      </c>
      <c r="AF12" s="136" t="s">
        <v>1682</v>
      </c>
      <c r="AG12" s="136" t="s">
        <v>1682</v>
      </c>
      <c r="AH12" s="136" t="s">
        <v>1682</v>
      </c>
      <c r="AI12" s="136" t="s">
        <v>1682</v>
      </c>
      <c r="AJ12" s="136" t="s">
        <v>1682</v>
      </c>
      <c r="AK12" s="136" t="s">
        <v>1682</v>
      </c>
      <c r="AL12" s="136" t="s">
        <v>1682</v>
      </c>
      <c r="AM12" s="136"/>
      <c r="AN12" s="136" t="s">
        <v>1681</v>
      </c>
      <c r="AO12" s="136" t="s">
        <v>1681</v>
      </c>
      <c r="AP12" s="136" t="s">
        <v>1681</v>
      </c>
      <c r="AQ12" s="136" t="s">
        <v>1681</v>
      </c>
      <c r="AR12" s="136" t="s">
        <v>1681</v>
      </c>
      <c r="AS12" s="136" t="s">
        <v>1681</v>
      </c>
      <c r="AT12" s="136"/>
      <c r="AU12" s="136" t="s">
        <v>1681</v>
      </c>
      <c r="AV12" s="136" t="s">
        <v>1681</v>
      </c>
      <c r="AW12" s="136" t="s">
        <v>1681</v>
      </c>
      <c r="AX12" s="136" t="s">
        <v>1681</v>
      </c>
      <c r="AY12" s="136" t="s">
        <v>1681</v>
      </c>
      <c r="AZ12" s="136"/>
      <c r="BA12" s="136" t="s">
        <v>1681</v>
      </c>
      <c r="BB12" s="136" t="s">
        <v>1681</v>
      </c>
      <c r="BC12" s="136" t="s">
        <v>1681</v>
      </c>
      <c r="BD12" s="136" t="s">
        <v>1681</v>
      </c>
      <c r="BE12" s="136" t="s">
        <v>1681</v>
      </c>
      <c r="BF12" s="136" t="s">
        <v>1681</v>
      </c>
      <c r="BG12" s="136" t="s">
        <v>1681</v>
      </c>
      <c r="BH12" s="136" t="s">
        <v>1681</v>
      </c>
      <c r="BI12" s="136" t="s">
        <v>1681</v>
      </c>
      <c r="BJ12" s="136"/>
      <c r="BK12" s="136" t="s">
        <v>1682</v>
      </c>
      <c r="BL12" s="136" t="s">
        <v>1682</v>
      </c>
      <c r="BM12" s="136" t="s">
        <v>1682</v>
      </c>
      <c r="BN12" s="136" t="s">
        <v>1682</v>
      </c>
      <c r="BO12" s="136" t="s">
        <v>1682</v>
      </c>
      <c r="BP12" s="136" t="s">
        <v>1682</v>
      </c>
      <c r="BQ12" s="136" t="s">
        <v>1682</v>
      </c>
      <c r="BR12" s="136"/>
      <c r="BS12" s="136" t="s">
        <v>1682</v>
      </c>
      <c r="BT12" s="136" t="s">
        <v>1682</v>
      </c>
      <c r="BU12" s="136" t="s">
        <v>1682</v>
      </c>
      <c r="BV12" s="136" t="s">
        <v>1682</v>
      </c>
      <c r="BW12" s="136" t="s">
        <v>1682</v>
      </c>
      <c r="BX12" s="136" t="s">
        <v>1682</v>
      </c>
      <c r="BY12" s="136" t="s">
        <v>1682</v>
      </c>
      <c r="BZ12" s="136" t="s">
        <v>1682</v>
      </c>
      <c r="CA12" s="136"/>
      <c r="CB12" s="136"/>
      <c r="CC12" s="136"/>
      <c r="CD12" s="136"/>
      <c r="CE12" s="136"/>
      <c r="CF12" s="136"/>
      <c r="CG12" s="136"/>
      <c r="CH12" s="136"/>
      <c r="CI12" s="136"/>
      <c r="CJ12" s="136"/>
      <c r="CK12" s="136"/>
      <c r="CL12" s="136"/>
      <c r="CM12" s="136"/>
      <c r="CN12" s="136"/>
      <c r="CO12" s="136"/>
      <c r="CP12" s="136"/>
      <c r="CQ12" s="136"/>
      <c r="CR12" s="136"/>
      <c r="CS12" s="136" t="s">
        <v>1683</v>
      </c>
      <c r="CT12" s="136"/>
      <c r="CU12" s="136" t="s">
        <v>1684</v>
      </c>
      <c r="CV12" s="136" t="s">
        <v>1684</v>
      </c>
      <c r="CW12" s="136" t="s">
        <v>1684</v>
      </c>
      <c r="CX12" s="136" t="s">
        <v>1684</v>
      </c>
      <c r="CY12" s="136" t="s">
        <v>1684</v>
      </c>
      <c r="CZ12" s="136" t="s">
        <v>1684</v>
      </c>
      <c r="DA12" s="136"/>
      <c r="DB12" s="136" t="s">
        <v>1684</v>
      </c>
      <c r="DC12" s="136" t="s">
        <v>1684</v>
      </c>
      <c r="DD12" s="136" t="s">
        <v>1684</v>
      </c>
      <c r="DE12" s="136" t="s">
        <v>1684</v>
      </c>
      <c r="DF12" s="136" t="s">
        <v>1684</v>
      </c>
      <c r="DG12" s="136"/>
      <c r="DH12" s="136" t="s">
        <v>1684</v>
      </c>
      <c r="DI12" s="136" t="s">
        <v>1684</v>
      </c>
      <c r="DJ12" s="136" t="s">
        <v>1684</v>
      </c>
      <c r="DK12" s="136" t="s">
        <v>1684</v>
      </c>
      <c r="DL12" s="136" t="s">
        <v>1684</v>
      </c>
      <c r="DM12" s="136" t="s">
        <v>1684</v>
      </c>
      <c r="DN12" s="136"/>
      <c r="DO12" s="136" t="s">
        <v>1684</v>
      </c>
      <c r="DP12" s="136" t="s">
        <v>1684</v>
      </c>
      <c r="DQ12" s="136" t="s">
        <v>1684</v>
      </c>
      <c r="DR12" s="136" t="s">
        <v>1684</v>
      </c>
      <c r="DS12" s="136" t="s">
        <v>1684</v>
      </c>
      <c r="DT12" s="136" t="s">
        <v>1684</v>
      </c>
      <c r="DU12" s="136" t="s">
        <v>1684</v>
      </c>
      <c r="DV12" s="136"/>
      <c r="DW12" s="136" t="s">
        <v>1684</v>
      </c>
      <c r="DX12" s="136" t="s">
        <v>1684</v>
      </c>
      <c r="DY12" s="136" t="s">
        <v>1684</v>
      </c>
      <c r="DZ12" s="136" t="s">
        <v>1684</v>
      </c>
      <c r="EA12" s="136" t="s">
        <v>1684</v>
      </c>
      <c r="EB12" s="136" t="s">
        <v>1684</v>
      </c>
      <c r="EC12" s="136" t="s">
        <v>1684</v>
      </c>
      <c r="ED12" s="136"/>
      <c r="EE12" s="136" t="s">
        <v>1684</v>
      </c>
      <c r="EF12" s="136" t="s">
        <v>1684</v>
      </c>
      <c r="EG12" s="136" t="s">
        <v>1684</v>
      </c>
      <c r="EH12" s="136" t="s">
        <v>1684</v>
      </c>
      <c r="EI12" s="136"/>
      <c r="EJ12" s="136" t="s">
        <v>1680</v>
      </c>
      <c r="EK12" s="136" t="s">
        <v>1680</v>
      </c>
      <c r="EL12" s="136" t="s">
        <v>1680</v>
      </c>
      <c r="EM12" s="136" t="s">
        <v>1680</v>
      </c>
      <c r="EN12" s="136" t="s">
        <v>1680</v>
      </c>
      <c r="EO12" s="136" t="s">
        <v>1680</v>
      </c>
      <c r="EP12" s="136" t="s">
        <v>1680</v>
      </c>
      <c r="EQ12" s="136" t="s">
        <v>1680</v>
      </c>
      <c r="ER12" s="136" t="s">
        <v>1680</v>
      </c>
      <c r="ES12" s="136"/>
      <c r="ET12" s="136" t="s">
        <v>1680</v>
      </c>
      <c r="EU12" s="136" t="s">
        <v>1680</v>
      </c>
      <c r="EV12" s="136" t="s">
        <v>1680</v>
      </c>
      <c r="EW12" s="136" t="s">
        <v>1680</v>
      </c>
      <c r="EX12" s="136" t="s">
        <v>1680</v>
      </c>
      <c r="EY12" s="136" t="s">
        <v>1680</v>
      </c>
      <c r="EZ12" s="136" t="s">
        <v>1680</v>
      </c>
      <c r="FA12" s="136"/>
      <c r="FB12" s="136" t="s">
        <v>1684</v>
      </c>
      <c r="FC12" s="136" t="s">
        <v>1684</v>
      </c>
      <c r="FD12" s="136" t="s">
        <v>1684</v>
      </c>
      <c r="FE12" s="136" t="s">
        <v>1684</v>
      </c>
      <c r="FF12" s="136" t="s">
        <v>1684</v>
      </c>
      <c r="FG12" s="136" t="s">
        <v>1684</v>
      </c>
      <c r="FH12" s="136" t="s">
        <v>1684</v>
      </c>
      <c r="FI12" s="136" t="s">
        <v>1684</v>
      </c>
      <c r="FJ12" s="136" t="s">
        <v>1684</v>
      </c>
      <c r="FK12" s="136" t="s">
        <v>1684</v>
      </c>
      <c r="FL12" s="136" t="s">
        <v>1684</v>
      </c>
      <c r="FM12" s="136" t="s">
        <v>1684</v>
      </c>
      <c r="FN12" s="136" t="s">
        <v>1684</v>
      </c>
      <c r="FO12" s="136" t="s">
        <v>1684</v>
      </c>
      <c r="FP12" s="136" t="s">
        <v>1684</v>
      </c>
      <c r="FQ12" s="136" t="s">
        <v>1684</v>
      </c>
      <c r="FR12" s="136" t="s">
        <v>1684</v>
      </c>
      <c r="FS12" s="136" t="s">
        <v>1684</v>
      </c>
      <c r="FT12" s="136" t="s">
        <v>1684</v>
      </c>
      <c r="FU12" s="136" t="s">
        <v>1684</v>
      </c>
      <c r="FV12" s="136" t="s">
        <v>1684</v>
      </c>
      <c r="FW12" s="136" t="s">
        <v>1684</v>
      </c>
      <c r="FX12" s="136"/>
      <c r="FY12" s="136" t="s">
        <v>1684</v>
      </c>
      <c r="FZ12" s="136" t="s">
        <v>1684</v>
      </c>
      <c r="GA12" s="136" t="s">
        <v>1684</v>
      </c>
      <c r="GB12" s="136" t="s">
        <v>1684</v>
      </c>
      <c r="GC12" s="136" t="s">
        <v>1684</v>
      </c>
      <c r="GD12" s="136" t="s">
        <v>1684</v>
      </c>
      <c r="GE12" s="136" t="s">
        <v>1684</v>
      </c>
      <c r="GF12" s="136" t="s">
        <v>1684</v>
      </c>
      <c r="GG12" s="136" t="s">
        <v>1684</v>
      </c>
      <c r="GH12" s="136" t="s">
        <v>1684</v>
      </c>
      <c r="GI12" s="136" t="s">
        <v>1684</v>
      </c>
      <c r="GJ12" s="136" t="s">
        <v>1684</v>
      </c>
      <c r="GK12" s="136" t="s">
        <v>1684</v>
      </c>
      <c r="GL12" s="136" t="s">
        <v>1684</v>
      </c>
      <c r="GM12" s="136" t="s">
        <v>1684</v>
      </c>
      <c r="GN12" s="136" t="s">
        <v>1684</v>
      </c>
      <c r="GO12" s="136" t="s">
        <v>1684</v>
      </c>
      <c r="GP12" s="136" t="s">
        <v>1684</v>
      </c>
      <c r="GQ12" s="136" t="s">
        <v>1684</v>
      </c>
      <c r="GR12" s="136" t="s">
        <v>1684</v>
      </c>
      <c r="GS12" s="136" t="s">
        <v>1684</v>
      </c>
      <c r="GT12" s="136"/>
      <c r="GU12" s="136" t="s">
        <v>1685</v>
      </c>
      <c r="GV12" s="136" t="s">
        <v>1685</v>
      </c>
      <c r="GW12" s="136" t="s">
        <v>1685</v>
      </c>
      <c r="GX12" s="136" t="s">
        <v>1685</v>
      </c>
      <c r="GY12" s="136" t="s">
        <v>1685</v>
      </c>
      <c r="GZ12" s="136"/>
      <c r="HA12" s="136" t="s">
        <v>1684</v>
      </c>
      <c r="HB12" s="136" t="s">
        <v>1684</v>
      </c>
      <c r="HC12" s="136" t="s">
        <v>1684</v>
      </c>
      <c r="HD12" s="136" t="s">
        <v>1684</v>
      </c>
      <c r="HE12" s="136" t="s">
        <v>1684</v>
      </c>
      <c r="HF12" s="136" t="s">
        <v>1684</v>
      </c>
      <c r="HG12" s="136" t="s">
        <v>1684</v>
      </c>
      <c r="HH12" s="136"/>
      <c r="HI12" s="136" t="s">
        <v>1684</v>
      </c>
      <c r="HJ12" s="136" t="s">
        <v>1684</v>
      </c>
      <c r="HK12" s="136" t="s">
        <v>1684</v>
      </c>
      <c r="HL12" s="136" t="s">
        <v>1684</v>
      </c>
      <c r="HM12" s="136"/>
      <c r="HN12" s="136" t="s">
        <v>1684</v>
      </c>
      <c r="HO12" s="136" t="s">
        <v>1684</v>
      </c>
      <c r="HP12" s="136" t="s">
        <v>1684</v>
      </c>
      <c r="HQ12" s="136" t="s">
        <v>1684</v>
      </c>
      <c r="HR12" s="136" t="s">
        <v>1684</v>
      </c>
      <c r="HS12" s="136" t="s">
        <v>1684</v>
      </c>
      <c r="HT12" s="136"/>
      <c r="HU12" s="136" t="s">
        <v>1684</v>
      </c>
      <c r="HV12" s="136" t="s">
        <v>1684</v>
      </c>
      <c r="HW12" s="136" t="s">
        <v>1684</v>
      </c>
      <c r="HX12" s="136" t="s">
        <v>1684</v>
      </c>
      <c r="HY12" s="136" t="s">
        <v>1684</v>
      </c>
      <c r="HZ12" s="136" t="s">
        <v>1684</v>
      </c>
      <c r="IA12" s="136" t="s">
        <v>1684</v>
      </c>
      <c r="IB12" s="136" t="s">
        <v>1684</v>
      </c>
      <c r="IC12" s="136" t="s">
        <v>1684</v>
      </c>
      <c r="ID12" s="136"/>
      <c r="IE12" s="136"/>
      <c r="IF12" s="136"/>
      <c r="IG12" s="136"/>
      <c r="IH12" s="136"/>
      <c r="II12" s="136"/>
      <c r="IJ12" s="136"/>
      <c r="IK12" s="136"/>
      <c r="IL12" s="136"/>
      <c r="IM12" s="136"/>
      <c r="IN12" s="136"/>
      <c r="IO12" s="136" t="s">
        <v>1684</v>
      </c>
      <c r="IP12" s="136" t="s">
        <v>1684</v>
      </c>
      <c r="IQ12" s="136" t="s">
        <v>1684</v>
      </c>
      <c r="IR12" s="136" t="s">
        <v>1684</v>
      </c>
      <c r="IS12" s="136" t="s">
        <v>1684</v>
      </c>
      <c r="IT12" s="136" t="s">
        <v>1684</v>
      </c>
      <c r="IU12" s="136" t="s">
        <v>1684</v>
      </c>
      <c r="IV12" s="136"/>
      <c r="IW12" s="136"/>
      <c r="IX12" s="136"/>
      <c r="IY12" s="136"/>
      <c r="IZ12" s="136"/>
      <c r="JA12" s="136"/>
      <c r="JB12" s="136"/>
      <c r="JC12" s="136"/>
      <c r="JD12" s="136"/>
      <c r="JE12" s="136"/>
      <c r="JF12" s="136"/>
      <c r="JG12" s="136"/>
      <c r="JH12" s="136"/>
      <c r="JI12" s="136"/>
      <c r="JJ12" s="136"/>
      <c r="JK12" s="136"/>
      <c r="JL12" s="136"/>
      <c r="JM12" s="136"/>
      <c r="JN12" s="136"/>
      <c r="JO12" s="136"/>
      <c r="JP12" s="136"/>
      <c r="JQ12" s="136"/>
      <c r="JR12" s="136"/>
      <c r="JS12" s="136"/>
      <c r="JT12" s="136"/>
      <c r="JU12" s="136"/>
      <c r="JV12" s="136"/>
      <c r="JW12" s="136"/>
      <c r="JX12" s="136"/>
      <c r="JY12" s="136"/>
    </row>
    <row r="13" spans="1:285" s="146" customFormat="1" x14ac:dyDescent="0.2">
      <c r="A13" s="138" t="s">
        <v>1686</v>
      </c>
      <c r="B13" s="140">
        <v>1</v>
      </c>
      <c r="C13" s="140">
        <v>2</v>
      </c>
      <c r="D13" s="140">
        <v>3</v>
      </c>
      <c r="E13" s="140">
        <v>4</v>
      </c>
      <c r="F13" s="140">
        <v>5</v>
      </c>
      <c r="G13" s="140">
        <v>6</v>
      </c>
      <c r="H13" s="140">
        <v>7</v>
      </c>
      <c r="I13" s="140">
        <v>8</v>
      </c>
      <c r="J13" s="140"/>
      <c r="K13" s="140">
        <v>1</v>
      </c>
      <c r="L13" s="140">
        <v>2</v>
      </c>
      <c r="M13" s="140">
        <v>3</v>
      </c>
      <c r="N13" s="140">
        <v>4</v>
      </c>
      <c r="O13" s="140">
        <v>5</v>
      </c>
      <c r="P13" s="140">
        <v>6</v>
      </c>
      <c r="Q13" s="140">
        <v>7</v>
      </c>
      <c r="R13" s="140"/>
      <c r="S13" s="140">
        <v>1</v>
      </c>
      <c r="T13" s="140">
        <v>2</v>
      </c>
      <c r="U13" s="140">
        <v>3</v>
      </c>
      <c r="V13" s="140">
        <v>4</v>
      </c>
      <c r="W13" s="140">
        <v>5</v>
      </c>
      <c r="X13" s="140">
        <v>6</v>
      </c>
      <c r="Y13" s="140"/>
      <c r="Z13" s="140">
        <v>1</v>
      </c>
      <c r="AA13" s="140">
        <v>2</v>
      </c>
      <c r="AB13" s="140">
        <v>3</v>
      </c>
      <c r="AC13" s="140">
        <v>4</v>
      </c>
      <c r="AD13" s="140">
        <v>5</v>
      </c>
      <c r="AE13" s="140">
        <v>6</v>
      </c>
      <c r="AF13" s="140">
        <v>7</v>
      </c>
      <c r="AG13" s="140">
        <v>8</v>
      </c>
      <c r="AH13" s="140">
        <v>9</v>
      </c>
      <c r="AI13" s="140">
        <v>10</v>
      </c>
      <c r="AJ13" s="140">
        <v>11</v>
      </c>
      <c r="AK13" s="140">
        <v>12</v>
      </c>
      <c r="AL13" s="140">
        <v>13</v>
      </c>
      <c r="AM13" s="140"/>
      <c r="AN13" s="140">
        <v>1</v>
      </c>
      <c r="AO13" s="140">
        <v>2</v>
      </c>
      <c r="AP13" s="140">
        <v>3</v>
      </c>
      <c r="AQ13" s="140">
        <v>4</v>
      </c>
      <c r="AR13" s="140">
        <v>5</v>
      </c>
      <c r="AS13" s="140">
        <v>6</v>
      </c>
      <c r="AT13" s="140"/>
      <c r="AU13" s="140">
        <v>1</v>
      </c>
      <c r="AV13" s="140">
        <v>2</v>
      </c>
      <c r="AW13" s="140">
        <v>3</v>
      </c>
      <c r="AX13" s="140">
        <v>4</v>
      </c>
      <c r="AY13" s="140">
        <v>5</v>
      </c>
      <c r="AZ13" s="140"/>
      <c r="BA13" s="140">
        <v>1</v>
      </c>
      <c r="BB13" s="140">
        <v>2</v>
      </c>
      <c r="BC13" s="140">
        <v>3</v>
      </c>
      <c r="BD13" s="140">
        <v>4</v>
      </c>
      <c r="BE13" s="140">
        <v>5</v>
      </c>
      <c r="BF13" s="140">
        <v>6</v>
      </c>
      <c r="BG13" s="140">
        <v>7</v>
      </c>
      <c r="BH13" s="140">
        <v>8</v>
      </c>
      <c r="BI13" s="140">
        <v>9</v>
      </c>
      <c r="BJ13" s="140"/>
      <c r="BK13" s="140">
        <v>1</v>
      </c>
      <c r="BL13" s="140">
        <v>2</v>
      </c>
      <c r="BM13" s="140">
        <v>3</v>
      </c>
      <c r="BN13" s="140">
        <v>4</v>
      </c>
      <c r="BO13" s="140">
        <v>5</v>
      </c>
      <c r="BP13" s="140">
        <v>6</v>
      </c>
      <c r="BQ13" s="140">
        <v>7</v>
      </c>
      <c r="BR13" s="140"/>
      <c r="BS13" s="140">
        <v>1</v>
      </c>
      <c r="BT13" s="140">
        <v>2</v>
      </c>
      <c r="BU13" s="140">
        <v>3</v>
      </c>
      <c r="BV13" s="140">
        <v>4</v>
      </c>
      <c r="BW13" s="140">
        <v>5</v>
      </c>
      <c r="BX13" s="140">
        <v>6</v>
      </c>
      <c r="BY13" s="140">
        <v>7</v>
      </c>
      <c r="BZ13" s="140">
        <v>8</v>
      </c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>
        <v>1</v>
      </c>
      <c r="CV13" s="140">
        <v>2</v>
      </c>
      <c r="CW13" s="140">
        <v>3</v>
      </c>
      <c r="CX13" s="140">
        <v>4</v>
      </c>
      <c r="CY13" s="140">
        <v>5</v>
      </c>
      <c r="CZ13" s="140">
        <v>6</v>
      </c>
      <c r="DA13" s="140"/>
      <c r="DB13" s="140">
        <v>1</v>
      </c>
      <c r="DC13" s="140">
        <v>2</v>
      </c>
      <c r="DD13" s="140">
        <v>3</v>
      </c>
      <c r="DE13" s="140">
        <v>4</v>
      </c>
      <c r="DF13" s="140">
        <v>5</v>
      </c>
      <c r="DG13" s="140"/>
      <c r="DH13" s="140">
        <v>1</v>
      </c>
      <c r="DI13" s="140">
        <v>2</v>
      </c>
      <c r="DJ13" s="140">
        <v>3</v>
      </c>
      <c r="DK13" s="140">
        <v>4</v>
      </c>
      <c r="DL13" s="140">
        <v>5</v>
      </c>
      <c r="DM13" s="140">
        <v>6</v>
      </c>
      <c r="DN13" s="140"/>
      <c r="DO13" s="140">
        <v>1</v>
      </c>
      <c r="DP13" s="140">
        <v>2</v>
      </c>
      <c r="DQ13" s="140">
        <v>3</v>
      </c>
      <c r="DR13" s="140">
        <v>4</v>
      </c>
      <c r="DS13" s="140">
        <v>5</v>
      </c>
      <c r="DT13" s="140">
        <v>6</v>
      </c>
      <c r="DU13" s="140">
        <v>7</v>
      </c>
      <c r="DV13" s="140"/>
      <c r="DW13" s="140">
        <v>1</v>
      </c>
      <c r="DX13" s="140">
        <v>2</v>
      </c>
      <c r="DY13" s="140">
        <v>3</v>
      </c>
      <c r="DZ13" s="140">
        <v>4</v>
      </c>
      <c r="EA13" s="140">
        <v>5</v>
      </c>
      <c r="EB13" s="140">
        <v>6</v>
      </c>
      <c r="EC13" s="140">
        <v>7</v>
      </c>
      <c r="ED13" s="140"/>
      <c r="EE13" s="140">
        <v>1</v>
      </c>
      <c r="EF13" s="140">
        <v>2</v>
      </c>
      <c r="EG13" s="140">
        <v>3</v>
      </c>
      <c r="EH13" s="140">
        <v>4</v>
      </c>
      <c r="EI13" s="140"/>
      <c r="EJ13" s="140">
        <v>1</v>
      </c>
      <c r="EK13" s="140">
        <v>2</v>
      </c>
      <c r="EL13" s="140">
        <v>3</v>
      </c>
      <c r="EM13" s="140">
        <v>4</v>
      </c>
      <c r="EN13" s="140">
        <v>5</v>
      </c>
      <c r="EO13" s="140">
        <v>6</v>
      </c>
      <c r="EP13" s="140">
        <v>7</v>
      </c>
      <c r="EQ13" s="140">
        <v>8</v>
      </c>
      <c r="ER13" s="140">
        <v>9</v>
      </c>
      <c r="ES13" s="140"/>
      <c r="ET13" s="140">
        <v>1</v>
      </c>
      <c r="EU13" s="140">
        <v>2</v>
      </c>
      <c r="EV13" s="140">
        <v>3</v>
      </c>
      <c r="EW13" s="140">
        <v>4</v>
      </c>
      <c r="EX13" s="140">
        <v>5</v>
      </c>
      <c r="EY13" s="140">
        <v>6</v>
      </c>
      <c r="EZ13" s="140">
        <v>7</v>
      </c>
      <c r="FA13" s="140"/>
      <c r="FB13" s="140">
        <v>1</v>
      </c>
      <c r="FC13" s="140">
        <v>2</v>
      </c>
      <c r="FD13" s="140">
        <v>3</v>
      </c>
      <c r="FE13" s="140">
        <v>4</v>
      </c>
      <c r="FF13" s="140">
        <v>5</v>
      </c>
      <c r="FG13" s="140">
        <v>6</v>
      </c>
      <c r="FH13" s="140">
        <v>7</v>
      </c>
      <c r="FI13" s="140">
        <v>8</v>
      </c>
      <c r="FJ13" s="140">
        <v>9</v>
      </c>
      <c r="FK13" s="140">
        <v>10</v>
      </c>
      <c r="FL13" s="140">
        <v>11</v>
      </c>
      <c r="FM13" s="140">
        <v>12</v>
      </c>
      <c r="FN13" s="140">
        <v>13</v>
      </c>
      <c r="FO13" s="140">
        <v>14</v>
      </c>
      <c r="FP13" s="140">
        <v>15</v>
      </c>
      <c r="FQ13" s="140">
        <v>16</v>
      </c>
      <c r="FR13" s="140">
        <v>17</v>
      </c>
      <c r="FS13" s="140">
        <v>18</v>
      </c>
      <c r="FT13" s="140">
        <v>19</v>
      </c>
      <c r="FU13" s="140">
        <v>20</v>
      </c>
      <c r="FV13" s="140">
        <v>21</v>
      </c>
      <c r="FW13" s="140">
        <v>23</v>
      </c>
      <c r="FX13" s="140"/>
      <c r="FY13" s="140">
        <v>1</v>
      </c>
      <c r="FZ13" s="140">
        <v>2</v>
      </c>
      <c r="GA13" s="140">
        <v>3</v>
      </c>
      <c r="GB13" s="140">
        <v>4</v>
      </c>
      <c r="GC13" s="140">
        <v>5</v>
      </c>
      <c r="GD13" s="140">
        <v>6</v>
      </c>
      <c r="GE13" s="140">
        <v>7</v>
      </c>
      <c r="GF13" s="140">
        <v>8</v>
      </c>
      <c r="GG13" s="140">
        <v>9</v>
      </c>
      <c r="GH13" s="140">
        <v>10</v>
      </c>
      <c r="GI13" s="140">
        <v>11</v>
      </c>
      <c r="GJ13" s="140">
        <v>12</v>
      </c>
      <c r="GK13" s="140">
        <v>13</v>
      </c>
      <c r="GL13" s="140">
        <v>14</v>
      </c>
      <c r="GM13" s="140">
        <v>15</v>
      </c>
      <c r="GN13" s="140">
        <v>16</v>
      </c>
      <c r="GO13" s="140">
        <v>17</v>
      </c>
      <c r="GP13" s="140">
        <v>18</v>
      </c>
      <c r="GQ13" s="140">
        <v>19</v>
      </c>
      <c r="GR13" s="140">
        <v>20</v>
      </c>
      <c r="GS13" s="140">
        <v>21</v>
      </c>
      <c r="GT13" s="140"/>
      <c r="GU13" s="140">
        <v>1</v>
      </c>
      <c r="GV13" s="140">
        <v>2</v>
      </c>
      <c r="GW13" s="140">
        <v>3</v>
      </c>
      <c r="GX13" s="140">
        <v>4</v>
      </c>
      <c r="GY13" s="140">
        <v>5</v>
      </c>
      <c r="GZ13" s="140"/>
      <c r="HA13" s="140">
        <v>1</v>
      </c>
      <c r="HB13" s="140">
        <v>2</v>
      </c>
      <c r="HC13" s="140">
        <v>3</v>
      </c>
      <c r="HD13" s="140">
        <v>4</v>
      </c>
      <c r="HE13" s="140">
        <v>5</v>
      </c>
      <c r="HF13" s="140">
        <v>6</v>
      </c>
      <c r="HG13" s="140">
        <v>7</v>
      </c>
      <c r="HH13" s="140"/>
      <c r="HI13" s="140">
        <v>1</v>
      </c>
      <c r="HJ13" s="140">
        <v>2</v>
      </c>
      <c r="HK13" s="140">
        <v>3</v>
      </c>
      <c r="HL13" s="140">
        <v>4</v>
      </c>
      <c r="HM13" s="140"/>
      <c r="HN13" s="140">
        <v>1</v>
      </c>
      <c r="HO13" s="140">
        <v>2</v>
      </c>
      <c r="HP13" s="140">
        <v>3</v>
      </c>
      <c r="HQ13" s="140">
        <v>4</v>
      </c>
      <c r="HR13" s="140">
        <v>5</v>
      </c>
      <c r="HS13" s="140">
        <v>6</v>
      </c>
      <c r="HT13" s="140"/>
      <c r="HU13" s="140">
        <v>1</v>
      </c>
      <c r="HV13" s="140">
        <v>2</v>
      </c>
      <c r="HW13" s="140">
        <v>3</v>
      </c>
      <c r="HX13" s="140">
        <v>4</v>
      </c>
      <c r="HY13" s="140">
        <v>5</v>
      </c>
      <c r="HZ13" s="140">
        <v>6</v>
      </c>
      <c r="IA13" s="140">
        <v>7</v>
      </c>
      <c r="IB13" s="140">
        <v>8</v>
      </c>
      <c r="IC13" s="140">
        <v>9</v>
      </c>
      <c r="ID13" s="140"/>
      <c r="IE13" s="140"/>
      <c r="IF13" s="140"/>
      <c r="IG13" s="140"/>
      <c r="IH13" s="140"/>
      <c r="II13" s="140"/>
      <c r="IJ13" s="140"/>
      <c r="IK13" s="140"/>
      <c r="IL13" s="140"/>
      <c r="IM13" s="140"/>
      <c r="IN13" s="140"/>
      <c r="IO13" s="140">
        <v>1</v>
      </c>
      <c r="IP13" s="140">
        <v>2</v>
      </c>
      <c r="IQ13" s="140">
        <v>3</v>
      </c>
      <c r="IR13" s="140">
        <v>4</v>
      </c>
      <c r="IS13" s="140">
        <v>5</v>
      </c>
      <c r="IT13" s="140">
        <v>6</v>
      </c>
      <c r="IU13" s="140">
        <v>7</v>
      </c>
      <c r="IV13" s="140"/>
      <c r="IW13" s="137"/>
      <c r="IX13" s="137"/>
      <c r="IY13" s="137"/>
      <c r="IZ13" s="137"/>
      <c r="JA13" s="137"/>
      <c r="JB13" s="137"/>
      <c r="JC13" s="137"/>
      <c r="JD13" s="137"/>
      <c r="JE13" s="137"/>
      <c r="JF13" s="137"/>
      <c r="JG13" s="137"/>
      <c r="JH13" s="137"/>
      <c r="JI13" s="137"/>
      <c r="JJ13" s="137"/>
      <c r="JK13" s="137"/>
      <c r="JL13" s="137"/>
      <c r="JM13" s="137"/>
      <c r="JN13" s="137"/>
      <c r="JO13" s="137"/>
      <c r="JP13" s="137"/>
      <c r="JQ13" s="137"/>
      <c r="JR13" s="137"/>
      <c r="JS13" s="137"/>
      <c r="JT13" s="137"/>
      <c r="JU13" s="137"/>
      <c r="JV13" s="137"/>
      <c r="JW13" s="137"/>
      <c r="JX13" s="137"/>
      <c r="JY13" s="137"/>
    </row>
    <row r="14" spans="1:285" x14ac:dyDescent="0.2">
      <c r="A14" s="136" t="s">
        <v>1687</v>
      </c>
      <c r="B14" s="136" t="s">
        <v>1704</v>
      </c>
      <c r="C14" s="136" t="s">
        <v>1705</v>
      </c>
      <c r="D14" s="136" t="s">
        <v>1706</v>
      </c>
      <c r="E14" s="136" t="s">
        <v>1707</v>
      </c>
      <c r="F14" s="136" t="s">
        <v>1708</v>
      </c>
      <c r="G14" s="136" t="s">
        <v>1709</v>
      </c>
      <c r="H14" s="136" t="s">
        <v>1710</v>
      </c>
      <c r="I14" s="136" t="s">
        <v>1711</v>
      </c>
      <c r="J14" s="136"/>
      <c r="K14" s="136" t="s">
        <v>1704</v>
      </c>
      <c r="L14" s="136" t="s">
        <v>1705</v>
      </c>
      <c r="M14" s="136" t="s">
        <v>1706</v>
      </c>
      <c r="N14" s="136" t="s">
        <v>1707</v>
      </c>
      <c r="O14" s="136" t="s">
        <v>1708</v>
      </c>
      <c r="P14" s="136" t="s">
        <v>1709</v>
      </c>
      <c r="Q14" s="136" t="s">
        <v>1710</v>
      </c>
      <c r="R14" s="136"/>
      <c r="S14" s="136" t="s">
        <v>1712</v>
      </c>
      <c r="T14" s="136" t="s">
        <v>1713</v>
      </c>
      <c r="U14" s="136" t="s">
        <v>1714</v>
      </c>
      <c r="V14" s="136" t="s">
        <v>1715</v>
      </c>
      <c r="W14" s="136" t="s">
        <v>1716</v>
      </c>
      <c r="X14" s="136" t="s">
        <v>1717</v>
      </c>
      <c r="Y14" s="136"/>
      <c r="Z14" s="136" t="s">
        <v>1718</v>
      </c>
      <c r="AA14" s="136" t="s">
        <v>1719</v>
      </c>
      <c r="AB14" s="136" t="s">
        <v>1720</v>
      </c>
      <c r="AC14" s="136" t="s">
        <v>1721</v>
      </c>
      <c r="AD14" s="136" t="s">
        <v>1722</v>
      </c>
      <c r="AE14" s="136" t="s">
        <v>1723</v>
      </c>
      <c r="AF14" s="136" t="s">
        <v>1724</v>
      </c>
      <c r="AG14" s="136" t="s">
        <v>1725</v>
      </c>
      <c r="AH14" s="136" t="s">
        <v>1726</v>
      </c>
      <c r="AI14" s="136" t="s">
        <v>1727</v>
      </c>
      <c r="AJ14" s="136" t="s">
        <v>1728</v>
      </c>
      <c r="AK14" s="136" t="s">
        <v>1729</v>
      </c>
      <c r="AL14" s="136" t="s">
        <v>1730</v>
      </c>
      <c r="AM14" s="136"/>
      <c r="AN14" s="136" t="s">
        <v>1731</v>
      </c>
      <c r="AO14" s="136" t="s">
        <v>1732</v>
      </c>
      <c r="AP14" s="136" t="s">
        <v>1733</v>
      </c>
      <c r="AQ14" s="136" t="s">
        <v>1734</v>
      </c>
      <c r="AR14" s="136" t="s">
        <v>1735</v>
      </c>
      <c r="AS14" s="136" t="s">
        <v>1736</v>
      </c>
      <c r="AT14" s="136"/>
      <c r="AU14" s="136" t="s">
        <v>1731</v>
      </c>
      <c r="AV14" s="136" t="s">
        <v>1732</v>
      </c>
      <c r="AW14" s="136" t="s">
        <v>1733</v>
      </c>
      <c r="AX14" s="136" t="s">
        <v>1734</v>
      </c>
      <c r="AY14" s="136" t="s">
        <v>1735</v>
      </c>
      <c r="AZ14" s="136"/>
      <c r="BA14" s="136" t="s">
        <v>1731</v>
      </c>
      <c r="BB14" s="136" t="s">
        <v>1732</v>
      </c>
      <c r="BC14" s="136" t="s">
        <v>1733</v>
      </c>
      <c r="BD14" s="136" t="s">
        <v>1734</v>
      </c>
      <c r="BE14" s="136" t="s">
        <v>1735</v>
      </c>
      <c r="BF14" s="136" t="s">
        <v>1736</v>
      </c>
      <c r="BG14" s="136" t="s">
        <v>1737</v>
      </c>
      <c r="BH14" s="136" t="s">
        <v>1738</v>
      </c>
      <c r="BI14" s="136" t="s">
        <v>1739</v>
      </c>
      <c r="BJ14" s="136"/>
      <c r="BK14" s="136" t="s">
        <v>1718</v>
      </c>
      <c r="BL14" s="136" t="s">
        <v>1719</v>
      </c>
      <c r="BM14" s="136" t="s">
        <v>1720</v>
      </c>
      <c r="BN14" s="136" t="s">
        <v>1721</v>
      </c>
      <c r="BO14" s="136" t="s">
        <v>1722</v>
      </c>
      <c r="BP14" s="136" t="s">
        <v>1723</v>
      </c>
      <c r="BQ14" s="136" t="s">
        <v>1724</v>
      </c>
      <c r="BR14" s="136"/>
      <c r="BS14" s="136" t="s">
        <v>1718</v>
      </c>
      <c r="BT14" s="136" t="s">
        <v>1719</v>
      </c>
      <c r="BU14" s="136" t="s">
        <v>1720</v>
      </c>
      <c r="BV14" s="136" t="s">
        <v>1721</v>
      </c>
      <c r="BW14" s="136" t="s">
        <v>1722</v>
      </c>
      <c r="BX14" s="136" t="s">
        <v>1723</v>
      </c>
      <c r="BY14" s="136" t="s">
        <v>1724</v>
      </c>
      <c r="BZ14" s="136" t="s">
        <v>1725</v>
      </c>
      <c r="CA14" s="136"/>
      <c r="CB14" s="136"/>
      <c r="CC14" s="136"/>
      <c r="CD14" s="136"/>
      <c r="CE14" s="136"/>
      <c r="CF14" s="136"/>
      <c r="CG14" s="136"/>
      <c r="CH14" s="136"/>
      <c r="CI14" s="136"/>
      <c r="CJ14" s="136"/>
      <c r="CK14" s="136"/>
      <c r="CL14" s="136"/>
      <c r="CM14" s="136"/>
      <c r="CN14" s="136"/>
      <c r="CO14" s="136"/>
      <c r="CP14" s="136"/>
      <c r="CQ14" s="136"/>
      <c r="CR14" s="136"/>
      <c r="CS14" s="136" t="s">
        <v>1740</v>
      </c>
      <c r="CT14" s="136"/>
      <c r="CU14" s="136" t="s">
        <v>1741</v>
      </c>
      <c r="CV14" s="136" t="s">
        <v>1742</v>
      </c>
      <c r="CW14" s="136" t="s">
        <v>1743</v>
      </c>
      <c r="CX14" s="136" t="s">
        <v>1744</v>
      </c>
      <c r="CY14" s="136" t="s">
        <v>1745</v>
      </c>
      <c r="CZ14" s="136" t="s">
        <v>1746</v>
      </c>
      <c r="DA14" s="136"/>
      <c r="DB14" s="136" t="s">
        <v>1741</v>
      </c>
      <c r="DC14" s="136" t="s">
        <v>1742</v>
      </c>
      <c r="DD14" s="136" t="s">
        <v>1743</v>
      </c>
      <c r="DE14" s="136" t="s">
        <v>1744</v>
      </c>
      <c r="DF14" s="136" t="s">
        <v>1745</v>
      </c>
      <c r="DG14" s="136"/>
      <c r="DH14" s="136" t="s">
        <v>1741</v>
      </c>
      <c r="DI14" s="136" t="s">
        <v>1742</v>
      </c>
      <c r="DJ14" s="136" t="s">
        <v>1743</v>
      </c>
      <c r="DK14" s="136" t="s">
        <v>1744</v>
      </c>
      <c r="DL14" s="136" t="s">
        <v>1745</v>
      </c>
      <c r="DM14" s="136" t="s">
        <v>1746</v>
      </c>
      <c r="DN14" s="136"/>
      <c r="DO14" s="136" t="s">
        <v>1741</v>
      </c>
      <c r="DP14" s="136" t="s">
        <v>1742</v>
      </c>
      <c r="DQ14" s="136" t="s">
        <v>1743</v>
      </c>
      <c r="DR14" s="136" t="s">
        <v>1744</v>
      </c>
      <c r="DS14" s="136" t="s">
        <v>1745</v>
      </c>
      <c r="DT14" s="136" t="s">
        <v>1746</v>
      </c>
      <c r="DU14" s="136" t="s">
        <v>1747</v>
      </c>
      <c r="DV14" s="136"/>
      <c r="DW14" s="136" t="s">
        <v>1748</v>
      </c>
      <c r="DX14" s="136" t="s">
        <v>1749</v>
      </c>
      <c r="DY14" s="136" t="s">
        <v>1750</v>
      </c>
      <c r="DZ14" s="136" t="s">
        <v>1751</v>
      </c>
      <c r="EA14" s="136" t="s">
        <v>1752</v>
      </c>
      <c r="EB14" s="136" t="s">
        <v>1753</v>
      </c>
      <c r="EC14" s="136" t="s">
        <v>1754</v>
      </c>
      <c r="ED14" s="136"/>
      <c r="EE14" s="136" t="s">
        <v>1748</v>
      </c>
      <c r="EF14" s="136" t="s">
        <v>1749</v>
      </c>
      <c r="EG14" s="136" t="s">
        <v>1750</v>
      </c>
      <c r="EH14" s="136" t="s">
        <v>1751</v>
      </c>
      <c r="EI14" s="136"/>
      <c r="EJ14" s="136" t="s">
        <v>1755</v>
      </c>
      <c r="EK14" s="136" t="s">
        <v>1756</v>
      </c>
      <c r="EL14" s="136" t="s">
        <v>1757</v>
      </c>
      <c r="EM14" s="136" t="s">
        <v>1758</v>
      </c>
      <c r="EN14" s="136" t="s">
        <v>1759</v>
      </c>
      <c r="EO14" s="136" t="s">
        <v>1760</v>
      </c>
      <c r="EP14" s="136" t="s">
        <v>1761</v>
      </c>
      <c r="EQ14" s="136" t="s">
        <v>1762</v>
      </c>
      <c r="ER14" s="136" t="s">
        <v>1763</v>
      </c>
      <c r="ES14" s="136"/>
      <c r="ET14" s="136" t="s">
        <v>1755</v>
      </c>
      <c r="EU14" s="136" t="s">
        <v>1756</v>
      </c>
      <c r="EV14" s="136" t="s">
        <v>1757</v>
      </c>
      <c r="EW14" s="136" t="s">
        <v>1758</v>
      </c>
      <c r="EX14" s="136" t="s">
        <v>1759</v>
      </c>
      <c r="EY14" s="136" t="s">
        <v>1760</v>
      </c>
      <c r="EZ14" s="136" t="s">
        <v>1761</v>
      </c>
      <c r="FA14" s="136"/>
      <c r="FB14" s="136" t="s">
        <v>1764</v>
      </c>
      <c r="FC14" s="136" t="s">
        <v>1765</v>
      </c>
      <c r="FD14" s="136" t="s">
        <v>1766</v>
      </c>
      <c r="FE14" s="136" t="s">
        <v>1767</v>
      </c>
      <c r="FF14" s="136" t="s">
        <v>1768</v>
      </c>
      <c r="FG14" s="136" t="s">
        <v>1769</v>
      </c>
      <c r="FH14" s="136" t="s">
        <v>1770</v>
      </c>
      <c r="FI14" s="136" t="s">
        <v>1771</v>
      </c>
      <c r="FJ14" s="136" t="s">
        <v>1772</v>
      </c>
      <c r="FK14" s="136" t="s">
        <v>1773</v>
      </c>
      <c r="FL14" s="136" t="s">
        <v>1774</v>
      </c>
      <c r="FM14" s="136" t="s">
        <v>1775</v>
      </c>
      <c r="FN14" s="136" t="s">
        <v>1776</v>
      </c>
      <c r="FO14" s="136" t="s">
        <v>1777</v>
      </c>
      <c r="FP14" s="136" t="s">
        <v>1778</v>
      </c>
      <c r="FQ14" s="136" t="s">
        <v>1779</v>
      </c>
      <c r="FR14" s="136" t="s">
        <v>1780</v>
      </c>
      <c r="FS14" s="136" t="s">
        <v>1781</v>
      </c>
      <c r="FT14" s="136" t="s">
        <v>1782</v>
      </c>
      <c r="FU14" s="136" t="s">
        <v>1783</v>
      </c>
      <c r="FV14" s="136" t="s">
        <v>1784</v>
      </c>
      <c r="FW14" s="136" t="s">
        <v>1785</v>
      </c>
      <c r="FX14" s="136"/>
      <c r="FY14" s="136" t="s">
        <v>1764</v>
      </c>
      <c r="FZ14" s="136" t="s">
        <v>1765</v>
      </c>
      <c r="GA14" s="136" t="s">
        <v>1766</v>
      </c>
      <c r="GB14" s="136" t="s">
        <v>1767</v>
      </c>
      <c r="GC14" s="136" t="s">
        <v>1768</v>
      </c>
      <c r="GD14" s="136" t="s">
        <v>1769</v>
      </c>
      <c r="GE14" s="136" t="s">
        <v>1770</v>
      </c>
      <c r="GF14" s="136" t="s">
        <v>1771</v>
      </c>
      <c r="GG14" s="136" t="s">
        <v>1772</v>
      </c>
      <c r="GH14" s="136" t="s">
        <v>1773</v>
      </c>
      <c r="GI14" s="136" t="s">
        <v>1774</v>
      </c>
      <c r="GJ14" s="136" t="s">
        <v>1775</v>
      </c>
      <c r="GK14" s="136" t="s">
        <v>1776</v>
      </c>
      <c r="GL14" s="136" t="s">
        <v>1777</v>
      </c>
      <c r="GM14" s="136" t="s">
        <v>1778</v>
      </c>
      <c r="GN14" s="136" t="s">
        <v>1779</v>
      </c>
      <c r="GO14" s="136" t="s">
        <v>1780</v>
      </c>
      <c r="GP14" s="136" t="s">
        <v>1781</v>
      </c>
      <c r="GQ14" s="136" t="s">
        <v>1782</v>
      </c>
      <c r="GR14" s="136" t="s">
        <v>1783</v>
      </c>
      <c r="GS14" s="136" t="s">
        <v>1784</v>
      </c>
      <c r="GT14" s="136"/>
      <c r="GU14" s="136" t="s">
        <v>1786</v>
      </c>
      <c r="GV14" s="136" t="s">
        <v>1787</v>
      </c>
      <c r="GW14" s="136" t="s">
        <v>1788</v>
      </c>
      <c r="GX14" s="136" t="s">
        <v>1789</v>
      </c>
      <c r="GY14" s="136" t="s">
        <v>1790</v>
      </c>
      <c r="GZ14" s="136"/>
      <c r="HA14" s="136" t="s">
        <v>1764</v>
      </c>
      <c r="HB14" s="136" t="s">
        <v>1765</v>
      </c>
      <c r="HC14" s="136" t="s">
        <v>1766</v>
      </c>
      <c r="HD14" s="136" t="s">
        <v>1767</v>
      </c>
      <c r="HE14" s="136" t="s">
        <v>1768</v>
      </c>
      <c r="HF14" s="136" t="s">
        <v>1769</v>
      </c>
      <c r="HG14" s="136" t="s">
        <v>1770</v>
      </c>
      <c r="HH14" s="136"/>
      <c r="HI14" s="136" t="s">
        <v>1791</v>
      </c>
      <c r="HJ14" s="136" t="s">
        <v>1792</v>
      </c>
      <c r="HK14" s="136" t="s">
        <v>1793</v>
      </c>
      <c r="HL14" s="136" t="s">
        <v>1794</v>
      </c>
      <c r="HM14" s="136"/>
      <c r="HN14" s="136" t="s">
        <v>1791</v>
      </c>
      <c r="HO14" s="136" t="s">
        <v>1792</v>
      </c>
      <c r="HP14" s="136" t="s">
        <v>1793</v>
      </c>
      <c r="HQ14" s="136" t="s">
        <v>1794</v>
      </c>
      <c r="HR14" s="136" t="s">
        <v>1795</v>
      </c>
      <c r="HS14" s="136" t="s">
        <v>1796</v>
      </c>
      <c r="HT14" s="136"/>
      <c r="HU14" s="136" t="s">
        <v>1791</v>
      </c>
      <c r="HV14" s="136" t="s">
        <v>1792</v>
      </c>
      <c r="HW14" s="136" t="s">
        <v>1793</v>
      </c>
      <c r="HX14" s="136" t="s">
        <v>1794</v>
      </c>
      <c r="HY14" s="136" t="s">
        <v>1795</v>
      </c>
      <c r="HZ14" s="136" t="s">
        <v>1796</v>
      </c>
      <c r="IA14" s="136" t="s">
        <v>1797</v>
      </c>
      <c r="IB14" s="136" t="s">
        <v>1798</v>
      </c>
      <c r="IC14" s="136" t="s">
        <v>1799</v>
      </c>
      <c r="ID14" s="136"/>
      <c r="IE14" s="136"/>
      <c r="IF14" s="136"/>
      <c r="IG14" s="136"/>
      <c r="IH14" s="136"/>
      <c r="II14" s="136"/>
      <c r="IJ14" s="136"/>
      <c r="IK14" s="136"/>
      <c r="IL14" s="136"/>
      <c r="IM14" s="136"/>
      <c r="IN14" s="136"/>
      <c r="IO14" s="136" t="s">
        <v>1800</v>
      </c>
      <c r="IP14" s="136" t="s">
        <v>1801</v>
      </c>
      <c r="IQ14" s="136" t="s">
        <v>1802</v>
      </c>
      <c r="IR14" s="136" t="s">
        <v>1803</v>
      </c>
      <c r="IS14" s="136" t="s">
        <v>1804</v>
      </c>
      <c r="IT14" s="136" t="s">
        <v>1805</v>
      </c>
      <c r="IU14" s="136" t="s">
        <v>1806</v>
      </c>
      <c r="IV14" s="136"/>
      <c r="IW14" s="136"/>
      <c r="IX14" s="136"/>
      <c r="IY14" s="136"/>
      <c r="IZ14" s="136"/>
      <c r="JA14" s="136"/>
      <c r="JB14" s="136"/>
      <c r="JC14" s="136"/>
      <c r="JD14" s="136"/>
      <c r="JE14" s="136"/>
      <c r="JF14" s="136"/>
      <c r="JG14" s="136"/>
      <c r="JH14" s="136"/>
      <c r="JI14" s="136"/>
      <c r="JJ14" s="136"/>
      <c r="JK14" s="136"/>
      <c r="JL14" s="136"/>
      <c r="JM14" s="136"/>
      <c r="JN14" s="136"/>
      <c r="JO14" s="136"/>
      <c r="JP14" s="136"/>
      <c r="JQ14" s="136"/>
      <c r="JR14" s="136"/>
      <c r="JS14" s="136"/>
      <c r="JT14" s="136"/>
      <c r="JU14" s="136"/>
      <c r="JV14" s="136"/>
      <c r="JW14" s="136"/>
      <c r="JX14" s="136"/>
      <c r="JY14" s="136"/>
    </row>
    <row r="15" spans="1:285" x14ac:dyDescent="0.2">
      <c r="A15" s="136" t="s">
        <v>1807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  <c r="CE15" s="136"/>
      <c r="CF15" s="136"/>
      <c r="CG15" s="136"/>
      <c r="CH15" s="136"/>
      <c r="CI15" s="136"/>
      <c r="CJ15" s="136"/>
      <c r="CK15" s="136"/>
      <c r="CL15" s="136"/>
      <c r="CM15" s="136"/>
      <c r="CN15" s="136"/>
      <c r="CO15" s="136"/>
      <c r="CP15" s="136"/>
      <c r="CQ15" s="136"/>
      <c r="CR15" s="136"/>
      <c r="CS15" s="136">
        <v>0.9</v>
      </c>
      <c r="CT15" s="136"/>
      <c r="CU15" s="136">
        <v>0.9</v>
      </c>
      <c r="CV15" s="136">
        <v>0.9</v>
      </c>
      <c r="CW15" s="136">
        <v>0.9</v>
      </c>
      <c r="CX15" s="136">
        <v>0.9</v>
      </c>
      <c r="CY15" s="136">
        <v>0.9</v>
      </c>
      <c r="CZ15" s="136">
        <v>0.9</v>
      </c>
      <c r="DA15" s="136"/>
      <c r="DB15" s="136">
        <v>0.9</v>
      </c>
      <c r="DC15" s="136">
        <v>0.9</v>
      </c>
      <c r="DD15" s="136">
        <v>0.9</v>
      </c>
      <c r="DE15" s="136">
        <v>0.9</v>
      </c>
      <c r="DF15" s="136">
        <v>0.9</v>
      </c>
      <c r="DG15" s="136"/>
      <c r="DH15" s="136">
        <v>0.9</v>
      </c>
      <c r="DI15" s="136">
        <v>0.9</v>
      </c>
      <c r="DJ15" s="136">
        <v>0.9</v>
      </c>
      <c r="DK15" s="136">
        <v>0.9</v>
      </c>
      <c r="DL15" s="136">
        <v>0.9</v>
      </c>
      <c r="DM15" s="136">
        <v>0.9</v>
      </c>
      <c r="DN15" s="136"/>
      <c r="DO15" s="136">
        <v>0.9</v>
      </c>
      <c r="DP15" s="136">
        <v>0.9</v>
      </c>
      <c r="DQ15" s="136">
        <v>0.9</v>
      </c>
      <c r="DR15" s="136">
        <v>0.9</v>
      </c>
      <c r="DS15" s="136">
        <v>0.9</v>
      </c>
      <c r="DT15" s="136">
        <v>0.9</v>
      </c>
      <c r="DU15" s="136">
        <v>0.9</v>
      </c>
      <c r="DV15" s="136"/>
      <c r="DW15" s="136">
        <v>0.9</v>
      </c>
      <c r="DX15" s="136">
        <v>0.9</v>
      </c>
      <c r="DY15" s="136">
        <v>0.9</v>
      </c>
      <c r="DZ15" s="136">
        <v>0.9</v>
      </c>
      <c r="EA15" s="136">
        <v>0.9</v>
      </c>
      <c r="EB15" s="136">
        <v>0.9</v>
      </c>
      <c r="EC15" s="136">
        <v>0.9</v>
      </c>
      <c r="ED15" s="136"/>
      <c r="EE15" s="136">
        <v>0.9</v>
      </c>
      <c r="EF15" s="136">
        <v>0.9</v>
      </c>
      <c r="EG15" s="136">
        <v>0.9</v>
      </c>
      <c r="EH15" s="136">
        <v>0.9</v>
      </c>
      <c r="EI15" s="136"/>
      <c r="EJ15" s="136">
        <v>0.8</v>
      </c>
      <c r="EK15" s="136">
        <v>0.8</v>
      </c>
      <c r="EL15" s="136">
        <v>0.8</v>
      </c>
      <c r="EM15" s="136">
        <v>0.8</v>
      </c>
      <c r="EN15" s="136">
        <v>0.8</v>
      </c>
      <c r="EO15" s="136">
        <v>0.8</v>
      </c>
      <c r="EP15" s="136">
        <v>0.8</v>
      </c>
      <c r="EQ15" s="136">
        <v>0.8</v>
      </c>
      <c r="ER15" s="136">
        <v>0.8</v>
      </c>
      <c r="ES15" s="136"/>
      <c r="ET15" s="136">
        <v>0.8</v>
      </c>
      <c r="EU15" s="136">
        <v>0.8</v>
      </c>
      <c r="EV15" s="136">
        <v>0.8</v>
      </c>
      <c r="EW15" s="136">
        <v>0.8</v>
      </c>
      <c r="EX15" s="136">
        <v>0.8</v>
      </c>
      <c r="EY15" s="136">
        <v>0.8</v>
      </c>
      <c r="EZ15" s="136">
        <v>0.8</v>
      </c>
      <c r="FA15" s="136"/>
      <c r="FB15" s="136">
        <v>0.8</v>
      </c>
      <c r="FC15" s="136">
        <v>0.9</v>
      </c>
      <c r="FD15" s="136">
        <v>0.9</v>
      </c>
      <c r="FE15" s="136">
        <v>0.9</v>
      </c>
      <c r="FF15" s="136">
        <v>0.9</v>
      </c>
      <c r="FG15" s="136"/>
      <c r="FH15" s="136"/>
      <c r="FI15" s="136"/>
      <c r="FJ15" s="136">
        <v>0.9</v>
      </c>
      <c r="FK15" s="136">
        <v>0.9</v>
      </c>
      <c r="FL15" s="136">
        <v>0.9</v>
      </c>
      <c r="FM15" s="136"/>
      <c r="FN15" s="136"/>
      <c r="FO15" s="136">
        <v>0.9</v>
      </c>
      <c r="FP15" s="136">
        <v>0.2</v>
      </c>
      <c r="FQ15" s="136">
        <v>0.9</v>
      </c>
      <c r="FR15" s="136">
        <v>0.9</v>
      </c>
      <c r="FS15" s="136">
        <v>0.9</v>
      </c>
      <c r="FT15" s="136">
        <v>0.9</v>
      </c>
      <c r="FU15" s="136">
        <v>0.9</v>
      </c>
      <c r="FV15" s="136">
        <v>0.9</v>
      </c>
      <c r="FW15" s="136">
        <v>0.9</v>
      </c>
      <c r="FX15" s="136"/>
      <c r="FY15" s="136" t="s">
        <v>1688</v>
      </c>
      <c r="FZ15" s="136" t="s">
        <v>1688</v>
      </c>
      <c r="GA15" s="136" t="s">
        <v>1688</v>
      </c>
      <c r="GB15" s="136" t="s">
        <v>1688</v>
      </c>
      <c r="GC15" s="136">
        <v>0.9</v>
      </c>
      <c r="GD15" s="136" t="s">
        <v>1688</v>
      </c>
      <c r="GE15" s="136">
        <v>0.1</v>
      </c>
      <c r="GF15" s="136">
        <v>0.9</v>
      </c>
      <c r="GG15" s="136">
        <v>0.9</v>
      </c>
      <c r="GH15" s="136">
        <v>0.1</v>
      </c>
      <c r="GI15" s="136">
        <v>0.9</v>
      </c>
      <c r="GJ15" s="136">
        <v>0.8</v>
      </c>
      <c r="GK15" s="136">
        <v>0.8</v>
      </c>
      <c r="GL15" s="136" t="s">
        <v>1688</v>
      </c>
      <c r="GM15" s="136" t="s">
        <v>1688</v>
      </c>
      <c r="GN15" s="136">
        <v>0.8</v>
      </c>
      <c r="GO15" s="136" t="s">
        <v>1688</v>
      </c>
      <c r="GP15" s="136" t="s">
        <v>1688</v>
      </c>
      <c r="GQ15" s="136" t="s">
        <v>1688</v>
      </c>
      <c r="GR15" s="136">
        <v>0.9</v>
      </c>
      <c r="GS15" s="136">
        <v>0.9</v>
      </c>
      <c r="GT15" s="136"/>
      <c r="GU15" s="136">
        <v>0.8</v>
      </c>
      <c r="GV15" s="136">
        <v>0.8</v>
      </c>
      <c r="GW15" s="136">
        <v>0.8</v>
      </c>
      <c r="GX15" s="136">
        <v>0.8</v>
      </c>
      <c r="GY15" s="136">
        <v>0.8</v>
      </c>
      <c r="GZ15" s="136"/>
      <c r="HA15" s="136">
        <v>0.9</v>
      </c>
      <c r="HB15" s="136">
        <v>0.9</v>
      </c>
      <c r="HC15" s="136">
        <v>0.9</v>
      </c>
      <c r="HD15" s="136">
        <v>0.9</v>
      </c>
      <c r="HE15" s="136">
        <v>0.9</v>
      </c>
      <c r="HF15" s="136">
        <v>0.9</v>
      </c>
      <c r="HG15" s="136">
        <v>0.9</v>
      </c>
      <c r="HH15" s="136"/>
      <c r="HI15" s="136">
        <v>0.8</v>
      </c>
      <c r="HJ15" s="136">
        <v>0.8</v>
      </c>
      <c r="HK15" s="136">
        <v>0.8</v>
      </c>
      <c r="HL15" s="136">
        <v>0.8</v>
      </c>
      <c r="HM15" s="136"/>
      <c r="HN15" s="136">
        <v>0.8</v>
      </c>
      <c r="HO15" s="136">
        <v>0.8</v>
      </c>
      <c r="HP15" s="136">
        <v>0.8</v>
      </c>
      <c r="HQ15" s="136">
        <v>0.8</v>
      </c>
      <c r="HR15" s="136">
        <v>0.8</v>
      </c>
      <c r="HS15" s="136">
        <v>0.8</v>
      </c>
      <c r="HT15" s="136"/>
      <c r="HU15" s="136">
        <v>0.9</v>
      </c>
      <c r="HV15" s="136">
        <v>0.9</v>
      </c>
      <c r="HW15" s="136">
        <v>0.9</v>
      </c>
      <c r="HX15" s="136">
        <v>0.9</v>
      </c>
      <c r="HY15" s="136">
        <v>0.9</v>
      </c>
      <c r="HZ15" s="136">
        <v>0.9</v>
      </c>
      <c r="IA15" s="136">
        <v>0.9</v>
      </c>
      <c r="IB15" s="136">
        <v>0.9</v>
      </c>
      <c r="IC15" s="136">
        <v>0.9</v>
      </c>
      <c r="ID15" s="136"/>
      <c r="IE15" s="136"/>
      <c r="IF15" s="136"/>
      <c r="IG15" s="136"/>
      <c r="IH15" s="136"/>
      <c r="II15" s="136"/>
      <c r="IJ15" s="136"/>
      <c r="IK15" s="136"/>
      <c r="IL15" s="136"/>
      <c r="IM15" s="136"/>
      <c r="IN15" s="136"/>
      <c r="IO15" s="136">
        <v>0.9</v>
      </c>
      <c r="IP15" s="136">
        <v>0.9</v>
      </c>
      <c r="IQ15" s="136">
        <v>0.9</v>
      </c>
      <c r="IR15" s="136">
        <v>0.9</v>
      </c>
      <c r="IS15" s="136">
        <v>0.9</v>
      </c>
      <c r="IT15" s="136">
        <v>0.9</v>
      </c>
      <c r="IU15" s="136">
        <v>0.9</v>
      </c>
      <c r="IV15" s="136"/>
      <c r="IW15" s="136"/>
      <c r="IX15" s="136"/>
      <c r="IY15" s="136"/>
      <c r="IZ15" s="136"/>
      <c r="JA15" s="136"/>
      <c r="JB15" s="136"/>
      <c r="JC15" s="136"/>
      <c r="JD15" s="136"/>
      <c r="JE15" s="136"/>
      <c r="JF15" s="136"/>
      <c r="JG15" s="136"/>
      <c r="JH15" s="136"/>
      <c r="JI15" s="136"/>
      <c r="JJ15" s="136"/>
      <c r="JK15" s="136"/>
      <c r="JL15" s="136"/>
      <c r="JM15" s="136"/>
      <c r="JN15" s="136"/>
      <c r="JO15" s="136"/>
      <c r="JP15" s="136"/>
      <c r="JQ15" s="136"/>
      <c r="JR15" s="136"/>
      <c r="JS15" s="136"/>
      <c r="JT15" s="136"/>
      <c r="JU15" s="136"/>
      <c r="JV15" s="136"/>
      <c r="JW15" s="136"/>
      <c r="JX15" s="136"/>
      <c r="JY15" s="136"/>
    </row>
    <row r="16" spans="1:285" x14ac:dyDescent="0.2">
      <c r="A16" s="136" t="s">
        <v>1689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6"/>
      <c r="CD16" s="136"/>
      <c r="CE16" s="136"/>
      <c r="CF16" s="136"/>
      <c r="CG16" s="136"/>
      <c r="CH16" s="136"/>
      <c r="CI16" s="136"/>
      <c r="CJ16" s="136"/>
      <c r="CK16" s="136"/>
      <c r="CL16" s="136"/>
      <c r="CM16" s="136"/>
      <c r="CN16" s="136"/>
      <c r="CO16" s="136"/>
      <c r="CP16" s="136"/>
      <c r="CQ16" s="136"/>
      <c r="CR16" s="136"/>
      <c r="CS16" s="136">
        <v>18</v>
      </c>
      <c r="CT16" s="136"/>
      <c r="CU16" s="136">
        <v>20</v>
      </c>
      <c r="CV16" s="136">
        <v>15</v>
      </c>
      <c r="CW16" s="136">
        <v>4.5</v>
      </c>
      <c r="CX16" s="136">
        <v>10.3</v>
      </c>
      <c r="CY16" s="136">
        <v>9.5</v>
      </c>
      <c r="CZ16" s="136">
        <v>8</v>
      </c>
      <c r="DA16" s="136"/>
      <c r="DB16" s="136">
        <v>5</v>
      </c>
      <c r="DC16" s="136">
        <v>10</v>
      </c>
      <c r="DD16" s="136">
        <v>7</v>
      </c>
      <c r="DE16" s="136">
        <v>8</v>
      </c>
      <c r="DF16" s="136">
        <v>6</v>
      </c>
      <c r="DG16" s="136"/>
      <c r="DH16" s="136">
        <v>12</v>
      </c>
      <c r="DI16" s="136">
        <v>6</v>
      </c>
      <c r="DJ16" s="136">
        <v>5</v>
      </c>
      <c r="DK16" s="136">
        <v>8</v>
      </c>
      <c r="DL16" s="136">
        <v>10</v>
      </c>
      <c r="DM16" s="136">
        <v>10</v>
      </c>
      <c r="DN16" s="136"/>
      <c r="DO16" s="136">
        <v>6</v>
      </c>
      <c r="DP16" s="136">
        <v>15</v>
      </c>
      <c r="DQ16" s="136">
        <v>9</v>
      </c>
      <c r="DR16" s="136">
        <v>12</v>
      </c>
      <c r="DS16" s="136">
        <v>12</v>
      </c>
      <c r="DT16" s="136">
        <v>5</v>
      </c>
      <c r="DU16" s="136">
        <v>6</v>
      </c>
      <c r="DV16" s="136"/>
      <c r="DW16" s="136">
        <v>70</v>
      </c>
      <c r="DX16" s="136">
        <v>50</v>
      </c>
      <c r="DY16" s="136">
        <v>60</v>
      </c>
      <c r="DZ16" s="136">
        <v>40</v>
      </c>
      <c r="EA16" s="136">
        <v>20</v>
      </c>
      <c r="EB16" s="136">
        <v>25</v>
      </c>
      <c r="EC16" s="136">
        <v>30</v>
      </c>
      <c r="ED16" s="136"/>
      <c r="EE16" s="136">
        <v>22</v>
      </c>
      <c r="EF16" s="136">
        <v>12</v>
      </c>
      <c r="EG16" s="136">
        <v>10</v>
      </c>
      <c r="EH16" s="136">
        <v>8</v>
      </c>
      <c r="EI16" s="136"/>
      <c r="EJ16" s="136">
        <v>15</v>
      </c>
      <c r="EK16" s="136">
        <v>17</v>
      </c>
      <c r="EL16" s="136">
        <v>30</v>
      </c>
      <c r="EM16" s="136">
        <v>10</v>
      </c>
      <c r="EN16" s="136">
        <v>14</v>
      </c>
      <c r="EO16" s="136">
        <v>12</v>
      </c>
      <c r="EP16" s="136">
        <v>22</v>
      </c>
      <c r="EQ16" s="136">
        <v>25</v>
      </c>
      <c r="ER16" s="136">
        <v>30</v>
      </c>
      <c r="ES16" s="136"/>
      <c r="ET16" s="136">
        <v>20</v>
      </c>
      <c r="EU16" s="136">
        <v>10</v>
      </c>
      <c r="EV16" s="136">
        <v>6</v>
      </c>
      <c r="EW16" s="136">
        <v>12</v>
      </c>
      <c r="EX16" s="136">
        <v>20</v>
      </c>
      <c r="EY16" s="136">
        <v>25</v>
      </c>
      <c r="EZ16" s="136">
        <v>25</v>
      </c>
      <c r="FA16" s="136"/>
      <c r="FB16" s="136">
        <v>10</v>
      </c>
      <c r="FC16" s="136">
        <v>30</v>
      </c>
      <c r="FD16" s="136">
        <v>8</v>
      </c>
      <c r="FE16" s="136">
        <v>15</v>
      </c>
      <c r="FF16" s="136">
        <v>18</v>
      </c>
      <c r="FG16" s="136">
        <v>10</v>
      </c>
      <c r="FH16" s="136">
        <v>6</v>
      </c>
      <c r="FI16" s="136">
        <v>5</v>
      </c>
      <c r="FJ16" s="136">
        <v>12</v>
      </c>
      <c r="FK16" s="136">
        <v>9</v>
      </c>
      <c r="FL16" s="136">
        <v>25</v>
      </c>
      <c r="FM16" s="136">
        <v>5</v>
      </c>
      <c r="FN16" s="136">
        <v>20</v>
      </c>
      <c r="FO16" s="136">
        <v>10</v>
      </c>
      <c r="FP16" s="136">
        <v>10</v>
      </c>
      <c r="FQ16" s="136">
        <v>22</v>
      </c>
      <c r="FR16" s="136">
        <v>8</v>
      </c>
      <c r="FS16" s="136">
        <v>20</v>
      </c>
      <c r="FT16" s="136">
        <v>10</v>
      </c>
      <c r="FU16" s="136">
        <v>25</v>
      </c>
      <c r="FV16" s="136">
        <v>35</v>
      </c>
      <c r="FW16" s="136">
        <v>25</v>
      </c>
      <c r="FX16" s="136"/>
      <c r="FY16" s="136"/>
      <c r="FZ16" s="136"/>
      <c r="GA16" s="136"/>
      <c r="GB16" s="136"/>
      <c r="GC16" s="136">
        <v>40</v>
      </c>
      <c r="GD16" s="136"/>
      <c r="GE16" s="136">
        <v>20</v>
      </c>
      <c r="GF16" s="136">
        <v>30</v>
      </c>
      <c r="GG16" s="136">
        <v>45</v>
      </c>
      <c r="GH16" s="136">
        <v>30</v>
      </c>
      <c r="GI16" s="136">
        <v>24</v>
      </c>
      <c r="GJ16" s="136">
        <v>30</v>
      </c>
      <c r="GK16" s="136">
        <v>18</v>
      </c>
      <c r="GL16" s="136">
        <v>12</v>
      </c>
      <c r="GM16" s="136">
        <v>40</v>
      </c>
      <c r="GN16" s="136">
        <v>55</v>
      </c>
      <c r="GO16" s="136">
        <v>30</v>
      </c>
      <c r="GP16" s="136">
        <v>15</v>
      </c>
      <c r="GQ16" s="136">
        <v>12</v>
      </c>
      <c r="GR16" s="136">
        <v>30</v>
      </c>
      <c r="GS16" s="136">
        <v>30</v>
      </c>
      <c r="GT16" s="136"/>
      <c r="GU16" s="136">
        <v>35</v>
      </c>
      <c r="GV16" s="136">
        <v>30</v>
      </c>
      <c r="GW16" s="136">
        <v>20</v>
      </c>
      <c r="GX16" s="136">
        <v>15</v>
      </c>
      <c r="GY16" s="136">
        <v>8</v>
      </c>
      <c r="GZ16" s="136"/>
      <c r="HA16" s="136">
        <v>75</v>
      </c>
      <c r="HB16" s="136">
        <v>15</v>
      </c>
      <c r="HC16" s="136">
        <v>10</v>
      </c>
      <c r="HD16" s="136">
        <v>8</v>
      </c>
      <c r="HE16" s="136">
        <v>10</v>
      </c>
      <c r="HF16" s="136">
        <v>15</v>
      </c>
      <c r="HG16" s="136">
        <v>12</v>
      </c>
      <c r="HH16" s="136"/>
      <c r="HI16" s="136">
        <v>20</v>
      </c>
      <c r="HJ16" s="136">
        <v>18</v>
      </c>
      <c r="HK16" s="136">
        <v>15</v>
      </c>
      <c r="HL16" s="136">
        <v>10</v>
      </c>
      <c r="HM16" s="136"/>
      <c r="HN16" s="136">
        <v>15</v>
      </c>
      <c r="HO16" s="136">
        <v>8</v>
      </c>
      <c r="HP16" s="136">
        <v>30</v>
      </c>
      <c r="HQ16" s="136">
        <v>18</v>
      </c>
      <c r="HR16" s="136">
        <v>12</v>
      </c>
      <c r="HS16" s="136">
        <v>15</v>
      </c>
      <c r="HT16" s="136"/>
      <c r="HU16" s="136">
        <v>15</v>
      </c>
      <c r="HV16" s="136">
        <v>18</v>
      </c>
      <c r="HW16" s="136">
        <v>25</v>
      </c>
      <c r="HX16" s="136">
        <v>5</v>
      </c>
      <c r="HY16" s="136">
        <v>20</v>
      </c>
      <c r="HZ16" s="136">
        <v>10</v>
      </c>
      <c r="IA16" s="136">
        <v>12</v>
      </c>
      <c r="IB16" s="136">
        <v>35</v>
      </c>
      <c r="IC16" s="136">
        <v>30</v>
      </c>
      <c r="ID16" s="136"/>
      <c r="IE16" s="136"/>
      <c r="IF16" s="136"/>
      <c r="IG16" s="136"/>
      <c r="IH16" s="136"/>
      <c r="II16" s="136"/>
      <c r="IJ16" s="136"/>
      <c r="IK16" s="136"/>
      <c r="IL16" s="136"/>
      <c r="IM16" s="136"/>
      <c r="IN16" s="136"/>
      <c r="IO16" s="136">
        <v>6</v>
      </c>
      <c r="IP16" s="136">
        <v>10</v>
      </c>
      <c r="IQ16" s="136">
        <v>20</v>
      </c>
      <c r="IR16" s="136">
        <v>25</v>
      </c>
      <c r="IS16" s="136">
        <v>25</v>
      </c>
      <c r="IT16" s="136">
        <v>12</v>
      </c>
      <c r="IU16" s="136">
        <v>8</v>
      </c>
      <c r="IV16" s="136"/>
      <c r="IW16" s="136"/>
      <c r="IX16" s="136"/>
      <c r="IY16" s="136"/>
      <c r="IZ16" s="136"/>
      <c r="JA16" s="136"/>
      <c r="JB16" s="136"/>
      <c r="JC16" s="136"/>
      <c r="JD16" s="136"/>
      <c r="JE16" s="136"/>
      <c r="JF16" s="136"/>
      <c r="JG16" s="136"/>
      <c r="JH16" s="136"/>
      <c r="JI16" s="136"/>
      <c r="JJ16" s="136"/>
      <c r="JK16" s="136"/>
      <c r="JL16" s="136"/>
      <c r="JM16" s="136"/>
      <c r="JN16" s="136"/>
      <c r="JO16" s="136"/>
      <c r="JP16" s="136"/>
      <c r="JQ16" s="136"/>
      <c r="JR16" s="136"/>
      <c r="JS16" s="136"/>
      <c r="JT16" s="136"/>
      <c r="JU16" s="136"/>
      <c r="JV16" s="136"/>
      <c r="JW16" s="136"/>
      <c r="JX16" s="136"/>
      <c r="JY16" s="136"/>
    </row>
    <row r="17" spans="1:285" x14ac:dyDescent="0.2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  <c r="BX17" s="136"/>
      <c r="BY17" s="136"/>
      <c r="BZ17" s="136"/>
      <c r="CA17" s="136"/>
      <c r="CB17" s="136"/>
      <c r="CC17" s="136"/>
      <c r="CD17" s="136"/>
      <c r="CE17" s="136"/>
      <c r="CF17" s="136"/>
      <c r="CG17" s="136"/>
      <c r="CH17" s="136"/>
      <c r="CI17" s="136"/>
      <c r="CJ17" s="136"/>
      <c r="CK17" s="136"/>
      <c r="CL17" s="136"/>
      <c r="CM17" s="136"/>
      <c r="CN17" s="136"/>
      <c r="CO17" s="136"/>
      <c r="CP17" s="136"/>
      <c r="CQ17" s="136"/>
      <c r="CR17" s="136"/>
      <c r="CS17" s="136"/>
      <c r="CT17" s="136"/>
      <c r="CU17" s="136"/>
      <c r="CV17" s="136"/>
      <c r="CW17" s="136"/>
      <c r="CX17" s="136"/>
      <c r="CY17" s="136"/>
      <c r="CZ17" s="136"/>
      <c r="DA17" s="136"/>
      <c r="DB17" s="136"/>
      <c r="DC17" s="136"/>
      <c r="DD17" s="136"/>
      <c r="DE17" s="136"/>
      <c r="DF17" s="136"/>
      <c r="DG17" s="136"/>
      <c r="DH17" s="136"/>
      <c r="DI17" s="136"/>
      <c r="DJ17" s="136"/>
      <c r="DK17" s="136"/>
      <c r="DL17" s="136"/>
      <c r="DM17" s="136"/>
      <c r="DN17" s="136"/>
      <c r="DO17" s="136"/>
      <c r="DP17" s="136"/>
      <c r="DQ17" s="136"/>
      <c r="DR17" s="136"/>
      <c r="DS17" s="136"/>
      <c r="DT17" s="136"/>
      <c r="DU17" s="136"/>
      <c r="DV17" s="136"/>
      <c r="DW17" s="136"/>
      <c r="DX17" s="136"/>
      <c r="DY17" s="136"/>
      <c r="DZ17" s="136"/>
      <c r="EA17" s="136"/>
      <c r="EB17" s="136"/>
      <c r="EC17" s="136"/>
      <c r="ED17" s="136"/>
      <c r="EE17" s="136"/>
      <c r="EF17" s="136"/>
      <c r="EG17" s="136"/>
      <c r="EH17" s="136"/>
      <c r="EI17" s="136"/>
      <c r="EJ17" s="136"/>
      <c r="EK17" s="136"/>
      <c r="EL17" s="136"/>
      <c r="EM17" s="136"/>
      <c r="EN17" s="136"/>
      <c r="EO17" s="136"/>
      <c r="EP17" s="136"/>
      <c r="EQ17" s="136"/>
      <c r="ER17" s="136"/>
      <c r="ES17" s="136"/>
      <c r="ET17" s="136"/>
      <c r="EU17" s="136"/>
      <c r="EV17" s="136"/>
      <c r="EW17" s="136"/>
      <c r="EX17" s="136"/>
      <c r="EY17" s="136"/>
      <c r="EZ17" s="136"/>
      <c r="FA17" s="136"/>
      <c r="FB17" s="136"/>
      <c r="FC17" s="136"/>
      <c r="FD17" s="136"/>
      <c r="FE17" s="136"/>
      <c r="FF17" s="136"/>
      <c r="FG17" s="136"/>
      <c r="FH17" s="136"/>
      <c r="FI17" s="136"/>
      <c r="FJ17" s="136"/>
      <c r="FK17" s="136"/>
      <c r="FL17" s="136"/>
      <c r="FM17" s="136"/>
      <c r="FN17" s="136"/>
      <c r="FO17" s="136"/>
      <c r="FP17" s="136"/>
      <c r="FQ17" s="136"/>
      <c r="FR17" s="136"/>
      <c r="FS17" s="136"/>
      <c r="FT17" s="136"/>
      <c r="FU17" s="136"/>
      <c r="FV17" s="136"/>
      <c r="FW17" s="136"/>
      <c r="FX17" s="136"/>
      <c r="FY17" s="136"/>
      <c r="FZ17" s="136"/>
      <c r="GA17" s="136"/>
      <c r="GB17" s="136"/>
      <c r="GC17" s="136"/>
      <c r="GD17" s="136"/>
      <c r="GE17" s="136"/>
      <c r="GF17" s="136"/>
      <c r="GG17" s="136"/>
      <c r="GH17" s="136"/>
      <c r="GI17" s="136"/>
      <c r="GJ17" s="136"/>
      <c r="GK17" s="136"/>
      <c r="GL17" s="136"/>
      <c r="GM17" s="136"/>
      <c r="GN17" s="136"/>
      <c r="GO17" s="136"/>
      <c r="GP17" s="136"/>
      <c r="GQ17" s="136"/>
      <c r="GR17" s="136"/>
      <c r="GS17" s="136"/>
      <c r="GT17" s="136"/>
      <c r="GU17" s="136"/>
      <c r="GV17" s="136"/>
      <c r="GW17" s="136"/>
      <c r="GX17" s="136"/>
      <c r="GY17" s="136"/>
      <c r="GZ17" s="136"/>
      <c r="HA17" s="136"/>
      <c r="HB17" s="136"/>
      <c r="HC17" s="136"/>
      <c r="HD17" s="136"/>
      <c r="HE17" s="136"/>
      <c r="HF17" s="136"/>
      <c r="HG17" s="136"/>
      <c r="HH17" s="136"/>
      <c r="HI17" s="136"/>
      <c r="HJ17" s="136"/>
      <c r="HK17" s="136"/>
      <c r="HL17" s="136"/>
      <c r="HM17" s="136"/>
      <c r="HN17" s="136"/>
      <c r="HO17" s="136"/>
      <c r="HP17" s="136"/>
      <c r="HQ17" s="136"/>
      <c r="HR17" s="136"/>
      <c r="HS17" s="136"/>
      <c r="HT17" s="136"/>
      <c r="HU17" s="136"/>
      <c r="HV17" s="136"/>
      <c r="HW17" s="136"/>
      <c r="HX17" s="136"/>
      <c r="HY17" s="136"/>
      <c r="HZ17" s="136"/>
      <c r="IA17" s="136"/>
      <c r="IB17" s="136"/>
      <c r="IC17" s="136"/>
      <c r="ID17" s="136"/>
      <c r="IE17" s="136"/>
      <c r="IF17" s="136"/>
      <c r="IG17" s="136"/>
      <c r="IH17" s="136"/>
      <c r="II17" s="136"/>
      <c r="IJ17" s="136"/>
      <c r="IK17" s="136"/>
      <c r="IL17" s="136"/>
      <c r="IM17" s="136"/>
      <c r="IN17" s="136"/>
      <c r="IO17" s="136"/>
      <c r="IP17" s="136"/>
      <c r="IQ17" s="136"/>
      <c r="IR17" s="136"/>
      <c r="IS17" s="136"/>
      <c r="IT17" s="136"/>
      <c r="IU17" s="136"/>
      <c r="IV17" s="136"/>
      <c r="IW17" s="136"/>
      <c r="IX17" s="136"/>
      <c r="IY17" s="136"/>
      <c r="IZ17" s="136"/>
      <c r="JA17" s="136"/>
      <c r="JB17" s="136"/>
      <c r="JC17" s="136"/>
      <c r="JD17" s="136"/>
      <c r="JE17" s="136"/>
      <c r="JF17" s="136"/>
      <c r="JG17" s="136"/>
      <c r="JH17" s="136"/>
      <c r="JI17" s="136"/>
      <c r="JJ17" s="136"/>
      <c r="JK17" s="136"/>
      <c r="JL17" s="136"/>
      <c r="JM17" s="136"/>
      <c r="JN17" s="136"/>
      <c r="JO17" s="136"/>
      <c r="JP17" s="136"/>
      <c r="JQ17" s="136"/>
      <c r="JR17" s="136"/>
      <c r="JS17" s="136"/>
      <c r="JT17" s="136"/>
      <c r="JU17" s="136"/>
      <c r="JV17" s="136"/>
      <c r="JW17" s="136"/>
      <c r="JX17" s="136"/>
      <c r="JY17" s="136"/>
    </row>
    <row r="18" spans="1:285" s="146" customFormat="1" x14ac:dyDescent="0.2">
      <c r="A18" s="138" t="s">
        <v>1690</v>
      </c>
      <c r="B18" s="140">
        <v>-31</v>
      </c>
      <c r="C18" s="140">
        <v>-31</v>
      </c>
      <c r="D18" s="140">
        <v>-31</v>
      </c>
      <c r="E18" s="140">
        <v>-31</v>
      </c>
      <c r="F18" s="140">
        <v>-31</v>
      </c>
      <c r="G18" s="140">
        <v>-31</v>
      </c>
      <c r="H18" s="140">
        <v>-31</v>
      </c>
      <c r="I18" s="140">
        <v>-31</v>
      </c>
      <c r="J18" s="140"/>
      <c r="K18" s="140">
        <v>-31</v>
      </c>
      <c r="L18" s="140">
        <v>-31</v>
      </c>
      <c r="M18" s="140">
        <v>-31</v>
      </c>
      <c r="N18" s="140">
        <v>-31</v>
      </c>
      <c r="O18" s="140">
        <v>-31</v>
      </c>
      <c r="P18" s="140">
        <v>-31</v>
      </c>
      <c r="Q18" s="140">
        <v>-31</v>
      </c>
      <c r="R18" s="140"/>
      <c r="S18" s="140">
        <v>-31</v>
      </c>
      <c r="T18" s="140">
        <v>-31</v>
      </c>
      <c r="U18" s="140">
        <v>-31</v>
      </c>
      <c r="V18" s="140">
        <v>-31</v>
      </c>
      <c r="W18" s="140">
        <v>-31</v>
      </c>
      <c r="X18" s="140">
        <v>-31</v>
      </c>
      <c r="Y18" s="140"/>
      <c r="Z18" s="140">
        <v>-32</v>
      </c>
      <c r="AA18" s="140">
        <v>-32</v>
      </c>
      <c r="AB18" s="140">
        <v>-32</v>
      </c>
      <c r="AC18" s="140">
        <v>-32</v>
      </c>
      <c r="AD18" s="140">
        <v>-32</v>
      </c>
      <c r="AE18" s="140">
        <v>-32</v>
      </c>
      <c r="AF18" s="140">
        <v>-32</v>
      </c>
      <c r="AG18" s="140">
        <v>-32</v>
      </c>
      <c r="AH18" s="140">
        <v>-32</v>
      </c>
      <c r="AI18" s="140">
        <v>-32</v>
      </c>
      <c r="AJ18" s="140">
        <v>-32</v>
      </c>
      <c r="AK18" s="140">
        <v>-32</v>
      </c>
      <c r="AL18" s="140">
        <v>-32</v>
      </c>
      <c r="AM18" s="140"/>
      <c r="AN18" s="140">
        <v>-32</v>
      </c>
      <c r="AO18" s="140">
        <v>-32</v>
      </c>
      <c r="AP18" s="140">
        <v>-32</v>
      </c>
      <c r="AQ18" s="140">
        <v>-32</v>
      </c>
      <c r="AR18" s="140">
        <v>-32</v>
      </c>
      <c r="AS18" s="140">
        <v>-32</v>
      </c>
      <c r="AT18" s="140"/>
      <c r="AU18" s="140">
        <v>-32</v>
      </c>
      <c r="AV18" s="140">
        <v>-32</v>
      </c>
      <c r="AW18" s="140">
        <v>-32</v>
      </c>
      <c r="AX18" s="140">
        <v>-32</v>
      </c>
      <c r="AY18" s="140">
        <v>-32</v>
      </c>
      <c r="AZ18" s="140"/>
      <c r="BA18" s="140">
        <v>-32</v>
      </c>
      <c r="BB18" s="140">
        <v>-32</v>
      </c>
      <c r="BC18" s="140">
        <v>-32</v>
      </c>
      <c r="BD18" s="140">
        <v>-32</v>
      </c>
      <c r="BE18" s="140">
        <v>-32</v>
      </c>
      <c r="BF18" s="140">
        <v>-32</v>
      </c>
      <c r="BG18" s="140">
        <v>-32</v>
      </c>
      <c r="BH18" s="140">
        <v>-32</v>
      </c>
      <c r="BI18" s="140">
        <v>-32</v>
      </c>
      <c r="BJ18" s="140"/>
      <c r="BK18" s="140">
        <v>-32</v>
      </c>
      <c r="BL18" s="140">
        <v>-32</v>
      </c>
      <c r="BM18" s="140">
        <v>-32</v>
      </c>
      <c r="BN18" s="140">
        <v>-32</v>
      </c>
      <c r="BO18" s="140">
        <v>-32</v>
      </c>
      <c r="BP18" s="140">
        <v>-32</v>
      </c>
      <c r="BQ18" s="140">
        <v>-32</v>
      </c>
      <c r="BR18" s="140"/>
      <c r="BS18" s="140">
        <v>-32</v>
      </c>
      <c r="BT18" s="140">
        <v>-32</v>
      </c>
      <c r="BU18" s="140">
        <v>-32</v>
      </c>
      <c r="BV18" s="140">
        <v>-32</v>
      </c>
      <c r="BW18" s="140">
        <v>-32</v>
      </c>
      <c r="BX18" s="140">
        <v>-32</v>
      </c>
      <c r="BY18" s="140">
        <v>-32</v>
      </c>
      <c r="BZ18" s="140">
        <v>-32</v>
      </c>
      <c r="CA18" s="140"/>
      <c r="CB18" s="140"/>
      <c r="CC18" s="140"/>
      <c r="CD18" s="140"/>
      <c r="CE18" s="140"/>
      <c r="CF18" s="140"/>
      <c r="CG18" s="140"/>
      <c r="CH18" s="140"/>
      <c r="CI18" s="140"/>
      <c r="CJ18" s="140"/>
      <c r="CK18" s="140"/>
      <c r="CL18" s="140"/>
      <c r="CM18" s="140"/>
      <c r="CN18" s="140"/>
      <c r="CO18" s="140"/>
      <c r="CP18" s="140"/>
      <c r="CQ18" s="140"/>
      <c r="CR18" s="140"/>
      <c r="CS18" s="140">
        <v>-35</v>
      </c>
      <c r="CT18" s="140"/>
      <c r="CU18" s="140">
        <v>-35</v>
      </c>
      <c r="CV18" s="140">
        <v>-37</v>
      </c>
      <c r="CW18" s="140">
        <v>-35</v>
      </c>
      <c r="CX18" s="140">
        <v>-35</v>
      </c>
      <c r="CY18" s="140">
        <v>-35</v>
      </c>
      <c r="CZ18" s="140">
        <v>-35</v>
      </c>
      <c r="DA18" s="140"/>
      <c r="DB18" s="140">
        <v>-35</v>
      </c>
      <c r="DC18" s="140">
        <v>-35</v>
      </c>
      <c r="DD18" s="140">
        <v>-35</v>
      </c>
      <c r="DE18" s="140">
        <v>-35</v>
      </c>
      <c r="DF18" s="140">
        <v>-35</v>
      </c>
      <c r="DG18" s="140"/>
      <c r="DH18" s="140">
        <v>-35</v>
      </c>
      <c r="DI18" s="140">
        <v>-35</v>
      </c>
      <c r="DJ18" s="140">
        <v>-35</v>
      </c>
      <c r="DK18" s="140">
        <v>-35</v>
      </c>
      <c r="DL18" s="140">
        <v>-35</v>
      </c>
      <c r="DM18" s="140">
        <v>-35</v>
      </c>
      <c r="DN18" s="140"/>
      <c r="DO18" s="140">
        <v>-35</v>
      </c>
      <c r="DP18" s="140">
        <v>-35</v>
      </c>
      <c r="DQ18" s="140">
        <v>-35</v>
      </c>
      <c r="DR18" s="140">
        <v>-35</v>
      </c>
      <c r="DS18" s="140">
        <v>-35</v>
      </c>
      <c r="DT18" s="140">
        <v>-35</v>
      </c>
      <c r="DU18" s="140">
        <v>-35</v>
      </c>
      <c r="DV18" s="140"/>
      <c r="DW18" s="140">
        <v>-32</v>
      </c>
      <c r="DX18" s="140">
        <v>-32</v>
      </c>
      <c r="DY18" s="140">
        <v>-32</v>
      </c>
      <c r="DZ18" s="140">
        <v>-32</v>
      </c>
      <c r="EA18" s="140">
        <v>-32</v>
      </c>
      <c r="EB18" s="140">
        <v>-32</v>
      </c>
      <c r="EC18" s="140">
        <v>-32</v>
      </c>
      <c r="ED18" s="140"/>
      <c r="EE18" s="140">
        <v>-32</v>
      </c>
      <c r="EF18" s="140">
        <v>-32</v>
      </c>
      <c r="EG18" s="140">
        <v>-32</v>
      </c>
      <c r="EH18" s="140">
        <v>-32</v>
      </c>
      <c r="EI18" s="140"/>
      <c r="EJ18" s="140">
        <v>-32</v>
      </c>
      <c r="EK18" s="140">
        <v>-32</v>
      </c>
      <c r="EL18" s="140">
        <v>-32</v>
      </c>
      <c r="EM18" s="140">
        <v>-32</v>
      </c>
      <c r="EN18" s="140">
        <v>-32</v>
      </c>
      <c r="EO18" s="140">
        <v>-32</v>
      </c>
      <c r="EP18" s="140">
        <v>-32</v>
      </c>
      <c r="EQ18" s="140">
        <v>-32</v>
      </c>
      <c r="ER18" s="140">
        <v>-32</v>
      </c>
      <c r="ES18" s="140"/>
      <c r="ET18" s="140">
        <v>-32</v>
      </c>
      <c r="EU18" s="140">
        <v>-32</v>
      </c>
      <c r="EV18" s="140">
        <v>-32</v>
      </c>
      <c r="EW18" s="140">
        <v>-32</v>
      </c>
      <c r="EX18" s="140">
        <v>-32</v>
      </c>
      <c r="EY18" s="140">
        <v>-32</v>
      </c>
      <c r="EZ18" s="140">
        <v>-32</v>
      </c>
      <c r="FA18" s="140"/>
      <c r="FB18" s="140">
        <v>-30</v>
      </c>
      <c r="FC18" s="140">
        <v>-30</v>
      </c>
      <c r="FD18" s="140" t="s">
        <v>1688</v>
      </c>
      <c r="FE18" s="140">
        <v>-30</v>
      </c>
      <c r="FF18" s="140">
        <v>-30</v>
      </c>
      <c r="FG18" s="140" t="s">
        <v>1688</v>
      </c>
      <c r="FH18" s="140" t="s">
        <v>1688</v>
      </c>
      <c r="FI18" s="140" t="s">
        <v>1688</v>
      </c>
      <c r="FJ18" s="140">
        <v>-30</v>
      </c>
      <c r="FK18" s="140">
        <v>-30</v>
      </c>
      <c r="FL18" s="140">
        <v>-30</v>
      </c>
      <c r="FM18" s="140" t="s">
        <v>1688</v>
      </c>
      <c r="FN18" s="140" t="s">
        <v>1688</v>
      </c>
      <c r="FO18" s="140">
        <v>-30</v>
      </c>
      <c r="FP18" s="140" t="s">
        <v>1688</v>
      </c>
      <c r="FQ18" s="140">
        <v>-30</v>
      </c>
      <c r="FR18" s="140">
        <v>-30</v>
      </c>
      <c r="FS18" s="140">
        <v>-30</v>
      </c>
      <c r="FT18" s="140">
        <v>-30</v>
      </c>
      <c r="FU18" s="140">
        <v>-30</v>
      </c>
      <c r="FV18" s="140">
        <v>-30</v>
      </c>
      <c r="FW18" s="140">
        <v>-30</v>
      </c>
      <c r="FX18" s="140"/>
      <c r="FY18" s="140"/>
      <c r="FZ18" s="140"/>
      <c r="GA18" s="140"/>
      <c r="GB18" s="140"/>
      <c r="GC18" s="140">
        <v>-30</v>
      </c>
      <c r="GD18" s="140"/>
      <c r="GE18" s="140">
        <v>-30</v>
      </c>
      <c r="GF18" s="140">
        <v>-30</v>
      </c>
      <c r="GG18" s="140">
        <v>-30</v>
      </c>
      <c r="GH18" s="140">
        <v>-30</v>
      </c>
      <c r="GI18" s="140">
        <v>-30</v>
      </c>
      <c r="GJ18" s="140">
        <v>-30</v>
      </c>
      <c r="GK18" s="140">
        <v>-30</v>
      </c>
      <c r="GL18" s="140"/>
      <c r="GM18" s="140"/>
      <c r="GN18" s="140">
        <v>-30</v>
      </c>
      <c r="GO18" s="140"/>
      <c r="GP18" s="140"/>
      <c r="GQ18" s="140"/>
      <c r="GR18" s="140">
        <v>-30</v>
      </c>
      <c r="GS18" s="140">
        <v>-30</v>
      </c>
      <c r="GT18" s="140"/>
      <c r="GU18" s="140">
        <v>-30</v>
      </c>
      <c r="GV18" s="140">
        <v>-30</v>
      </c>
      <c r="GW18" s="140">
        <v>-30</v>
      </c>
      <c r="GX18" s="140">
        <v>-30</v>
      </c>
      <c r="GY18" s="140">
        <v>-30</v>
      </c>
      <c r="GZ18" s="140"/>
      <c r="HA18" s="140">
        <v>-30</v>
      </c>
      <c r="HB18" s="140">
        <v>-30</v>
      </c>
      <c r="HC18" s="140">
        <v>-30</v>
      </c>
      <c r="HD18" s="140">
        <v>-30</v>
      </c>
      <c r="HE18" s="140">
        <v>-30</v>
      </c>
      <c r="HF18" s="140">
        <v>-30</v>
      </c>
      <c r="HG18" s="140">
        <v>-30</v>
      </c>
      <c r="HH18" s="140"/>
      <c r="HI18" s="140">
        <v>-30</v>
      </c>
      <c r="HJ18" s="140">
        <v>-30</v>
      </c>
      <c r="HK18" s="140">
        <v>-30</v>
      </c>
      <c r="HL18" s="140">
        <v>-30</v>
      </c>
      <c r="HM18" s="140"/>
      <c r="HN18" s="140">
        <v>-31</v>
      </c>
      <c r="HO18" s="140">
        <v>-31</v>
      </c>
      <c r="HP18" s="140">
        <v>-31</v>
      </c>
      <c r="HQ18" s="140">
        <v>-31</v>
      </c>
      <c r="HR18" s="140">
        <v>-31</v>
      </c>
      <c r="HS18" s="140">
        <v>-31</v>
      </c>
      <c r="HT18" s="140"/>
      <c r="HU18" s="140">
        <v>-31</v>
      </c>
      <c r="HV18" s="140">
        <v>-31</v>
      </c>
      <c r="HW18" s="140">
        <v>-31</v>
      </c>
      <c r="HX18" s="140">
        <v>-31</v>
      </c>
      <c r="HY18" s="140">
        <v>-31</v>
      </c>
      <c r="HZ18" s="140">
        <v>-31</v>
      </c>
      <c r="IA18" s="140">
        <v>-31</v>
      </c>
      <c r="IB18" s="140">
        <v>-31</v>
      </c>
      <c r="IC18" s="140">
        <v>-31</v>
      </c>
      <c r="ID18" s="140"/>
      <c r="IE18" s="140"/>
      <c r="IF18" s="140"/>
      <c r="IG18" s="140"/>
      <c r="IH18" s="140"/>
      <c r="II18" s="140"/>
      <c r="IJ18" s="140"/>
      <c r="IK18" s="140"/>
      <c r="IL18" s="140"/>
      <c r="IM18" s="140"/>
      <c r="IN18" s="140"/>
      <c r="IO18" s="140">
        <v>-32</v>
      </c>
      <c r="IP18" s="140">
        <v>-32</v>
      </c>
      <c r="IQ18" s="140">
        <v>-32</v>
      </c>
      <c r="IR18" s="140">
        <v>-32</v>
      </c>
      <c r="IS18" s="140">
        <v>-32</v>
      </c>
      <c r="IT18" s="140">
        <v>-32</v>
      </c>
      <c r="IU18" s="140">
        <v>-32</v>
      </c>
      <c r="IV18" s="140"/>
      <c r="IW18" s="137"/>
      <c r="IX18" s="137"/>
      <c r="IY18" s="137"/>
      <c r="IZ18" s="137"/>
      <c r="JA18" s="137"/>
      <c r="JB18" s="137"/>
      <c r="JC18" s="137"/>
      <c r="JD18" s="137"/>
      <c r="JE18" s="137"/>
      <c r="JF18" s="137"/>
      <c r="JG18" s="137"/>
      <c r="JH18" s="137"/>
      <c r="JI18" s="137"/>
      <c r="JJ18" s="137"/>
      <c r="JK18" s="137"/>
      <c r="JL18" s="137"/>
      <c r="JM18" s="137"/>
      <c r="JN18" s="137"/>
      <c r="JO18" s="137"/>
      <c r="JP18" s="137"/>
      <c r="JQ18" s="137"/>
      <c r="JR18" s="137"/>
      <c r="JS18" s="137"/>
      <c r="JT18" s="137"/>
      <c r="JU18" s="137"/>
      <c r="JV18" s="137"/>
      <c r="JW18" s="137"/>
      <c r="JX18" s="137"/>
      <c r="JY18" s="137"/>
    </row>
    <row r="19" spans="1:285" s="146" customFormat="1" x14ac:dyDescent="0.2">
      <c r="A19" s="138" t="s">
        <v>1691</v>
      </c>
      <c r="B19" s="140">
        <v>-21</v>
      </c>
      <c r="C19" s="140">
        <v>-21</v>
      </c>
      <c r="D19" s="140">
        <v>-21</v>
      </c>
      <c r="E19" s="140">
        <v>-21</v>
      </c>
      <c r="F19" s="140">
        <v>-21</v>
      </c>
      <c r="G19" s="140">
        <v>-21</v>
      </c>
      <c r="H19" s="140">
        <v>-21</v>
      </c>
      <c r="I19" s="140">
        <v>-21</v>
      </c>
      <c r="J19" s="140"/>
      <c r="K19" s="140">
        <v>-21</v>
      </c>
      <c r="L19" s="140">
        <v>-21</v>
      </c>
      <c r="M19" s="140">
        <v>-21</v>
      </c>
      <c r="N19" s="140">
        <v>-21</v>
      </c>
      <c r="O19" s="140">
        <v>-21</v>
      </c>
      <c r="P19" s="140">
        <v>-21</v>
      </c>
      <c r="Q19" s="140">
        <v>-21</v>
      </c>
      <c r="R19" s="140"/>
      <c r="S19" s="140">
        <v>-21</v>
      </c>
      <c r="T19" s="140">
        <v>-21</v>
      </c>
      <c r="U19" s="140">
        <v>-21</v>
      </c>
      <c r="V19" s="140">
        <v>-21</v>
      </c>
      <c r="W19" s="140">
        <v>-21</v>
      </c>
      <c r="X19" s="140">
        <v>-21</v>
      </c>
      <c r="Y19" s="140"/>
      <c r="Z19" s="140">
        <v>-21</v>
      </c>
      <c r="AA19" s="140">
        <v>-21</v>
      </c>
      <c r="AB19" s="140">
        <v>-21</v>
      </c>
      <c r="AC19" s="140">
        <v>-21</v>
      </c>
      <c r="AD19" s="140">
        <v>-21</v>
      </c>
      <c r="AE19" s="140">
        <v>-21</v>
      </c>
      <c r="AF19" s="140">
        <v>-21</v>
      </c>
      <c r="AG19" s="140">
        <v>-21</v>
      </c>
      <c r="AH19" s="140">
        <v>-21</v>
      </c>
      <c r="AI19" s="140">
        <v>-21</v>
      </c>
      <c r="AJ19" s="140">
        <v>-21</v>
      </c>
      <c r="AK19" s="140">
        <v>-21</v>
      </c>
      <c r="AL19" s="140">
        <v>-21</v>
      </c>
      <c r="AM19" s="140"/>
      <c r="AN19" s="140">
        <v>-21</v>
      </c>
      <c r="AO19" s="140">
        <v>-21</v>
      </c>
      <c r="AP19" s="140">
        <v>-21</v>
      </c>
      <c r="AQ19" s="140">
        <v>-21</v>
      </c>
      <c r="AR19" s="140">
        <v>-21</v>
      </c>
      <c r="AS19" s="140">
        <v>-21</v>
      </c>
      <c r="AT19" s="140"/>
      <c r="AU19" s="140">
        <v>-21</v>
      </c>
      <c r="AV19" s="140">
        <v>-21</v>
      </c>
      <c r="AW19" s="140">
        <v>-21</v>
      </c>
      <c r="AX19" s="140">
        <v>-21</v>
      </c>
      <c r="AY19" s="140">
        <v>-21</v>
      </c>
      <c r="AZ19" s="140"/>
      <c r="BA19" s="140">
        <v>-21</v>
      </c>
      <c r="BB19" s="140">
        <v>-21</v>
      </c>
      <c r="BC19" s="140">
        <v>-21</v>
      </c>
      <c r="BD19" s="140">
        <v>-21</v>
      </c>
      <c r="BE19" s="140">
        <v>-21</v>
      </c>
      <c r="BF19" s="140">
        <v>-21</v>
      </c>
      <c r="BG19" s="140">
        <v>-21</v>
      </c>
      <c r="BH19" s="140">
        <v>-21</v>
      </c>
      <c r="BI19" s="140">
        <v>-21</v>
      </c>
      <c r="BJ19" s="140"/>
      <c r="BK19" s="140">
        <v>-21</v>
      </c>
      <c r="BL19" s="140">
        <v>-21</v>
      </c>
      <c r="BM19" s="140">
        <v>-21</v>
      </c>
      <c r="BN19" s="140">
        <v>-21</v>
      </c>
      <c r="BO19" s="140">
        <v>-21</v>
      </c>
      <c r="BP19" s="140">
        <v>-21</v>
      </c>
      <c r="BQ19" s="140">
        <v>-21</v>
      </c>
      <c r="BR19" s="140"/>
      <c r="BS19" s="140">
        <v>-21</v>
      </c>
      <c r="BT19" s="140">
        <v>-21</v>
      </c>
      <c r="BU19" s="140">
        <v>-21</v>
      </c>
      <c r="BV19" s="140">
        <v>-21</v>
      </c>
      <c r="BW19" s="140">
        <v>-21</v>
      </c>
      <c r="BX19" s="140">
        <v>-21</v>
      </c>
      <c r="BY19" s="140">
        <v>-21</v>
      </c>
      <c r="BZ19" s="140">
        <v>-21</v>
      </c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>
        <v>-21</v>
      </c>
      <c r="CT19" s="140"/>
      <c r="CU19" s="140">
        <v>-21</v>
      </c>
      <c r="CV19" s="140">
        <v>-21</v>
      </c>
      <c r="CW19" s="140">
        <v>-21</v>
      </c>
      <c r="CX19" s="140">
        <v>-21</v>
      </c>
      <c r="CY19" s="140">
        <v>-21</v>
      </c>
      <c r="CZ19" s="140">
        <v>-21</v>
      </c>
      <c r="DA19" s="140"/>
      <c r="DB19" s="140">
        <v>-21</v>
      </c>
      <c r="DC19" s="140">
        <v>-21</v>
      </c>
      <c r="DD19" s="140">
        <v>-21</v>
      </c>
      <c r="DE19" s="140">
        <v>-21</v>
      </c>
      <c r="DF19" s="140">
        <v>-21</v>
      </c>
      <c r="DG19" s="140"/>
      <c r="DH19" s="140">
        <v>-21</v>
      </c>
      <c r="DI19" s="140">
        <v>-21</v>
      </c>
      <c r="DJ19" s="140">
        <v>-21</v>
      </c>
      <c r="DK19" s="140">
        <v>-21</v>
      </c>
      <c r="DL19" s="140">
        <v>-21</v>
      </c>
      <c r="DM19" s="140">
        <v>-21</v>
      </c>
      <c r="DN19" s="140"/>
      <c r="DO19" s="140">
        <v>-21</v>
      </c>
      <c r="DP19" s="140">
        <v>-21</v>
      </c>
      <c r="DQ19" s="140">
        <v>-21</v>
      </c>
      <c r="DR19" s="140">
        <v>-21</v>
      </c>
      <c r="DS19" s="140">
        <v>-21</v>
      </c>
      <c r="DT19" s="140">
        <v>-21</v>
      </c>
      <c r="DU19" s="140">
        <v>-21</v>
      </c>
      <c r="DV19" s="140"/>
      <c r="DW19" s="140">
        <v>-21</v>
      </c>
      <c r="DX19" s="140">
        <v>-21</v>
      </c>
      <c r="DY19" s="140">
        <v>-21</v>
      </c>
      <c r="DZ19" s="140">
        <v>-21</v>
      </c>
      <c r="EA19" s="140">
        <v>-21</v>
      </c>
      <c r="EB19" s="140">
        <v>-21</v>
      </c>
      <c r="EC19" s="140">
        <v>-21</v>
      </c>
      <c r="ED19" s="140"/>
      <c r="EE19" s="140">
        <v>-21</v>
      </c>
      <c r="EF19" s="140">
        <v>-21</v>
      </c>
      <c r="EG19" s="140">
        <v>-21</v>
      </c>
      <c r="EH19" s="140">
        <v>-21</v>
      </c>
      <c r="EI19" s="140"/>
      <c r="EJ19" s="140">
        <v>-21</v>
      </c>
      <c r="EK19" s="140">
        <v>-21</v>
      </c>
      <c r="EL19" s="140">
        <v>-21</v>
      </c>
      <c r="EM19" s="140">
        <v>-21</v>
      </c>
      <c r="EN19" s="140">
        <v>-21</v>
      </c>
      <c r="EO19" s="140">
        <v>-21</v>
      </c>
      <c r="EP19" s="140">
        <v>-21</v>
      </c>
      <c r="EQ19" s="140">
        <v>-21</v>
      </c>
      <c r="ER19" s="140">
        <v>-21</v>
      </c>
      <c r="ES19" s="140"/>
      <c r="ET19" s="140">
        <v>-21</v>
      </c>
      <c r="EU19" s="140">
        <v>-21</v>
      </c>
      <c r="EV19" s="140">
        <v>-21</v>
      </c>
      <c r="EW19" s="140">
        <v>-21</v>
      </c>
      <c r="EX19" s="140">
        <v>-21</v>
      </c>
      <c r="EY19" s="140">
        <v>-21</v>
      </c>
      <c r="EZ19" s="140">
        <v>-21</v>
      </c>
      <c r="FA19" s="140"/>
      <c r="FB19" s="140">
        <v>-21</v>
      </c>
      <c r="FC19" s="140">
        <v>-21</v>
      </c>
      <c r="FD19" s="140"/>
      <c r="FE19" s="140">
        <v>-21</v>
      </c>
      <c r="FF19" s="140">
        <v>-21</v>
      </c>
      <c r="FG19" s="140"/>
      <c r="FH19" s="140"/>
      <c r="FI19" s="140"/>
      <c r="FJ19" s="140">
        <v>-21</v>
      </c>
      <c r="FK19" s="140">
        <v>-21</v>
      </c>
      <c r="FL19" s="140">
        <v>-21</v>
      </c>
      <c r="FM19" s="140"/>
      <c r="FN19" s="140"/>
      <c r="FO19" s="140">
        <v>-21</v>
      </c>
      <c r="FP19" s="140"/>
      <c r="FQ19" s="140">
        <v>-21</v>
      </c>
      <c r="FR19" s="140">
        <v>-21</v>
      </c>
      <c r="FS19" s="140">
        <v>-21</v>
      </c>
      <c r="FT19" s="140">
        <v>-21</v>
      </c>
      <c r="FU19" s="140">
        <v>-21</v>
      </c>
      <c r="FV19" s="140">
        <v>-21</v>
      </c>
      <c r="FW19" s="140">
        <v>-21</v>
      </c>
      <c r="FX19" s="140"/>
      <c r="FY19" s="140"/>
      <c r="FZ19" s="140"/>
      <c r="GA19" s="140"/>
      <c r="GB19" s="140"/>
      <c r="GC19" s="140">
        <v>-21</v>
      </c>
      <c r="GD19" s="140"/>
      <c r="GE19" s="140">
        <v>-21</v>
      </c>
      <c r="GF19" s="140">
        <v>-21</v>
      </c>
      <c r="GG19" s="140">
        <v>-21</v>
      </c>
      <c r="GH19" s="140">
        <v>-21</v>
      </c>
      <c r="GI19" s="140">
        <v>-21</v>
      </c>
      <c r="GJ19" s="140">
        <v>-21</v>
      </c>
      <c r="GK19" s="140">
        <v>-21</v>
      </c>
      <c r="GL19" s="140"/>
      <c r="GM19" s="140"/>
      <c r="GN19" s="140">
        <v>-21</v>
      </c>
      <c r="GO19" s="140"/>
      <c r="GP19" s="140"/>
      <c r="GQ19" s="140"/>
      <c r="GR19" s="140">
        <v>-21</v>
      </c>
      <c r="GS19" s="140">
        <v>-21</v>
      </c>
      <c r="GT19" s="140"/>
      <c r="GU19" s="140">
        <v>-21</v>
      </c>
      <c r="GV19" s="140">
        <v>-21</v>
      </c>
      <c r="GW19" s="140">
        <v>-21</v>
      </c>
      <c r="GX19" s="140">
        <v>-21</v>
      </c>
      <c r="GY19" s="140">
        <v>-21</v>
      </c>
      <c r="GZ19" s="140"/>
      <c r="HA19" s="140">
        <v>-21</v>
      </c>
      <c r="HB19" s="140">
        <v>-21</v>
      </c>
      <c r="HC19" s="140">
        <v>-21</v>
      </c>
      <c r="HD19" s="140">
        <v>-21</v>
      </c>
      <c r="HE19" s="140">
        <v>-21</v>
      </c>
      <c r="HF19" s="140">
        <v>-21</v>
      </c>
      <c r="HG19" s="140">
        <v>-21</v>
      </c>
      <c r="HH19" s="140"/>
      <c r="HI19" s="140">
        <v>-21</v>
      </c>
      <c r="HJ19" s="140">
        <v>-21</v>
      </c>
      <c r="HK19" s="140">
        <v>-21</v>
      </c>
      <c r="HL19" s="140">
        <v>-21</v>
      </c>
      <c r="HM19" s="140"/>
      <c r="HN19" s="140">
        <v>-21</v>
      </c>
      <c r="HO19" s="140">
        <v>-21</v>
      </c>
      <c r="HP19" s="140">
        <v>-21</v>
      </c>
      <c r="HQ19" s="140">
        <v>-21</v>
      </c>
      <c r="HR19" s="140">
        <v>-21</v>
      </c>
      <c r="HS19" s="140">
        <v>-21</v>
      </c>
      <c r="HT19" s="140"/>
      <c r="HU19" s="140">
        <v>-21</v>
      </c>
      <c r="HV19" s="140">
        <v>-21</v>
      </c>
      <c r="HW19" s="140">
        <v>-21</v>
      </c>
      <c r="HX19" s="140">
        <v>-21</v>
      </c>
      <c r="HY19" s="140">
        <v>-21</v>
      </c>
      <c r="HZ19" s="140">
        <v>-21</v>
      </c>
      <c r="IA19" s="140">
        <v>-21</v>
      </c>
      <c r="IB19" s="140">
        <v>-21</v>
      </c>
      <c r="IC19" s="140">
        <v>-21</v>
      </c>
      <c r="ID19" s="140"/>
      <c r="IE19" s="140"/>
      <c r="IF19" s="140"/>
      <c r="IG19" s="140"/>
      <c r="IH19" s="140"/>
      <c r="II19" s="140"/>
      <c r="IJ19" s="140"/>
      <c r="IK19" s="140"/>
      <c r="IL19" s="140"/>
      <c r="IM19" s="140"/>
      <c r="IN19" s="140"/>
      <c r="IO19" s="140">
        <v>-21</v>
      </c>
      <c r="IP19" s="140">
        <v>-21</v>
      </c>
      <c r="IQ19" s="140">
        <v>-21</v>
      </c>
      <c r="IR19" s="140">
        <v>-21</v>
      </c>
      <c r="IS19" s="140">
        <v>-21</v>
      </c>
      <c r="IT19" s="140">
        <v>-21</v>
      </c>
      <c r="IU19" s="140">
        <v>-21</v>
      </c>
      <c r="IV19" s="140"/>
      <c r="IW19" s="137"/>
      <c r="IX19" s="137"/>
      <c r="IY19" s="137"/>
      <c r="IZ19" s="137"/>
      <c r="JA19" s="137"/>
      <c r="JB19" s="137"/>
      <c r="JC19" s="137"/>
      <c r="JD19" s="137"/>
      <c r="JE19" s="137"/>
      <c r="JF19" s="137"/>
      <c r="JG19" s="137"/>
      <c r="JH19" s="137"/>
      <c r="JI19" s="137"/>
      <c r="JJ19" s="137"/>
      <c r="JK19" s="137"/>
      <c r="JL19" s="137"/>
      <c r="JM19" s="137"/>
      <c r="JN19" s="137"/>
      <c r="JO19" s="137"/>
      <c r="JP19" s="137"/>
      <c r="JQ19" s="137"/>
      <c r="JR19" s="137"/>
      <c r="JS19" s="137"/>
      <c r="JT19" s="137"/>
      <c r="JU19" s="137"/>
      <c r="JV19" s="137"/>
      <c r="JW19" s="137"/>
      <c r="JX19" s="137"/>
      <c r="JY19" s="137"/>
    </row>
    <row r="20" spans="1:285" s="146" customFormat="1" x14ac:dyDescent="0.2">
      <c r="A20" s="138" t="s">
        <v>1692</v>
      </c>
      <c r="B20" s="136">
        <v>-2.7</v>
      </c>
      <c r="C20" s="136">
        <v>-2.5</v>
      </c>
      <c r="D20" s="136">
        <v>-3.1</v>
      </c>
      <c r="E20" s="136">
        <v>-3.2</v>
      </c>
      <c r="F20" s="136">
        <v>-3.2</v>
      </c>
      <c r="G20" s="136">
        <v>-2.7</v>
      </c>
      <c r="H20" s="136">
        <v>-2.9</v>
      </c>
      <c r="I20" s="136">
        <v>-3.2</v>
      </c>
      <c r="J20" s="136">
        <v>-2.9</v>
      </c>
      <c r="K20" s="136">
        <v>-2.9</v>
      </c>
      <c r="L20" s="136">
        <v>-2.6</v>
      </c>
      <c r="M20" s="136">
        <v>-3</v>
      </c>
      <c r="N20" s="136">
        <v>-3.1</v>
      </c>
      <c r="O20" s="136">
        <v>-3.1</v>
      </c>
      <c r="P20" s="136">
        <v>-2.9</v>
      </c>
      <c r="Q20" s="136">
        <v>-2.7</v>
      </c>
      <c r="R20" s="136">
        <v>-2.9</v>
      </c>
      <c r="S20" s="136">
        <v>-2.5</v>
      </c>
      <c r="T20" s="136">
        <v>-2.6</v>
      </c>
      <c r="U20" s="136">
        <v>-2.5</v>
      </c>
      <c r="V20" s="136">
        <v>-3</v>
      </c>
      <c r="W20" s="136">
        <v>-2.8</v>
      </c>
      <c r="X20" s="136">
        <v>-2.6</v>
      </c>
      <c r="Y20" s="136">
        <v>-2.7</v>
      </c>
      <c r="Z20" s="136">
        <v>-3</v>
      </c>
      <c r="AA20" s="136">
        <v>-2.9</v>
      </c>
      <c r="AB20" s="136">
        <v>-2.8</v>
      </c>
      <c r="AC20" s="136">
        <v>-2.7</v>
      </c>
      <c r="AD20" s="136">
        <v>-2.9</v>
      </c>
      <c r="AE20" s="136">
        <v>-2.7</v>
      </c>
      <c r="AF20" s="136">
        <v>-2.8</v>
      </c>
      <c r="AG20" s="136">
        <v>-2.6</v>
      </c>
      <c r="AH20" s="136">
        <v>-2.8</v>
      </c>
      <c r="AI20" s="136">
        <v>-2.5</v>
      </c>
      <c r="AJ20" s="136">
        <v>-2.7</v>
      </c>
      <c r="AK20" s="136">
        <v>-2.8</v>
      </c>
      <c r="AL20" s="136">
        <v>-2.7</v>
      </c>
      <c r="AM20" s="136">
        <v>-2.8</v>
      </c>
      <c r="AN20" s="136">
        <v>-0.4</v>
      </c>
      <c r="AO20" s="136">
        <v>-0.3</v>
      </c>
      <c r="AP20" s="136">
        <v>-0.3</v>
      </c>
      <c r="AQ20" s="136">
        <v>-0.3</v>
      </c>
      <c r="AR20" s="136">
        <v>-0.4</v>
      </c>
      <c r="AS20" s="136">
        <v>-0.3</v>
      </c>
      <c r="AT20" s="136">
        <v>-0.3</v>
      </c>
      <c r="AU20" s="136">
        <v>-2.7</v>
      </c>
      <c r="AV20" s="136">
        <v>-2.6</v>
      </c>
      <c r="AW20" s="136">
        <v>-2.6</v>
      </c>
      <c r="AX20" s="136">
        <v>-2.5</v>
      </c>
      <c r="AY20" s="136">
        <v>-2.6</v>
      </c>
      <c r="AZ20" s="136"/>
      <c r="BA20" s="136">
        <v>-1.6</v>
      </c>
      <c r="BB20" s="136">
        <v>-1.7</v>
      </c>
      <c r="BC20" s="136">
        <v>-1.6</v>
      </c>
      <c r="BD20" s="136">
        <v>-1.5</v>
      </c>
      <c r="BE20" s="136">
        <v>-1.4</v>
      </c>
      <c r="BF20" s="136">
        <v>-1.6</v>
      </c>
      <c r="BG20" s="136">
        <v>-1.7</v>
      </c>
      <c r="BH20" s="136">
        <v>-1.4</v>
      </c>
      <c r="BI20" s="136">
        <v>-1.3</v>
      </c>
      <c r="BJ20" s="136">
        <v>-1.6</v>
      </c>
      <c r="BK20" s="136">
        <v>-2.6</v>
      </c>
      <c r="BL20" s="136">
        <v>-2.6</v>
      </c>
      <c r="BM20" s="136">
        <v>-2.6</v>
      </c>
      <c r="BN20" s="136">
        <v>-2.6</v>
      </c>
      <c r="BO20" s="136">
        <v>-2.5</v>
      </c>
      <c r="BP20" s="136">
        <v>-2.5</v>
      </c>
      <c r="BQ20" s="136">
        <v>-2.5</v>
      </c>
      <c r="BR20" s="136">
        <v>-2.6</v>
      </c>
      <c r="BS20" s="136">
        <v>-2.5</v>
      </c>
      <c r="BT20" s="136">
        <v>-2.5</v>
      </c>
      <c r="BU20" s="136">
        <v>-2.5</v>
      </c>
      <c r="BV20" s="136">
        <v>-2.5</v>
      </c>
      <c r="BW20" s="136">
        <v>-2.4</v>
      </c>
      <c r="BX20" s="136">
        <v>-2.4</v>
      </c>
      <c r="BY20" s="136">
        <v>-2.4</v>
      </c>
      <c r="BZ20" s="136">
        <v>-2.4</v>
      </c>
      <c r="CA20" s="136">
        <v>-2.5</v>
      </c>
      <c r="CB20" s="136"/>
      <c r="CC20" s="136"/>
      <c r="CD20" s="136"/>
      <c r="CE20" s="136"/>
      <c r="CF20" s="136"/>
      <c r="CG20" s="136"/>
      <c r="CH20" s="136"/>
      <c r="CI20" s="136"/>
      <c r="CJ20" s="136"/>
      <c r="CK20" s="136"/>
      <c r="CL20" s="136"/>
      <c r="CM20" s="136"/>
      <c r="CN20" s="136"/>
      <c r="CO20" s="136"/>
      <c r="CP20" s="136"/>
      <c r="CQ20" s="136"/>
      <c r="CR20" s="136"/>
      <c r="CS20" s="136">
        <v>-3.3</v>
      </c>
      <c r="CT20" s="136"/>
      <c r="CU20" s="136">
        <v>-3.3</v>
      </c>
      <c r="CV20" s="136">
        <v>-3.6</v>
      </c>
      <c r="CW20" s="136">
        <v>-3.6</v>
      </c>
      <c r="CX20" s="136">
        <v>-3.8</v>
      </c>
      <c r="CY20" s="136">
        <v>-3.7</v>
      </c>
      <c r="CZ20" s="136">
        <v>-3.6</v>
      </c>
      <c r="DA20" s="136">
        <v>-3.6</v>
      </c>
      <c r="DB20" s="136">
        <v>-3.5</v>
      </c>
      <c r="DC20" s="136">
        <v>-3.6</v>
      </c>
      <c r="DD20" s="136">
        <v>-3.8</v>
      </c>
      <c r="DE20" s="136">
        <v>-3.5</v>
      </c>
      <c r="DF20" s="136">
        <v>-3.6</v>
      </c>
      <c r="DG20" s="136">
        <v>-3.6</v>
      </c>
      <c r="DH20" s="136">
        <v>-3.8</v>
      </c>
      <c r="DI20" s="136">
        <v>-3.7</v>
      </c>
      <c r="DJ20" s="136">
        <v>-3.5</v>
      </c>
      <c r="DK20" s="136">
        <v>-3.8</v>
      </c>
      <c r="DL20" s="136">
        <v>-3.7</v>
      </c>
      <c r="DM20" s="136">
        <v>-3.9</v>
      </c>
      <c r="DN20" s="136">
        <v>-3.7</v>
      </c>
      <c r="DO20" s="136">
        <v>-3.7</v>
      </c>
      <c r="DP20" s="136">
        <v>-3.8</v>
      </c>
      <c r="DQ20" s="136">
        <v>-3.9</v>
      </c>
      <c r="DR20" s="136">
        <v>-3.7</v>
      </c>
      <c r="DS20" s="136">
        <v>-3.6</v>
      </c>
      <c r="DT20" s="136">
        <v>-3.6</v>
      </c>
      <c r="DU20" s="136">
        <v>-3.7</v>
      </c>
      <c r="DV20" s="136">
        <v>-3.7</v>
      </c>
      <c r="DW20" s="136">
        <v>-0.8</v>
      </c>
      <c r="DX20" s="136">
        <v>-1</v>
      </c>
      <c r="DY20" s="136">
        <v>-0.5</v>
      </c>
      <c r="DZ20" s="136">
        <v>-0.7</v>
      </c>
      <c r="EA20" s="136">
        <v>-0.6</v>
      </c>
      <c r="EB20" s="136">
        <v>-0.6</v>
      </c>
      <c r="EC20" s="136">
        <v>-0.8</v>
      </c>
      <c r="ED20" s="136">
        <v>-0.7</v>
      </c>
      <c r="EE20" s="136">
        <v>-1.9</v>
      </c>
      <c r="EF20" s="136">
        <v>-2.1</v>
      </c>
      <c r="EG20" s="136">
        <v>-1.8</v>
      </c>
      <c r="EH20" s="136">
        <v>-2</v>
      </c>
      <c r="EI20" s="136">
        <v>-2</v>
      </c>
      <c r="EJ20" s="136">
        <v>-3.3</v>
      </c>
      <c r="EK20" s="136">
        <v>-3.2</v>
      </c>
      <c r="EL20" s="136">
        <v>-2.8</v>
      </c>
      <c r="EM20" s="136">
        <v>-3.2</v>
      </c>
      <c r="EN20" s="136">
        <v>-3.2</v>
      </c>
      <c r="EO20" s="136">
        <v>-3.1</v>
      </c>
      <c r="EP20" s="136">
        <v>-3.1</v>
      </c>
      <c r="EQ20" s="136">
        <v>-3.2</v>
      </c>
      <c r="ER20" s="136">
        <v>-3.1</v>
      </c>
      <c r="ES20" s="136">
        <v>-3.1</v>
      </c>
      <c r="ET20" s="136">
        <v>-3.2</v>
      </c>
      <c r="EU20" s="136">
        <v>-2.8</v>
      </c>
      <c r="EV20" s="136">
        <v>-3</v>
      </c>
      <c r="EW20" s="136">
        <v>-3.1</v>
      </c>
      <c r="EX20" s="136">
        <v>-3</v>
      </c>
      <c r="EY20" s="136">
        <v>-3.2</v>
      </c>
      <c r="EZ20" s="136">
        <v>-3.1</v>
      </c>
      <c r="FA20" s="136">
        <v>-3.1</v>
      </c>
      <c r="FB20" s="136">
        <v>-0.2</v>
      </c>
      <c r="FC20" s="136">
        <v>-0.4</v>
      </c>
      <c r="FD20" s="136"/>
      <c r="FE20" s="136">
        <v>-0.3</v>
      </c>
      <c r="FF20" s="136">
        <v>-0.4</v>
      </c>
      <c r="FG20" s="136"/>
      <c r="FH20" s="136"/>
      <c r="FI20" s="136"/>
      <c r="FJ20" s="136">
        <v>-0.4</v>
      </c>
      <c r="FK20" s="136">
        <v>-0.4</v>
      </c>
      <c r="FL20" s="136">
        <v>-0.4</v>
      </c>
      <c r="FM20" s="136"/>
      <c r="FN20" s="136"/>
      <c r="FO20" s="136">
        <v>-0.4</v>
      </c>
      <c r="FP20" s="136"/>
      <c r="FQ20" s="136">
        <v>-0.4</v>
      </c>
      <c r="FR20" s="136">
        <v>-0.4</v>
      </c>
      <c r="FS20" s="136">
        <v>-0.4</v>
      </c>
      <c r="FT20" s="136">
        <v>-0.4</v>
      </c>
      <c r="FU20" s="136">
        <v>-0.5</v>
      </c>
      <c r="FV20" s="136">
        <v>-0.2</v>
      </c>
      <c r="FW20" s="136">
        <v>-0.6</v>
      </c>
      <c r="FX20" s="136">
        <v>-0.4</v>
      </c>
      <c r="FY20" s="136"/>
      <c r="FZ20" s="136"/>
      <c r="GA20" s="136"/>
      <c r="GB20" s="136"/>
      <c r="GC20" s="136">
        <v>-0.1</v>
      </c>
      <c r="GD20" s="136"/>
      <c r="GE20" s="136">
        <v>-1</v>
      </c>
      <c r="GF20" s="136">
        <v>-0.1</v>
      </c>
      <c r="GG20" s="136">
        <v>-0.1</v>
      </c>
      <c r="GH20" s="136"/>
      <c r="GI20" s="136">
        <v>-0.1</v>
      </c>
      <c r="GJ20" s="136">
        <v>0</v>
      </c>
      <c r="GK20" s="136">
        <v>0</v>
      </c>
      <c r="GL20" s="136"/>
      <c r="GM20" s="136"/>
      <c r="GN20" s="136">
        <v>-0.4</v>
      </c>
      <c r="GO20" s="136"/>
      <c r="GP20" s="136"/>
      <c r="GQ20" s="136"/>
      <c r="GR20" s="136">
        <v>-0.1</v>
      </c>
      <c r="GS20" s="136">
        <v>-0.1</v>
      </c>
      <c r="GT20" s="136">
        <v>-0.2</v>
      </c>
      <c r="GU20" s="136">
        <v>-3.5</v>
      </c>
      <c r="GV20" s="136">
        <v>-3.4</v>
      </c>
      <c r="GW20" s="136">
        <v>-3.4</v>
      </c>
      <c r="GX20" s="136">
        <v>-3.4</v>
      </c>
      <c r="GY20" s="136">
        <v>-3.3</v>
      </c>
      <c r="GZ20" s="136">
        <v>-3.4</v>
      </c>
      <c r="HA20" s="136">
        <v>-0.5</v>
      </c>
      <c r="HB20" s="136">
        <v>-0.6</v>
      </c>
      <c r="HC20" s="136">
        <v>-0.6</v>
      </c>
      <c r="HD20" s="136">
        <v>-0.5</v>
      </c>
      <c r="HE20" s="136">
        <v>-0.5</v>
      </c>
      <c r="HF20" s="136">
        <v>-0.4</v>
      </c>
      <c r="HG20" s="136">
        <v>-0.6</v>
      </c>
      <c r="HH20" s="136">
        <v>-0.5</v>
      </c>
      <c r="HI20" s="136">
        <v>-3.7</v>
      </c>
      <c r="HJ20" s="136">
        <v>-3.8</v>
      </c>
      <c r="HK20" s="136">
        <v>-3.6</v>
      </c>
      <c r="HL20" s="136">
        <v>-3.5</v>
      </c>
      <c r="HM20" s="136">
        <v>-3.7</v>
      </c>
      <c r="HN20" s="136">
        <v>-1</v>
      </c>
      <c r="HO20" s="136">
        <v>-1</v>
      </c>
      <c r="HP20" s="136">
        <v>-0.9</v>
      </c>
      <c r="HQ20" s="136">
        <v>-1</v>
      </c>
      <c r="HR20" s="136">
        <v>-1</v>
      </c>
      <c r="HS20" s="136">
        <v>-1</v>
      </c>
      <c r="HT20" s="136">
        <v>-1</v>
      </c>
      <c r="HU20" s="136">
        <v>-2.7</v>
      </c>
      <c r="HV20" s="136">
        <v>-2.8</v>
      </c>
      <c r="HW20" s="136">
        <v>-2.6</v>
      </c>
      <c r="HX20" s="136">
        <v>-2.7</v>
      </c>
      <c r="HY20" s="136">
        <v>-2.5</v>
      </c>
      <c r="HZ20" s="136">
        <v>-2.5</v>
      </c>
      <c r="IA20" s="136">
        <v>-2.4</v>
      </c>
      <c r="IB20" s="136">
        <v>-2.7</v>
      </c>
      <c r="IC20" s="136">
        <v>-2.7</v>
      </c>
      <c r="ID20" s="136">
        <v>-2.6</v>
      </c>
      <c r="IE20" s="136"/>
      <c r="IF20" s="136"/>
      <c r="IG20" s="136"/>
      <c r="IH20" s="136"/>
      <c r="II20" s="136"/>
      <c r="IJ20" s="136"/>
      <c r="IK20" s="136"/>
      <c r="IL20" s="136"/>
      <c r="IM20" s="136"/>
      <c r="IN20" s="136"/>
      <c r="IO20" s="136">
        <v>-2.2999999999999998</v>
      </c>
      <c r="IP20" s="136">
        <v>-2.4</v>
      </c>
      <c r="IQ20" s="136">
        <v>-2.6</v>
      </c>
      <c r="IR20" s="136">
        <v>-2.5</v>
      </c>
      <c r="IS20" s="136">
        <v>-2.6</v>
      </c>
      <c r="IT20" s="136">
        <v>-2.5</v>
      </c>
      <c r="IU20" s="136">
        <v>-2.4</v>
      </c>
      <c r="IV20" s="136">
        <v>-2.5</v>
      </c>
      <c r="IW20" s="137"/>
      <c r="IX20" s="137"/>
      <c r="IY20" s="137"/>
      <c r="IZ20" s="137"/>
      <c r="JA20" s="137"/>
      <c r="JB20" s="137"/>
      <c r="JC20" s="137"/>
      <c r="JD20" s="137"/>
      <c r="JE20" s="137"/>
      <c r="JF20" s="137"/>
      <c r="JG20" s="137"/>
      <c r="JH20" s="137"/>
      <c r="JI20" s="137"/>
      <c r="JJ20" s="137"/>
      <c r="JK20" s="137"/>
      <c r="JL20" s="137"/>
      <c r="JM20" s="137"/>
      <c r="JN20" s="137"/>
      <c r="JO20" s="137"/>
      <c r="JP20" s="137"/>
      <c r="JQ20" s="137"/>
      <c r="JR20" s="137"/>
      <c r="JS20" s="137"/>
      <c r="JT20" s="137"/>
      <c r="JU20" s="137"/>
      <c r="JV20" s="137"/>
      <c r="JW20" s="137"/>
      <c r="JX20" s="137"/>
      <c r="JY20" s="137"/>
    </row>
    <row r="21" spans="1:285" s="146" customFormat="1" x14ac:dyDescent="0.2">
      <c r="A21" s="138" t="s">
        <v>2135</v>
      </c>
      <c r="B21" s="140">
        <v>267.2</v>
      </c>
      <c r="C21" s="140">
        <v>255</v>
      </c>
      <c r="D21" s="140">
        <v>268.89999999999998</v>
      </c>
      <c r="E21" s="140">
        <v>294.10000000000002</v>
      </c>
      <c r="F21" s="140">
        <v>285.3</v>
      </c>
      <c r="G21" s="140">
        <v>270.5</v>
      </c>
      <c r="H21" s="140">
        <v>265.2</v>
      </c>
      <c r="I21" s="140">
        <v>262.5</v>
      </c>
      <c r="J21" s="140"/>
      <c r="K21" s="140">
        <v>278.5</v>
      </c>
      <c r="L21" s="140">
        <v>264.5</v>
      </c>
      <c r="M21" s="140">
        <v>261.5</v>
      </c>
      <c r="N21" s="140">
        <v>259.5</v>
      </c>
      <c r="O21" s="140">
        <v>262.5</v>
      </c>
      <c r="P21" s="140">
        <v>259.7</v>
      </c>
      <c r="Q21" s="140">
        <v>267.39999999999998</v>
      </c>
      <c r="R21" s="140"/>
      <c r="S21" s="140">
        <v>264.3</v>
      </c>
      <c r="T21" s="140">
        <v>262.8</v>
      </c>
      <c r="U21" s="140">
        <v>262.8</v>
      </c>
      <c r="V21" s="140">
        <v>272.2</v>
      </c>
      <c r="W21" s="140">
        <v>261.3</v>
      </c>
      <c r="X21" s="140">
        <v>268.8</v>
      </c>
      <c r="Y21" s="140"/>
      <c r="Z21" s="140">
        <v>264.3</v>
      </c>
      <c r="AA21" s="140">
        <v>263.7</v>
      </c>
      <c r="AB21" s="140">
        <v>260.2</v>
      </c>
      <c r="AC21" s="140">
        <v>258.5</v>
      </c>
      <c r="AD21" s="140">
        <v>258.39999999999998</v>
      </c>
      <c r="AE21" s="140">
        <v>257.2</v>
      </c>
      <c r="AF21" s="140">
        <v>257.39999999999998</v>
      </c>
      <c r="AG21" s="140">
        <v>259.5</v>
      </c>
      <c r="AH21" s="140">
        <v>259.10000000000002</v>
      </c>
      <c r="AI21" s="140">
        <v>258.5</v>
      </c>
      <c r="AJ21" s="140">
        <v>258.39999999999998</v>
      </c>
      <c r="AK21" s="140">
        <v>256.89999999999998</v>
      </c>
      <c r="AL21" s="140">
        <v>257.2</v>
      </c>
      <c r="AM21" s="140"/>
      <c r="AN21" s="140">
        <v>322.8</v>
      </c>
      <c r="AO21" s="140">
        <v>320.7</v>
      </c>
      <c r="AP21" s="140">
        <v>319.2</v>
      </c>
      <c r="AQ21" s="140">
        <v>319.60000000000002</v>
      </c>
      <c r="AR21" s="140">
        <v>321.39999999999998</v>
      </c>
      <c r="AS21" s="140">
        <v>320.2</v>
      </c>
      <c r="AT21" s="140"/>
      <c r="AU21" s="140" t="s">
        <v>1693</v>
      </c>
      <c r="AV21" s="140" t="s">
        <v>1693</v>
      </c>
      <c r="AW21" s="140" t="s">
        <v>1693</v>
      </c>
      <c r="AX21" s="140" t="s">
        <v>1693</v>
      </c>
      <c r="AY21" s="140" t="s">
        <v>1693</v>
      </c>
      <c r="AZ21" s="140"/>
      <c r="BA21" s="140">
        <v>314.3</v>
      </c>
      <c r="BB21" s="140">
        <v>318.10000000000002</v>
      </c>
      <c r="BC21" s="140">
        <v>317.2</v>
      </c>
      <c r="BD21" s="140">
        <v>321.60000000000002</v>
      </c>
      <c r="BE21" s="140" t="s">
        <v>1693</v>
      </c>
      <c r="BF21" s="140" t="s">
        <v>1693</v>
      </c>
      <c r="BG21" s="140">
        <v>317.39999999999998</v>
      </c>
      <c r="BH21" s="140" t="s">
        <v>1693</v>
      </c>
      <c r="BI21" s="140" t="s">
        <v>1693</v>
      </c>
      <c r="BJ21" s="140"/>
      <c r="BK21" s="140">
        <v>299.39999999999998</v>
      </c>
      <c r="BL21" s="140">
        <v>299.3</v>
      </c>
      <c r="BM21" s="140">
        <v>307.8</v>
      </c>
      <c r="BN21" s="140">
        <v>311.39999999999998</v>
      </c>
      <c r="BO21" s="140">
        <v>298.3</v>
      </c>
      <c r="BP21" s="140">
        <v>298.89999999999998</v>
      </c>
      <c r="BQ21" s="140">
        <v>302.10000000000002</v>
      </c>
      <c r="BR21" s="140"/>
      <c r="BS21" s="140">
        <v>299.2</v>
      </c>
      <c r="BT21" s="140">
        <v>298.5</v>
      </c>
      <c r="BU21" s="140">
        <v>301.2</v>
      </c>
      <c r="BV21" s="140">
        <v>300.5</v>
      </c>
      <c r="BW21" s="140">
        <v>308.10000000000002</v>
      </c>
      <c r="BX21" s="140">
        <v>308.39999999999998</v>
      </c>
      <c r="BY21" s="140">
        <v>303.2</v>
      </c>
      <c r="BZ21" s="140">
        <v>311.10000000000002</v>
      </c>
      <c r="CA21" s="140"/>
      <c r="CB21" s="140"/>
      <c r="CC21" s="140"/>
      <c r="CD21" s="140"/>
      <c r="CE21" s="140"/>
      <c r="CF21" s="140"/>
      <c r="CG21" s="140"/>
      <c r="CH21" s="140"/>
      <c r="CI21" s="140"/>
      <c r="CJ21" s="140"/>
      <c r="CK21" s="140"/>
      <c r="CL21" s="140"/>
      <c r="CM21" s="140"/>
      <c r="CN21" s="140"/>
      <c r="CO21" s="140"/>
      <c r="CP21" s="140"/>
      <c r="CQ21" s="140"/>
      <c r="CR21" s="140"/>
      <c r="CS21" s="140">
        <v>309.5</v>
      </c>
      <c r="CT21" s="140"/>
      <c r="CU21" s="140">
        <v>313</v>
      </c>
      <c r="CV21" s="140">
        <v>309.3</v>
      </c>
      <c r="CW21" s="140">
        <v>315</v>
      </c>
      <c r="CX21" s="140">
        <v>306</v>
      </c>
      <c r="CY21" s="140">
        <v>307.5</v>
      </c>
      <c r="CZ21" s="140">
        <v>314.5</v>
      </c>
      <c r="DA21" s="140"/>
      <c r="DB21" s="140">
        <v>315</v>
      </c>
      <c r="DC21" s="140">
        <v>311</v>
      </c>
      <c r="DD21" s="140">
        <v>315</v>
      </c>
      <c r="DE21" s="140">
        <v>311.5</v>
      </c>
      <c r="DF21" s="140">
        <v>310</v>
      </c>
      <c r="DG21" s="140"/>
      <c r="DH21" s="140">
        <v>314.3</v>
      </c>
      <c r="DI21" s="140">
        <v>317</v>
      </c>
      <c r="DJ21" s="140">
        <v>316.7</v>
      </c>
      <c r="DK21" s="140">
        <v>316.5</v>
      </c>
      <c r="DL21" s="140">
        <v>318</v>
      </c>
      <c r="DM21" s="140">
        <v>318</v>
      </c>
      <c r="DN21" s="140"/>
      <c r="DO21" s="140">
        <v>320</v>
      </c>
      <c r="DP21" s="140">
        <v>317</v>
      </c>
      <c r="DQ21" s="140">
        <v>319</v>
      </c>
      <c r="DR21" s="140">
        <v>314</v>
      </c>
      <c r="DS21" s="140">
        <v>313.5</v>
      </c>
      <c r="DT21" s="140">
        <v>312.5</v>
      </c>
      <c r="DU21" s="140">
        <v>314.5</v>
      </c>
      <c r="DV21" s="140"/>
      <c r="DW21" s="140">
        <v>289</v>
      </c>
      <c r="DX21" s="140">
        <v>295</v>
      </c>
      <c r="DY21" s="140">
        <v>285</v>
      </c>
      <c r="DZ21" s="140">
        <v>308</v>
      </c>
      <c r="EA21" s="140">
        <v>306</v>
      </c>
      <c r="EB21" s="140">
        <v>304</v>
      </c>
      <c r="EC21" s="140">
        <v>295</v>
      </c>
      <c r="ED21" s="140"/>
      <c r="EE21" s="140">
        <v>311</v>
      </c>
      <c r="EF21" s="140">
        <v>312</v>
      </c>
      <c r="EG21" s="140">
        <v>312</v>
      </c>
      <c r="EH21" s="140">
        <v>306</v>
      </c>
      <c r="EI21" s="140"/>
      <c r="EJ21" s="140">
        <v>327</v>
      </c>
      <c r="EK21" s="140">
        <v>329</v>
      </c>
      <c r="EL21" s="140">
        <v>328</v>
      </c>
      <c r="EM21" s="140">
        <v>332</v>
      </c>
      <c r="EN21" s="140">
        <v>337</v>
      </c>
      <c r="EO21" s="140">
        <v>330</v>
      </c>
      <c r="EP21" s="140">
        <v>326</v>
      </c>
      <c r="EQ21" s="140">
        <v>328</v>
      </c>
      <c r="ER21" s="140">
        <v>329</v>
      </c>
      <c r="ES21" s="140"/>
      <c r="ET21" s="140">
        <v>327</v>
      </c>
      <c r="EU21" s="140">
        <v>328.5</v>
      </c>
      <c r="EV21" s="140">
        <v>330</v>
      </c>
      <c r="EW21" s="140">
        <v>327.5</v>
      </c>
      <c r="EX21" s="140">
        <v>335</v>
      </c>
      <c r="EY21" s="140">
        <v>327.5</v>
      </c>
      <c r="EZ21" s="140">
        <v>332</v>
      </c>
      <c r="FA21" s="140"/>
      <c r="FB21" s="140">
        <v>382</v>
      </c>
      <c r="FC21" s="140">
        <v>318.5</v>
      </c>
      <c r="FD21" s="140"/>
      <c r="FE21" s="140">
        <v>310</v>
      </c>
      <c r="FF21" s="140">
        <v>314</v>
      </c>
      <c r="FG21" s="140"/>
      <c r="FH21" s="140"/>
      <c r="FI21" s="140"/>
      <c r="FJ21" s="140">
        <v>317</v>
      </c>
      <c r="FK21" s="140">
        <v>324</v>
      </c>
      <c r="FL21" s="140">
        <v>335</v>
      </c>
      <c r="FM21" s="140"/>
      <c r="FN21" s="140"/>
      <c r="FO21" s="140">
        <v>340</v>
      </c>
      <c r="FP21" s="140"/>
      <c r="FQ21" s="140">
        <v>326</v>
      </c>
      <c r="FR21" s="140">
        <v>327</v>
      </c>
      <c r="FS21" s="140">
        <v>324</v>
      </c>
      <c r="FT21" s="140">
        <v>322</v>
      </c>
      <c r="FU21" s="140">
        <v>323</v>
      </c>
      <c r="FV21" s="140">
        <v>325</v>
      </c>
      <c r="FW21" s="140">
        <v>394</v>
      </c>
      <c r="FX21" s="140"/>
      <c r="FY21" s="140"/>
      <c r="FZ21" s="140"/>
      <c r="GA21" s="140"/>
      <c r="GB21" s="140"/>
      <c r="GC21" s="140">
        <v>312</v>
      </c>
      <c r="GD21" s="140"/>
      <c r="GE21" s="140"/>
      <c r="GF21" s="140">
        <v>321</v>
      </c>
      <c r="GG21" s="140">
        <v>316</v>
      </c>
      <c r="GH21" s="140"/>
      <c r="GI21" s="140">
        <v>325</v>
      </c>
      <c r="GJ21" s="140">
        <v>339</v>
      </c>
      <c r="GK21" s="140">
        <v>334</v>
      </c>
      <c r="GL21" s="140"/>
      <c r="GM21" s="140"/>
      <c r="GN21" s="140">
        <v>341</v>
      </c>
      <c r="GO21" s="140"/>
      <c r="GP21" s="140"/>
      <c r="GQ21" s="140"/>
      <c r="GR21" s="140">
        <v>325</v>
      </c>
      <c r="GS21" s="140">
        <v>328</v>
      </c>
      <c r="GT21" s="140"/>
      <c r="GU21" s="140">
        <v>340.5</v>
      </c>
      <c r="GV21" s="140">
        <v>329</v>
      </c>
      <c r="GW21" s="140">
        <v>334</v>
      </c>
      <c r="GX21" s="140">
        <v>335</v>
      </c>
      <c r="GY21" s="140">
        <v>332</v>
      </c>
      <c r="GZ21" s="140"/>
      <c r="HA21" s="140">
        <v>301</v>
      </c>
      <c r="HB21" s="140">
        <v>306</v>
      </c>
      <c r="HC21" s="140">
        <v>311</v>
      </c>
      <c r="HD21" s="140">
        <v>309</v>
      </c>
      <c r="HE21" s="140">
        <v>304</v>
      </c>
      <c r="HF21" s="140">
        <v>301</v>
      </c>
      <c r="HG21" s="140">
        <v>311</v>
      </c>
      <c r="HH21" s="140"/>
      <c r="HI21" s="140">
        <v>323.5</v>
      </c>
      <c r="HJ21" s="140">
        <v>321.39999999999998</v>
      </c>
      <c r="HK21" s="140">
        <v>324</v>
      </c>
      <c r="HL21" s="140">
        <v>321.5</v>
      </c>
      <c r="HM21" s="140"/>
      <c r="HN21" s="140">
        <v>317</v>
      </c>
      <c r="HO21" s="140">
        <v>315</v>
      </c>
      <c r="HP21" s="140">
        <v>317.5</v>
      </c>
      <c r="HQ21" s="140">
        <v>311</v>
      </c>
      <c r="HR21" s="140">
        <v>319.5</v>
      </c>
      <c r="HS21" s="140">
        <v>318</v>
      </c>
      <c r="HT21" s="140"/>
      <c r="HU21" s="140">
        <v>315</v>
      </c>
      <c r="HV21" s="140">
        <v>321</v>
      </c>
      <c r="HW21" s="140">
        <v>314</v>
      </c>
      <c r="HX21" s="140">
        <v>319</v>
      </c>
      <c r="HY21" s="140">
        <v>317</v>
      </c>
      <c r="HZ21" s="140">
        <v>315.5</v>
      </c>
      <c r="IA21" s="140">
        <v>313.5</v>
      </c>
      <c r="IB21" s="140">
        <v>312.5</v>
      </c>
      <c r="IC21" s="140">
        <v>312.2</v>
      </c>
      <c r="ID21" s="140"/>
      <c r="IE21" s="140"/>
      <c r="IF21" s="140"/>
      <c r="IG21" s="140"/>
      <c r="IH21" s="140"/>
      <c r="II21" s="140"/>
      <c r="IJ21" s="140"/>
      <c r="IK21" s="140"/>
      <c r="IL21" s="140"/>
      <c r="IM21" s="140"/>
      <c r="IN21" s="140"/>
      <c r="IO21" s="140">
        <v>280</v>
      </c>
      <c r="IP21" s="140">
        <v>272</v>
      </c>
      <c r="IQ21" s="140">
        <v>275</v>
      </c>
      <c r="IR21" s="140">
        <v>274</v>
      </c>
      <c r="IS21" s="140">
        <v>265</v>
      </c>
      <c r="IT21" s="140">
        <v>268.5</v>
      </c>
      <c r="IU21" s="140">
        <v>270</v>
      </c>
      <c r="IV21" s="140"/>
      <c r="IW21" s="137"/>
      <c r="IX21" s="137"/>
      <c r="IY21" s="137"/>
      <c r="IZ21" s="137"/>
      <c r="JA21" s="137"/>
      <c r="JB21" s="137"/>
      <c r="JC21" s="137"/>
      <c r="JD21" s="137"/>
      <c r="JE21" s="137"/>
      <c r="JF21" s="137"/>
      <c r="JG21" s="137"/>
      <c r="JH21" s="137"/>
      <c r="JI21" s="137"/>
      <c r="JJ21" s="137"/>
      <c r="JK21" s="137"/>
      <c r="JL21" s="137"/>
      <c r="JM21" s="137"/>
      <c r="JN21" s="137"/>
      <c r="JO21" s="137"/>
      <c r="JP21" s="137"/>
      <c r="JQ21" s="137"/>
      <c r="JR21" s="137"/>
      <c r="JS21" s="137"/>
      <c r="JT21" s="137"/>
      <c r="JU21" s="137"/>
      <c r="JV21" s="137"/>
      <c r="JW21" s="137"/>
      <c r="JX21" s="137"/>
      <c r="JY21" s="137"/>
    </row>
    <row r="22" spans="1:285" x14ac:dyDescent="0.2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6"/>
      <c r="CK22" s="136"/>
      <c r="CL22" s="136"/>
      <c r="CM22" s="136"/>
      <c r="CN22" s="136"/>
      <c r="CO22" s="136"/>
      <c r="CP22" s="136"/>
      <c r="CQ22" s="136"/>
      <c r="CR22" s="136"/>
      <c r="CS22" s="136"/>
      <c r="CT22" s="136"/>
      <c r="CU22" s="136"/>
      <c r="CV22" s="136"/>
      <c r="CW22" s="136"/>
      <c r="CX22" s="136"/>
      <c r="CY22" s="136"/>
      <c r="CZ22" s="136"/>
      <c r="DA22" s="136"/>
      <c r="DB22" s="136"/>
      <c r="DC22" s="136"/>
      <c r="DD22" s="136"/>
      <c r="DE22" s="136"/>
      <c r="DF22" s="136"/>
      <c r="DG22" s="136"/>
      <c r="DH22" s="136"/>
      <c r="DI22" s="136"/>
      <c r="DJ22" s="136"/>
      <c r="DK22" s="136"/>
      <c r="DL22" s="136"/>
      <c r="DM22" s="136"/>
      <c r="DN22" s="136"/>
      <c r="DO22" s="136"/>
      <c r="DP22" s="136"/>
      <c r="DQ22" s="136"/>
      <c r="DR22" s="136"/>
      <c r="DS22" s="136"/>
      <c r="DT22" s="136"/>
      <c r="DU22" s="136"/>
      <c r="DV22" s="136"/>
      <c r="DW22" s="136"/>
      <c r="DX22" s="136"/>
      <c r="DY22" s="136"/>
      <c r="DZ22" s="136"/>
      <c r="EA22" s="136"/>
      <c r="EB22" s="136"/>
      <c r="EC22" s="136"/>
      <c r="ED22" s="136"/>
      <c r="EE22" s="136"/>
      <c r="EF22" s="136"/>
      <c r="EG22" s="136"/>
      <c r="EH22" s="136"/>
      <c r="EI22" s="136"/>
      <c r="EJ22" s="136"/>
      <c r="EK22" s="136"/>
      <c r="EL22" s="136"/>
      <c r="EM22" s="136"/>
      <c r="EN22" s="136"/>
      <c r="EO22" s="136"/>
      <c r="EP22" s="136"/>
      <c r="EQ22" s="136"/>
      <c r="ER22" s="136"/>
      <c r="ES22" s="136"/>
      <c r="ET22" s="136"/>
      <c r="EU22" s="136"/>
      <c r="EV22" s="136"/>
      <c r="EW22" s="136"/>
      <c r="EX22" s="136"/>
      <c r="EY22" s="136"/>
      <c r="EZ22" s="136"/>
      <c r="FA22" s="136"/>
      <c r="FB22" s="136"/>
      <c r="FC22" s="136"/>
      <c r="FD22" s="136"/>
      <c r="FE22" s="136"/>
      <c r="FF22" s="136"/>
      <c r="FG22" s="136"/>
      <c r="FH22" s="136"/>
      <c r="FI22" s="136"/>
      <c r="FJ22" s="136"/>
      <c r="FK22" s="136"/>
      <c r="FL22" s="136"/>
      <c r="FM22" s="136"/>
      <c r="FN22" s="136"/>
      <c r="FO22" s="136"/>
      <c r="FP22" s="136"/>
      <c r="FQ22" s="136"/>
      <c r="FR22" s="136"/>
      <c r="FS22" s="136"/>
      <c r="FT22" s="136"/>
      <c r="FU22" s="136"/>
      <c r="FV22" s="136"/>
      <c r="FW22" s="136"/>
      <c r="FX22" s="136"/>
      <c r="FY22" s="136"/>
      <c r="FZ22" s="136"/>
      <c r="GA22" s="136"/>
      <c r="GB22" s="136"/>
      <c r="GC22" s="136"/>
      <c r="GD22" s="136"/>
      <c r="GE22" s="136"/>
      <c r="GF22" s="136"/>
      <c r="GG22" s="136"/>
      <c r="GH22" s="136"/>
      <c r="GI22" s="136"/>
      <c r="GJ22" s="136"/>
      <c r="GK22" s="136"/>
      <c r="GL22" s="136"/>
      <c r="GM22" s="136"/>
      <c r="GN22" s="136"/>
      <c r="GO22" s="136"/>
      <c r="GP22" s="136"/>
      <c r="GQ22" s="136"/>
      <c r="GR22" s="136"/>
      <c r="GS22" s="136"/>
      <c r="GT22" s="136"/>
      <c r="GU22" s="136"/>
      <c r="GV22" s="136"/>
      <c r="GW22" s="136"/>
      <c r="GX22" s="136"/>
      <c r="GY22" s="136"/>
      <c r="GZ22" s="136"/>
      <c r="HA22" s="136"/>
      <c r="HB22" s="136"/>
      <c r="HC22" s="136"/>
      <c r="HD22" s="136"/>
      <c r="HE22" s="136"/>
      <c r="HF22" s="136"/>
      <c r="HG22" s="136"/>
      <c r="HH22" s="136"/>
      <c r="HI22" s="136"/>
      <c r="HJ22" s="136"/>
      <c r="HK22" s="136"/>
      <c r="HL22" s="136"/>
      <c r="HM22" s="136"/>
      <c r="HN22" s="136"/>
      <c r="HO22" s="136"/>
      <c r="HP22" s="136"/>
      <c r="HQ22" s="136"/>
      <c r="HR22" s="136"/>
      <c r="HS22" s="136"/>
      <c r="HT22" s="136"/>
      <c r="HU22" s="136"/>
      <c r="HV22" s="136"/>
      <c r="HW22" s="136"/>
      <c r="HX22" s="136"/>
      <c r="HY22" s="136"/>
      <c r="HZ22" s="136"/>
      <c r="IA22" s="136"/>
      <c r="IB22" s="136"/>
      <c r="IC22" s="136"/>
      <c r="ID22" s="136"/>
      <c r="IE22" s="136"/>
      <c r="IF22" s="136"/>
      <c r="IG22" s="136"/>
      <c r="IH22" s="136"/>
      <c r="II22" s="136"/>
      <c r="IJ22" s="136"/>
      <c r="IK22" s="136"/>
      <c r="IL22" s="136"/>
      <c r="IM22" s="136"/>
      <c r="IN22" s="136"/>
      <c r="IO22" s="136"/>
      <c r="IP22" s="136"/>
      <c r="IQ22" s="136"/>
      <c r="IR22" s="136"/>
      <c r="IS22" s="136"/>
      <c r="IT22" s="136"/>
      <c r="IU22" s="136"/>
      <c r="IV22" s="136"/>
      <c r="IW22" s="136"/>
      <c r="IX22" s="136"/>
      <c r="IY22" s="136"/>
      <c r="IZ22" s="136"/>
      <c r="JA22" s="136"/>
      <c r="JB22" s="136"/>
      <c r="JC22" s="136"/>
      <c r="JD22" s="136"/>
      <c r="JE22" s="136"/>
      <c r="JF22" s="136"/>
      <c r="JG22" s="136"/>
      <c r="JH22" s="136"/>
      <c r="JI22" s="136"/>
      <c r="JJ22" s="136"/>
      <c r="JK22" s="136"/>
      <c r="JL22" s="136"/>
      <c r="JM22" s="136"/>
      <c r="JN22" s="136"/>
      <c r="JO22" s="136"/>
      <c r="JP22" s="136"/>
      <c r="JQ22" s="136"/>
      <c r="JR22" s="136"/>
      <c r="JS22" s="136"/>
      <c r="JT22" s="136"/>
      <c r="JU22" s="136"/>
      <c r="JV22" s="136"/>
      <c r="JW22" s="136"/>
      <c r="JX22" s="136"/>
      <c r="JY22" s="136"/>
    </row>
    <row r="23" spans="1:285" x14ac:dyDescent="0.2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6"/>
      <c r="BX23" s="136"/>
      <c r="BY23" s="136"/>
      <c r="BZ23" s="136"/>
      <c r="CA23" s="136"/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6"/>
      <c r="CO23" s="136"/>
      <c r="CP23" s="136"/>
      <c r="CQ23" s="136"/>
      <c r="CR23" s="136"/>
      <c r="CS23" s="136"/>
      <c r="CT23" s="136"/>
      <c r="CU23" s="136"/>
      <c r="CV23" s="136"/>
      <c r="CW23" s="136"/>
      <c r="CX23" s="136"/>
      <c r="CY23" s="136"/>
      <c r="CZ23" s="136"/>
      <c r="DA23" s="136"/>
      <c r="DB23" s="136"/>
      <c r="DC23" s="136"/>
      <c r="DD23" s="136"/>
      <c r="DE23" s="136"/>
      <c r="DF23" s="136"/>
      <c r="DG23" s="136"/>
      <c r="DH23" s="136"/>
      <c r="DI23" s="136"/>
      <c r="DJ23" s="136"/>
      <c r="DK23" s="136"/>
      <c r="DL23" s="136"/>
      <c r="DM23" s="136"/>
      <c r="DN23" s="136"/>
      <c r="DO23" s="136"/>
      <c r="DP23" s="136"/>
      <c r="DQ23" s="136"/>
      <c r="DR23" s="136"/>
      <c r="DS23" s="136"/>
      <c r="DT23" s="136"/>
      <c r="DU23" s="136"/>
      <c r="DV23" s="136"/>
      <c r="DW23" s="136"/>
      <c r="DX23" s="136"/>
      <c r="DY23" s="136"/>
      <c r="DZ23" s="136"/>
      <c r="EA23" s="136"/>
      <c r="EB23" s="136"/>
      <c r="EC23" s="136"/>
      <c r="ED23" s="136"/>
      <c r="EE23" s="136"/>
      <c r="EF23" s="136"/>
      <c r="EG23" s="136"/>
      <c r="EH23" s="136"/>
      <c r="EI23" s="136"/>
      <c r="EJ23" s="136"/>
      <c r="EK23" s="136"/>
      <c r="EL23" s="136"/>
      <c r="EM23" s="136"/>
      <c r="EN23" s="136"/>
      <c r="EO23" s="136"/>
      <c r="EP23" s="136"/>
      <c r="EQ23" s="136"/>
      <c r="ER23" s="136"/>
      <c r="ES23" s="136"/>
      <c r="ET23" s="136"/>
      <c r="EU23" s="136"/>
      <c r="EV23" s="136"/>
      <c r="EW23" s="136"/>
      <c r="EX23" s="136"/>
      <c r="EY23" s="136"/>
      <c r="EZ23" s="136"/>
      <c r="FA23" s="136"/>
      <c r="FB23" s="136"/>
      <c r="FC23" s="136"/>
      <c r="FD23" s="136"/>
      <c r="FE23" s="136"/>
      <c r="FF23" s="136"/>
      <c r="FG23" s="136"/>
      <c r="FH23" s="136"/>
      <c r="FI23" s="136"/>
      <c r="FJ23" s="136"/>
      <c r="FK23" s="136"/>
      <c r="FL23" s="136"/>
      <c r="FM23" s="136"/>
      <c r="FN23" s="136"/>
      <c r="FO23" s="136"/>
      <c r="FP23" s="136"/>
      <c r="FQ23" s="136"/>
      <c r="FR23" s="136"/>
      <c r="FS23" s="136"/>
      <c r="FT23" s="136"/>
      <c r="FU23" s="136"/>
      <c r="FV23" s="136"/>
      <c r="FW23" s="136"/>
      <c r="FX23" s="136"/>
      <c r="FY23" s="136"/>
      <c r="FZ23" s="136"/>
      <c r="GA23" s="136"/>
      <c r="GB23" s="136"/>
      <c r="GC23" s="136"/>
      <c r="GD23" s="136"/>
      <c r="GE23" s="136"/>
      <c r="GF23" s="136"/>
      <c r="GG23" s="136"/>
      <c r="GH23" s="136"/>
      <c r="GI23" s="136"/>
      <c r="GJ23" s="136"/>
      <c r="GK23" s="136"/>
      <c r="GL23" s="136"/>
      <c r="GM23" s="136"/>
      <c r="GN23" s="136"/>
      <c r="GO23" s="136"/>
      <c r="GP23" s="136"/>
      <c r="GQ23" s="136"/>
      <c r="GR23" s="136"/>
      <c r="GS23" s="136"/>
      <c r="GT23" s="136"/>
      <c r="GU23" s="136"/>
      <c r="GV23" s="136"/>
      <c r="GW23" s="136"/>
      <c r="GX23" s="136"/>
      <c r="GY23" s="136"/>
      <c r="GZ23" s="136"/>
      <c r="HA23" s="136"/>
      <c r="HB23" s="136"/>
      <c r="HC23" s="136"/>
      <c r="HD23" s="136"/>
      <c r="HE23" s="136"/>
      <c r="HF23" s="136"/>
      <c r="HG23" s="136"/>
      <c r="HH23" s="136"/>
      <c r="HI23" s="136"/>
      <c r="HJ23" s="136"/>
      <c r="HK23" s="136"/>
      <c r="HL23" s="136"/>
      <c r="HM23" s="136"/>
      <c r="HN23" s="136"/>
      <c r="HO23" s="136"/>
      <c r="HP23" s="136"/>
      <c r="HQ23" s="136"/>
      <c r="HR23" s="136"/>
      <c r="HS23" s="136"/>
      <c r="HT23" s="136"/>
      <c r="HU23" s="136"/>
      <c r="HV23" s="136"/>
      <c r="HW23" s="136"/>
      <c r="HX23" s="136"/>
      <c r="HY23" s="136"/>
      <c r="HZ23" s="136"/>
      <c r="IA23" s="136"/>
      <c r="IB23" s="136"/>
      <c r="IC23" s="136"/>
      <c r="ID23" s="136"/>
      <c r="IE23" s="136"/>
      <c r="IF23" s="136"/>
      <c r="IG23" s="136"/>
      <c r="IH23" s="136"/>
      <c r="II23" s="136"/>
      <c r="IJ23" s="136"/>
      <c r="IK23" s="136"/>
      <c r="IL23" s="136"/>
      <c r="IM23" s="136"/>
      <c r="IN23" s="136"/>
      <c r="IO23" s="136"/>
      <c r="IP23" s="136"/>
      <c r="IQ23" s="136"/>
      <c r="IR23" s="136"/>
      <c r="IS23" s="136"/>
      <c r="IT23" s="136"/>
      <c r="IU23" s="136"/>
      <c r="IV23" s="136"/>
      <c r="IW23" s="136"/>
      <c r="IX23" s="136"/>
      <c r="IY23" s="136"/>
      <c r="IZ23" s="136"/>
      <c r="JA23" s="136"/>
      <c r="JB23" s="136"/>
      <c r="JC23" s="136"/>
      <c r="JD23" s="136"/>
      <c r="JE23" s="136"/>
      <c r="JF23" s="136"/>
      <c r="JG23" s="136"/>
      <c r="JH23" s="136"/>
      <c r="JI23" s="136"/>
      <c r="JJ23" s="136"/>
      <c r="JK23" s="136"/>
      <c r="JL23" s="136"/>
      <c r="JM23" s="136"/>
      <c r="JN23" s="136"/>
      <c r="JO23" s="136"/>
      <c r="JP23" s="136"/>
      <c r="JQ23" s="136"/>
      <c r="JR23" s="136"/>
      <c r="JS23" s="136"/>
      <c r="JT23" s="136"/>
      <c r="JU23" s="136"/>
      <c r="JV23" s="136"/>
      <c r="JW23" s="136"/>
      <c r="JX23" s="136"/>
      <c r="JY23" s="136"/>
    </row>
    <row r="24" spans="1:285" x14ac:dyDescent="0.2">
      <c r="A24" s="136"/>
      <c r="B24" s="136"/>
      <c r="C24" s="136"/>
      <c r="D24" s="136"/>
      <c r="E24" s="136"/>
      <c r="F24" s="136"/>
      <c r="G24" s="136"/>
      <c r="H24" s="136"/>
      <c r="I24" s="136"/>
      <c r="J24" s="136">
        <v>-3.2</v>
      </c>
      <c r="K24" s="136"/>
      <c r="L24" s="136"/>
      <c r="M24" s="136"/>
      <c r="N24" s="136"/>
      <c r="O24" s="136"/>
      <c r="P24" s="136"/>
      <c r="Q24" s="136"/>
      <c r="R24" s="136">
        <v>-3.1</v>
      </c>
      <c r="S24" s="136"/>
      <c r="T24" s="136"/>
      <c r="U24" s="136"/>
      <c r="V24" s="136"/>
      <c r="W24" s="136"/>
      <c r="X24" s="136"/>
      <c r="Y24" s="136">
        <v>-3</v>
      </c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>
        <v>-3</v>
      </c>
      <c r="AN24" s="136"/>
      <c r="AO24" s="136"/>
      <c r="AP24" s="136"/>
      <c r="AQ24" s="136"/>
      <c r="AR24" s="136"/>
      <c r="AS24" s="136"/>
      <c r="AT24" s="136">
        <v>-0.4</v>
      </c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>
        <v>-1.7</v>
      </c>
      <c r="BK24" s="136"/>
      <c r="BL24" s="136"/>
      <c r="BM24" s="136"/>
      <c r="BN24" s="136"/>
      <c r="BO24" s="136"/>
      <c r="BP24" s="136"/>
      <c r="BQ24" s="136"/>
      <c r="BR24" s="136">
        <v>-2.6</v>
      </c>
      <c r="BS24" s="136"/>
      <c r="BT24" s="136"/>
      <c r="BU24" s="136"/>
      <c r="BV24" s="136"/>
      <c r="BW24" s="136"/>
      <c r="BX24" s="136"/>
      <c r="BY24" s="136"/>
      <c r="BZ24" s="136"/>
      <c r="CA24" s="136">
        <v>-2.5</v>
      </c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6"/>
      <c r="CO24" s="136"/>
      <c r="CP24" s="136"/>
      <c r="CQ24" s="136"/>
      <c r="CR24" s="136"/>
      <c r="CS24" s="136"/>
      <c r="CT24" s="136"/>
      <c r="CU24" s="136"/>
      <c r="CV24" s="136"/>
      <c r="CW24" s="136"/>
      <c r="CX24" s="136"/>
      <c r="CY24" s="136"/>
      <c r="CZ24" s="136"/>
      <c r="DA24" s="136">
        <v>-3.8</v>
      </c>
      <c r="DB24" s="136"/>
      <c r="DC24" s="136"/>
      <c r="DD24" s="136"/>
      <c r="DE24" s="136"/>
      <c r="DF24" s="136"/>
      <c r="DG24" s="136">
        <v>-3.8</v>
      </c>
      <c r="DH24" s="136"/>
      <c r="DI24" s="136"/>
      <c r="DJ24" s="136"/>
      <c r="DK24" s="136"/>
      <c r="DL24" s="136"/>
      <c r="DM24" s="136"/>
      <c r="DN24" s="136">
        <v>-3.9</v>
      </c>
      <c r="DO24" s="136"/>
      <c r="DP24" s="136"/>
      <c r="DQ24" s="136"/>
      <c r="DR24" s="136"/>
      <c r="DS24" s="136"/>
      <c r="DT24" s="136"/>
      <c r="DU24" s="136"/>
      <c r="DV24" s="136">
        <v>-3.9</v>
      </c>
      <c r="DW24" s="136"/>
      <c r="DX24" s="136"/>
      <c r="DY24" s="136"/>
      <c r="DZ24" s="136"/>
      <c r="EA24" s="136"/>
      <c r="EB24" s="136"/>
      <c r="EC24" s="136"/>
      <c r="ED24" s="136">
        <v>-1</v>
      </c>
      <c r="EE24" s="136"/>
      <c r="EF24" s="136"/>
      <c r="EG24" s="136"/>
      <c r="EH24" s="136"/>
      <c r="EI24" s="136">
        <v>-2.1</v>
      </c>
      <c r="EJ24" s="136"/>
      <c r="EK24" s="136"/>
      <c r="EL24" s="136"/>
      <c r="EM24" s="136"/>
      <c r="EN24" s="136"/>
      <c r="EO24" s="136"/>
      <c r="EP24" s="136"/>
      <c r="EQ24" s="136"/>
      <c r="ER24" s="136"/>
      <c r="ES24" s="136">
        <v>-3.3</v>
      </c>
      <c r="ET24" s="136"/>
      <c r="EU24" s="136"/>
      <c r="EV24" s="136"/>
      <c r="EW24" s="136"/>
      <c r="EX24" s="136"/>
      <c r="EY24" s="136"/>
      <c r="EZ24" s="136"/>
      <c r="FA24" s="136">
        <v>-3.2</v>
      </c>
      <c r="FB24" s="136"/>
      <c r="FC24" s="136"/>
      <c r="FD24" s="136"/>
      <c r="FE24" s="136"/>
      <c r="FF24" s="136"/>
      <c r="FG24" s="136"/>
      <c r="FH24" s="136"/>
      <c r="FI24" s="136"/>
      <c r="FJ24" s="136"/>
      <c r="FK24" s="136"/>
      <c r="FL24" s="136"/>
      <c r="FM24" s="136"/>
      <c r="FN24" s="136"/>
      <c r="FO24" s="136"/>
      <c r="FP24" s="136"/>
      <c r="FQ24" s="136"/>
      <c r="FR24" s="136"/>
      <c r="FS24" s="136"/>
      <c r="FT24" s="136"/>
      <c r="FU24" s="136"/>
      <c r="FV24" s="136"/>
      <c r="FW24" s="136"/>
      <c r="FX24" s="136">
        <v>-0.6</v>
      </c>
      <c r="FY24" s="136"/>
      <c r="FZ24" s="136"/>
      <c r="GA24" s="136"/>
      <c r="GB24" s="136"/>
      <c r="GC24" s="136"/>
      <c r="GD24" s="136"/>
      <c r="GE24" s="136"/>
      <c r="GF24" s="136"/>
      <c r="GG24" s="136"/>
      <c r="GH24" s="136"/>
      <c r="GI24" s="136"/>
      <c r="GJ24" s="136"/>
      <c r="GK24" s="136"/>
      <c r="GL24" s="136"/>
      <c r="GM24" s="136"/>
      <c r="GN24" s="136"/>
      <c r="GO24" s="136"/>
      <c r="GP24" s="136"/>
      <c r="GQ24" s="136"/>
      <c r="GR24" s="136"/>
      <c r="GS24" s="136"/>
      <c r="GT24" s="136">
        <v>-1</v>
      </c>
      <c r="GU24" s="136"/>
      <c r="GV24" s="136"/>
      <c r="GW24" s="136"/>
      <c r="GX24" s="136"/>
      <c r="GY24" s="136"/>
      <c r="GZ24" s="136">
        <v>-3.5</v>
      </c>
      <c r="HA24" s="136"/>
      <c r="HB24" s="136"/>
      <c r="HC24" s="136"/>
      <c r="HD24" s="136"/>
      <c r="HE24" s="136"/>
      <c r="HF24" s="136"/>
      <c r="HG24" s="136"/>
      <c r="HH24" s="136">
        <v>-0.6</v>
      </c>
      <c r="HI24" s="136"/>
      <c r="HJ24" s="136"/>
      <c r="HK24" s="136"/>
      <c r="HL24" s="136"/>
      <c r="HM24" s="136">
        <v>-3.8</v>
      </c>
      <c r="HN24" s="136"/>
      <c r="HO24" s="136"/>
      <c r="HP24" s="136"/>
      <c r="HQ24" s="136"/>
      <c r="HR24" s="136"/>
      <c r="HS24" s="136"/>
      <c r="HT24" s="136">
        <v>-1</v>
      </c>
      <c r="HU24" s="136"/>
      <c r="HV24" s="136"/>
      <c r="HW24" s="136"/>
      <c r="HX24" s="136"/>
      <c r="HY24" s="136"/>
      <c r="HZ24" s="136"/>
      <c r="IA24" s="136"/>
      <c r="IB24" s="136"/>
      <c r="IC24" s="136"/>
      <c r="ID24" s="136">
        <v>-2.8</v>
      </c>
      <c r="IE24" s="136"/>
      <c r="IF24" s="136"/>
      <c r="IG24" s="136"/>
      <c r="IH24" s="136"/>
      <c r="II24" s="136"/>
      <c r="IJ24" s="136"/>
      <c r="IK24" s="136"/>
      <c r="IL24" s="136"/>
      <c r="IM24" s="136"/>
      <c r="IN24" s="136"/>
      <c r="IO24" s="136"/>
      <c r="IP24" s="136"/>
      <c r="IQ24" s="136"/>
      <c r="IR24" s="136"/>
      <c r="IS24" s="136"/>
      <c r="IT24" s="136"/>
      <c r="IU24" s="136"/>
      <c r="IV24" s="136">
        <v>-2.6</v>
      </c>
      <c r="IW24" s="136"/>
      <c r="IX24" s="136"/>
      <c r="IY24" s="136"/>
      <c r="IZ24" s="136"/>
      <c r="JA24" s="136"/>
      <c r="JB24" s="136"/>
      <c r="JC24" s="136"/>
      <c r="JD24" s="136"/>
      <c r="JE24" s="136"/>
      <c r="JF24" s="136"/>
      <c r="JG24" s="136"/>
      <c r="JH24" s="136"/>
      <c r="JI24" s="136"/>
      <c r="JJ24" s="136"/>
      <c r="JK24" s="136"/>
      <c r="JL24" s="136"/>
      <c r="JM24" s="136"/>
      <c r="JN24" s="136"/>
      <c r="JO24" s="136"/>
      <c r="JP24" s="136"/>
      <c r="JQ24" s="136"/>
      <c r="JR24" s="136"/>
      <c r="JS24" s="136"/>
      <c r="JT24" s="136"/>
      <c r="JU24" s="136"/>
      <c r="JV24" s="136"/>
      <c r="JW24" s="136"/>
      <c r="JX24" s="136"/>
      <c r="JY24" s="136"/>
    </row>
    <row r="25" spans="1:285" x14ac:dyDescent="0.2">
      <c r="A25" s="136"/>
      <c r="B25" s="136"/>
      <c r="C25" s="136"/>
      <c r="D25" s="136"/>
      <c r="E25" s="136"/>
      <c r="F25" s="136"/>
      <c r="G25" s="136"/>
      <c r="H25" s="136"/>
      <c r="I25" s="136"/>
      <c r="J25" s="136">
        <v>-2.5</v>
      </c>
      <c r="K25" s="136"/>
      <c r="L25" s="136"/>
      <c r="M25" s="136"/>
      <c r="N25" s="136"/>
      <c r="O25" s="136"/>
      <c r="P25" s="136"/>
      <c r="Q25" s="136"/>
      <c r="R25" s="136">
        <v>-2.6</v>
      </c>
      <c r="S25" s="136"/>
      <c r="T25" s="136"/>
      <c r="U25" s="136"/>
      <c r="V25" s="136"/>
      <c r="W25" s="136"/>
      <c r="X25" s="136"/>
      <c r="Y25" s="136">
        <v>-2.5</v>
      </c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>
        <v>-2.5</v>
      </c>
      <c r="AN25" s="136"/>
      <c r="AO25" s="136"/>
      <c r="AP25" s="136"/>
      <c r="AQ25" s="136"/>
      <c r="AR25" s="136"/>
      <c r="AS25" s="136"/>
      <c r="AT25" s="136">
        <v>-0.3</v>
      </c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>
        <v>-1.3</v>
      </c>
      <c r="BK25" s="136"/>
      <c r="BL25" s="136"/>
      <c r="BM25" s="136"/>
      <c r="BN25" s="136"/>
      <c r="BO25" s="136"/>
      <c r="BP25" s="136"/>
      <c r="BQ25" s="136"/>
      <c r="BR25" s="136">
        <v>-2.5</v>
      </c>
      <c r="BS25" s="136"/>
      <c r="BT25" s="136"/>
      <c r="BU25" s="136"/>
      <c r="BV25" s="136"/>
      <c r="BW25" s="136"/>
      <c r="BX25" s="136"/>
      <c r="BY25" s="136"/>
      <c r="BZ25" s="136"/>
      <c r="CA25" s="136">
        <v>-2.4</v>
      </c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6"/>
      <c r="CN25" s="136"/>
      <c r="CO25" s="136"/>
      <c r="CP25" s="136"/>
      <c r="CQ25" s="136"/>
      <c r="CR25" s="136"/>
      <c r="CS25" s="136"/>
      <c r="CT25" s="136"/>
      <c r="CU25" s="136"/>
      <c r="CV25" s="136"/>
      <c r="CW25" s="136"/>
      <c r="CX25" s="136"/>
      <c r="CY25" s="136"/>
      <c r="CZ25" s="136"/>
      <c r="DA25" s="136">
        <v>-3.3</v>
      </c>
      <c r="DB25" s="136"/>
      <c r="DC25" s="136"/>
      <c r="DD25" s="136"/>
      <c r="DE25" s="136"/>
      <c r="DF25" s="136"/>
      <c r="DG25" s="136">
        <v>-3.5</v>
      </c>
      <c r="DH25" s="136"/>
      <c r="DI25" s="136"/>
      <c r="DJ25" s="136"/>
      <c r="DK25" s="136"/>
      <c r="DL25" s="136"/>
      <c r="DM25" s="136"/>
      <c r="DN25" s="136">
        <v>-3.5</v>
      </c>
      <c r="DO25" s="136"/>
      <c r="DP25" s="136"/>
      <c r="DQ25" s="136"/>
      <c r="DR25" s="136"/>
      <c r="DS25" s="136"/>
      <c r="DT25" s="136"/>
      <c r="DU25" s="136"/>
      <c r="DV25" s="136">
        <v>-3.6</v>
      </c>
      <c r="DW25" s="136"/>
      <c r="DX25" s="136"/>
      <c r="DY25" s="136"/>
      <c r="DZ25" s="136"/>
      <c r="EA25" s="136"/>
      <c r="EB25" s="136"/>
      <c r="EC25" s="136"/>
      <c r="ED25" s="136">
        <v>-0.5</v>
      </c>
      <c r="EE25" s="136"/>
      <c r="EF25" s="136"/>
      <c r="EG25" s="136"/>
      <c r="EH25" s="136"/>
      <c r="EI25" s="136">
        <v>-1.8</v>
      </c>
      <c r="EJ25" s="136"/>
      <c r="EK25" s="136"/>
      <c r="EL25" s="136"/>
      <c r="EM25" s="136"/>
      <c r="EN25" s="136"/>
      <c r="EO25" s="136"/>
      <c r="EP25" s="136"/>
      <c r="EQ25" s="136"/>
      <c r="ER25" s="136"/>
      <c r="ES25" s="136">
        <v>-2.8</v>
      </c>
      <c r="ET25" s="136"/>
      <c r="EU25" s="136"/>
      <c r="EV25" s="136"/>
      <c r="EW25" s="136"/>
      <c r="EX25" s="136"/>
      <c r="EY25" s="136"/>
      <c r="EZ25" s="136"/>
      <c r="FA25" s="136">
        <v>-2.8</v>
      </c>
      <c r="FB25" s="136"/>
      <c r="FC25" s="136"/>
      <c r="FD25" s="136"/>
      <c r="FE25" s="136"/>
      <c r="FF25" s="136"/>
      <c r="FG25" s="136"/>
      <c r="FH25" s="136"/>
      <c r="FI25" s="136"/>
      <c r="FJ25" s="136"/>
      <c r="FK25" s="136"/>
      <c r="FL25" s="136"/>
      <c r="FM25" s="136"/>
      <c r="FN25" s="136"/>
      <c r="FO25" s="136"/>
      <c r="FP25" s="136"/>
      <c r="FQ25" s="136"/>
      <c r="FR25" s="136"/>
      <c r="FS25" s="136"/>
      <c r="FT25" s="136"/>
      <c r="FU25" s="136"/>
      <c r="FV25" s="136"/>
      <c r="FW25" s="136"/>
      <c r="FX25" s="136">
        <v>-0.2</v>
      </c>
      <c r="FY25" s="136"/>
      <c r="FZ25" s="136"/>
      <c r="GA25" s="136"/>
      <c r="GB25" s="136"/>
      <c r="GC25" s="136"/>
      <c r="GD25" s="136"/>
      <c r="GE25" s="136"/>
      <c r="GF25" s="136"/>
      <c r="GG25" s="136"/>
      <c r="GH25" s="136"/>
      <c r="GI25" s="136"/>
      <c r="GJ25" s="136"/>
      <c r="GK25" s="136"/>
      <c r="GL25" s="136"/>
      <c r="GM25" s="136"/>
      <c r="GN25" s="136"/>
      <c r="GO25" s="136"/>
      <c r="GP25" s="136"/>
      <c r="GQ25" s="136"/>
      <c r="GR25" s="136"/>
      <c r="GS25" s="136"/>
      <c r="GT25" s="136">
        <v>0</v>
      </c>
      <c r="GU25" s="136"/>
      <c r="GV25" s="136"/>
      <c r="GW25" s="136"/>
      <c r="GX25" s="136"/>
      <c r="GY25" s="136"/>
      <c r="GZ25" s="136">
        <v>-3.3</v>
      </c>
      <c r="HA25" s="136"/>
      <c r="HB25" s="136"/>
      <c r="HC25" s="136"/>
      <c r="HD25" s="136"/>
      <c r="HE25" s="136"/>
      <c r="HF25" s="136"/>
      <c r="HG25" s="136"/>
      <c r="HH25" s="136">
        <v>-0.4</v>
      </c>
      <c r="HI25" s="136"/>
      <c r="HJ25" s="136"/>
      <c r="HK25" s="136"/>
      <c r="HL25" s="136"/>
      <c r="HM25" s="136">
        <v>-3.5</v>
      </c>
      <c r="HN25" s="136"/>
      <c r="HO25" s="136"/>
      <c r="HP25" s="136"/>
      <c r="HQ25" s="136"/>
      <c r="HR25" s="136"/>
      <c r="HS25" s="136"/>
      <c r="HT25" s="136">
        <v>-0.9</v>
      </c>
      <c r="HU25" s="136"/>
      <c r="HV25" s="136"/>
      <c r="HW25" s="136"/>
      <c r="HX25" s="136"/>
      <c r="HY25" s="136"/>
      <c r="HZ25" s="136"/>
      <c r="IA25" s="136"/>
      <c r="IB25" s="136"/>
      <c r="IC25" s="136"/>
      <c r="ID25" s="136">
        <v>-2.4</v>
      </c>
      <c r="IE25" s="136"/>
      <c r="IF25" s="136"/>
      <c r="IG25" s="136"/>
      <c r="IH25" s="136"/>
      <c r="II25" s="136"/>
      <c r="IJ25" s="136"/>
      <c r="IK25" s="136"/>
      <c r="IL25" s="136"/>
      <c r="IM25" s="136"/>
      <c r="IN25" s="136"/>
      <c r="IO25" s="136"/>
      <c r="IP25" s="136"/>
      <c r="IQ25" s="136"/>
      <c r="IR25" s="136"/>
      <c r="IS25" s="136"/>
      <c r="IT25" s="136"/>
      <c r="IU25" s="136"/>
      <c r="IV25" s="136">
        <v>-2.2999999999999998</v>
      </c>
      <c r="IW25" s="136"/>
      <c r="IX25" s="136"/>
      <c r="IY25" s="136"/>
      <c r="IZ25" s="136"/>
      <c r="JA25" s="136"/>
      <c r="JB25" s="136"/>
      <c r="JC25" s="136"/>
      <c r="JD25" s="136"/>
      <c r="JE25" s="136"/>
      <c r="JF25" s="136"/>
      <c r="JG25" s="136"/>
      <c r="JH25" s="136"/>
      <c r="JI25" s="136"/>
      <c r="JJ25" s="136"/>
      <c r="JK25" s="136"/>
      <c r="JL25" s="136"/>
      <c r="JM25" s="136"/>
      <c r="JN25" s="136"/>
      <c r="JO25" s="136"/>
      <c r="JP25" s="136"/>
      <c r="JQ25" s="136"/>
      <c r="JR25" s="136"/>
      <c r="JS25" s="136"/>
      <c r="JT25" s="136"/>
      <c r="JU25" s="136"/>
      <c r="JV25" s="136"/>
      <c r="JW25" s="136"/>
      <c r="JX25" s="136"/>
      <c r="JY25" s="136"/>
    </row>
    <row r="26" spans="1:285" x14ac:dyDescent="0.2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  <c r="BV26" s="136"/>
      <c r="BW26" s="136"/>
      <c r="BX26" s="136"/>
      <c r="BY26" s="136"/>
      <c r="BZ26" s="136"/>
      <c r="CA26" s="136"/>
      <c r="CB26" s="136"/>
      <c r="CC26" s="136"/>
      <c r="CD26" s="136"/>
      <c r="CE26" s="136"/>
      <c r="CF26" s="136"/>
      <c r="CG26" s="136"/>
      <c r="CH26" s="136"/>
      <c r="CI26" s="136"/>
      <c r="CJ26" s="136"/>
      <c r="CK26" s="136"/>
      <c r="CL26" s="136"/>
      <c r="CM26" s="136"/>
      <c r="CN26" s="136"/>
      <c r="CO26" s="136"/>
      <c r="CP26" s="136"/>
      <c r="CQ26" s="136"/>
      <c r="CR26" s="136"/>
      <c r="CS26" s="136"/>
      <c r="CT26" s="136"/>
      <c r="CU26" s="136"/>
      <c r="CV26" s="136"/>
      <c r="CW26" s="136"/>
      <c r="CX26" s="136"/>
      <c r="CY26" s="136"/>
      <c r="CZ26" s="136"/>
      <c r="DA26" s="136"/>
      <c r="DB26" s="136"/>
      <c r="DC26" s="136"/>
      <c r="DD26" s="136"/>
      <c r="DE26" s="136"/>
      <c r="DF26" s="136"/>
      <c r="DG26" s="136"/>
      <c r="DH26" s="136"/>
      <c r="DI26" s="136"/>
      <c r="DJ26" s="136"/>
      <c r="DK26" s="136"/>
      <c r="DL26" s="136"/>
      <c r="DM26" s="136"/>
      <c r="DN26" s="136"/>
      <c r="DO26" s="136"/>
      <c r="DP26" s="136"/>
      <c r="DQ26" s="136"/>
      <c r="DR26" s="136"/>
      <c r="DS26" s="136"/>
      <c r="DT26" s="136"/>
      <c r="DU26" s="136"/>
      <c r="DV26" s="136"/>
      <c r="DW26" s="136"/>
      <c r="DX26" s="136"/>
      <c r="DY26" s="136"/>
      <c r="DZ26" s="136"/>
      <c r="EA26" s="136"/>
      <c r="EB26" s="136"/>
      <c r="EC26" s="136"/>
      <c r="ED26" s="136"/>
      <c r="EE26" s="136"/>
      <c r="EF26" s="136"/>
      <c r="EG26" s="136"/>
      <c r="EH26" s="136"/>
      <c r="EI26" s="136"/>
      <c r="EJ26" s="136"/>
      <c r="EK26" s="136"/>
      <c r="EL26" s="136"/>
      <c r="EM26" s="136"/>
      <c r="EN26" s="136"/>
      <c r="EO26" s="136"/>
      <c r="EP26" s="136"/>
      <c r="EQ26" s="136"/>
      <c r="ER26" s="136"/>
      <c r="ES26" s="136"/>
      <c r="ET26" s="136"/>
      <c r="EU26" s="136"/>
      <c r="EV26" s="136"/>
      <c r="EW26" s="136"/>
      <c r="EX26" s="136"/>
      <c r="EY26" s="136"/>
      <c r="EZ26" s="136"/>
      <c r="FA26" s="136"/>
      <c r="FB26" s="136"/>
      <c r="FC26" s="136"/>
      <c r="FD26" s="136"/>
      <c r="FE26" s="136"/>
      <c r="FF26" s="136"/>
      <c r="FG26" s="136"/>
      <c r="FH26" s="136"/>
      <c r="FI26" s="136"/>
      <c r="FJ26" s="136"/>
      <c r="FK26" s="136"/>
      <c r="FL26" s="136"/>
      <c r="FM26" s="136"/>
      <c r="FN26" s="136"/>
      <c r="FO26" s="136"/>
      <c r="FP26" s="136"/>
      <c r="FQ26" s="136"/>
      <c r="FR26" s="136"/>
      <c r="FS26" s="136"/>
      <c r="FT26" s="136"/>
      <c r="FU26" s="136"/>
      <c r="FV26" s="136"/>
      <c r="FW26" s="136"/>
      <c r="FX26" s="136"/>
      <c r="FY26" s="136"/>
      <c r="FZ26" s="136"/>
      <c r="GA26" s="136"/>
      <c r="GB26" s="136"/>
      <c r="GC26" s="136"/>
      <c r="GD26" s="136"/>
      <c r="GE26" s="136"/>
      <c r="GF26" s="136"/>
      <c r="GG26" s="136"/>
      <c r="GH26" s="136"/>
      <c r="GI26" s="136"/>
      <c r="GJ26" s="136"/>
      <c r="GK26" s="136"/>
      <c r="GL26" s="136"/>
      <c r="GM26" s="136"/>
      <c r="GN26" s="136"/>
      <c r="GO26" s="136"/>
      <c r="GP26" s="136"/>
      <c r="GQ26" s="136"/>
      <c r="GR26" s="136"/>
      <c r="GS26" s="136"/>
      <c r="GT26" s="136"/>
      <c r="GU26" s="136"/>
      <c r="GV26" s="136"/>
      <c r="GW26" s="136"/>
      <c r="GX26" s="136"/>
      <c r="GY26" s="136"/>
      <c r="GZ26" s="136"/>
      <c r="HA26" s="136"/>
      <c r="HB26" s="136"/>
      <c r="HC26" s="136"/>
      <c r="HD26" s="136"/>
      <c r="HE26" s="136"/>
      <c r="HF26" s="136"/>
      <c r="HG26" s="136"/>
      <c r="HH26" s="136"/>
      <c r="HI26" s="136"/>
      <c r="HJ26" s="136"/>
      <c r="HK26" s="136"/>
      <c r="HL26" s="136"/>
      <c r="HM26" s="136"/>
      <c r="HN26" s="136"/>
      <c r="HO26" s="136"/>
      <c r="HP26" s="136"/>
      <c r="HQ26" s="136"/>
      <c r="HR26" s="136"/>
      <c r="HS26" s="136"/>
      <c r="HT26" s="136"/>
      <c r="HU26" s="136"/>
      <c r="HV26" s="136"/>
      <c r="HW26" s="136"/>
      <c r="HX26" s="136"/>
      <c r="HY26" s="136"/>
      <c r="HZ26" s="136"/>
      <c r="IA26" s="136"/>
      <c r="IB26" s="136"/>
      <c r="IC26" s="136"/>
      <c r="ID26" s="136"/>
      <c r="IE26" s="136"/>
      <c r="IF26" s="136"/>
      <c r="IG26" s="136"/>
      <c r="IH26" s="136"/>
      <c r="II26" s="136"/>
      <c r="IJ26" s="136"/>
      <c r="IK26" s="136"/>
      <c r="IL26" s="136"/>
      <c r="IM26" s="136"/>
      <c r="IN26" s="136"/>
      <c r="IO26" s="136"/>
      <c r="IP26" s="136"/>
      <c r="IQ26" s="136"/>
      <c r="IR26" s="136"/>
      <c r="IS26" s="136"/>
      <c r="IT26" s="136"/>
      <c r="IU26" s="136"/>
      <c r="IV26" s="136"/>
      <c r="IW26" s="136"/>
      <c r="IX26" s="136"/>
      <c r="IY26" s="136"/>
      <c r="IZ26" s="136"/>
      <c r="JA26" s="136"/>
      <c r="JB26" s="136"/>
      <c r="JC26" s="136"/>
      <c r="JD26" s="136"/>
      <c r="JE26" s="136"/>
      <c r="JF26" s="136"/>
      <c r="JG26" s="136"/>
      <c r="JH26" s="136"/>
      <c r="JI26" s="136"/>
      <c r="JJ26" s="136"/>
      <c r="JK26" s="136"/>
      <c r="JL26" s="136"/>
      <c r="JM26" s="136"/>
      <c r="JN26" s="136"/>
      <c r="JO26" s="136"/>
      <c r="JP26" s="136"/>
      <c r="JQ26" s="136"/>
      <c r="JR26" s="136"/>
      <c r="JS26" s="136"/>
      <c r="JT26" s="136"/>
      <c r="JU26" s="136"/>
      <c r="JV26" s="136"/>
      <c r="JW26" s="136"/>
      <c r="JX26" s="136"/>
      <c r="JY26" s="136"/>
    </row>
    <row r="27" spans="1:285" x14ac:dyDescent="0.2">
      <c r="A27" s="136" t="s">
        <v>1694</v>
      </c>
      <c r="B27" s="136">
        <v>267.2</v>
      </c>
      <c r="C27" s="136">
        <v>255</v>
      </c>
      <c r="D27" s="136">
        <v>268.89999999999998</v>
      </c>
      <c r="E27" s="136">
        <v>294.10000000000002</v>
      </c>
      <c r="F27" s="136">
        <v>285.3</v>
      </c>
      <c r="G27" s="136">
        <v>270.5</v>
      </c>
      <c r="H27" s="136">
        <v>265.2</v>
      </c>
      <c r="I27" s="136">
        <v>262.5</v>
      </c>
      <c r="J27" s="136">
        <v>271.10000000000002</v>
      </c>
      <c r="K27" s="136">
        <v>278.5</v>
      </c>
      <c r="L27" s="136">
        <v>264.5</v>
      </c>
      <c r="M27" s="136">
        <v>261.5</v>
      </c>
      <c r="N27" s="136">
        <v>259.5</v>
      </c>
      <c r="O27" s="136">
        <v>262.5</v>
      </c>
      <c r="P27" s="136">
        <v>259.7</v>
      </c>
      <c r="Q27" s="136">
        <v>267.39999999999998</v>
      </c>
      <c r="R27" s="136">
        <v>264.8</v>
      </c>
      <c r="S27" s="136">
        <v>264.3</v>
      </c>
      <c r="T27" s="136">
        <v>262.8</v>
      </c>
      <c r="U27" s="136">
        <v>262.8</v>
      </c>
      <c r="V27" s="136">
        <v>272.2</v>
      </c>
      <c r="W27" s="136">
        <v>261.3</v>
      </c>
      <c r="X27" s="136">
        <v>268.8</v>
      </c>
      <c r="Y27" s="136">
        <v>265.39999999999998</v>
      </c>
      <c r="Z27" s="136">
        <v>264.3</v>
      </c>
      <c r="AA27" s="136">
        <v>263.7</v>
      </c>
      <c r="AB27" s="136">
        <v>260.2</v>
      </c>
      <c r="AC27" s="136">
        <v>258.5</v>
      </c>
      <c r="AD27" s="136">
        <v>258.39999999999998</v>
      </c>
      <c r="AE27" s="136">
        <v>257.2</v>
      </c>
      <c r="AF27" s="136">
        <v>257.39999999999998</v>
      </c>
      <c r="AG27" s="136">
        <v>259.5</v>
      </c>
      <c r="AH27" s="136">
        <v>259.10000000000002</v>
      </c>
      <c r="AI27" s="136">
        <v>258.5</v>
      </c>
      <c r="AJ27" s="136">
        <v>258.39999999999998</v>
      </c>
      <c r="AK27" s="136">
        <v>256.89999999999998</v>
      </c>
      <c r="AL27" s="136">
        <v>257.2</v>
      </c>
      <c r="AM27" s="136">
        <v>259.2</v>
      </c>
      <c r="AN27" s="136">
        <v>322.8</v>
      </c>
      <c r="AO27" s="136">
        <v>320.7</v>
      </c>
      <c r="AP27" s="136">
        <v>319.2</v>
      </c>
      <c r="AQ27" s="136">
        <v>319.60000000000002</v>
      </c>
      <c r="AR27" s="136">
        <v>321.39999999999998</v>
      </c>
      <c r="AS27" s="136">
        <v>320.2</v>
      </c>
      <c r="AT27" s="136">
        <v>320.7</v>
      </c>
      <c r="AU27" s="136"/>
      <c r="AV27" s="136"/>
      <c r="AW27" s="136"/>
      <c r="AX27" s="136"/>
      <c r="AY27" s="136"/>
      <c r="AZ27" s="136"/>
      <c r="BA27" s="136">
        <v>314.3</v>
      </c>
      <c r="BB27" s="136">
        <v>318.10000000000002</v>
      </c>
      <c r="BC27" s="136">
        <v>317.2</v>
      </c>
      <c r="BD27" s="136">
        <v>321.60000000000002</v>
      </c>
      <c r="BE27" s="136"/>
      <c r="BF27" s="136"/>
      <c r="BG27" s="136">
        <v>317.39999999999998</v>
      </c>
      <c r="BH27" s="136"/>
      <c r="BI27" s="136"/>
      <c r="BJ27" s="136">
        <v>317.7</v>
      </c>
      <c r="BK27" s="136">
        <v>299.39999999999998</v>
      </c>
      <c r="BL27" s="136">
        <v>299.3</v>
      </c>
      <c r="BM27" s="136">
        <v>307.8</v>
      </c>
      <c r="BN27" s="136">
        <v>311.39999999999998</v>
      </c>
      <c r="BO27" s="136">
        <v>298.3</v>
      </c>
      <c r="BP27" s="136">
        <v>298.89999999999998</v>
      </c>
      <c r="BQ27" s="136">
        <v>302.10000000000002</v>
      </c>
      <c r="BR27" s="136">
        <v>302.5</v>
      </c>
      <c r="BS27" s="136">
        <v>299.2</v>
      </c>
      <c r="BT27" s="136">
        <v>298.5</v>
      </c>
      <c r="BU27" s="136">
        <v>301.2</v>
      </c>
      <c r="BV27" s="136">
        <v>300.5</v>
      </c>
      <c r="BW27" s="136">
        <v>308.10000000000002</v>
      </c>
      <c r="BX27" s="136">
        <v>308.39999999999998</v>
      </c>
      <c r="BY27" s="136">
        <v>303.2</v>
      </c>
      <c r="BZ27" s="136">
        <v>311.10000000000002</v>
      </c>
      <c r="CA27" s="136">
        <v>303.8</v>
      </c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6"/>
      <c r="CO27" s="136"/>
      <c r="CP27" s="136"/>
      <c r="CQ27" s="136"/>
      <c r="CR27" s="136"/>
      <c r="CS27" s="136">
        <v>309.89999999999998</v>
      </c>
      <c r="CT27" s="136"/>
      <c r="CU27" s="136">
        <v>313.39999999999998</v>
      </c>
      <c r="CV27" s="136">
        <v>309.7</v>
      </c>
      <c r="CW27" s="136">
        <v>315.39999999999998</v>
      </c>
      <c r="CX27" s="136">
        <v>306.39999999999998</v>
      </c>
      <c r="CY27" s="136">
        <v>307.89999999999998</v>
      </c>
      <c r="CZ27" s="136">
        <v>314.89999999999998</v>
      </c>
      <c r="DA27" s="136">
        <v>311.3</v>
      </c>
      <c r="DB27" s="136">
        <v>315.39999999999998</v>
      </c>
      <c r="DC27" s="136">
        <v>311.39999999999998</v>
      </c>
      <c r="DD27" s="136">
        <v>315.39999999999998</v>
      </c>
      <c r="DE27" s="136">
        <v>311.89999999999998</v>
      </c>
      <c r="DF27" s="136">
        <v>310.39999999999998</v>
      </c>
      <c r="DG27" s="136">
        <v>312.89999999999998</v>
      </c>
      <c r="DH27" s="136">
        <v>314.7</v>
      </c>
      <c r="DI27" s="136">
        <v>317.39999999999998</v>
      </c>
      <c r="DJ27" s="136">
        <v>317.10000000000002</v>
      </c>
      <c r="DK27" s="136">
        <v>316.89999999999998</v>
      </c>
      <c r="DL27" s="136">
        <v>318.39999999999998</v>
      </c>
      <c r="DM27" s="136">
        <v>318.39999999999998</v>
      </c>
      <c r="DN27" s="136">
        <v>317.2</v>
      </c>
      <c r="DO27" s="136">
        <v>320.39999999999998</v>
      </c>
      <c r="DP27" s="136">
        <v>317.39999999999998</v>
      </c>
      <c r="DQ27" s="136">
        <v>319.39999999999998</v>
      </c>
      <c r="DR27" s="136">
        <v>314.39999999999998</v>
      </c>
      <c r="DS27" s="136">
        <v>313.89999999999998</v>
      </c>
      <c r="DT27" s="136">
        <v>312.89999999999998</v>
      </c>
      <c r="DU27" s="136">
        <v>314.89999999999998</v>
      </c>
      <c r="DV27" s="136">
        <v>316.2</v>
      </c>
      <c r="DW27" s="136">
        <v>289.39999999999998</v>
      </c>
      <c r="DX27" s="136">
        <v>295.39999999999998</v>
      </c>
      <c r="DY27" s="136">
        <v>285.39999999999998</v>
      </c>
      <c r="DZ27" s="136">
        <v>308.39999999999998</v>
      </c>
      <c r="EA27" s="136">
        <v>306.39999999999998</v>
      </c>
      <c r="EB27" s="136">
        <v>304.39999999999998</v>
      </c>
      <c r="EC27" s="136">
        <v>295.39999999999998</v>
      </c>
      <c r="ED27" s="136">
        <v>297.8</v>
      </c>
      <c r="EE27" s="136">
        <v>311.39999999999998</v>
      </c>
      <c r="EF27" s="136">
        <v>312.39999999999998</v>
      </c>
      <c r="EG27" s="136">
        <v>312.39999999999998</v>
      </c>
      <c r="EH27" s="136">
        <v>306.39999999999998</v>
      </c>
      <c r="EI27" s="136">
        <v>310.7</v>
      </c>
      <c r="EJ27" s="136">
        <v>327</v>
      </c>
      <c r="EK27" s="136">
        <v>329</v>
      </c>
      <c r="EL27" s="136">
        <v>328</v>
      </c>
      <c r="EM27" s="136">
        <v>332</v>
      </c>
      <c r="EN27" s="136">
        <v>337</v>
      </c>
      <c r="EO27" s="136">
        <v>330</v>
      </c>
      <c r="EP27" s="136">
        <v>326</v>
      </c>
      <c r="EQ27" s="136">
        <v>328</v>
      </c>
      <c r="ER27" s="136">
        <v>329</v>
      </c>
      <c r="ES27" s="136">
        <v>329.6</v>
      </c>
      <c r="ET27" s="136">
        <v>327</v>
      </c>
      <c r="EU27" s="136">
        <v>328.5</v>
      </c>
      <c r="EV27" s="136">
        <v>330</v>
      </c>
      <c r="EW27" s="136">
        <v>327.5</v>
      </c>
      <c r="EX27" s="136">
        <v>335</v>
      </c>
      <c r="EY27" s="136">
        <v>327.5</v>
      </c>
      <c r="EZ27" s="136">
        <v>332</v>
      </c>
      <c r="FA27" s="136">
        <v>329.7</v>
      </c>
      <c r="FB27" s="136">
        <v>382</v>
      </c>
      <c r="FC27" s="136">
        <v>318.5</v>
      </c>
      <c r="FD27" s="136"/>
      <c r="FE27" s="136">
        <v>310</v>
      </c>
      <c r="FF27" s="136">
        <v>314</v>
      </c>
      <c r="FG27" s="136"/>
      <c r="FH27" s="136"/>
      <c r="FI27" s="136"/>
      <c r="FJ27" s="136">
        <v>317</v>
      </c>
      <c r="FK27" s="136">
        <v>324</v>
      </c>
      <c r="FL27" s="136">
        <v>335</v>
      </c>
      <c r="FM27" s="136"/>
      <c r="FN27" s="136"/>
      <c r="FO27" s="136">
        <v>340</v>
      </c>
      <c r="FP27" s="136"/>
      <c r="FQ27" s="136">
        <v>326</v>
      </c>
      <c r="FR27" s="136">
        <v>327</v>
      </c>
      <c r="FS27" s="136">
        <v>324</v>
      </c>
      <c r="FT27" s="136">
        <v>322</v>
      </c>
      <c r="FU27" s="136">
        <v>323</v>
      </c>
      <c r="FV27" s="136">
        <v>325</v>
      </c>
      <c r="FW27" s="136">
        <v>394</v>
      </c>
      <c r="FX27" s="136">
        <v>332.1</v>
      </c>
      <c r="FY27" s="136"/>
      <c r="FZ27" s="136"/>
      <c r="GA27" s="136"/>
      <c r="GB27" s="136"/>
      <c r="GC27" s="136">
        <v>312</v>
      </c>
      <c r="GD27" s="136"/>
      <c r="GE27" s="136"/>
      <c r="GF27" s="136">
        <v>321</v>
      </c>
      <c r="GG27" s="136">
        <v>316</v>
      </c>
      <c r="GH27" s="136"/>
      <c r="GI27" s="136">
        <v>325</v>
      </c>
      <c r="GJ27" s="136">
        <v>339</v>
      </c>
      <c r="GK27" s="136">
        <v>334</v>
      </c>
      <c r="GL27" s="136"/>
      <c r="GM27" s="136"/>
      <c r="GN27" s="136">
        <v>341</v>
      </c>
      <c r="GO27" s="136"/>
      <c r="GP27" s="136"/>
      <c r="GQ27" s="136"/>
      <c r="GR27" s="136">
        <v>325</v>
      </c>
      <c r="GS27" s="136">
        <v>328</v>
      </c>
      <c r="GT27" s="136">
        <v>326.8</v>
      </c>
      <c r="GU27" s="136">
        <v>340.5</v>
      </c>
      <c r="GV27" s="136">
        <v>329</v>
      </c>
      <c r="GW27" s="136">
        <v>334</v>
      </c>
      <c r="GX27" s="136">
        <v>335</v>
      </c>
      <c r="GY27" s="136">
        <v>332</v>
      </c>
      <c r="GZ27" s="136">
        <v>334.1</v>
      </c>
      <c r="HA27" s="136">
        <v>301</v>
      </c>
      <c r="HB27" s="136">
        <v>306</v>
      </c>
      <c r="HC27" s="136">
        <v>311</v>
      </c>
      <c r="HD27" s="136">
        <v>309</v>
      </c>
      <c r="HE27" s="136">
        <v>304</v>
      </c>
      <c r="HF27" s="136">
        <v>301</v>
      </c>
      <c r="HG27" s="136">
        <v>311</v>
      </c>
      <c r="HH27" s="136">
        <v>306.2</v>
      </c>
      <c r="HI27" s="136">
        <v>323.5</v>
      </c>
      <c r="HJ27" s="136">
        <v>321.39999999999998</v>
      </c>
      <c r="HK27" s="136">
        <v>324</v>
      </c>
      <c r="HL27" s="136">
        <v>321.5</v>
      </c>
      <c r="HM27" s="136">
        <v>322.60000000000002</v>
      </c>
      <c r="HN27" s="136">
        <v>317</v>
      </c>
      <c r="HO27" s="136">
        <v>315</v>
      </c>
      <c r="HP27" s="136">
        <v>317.5</v>
      </c>
      <c r="HQ27" s="136">
        <v>311</v>
      </c>
      <c r="HR27" s="136">
        <v>319.5</v>
      </c>
      <c r="HS27" s="136">
        <v>318</v>
      </c>
      <c r="HT27" s="136">
        <v>316.39999999999998</v>
      </c>
      <c r="HU27" s="136">
        <v>315</v>
      </c>
      <c r="HV27" s="136">
        <v>321</v>
      </c>
      <c r="HW27" s="136">
        <v>314</v>
      </c>
      <c r="HX27" s="136">
        <v>319</v>
      </c>
      <c r="HY27" s="136">
        <v>317</v>
      </c>
      <c r="HZ27" s="136">
        <v>315.5</v>
      </c>
      <c r="IA27" s="136">
        <v>313.5</v>
      </c>
      <c r="IB27" s="136">
        <v>312.5</v>
      </c>
      <c r="IC27" s="136">
        <v>312.2</v>
      </c>
      <c r="ID27" s="136">
        <v>315.5</v>
      </c>
      <c r="IE27" s="136"/>
      <c r="IF27" s="136"/>
      <c r="IG27" s="136"/>
      <c r="IH27" s="136"/>
      <c r="II27" s="136"/>
      <c r="IJ27" s="136"/>
      <c r="IK27" s="136"/>
      <c r="IL27" s="136"/>
      <c r="IM27" s="136"/>
      <c r="IN27" s="136"/>
      <c r="IO27" s="136">
        <v>280</v>
      </c>
      <c r="IP27" s="136">
        <v>272</v>
      </c>
      <c r="IQ27" s="136">
        <v>275</v>
      </c>
      <c r="IR27" s="136">
        <v>274</v>
      </c>
      <c r="IS27" s="136">
        <v>265</v>
      </c>
      <c r="IT27" s="136">
        <v>268.5</v>
      </c>
      <c r="IU27" s="136">
        <v>270</v>
      </c>
      <c r="IV27" s="136">
        <v>272.10000000000002</v>
      </c>
      <c r="IW27" s="136"/>
      <c r="IX27" s="136"/>
      <c r="IY27" s="136"/>
      <c r="IZ27" s="136"/>
      <c r="JA27" s="136"/>
      <c r="JB27" s="136"/>
      <c r="JC27" s="136"/>
      <c r="JD27" s="136"/>
      <c r="JE27" s="136"/>
      <c r="JF27" s="136"/>
      <c r="JG27" s="136"/>
      <c r="JH27" s="136"/>
      <c r="JI27" s="136"/>
      <c r="JJ27" s="136"/>
      <c r="JK27" s="136"/>
      <c r="JL27" s="136"/>
      <c r="JM27" s="136"/>
      <c r="JN27" s="136"/>
      <c r="JO27" s="136"/>
      <c r="JP27" s="136"/>
      <c r="JQ27" s="136"/>
      <c r="JR27" s="136"/>
      <c r="JS27" s="136"/>
      <c r="JT27" s="136"/>
      <c r="JU27" s="136"/>
      <c r="JV27" s="136"/>
      <c r="JW27" s="136"/>
      <c r="JX27" s="136"/>
      <c r="JY27" s="136"/>
    </row>
    <row r="28" spans="1:285" x14ac:dyDescent="0.2">
      <c r="A28" s="136"/>
      <c r="B28" s="136"/>
      <c r="C28" s="136"/>
      <c r="D28" s="136"/>
      <c r="E28" s="136"/>
      <c r="F28" s="136"/>
      <c r="G28" s="136"/>
      <c r="H28" s="136"/>
      <c r="I28" s="136"/>
      <c r="J28" s="136">
        <v>255</v>
      </c>
      <c r="K28" s="136"/>
      <c r="L28" s="136"/>
      <c r="M28" s="136"/>
      <c r="N28" s="136"/>
      <c r="O28" s="136"/>
      <c r="P28" s="136"/>
      <c r="Q28" s="136"/>
      <c r="R28" s="136">
        <v>259.5</v>
      </c>
      <c r="S28" s="136"/>
      <c r="T28" s="136"/>
      <c r="U28" s="136"/>
      <c r="V28" s="136"/>
      <c r="W28" s="136"/>
      <c r="X28" s="136"/>
      <c r="Y28" s="136">
        <v>261.3</v>
      </c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>
        <v>256.89999999999998</v>
      </c>
      <c r="AN28" s="136"/>
      <c r="AO28" s="136"/>
      <c r="AP28" s="136"/>
      <c r="AQ28" s="136"/>
      <c r="AR28" s="136"/>
      <c r="AS28" s="136"/>
      <c r="AT28" s="136">
        <v>319.2</v>
      </c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>
        <v>314.3</v>
      </c>
      <c r="BK28" s="136"/>
      <c r="BL28" s="136"/>
      <c r="BM28" s="136"/>
      <c r="BN28" s="136"/>
      <c r="BO28" s="136"/>
      <c r="BP28" s="136"/>
      <c r="BQ28" s="136"/>
      <c r="BR28" s="136">
        <v>298.3</v>
      </c>
      <c r="BS28" s="136"/>
      <c r="BT28" s="136"/>
      <c r="BU28" s="136"/>
      <c r="BV28" s="136"/>
      <c r="BW28" s="136"/>
      <c r="BX28" s="136"/>
      <c r="BY28" s="136"/>
      <c r="BZ28" s="136"/>
      <c r="CA28" s="136">
        <v>298.5</v>
      </c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6"/>
      <c r="CO28" s="136"/>
      <c r="CP28" s="136"/>
      <c r="CQ28" s="136"/>
      <c r="CR28" s="136"/>
      <c r="CS28" s="136"/>
      <c r="CT28" s="136"/>
      <c r="CU28" s="136"/>
      <c r="CV28" s="136"/>
      <c r="CW28" s="136"/>
      <c r="CX28" s="136"/>
      <c r="CY28" s="136"/>
      <c r="CZ28" s="136"/>
      <c r="DA28" s="136">
        <v>306.39999999999998</v>
      </c>
      <c r="DB28" s="136"/>
      <c r="DC28" s="136"/>
      <c r="DD28" s="136"/>
      <c r="DE28" s="136"/>
      <c r="DF28" s="136"/>
      <c r="DG28" s="136">
        <v>310.39999999999998</v>
      </c>
      <c r="DH28" s="136"/>
      <c r="DI28" s="136"/>
      <c r="DJ28" s="136"/>
      <c r="DK28" s="136"/>
      <c r="DL28" s="136"/>
      <c r="DM28" s="136"/>
      <c r="DN28" s="136">
        <v>314.7</v>
      </c>
      <c r="DO28" s="136"/>
      <c r="DP28" s="136"/>
      <c r="DQ28" s="136"/>
      <c r="DR28" s="136"/>
      <c r="DS28" s="136"/>
      <c r="DT28" s="136"/>
      <c r="DU28" s="136"/>
      <c r="DV28" s="136">
        <v>312.89999999999998</v>
      </c>
      <c r="DW28" s="136"/>
      <c r="DX28" s="136"/>
      <c r="DY28" s="136"/>
      <c r="DZ28" s="136"/>
      <c r="EA28" s="136"/>
      <c r="EB28" s="136"/>
      <c r="EC28" s="136"/>
      <c r="ED28" s="136">
        <v>285.39999999999998</v>
      </c>
      <c r="EE28" s="136"/>
      <c r="EF28" s="136"/>
      <c r="EG28" s="136"/>
      <c r="EH28" s="136"/>
      <c r="EI28" s="136">
        <v>306.39999999999998</v>
      </c>
      <c r="EJ28" s="136"/>
      <c r="EK28" s="136"/>
      <c r="EL28" s="136"/>
      <c r="EM28" s="136"/>
      <c r="EN28" s="136"/>
      <c r="EO28" s="136"/>
      <c r="EP28" s="136"/>
      <c r="EQ28" s="136"/>
      <c r="ER28" s="136"/>
      <c r="ES28" s="136">
        <v>326</v>
      </c>
      <c r="ET28" s="136"/>
      <c r="EU28" s="136"/>
      <c r="EV28" s="136"/>
      <c r="EW28" s="136"/>
      <c r="EX28" s="136"/>
      <c r="EY28" s="136"/>
      <c r="EZ28" s="136"/>
      <c r="FA28" s="136">
        <v>327</v>
      </c>
      <c r="FB28" s="136"/>
      <c r="FC28" s="136"/>
      <c r="FD28" s="136"/>
      <c r="FE28" s="136"/>
      <c r="FF28" s="136"/>
      <c r="FG28" s="136"/>
      <c r="FH28" s="136"/>
      <c r="FI28" s="136"/>
      <c r="FJ28" s="136"/>
      <c r="FK28" s="136"/>
      <c r="FL28" s="136"/>
      <c r="FM28" s="136"/>
      <c r="FN28" s="136"/>
      <c r="FO28" s="136"/>
      <c r="FP28" s="136"/>
      <c r="FQ28" s="136"/>
      <c r="FR28" s="136"/>
      <c r="FS28" s="136"/>
      <c r="FT28" s="136"/>
      <c r="FU28" s="136"/>
      <c r="FV28" s="136"/>
      <c r="FW28" s="136"/>
      <c r="FX28" s="136">
        <v>310</v>
      </c>
      <c r="FY28" s="136"/>
      <c r="FZ28" s="136"/>
      <c r="GA28" s="136"/>
      <c r="GB28" s="136"/>
      <c r="GC28" s="136"/>
      <c r="GD28" s="136"/>
      <c r="GE28" s="136"/>
      <c r="GF28" s="136"/>
      <c r="GG28" s="136"/>
      <c r="GH28" s="136"/>
      <c r="GI28" s="136"/>
      <c r="GJ28" s="136"/>
      <c r="GK28" s="136"/>
      <c r="GL28" s="136"/>
      <c r="GM28" s="136"/>
      <c r="GN28" s="136"/>
      <c r="GO28" s="136"/>
      <c r="GP28" s="136"/>
      <c r="GQ28" s="136"/>
      <c r="GR28" s="136"/>
      <c r="GS28" s="136"/>
      <c r="GT28" s="136">
        <v>312</v>
      </c>
      <c r="GU28" s="136"/>
      <c r="GV28" s="136"/>
      <c r="GW28" s="136"/>
      <c r="GX28" s="136"/>
      <c r="GY28" s="136"/>
      <c r="GZ28" s="136">
        <v>329</v>
      </c>
      <c r="HA28" s="136"/>
      <c r="HB28" s="136"/>
      <c r="HC28" s="136"/>
      <c r="HD28" s="136"/>
      <c r="HE28" s="136"/>
      <c r="HF28" s="136"/>
      <c r="HG28" s="136"/>
      <c r="HH28" s="136">
        <v>301</v>
      </c>
      <c r="HI28" s="136"/>
      <c r="HJ28" s="136"/>
      <c r="HK28" s="136"/>
      <c r="HL28" s="136"/>
      <c r="HM28" s="136">
        <v>321.39999999999998</v>
      </c>
      <c r="HN28" s="136"/>
      <c r="HO28" s="136"/>
      <c r="HP28" s="136"/>
      <c r="HQ28" s="136"/>
      <c r="HR28" s="136"/>
      <c r="HS28" s="136"/>
      <c r="HT28" s="136">
        <v>311</v>
      </c>
      <c r="HU28" s="136"/>
      <c r="HV28" s="136"/>
      <c r="HW28" s="136"/>
      <c r="HX28" s="136"/>
      <c r="HY28" s="136"/>
      <c r="HZ28" s="136"/>
      <c r="IA28" s="136"/>
      <c r="IB28" s="136"/>
      <c r="IC28" s="136"/>
      <c r="ID28" s="136">
        <v>312.2</v>
      </c>
      <c r="IE28" s="136"/>
      <c r="IF28" s="136"/>
      <c r="IG28" s="136"/>
      <c r="IH28" s="136"/>
      <c r="II28" s="136"/>
      <c r="IJ28" s="136"/>
      <c r="IK28" s="136"/>
      <c r="IL28" s="136"/>
      <c r="IM28" s="136"/>
      <c r="IN28" s="136"/>
      <c r="IO28" s="136"/>
      <c r="IP28" s="136"/>
      <c r="IQ28" s="136"/>
      <c r="IR28" s="136"/>
      <c r="IS28" s="136"/>
      <c r="IT28" s="136"/>
      <c r="IU28" s="136"/>
      <c r="IV28" s="136">
        <v>265</v>
      </c>
      <c r="IW28" s="136"/>
      <c r="IX28" s="136"/>
      <c r="IY28" s="136"/>
      <c r="IZ28" s="136"/>
      <c r="JA28" s="136"/>
      <c r="JB28" s="136"/>
      <c r="JC28" s="136"/>
      <c r="JD28" s="136"/>
      <c r="JE28" s="136"/>
      <c r="JF28" s="136"/>
      <c r="JG28" s="136"/>
      <c r="JH28" s="136"/>
      <c r="JI28" s="136"/>
      <c r="JJ28" s="136"/>
      <c r="JK28" s="136"/>
      <c r="JL28" s="136"/>
      <c r="JM28" s="136"/>
      <c r="JN28" s="136"/>
      <c r="JO28" s="136"/>
      <c r="JP28" s="136"/>
      <c r="JQ28" s="136"/>
      <c r="JR28" s="136"/>
      <c r="JS28" s="136"/>
      <c r="JT28" s="136"/>
      <c r="JU28" s="136"/>
      <c r="JV28" s="136"/>
      <c r="JW28" s="136"/>
      <c r="JX28" s="136"/>
      <c r="JY28" s="136"/>
    </row>
    <row r="29" spans="1:285" x14ac:dyDescent="0.2">
      <c r="A29" s="136"/>
      <c r="B29" s="136"/>
      <c r="C29" s="136"/>
      <c r="D29" s="136"/>
      <c r="E29" s="136"/>
      <c r="F29" s="136"/>
      <c r="G29" s="136"/>
      <c r="H29" s="136"/>
      <c r="I29" s="136"/>
      <c r="J29" s="136">
        <v>294.10000000000002</v>
      </c>
      <c r="K29" s="136"/>
      <c r="L29" s="136"/>
      <c r="M29" s="136"/>
      <c r="N29" s="136"/>
      <c r="O29" s="136"/>
      <c r="P29" s="136"/>
      <c r="Q29" s="136"/>
      <c r="R29" s="136">
        <v>278.5</v>
      </c>
      <c r="S29" s="136"/>
      <c r="T29" s="136"/>
      <c r="U29" s="136"/>
      <c r="V29" s="136"/>
      <c r="W29" s="136"/>
      <c r="X29" s="136"/>
      <c r="Y29" s="136">
        <v>272.2</v>
      </c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>
        <v>264.3</v>
      </c>
      <c r="AN29" s="136"/>
      <c r="AO29" s="136"/>
      <c r="AP29" s="136"/>
      <c r="AQ29" s="136"/>
      <c r="AR29" s="136"/>
      <c r="AS29" s="136"/>
      <c r="AT29" s="136">
        <v>322.8</v>
      </c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>
        <v>321.60000000000002</v>
      </c>
      <c r="BK29" s="136"/>
      <c r="BL29" s="136"/>
      <c r="BM29" s="136"/>
      <c r="BN29" s="136"/>
      <c r="BO29" s="136"/>
      <c r="BP29" s="136"/>
      <c r="BQ29" s="136"/>
      <c r="BR29" s="136">
        <v>311.39999999999998</v>
      </c>
      <c r="BS29" s="136"/>
      <c r="BT29" s="136"/>
      <c r="BU29" s="136"/>
      <c r="BV29" s="136"/>
      <c r="BW29" s="136"/>
      <c r="BX29" s="136"/>
      <c r="BY29" s="136"/>
      <c r="BZ29" s="136"/>
      <c r="CA29" s="136">
        <v>311.10000000000002</v>
      </c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6"/>
      <c r="CO29" s="136"/>
      <c r="CP29" s="136"/>
      <c r="CQ29" s="136"/>
      <c r="CR29" s="136"/>
      <c r="CS29" s="136"/>
      <c r="CT29" s="136"/>
      <c r="CU29" s="136"/>
      <c r="CV29" s="136"/>
      <c r="CW29" s="136"/>
      <c r="CX29" s="136"/>
      <c r="CY29" s="136"/>
      <c r="CZ29" s="136"/>
      <c r="DA29" s="136">
        <v>315.39999999999998</v>
      </c>
      <c r="DB29" s="136"/>
      <c r="DC29" s="136"/>
      <c r="DD29" s="136"/>
      <c r="DE29" s="136"/>
      <c r="DF29" s="136"/>
      <c r="DG29" s="136">
        <v>315.39999999999998</v>
      </c>
      <c r="DH29" s="136"/>
      <c r="DI29" s="136"/>
      <c r="DJ29" s="136"/>
      <c r="DK29" s="136"/>
      <c r="DL29" s="136"/>
      <c r="DM29" s="136"/>
      <c r="DN29" s="136">
        <v>318.39999999999998</v>
      </c>
      <c r="DO29" s="136"/>
      <c r="DP29" s="136"/>
      <c r="DQ29" s="136"/>
      <c r="DR29" s="136"/>
      <c r="DS29" s="136"/>
      <c r="DT29" s="136"/>
      <c r="DU29" s="136"/>
      <c r="DV29" s="136">
        <v>320.39999999999998</v>
      </c>
      <c r="DW29" s="136"/>
      <c r="DX29" s="136"/>
      <c r="DY29" s="136"/>
      <c r="DZ29" s="136"/>
      <c r="EA29" s="136"/>
      <c r="EB29" s="136"/>
      <c r="EC29" s="136"/>
      <c r="ED29" s="136">
        <v>308.39999999999998</v>
      </c>
      <c r="EE29" s="136"/>
      <c r="EF29" s="136"/>
      <c r="EG29" s="136"/>
      <c r="EH29" s="136"/>
      <c r="EI29" s="136">
        <v>312.39999999999998</v>
      </c>
      <c r="EJ29" s="136"/>
      <c r="EK29" s="136"/>
      <c r="EL29" s="136"/>
      <c r="EM29" s="136"/>
      <c r="EN29" s="136"/>
      <c r="EO29" s="136"/>
      <c r="EP29" s="136"/>
      <c r="EQ29" s="136"/>
      <c r="ER29" s="136"/>
      <c r="ES29" s="136">
        <v>337</v>
      </c>
      <c r="ET29" s="136"/>
      <c r="EU29" s="136"/>
      <c r="EV29" s="136"/>
      <c r="EW29" s="136"/>
      <c r="EX29" s="136"/>
      <c r="EY29" s="136"/>
      <c r="EZ29" s="136"/>
      <c r="FA29" s="136">
        <v>335</v>
      </c>
      <c r="FB29" s="136"/>
      <c r="FC29" s="136"/>
      <c r="FD29" s="136"/>
      <c r="FE29" s="136"/>
      <c r="FF29" s="136"/>
      <c r="FG29" s="136"/>
      <c r="FH29" s="136"/>
      <c r="FI29" s="136"/>
      <c r="FJ29" s="136"/>
      <c r="FK29" s="136"/>
      <c r="FL29" s="136"/>
      <c r="FM29" s="136"/>
      <c r="FN29" s="136"/>
      <c r="FO29" s="136"/>
      <c r="FP29" s="136"/>
      <c r="FQ29" s="136"/>
      <c r="FR29" s="136"/>
      <c r="FS29" s="136"/>
      <c r="FT29" s="136"/>
      <c r="FU29" s="136"/>
      <c r="FV29" s="136"/>
      <c r="FW29" s="136"/>
      <c r="FX29" s="136">
        <v>394</v>
      </c>
      <c r="FY29" s="136"/>
      <c r="FZ29" s="136"/>
      <c r="GA29" s="136"/>
      <c r="GB29" s="136"/>
      <c r="GC29" s="136"/>
      <c r="GD29" s="136"/>
      <c r="GE29" s="136"/>
      <c r="GF29" s="136"/>
      <c r="GG29" s="136"/>
      <c r="GH29" s="136"/>
      <c r="GI29" s="136"/>
      <c r="GJ29" s="136"/>
      <c r="GK29" s="136"/>
      <c r="GL29" s="136"/>
      <c r="GM29" s="136"/>
      <c r="GN29" s="136"/>
      <c r="GO29" s="136"/>
      <c r="GP29" s="136"/>
      <c r="GQ29" s="136"/>
      <c r="GR29" s="136"/>
      <c r="GS29" s="136"/>
      <c r="GT29" s="136">
        <v>341</v>
      </c>
      <c r="GU29" s="136"/>
      <c r="GV29" s="136"/>
      <c r="GW29" s="136"/>
      <c r="GX29" s="136"/>
      <c r="GY29" s="136"/>
      <c r="GZ29" s="136">
        <v>340.5</v>
      </c>
      <c r="HA29" s="136"/>
      <c r="HB29" s="136"/>
      <c r="HC29" s="136"/>
      <c r="HD29" s="136"/>
      <c r="HE29" s="136"/>
      <c r="HF29" s="136"/>
      <c r="HG29" s="136"/>
      <c r="HH29" s="136">
        <v>311</v>
      </c>
      <c r="HI29" s="136"/>
      <c r="HJ29" s="136"/>
      <c r="HK29" s="136"/>
      <c r="HL29" s="136"/>
      <c r="HM29" s="136">
        <v>324</v>
      </c>
      <c r="HN29" s="136"/>
      <c r="HO29" s="136"/>
      <c r="HP29" s="136"/>
      <c r="HQ29" s="136"/>
      <c r="HR29" s="136"/>
      <c r="HS29" s="136"/>
      <c r="HT29" s="136">
        <v>319.5</v>
      </c>
      <c r="HU29" s="136"/>
      <c r="HV29" s="136"/>
      <c r="HW29" s="136"/>
      <c r="HX29" s="136"/>
      <c r="HY29" s="136"/>
      <c r="HZ29" s="136"/>
      <c r="IA29" s="136"/>
      <c r="IB29" s="136"/>
      <c r="IC29" s="136"/>
      <c r="ID29" s="136">
        <v>321</v>
      </c>
      <c r="IE29" s="136"/>
      <c r="IF29" s="136"/>
      <c r="IG29" s="136"/>
      <c r="IH29" s="136"/>
      <c r="II29" s="136"/>
      <c r="IJ29" s="136"/>
      <c r="IK29" s="136"/>
      <c r="IL29" s="136"/>
      <c r="IM29" s="136"/>
      <c r="IN29" s="136"/>
      <c r="IO29" s="136"/>
      <c r="IP29" s="136"/>
      <c r="IQ29" s="136"/>
      <c r="IR29" s="136"/>
      <c r="IS29" s="136"/>
      <c r="IT29" s="136"/>
      <c r="IU29" s="136"/>
      <c r="IV29" s="136">
        <v>280</v>
      </c>
      <c r="IW29" s="136"/>
      <c r="IX29" s="136"/>
      <c r="IY29" s="136"/>
      <c r="IZ29" s="136"/>
      <c r="JA29" s="136"/>
      <c r="JB29" s="136"/>
      <c r="JC29" s="136"/>
      <c r="JD29" s="136"/>
      <c r="JE29" s="136"/>
      <c r="JF29" s="136"/>
      <c r="JG29" s="136"/>
      <c r="JH29" s="136"/>
      <c r="JI29" s="136"/>
      <c r="JJ29" s="136"/>
      <c r="JK29" s="136"/>
      <c r="JL29" s="136"/>
      <c r="JM29" s="136"/>
      <c r="JN29" s="136"/>
      <c r="JO29" s="136"/>
      <c r="JP29" s="136"/>
      <c r="JQ29" s="136"/>
      <c r="JR29" s="136"/>
      <c r="JS29" s="136"/>
      <c r="JT29" s="136"/>
      <c r="JU29" s="136"/>
      <c r="JV29" s="136"/>
      <c r="JW29" s="136"/>
      <c r="JX29" s="136"/>
      <c r="JY29" s="136"/>
    </row>
    <row r="30" spans="1:285" x14ac:dyDescent="0.2">
      <c r="A30" s="136" t="s">
        <v>1695</v>
      </c>
      <c r="B30" s="136"/>
      <c r="C30" s="136"/>
      <c r="D30" s="136"/>
      <c r="E30" s="136"/>
      <c r="F30" s="136"/>
      <c r="G30" s="136"/>
      <c r="H30" s="136"/>
      <c r="I30" s="136"/>
      <c r="J30" s="136">
        <v>16.100000000000001</v>
      </c>
      <c r="K30" s="136"/>
      <c r="L30" s="136"/>
      <c r="M30" s="136"/>
      <c r="N30" s="136"/>
      <c r="O30" s="136"/>
      <c r="P30" s="136"/>
      <c r="Q30" s="136"/>
      <c r="R30" s="136">
        <v>5.3</v>
      </c>
      <c r="S30" s="136"/>
      <c r="T30" s="136"/>
      <c r="U30" s="136"/>
      <c r="V30" s="136"/>
      <c r="W30" s="136"/>
      <c r="X30" s="136"/>
      <c r="Y30" s="136">
        <v>4.0999999999999996</v>
      </c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>
        <v>2.2999999999999998</v>
      </c>
      <c r="AN30" s="136"/>
      <c r="AO30" s="136"/>
      <c r="AP30" s="136"/>
      <c r="AQ30" s="136"/>
      <c r="AR30" s="136"/>
      <c r="AS30" s="136"/>
      <c r="AT30" s="136">
        <v>1.5</v>
      </c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>
        <v>3.4</v>
      </c>
      <c r="BK30" s="136"/>
      <c r="BL30" s="136"/>
      <c r="BM30" s="136"/>
      <c r="BN30" s="136"/>
      <c r="BO30" s="136"/>
      <c r="BP30" s="136"/>
      <c r="BQ30" s="136"/>
      <c r="BR30" s="136">
        <v>4.2</v>
      </c>
      <c r="BS30" s="136"/>
      <c r="BT30" s="136"/>
      <c r="BU30" s="136"/>
      <c r="BV30" s="136"/>
      <c r="BW30" s="136"/>
      <c r="BX30" s="136"/>
      <c r="BY30" s="136"/>
      <c r="BZ30" s="136"/>
      <c r="CA30" s="136">
        <v>5.3</v>
      </c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6"/>
      <c r="CY30" s="136"/>
      <c r="CZ30" s="136"/>
      <c r="DA30" s="136">
        <v>4.9000000000000004</v>
      </c>
      <c r="DB30" s="136"/>
      <c r="DC30" s="136"/>
      <c r="DD30" s="136"/>
      <c r="DE30" s="136"/>
      <c r="DF30" s="136"/>
      <c r="DG30" s="136">
        <v>2.5</v>
      </c>
      <c r="DH30" s="136"/>
      <c r="DI30" s="136"/>
      <c r="DJ30" s="136"/>
      <c r="DK30" s="136"/>
      <c r="DL30" s="136"/>
      <c r="DM30" s="136"/>
      <c r="DN30" s="136">
        <v>2.5</v>
      </c>
      <c r="DO30" s="136"/>
      <c r="DP30" s="136"/>
      <c r="DQ30" s="136"/>
      <c r="DR30" s="136"/>
      <c r="DS30" s="136"/>
      <c r="DT30" s="136"/>
      <c r="DU30" s="136"/>
      <c r="DV30" s="136">
        <v>3.3</v>
      </c>
      <c r="DW30" s="136"/>
      <c r="DX30" s="136"/>
      <c r="DY30" s="136"/>
      <c r="DZ30" s="136"/>
      <c r="EA30" s="136"/>
      <c r="EB30" s="136"/>
      <c r="EC30" s="136"/>
      <c r="ED30" s="136">
        <v>12.4</v>
      </c>
      <c r="EE30" s="136"/>
      <c r="EF30" s="136"/>
      <c r="EG30" s="136"/>
      <c r="EH30" s="136"/>
      <c r="EI30" s="136">
        <v>4.3</v>
      </c>
      <c r="EJ30" s="136"/>
      <c r="EK30" s="136"/>
      <c r="EL30" s="136"/>
      <c r="EM30" s="136"/>
      <c r="EN30" s="136"/>
      <c r="EO30" s="136"/>
      <c r="EP30" s="136"/>
      <c r="EQ30" s="136"/>
      <c r="ER30" s="136"/>
      <c r="ES30" s="136">
        <v>3.6</v>
      </c>
      <c r="ET30" s="136"/>
      <c r="EU30" s="136"/>
      <c r="EV30" s="136"/>
      <c r="EW30" s="136"/>
      <c r="EX30" s="136"/>
      <c r="EY30" s="136"/>
      <c r="EZ30" s="136"/>
      <c r="FA30" s="136">
        <v>2.6</v>
      </c>
      <c r="FB30" s="136"/>
      <c r="FC30" s="136"/>
      <c r="FD30" s="136"/>
      <c r="FE30" s="136"/>
      <c r="FF30" s="136"/>
      <c r="FG30" s="136"/>
      <c r="FH30" s="136"/>
      <c r="FI30" s="136"/>
      <c r="FJ30" s="136"/>
      <c r="FK30" s="136"/>
      <c r="FL30" s="136"/>
      <c r="FM30" s="136"/>
      <c r="FN30" s="136"/>
      <c r="FO30" s="136"/>
      <c r="FP30" s="136"/>
      <c r="FQ30" s="136"/>
      <c r="FR30" s="136"/>
      <c r="FS30" s="136"/>
      <c r="FT30" s="136"/>
      <c r="FU30" s="136"/>
      <c r="FV30" s="136"/>
      <c r="FW30" s="136"/>
      <c r="FX30" s="136">
        <v>22.1</v>
      </c>
      <c r="FY30" s="136"/>
      <c r="FZ30" s="136"/>
      <c r="GA30" s="136"/>
      <c r="GB30" s="136"/>
      <c r="GC30" s="136"/>
      <c r="GD30" s="136"/>
      <c r="GE30" s="136"/>
      <c r="GF30" s="136"/>
      <c r="GG30" s="136"/>
      <c r="GH30" s="136"/>
      <c r="GI30" s="136"/>
      <c r="GJ30" s="136"/>
      <c r="GK30" s="136"/>
      <c r="GL30" s="136"/>
      <c r="GM30" s="136"/>
      <c r="GN30" s="136"/>
      <c r="GO30" s="136"/>
      <c r="GP30" s="136"/>
      <c r="GQ30" s="136"/>
      <c r="GR30" s="136"/>
      <c r="GS30" s="136"/>
      <c r="GT30" s="136">
        <v>14.8</v>
      </c>
      <c r="GU30" s="136"/>
      <c r="GV30" s="136"/>
      <c r="GW30" s="136"/>
      <c r="GX30" s="136"/>
      <c r="GY30" s="136"/>
      <c r="GZ30" s="136">
        <v>5.0999999999999996</v>
      </c>
      <c r="HA30" s="136"/>
      <c r="HB30" s="136"/>
      <c r="HC30" s="136"/>
      <c r="HD30" s="136"/>
      <c r="HE30" s="136"/>
      <c r="HF30" s="136"/>
      <c r="HG30" s="136"/>
      <c r="HH30" s="136">
        <v>5.0999999999999996</v>
      </c>
      <c r="HI30" s="136"/>
      <c r="HJ30" s="136"/>
      <c r="HK30" s="136"/>
      <c r="HL30" s="136"/>
      <c r="HM30" s="136">
        <v>1.2</v>
      </c>
      <c r="HN30" s="136"/>
      <c r="HO30" s="136"/>
      <c r="HP30" s="136"/>
      <c r="HQ30" s="136"/>
      <c r="HR30" s="136"/>
      <c r="HS30" s="136"/>
      <c r="HT30" s="136">
        <v>5.3</v>
      </c>
      <c r="HU30" s="136"/>
      <c r="HV30" s="136"/>
      <c r="HW30" s="136"/>
      <c r="HX30" s="136"/>
      <c r="HY30" s="136"/>
      <c r="HZ30" s="136"/>
      <c r="IA30" s="136"/>
      <c r="IB30" s="136"/>
      <c r="IC30" s="136"/>
      <c r="ID30" s="136">
        <v>3.3</v>
      </c>
      <c r="IE30" s="136"/>
      <c r="IF30" s="136"/>
      <c r="IG30" s="136"/>
      <c r="IH30" s="136"/>
      <c r="II30" s="136"/>
      <c r="IJ30" s="136"/>
      <c r="IK30" s="136"/>
      <c r="IL30" s="136"/>
      <c r="IM30" s="136"/>
      <c r="IN30" s="136"/>
      <c r="IO30" s="136"/>
      <c r="IP30" s="136"/>
      <c r="IQ30" s="136"/>
      <c r="IR30" s="136"/>
      <c r="IS30" s="136"/>
      <c r="IT30" s="136"/>
      <c r="IU30" s="136"/>
      <c r="IV30" s="136">
        <v>7.1</v>
      </c>
      <c r="IW30" s="136"/>
      <c r="IX30" s="136"/>
      <c r="IY30" s="136"/>
      <c r="IZ30" s="136"/>
      <c r="JA30" s="136"/>
      <c r="JB30" s="136"/>
      <c r="JC30" s="136"/>
      <c r="JD30" s="136"/>
      <c r="JE30" s="136"/>
      <c r="JF30" s="136"/>
      <c r="JG30" s="136"/>
      <c r="JH30" s="136"/>
      <c r="JI30" s="136"/>
      <c r="JJ30" s="136"/>
      <c r="JK30" s="136"/>
      <c r="JL30" s="136"/>
      <c r="JM30" s="136"/>
      <c r="JN30" s="136"/>
      <c r="JO30" s="136"/>
      <c r="JP30" s="136"/>
      <c r="JQ30" s="136"/>
      <c r="JR30" s="136"/>
      <c r="JS30" s="136"/>
      <c r="JT30" s="136"/>
      <c r="JU30" s="136"/>
      <c r="JV30" s="136"/>
      <c r="JW30" s="136"/>
      <c r="JX30" s="136"/>
      <c r="JY30" s="136"/>
    </row>
    <row r="31" spans="1:285" x14ac:dyDescent="0.2">
      <c r="A31" s="136" t="s">
        <v>1696</v>
      </c>
      <c r="B31" s="136"/>
      <c r="C31" s="136"/>
      <c r="D31" s="136"/>
      <c r="E31" s="136"/>
      <c r="F31" s="136"/>
      <c r="G31" s="136"/>
      <c r="H31" s="136"/>
      <c r="I31" s="136"/>
      <c r="J31" s="136">
        <v>23</v>
      </c>
      <c r="K31" s="136"/>
      <c r="L31" s="136"/>
      <c r="M31" s="136"/>
      <c r="N31" s="136"/>
      <c r="O31" s="136"/>
      <c r="P31" s="136"/>
      <c r="Q31" s="136"/>
      <c r="R31" s="136">
        <v>13.7</v>
      </c>
      <c r="S31" s="136"/>
      <c r="T31" s="136"/>
      <c r="U31" s="136"/>
      <c r="V31" s="136"/>
      <c r="W31" s="136"/>
      <c r="X31" s="136"/>
      <c r="Y31" s="136">
        <v>6.8</v>
      </c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>
        <v>5.0999999999999996</v>
      </c>
      <c r="AN31" s="136"/>
      <c r="AO31" s="136"/>
      <c r="AP31" s="136"/>
      <c r="AQ31" s="136"/>
      <c r="AR31" s="136"/>
      <c r="AS31" s="136"/>
      <c r="AT31" s="136">
        <v>2.2000000000000002</v>
      </c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>
        <v>3.9</v>
      </c>
      <c r="BK31" s="136"/>
      <c r="BL31" s="136"/>
      <c r="BM31" s="136"/>
      <c r="BN31" s="136"/>
      <c r="BO31" s="136"/>
      <c r="BP31" s="136"/>
      <c r="BQ31" s="136"/>
      <c r="BR31" s="136">
        <v>8.9</v>
      </c>
      <c r="BS31" s="136"/>
      <c r="BT31" s="136"/>
      <c r="BU31" s="136"/>
      <c r="BV31" s="136"/>
      <c r="BW31" s="136"/>
      <c r="BX31" s="136"/>
      <c r="BY31" s="136"/>
      <c r="BZ31" s="136"/>
      <c r="CA31" s="136">
        <v>7.3</v>
      </c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6"/>
      <c r="CO31" s="136"/>
      <c r="CP31" s="136"/>
      <c r="CQ31" s="136"/>
      <c r="CR31" s="136"/>
      <c r="CS31" s="136"/>
      <c r="CT31" s="136"/>
      <c r="CU31" s="136"/>
      <c r="CV31" s="136"/>
      <c r="CW31" s="136"/>
      <c r="CX31" s="136"/>
      <c r="CY31" s="136"/>
      <c r="CZ31" s="136"/>
      <c r="DA31" s="136">
        <v>4.0999999999999996</v>
      </c>
      <c r="DB31" s="136"/>
      <c r="DC31" s="136"/>
      <c r="DD31" s="136"/>
      <c r="DE31" s="136"/>
      <c r="DF31" s="136"/>
      <c r="DG31" s="136">
        <v>2.5</v>
      </c>
      <c r="DH31" s="136"/>
      <c r="DI31" s="136"/>
      <c r="DJ31" s="136"/>
      <c r="DK31" s="136"/>
      <c r="DL31" s="136"/>
      <c r="DM31" s="136"/>
      <c r="DN31" s="136">
        <v>1.3</v>
      </c>
      <c r="DO31" s="136"/>
      <c r="DP31" s="136"/>
      <c r="DQ31" s="136"/>
      <c r="DR31" s="136"/>
      <c r="DS31" s="136"/>
      <c r="DT31" s="136"/>
      <c r="DU31" s="136"/>
      <c r="DV31" s="136">
        <v>4.2</v>
      </c>
      <c r="DW31" s="136"/>
      <c r="DX31" s="136"/>
      <c r="DY31" s="136"/>
      <c r="DZ31" s="136"/>
      <c r="EA31" s="136"/>
      <c r="EB31" s="136"/>
      <c r="EC31" s="136"/>
      <c r="ED31" s="136">
        <v>10.6</v>
      </c>
      <c r="EE31" s="136"/>
      <c r="EF31" s="136"/>
      <c r="EG31" s="136"/>
      <c r="EH31" s="136"/>
      <c r="EI31" s="136">
        <v>1.8</v>
      </c>
      <c r="EJ31" s="136"/>
      <c r="EK31" s="136"/>
      <c r="EL31" s="136"/>
      <c r="EM31" s="136"/>
      <c r="EN31" s="136"/>
      <c r="EO31" s="136"/>
      <c r="EP31" s="136"/>
      <c r="EQ31" s="136"/>
      <c r="ER31" s="136"/>
      <c r="ES31" s="136">
        <v>7.4</v>
      </c>
      <c r="ET31" s="136"/>
      <c r="EU31" s="136"/>
      <c r="EV31" s="136"/>
      <c r="EW31" s="136"/>
      <c r="EX31" s="136"/>
      <c r="EY31" s="136"/>
      <c r="EZ31" s="136"/>
      <c r="FA31" s="136">
        <v>5.4</v>
      </c>
      <c r="FB31" s="136"/>
      <c r="FC31" s="136"/>
      <c r="FD31" s="136"/>
      <c r="FE31" s="136"/>
      <c r="FF31" s="136"/>
      <c r="FG31" s="136"/>
      <c r="FH31" s="136"/>
      <c r="FI31" s="136"/>
      <c r="FJ31" s="136"/>
      <c r="FK31" s="136"/>
      <c r="FL31" s="136"/>
      <c r="FM31" s="136"/>
      <c r="FN31" s="136"/>
      <c r="FO31" s="136"/>
      <c r="FP31" s="136"/>
      <c r="FQ31" s="136"/>
      <c r="FR31" s="136"/>
      <c r="FS31" s="136"/>
      <c r="FT31" s="136"/>
      <c r="FU31" s="136"/>
      <c r="FV31" s="136"/>
      <c r="FW31" s="136"/>
      <c r="FX31" s="136">
        <v>61.9</v>
      </c>
      <c r="FY31" s="136"/>
      <c r="FZ31" s="136"/>
      <c r="GA31" s="136"/>
      <c r="GB31" s="136"/>
      <c r="GC31" s="136"/>
      <c r="GD31" s="136"/>
      <c r="GE31" s="136"/>
      <c r="GF31" s="136"/>
      <c r="GG31" s="136"/>
      <c r="GH31" s="136"/>
      <c r="GI31" s="136"/>
      <c r="GJ31" s="136"/>
      <c r="GK31" s="136"/>
      <c r="GL31" s="136"/>
      <c r="GM31" s="136"/>
      <c r="GN31" s="136"/>
      <c r="GO31" s="136"/>
      <c r="GP31" s="136"/>
      <c r="GQ31" s="136"/>
      <c r="GR31" s="136"/>
      <c r="GS31" s="136"/>
      <c r="GT31" s="136">
        <v>14.2</v>
      </c>
      <c r="GU31" s="136"/>
      <c r="GV31" s="136"/>
      <c r="GW31" s="136"/>
      <c r="GX31" s="136"/>
      <c r="GY31" s="136"/>
      <c r="GZ31" s="136">
        <v>6.4</v>
      </c>
      <c r="HA31" s="136"/>
      <c r="HB31" s="136"/>
      <c r="HC31" s="136"/>
      <c r="HD31" s="136"/>
      <c r="HE31" s="136"/>
      <c r="HF31" s="136"/>
      <c r="HG31" s="136"/>
      <c r="HH31" s="136">
        <v>4.9000000000000004</v>
      </c>
      <c r="HI31" s="136"/>
      <c r="HJ31" s="136"/>
      <c r="HK31" s="136"/>
      <c r="HL31" s="136"/>
      <c r="HM31" s="136">
        <v>1.4</v>
      </c>
      <c r="HN31" s="136"/>
      <c r="HO31" s="136"/>
      <c r="HP31" s="136"/>
      <c r="HQ31" s="136"/>
      <c r="HR31" s="136"/>
      <c r="HS31" s="136"/>
      <c r="HT31" s="136">
        <v>3.2</v>
      </c>
      <c r="HU31" s="136"/>
      <c r="HV31" s="136"/>
      <c r="HW31" s="136"/>
      <c r="HX31" s="136"/>
      <c r="HY31" s="136"/>
      <c r="HZ31" s="136"/>
      <c r="IA31" s="136"/>
      <c r="IB31" s="136"/>
      <c r="IC31" s="136"/>
      <c r="ID31" s="136">
        <v>5.5</v>
      </c>
      <c r="IE31" s="136"/>
      <c r="IF31" s="136"/>
      <c r="IG31" s="136"/>
      <c r="IH31" s="136"/>
      <c r="II31" s="136"/>
      <c r="IJ31" s="136"/>
      <c r="IK31" s="136"/>
      <c r="IL31" s="136"/>
      <c r="IM31" s="136"/>
      <c r="IN31" s="136"/>
      <c r="IO31" s="136"/>
      <c r="IP31" s="136"/>
      <c r="IQ31" s="136"/>
      <c r="IR31" s="136"/>
      <c r="IS31" s="136"/>
      <c r="IT31" s="136"/>
      <c r="IU31" s="136"/>
      <c r="IV31" s="136">
        <v>7.9</v>
      </c>
      <c r="IW31" s="136"/>
      <c r="IX31" s="136"/>
      <c r="IY31" s="136"/>
      <c r="IZ31" s="136"/>
      <c r="JA31" s="136"/>
      <c r="JB31" s="136"/>
      <c r="JC31" s="136"/>
      <c r="JD31" s="136"/>
      <c r="JE31" s="136"/>
      <c r="JF31" s="136"/>
      <c r="JG31" s="136"/>
      <c r="JH31" s="136"/>
      <c r="JI31" s="136"/>
      <c r="JJ31" s="136"/>
      <c r="JK31" s="136"/>
      <c r="JL31" s="136"/>
      <c r="JM31" s="136"/>
      <c r="JN31" s="136"/>
      <c r="JO31" s="136"/>
      <c r="JP31" s="136"/>
      <c r="JQ31" s="136"/>
      <c r="JR31" s="136"/>
      <c r="JS31" s="136"/>
      <c r="JT31" s="136"/>
      <c r="JU31" s="136"/>
      <c r="JV31" s="136"/>
      <c r="JW31" s="136"/>
      <c r="JX31" s="136"/>
      <c r="JY31" s="136"/>
    </row>
    <row r="32" spans="1:285" x14ac:dyDescent="0.2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36"/>
      <c r="BX32" s="136"/>
      <c r="BY32" s="136"/>
      <c r="BZ32" s="136"/>
      <c r="CA32" s="136"/>
      <c r="CB32" s="136"/>
      <c r="CC32" s="136"/>
      <c r="CD32" s="136"/>
      <c r="CE32" s="136"/>
      <c r="CF32" s="136"/>
      <c r="CG32" s="136"/>
      <c r="CH32" s="136"/>
      <c r="CI32" s="136"/>
      <c r="CJ32" s="136"/>
      <c r="CK32" s="136"/>
      <c r="CL32" s="136"/>
      <c r="CM32" s="136"/>
      <c r="CN32" s="136"/>
      <c r="CO32" s="136"/>
      <c r="CP32" s="136"/>
      <c r="CQ32" s="136"/>
      <c r="CR32" s="136"/>
      <c r="CS32" s="136"/>
      <c r="CT32" s="136"/>
      <c r="CU32" s="136"/>
      <c r="CV32" s="136"/>
      <c r="CW32" s="136"/>
      <c r="CX32" s="136"/>
      <c r="CY32" s="136"/>
      <c r="CZ32" s="136"/>
      <c r="DA32" s="136"/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6"/>
      <c r="DO32" s="136"/>
      <c r="DP32" s="136"/>
      <c r="DQ32" s="136"/>
      <c r="DR32" s="136"/>
      <c r="DS32" s="136"/>
      <c r="DT32" s="136"/>
      <c r="DU32" s="136"/>
      <c r="DV32" s="136"/>
      <c r="DW32" s="136"/>
      <c r="DX32" s="136"/>
      <c r="DY32" s="136"/>
      <c r="DZ32" s="136"/>
      <c r="EA32" s="136"/>
      <c r="EB32" s="136"/>
      <c r="EC32" s="136"/>
      <c r="ED32" s="136"/>
      <c r="EE32" s="136"/>
      <c r="EF32" s="136"/>
      <c r="EG32" s="136"/>
      <c r="EH32" s="136"/>
      <c r="EI32" s="136"/>
      <c r="EJ32" s="136"/>
      <c r="EK32" s="136"/>
      <c r="EL32" s="136"/>
      <c r="EM32" s="136"/>
      <c r="EN32" s="136"/>
      <c r="EO32" s="136"/>
      <c r="EP32" s="136"/>
      <c r="EQ32" s="136"/>
      <c r="ER32" s="136"/>
      <c r="ES32" s="136"/>
      <c r="ET32" s="136"/>
      <c r="EU32" s="136"/>
      <c r="EV32" s="136"/>
      <c r="EW32" s="136"/>
      <c r="EX32" s="136"/>
      <c r="EY32" s="136"/>
      <c r="EZ32" s="136"/>
      <c r="FA32" s="136"/>
      <c r="FB32" s="136"/>
      <c r="FC32" s="136"/>
      <c r="FD32" s="136"/>
      <c r="FE32" s="136"/>
      <c r="FF32" s="136"/>
      <c r="FG32" s="136"/>
      <c r="FH32" s="136"/>
      <c r="FI32" s="136"/>
      <c r="FJ32" s="136"/>
      <c r="FK32" s="136"/>
      <c r="FL32" s="136"/>
      <c r="FM32" s="136"/>
      <c r="FN32" s="136"/>
      <c r="FO32" s="136"/>
      <c r="FP32" s="136"/>
      <c r="FQ32" s="136"/>
      <c r="FR32" s="136"/>
      <c r="FS32" s="136"/>
      <c r="FT32" s="136"/>
      <c r="FU32" s="136"/>
      <c r="FV32" s="136"/>
      <c r="FW32" s="136"/>
      <c r="FX32" s="136"/>
      <c r="FY32" s="136"/>
      <c r="FZ32" s="136"/>
      <c r="GA32" s="136"/>
      <c r="GB32" s="136"/>
      <c r="GC32" s="136"/>
      <c r="GD32" s="136"/>
      <c r="GE32" s="136"/>
      <c r="GF32" s="136"/>
      <c r="GG32" s="136"/>
      <c r="GH32" s="136"/>
      <c r="GI32" s="136"/>
      <c r="GJ32" s="136"/>
      <c r="GK32" s="136"/>
      <c r="GL32" s="136"/>
      <c r="GM32" s="136"/>
      <c r="GN32" s="136"/>
      <c r="GO32" s="136"/>
      <c r="GP32" s="136"/>
      <c r="GQ32" s="136"/>
      <c r="GR32" s="136"/>
      <c r="GS32" s="136"/>
      <c r="GT32" s="136"/>
      <c r="GU32" s="136"/>
      <c r="GV32" s="136"/>
      <c r="GW32" s="136"/>
      <c r="GX32" s="136"/>
      <c r="GY32" s="136"/>
      <c r="GZ32" s="136"/>
      <c r="HA32" s="136"/>
      <c r="HB32" s="136"/>
      <c r="HC32" s="136"/>
      <c r="HD32" s="136"/>
      <c r="HE32" s="136"/>
      <c r="HF32" s="136"/>
      <c r="HG32" s="136"/>
      <c r="HH32" s="136"/>
      <c r="HI32" s="136"/>
      <c r="HJ32" s="136"/>
      <c r="HK32" s="136"/>
      <c r="HL32" s="136"/>
      <c r="HM32" s="136"/>
      <c r="HN32" s="136"/>
      <c r="HO32" s="136"/>
      <c r="HP32" s="136"/>
      <c r="HQ32" s="136"/>
      <c r="HR32" s="136"/>
      <c r="HS32" s="136"/>
      <c r="HT32" s="136"/>
      <c r="HU32" s="136"/>
      <c r="HV32" s="136"/>
      <c r="HW32" s="136"/>
      <c r="HX32" s="136"/>
      <c r="HY32" s="136"/>
      <c r="HZ32" s="136"/>
      <c r="IA32" s="136"/>
      <c r="IB32" s="136"/>
      <c r="IC32" s="136"/>
      <c r="ID32" s="136"/>
      <c r="IE32" s="136"/>
      <c r="IF32" s="136"/>
      <c r="IG32" s="136"/>
      <c r="IH32" s="136"/>
      <c r="II32" s="136"/>
      <c r="IJ32" s="136"/>
      <c r="IK32" s="136"/>
      <c r="IL32" s="136"/>
      <c r="IM32" s="136"/>
      <c r="IN32" s="136"/>
      <c r="IO32" s="136"/>
      <c r="IP32" s="136"/>
      <c r="IQ32" s="136"/>
      <c r="IR32" s="136"/>
      <c r="IS32" s="136"/>
      <c r="IT32" s="136"/>
      <c r="IU32" s="136"/>
      <c r="IV32" s="136"/>
      <c r="IW32" s="136"/>
      <c r="IX32" s="136"/>
      <c r="IY32" s="136"/>
      <c r="IZ32" s="136"/>
      <c r="JA32" s="136"/>
      <c r="JB32" s="136"/>
      <c r="JC32" s="136"/>
      <c r="JD32" s="136"/>
      <c r="JE32" s="136"/>
      <c r="JF32" s="136"/>
      <c r="JG32" s="136"/>
      <c r="JH32" s="136"/>
      <c r="JI32" s="136"/>
      <c r="JJ32" s="136"/>
      <c r="JK32" s="136"/>
      <c r="JL32" s="136"/>
      <c r="JM32" s="136"/>
      <c r="JN32" s="136"/>
      <c r="JO32" s="136"/>
      <c r="JP32" s="136"/>
      <c r="JQ32" s="136"/>
      <c r="JR32" s="136"/>
      <c r="JS32" s="136"/>
      <c r="JT32" s="136"/>
      <c r="JU32" s="136"/>
      <c r="JV32" s="136"/>
      <c r="JW32" s="136"/>
      <c r="JX32" s="136"/>
      <c r="JY32" s="136"/>
    </row>
    <row r="33" spans="1:285" x14ac:dyDescent="0.2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  <c r="BX33" s="136"/>
      <c r="BY33" s="136"/>
      <c r="BZ33" s="136"/>
      <c r="CA33" s="136"/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6"/>
      <c r="CO33" s="136"/>
      <c r="CP33" s="136"/>
      <c r="CQ33" s="136"/>
      <c r="CR33" s="136"/>
      <c r="CS33" s="136"/>
      <c r="CT33" s="136"/>
      <c r="CU33" s="136"/>
      <c r="CV33" s="136"/>
      <c r="CW33" s="136"/>
      <c r="CX33" s="136"/>
      <c r="CY33" s="136"/>
      <c r="CZ33" s="136"/>
      <c r="DA33" s="136"/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6"/>
      <c r="DZ33" s="136"/>
      <c r="EA33" s="136"/>
      <c r="EB33" s="136"/>
      <c r="EC33" s="136"/>
      <c r="ED33" s="136"/>
      <c r="EE33" s="136"/>
      <c r="EF33" s="136"/>
      <c r="EG33" s="136"/>
      <c r="EH33" s="136"/>
      <c r="EI33" s="136"/>
      <c r="EJ33" s="136"/>
      <c r="EK33" s="136"/>
      <c r="EL33" s="136"/>
      <c r="EM33" s="136"/>
      <c r="EN33" s="136"/>
      <c r="EO33" s="136"/>
      <c r="EP33" s="136"/>
      <c r="EQ33" s="136"/>
      <c r="ER33" s="136"/>
      <c r="ES33" s="136"/>
      <c r="ET33" s="136"/>
      <c r="EU33" s="136"/>
      <c r="EV33" s="136"/>
      <c r="EW33" s="136"/>
      <c r="EX33" s="136"/>
      <c r="EY33" s="136"/>
      <c r="EZ33" s="136"/>
      <c r="FA33" s="136"/>
      <c r="FB33" s="136"/>
      <c r="FC33" s="136"/>
      <c r="FD33" s="136"/>
      <c r="FE33" s="136"/>
      <c r="FF33" s="136"/>
      <c r="FG33" s="136"/>
      <c r="FH33" s="136"/>
      <c r="FI33" s="136"/>
      <c r="FJ33" s="136"/>
      <c r="FK33" s="136"/>
      <c r="FL33" s="136"/>
      <c r="FM33" s="136"/>
      <c r="FN33" s="136"/>
      <c r="FO33" s="136"/>
      <c r="FP33" s="136"/>
      <c r="FQ33" s="136"/>
      <c r="FR33" s="136"/>
      <c r="FS33" s="136"/>
      <c r="FT33" s="136"/>
      <c r="FU33" s="136"/>
      <c r="FV33" s="136"/>
      <c r="FW33" s="136"/>
      <c r="FX33" s="136"/>
      <c r="FY33" s="136"/>
      <c r="FZ33" s="136"/>
      <c r="GA33" s="136"/>
      <c r="GB33" s="136"/>
      <c r="GC33" s="136"/>
      <c r="GD33" s="136"/>
      <c r="GE33" s="136"/>
      <c r="GF33" s="136"/>
      <c r="GG33" s="136"/>
      <c r="GH33" s="136"/>
      <c r="GI33" s="136"/>
      <c r="GJ33" s="136"/>
      <c r="GK33" s="136"/>
      <c r="GL33" s="136"/>
      <c r="GM33" s="136"/>
      <c r="GN33" s="136"/>
      <c r="GO33" s="136"/>
      <c r="GP33" s="136"/>
      <c r="GQ33" s="136"/>
      <c r="GR33" s="136"/>
      <c r="GS33" s="136"/>
      <c r="GT33" s="136"/>
      <c r="GU33" s="136"/>
      <c r="GV33" s="136"/>
      <c r="GW33" s="136"/>
      <c r="GX33" s="136"/>
      <c r="GY33" s="136"/>
      <c r="GZ33" s="136"/>
      <c r="HA33" s="136"/>
      <c r="HB33" s="136"/>
      <c r="HC33" s="136"/>
      <c r="HD33" s="136"/>
      <c r="HE33" s="136"/>
      <c r="HF33" s="136"/>
      <c r="HG33" s="136"/>
      <c r="HH33" s="136"/>
      <c r="HI33" s="136"/>
      <c r="HJ33" s="136"/>
      <c r="HK33" s="136"/>
      <c r="HL33" s="136"/>
      <c r="HM33" s="136"/>
      <c r="HN33" s="136"/>
      <c r="HO33" s="136"/>
      <c r="HP33" s="136"/>
      <c r="HQ33" s="136"/>
      <c r="HR33" s="136"/>
      <c r="HS33" s="136"/>
      <c r="HT33" s="136"/>
      <c r="HU33" s="136"/>
      <c r="HV33" s="136"/>
      <c r="HW33" s="136"/>
      <c r="HX33" s="136"/>
      <c r="HY33" s="136"/>
      <c r="HZ33" s="136"/>
      <c r="IA33" s="136"/>
      <c r="IB33" s="136"/>
      <c r="IC33" s="136"/>
      <c r="ID33" s="136"/>
      <c r="IE33" s="136"/>
      <c r="IF33" s="136"/>
      <c r="IG33" s="136"/>
      <c r="IH33" s="136"/>
      <c r="II33" s="136"/>
      <c r="IJ33" s="136"/>
      <c r="IK33" s="136"/>
      <c r="IL33" s="136"/>
      <c r="IM33" s="136"/>
      <c r="IN33" s="136"/>
      <c r="IO33" s="136"/>
      <c r="IP33" s="136"/>
      <c r="IQ33" s="136"/>
      <c r="IR33" s="136"/>
      <c r="IS33" s="136"/>
      <c r="IT33" s="136"/>
      <c r="IU33" s="136"/>
      <c r="IV33" s="136"/>
      <c r="IW33" s="136"/>
      <c r="IX33" s="136"/>
      <c r="IY33" s="136"/>
      <c r="IZ33" s="136"/>
      <c r="JA33" s="136"/>
      <c r="JB33" s="136"/>
      <c r="JC33" s="136"/>
      <c r="JD33" s="136"/>
      <c r="JE33" s="136"/>
      <c r="JF33" s="136"/>
      <c r="JG33" s="136"/>
      <c r="JH33" s="136"/>
      <c r="JI33" s="136"/>
      <c r="JJ33" s="136"/>
      <c r="JK33" s="136"/>
      <c r="JL33" s="136"/>
      <c r="JM33" s="136"/>
      <c r="JN33" s="136"/>
      <c r="JO33" s="136"/>
      <c r="JP33" s="136"/>
      <c r="JQ33" s="136"/>
      <c r="JR33" s="136"/>
      <c r="JS33" s="136"/>
      <c r="JT33" s="136"/>
      <c r="JU33" s="136"/>
      <c r="JV33" s="136"/>
      <c r="JW33" s="136"/>
      <c r="JX33" s="136"/>
      <c r="JY33" s="136"/>
    </row>
    <row r="34" spans="1:285" x14ac:dyDescent="0.2">
      <c r="A34" s="136" t="s">
        <v>1697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36"/>
      <c r="BZ34" s="136"/>
      <c r="CA34" s="136"/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6"/>
      <c r="CO34" s="136"/>
      <c r="CP34" s="136"/>
      <c r="CQ34" s="136"/>
      <c r="CR34" s="136"/>
      <c r="CS34" s="136"/>
      <c r="CT34" s="136"/>
      <c r="CU34" s="136"/>
      <c r="CV34" s="136"/>
      <c r="CW34" s="136"/>
      <c r="CX34" s="136"/>
      <c r="CY34" s="136"/>
      <c r="CZ34" s="136"/>
      <c r="DA34" s="136"/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6"/>
      <c r="DO34" s="136"/>
      <c r="DP34" s="136"/>
      <c r="DQ34" s="136"/>
      <c r="DR34" s="136"/>
      <c r="DS34" s="136"/>
      <c r="DT34" s="136"/>
      <c r="DU34" s="136"/>
      <c r="DV34" s="136"/>
      <c r="DW34" s="136"/>
      <c r="DX34" s="136"/>
      <c r="DY34" s="136"/>
      <c r="DZ34" s="136"/>
      <c r="EA34" s="136"/>
      <c r="EB34" s="136"/>
      <c r="EC34" s="136"/>
      <c r="ED34" s="136"/>
      <c r="EE34" s="136"/>
      <c r="EF34" s="136"/>
      <c r="EG34" s="136"/>
      <c r="EH34" s="136"/>
      <c r="EI34" s="136"/>
      <c r="EJ34" s="136"/>
      <c r="EK34" s="136"/>
      <c r="EL34" s="136"/>
      <c r="EM34" s="136"/>
      <c r="EN34" s="136"/>
      <c r="EO34" s="136"/>
      <c r="EP34" s="136"/>
      <c r="EQ34" s="136"/>
      <c r="ER34" s="136"/>
      <c r="ES34" s="136"/>
      <c r="ET34" s="136"/>
      <c r="EU34" s="136"/>
      <c r="EV34" s="136"/>
      <c r="EW34" s="136"/>
      <c r="EX34" s="136"/>
      <c r="EY34" s="136"/>
      <c r="EZ34" s="136"/>
      <c r="FA34" s="136"/>
      <c r="FB34" s="136"/>
      <c r="FC34" s="136"/>
      <c r="FD34" s="136"/>
      <c r="FE34" s="136"/>
      <c r="FF34" s="136"/>
      <c r="FG34" s="136"/>
      <c r="FH34" s="136"/>
      <c r="FI34" s="136"/>
      <c r="FJ34" s="136"/>
      <c r="FK34" s="136"/>
      <c r="FL34" s="136"/>
      <c r="FM34" s="136"/>
      <c r="FN34" s="136"/>
      <c r="FO34" s="136"/>
      <c r="FP34" s="136"/>
      <c r="FQ34" s="136"/>
      <c r="FR34" s="136"/>
      <c r="FS34" s="136"/>
      <c r="FT34" s="136"/>
      <c r="FU34" s="136"/>
      <c r="FV34" s="136"/>
      <c r="FW34" s="136"/>
      <c r="FX34" s="136"/>
      <c r="FY34" s="136"/>
      <c r="FZ34" s="136"/>
      <c r="GA34" s="136"/>
      <c r="GB34" s="136"/>
      <c r="GC34" s="136"/>
      <c r="GD34" s="136"/>
      <c r="GE34" s="136"/>
      <c r="GF34" s="136"/>
      <c r="GG34" s="136"/>
      <c r="GH34" s="136"/>
      <c r="GI34" s="136"/>
      <c r="GJ34" s="136"/>
      <c r="GK34" s="136"/>
      <c r="GL34" s="136"/>
      <c r="GM34" s="136"/>
      <c r="GN34" s="136"/>
      <c r="GO34" s="136"/>
      <c r="GP34" s="136"/>
      <c r="GQ34" s="136"/>
      <c r="GR34" s="136"/>
      <c r="GS34" s="136"/>
      <c r="GT34" s="136"/>
      <c r="GU34" s="136"/>
      <c r="GV34" s="136"/>
      <c r="GW34" s="136"/>
      <c r="GX34" s="136"/>
      <c r="GY34" s="136"/>
      <c r="GZ34" s="136"/>
      <c r="HA34" s="136"/>
      <c r="HB34" s="136"/>
      <c r="HC34" s="136"/>
      <c r="HD34" s="136"/>
      <c r="HE34" s="136"/>
      <c r="HF34" s="136"/>
      <c r="HG34" s="136"/>
      <c r="HH34" s="136"/>
      <c r="HI34" s="136"/>
      <c r="HJ34" s="136"/>
      <c r="HK34" s="136"/>
      <c r="HL34" s="136"/>
      <c r="HM34" s="136"/>
      <c r="HN34" s="136"/>
      <c r="HO34" s="136"/>
      <c r="HP34" s="136"/>
      <c r="HQ34" s="136"/>
      <c r="HR34" s="136"/>
      <c r="HS34" s="136"/>
      <c r="HT34" s="136"/>
      <c r="HU34" s="136"/>
      <c r="HV34" s="136"/>
      <c r="HW34" s="136"/>
      <c r="HX34" s="136"/>
      <c r="HY34" s="136"/>
      <c r="HZ34" s="136"/>
      <c r="IA34" s="136"/>
      <c r="IB34" s="136"/>
      <c r="IC34" s="136"/>
      <c r="ID34" s="136"/>
      <c r="IE34" s="136"/>
      <c r="IF34" s="136"/>
      <c r="IG34" s="136"/>
      <c r="IH34" s="136"/>
      <c r="II34" s="136"/>
      <c r="IJ34" s="136"/>
      <c r="IK34" s="136"/>
      <c r="IL34" s="136"/>
      <c r="IM34" s="136"/>
      <c r="IN34" s="136"/>
      <c r="IO34" s="136"/>
      <c r="IP34" s="136"/>
      <c r="IQ34" s="136"/>
      <c r="IR34" s="136"/>
      <c r="IS34" s="136"/>
      <c r="IT34" s="136"/>
      <c r="IU34" s="136"/>
      <c r="IV34" s="136"/>
      <c r="IW34" s="136"/>
      <c r="IX34" s="136"/>
      <c r="IY34" s="136"/>
      <c r="IZ34" s="136"/>
      <c r="JA34" s="136"/>
      <c r="JB34" s="136"/>
      <c r="JC34" s="136"/>
      <c r="JD34" s="136"/>
      <c r="JE34" s="136"/>
      <c r="JF34" s="136"/>
      <c r="JG34" s="136"/>
      <c r="JH34" s="136"/>
      <c r="JI34" s="136"/>
      <c r="JJ34" s="136"/>
      <c r="JK34" s="136"/>
      <c r="JL34" s="136"/>
      <c r="JM34" s="136"/>
      <c r="JN34" s="136"/>
      <c r="JO34" s="136"/>
      <c r="JP34" s="136"/>
      <c r="JQ34" s="136"/>
      <c r="JR34" s="136"/>
      <c r="JS34" s="136"/>
      <c r="JT34" s="136"/>
      <c r="JU34" s="136"/>
      <c r="JV34" s="136"/>
      <c r="JW34" s="136"/>
      <c r="JX34" s="136"/>
      <c r="JY34" s="136"/>
    </row>
    <row r="35" spans="1:285" x14ac:dyDescent="0.2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6"/>
      <c r="CO35" s="136"/>
      <c r="CP35" s="136"/>
      <c r="CQ35" s="136"/>
      <c r="CR35" s="136"/>
      <c r="CS35" s="136"/>
      <c r="CT35" s="136"/>
      <c r="CU35" s="136"/>
      <c r="CV35" s="136"/>
      <c r="CW35" s="136"/>
      <c r="CX35" s="136"/>
      <c r="CY35" s="136"/>
      <c r="CZ35" s="136"/>
      <c r="DA35" s="136"/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6"/>
      <c r="DO35" s="136"/>
      <c r="DP35" s="136"/>
      <c r="DQ35" s="136"/>
      <c r="DR35" s="136"/>
      <c r="DS35" s="136"/>
      <c r="DT35" s="136"/>
      <c r="DU35" s="136"/>
      <c r="DV35" s="136"/>
      <c r="DW35" s="136"/>
      <c r="DX35" s="136"/>
      <c r="DY35" s="136"/>
      <c r="DZ35" s="136"/>
      <c r="EA35" s="136"/>
      <c r="EB35" s="136"/>
      <c r="EC35" s="136"/>
      <c r="ED35" s="136"/>
      <c r="EE35" s="136"/>
      <c r="EF35" s="136"/>
      <c r="EG35" s="136"/>
      <c r="EH35" s="136"/>
      <c r="EI35" s="136"/>
      <c r="EJ35" s="136"/>
      <c r="EK35" s="136"/>
      <c r="EL35" s="136"/>
      <c r="EM35" s="136"/>
      <c r="EN35" s="136"/>
      <c r="EO35" s="136"/>
      <c r="EP35" s="136"/>
      <c r="EQ35" s="136"/>
      <c r="ER35" s="136"/>
      <c r="ES35" s="136"/>
      <c r="ET35" s="136"/>
      <c r="EU35" s="136"/>
      <c r="EV35" s="136"/>
      <c r="EW35" s="136"/>
      <c r="EX35" s="136"/>
      <c r="EY35" s="136"/>
      <c r="EZ35" s="136"/>
      <c r="FA35" s="136"/>
      <c r="FB35" s="136"/>
      <c r="FC35" s="136"/>
      <c r="FD35" s="136"/>
      <c r="FE35" s="136"/>
      <c r="FF35" s="136"/>
      <c r="FG35" s="136"/>
      <c r="FH35" s="136"/>
      <c r="FI35" s="136"/>
      <c r="FJ35" s="136"/>
      <c r="FK35" s="136"/>
      <c r="FL35" s="136"/>
      <c r="FM35" s="136"/>
      <c r="FN35" s="136"/>
      <c r="FO35" s="136"/>
      <c r="FP35" s="136"/>
      <c r="FQ35" s="136"/>
      <c r="FR35" s="136"/>
      <c r="FS35" s="136"/>
      <c r="FT35" s="136"/>
      <c r="FU35" s="136"/>
      <c r="FV35" s="136"/>
      <c r="FW35" s="136"/>
      <c r="FX35" s="136"/>
      <c r="FY35" s="136"/>
      <c r="FZ35" s="136"/>
      <c r="GA35" s="136"/>
      <c r="GB35" s="136"/>
      <c r="GC35" s="136"/>
      <c r="GD35" s="136"/>
      <c r="GE35" s="136"/>
      <c r="GF35" s="136"/>
      <c r="GG35" s="136"/>
      <c r="GH35" s="136"/>
      <c r="GI35" s="136"/>
      <c r="GJ35" s="136"/>
      <c r="GK35" s="136"/>
      <c r="GL35" s="136"/>
      <c r="GM35" s="136"/>
      <c r="GN35" s="136"/>
      <c r="GO35" s="136"/>
      <c r="GP35" s="136"/>
      <c r="GQ35" s="136"/>
      <c r="GR35" s="136"/>
      <c r="GS35" s="136"/>
      <c r="GT35" s="136"/>
      <c r="GU35" s="136"/>
      <c r="GV35" s="136"/>
      <c r="GW35" s="136"/>
      <c r="GX35" s="136"/>
      <c r="GY35" s="136"/>
      <c r="GZ35" s="136"/>
      <c r="HA35" s="136"/>
      <c r="HB35" s="136"/>
      <c r="HC35" s="136"/>
      <c r="HD35" s="136"/>
      <c r="HE35" s="136"/>
      <c r="HF35" s="136"/>
      <c r="HG35" s="136"/>
      <c r="HH35" s="136"/>
      <c r="HI35" s="136"/>
      <c r="HJ35" s="136"/>
      <c r="HK35" s="136"/>
      <c r="HL35" s="136"/>
      <c r="HM35" s="136"/>
      <c r="HN35" s="136"/>
      <c r="HO35" s="136"/>
      <c r="HP35" s="136"/>
      <c r="HQ35" s="136"/>
      <c r="HR35" s="136"/>
      <c r="HS35" s="136"/>
      <c r="HT35" s="136"/>
      <c r="HU35" s="136"/>
      <c r="HV35" s="136"/>
      <c r="HW35" s="136"/>
      <c r="HX35" s="136"/>
      <c r="HY35" s="136"/>
      <c r="HZ35" s="136"/>
      <c r="IA35" s="136"/>
      <c r="IB35" s="136"/>
      <c r="IC35" s="136"/>
      <c r="ID35" s="136"/>
      <c r="IE35" s="136"/>
      <c r="IF35" s="136"/>
      <c r="IG35" s="136"/>
      <c r="IH35" s="136"/>
      <c r="II35" s="136"/>
      <c r="IJ35" s="136"/>
      <c r="IK35" s="136"/>
      <c r="IL35" s="136"/>
      <c r="IM35" s="136"/>
      <c r="IN35" s="136"/>
      <c r="IO35" s="136"/>
      <c r="IP35" s="136"/>
      <c r="IQ35" s="136"/>
      <c r="IR35" s="136"/>
      <c r="IS35" s="136"/>
      <c r="IT35" s="136"/>
      <c r="IU35" s="136"/>
      <c r="IV35" s="136"/>
      <c r="IW35" s="136"/>
      <c r="IX35" s="136"/>
      <c r="IY35" s="136"/>
      <c r="IZ35" s="136"/>
      <c r="JA35" s="136"/>
      <c r="JB35" s="136"/>
      <c r="JC35" s="136"/>
      <c r="JD35" s="136"/>
      <c r="JE35" s="136"/>
      <c r="JF35" s="136"/>
      <c r="JG35" s="136"/>
      <c r="JH35" s="136"/>
      <c r="JI35" s="136"/>
      <c r="JJ35" s="136"/>
      <c r="JK35" s="136"/>
      <c r="JL35" s="136"/>
      <c r="JM35" s="136"/>
      <c r="JN35" s="136"/>
      <c r="JO35" s="136"/>
      <c r="JP35" s="136"/>
      <c r="JQ35" s="136"/>
      <c r="JR35" s="136"/>
      <c r="JS35" s="136"/>
      <c r="JT35" s="136"/>
      <c r="JU35" s="136"/>
      <c r="JV35" s="136"/>
      <c r="JW35" s="136"/>
      <c r="JX35" s="136"/>
      <c r="JY35" s="136"/>
    </row>
    <row r="36" spans="1:285" x14ac:dyDescent="0.2">
      <c r="A36" s="136" t="s">
        <v>1808</v>
      </c>
      <c r="B36" s="136">
        <v>4.5</v>
      </c>
      <c r="C36" s="136">
        <v>4.2</v>
      </c>
      <c r="D36" s="136">
        <v>5.0999999999999996</v>
      </c>
      <c r="E36" s="136">
        <v>5.3</v>
      </c>
      <c r="F36" s="136">
        <v>5.3</v>
      </c>
      <c r="G36" s="136">
        <v>4.5</v>
      </c>
      <c r="H36" s="136">
        <v>4.8</v>
      </c>
      <c r="I36" s="136">
        <v>5.3</v>
      </c>
      <c r="J36" s="136">
        <v>4.9000000000000004</v>
      </c>
      <c r="K36" s="136">
        <v>4.8</v>
      </c>
      <c r="L36" s="136">
        <v>4.4000000000000004</v>
      </c>
      <c r="M36" s="136">
        <v>5</v>
      </c>
      <c r="N36" s="136">
        <v>5.0999999999999996</v>
      </c>
      <c r="O36" s="136">
        <v>5.0999999999999996</v>
      </c>
      <c r="P36" s="136">
        <v>4.8</v>
      </c>
      <c r="Q36" s="136">
        <v>4.5</v>
      </c>
      <c r="R36" s="136">
        <v>4.8</v>
      </c>
      <c r="S36" s="136">
        <v>4.2</v>
      </c>
      <c r="T36" s="136">
        <v>4.3</v>
      </c>
      <c r="U36" s="136">
        <v>4.2</v>
      </c>
      <c r="V36" s="136">
        <v>5</v>
      </c>
      <c r="W36" s="136">
        <v>4.7</v>
      </c>
      <c r="X36" s="136">
        <v>4.3</v>
      </c>
      <c r="Y36" s="136">
        <v>4.5</v>
      </c>
      <c r="Z36" s="136">
        <v>5</v>
      </c>
      <c r="AA36" s="136">
        <v>4.8</v>
      </c>
      <c r="AB36" s="136">
        <v>4.7</v>
      </c>
      <c r="AC36" s="136">
        <v>4.5</v>
      </c>
      <c r="AD36" s="136">
        <v>4.8</v>
      </c>
      <c r="AE36" s="136">
        <v>4.5</v>
      </c>
      <c r="AF36" s="136">
        <v>4.7</v>
      </c>
      <c r="AG36" s="136">
        <v>4.3</v>
      </c>
      <c r="AH36" s="136">
        <v>4.7</v>
      </c>
      <c r="AI36" s="136">
        <v>4.2</v>
      </c>
      <c r="AJ36" s="136">
        <v>4.5</v>
      </c>
      <c r="AK36" s="136">
        <v>4.7</v>
      </c>
      <c r="AL36" s="136">
        <v>4.5</v>
      </c>
      <c r="AM36" s="136">
        <v>4.5999999999999996</v>
      </c>
      <c r="AN36" s="136">
        <v>0.7</v>
      </c>
      <c r="AO36" s="136">
        <v>0.5</v>
      </c>
      <c r="AP36" s="136">
        <v>0.5</v>
      </c>
      <c r="AQ36" s="136">
        <v>0.5</v>
      </c>
      <c r="AR36" s="136">
        <v>0.7</v>
      </c>
      <c r="AS36" s="136">
        <v>0.5</v>
      </c>
      <c r="AT36" s="136">
        <v>0.6</v>
      </c>
      <c r="AU36" s="136">
        <v>4.5999999999999996</v>
      </c>
      <c r="AV36" s="136">
        <v>4.4000000000000004</v>
      </c>
      <c r="AW36" s="136">
        <v>4.4000000000000004</v>
      </c>
      <c r="AX36" s="136">
        <v>4.3</v>
      </c>
      <c r="AY36" s="136">
        <v>4.4000000000000004</v>
      </c>
      <c r="AZ36" s="136"/>
      <c r="BA36" s="136">
        <v>2.8</v>
      </c>
      <c r="BB36" s="136">
        <v>3</v>
      </c>
      <c r="BC36" s="136">
        <v>2.8</v>
      </c>
      <c r="BD36" s="136">
        <v>2.7</v>
      </c>
      <c r="BE36" s="136">
        <v>2.5</v>
      </c>
      <c r="BF36" s="136">
        <v>2.8</v>
      </c>
      <c r="BG36" s="136">
        <v>3</v>
      </c>
      <c r="BH36" s="136">
        <v>2.5</v>
      </c>
      <c r="BI36" s="136">
        <v>2.2999999999999998</v>
      </c>
      <c r="BJ36" s="136">
        <v>2.7</v>
      </c>
      <c r="BK36" s="136">
        <v>4.4000000000000004</v>
      </c>
      <c r="BL36" s="136">
        <v>4.4000000000000004</v>
      </c>
      <c r="BM36" s="136">
        <v>4.4000000000000004</v>
      </c>
      <c r="BN36" s="136">
        <v>4.4000000000000004</v>
      </c>
      <c r="BO36" s="136">
        <v>4.3</v>
      </c>
      <c r="BP36" s="136">
        <v>4.3</v>
      </c>
      <c r="BQ36" s="136">
        <v>4.3</v>
      </c>
      <c r="BR36" s="136">
        <v>4.3</v>
      </c>
      <c r="BS36" s="136">
        <v>4.3</v>
      </c>
      <c r="BT36" s="136">
        <v>4.3</v>
      </c>
      <c r="BU36" s="136">
        <v>4.3</v>
      </c>
      <c r="BV36" s="136">
        <v>4.3</v>
      </c>
      <c r="BW36" s="136">
        <v>4.0999999999999996</v>
      </c>
      <c r="BX36" s="136">
        <v>4.0999999999999996</v>
      </c>
      <c r="BY36" s="136">
        <v>4.0999999999999996</v>
      </c>
      <c r="BZ36" s="136">
        <v>4.0999999999999996</v>
      </c>
      <c r="CA36" s="136">
        <v>4.2</v>
      </c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6"/>
      <c r="CO36" s="136"/>
      <c r="CP36" s="136"/>
      <c r="CQ36" s="136"/>
      <c r="CR36" s="136"/>
      <c r="CS36" s="136">
        <v>5.4</v>
      </c>
      <c r="CT36" s="136"/>
      <c r="CU36" s="136">
        <v>5.4</v>
      </c>
      <c r="CV36" s="136">
        <v>5.8</v>
      </c>
      <c r="CW36" s="136">
        <v>5.8</v>
      </c>
      <c r="CX36" s="136">
        <v>6.1</v>
      </c>
      <c r="CY36" s="136">
        <v>6</v>
      </c>
      <c r="CZ36" s="136">
        <v>5.8</v>
      </c>
      <c r="DA36" s="136">
        <v>5.8</v>
      </c>
      <c r="DB36" s="136">
        <v>5.7</v>
      </c>
      <c r="DC36" s="136">
        <v>5.8</v>
      </c>
      <c r="DD36" s="136">
        <v>6.1</v>
      </c>
      <c r="DE36" s="136">
        <v>5.7</v>
      </c>
      <c r="DF36" s="136">
        <v>5.8</v>
      </c>
      <c r="DG36" s="136">
        <v>5.8</v>
      </c>
      <c r="DH36" s="136">
        <v>6.1</v>
      </c>
      <c r="DI36" s="136">
        <v>6</v>
      </c>
      <c r="DJ36" s="136">
        <v>5.7</v>
      </c>
      <c r="DK36" s="136">
        <v>6.1</v>
      </c>
      <c r="DL36" s="136">
        <v>6</v>
      </c>
      <c r="DM36" s="136">
        <v>6.3</v>
      </c>
      <c r="DN36" s="136">
        <v>6</v>
      </c>
      <c r="DO36" s="136">
        <v>6</v>
      </c>
      <c r="DP36" s="136">
        <v>6.1</v>
      </c>
      <c r="DQ36" s="136">
        <v>6.3</v>
      </c>
      <c r="DR36" s="136">
        <v>6</v>
      </c>
      <c r="DS36" s="136">
        <v>5.8</v>
      </c>
      <c r="DT36" s="136">
        <v>5.8</v>
      </c>
      <c r="DU36" s="136">
        <v>6</v>
      </c>
      <c r="DV36" s="136">
        <v>6</v>
      </c>
      <c r="DW36" s="136">
        <v>1.4</v>
      </c>
      <c r="DX36" s="136">
        <v>1.7</v>
      </c>
      <c r="DY36" s="136">
        <v>0.9</v>
      </c>
      <c r="DZ36" s="136">
        <v>1.2</v>
      </c>
      <c r="EA36" s="136">
        <v>1.1000000000000001</v>
      </c>
      <c r="EB36" s="136">
        <v>1.1000000000000001</v>
      </c>
      <c r="EC36" s="136">
        <v>1.4</v>
      </c>
      <c r="ED36" s="136">
        <v>1.3</v>
      </c>
      <c r="EE36" s="136">
        <v>3.2</v>
      </c>
      <c r="EF36" s="136">
        <v>3.6</v>
      </c>
      <c r="EG36" s="136">
        <v>3.1</v>
      </c>
      <c r="EH36" s="136">
        <v>3.4</v>
      </c>
      <c r="EI36" s="136">
        <v>3.3</v>
      </c>
      <c r="EJ36" s="136">
        <v>5.4</v>
      </c>
      <c r="EK36" s="136">
        <v>5.3</v>
      </c>
      <c r="EL36" s="136">
        <v>4.7</v>
      </c>
      <c r="EM36" s="136">
        <v>5.3</v>
      </c>
      <c r="EN36" s="136">
        <v>5.3</v>
      </c>
      <c r="EO36" s="136">
        <v>5.0999999999999996</v>
      </c>
      <c r="EP36" s="136">
        <v>5.0999999999999996</v>
      </c>
      <c r="EQ36" s="136">
        <v>5.3</v>
      </c>
      <c r="ER36" s="136">
        <v>5.0999999999999996</v>
      </c>
      <c r="ES36" s="136">
        <v>5.2</v>
      </c>
      <c r="ET36" s="136">
        <v>5.3</v>
      </c>
      <c r="EU36" s="136">
        <v>4.7</v>
      </c>
      <c r="EV36" s="136">
        <v>5</v>
      </c>
      <c r="EW36" s="136">
        <v>5.0999999999999996</v>
      </c>
      <c r="EX36" s="136">
        <v>5</v>
      </c>
      <c r="EY36" s="136">
        <v>5.3</v>
      </c>
      <c r="EZ36" s="136">
        <v>5.0999999999999996</v>
      </c>
      <c r="FA36" s="136">
        <v>5.0999999999999996</v>
      </c>
      <c r="FB36" s="136">
        <v>0.4</v>
      </c>
      <c r="FC36" s="136">
        <v>0.7</v>
      </c>
      <c r="FD36" s="136"/>
      <c r="FE36" s="136">
        <v>0.5</v>
      </c>
      <c r="FF36" s="136">
        <v>0.7</v>
      </c>
      <c r="FG36" s="136"/>
      <c r="FH36" s="136"/>
      <c r="FI36" s="136"/>
      <c r="FJ36" s="136">
        <v>0.7</v>
      </c>
      <c r="FK36" s="136">
        <v>0.7</v>
      </c>
      <c r="FL36" s="136">
        <v>0.7</v>
      </c>
      <c r="FM36" s="136"/>
      <c r="FN36" s="136"/>
      <c r="FO36" s="136">
        <v>0.7</v>
      </c>
      <c r="FP36" s="136"/>
      <c r="FQ36" s="136">
        <v>0.7</v>
      </c>
      <c r="FR36" s="136">
        <v>0.7</v>
      </c>
      <c r="FS36" s="136">
        <v>0.7</v>
      </c>
      <c r="FT36" s="136">
        <v>0.7</v>
      </c>
      <c r="FU36" s="136">
        <v>0.9</v>
      </c>
      <c r="FV36" s="136">
        <v>0.4</v>
      </c>
      <c r="FW36" s="136">
        <v>1.1000000000000001</v>
      </c>
      <c r="FX36" s="136">
        <v>0.7</v>
      </c>
      <c r="FY36" s="136"/>
      <c r="FZ36" s="136"/>
      <c r="GA36" s="136"/>
      <c r="GB36" s="136"/>
      <c r="GC36" s="136">
        <v>0.2</v>
      </c>
      <c r="GD36" s="136"/>
      <c r="GE36" s="136">
        <v>1.7</v>
      </c>
      <c r="GF36" s="136">
        <v>0.2</v>
      </c>
      <c r="GG36" s="136">
        <v>0.2</v>
      </c>
      <c r="GH36" s="136"/>
      <c r="GI36" s="136">
        <v>0.2</v>
      </c>
      <c r="GJ36" s="136">
        <v>0</v>
      </c>
      <c r="GK36" s="136">
        <v>0</v>
      </c>
      <c r="GL36" s="136"/>
      <c r="GM36" s="136"/>
      <c r="GN36" s="136">
        <v>0.7</v>
      </c>
      <c r="GO36" s="136"/>
      <c r="GP36" s="136"/>
      <c r="GQ36" s="136"/>
      <c r="GR36" s="136">
        <v>0.2</v>
      </c>
      <c r="GS36" s="136">
        <v>0.2</v>
      </c>
      <c r="GT36" s="136">
        <v>0.4</v>
      </c>
      <c r="GU36" s="136">
        <v>5.7</v>
      </c>
      <c r="GV36" s="136">
        <v>5.6</v>
      </c>
      <c r="GW36" s="136">
        <v>5.6</v>
      </c>
      <c r="GX36" s="136">
        <v>5.6</v>
      </c>
      <c r="GY36" s="136">
        <v>5.4</v>
      </c>
      <c r="GZ36" s="136">
        <v>5.6</v>
      </c>
      <c r="HA36" s="136">
        <v>0.9</v>
      </c>
      <c r="HB36" s="136">
        <v>1.1000000000000001</v>
      </c>
      <c r="HC36" s="136">
        <v>1.1000000000000001</v>
      </c>
      <c r="HD36" s="136">
        <v>0.9</v>
      </c>
      <c r="HE36" s="136">
        <v>0.9</v>
      </c>
      <c r="HF36" s="136">
        <v>0.7</v>
      </c>
      <c r="HG36" s="136">
        <v>1.1000000000000001</v>
      </c>
      <c r="HH36" s="136">
        <v>0.9</v>
      </c>
      <c r="HI36" s="136">
        <v>6</v>
      </c>
      <c r="HJ36" s="136">
        <v>6.2</v>
      </c>
      <c r="HK36" s="136">
        <v>5.9</v>
      </c>
      <c r="HL36" s="136">
        <v>5.7</v>
      </c>
      <c r="HM36" s="136">
        <v>5.9</v>
      </c>
      <c r="HN36" s="136">
        <v>1.8</v>
      </c>
      <c r="HO36" s="136">
        <v>1.8</v>
      </c>
      <c r="HP36" s="136">
        <v>1.6</v>
      </c>
      <c r="HQ36" s="136">
        <v>1.8</v>
      </c>
      <c r="HR36" s="136">
        <v>1.8</v>
      </c>
      <c r="HS36" s="136">
        <v>1.8</v>
      </c>
      <c r="HT36" s="136">
        <v>1.7</v>
      </c>
      <c r="HU36" s="136">
        <v>4.5</v>
      </c>
      <c r="HV36" s="136">
        <v>4.7</v>
      </c>
      <c r="HW36" s="136">
        <v>4.4000000000000004</v>
      </c>
      <c r="HX36" s="136">
        <v>4.5</v>
      </c>
      <c r="HY36" s="136">
        <v>4.2</v>
      </c>
      <c r="HZ36" s="136">
        <v>4.2</v>
      </c>
      <c r="IA36" s="136">
        <v>4</v>
      </c>
      <c r="IB36" s="136">
        <v>4.5</v>
      </c>
      <c r="IC36" s="136">
        <v>4.5</v>
      </c>
      <c r="ID36" s="136">
        <v>4.4000000000000004</v>
      </c>
      <c r="IE36" s="136"/>
      <c r="IF36" s="136"/>
      <c r="IG36" s="136"/>
      <c r="IH36" s="136"/>
      <c r="II36" s="136"/>
      <c r="IJ36" s="136"/>
      <c r="IK36" s="136"/>
      <c r="IL36" s="136"/>
      <c r="IM36" s="136"/>
      <c r="IN36" s="136"/>
      <c r="IO36" s="136">
        <v>3.9</v>
      </c>
      <c r="IP36" s="136">
        <v>4</v>
      </c>
      <c r="IQ36" s="136">
        <v>4.4000000000000004</v>
      </c>
      <c r="IR36" s="136">
        <v>4.2</v>
      </c>
      <c r="IS36" s="136">
        <v>4.4000000000000004</v>
      </c>
      <c r="IT36" s="136">
        <v>4.2</v>
      </c>
      <c r="IU36" s="136">
        <v>4</v>
      </c>
      <c r="IV36" s="136">
        <v>4.0999999999999996</v>
      </c>
      <c r="IW36" s="136"/>
      <c r="IX36" s="136"/>
      <c r="IY36" s="136"/>
      <c r="IZ36" s="136"/>
      <c r="JA36" s="136"/>
      <c r="JB36" s="136"/>
      <c r="JC36" s="136"/>
      <c r="JD36" s="136"/>
      <c r="JE36" s="136"/>
      <c r="JF36" s="136"/>
      <c r="JG36" s="136"/>
      <c r="JH36" s="136"/>
      <c r="JI36" s="136"/>
      <c r="JJ36" s="136"/>
      <c r="JK36" s="136"/>
      <c r="JL36" s="136"/>
      <c r="JM36" s="136"/>
      <c r="JN36" s="136"/>
      <c r="JO36" s="136"/>
      <c r="JP36" s="136"/>
      <c r="JQ36" s="136"/>
      <c r="JR36" s="136"/>
      <c r="JS36" s="136"/>
      <c r="JT36" s="136"/>
      <c r="JU36" s="136"/>
      <c r="JV36" s="136"/>
      <c r="JW36" s="136"/>
      <c r="JX36" s="136"/>
      <c r="JY36" s="136"/>
    </row>
    <row r="37" spans="1:285" x14ac:dyDescent="0.2">
      <c r="A37" s="136"/>
      <c r="B37" s="136"/>
      <c r="C37" s="136"/>
      <c r="D37" s="136"/>
      <c r="E37" s="136"/>
      <c r="F37" s="136"/>
      <c r="G37" s="136"/>
      <c r="H37" s="136"/>
      <c r="I37" s="136"/>
      <c r="J37" s="136">
        <v>4.2</v>
      </c>
      <c r="K37" s="136"/>
      <c r="L37" s="136"/>
      <c r="M37" s="136"/>
      <c r="N37" s="136"/>
      <c r="O37" s="136"/>
      <c r="P37" s="136"/>
      <c r="Q37" s="136"/>
      <c r="R37" s="136">
        <v>4.4000000000000004</v>
      </c>
      <c r="S37" s="136"/>
      <c r="T37" s="136"/>
      <c r="U37" s="136"/>
      <c r="V37" s="136"/>
      <c r="W37" s="136"/>
      <c r="X37" s="136"/>
      <c r="Y37" s="136">
        <v>4.2</v>
      </c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>
        <v>4.2</v>
      </c>
      <c r="AN37" s="136"/>
      <c r="AO37" s="136"/>
      <c r="AP37" s="136"/>
      <c r="AQ37" s="136"/>
      <c r="AR37" s="136"/>
      <c r="AS37" s="136"/>
      <c r="AT37" s="136">
        <v>0.5</v>
      </c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>
        <v>2.2999999999999998</v>
      </c>
      <c r="BK37" s="136"/>
      <c r="BL37" s="136"/>
      <c r="BM37" s="136"/>
      <c r="BN37" s="136"/>
      <c r="BO37" s="136"/>
      <c r="BP37" s="136"/>
      <c r="BQ37" s="136"/>
      <c r="BR37" s="136">
        <v>4.3</v>
      </c>
      <c r="BS37" s="136"/>
      <c r="BT37" s="136"/>
      <c r="BU37" s="136"/>
      <c r="BV37" s="136"/>
      <c r="BW37" s="136"/>
      <c r="BX37" s="136"/>
      <c r="BY37" s="136"/>
      <c r="BZ37" s="136"/>
      <c r="CA37" s="136">
        <v>4.0999999999999996</v>
      </c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6"/>
      <c r="CO37" s="136"/>
      <c r="CP37" s="136"/>
      <c r="CQ37" s="136"/>
      <c r="CR37" s="136"/>
      <c r="CS37" s="136"/>
      <c r="CT37" s="136"/>
      <c r="CU37" s="136"/>
      <c r="CV37" s="136"/>
      <c r="CW37" s="136"/>
      <c r="CX37" s="136"/>
      <c r="CY37" s="136"/>
      <c r="CZ37" s="136"/>
      <c r="DA37" s="136">
        <v>5.4</v>
      </c>
      <c r="DB37" s="136"/>
      <c r="DC37" s="136"/>
      <c r="DD37" s="136"/>
      <c r="DE37" s="136"/>
      <c r="DF37" s="136"/>
      <c r="DG37" s="136">
        <v>5.7</v>
      </c>
      <c r="DH37" s="136"/>
      <c r="DI37" s="136"/>
      <c r="DJ37" s="136"/>
      <c r="DK37" s="136"/>
      <c r="DL37" s="136"/>
      <c r="DM37" s="136"/>
      <c r="DN37" s="136">
        <v>5.7</v>
      </c>
      <c r="DO37" s="136"/>
      <c r="DP37" s="136"/>
      <c r="DQ37" s="136"/>
      <c r="DR37" s="136"/>
      <c r="DS37" s="136"/>
      <c r="DT37" s="136"/>
      <c r="DU37" s="136"/>
      <c r="DV37" s="136">
        <v>5.8</v>
      </c>
      <c r="DW37" s="136"/>
      <c r="DX37" s="136"/>
      <c r="DY37" s="136"/>
      <c r="DZ37" s="136"/>
      <c r="EA37" s="136"/>
      <c r="EB37" s="136"/>
      <c r="EC37" s="136"/>
      <c r="ED37" s="136">
        <v>0.9</v>
      </c>
      <c r="EE37" s="136"/>
      <c r="EF37" s="136"/>
      <c r="EG37" s="136"/>
      <c r="EH37" s="136"/>
      <c r="EI37" s="136">
        <v>3.1</v>
      </c>
      <c r="EJ37" s="136"/>
      <c r="EK37" s="136"/>
      <c r="EL37" s="136"/>
      <c r="EM37" s="136"/>
      <c r="EN37" s="136"/>
      <c r="EO37" s="136"/>
      <c r="EP37" s="136"/>
      <c r="EQ37" s="136"/>
      <c r="ER37" s="136"/>
      <c r="ES37" s="136">
        <v>4.7</v>
      </c>
      <c r="ET37" s="136"/>
      <c r="EU37" s="136"/>
      <c r="EV37" s="136"/>
      <c r="EW37" s="136"/>
      <c r="EX37" s="136"/>
      <c r="EY37" s="136"/>
      <c r="EZ37" s="136"/>
      <c r="FA37" s="136">
        <v>4.7</v>
      </c>
      <c r="FB37" s="136"/>
      <c r="FC37" s="136"/>
      <c r="FD37" s="136"/>
      <c r="FE37" s="136"/>
      <c r="FF37" s="136"/>
      <c r="FG37" s="136"/>
      <c r="FH37" s="136"/>
      <c r="FI37" s="136"/>
      <c r="FJ37" s="136"/>
      <c r="FK37" s="136"/>
      <c r="FL37" s="136"/>
      <c r="FM37" s="136"/>
      <c r="FN37" s="136"/>
      <c r="FO37" s="136"/>
      <c r="FP37" s="136"/>
      <c r="FQ37" s="136"/>
      <c r="FR37" s="136"/>
      <c r="FS37" s="136"/>
      <c r="FT37" s="136"/>
      <c r="FU37" s="136"/>
      <c r="FV37" s="136"/>
      <c r="FW37" s="136"/>
      <c r="FX37" s="136">
        <v>0.4</v>
      </c>
      <c r="FY37" s="136"/>
      <c r="FZ37" s="136"/>
      <c r="GA37" s="136"/>
      <c r="GB37" s="136"/>
      <c r="GC37" s="136"/>
      <c r="GD37" s="136"/>
      <c r="GE37" s="136"/>
      <c r="GF37" s="136"/>
      <c r="GG37" s="136"/>
      <c r="GH37" s="136"/>
      <c r="GI37" s="136"/>
      <c r="GJ37" s="136"/>
      <c r="GK37" s="136"/>
      <c r="GL37" s="136"/>
      <c r="GM37" s="136"/>
      <c r="GN37" s="136"/>
      <c r="GO37" s="136"/>
      <c r="GP37" s="136"/>
      <c r="GQ37" s="136"/>
      <c r="GR37" s="136"/>
      <c r="GS37" s="136"/>
      <c r="GT37" s="136">
        <v>0</v>
      </c>
      <c r="GU37" s="136"/>
      <c r="GV37" s="136"/>
      <c r="GW37" s="136"/>
      <c r="GX37" s="136"/>
      <c r="GY37" s="136"/>
      <c r="GZ37" s="136">
        <v>5.4</v>
      </c>
      <c r="HA37" s="136"/>
      <c r="HB37" s="136"/>
      <c r="HC37" s="136"/>
      <c r="HD37" s="136"/>
      <c r="HE37" s="136"/>
      <c r="HF37" s="136"/>
      <c r="HG37" s="136"/>
      <c r="HH37" s="136">
        <v>0.7</v>
      </c>
      <c r="HI37" s="136"/>
      <c r="HJ37" s="136"/>
      <c r="HK37" s="136"/>
      <c r="HL37" s="136"/>
      <c r="HM37" s="136">
        <v>5.7</v>
      </c>
      <c r="HN37" s="136"/>
      <c r="HO37" s="136"/>
      <c r="HP37" s="136"/>
      <c r="HQ37" s="136"/>
      <c r="HR37" s="136"/>
      <c r="HS37" s="136"/>
      <c r="HT37" s="136">
        <v>1.6</v>
      </c>
      <c r="HU37" s="136"/>
      <c r="HV37" s="136"/>
      <c r="HW37" s="136"/>
      <c r="HX37" s="136"/>
      <c r="HY37" s="136"/>
      <c r="HZ37" s="136"/>
      <c r="IA37" s="136"/>
      <c r="IB37" s="136"/>
      <c r="IC37" s="136"/>
      <c r="ID37" s="136">
        <v>4</v>
      </c>
      <c r="IE37" s="136"/>
      <c r="IF37" s="136"/>
      <c r="IG37" s="136"/>
      <c r="IH37" s="136"/>
      <c r="II37" s="136"/>
      <c r="IJ37" s="136"/>
      <c r="IK37" s="136"/>
      <c r="IL37" s="136"/>
      <c r="IM37" s="136"/>
      <c r="IN37" s="136"/>
      <c r="IO37" s="136"/>
      <c r="IP37" s="136"/>
      <c r="IQ37" s="136"/>
      <c r="IR37" s="136"/>
      <c r="IS37" s="136"/>
      <c r="IT37" s="136"/>
      <c r="IU37" s="136"/>
      <c r="IV37" s="136">
        <v>3.9</v>
      </c>
      <c r="IW37" s="136"/>
      <c r="IX37" s="136"/>
      <c r="IY37" s="136"/>
      <c r="IZ37" s="136"/>
      <c r="JA37" s="136"/>
      <c r="JB37" s="136"/>
      <c r="JC37" s="136"/>
      <c r="JD37" s="136"/>
      <c r="JE37" s="136"/>
      <c r="JF37" s="136"/>
      <c r="JG37" s="136"/>
      <c r="JH37" s="136"/>
      <c r="JI37" s="136"/>
      <c r="JJ37" s="136"/>
      <c r="JK37" s="136"/>
      <c r="JL37" s="136"/>
      <c r="JM37" s="136"/>
      <c r="JN37" s="136"/>
      <c r="JO37" s="136"/>
      <c r="JP37" s="136"/>
      <c r="JQ37" s="136"/>
      <c r="JR37" s="136"/>
      <c r="JS37" s="136"/>
      <c r="JT37" s="136"/>
      <c r="JU37" s="136"/>
      <c r="JV37" s="136"/>
      <c r="JW37" s="136"/>
      <c r="JX37" s="136"/>
      <c r="JY37" s="136"/>
    </row>
    <row r="38" spans="1:285" x14ac:dyDescent="0.2">
      <c r="A38" s="136"/>
      <c r="B38" s="136"/>
      <c r="C38" s="136"/>
      <c r="D38" s="136"/>
      <c r="E38" s="136"/>
      <c r="F38" s="136"/>
      <c r="G38" s="136"/>
      <c r="H38" s="136"/>
      <c r="I38" s="136"/>
      <c r="J38" s="136">
        <v>5.3</v>
      </c>
      <c r="K38" s="136"/>
      <c r="L38" s="136"/>
      <c r="M38" s="136"/>
      <c r="N38" s="136"/>
      <c r="O38" s="136"/>
      <c r="P38" s="136"/>
      <c r="Q38" s="136"/>
      <c r="R38" s="136">
        <v>5.0999999999999996</v>
      </c>
      <c r="S38" s="136"/>
      <c r="T38" s="136"/>
      <c r="U38" s="136"/>
      <c r="V38" s="136"/>
      <c r="W38" s="136"/>
      <c r="X38" s="136"/>
      <c r="Y38" s="136">
        <v>5</v>
      </c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>
        <v>5</v>
      </c>
      <c r="AN38" s="136"/>
      <c r="AO38" s="136"/>
      <c r="AP38" s="136"/>
      <c r="AQ38" s="136"/>
      <c r="AR38" s="136"/>
      <c r="AS38" s="136"/>
      <c r="AT38" s="136">
        <v>0.7</v>
      </c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>
        <v>3</v>
      </c>
      <c r="BK38" s="136"/>
      <c r="BL38" s="136"/>
      <c r="BM38" s="136"/>
      <c r="BN38" s="136"/>
      <c r="BO38" s="136"/>
      <c r="BP38" s="136"/>
      <c r="BQ38" s="136"/>
      <c r="BR38" s="136">
        <v>4.4000000000000004</v>
      </c>
      <c r="BS38" s="136"/>
      <c r="BT38" s="136"/>
      <c r="BU38" s="136"/>
      <c r="BV38" s="136"/>
      <c r="BW38" s="136"/>
      <c r="BX38" s="136"/>
      <c r="BY38" s="136"/>
      <c r="BZ38" s="136"/>
      <c r="CA38" s="136">
        <v>4.3</v>
      </c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6"/>
      <c r="CO38" s="136"/>
      <c r="CP38" s="136"/>
      <c r="CQ38" s="136"/>
      <c r="CR38" s="136"/>
      <c r="CS38" s="136"/>
      <c r="CT38" s="136"/>
      <c r="CU38" s="136"/>
      <c r="CV38" s="136"/>
      <c r="CW38" s="136"/>
      <c r="CX38" s="136"/>
      <c r="CY38" s="136"/>
      <c r="CZ38" s="136"/>
      <c r="DA38" s="136">
        <v>6.1</v>
      </c>
      <c r="DB38" s="136"/>
      <c r="DC38" s="136"/>
      <c r="DD38" s="136"/>
      <c r="DE38" s="136"/>
      <c r="DF38" s="136"/>
      <c r="DG38" s="136">
        <v>6.1</v>
      </c>
      <c r="DH38" s="136"/>
      <c r="DI38" s="136"/>
      <c r="DJ38" s="136"/>
      <c r="DK38" s="136"/>
      <c r="DL38" s="136"/>
      <c r="DM38" s="136"/>
      <c r="DN38" s="136">
        <v>6.3</v>
      </c>
      <c r="DO38" s="136"/>
      <c r="DP38" s="136"/>
      <c r="DQ38" s="136"/>
      <c r="DR38" s="136"/>
      <c r="DS38" s="136"/>
      <c r="DT38" s="136"/>
      <c r="DU38" s="136"/>
      <c r="DV38" s="136">
        <v>6.3</v>
      </c>
      <c r="DW38" s="136"/>
      <c r="DX38" s="136"/>
      <c r="DY38" s="136"/>
      <c r="DZ38" s="136"/>
      <c r="EA38" s="136"/>
      <c r="EB38" s="136"/>
      <c r="EC38" s="136"/>
      <c r="ED38" s="136">
        <v>1.7</v>
      </c>
      <c r="EE38" s="136"/>
      <c r="EF38" s="136"/>
      <c r="EG38" s="136"/>
      <c r="EH38" s="136"/>
      <c r="EI38" s="136">
        <v>3.6</v>
      </c>
      <c r="EJ38" s="136"/>
      <c r="EK38" s="136"/>
      <c r="EL38" s="136"/>
      <c r="EM38" s="136"/>
      <c r="EN38" s="136"/>
      <c r="EO38" s="136"/>
      <c r="EP38" s="136"/>
      <c r="EQ38" s="136"/>
      <c r="ER38" s="136"/>
      <c r="ES38" s="136">
        <v>5.4</v>
      </c>
      <c r="ET38" s="136"/>
      <c r="EU38" s="136"/>
      <c r="EV38" s="136"/>
      <c r="EW38" s="136"/>
      <c r="EX38" s="136"/>
      <c r="EY38" s="136"/>
      <c r="EZ38" s="136"/>
      <c r="FA38" s="136">
        <v>5.3</v>
      </c>
      <c r="FB38" s="136"/>
      <c r="FC38" s="136"/>
      <c r="FD38" s="136"/>
      <c r="FE38" s="136"/>
      <c r="FF38" s="136"/>
      <c r="FG38" s="136"/>
      <c r="FH38" s="136"/>
      <c r="FI38" s="136"/>
      <c r="FJ38" s="136"/>
      <c r="FK38" s="136"/>
      <c r="FL38" s="136"/>
      <c r="FM38" s="136"/>
      <c r="FN38" s="136"/>
      <c r="FO38" s="136"/>
      <c r="FP38" s="136"/>
      <c r="FQ38" s="136"/>
      <c r="FR38" s="136"/>
      <c r="FS38" s="136"/>
      <c r="FT38" s="136"/>
      <c r="FU38" s="136"/>
      <c r="FV38" s="136"/>
      <c r="FW38" s="136"/>
      <c r="FX38" s="136">
        <v>1.1000000000000001</v>
      </c>
      <c r="FY38" s="136"/>
      <c r="FZ38" s="136"/>
      <c r="GA38" s="136"/>
      <c r="GB38" s="136"/>
      <c r="GC38" s="136"/>
      <c r="GD38" s="136"/>
      <c r="GE38" s="136"/>
      <c r="GF38" s="136"/>
      <c r="GG38" s="136"/>
      <c r="GH38" s="136"/>
      <c r="GI38" s="136"/>
      <c r="GJ38" s="136"/>
      <c r="GK38" s="136"/>
      <c r="GL38" s="136"/>
      <c r="GM38" s="136"/>
      <c r="GN38" s="136"/>
      <c r="GO38" s="136"/>
      <c r="GP38" s="136"/>
      <c r="GQ38" s="136"/>
      <c r="GR38" s="136"/>
      <c r="GS38" s="136"/>
      <c r="GT38" s="136">
        <v>1.7</v>
      </c>
      <c r="GU38" s="136"/>
      <c r="GV38" s="136"/>
      <c r="GW38" s="136"/>
      <c r="GX38" s="136"/>
      <c r="GY38" s="136"/>
      <c r="GZ38" s="136">
        <v>5.7</v>
      </c>
      <c r="HA38" s="136"/>
      <c r="HB38" s="136"/>
      <c r="HC38" s="136"/>
      <c r="HD38" s="136"/>
      <c r="HE38" s="136"/>
      <c r="HF38" s="136"/>
      <c r="HG38" s="136"/>
      <c r="HH38" s="136">
        <v>1.1000000000000001</v>
      </c>
      <c r="HI38" s="136"/>
      <c r="HJ38" s="136"/>
      <c r="HK38" s="136"/>
      <c r="HL38" s="136"/>
      <c r="HM38" s="136">
        <v>6.2</v>
      </c>
      <c r="HN38" s="136"/>
      <c r="HO38" s="136"/>
      <c r="HP38" s="136"/>
      <c r="HQ38" s="136"/>
      <c r="HR38" s="136"/>
      <c r="HS38" s="136"/>
      <c r="HT38" s="136">
        <v>1.8</v>
      </c>
      <c r="HU38" s="136"/>
      <c r="HV38" s="136"/>
      <c r="HW38" s="136"/>
      <c r="HX38" s="136"/>
      <c r="HY38" s="136"/>
      <c r="HZ38" s="136"/>
      <c r="IA38" s="136"/>
      <c r="IB38" s="136"/>
      <c r="IC38" s="136"/>
      <c r="ID38" s="136">
        <v>4.7</v>
      </c>
      <c r="IE38" s="136"/>
      <c r="IF38" s="136"/>
      <c r="IG38" s="136"/>
      <c r="IH38" s="136"/>
      <c r="II38" s="136"/>
      <c r="IJ38" s="136"/>
      <c r="IK38" s="136"/>
      <c r="IL38" s="136"/>
      <c r="IM38" s="136"/>
      <c r="IN38" s="136"/>
      <c r="IO38" s="136"/>
      <c r="IP38" s="136"/>
      <c r="IQ38" s="136"/>
      <c r="IR38" s="136"/>
      <c r="IS38" s="136"/>
      <c r="IT38" s="136"/>
      <c r="IU38" s="136"/>
      <c r="IV38" s="136">
        <v>4.4000000000000004</v>
      </c>
      <c r="IW38" s="136"/>
      <c r="IX38" s="136"/>
      <c r="IY38" s="136"/>
      <c r="IZ38" s="136"/>
      <c r="JA38" s="136"/>
      <c r="JB38" s="136"/>
      <c r="JC38" s="136"/>
      <c r="JD38" s="136"/>
      <c r="JE38" s="136"/>
      <c r="JF38" s="136"/>
      <c r="JG38" s="136"/>
      <c r="JH38" s="136"/>
      <c r="JI38" s="136"/>
      <c r="JJ38" s="136"/>
      <c r="JK38" s="136"/>
      <c r="JL38" s="136"/>
      <c r="JM38" s="136"/>
      <c r="JN38" s="136"/>
      <c r="JO38" s="136"/>
      <c r="JP38" s="136"/>
      <c r="JQ38" s="136"/>
      <c r="JR38" s="136"/>
      <c r="JS38" s="136"/>
      <c r="JT38" s="136"/>
      <c r="JU38" s="136"/>
      <c r="JV38" s="136"/>
      <c r="JW38" s="136"/>
      <c r="JX38" s="136"/>
      <c r="JY38" s="136"/>
    </row>
    <row r="39" spans="1:285" x14ac:dyDescent="0.2">
      <c r="A39" s="136" t="s">
        <v>1698</v>
      </c>
      <c r="B39" s="136"/>
      <c r="C39" s="136"/>
      <c r="D39" s="136"/>
      <c r="E39" s="136"/>
      <c r="F39" s="136"/>
      <c r="G39" s="136"/>
      <c r="H39" s="136"/>
      <c r="I39" s="136"/>
      <c r="J39" s="136">
        <v>0.7</v>
      </c>
      <c r="K39" s="136"/>
      <c r="L39" s="136"/>
      <c r="M39" s="136"/>
      <c r="N39" s="136"/>
      <c r="O39" s="136"/>
      <c r="P39" s="136"/>
      <c r="Q39" s="136"/>
      <c r="R39" s="136">
        <v>0.5</v>
      </c>
      <c r="S39" s="136"/>
      <c r="T39" s="136"/>
      <c r="U39" s="136"/>
      <c r="V39" s="136"/>
      <c r="W39" s="136"/>
      <c r="X39" s="136"/>
      <c r="Y39" s="136">
        <v>0.3</v>
      </c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>
        <v>0.4</v>
      </c>
      <c r="AN39" s="136"/>
      <c r="AO39" s="136"/>
      <c r="AP39" s="136"/>
      <c r="AQ39" s="136"/>
      <c r="AR39" s="136"/>
      <c r="AS39" s="136"/>
      <c r="AT39" s="136">
        <v>0.1</v>
      </c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>
        <v>0.4</v>
      </c>
      <c r="BK39" s="136"/>
      <c r="BL39" s="136"/>
      <c r="BM39" s="136"/>
      <c r="BN39" s="136"/>
      <c r="BO39" s="136"/>
      <c r="BP39" s="136"/>
      <c r="BQ39" s="136"/>
      <c r="BR39" s="136">
        <v>0.1</v>
      </c>
      <c r="BS39" s="136"/>
      <c r="BT39" s="136"/>
      <c r="BU39" s="136"/>
      <c r="BV39" s="136"/>
      <c r="BW39" s="136"/>
      <c r="BX39" s="136"/>
      <c r="BY39" s="136"/>
      <c r="BZ39" s="136"/>
      <c r="CA39" s="136">
        <v>0.1</v>
      </c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6"/>
      <c r="CO39" s="136"/>
      <c r="CP39" s="136"/>
      <c r="CQ39" s="136"/>
      <c r="CR39" s="136"/>
      <c r="CS39" s="136"/>
      <c r="CT39" s="136"/>
      <c r="CU39" s="136"/>
      <c r="CV39" s="136"/>
      <c r="CW39" s="136"/>
      <c r="CX39" s="136"/>
      <c r="CY39" s="136"/>
      <c r="CZ39" s="136"/>
      <c r="DA39" s="136">
        <v>0.4</v>
      </c>
      <c r="DB39" s="136"/>
      <c r="DC39" s="136"/>
      <c r="DD39" s="136"/>
      <c r="DE39" s="136"/>
      <c r="DF39" s="136"/>
      <c r="DG39" s="136">
        <v>0.1</v>
      </c>
      <c r="DH39" s="136"/>
      <c r="DI39" s="136"/>
      <c r="DJ39" s="136"/>
      <c r="DK39" s="136"/>
      <c r="DL39" s="136"/>
      <c r="DM39" s="136"/>
      <c r="DN39" s="136">
        <v>0.3</v>
      </c>
      <c r="DO39" s="136"/>
      <c r="DP39" s="136"/>
      <c r="DQ39" s="136"/>
      <c r="DR39" s="136"/>
      <c r="DS39" s="136"/>
      <c r="DT39" s="136"/>
      <c r="DU39" s="136"/>
      <c r="DV39" s="136">
        <v>0.2</v>
      </c>
      <c r="DW39" s="136"/>
      <c r="DX39" s="136"/>
      <c r="DY39" s="136"/>
      <c r="DZ39" s="136"/>
      <c r="EA39" s="136"/>
      <c r="EB39" s="136"/>
      <c r="EC39" s="136"/>
      <c r="ED39" s="136">
        <v>0.4</v>
      </c>
      <c r="EE39" s="136"/>
      <c r="EF39" s="136"/>
      <c r="EG39" s="136"/>
      <c r="EH39" s="136"/>
      <c r="EI39" s="136">
        <v>0.2</v>
      </c>
      <c r="EJ39" s="136"/>
      <c r="EK39" s="136"/>
      <c r="EL39" s="136"/>
      <c r="EM39" s="136"/>
      <c r="EN39" s="136"/>
      <c r="EO39" s="136"/>
      <c r="EP39" s="136"/>
      <c r="EQ39" s="136"/>
      <c r="ER39" s="136"/>
      <c r="ES39" s="136">
        <v>0.5</v>
      </c>
      <c r="ET39" s="136"/>
      <c r="EU39" s="136"/>
      <c r="EV39" s="136"/>
      <c r="EW39" s="136"/>
      <c r="EX39" s="136"/>
      <c r="EY39" s="136"/>
      <c r="EZ39" s="136"/>
      <c r="FA39" s="136">
        <v>0.4</v>
      </c>
      <c r="FB39" s="136"/>
      <c r="FC39" s="136"/>
      <c r="FD39" s="136"/>
      <c r="FE39" s="136"/>
      <c r="FF39" s="136"/>
      <c r="FG39" s="136"/>
      <c r="FH39" s="136"/>
      <c r="FI39" s="136"/>
      <c r="FJ39" s="136"/>
      <c r="FK39" s="136"/>
      <c r="FL39" s="136"/>
      <c r="FM39" s="136"/>
      <c r="FN39" s="136"/>
      <c r="FO39" s="136"/>
      <c r="FP39" s="136"/>
      <c r="FQ39" s="136"/>
      <c r="FR39" s="136"/>
      <c r="FS39" s="136"/>
      <c r="FT39" s="136"/>
      <c r="FU39" s="136"/>
      <c r="FV39" s="136"/>
      <c r="FW39" s="136"/>
      <c r="FX39" s="136">
        <v>0.3</v>
      </c>
      <c r="FY39" s="136"/>
      <c r="FZ39" s="136"/>
      <c r="GA39" s="136"/>
      <c r="GB39" s="136"/>
      <c r="GC39" s="136"/>
      <c r="GD39" s="136"/>
      <c r="GE39" s="136"/>
      <c r="GF39" s="136"/>
      <c r="GG39" s="136"/>
      <c r="GH39" s="136"/>
      <c r="GI39" s="136"/>
      <c r="GJ39" s="136"/>
      <c r="GK39" s="136"/>
      <c r="GL39" s="136"/>
      <c r="GM39" s="136"/>
      <c r="GN39" s="136"/>
      <c r="GO39" s="136"/>
      <c r="GP39" s="136"/>
      <c r="GQ39" s="136"/>
      <c r="GR39" s="136"/>
      <c r="GS39" s="136"/>
      <c r="GT39" s="136">
        <v>0.4</v>
      </c>
      <c r="GU39" s="136"/>
      <c r="GV39" s="136"/>
      <c r="GW39" s="136"/>
      <c r="GX39" s="136"/>
      <c r="GY39" s="136"/>
      <c r="GZ39" s="136">
        <v>0.2</v>
      </c>
      <c r="HA39" s="136"/>
      <c r="HB39" s="136"/>
      <c r="HC39" s="136"/>
      <c r="HD39" s="136"/>
      <c r="HE39" s="136"/>
      <c r="HF39" s="136"/>
      <c r="HG39" s="136"/>
      <c r="HH39" s="136">
        <v>0.2</v>
      </c>
      <c r="HI39" s="136"/>
      <c r="HJ39" s="136"/>
      <c r="HK39" s="136"/>
      <c r="HL39" s="136"/>
      <c r="HM39" s="136">
        <v>0.2</v>
      </c>
      <c r="HN39" s="136"/>
      <c r="HO39" s="136"/>
      <c r="HP39" s="136"/>
      <c r="HQ39" s="136"/>
      <c r="HR39" s="136"/>
      <c r="HS39" s="136"/>
      <c r="HT39" s="136">
        <v>0.1</v>
      </c>
      <c r="HU39" s="136"/>
      <c r="HV39" s="136"/>
      <c r="HW39" s="136"/>
      <c r="HX39" s="136"/>
      <c r="HY39" s="136"/>
      <c r="HZ39" s="136"/>
      <c r="IA39" s="136"/>
      <c r="IB39" s="136"/>
      <c r="IC39" s="136"/>
      <c r="ID39" s="136">
        <v>0.3</v>
      </c>
      <c r="IE39" s="136"/>
      <c r="IF39" s="136"/>
      <c r="IG39" s="136"/>
      <c r="IH39" s="136"/>
      <c r="II39" s="136"/>
      <c r="IJ39" s="136"/>
      <c r="IK39" s="136"/>
      <c r="IL39" s="136"/>
      <c r="IM39" s="136"/>
      <c r="IN39" s="136"/>
      <c r="IO39" s="136"/>
      <c r="IP39" s="136"/>
      <c r="IQ39" s="136"/>
      <c r="IR39" s="136"/>
      <c r="IS39" s="136"/>
      <c r="IT39" s="136"/>
      <c r="IU39" s="136"/>
      <c r="IV39" s="136">
        <v>0.3</v>
      </c>
      <c r="IW39" s="136"/>
      <c r="IX39" s="136"/>
      <c r="IY39" s="136"/>
      <c r="IZ39" s="136"/>
      <c r="JA39" s="136"/>
      <c r="JB39" s="136"/>
      <c r="JC39" s="136"/>
      <c r="JD39" s="136"/>
      <c r="JE39" s="136"/>
      <c r="JF39" s="136"/>
      <c r="JG39" s="136"/>
      <c r="JH39" s="136"/>
      <c r="JI39" s="136"/>
      <c r="JJ39" s="136"/>
      <c r="JK39" s="136"/>
      <c r="JL39" s="136"/>
      <c r="JM39" s="136"/>
      <c r="JN39" s="136"/>
      <c r="JO39" s="136"/>
      <c r="JP39" s="136"/>
      <c r="JQ39" s="136"/>
      <c r="JR39" s="136"/>
      <c r="JS39" s="136"/>
      <c r="JT39" s="136"/>
      <c r="JU39" s="136"/>
      <c r="JV39" s="136"/>
      <c r="JW39" s="136"/>
      <c r="JX39" s="136"/>
      <c r="JY39" s="136"/>
    </row>
    <row r="40" spans="1:285" x14ac:dyDescent="0.2">
      <c r="A40" s="136" t="s">
        <v>1699</v>
      </c>
      <c r="B40" s="136"/>
      <c r="C40" s="136"/>
      <c r="D40" s="136"/>
      <c r="E40" s="136"/>
      <c r="F40" s="136"/>
      <c r="G40" s="136"/>
      <c r="H40" s="136"/>
      <c r="I40" s="136"/>
      <c r="J40" s="136">
        <v>0.4</v>
      </c>
      <c r="K40" s="136"/>
      <c r="L40" s="136"/>
      <c r="M40" s="136"/>
      <c r="N40" s="136"/>
      <c r="O40" s="136"/>
      <c r="P40" s="136"/>
      <c r="Q40" s="136"/>
      <c r="R40" s="136">
        <v>0.3</v>
      </c>
      <c r="S40" s="136"/>
      <c r="T40" s="136"/>
      <c r="U40" s="136"/>
      <c r="V40" s="136"/>
      <c r="W40" s="136"/>
      <c r="X40" s="136"/>
      <c r="Y40" s="136">
        <v>0.5</v>
      </c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>
        <v>0.4</v>
      </c>
      <c r="AN40" s="136"/>
      <c r="AO40" s="136"/>
      <c r="AP40" s="136"/>
      <c r="AQ40" s="136"/>
      <c r="AR40" s="136"/>
      <c r="AS40" s="136"/>
      <c r="AT40" s="136">
        <v>0.1</v>
      </c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>
        <v>0.3</v>
      </c>
      <c r="BK40" s="136"/>
      <c r="BL40" s="136"/>
      <c r="BM40" s="136"/>
      <c r="BN40" s="136"/>
      <c r="BO40" s="136"/>
      <c r="BP40" s="136"/>
      <c r="BQ40" s="136"/>
      <c r="BR40" s="136">
        <v>0.1</v>
      </c>
      <c r="BS40" s="136"/>
      <c r="BT40" s="136"/>
      <c r="BU40" s="136"/>
      <c r="BV40" s="136"/>
      <c r="BW40" s="136"/>
      <c r="BX40" s="136"/>
      <c r="BY40" s="136"/>
      <c r="BZ40" s="136"/>
      <c r="CA40" s="136">
        <v>0.1</v>
      </c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6"/>
      <c r="CO40" s="136"/>
      <c r="CP40" s="136"/>
      <c r="CQ40" s="136"/>
      <c r="CR40" s="136"/>
      <c r="CS40" s="136"/>
      <c r="CT40" s="136"/>
      <c r="CU40" s="136"/>
      <c r="CV40" s="136"/>
      <c r="CW40" s="136"/>
      <c r="CX40" s="136"/>
      <c r="CY40" s="136"/>
      <c r="CZ40" s="136"/>
      <c r="DA40" s="136">
        <v>0.3</v>
      </c>
      <c r="DB40" s="136"/>
      <c r="DC40" s="136"/>
      <c r="DD40" s="136"/>
      <c r="DE40" s="136"/>
      <c r="DF40" s="136"/>
      <c r="DG40" s="136">
        <v>0.3</v>
      </c>
      <c r="DH40" s="136"/>
      <c r="DI40" s="136"/>
      <c r="DJ40" s="136"/>
      <c r="DK40" s="136"/>
      <c r="DL40" s="136"/>
      <c r="DM40" s="136"/>
      <c r="DN40" s="136">
        <v>0.2</v>
      </c>
      <c r="DO40" s="136"/>
      <c r="DP40" s="136"/>
      <c r="DQ40" s="136"/>
      <c r="DR40" s="136"/>
      <c r="DS40" s="136"/>
      <c r="DT40" s="136"/>
      <c r="DU40" s="136"/>
      <c r="DV40" s="136">
        <v>0.3</v>
      </c>
      <c r="DW40" s="136"/>
      <c r="DX40" s="136"/>
      <c r="DY40" s="136"/>
      <c r="DZ40" s="136"/>
      <c r="EA40" s="136"/>
      <c r="EB40" s="136"/>
      <c r="EC40" s="136"/>
      <c r="ED40" s="136">
        <v>0.5</v>
      </c>
      <c r="EE40" s="136"/>
      <c r="EF40" s="136"/>
      <c r="EG40" s="136"/>
      <c r="EH40" s="136"/>
      <c r="EI40" s="136">
        <v>0.2</v>
      </c>
      <c r="EJ40" s="136"/>
      <c r="EK40" s="136"/>
      <c r="EL40" s="136"/>
      <c r="EM40" s="136"/>
      <c r="EN40" s="136"/>
      <c r="EO40" s="136"/>
      <c r="EP40" s="136"/>
      <c r="EQ40" s="136"/>
      <c r="ER40" s="136"/>
      <c r="ES40" s="136">
        <v>0.3</v>
      </c>
      <c r="ET40" s="136"/>
      <c r="EU40" s="136"/>
      <c r="EV40" s="136"/>
      <c r="EW40" s="136"/>
      <c r="EX40" s="136"/>
      <c r="EY40" s="136"/>
      <c r="EZ40" s="136"/>
      <c r="FA40" s="136">
        <v>0.2</v>
      </c>
      <c r="FB40" s="136"/>
      <c r="FC40" s="136"/>
      <c r="FD40" s="136"/>
      <c r="FE40" s="136"/>
      <c r="FF40" s="136"/>
      <c r="FG40" s="136"/>
      <c r="FH40" s="136"/>
      <c r="FI40" s="136"/>
      <c r="FJ40" s="136"/>
      <c r="FK40" s="136"/>
      <c r="FL40" s="136"/>
      <c r="FM40" s="136"/>
      <c r="FN40" s="136"/>
      <c r="FO40" s="136"/>
      <c r="FP40" s="136"/>
      <c r="FQ40" s="136"/>
      <c r="FR40" s="136"/>
      <c r="FS40" s="136"/>
      <c r="FT40" s="136"/>
      <c r="FU40" s="136"/>
      <c r="FV40" s="136"/>
      <c r="FW40" s="136"/>
      <c r="FX40" s="136">
        <v>0.4</v>
      </c>
      <c r="FY40" s="136"/>
      <c r="FZ40" s="136"/>
      <c r="GA40" s="136"/>
      <c r="GB40" s="136"/>
      <c r="GC40" s="136"/>
      <c r="GD40" s="136"/>
      <c r="GE40" s="136"/>
      <c r="GF40" s="136"/>
      <c r="GG40" s="136"/>
      <c r="GH40" s="136"/>
      <c r="GI40" s="136"/>
      <c r="GJ40" s="136"/>
      <c r="GK40" s="136"/>
      <c r="GL40" s="136"/>
      <c r="GM40" s="136"/>
      <c r="GN40" s="136"/>
      <c r="GO40" s="136"/>
      <c r="GP40" s="136"/>
      <c r="GQ40" s="136"/>
      <c r="GR40" s="136"/>
      <c r="GS40" s="136"/>
      <c r="GT40" s="136">
        <v>1.4</v>
      </c>
      <c r="GU40" s="136"/>
      <c r="GV40" s="136"/>
      <c r="GW40" s="136"/>
      <c r="GX40" s="136"/>
      <c r="GY40" s="136"/>
      <c r="GZ40" s="136">
        <v>0.1</v>
      </c>
      <c r="HA40" s="136"/>
      <c r="HB40" s="136"/>
      <c r="HC40" s="136"/>
      <c r="HD40" s="136"/>
      <c r="HE40" s="136"/>
      <c r="HF40" s="136"/>
      <c r="HG40" s="136"/>
      <c r="HH40" s="136">
        <v>0.1</v>
      </c>
      <c r="HI40" s="136"/>
      <c r="HJ40" s="136"/>
      <c r="HK40" s="136"/>
      <c r="HL40" s="136"/>
      <c r="HM40" s="136">
        <v>0.2</v>
      </c>
      <c r="HN40" s="136"/>
      <c r="HO40" s="136"/>
      <c r="HP40" s="136"/>
      <c r="HQ40" s="136"/>
      <c r="HR40" s="136"/>
      <c r="HS40" s="136"/>
      <c r="HT40" s="136">
        <v>0</v>
      </c>
      <c r="HU40" s="136"/>
      <c r="HV40" s="136"/>
      <c r="HW40" s="136"/>
      <c r="HX40" s="136"/>
      <c r="HY40" s="136"/>
      <c r="HZ40" s="136"/>
      <c r="IA40" s="136"/>
      <c r="IB40" s="136"/>
      <c r="IC40" s="136"/>
      <c r="ID40" s="136">
        <v>0.3</v>
      </c>
      <c r="IE40" s="136"/>
      <c r="IF40" s="136"/>
      <c r="IG40" s="136"/>
      <c r="IH40" s="136"/>
      <c r="II40" s="136"/>
      <c r="IJ40" s="136"/>
      <c r="IK40" s="136"/>
      <c r="IL40" s="136"/>
      <c r="IM40" s="136"/>
      <c r="IN40" s="136"/>
      <c r="IO40" s="136"/>
      <c r="IP40" s="136"/>
      <c r="IQ40" s="136"/>
      <c r="IR40" s="136"/>
      <c r="IS40" s="136"/>
      <c r="IT40" s="136"/>
      <c r="IU40" s="136"/>
      <c r="IV40" s="136">
        <v>0.2</v>
      </c>
      <c r="IW40" s="136"/>
      <c r="IX40" s="136"/>
      <c r="IY40" s="136"/>
      <c r="IZ40" s="136"/>
      <c r="JA40" s="136"/>
      <c r="JB40" s="136"/>
      <c r="JC40" s="136"/>
      <c r="JD40" s="136"/>
      <c r="JE40" s="136"/>
      <c r="JF40" s="136"/>
      <c r="JG40" s="136"/>
      <c r="JH40" s="136"/>
      <c r="JI40" s="136"/>
      <c r="JJ40" s="136"/>
      <c r="JK40" s="136"/>
      <c r="JL40" s="136"/>
      <c r="JM40" s="136"/>
      <c r="JN40" s="136"/>
      <c r="JO40" s="136"/>
      <c r="JP40" s="136"/>
      <c r="JQ40" s="136"/>
      <c r="JR40" s="136"/>
      <c r="JS40" s="136"/>
      <c r="JT40" s="136"/>
      <c r="JU40" s="136"/>
      <c r="JV40" s="136"/>
      <c r="JW40" s="136"/>
      <c r="JX40" s="136"/>
      <c r="JY40" s="136"/>
    </row>
    <row r="41" spans="1:285" x14ac:dyDescent="0.2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  <c r="BP41" s="136"/>
      <c r="BQ41" s="136"/>
      <c r="BR41" s="136"/>
      <c r="BS41" s="136"/>
      <c r="BT41" s="136"/>
      <c r="BU41" s="136"/>
      <c r="BV41" s="136"/>
      <c r="BW41" s="136"/>
      <c r="BX41" s="136"/>
      <c r="BY41" s="136"/>
      <c r="BZ41" s="136"/>
      <c r="CA41" s="136"/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6"/>
      <c r="CO41" s="136"/>
      <c r="CP41" s="136"/>
      <c r="CQ41" s="136"/>
      <c r="CR41" s="136"/>
      <c r="CS41" s="136"/>
      <c r="CT41" s="136"/>
      <c r="CU41" s="136"/>
      <c r="CV41" s="136"/>
      <c r="CW41" s="136"/>
      <c r="CX41" s="136"/>
      <c r="CY41" s="136"/>
      <c r="CZ41" s="136"/>
      <c r="DA41" s="136"/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6"/>
      <c r="DO41" s="136"/>
      <c r="DP41" s="136"/>
      <c r="DQ41" s="136"/>
      <c r="DR41" s="136"/>
      <c r="DS41" s="136"/>
      <c r="DT41" s="136"/>
      <c r="DU41" s="136"/>
      <c r="DV41" s="136"/>
      <c r="DW41" s="136"/>
      <c r="DX41" s="136"/>
      <c r="DY41" s="136"/>
      <c r="DZ41" s="136"/>
      <c r="EA41" s="136"/>
      <c r="EB41" s="136"/>
      <c r="EC41" s="136"/>
      <c r="ED41" s="136"/>
      <c r="EE41" s="136"/>
      <c r="EF41" s="136"/>
      <c r="EG41" s="136"/>
      <c r="EH41" s="136"/>
      <c r="EI41" s="136"/>
      <c r="EJ41" s="136"/>
      <c r="EK41" s="136"/>
      <c r="EL41" s="136"/>
      <c r="EM41" s="136"/>
      <c r="EN41" s="136"/>
      <c r="EO41" s="136"/>
      <c r="EP41" s="136"/>
      <c r="EQ41" s="136"/>
      <c r="ER41" s="136"/>
      <c r="ES41" s="136"/>
      <c r="ET41" s="136"/>
      <c r="EU41" s="136"/>
      <c r="EV41" s="136"/>
      <c r="EW41" s="136"/>
      <c r="EX41" s="136"/>
      <c r="EY41" s="136"/>
      <c r="EZ41" s="136"/>
      <c r="FA41" s="136"/>
      <c r="FB41" s="136"/>
      <c r="FC41" s="136"/>
      <c r="FD41" s="136"/>
      <c r="FE41" s="136"/>
      <c r="FF41" s="136"/>
      <c r="FG41" s="136"/>
      <c r="FH41" s="136"/>
      <c r="FI41" s="136"/>
      <c r="FJ41" s="136"/>
      <c r="FK41" s="136"/>
      <c r="FL41" s="136"/>
      <c r="FM41" s="136"/>
      <c r="FN41" s="136"/>
      <c r="FO41" s="136"/>
      <c r="FP41" s="136"/>
      <c r="FQ41" s="136"/>
      <c r="FR41" s="136"/>
      <c r="FS41" s="136"/>
      <c r="FT41" s="136"/>
      <c r="FU41" s="136"/>
      <c r="FV41" s="136"/>
      <c r="FW41" s="136"/>
      <c r="FX41" s="136"/>
      <c r="FY41" s="136"/>
      <c r="FZ41" s="136"/>
      <c r="GA41" s="136"/>
      <c r="GB41" s="136"/>
      <c r="GC41" s="136"/>
      <c r="GD41" s="136"/>
      <c r="GE41" s="136"/>
      <c r="GF41" s="136"/>
      <c r="GG41" s="136"/>
      <c r="GH41" s="136"/>
      <c r="GI41" s="136"/>
      <c r="GJ41" s="136"/>
      <c r="GK41" s="136"/>
      <c r="GL41" s="136"/>
      <c r="GM41" s="136"/>
      <c r="GN41" s="136"/>
      <c r="GO41" s="136"/>
      <c r="GP41" s="136"/>
      <c r="GQ41" s="136"/>
      <c r="GR41" s="136"/>
      <c r="GS41" s="136"/>
      <c r="GT41" s="136"/>
      <c r="GU41" s="136"/>
      <c r="GV41" s="136"/>
      <c r="GW41" s="136"/>
      <c r="GX41" s="136"/>
      <c r="GY41" s="136"/>
      <c r="GZ41" s="136"/>
      <c r="HA41" s="136"/>
      <c r="HB41" s="136"/>
      <c r="HC41" s="136"/>
      <c r="HD41" s="136"/>
      <c r="HE41" s="136"/>
      <c r="HF41" s="136"/>
      <c r="HG41" s="136"/>
      <c r="HH41" s="136"/>
      <c r="HI41" s="136"/>
      <c r="HJ41" s="136"/>
      <c r="HK41" s="136"/>
      <c r="HL41" s="136"/>
      <c r="HM41" s="136"/>
      <c r="HN41" s="136"/>
      <c r="HO41" s="136"/>
      <c r="HP41" s="136"/>
      <c r="HQ41" s="136"/>
      <c r="HR41" s="136"/>
      <c r="HS41" s="136"/>
      <c r="HT41" s="136"/>
      <c r="HU41" s="136"/>
      <c r="HV41" s="136"/>
      <c r="HW41" s="136"/>
      <c r="HX41" s="136"/>
      <c r="HY41" s="136"/>
      <c r="HZ41" s="136"/>
      <c r="IA41" s="136"/>
      <c r="IB41" s="136"/>
      <c r="IC41" s="136"/>
      <c r="ID41" s="136"/>
      <c r="IE41" s="136"/>
      <c r="IF41" s="136"/>
      <c r="IG41" s="136"/>
      <c r="IH41" s="136"/>
      <c r="II41" s="136"/>
      <c r="IJ41" s="136"/>
      <c r="IK41" s="136"/>
      <c r="IL41" s="136"/>
      <c r="IM41" s="136"/>
      <c r="IN41" s="136"/>
      <c r="IO41" s="136"/>
      <c r="IP41" s="136"/>
      <c r="IQ41" s="136"/>
      <c r="IR41" s="136"/>
      <c r="IS41" s="136"/>
      <c r="IT41" s="136"/>
      <c r="IU41" s="136"/>
      <c r="IV41" s="136"/>
      <c r="IW41" s="136"/>
      <c r="IX41" s="136"/>
      <c r="IY41" s="136"/>
      <c r="IZ41" s="136"/>
      <c r="JA41" s="136"/>
      <c r="JB41" s="136"/>
      <c r="JC41" s="136"/>
      <c r="JD41" s="136"/>
      <c r="JE41" s="136"/>
      <c r="JF41" s="136"/>
      <c r="JG41" s="136"/>
      <c r="JH41" s="136"/>
      <c r="JI41" s="136"/>
      <c r="JJ41" s="136"/>
      <c r="JK41" s="136"/>
      <c r="JL41" s="136"/>
      <c r="JM41" s="136"/>
      <c r="JN41" s="136"/>
      <c r="JO41" s="136"/>
      <c r="JP41" s="136"/>
      <c r="JQ41" s="136"/>
      <c r="JR41" s="136"/>
      <c r="JS41" s="136"/>
      <c r="JT41" s="136"/>
      <c r="JU41" s="136"/>
      <c r="JV41" s="136"/>
      <c r="JW41" s="136"/>
      <c r="JX41" s="136"/>
      <c r="JY41" s="136"/>
    </row>
    <row r="42" spans="1:285" x14ac:dyDescent="0.2">
      <c r="A42" s="136" t="s">
        <v>1700</v>
      </c>
      <c r="B42" s="136">
        <v>51</v>
      </c>
      <c r="C42" s="136">
        <v>41.9</v>
      </c>
      <c r="D42" s="136">
        <v>52.2</v>
      </c>
      <c r="E42" s="136">
        <v>76.400000000000006</v>
      </c>
      <c r="F42" s="136">
        <v>67.099999999999994</v>
      </c>
      <c r="G42" s="136">
        <v>53.8</v>
      </c>
      <c r="H42" s="136">
        <v>49.3</v>
      </c>
      <c r="I42" s="136">
        <v>47.1</v>
      </c>
      <c r="J42" s="136"/>
      <c r="K42" s="136">
        <v>60.7</v>
      </c>
      <c r="L42" s="136">
        <v>48.9</v>
      </c>
      <c r="M42" s="136">
        <v>46.4</v>
      </c>
      <c r="N42" s="136">
        <v>44.9</v>
      </c>
      <c r="O42" s="136">
        <v>47.1</v>
      </c>
      <c r="P42" s="136">
        <v>45.1</v>
      </c>
      <c r="Q42" s="136">
        <v>51.2</v>
      </c>
      <c r="R42" s="136"/>
      <c r="S42" s="136">
        <v>48.8</v>
      </c>
      <c r="T42" s="136">
        <v>47.6</v>
      </c>
      <c r="U42" s="136">
        <v>47.6</v>
      </c>
      <c r="V42" s="136">
        <v>55</v>
      </c>
      <c r="W42" s="136">
        <v>46.3</v>
      </c>
      <c r="X42" s="136">
        <v>52.4</v>
      </c>
      <c r="Y42" s="136"/>
      <c r="Z42" s="136">
        <v>48.5</v>
      </c>
      <c r="AA42" s="136">
        <v>48.1</v>
      </c>
      <c r="AB42" s="136">
        <v>45.5</v>
      </c>
      <c r="AC42" s="136">
        <v>44.3</v>
      </c>
      <c r="AD42" s="136">
        <v>44.1</v>
      </c>
      <c r="AE42" s="136">
        <v>43.4</v>
      </c>
      <c r="AF42" s="136">
        <v>43.5</v>
      </c>
      <c r="AG42" s="136">
        <v>45.1</v>
      </c>
      <c r="AH42" s="136">
        <v>44.7</v>
      </c>
      <c r="AI42" s="136">
        <v>44.4</v>
      </c>
      <c r="AJ42" s="136">
        <v>44.2</v>
      </c>
      <c r="AK42" s="136">
        <v>43.1</v>
      </c>
      <c r="AL42" s="136">
        <v>43.4</v>
      </c>
      <c r="AM42" s="136"/>
      <c r="AN42" s="136">
        <v>117</v>
      </c>
      <c r="AO42" s="136">
        <v>113.9</v>
      </c>
      <c r="AP42" s="136">
        <v>111.7</v>
      </c>
      <c r="AQ42" s="136">
        <v>112.3</v>
      </c>
      <c r="AR42" s="136">
        <v>114.9</v>
      </c>
      <c r="AS42" s="136">
        <v>113.2</v>
      </c>
      <c r="AT42" s="136"/>
      <c r="AU42" s="136"/>
      <c r="AV42" s="136"/>
      <c r="AW42" s="136"/>
      <c r="AX42" s="136"/>
      <c r="AY42" s="136"/>
      <c r="AZ42" s="136"/>
      <c r="BA42" s="136">
        <v>103</v>
      </c>
      <c r="BB42" s="136">
        <v>108.3</v>
      </c>
      <c r="BC42" s="136">
        <v>107.1</v>
      </c>
      <c r="BD42" s="136">
        <v>113.7</v>
      </c>
      <c r="BE42" s="136"/>
      <c r="BF42" s="136"/>
      <c r="BG42" s="136">
        <v>107.3</v>
      </c>
      <c r="BH42" s="136"/>
      <c r="BI42" s="136"/>
      <c r="BJ42" s="136"/>
      <c r="BK42" s="136">
        <v>82.9</v>
      </c>
      <c r="BL42" s="136">
        <v>82.8</v>
      </c>
      <c r="BM42" s="136">
        <v>93.2</v>
      </c>
      <c r="BN42" s="136">
        <v>98</v>
      </c>
      <c r="BO42" s="136">
        <v>81.7</v>
      </c>
      <c r="BP42" s="136">
        <v>82.4</v>
      </c>
      <c r="BQ42" s="136">
        <v>86.2</v>
      </c>
      <c r="BR42" s="136"/>
      <c r="BS42" s="136">
        <v>82.7</v>
      </c>
      <c r="BT42" s="136">
        <v>81.900000000000006</v>
      </c>
      <c r="BU42" s="136">
        <v>85.1</v>
      </c>
      <c r="BV42" s="136">
        <v>84.3</v>
      </c>
      <c r="BW42" s="136">
        <v>93.8</v>
      </c>
      <c r="BX42" s="136">
        <v>94.2</v>
      </c>
      <c r="BY42" s="136">
        <v>87.6</v>
      </c>
      <c r="BZ42" s="136">
        <v>97.8</v>
      </c>
      <c r="CA42" s="136"/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>
        <v>95.4</v>
      </c>
      <c r="CT42" s="136"/>
      <c r="CU42" s="136">
        <v>100.1</v>
      </c>
      <c r="CV42" s="136">
        <v>94.9</v>
      </c>
      <c r="CW42" s="136">
        <v>102.5</v>
      </c>
      <c r="CX42" s="136">
        <v>90.4</v>
      </c>
      <c r="CY42" s="136">
        <v>92.4</v>
      </c>
      <c r="CZ42" s="136">
        <v>101.8</v>
      </c>
      <c r="DA42" s="136"/>
      <c r="DB42" s="136">
        <v>102.6</v>
      </c>
      <c r="DC42" s="136">
        <v>97.1</v>
      </c>
      <c r="DD42" s="136">
        <v>102.3</v>
      </c>
      <c r="DE42" s="136">
        <v>97.9</v>
      </c>
      <c r="DF42" s="136">
        <v>95.8</v>
      </c>
      <c r="DG42" s="136"/>
      <c r="DH42" s="136">
        <v>101.4</v>
      </c>
      <c r="DI42" s="136">
        <v>105.2</v>
      </c>
      <c r="DJ42" s="136">
        <v>105</v>
      </c>
      <c r="DK42" s="136">
        <v>104.4</v>
      </c>
      <c r="DL42" s="136">
        <v>106.6</v>
      </c>
      <c r="DM42" s="136">
        <v>106.4</v>
      </c>
      <c r="DN42" s="136"/>
      <c r="DO42" s="136">
        <v>109.5</v>
      </c>
      <c r="DP42" s="136">
        <v>105.1</v>
      </c>
      <c r="DQ42" s="136">
        <v>107.9</v>
      </c>
      <c r="DR42" s="136">
        <v>101.1</v>
      </c>
      <c r="DS42" s="136">
        <v>100.5</v>
      </c>
      <c r="DT42" s="136">
        <v>99.1</v>
      </c>
      <c r="DU42" s="136">
        <v>101.7</v>
      </c>
      <c r="DV42" s="136"/>
      <c r="DW42" s="136">
        <v>73</v>
      </c>
      <c r="DX42" s="136">
        <v>79.5</v>
      </c>
      <c r="DY42" s="136">
        <v>69</v>
      </c>
      <c r="DZ42" s="136">
        <v>96</v>
      </c>
      <c r="EA42" s="136">
        <v>93.4</v>
      </c>
      <c r="EB42" s="136">
        <v>90.9</v>
      </c>
      <c r="EC42" s="136">
        <v>79.599999999999994</v>
      </c>
      <c r="ED42" s="136"/>
      <c r="EE42" s="136">
        <v>98.8</v>
      </c>
      <c r="EF42" s="136">
        <v>99.9</v>
      </c>
      <c r="EG42" s="136">
        <v>100.2</v>
      </c>
      <c r="EH42" s="136">
        <v>92.1</v>
      </c>
      <c r="EI42" s="136"/>
      <c r="EJ42" s="136">
        <v>119.8</v>
      </c>
      <c r="EK42" s="136">
        <v>123.1</v>
      </c>
      <c r="EL42" s="136">
        <v>122</v>
      </c>
      <c r="EM42" s="136">
        <v>127.9</v>
      </c>
      <c r="EN42" s="136">
        <v>136.30000000000001</v>
      </c>
      <c r="EO42" s="136">
        <v>124.8</v>
      </c>
      <c r="EP42" s="136">
        <v>118.5</v>
      </c>
      <c r="EQ42" s="136">
        <v>121.5</v>
      </c>
      <c r="ER42" s="136">
        <v>123.2</v>
      </c>
      <c r="ES42" s="136"/>
      <c r="ET42" s="136">
        <v>120</v>
      </c>
      <c r="EU42" s="136">
        <v>122.8</v>
      </c>
      <c r="EV42" s="136">
        <v>125</v>
      </c>
      <c r="EW42" s="136">
        <v>120.9</v>
      </c>
      <c r="EX42" s="136">
        <v>133.19999999999999</v>
      </c>
      <c r="EY42" s="136">
        <v>120.7</v>
      </c>
      <c r="EZ42" s="136">
        <v>128.1</v>
      </c>
      <c r="FA42" s="136"/>
      <c r="FB42" s="136">
        <v>239.6</v>
      </c>
      <c r="FC42" s="136">
        <v>110.5</v>
      </c>
      <c r="FD42" s="136"/>
      <c r="FE42" s="136">
        <v>98.6</v>
      </c>
      <c r="FF42" s="136">
        <v>104</v>
      </c>
      <c r="FG42" s="136"/>
      <c r="FH42" s="136"/>
      <c r="FI42" s="136"/>
      <c r="FJ42" s="136">
        <v>108.3</v>
      </c>
      <c r="FK42" s="136">
        <v>118.9</v>
      </c>
      <c r="FL42" s="136">
        <v>137</v>
      </c>
      <c r="FM42" s="136"/>
      <c r="FN42" s="136"/>
      <c r="FO42" s="136">
        <v>146</v>
      </c>
      <c r="FP42" s="136"/>
      <c r="FQ42" s="136">
        <v>122</v>
      </c>
      <c r="FR42" s="136">
        <v>123.6</v>
      </c>
      <c r="FS42" s="136">
        <v>118.9</v>
      </c>
      <c r="FT42" s="136">
        <v>115.8</v>
      </c>
      <c r="FU42" s="136">
        <v>117.2</v>
      </c>
      <c r="FV42" s="136">
        <v>120.7</v>
      </c>
      <c r="FW42" s="136">
        <v>271.10000000000002</v>
      </c>
      <c r="FX42" s="136"/>
      <c r="FY42" s="136"/>
      <c r="FZ42" s="136"/>
      <c r="GA42" s="136"/>
      <c r="GB42" s="136"/>
      <c r="GC42" s="136">
        <v>101.5</v>
      </c>
      <c r="GD42" s="136"/>
      <c r="GE42" s="136"/>
      <c r="GF42" s="136">
        <v>114.6</v>
      </c>
      <c r="GG42" s="136">
        <v>107.2</v>
      </c>
      <c r="GH42" s="136"/>
      <c r="GI42" s="136">
        <v>120.8</v>
      </c>
      <c r="GJ42" s="136">
        <v>144.80000000000001</v>
      </c>
      <c r="GK42" s="136">
        <v>135.9</v>
      </c>
      <c r="GL42" s="136"/>
      <c r="GM42" s="136"/>
      <c r="GN42" s="136">
        <v>147.80000000000001</v>
      </c>
      <c r="GO42" s="136"/>
      <c r="GP42" s="136"/>
      <c r="GQ42" s="136"/>
      <c r="GR42" s="136">
        <v>120.8</v>
      </c>
      <c r="GS42" s="136">
        <v>125.7</v>
      </c>
      <c r="GT42" s="136"/>
      <c r="GU42" s="136">
        <v>141.9</v>
      </c>
      <c r="GV42" s="136">
        <v>122.9</v>
      </c>
      <c r="GW42" s="136">
        <v>131</v>
      </c>
      <c r="GX42" s="136">
        <v>132.6</v>
      </c>
      <c r="GY42" s="136">
        <v>127.8</v>
      </c>
      <c r="GZ42" s="136"/>
      <c r="HA42" s="136">
        <v>86.7</v>
      </c>
      <c r="HB42" s="136">
        <v>92.9</v>
      </c>
      <c r="HC42" s="136">
        <v>99.6</v>
      </c>
      <c r="HD42" s="136">
        <v>97</v>
      </c>
      <c r="HE42" s="136">
        <v>90.5</v>
      </c>
      <c r="HF42" s="136">
        <v>86.8</v>
      </c>
      <c r="HG42" s="136">
        <v>99.6</v>
      </c>
      <c r="HH42" s="136"/>
      <c r="HI42" s="136">
        <v>114</v>
      </c>
      <c r="HJ42" s="136">
        <v>110.8</v>
      </c>
      <c r="HK42" s="136">
        <v>114.9</v>
      </c>
      <c r="HL42" s="136">
        <v>111.3</v>
      </c>
      <c r="HM42" s="136"/>
      <c r="HN42" s="136">
        <v>107.6</v>
      </c>
      <c r="HO42" s="136">
        <v>104.7</v>
      </c>
      <c r="HP42" s="136">
        <v>108.4</v>
      </c>
      <c r="HQ42" s="136">
        <v>99.2</v>
      </c>
      <c r="HR42" s="136">
        <v>111.3</v>
      </c>
      <c r="HS42" s="136">
        <v>109.1</v>
      </c>
      <c r="HT42" s="136"/>
      <c r="HU42" s="136">
        <v>102.9</v>
      </c>
      <c r="HV42" s="136">
        <v>111.4</v>
      </c>
      <c r="HW42" s="136">
        <v>101.6</v>
      </c>
      <c r="HX42" s="136">
        <v>108.5</v>
      </c>
      <c r="HY42" s="136">
        <v>105.9</v>
      </c>
      <c r="HZ42" s="136">
        <v>103.8</v>
      </c>
      <c r="IA42" s="136">
        <v>101.1</v>
      </c>
      <c r="IB42" s="136">
        <v>99.4</v>
      </c>
      <c r="IC42" s="136">
        <v>99</v>
      </c>
      <c r="ID42" s="136"/>
      <c r="IE42" s="136"/>
      <c r="IF42" s="136"/>
      <c r="IG42" s="136"/>
      <c r="IH42" s="136"/>
      <c r="II42" s="136"/>
      <c r="IJ42" s="136"/>
      <c r="IK42" s="136"/>
      <c r="IL42" s="136"/>
      <c r="IM42" s="136"/>
      <c r="IN42" s="136"/>
      <c r="IO42" s="136">
        <v>62.5</v>
      </c>
      <c r="IP42" s="136">
        <v>55.2</v>
      </c>
      <c r="IQ42" s="136">
        <v>57.7</v>
      </c>
      <c r="IR42" s="136">
        <v>56.9</v>
      </c>
      <c r="IS42" s="136">
        <v>49.3</v>
      </c>
      <c r="IT42" s="136">
        <v>52.2</v>
      </c>
      <c r="IU42" s="136">
        <v>53.5</v>
      </c>
      <c r="IV42" s="136"/>
      <c r="IW42" s="136"/>
      <c r="IX42" s="136"/>
      <c r="IY42" s="136"/>
      <c r="IZ42" s="136"/>
      <c r="JA42" s="136"/>
      <c r="JB42" s="136"/>
      <c r="JC42" s="136"/>
      <c r="JD42" s="136"/>
      <c r="JE42" s="136"/>
      <c r="JF42" s="136"/>
      <c r="JG42" s="136"/>
      <c r="JH42" s="136"/>
      <c r="JI42" s="136"/>
      <c r="JJ42" s="136"/>
      <c r="JK42" s="136"/>
      <c r="JL42" s="136"/>
      <c r="JM42" s="136"/>
      <c r="JN42" s="136"/>
      <c r="JO42" s="136"/>
      <c r="JP42" s="136"/>
      <c r="JQ42" s="136"/>
      <c r="JR42" s="136"/>
      <c r="JS42" s="136"/>
      <c r="JT42" s="136"/>
      <c r="JU42" s="136"/>
      <c r="JV42" s="136"/>
      <c r="JW42" s="136"/>
      <c r="JX42" s="136"/>
      <c r="JY42" s="136"/>
    </row>
    <row r="43" spans="1:285" x14ac:dyDescent="0.2">
      <c r="A43" s="144" t="s">
        <v>1809</v>
      </c>
      <c r="B43" s="144">
        <v>0.81</v>
      </c>
      <c r="C43" s="144">
        <v>0.83</v>
      </c>
      <c r="D43" s="144">
        <v>0.81</v>
      </c>
      <c r="E43" s="144">
        <v>0.78</v>
      </c>
      <c r="F43" s="144">
        <v>0.79</v>
      </c>
      <c r="G43" s="144">
        <v>0.81</v>
      </c>
      <c r="H43" s="144">
        <v>0.82</v>
      </c>
      <c r="I43" s="144">
        <v>0.82</v>
      </c>
      <c r="J43" s="144"/>
      <c r="K43" s="144">
        <v>0.8</v>
      </c>
      <c r="L43" s="144">
        <v>0.81</v>
      </c>
      <c r="M43" s="144">
        <v>0.82</v>
      </c>
      <c r="N43" s="144">
        <v>0.83</v>
      </c>
      <c r="O43" s="144">
        <v>0.82</v>
      </c>
      <c r="P43" s="144">
        <v>0.82</v>
      </c>
      <c r="Q43" s="144">
        <v>0.81</v>
      </c>
      <c r="R43" s="144"/>
      <c r="S43" s="144">
        <v>0.81</v>
      </c>
      <c r="T43" s="144">
        <v>0.82</v>
      </c>
      <c r="U43" s="144">
        <v>0.81</v>
      </c>
      <c r="V43" s="144">
        <v>0.81</v>
      </c>
      <c r="W43" s="144">
        <v>0.82</v>
      </c>
      <c r="X43" s="144">
        <v>0.81</v>
      </c>
      <c r="Y43" s="144"/>
      <c r="Z43" s="144">
        <v>0.82</v>
      </c>
      <c r="AA43" s="144">
        <v>0.82</v>
      </c>
      <c r="AB43" s="144">
        <v>0.82</v>
      </c>
      <c r="AC43" s="144">
        <v>0.82</v>
      </c>
      <c r="AD43" s="144">
        <v>0.83</v>
      </c>
      <c r="AE43" s="144">
        <v>0.83</v>
      </c>
      <c r="AF43" s="144">
        <v>0.83</v>
      </c>
      <c r="AG43" s="144">
        <v>0.82</v>
      </c>
      <c r="AH43" s="144">
        <v>0.82</v>
      </c>
      <c r="AI43" s="144">
        <v>0.82</v>
      </c>
      <c r="AJ43" s="144">
        <v>0.82</v>
      </c>
      <c r="AK43" s="144">
        <v>0.83</v>
      </c>
      <c r="AL43" s="144">
        <v>0.83</v>
      </c>
      <c r="AM43" s="144"/>
      <c r="AN43" s="144">
        <v>0.66</v>
      </c>
      <c r="AO43" s="144">
        <v>0.66</v>
      </c>
      <c r="AP43" s="144">
        <v>0.67</v>
      </c>
      <c r="AQ43" s="144">
        <v>0.67</v>
      </c>
      <c r="AR43" s="144">
        <v>0.66</v>
      </c>
      <c r="AS43" s="144">
        <v>0.66</v>
      </c>
      <c r="AT43" s="144"/>
      <c r="AU43" s="144"/>
      <c r="AV43" s="144"/>
      <c r="AW43" s="144"/>
      <c r="AX43" s="144"/>
      <c r="AY43" s="144"/>
      <c r="AZ43" s="144"/>
      <c r="BA43" s="144">
        <v>0.71</v>
      </c>
      <c r="BB43" s="144">
        <v>0.7</v>
      </c>
      <c r="BC43" s="144">
        <v>0.7</v>
      </c>
      <c r="BD43" s="144">
        <v>0.69</v>
      </c>
      <c r="BE43" s="144"/>
      <c r="BF43" s="144"/>
      <c r="BG43" s="144">
        <v>0.71</v>
      </c>
      <c r="BH43" s="144"/>
      <c r="BI43" s="144"/>
      <c r="BJ43" s="144"/>
      <c r="BK43" s="144">
        <v>0.76</v>
      </c>
      <c r="BL43" s="144">
        <v>0.76</v>
      </c>
      <c r="BM43" s="144">
        <v>0.74</v>
      </c>
      <c r="BN43" s="144">
        <v>0.74</v>
      </c>
      <c r="BO43" s="144">
        <v>0.76</v>
      </c>
      <c r="BP43" s="144">
        <v>0.76</v>
      </c>
      <c r="BQ43" s="144">
        <v>0.75</v>
      </c>
      <c r="BR43" s="144"/>
      <c r="BS43" s="144">
        <v>0.76</v>
      </c>
      <c r="BT43" s="144">
        <v>0.76</v>
      </c>
      <c r="BU43" s="144">
        <v>0.75</v>
      </c>
      <c r="BV43" s="144">
        <v>0.75</v>
      </c>
      <c r="BW43" s="144">
        <v>0.74</v>
      </c>
      <c r="BX43" s="144">
        <v>0.74</v>
      </c>
      <c r="BY43" s="144">
        <v>0.75</v>
      </c>
      <c r="BZ43" s="144">
        <v>0.73</v>
      </c>
      <c r="CA43" s="144"/>
      <c r="CB43" s="144"/>
      <c r="CC43" s="144"/>
      <c r="CD43" s="144"/>
      <c r="CE43" s="144"/>
      <c r="CF43" s="144"/>
      <c r="CG43" s="144"/>
      <c r="CH43" s="144"/>
      <c r="CI43" s="144"/>
      <c r="CJ43" s="144"/>
      <c r="CK43" s="144"/>
      <c r="CL43" s="144"/>
      <c r="CM43" s="144"/>
      <c r="CN43" s="144"/>
      <c r="CO43" s="144"/>
      <c r="CP43" s="144"/>
      <c r="CQ43" s="144"/>
      <c r="CR43" s="144"/>
      <c r="CS43" s="144">
        <v>0.75</v>
      </c>
      <c r="CT43" s="144"/>
      <c r="CU43" s="144">
        <v>0.74</v>
      </c>
      <c r="CV43" s="144">
        <v>0.76</v>
      </c>
      <c r="CW43" s="144">
        <v>0.75</v>
      </c>
      <c r="CX43" s="144">
        <v>0.77</v>
      </c>
      <c r="CY43" s="144">
        <v>0.76</v>
      </c>
      <c r="CZ43" s="144">
        <v>0.75</v>
      </c>
      <c r="DA43" s="144"/>
      <c r="DB43" s="144">
        <v>0.74</v>
      </c>
      <c r="DC43" s="144">
        <v>0.75</v>
      </c>
      <c r="DD43" s="144">
        <v>0.75</v>
      </c>
      <c r="DE43" s="144">
        <v>0.75</v>
      </c>
      <c r="DF43" s="144">
        <v>0.75</v>
      </c>
      <c r="DG43" s="144"/>
      <c r="DH43" s="144">
        <v>0.75</v>
      </c>
      <c r="DI43" s="144">
        <v>0.74</v>
      </c>
      <c r="DJ43" s="144">
        <v>0.74</v>
      </c>
      <c r="DK43" s="144">
        <v>0.75</v>
      </c>
      <c r="DL43" s="144">
        <v>0.74</v>
      </c>
      <c r="DM43" s="144">
        <v>0.75</v>
      </c>
      <c r="DN43" s="144"/>
      <c r="DO43" s="144">
        <v>0.74</v>
      </c>
      <c r="DP43" s="144">
        <v>0.75</v>
      </c>
      <c r="DQ43" s="144">
        <v>0.75</v>
      </c>
      <c r="DR43" s="144">
        <v>0.75</v>
      </c>
      <c r="DS43" s="144">
        <v>0.75</v>
      </c>
      <c r="DT43" s="144">
        <v>0.75</v>
      </c>
      <c r="DU43" s="144">
        <v>0.75</v>
      </c>
      <c r="DV43" s="144"/>
      <c r="DW43" s="144">
        <v>0.74</v>
      </c>
      <c r="DX43" s="144">
        <v>0.73</v>
      </c>
      <c r="DY43" s="144">
        <v>0.74</v>
      </c>
      <c r="DZ43" s="144">
        <v>0.7</v>
      </c>
      <c r="EA43" s="144">
        <v>0.7</v>
      </c>
      <c r="EB43" s="144">
        <v>0.71</v>
      </c>
      <c r="EC43" s="144">
        <v>0.73</v>
      </c>
      <c r="ED43" s="144"/>
      <c r="EE43" s="144">
        <v>0.72</v>
      </c>
      <c r="EF43" s="144">
        <v>0.72</v>
      </c>
      <c r="EG43" s="144">
        <v>0.72</v>
      </c>
      <c r="EH43" s="144">
        <v>0.73</v>
      </c>
      <c r="EI43" s="144"/>
      <c r="EJ43" s="144">
        <v>0.72</v>
      </c>
      <c r="EK43" s="144">
        <v>0.71</v>
      </c>
      <c r="EL43" s="144">
        <v>0.71</v>
      </c>
      <c r="EM43" s="144">
        <v>0.71</v>
      </c>
      <c r="EN43" s="144">
        <v>0.7</v>
      </c>
      <c r="EO43" s="144">
        <v>0.71</v>
      </c>
      <c r="EP43" s="144">
        <v>0.72</v>
      </c>
      <c r="EQ43" s="144">
        <v>0.72</v>
      </c>
      <c r="ER43" s="144">
        <v>0.71</v>
      </c>
      <c r="ES43" s="144"/>
      <c r="ET43" s="144">
        <v>0.72</v>
      </c>
      <c r="EU43" s="144">
        <v>0.71</v>
      </c>
      <c r="EV43" s="144">
        <v>0.71</v>
      </c>
      <c r="EW43" s="144">
        <v>0.72</v>
      </c>
      <c r="EX43" s="144">
        <v>0.7</v>
      </c>
      <c r="EY43" s="144">
        <v>0.72</v>
      </c>
      <c r="EZ43" s="144">
        <v>0.71</v>
      </c>
      <c r="FA43" s="144"/>
      <c r="FB43" s="144">
        <v>0.51</v>
      </c>
      <c r="FC43" s="144">
        <v>0.67</v>
      </c>
      <c r="FD43" s="144"/>
      <c r="FE43" s="144">
        <v>0.69</v>
      </c>
      <c r="FF43" s="144">
        <v>0.68</v>
      </c>
      <c r="FG43" s="144"/>
      <c r="FH43" s="144"/>
      <c r="FI43" s="144"/>
      <c r="FJ43" s="144">
        <v>0.67</v>
      </c>
      <c r="FK43" s="144">
        <v>0.66</v>
      </c>
      <c r="FL43" s="144">
        <v>0.63</v>
      </c>
      <c r="FM43" s="144"/>
      <c r="FN43" s="144"/>
      <c r="FO43" s="144">
        <v>0.62</v>
      </c>
      <c r="FP43" s="144"/>
      <c r="FQ43" s="144">
        <v>0.65</v>
      </c>
      <c r="FR43" s="144">
        <v>0.65</v>
      </c>
      <c r="FS43" s="144">
        <v>0.66</v>
      </c>
      <c r="FT43" s="144">
        <v>0.66</v>
      </c>
      <c r="FU43" s="144">
        <v>0.66</v>
      </c>
      <c r="FV43" s="144">
        <v>0.65</v>
      </c>
      <c r="FW43" s="144">
        <v>0.49</v>
      </c>
      <c r="FX43" s="144"/>
      <c r="FY43" s="144"/>
      <c r="FZ43" s="144"/>
      <c r="GA43" s="144"/>
      <c r="GB43" s="144"/>
      <c r="GC43" s="144">
        <v>0.68</v>
      </c>
      <c r="GD43" s="144"/>
      <c r="GE43" s="144"/>
      <c r="GF43" s="144">
        <v>0.66</v>
      </c>
      <c r="GG43" s="144">
        <v>0.67</v>
      </c>
      <c r="GH43" s="144"/>
      <c r="GI43" s="144">
        <v>0.65</v>
      </c>
      <c r="GJ43" s="144">
        <v>0.61</v>
      </c>
      <c r="GK43" s="144">
        <v>0.62</v>
      </c>
      <c r="GL43" s="144"/>
      <c r="GM43" s="144"/>
      <c r="GN43" s="144">
        <v>0.62</v>
      </c>
      <c r="GO43" s="144"/>
      <c r="GP43" s="144"/>
      <c r="GQ43" s="144"/>
      <c r="GR43" s="144">
        <v>0.65</v>
      </c>
      <c r="GS43" s="144">
        <v>0.64</v>
      </c>
      <c r="GT43" s="144"/>
      <c r="GU43" s="144">
        <v>0.7</v>
      </c>
      <c r="GV43" s="144">
        <v>0.72</v>
      </c>
      <c r="GW43" s="144">
        <v>0.71</v>
      </c>
      <c r="GX43" s="144">
        <v>0.71</v>
      </c>
      <c r="GY43" s="144">
        <v>0.71</v>
      </c>
      <c r="GZ43" s="144"/>
      <c r="HA43" s="144">
        <v>0.71</v>
      </c>
      <c r="HB43" s="144">
        <v>0.7</v>
      </c>
      <c r="HC43" s="144">
        <v>0.69</v>
      </c>
      <c r="HD43" s="144">
        <v>0.69</v>
      </c>
      <c r="HE43" s="144">
        <v>0.7</v>
      </c>
      <c r="HF43" s="144">
        <v>0.71</v>
      </c>
      <c r="HG43" s="144">
        <v>0.69</v>
      </c>
      <c r="HH43" s="144"/>
      <c r="HI43" s="144">
        <v>0.73</v>
      </c>
      <c r="HJ43" s="144">
        <v>0.74</v>
      </c>
      <c r="HK43" s="144">
        <v>0.73</v>
      </c>
      <c r="HL43" s="144">
        <v>0.73</v>
      </c>
      <c r="HM43" s="144"/>
      <c r="HN43" s="144">
        <v>0.69</v>
      </c>
      <c r="HO43" s="144">
        <v>0.69</v>
      </c>
      <c r="HP43" s="144">
        <v>0.69</v>
      </c>
      <c r="HQ43" s="144">
        <v>0.7</v>
      </c>
      <c r="HR43" s="144">
        <v>0.68</v>
      </c>
      <c r="HS43" s="144">
        <v>0.69</v>
      </c>
      <c r="HT43" s="144"/>
      <c r="HU43" s="144">
        <v>0.73</v>
      </c>
      <c r="HV43" s="144">
        <v>0.72</v>
      </c>
      <c r="HW43" s="144">
        <v>0.73</v>
      </c>
      <c r="HX43" s="144">
        <v>0.72</v>
      </c>
      <c r="HY43" s="144">
        <v>0.72</v>
      </c>
      <c r="HZ43" s="144">
        <v>0.73</v>
      </c>
      <c r="IA43" s="144">
        <v>0.73</v>
      </c>
      <c r="IB43" s="144">
        <v>0.73</v>
      </c>
      <c r="IC43" s="144">
        <v>0.74</v>
      </c>
      <c r="ID43" s="144"/>
      <c r="IE43" s="144"/>
      <c r="IF43" s="144"/>
      <c r="IG43" s="144"/>
      <c r="IH43" s="144"/>
      <c r="II43" s="144"/>
      <c r="IJ43" s="144"/>
      <c r="IK43" s="144"/>
      <c r="IL43" s="144"/>
      <c r="IM43" s="144"/>
      <c r="IN43" s="144"/>
      <c r="IO43" s="144">
        <v>0.78</v>
      </c>
      <c r="IP43" s="144">
        <v>0.8</v>
      </c>
      <c r="IQ43" s="144">
        <v>0.8</v>
      </c>
      <c r="IR43" s="144">
        <v>0.8</v>
      </c>
      <c r="IS43" s="144">
        <v>0.81</v>
      </c>
      <c r="IT43" s="144">
        <v>0.81</v>
      </c>
      <c r="IU43" s="144">
        <v>0.8</v>
      </c>
      <c r="IV43" s="144"/>
      <c r="IW43" s="144"/>
      <c r="IX43" s="144"/>
      <c r="IY43" s="144"/>
      <c r="IZ43" s="144"/>
      <c r="JA43" s="144"/>
      <c r="JB43" s="144"/>
      <c r="JC43" s="144"/>
      <c r="JD43" s="144"/>
      <c r="JE43" s="144"/>
      <c r="JF43" s="144"/>
      <c r="JG43" s="144"/>
      <c r="JH43" s="144"/>
      <c r="JI43" s="144"/>
      <c r="JJ43" s="144"/>
      <c r="JK43" s="144"/>
      <c r="JL43" s="144"/>
      <c r="JM43" s="144"/>
      <c r="JN43" s="144"/>
      <c r="JO43" s="144"/>
      <c r="JP43" s="144"/>
      <c r="JQ43" s="144"/>
      <c r="JR43" s="144"/>
      <c r="JS43" s="144"/>
      <c r="JT43" s="144"/>
      <c r="JU43" s="144"/>
      <c r="JV43" s="144"/>
      <c r="JW43" s="144"/>
      <c r="JX43" s="144"/>
      <c r="JY43" s="144"/>
    </row>
    <row r="44" spans="1:285" x14ac:dyDescent="0.2">
      <c r="A44" s="136" t="s">
        <v>1701</v>
      </c>
      <c r="B44" s="136">
        <v>12.2</v>
      </c>
      <c r="C44" s="136">
        <v>12.9</v>
      </c>
      <c r="D44" s="136">
        <v>12.2</v>
      </c>
      <c r="E44" s="136">
        <v>10.9</v>
      </c>
      <c r="F44" s="136">
        <v>11.3</v>
      </c>
      <c r="G44" s="136">
        <v>12</v>
      </c>
      <c r="H44" s="136">
        <v>12.4</v>
      </c>
      <c r="I44" s="136">
        <v>12.6</v>
      </c>
      <c r="J44" s="136"/>
      <c r="K44" s="136">
        <v>11.6</v>
      </c>
      <c r="L44" s="136">
        <v>12.4</v>
      </c>
      <c r="M44" s="136">
        <v>12.6</v>
      </c>
      <c r="N44" s="136">
        <v>12.7</v>
      </c>
      <c r="O44" s="136">
        <v>12.6</v>
      </c>
      <c r="P44" s="136">
        <v>12.7</v>
      </c>
      <c r="Q44" s="136">
        <v>12.2</v>
      </c>
      <c r="R44" s="136"/>
      <c r="S44" s="136">
        <v>12.3</v>
      </c>
      <c r="T44" s="136">
        <v>12.4</v>
      </c>
      <c r="U44" s="136">
        <v>12.4</v>
      </c>
      <c r="V44" s="136">
        <v>12</v>
      </c>
      <c r="W44" s="136">
        <v>12.6</v>
      </c>
      <c r="X44" s="136">
        <v>12.1</v>
      </c>
      <c r="Y44" s="136"/>
      <c r="Z44" s="136">
        <v>12.4</v>
      </c>
      <c r="AA44" s="136">
        <v>12.5</v>
      </c>
      <c r="AB44" s="136">
        <v>12.6</v>
      </c>
      <c r="AC44" s="136">
        <v>12.7</v>
      </c>
      <c r="AD44" s="136">
        <v>12.7</v>
      </c>
      <c r="AE44" s="136">
        <v>12.8</v>
      </c>
      <c r="AF44" s="136">
        <v>12.8</v>
      </c>
      <c r="AG44" s="136">
        <v>12.6</v>
      </c>
      <c r="AH44" s="136">
        <v>12.7</v>
      </c>
      <c r="AI44" s="136">
        <v>12.7</v>
      </c>
      <c r="AJ44" s="136">
        <v>12.7</v>
      </c>
      <c r="AK44" s="136">
        <v>12.8</v>
      </c>
      <c r="AL44" s="136">
        <v>12.8</v>
      </c>
      <c r="AM44" s="136"/>
      <c r="AN44" s="136">
        <v>8</v>
      </c>
      <c r="AO44" s="136">
        <v>8.1</v>
      </c>
      <c r="AP44" s="136">
        <v>8.1999999999999993</v>
      </c>
      <c r="AQ44" s="136">
        <v>8.1999999999999993</v>
      </c>
      <c r="AR44" s="136">
        <v>8.1</v>
      </c>
      <c r="AS44" s="136">
        <v>8.1999999999999993</v>
      </c>
      <c r="AT44" s="136"/>
      <c r="AU44" s="136"/>
      <c r="AV44" s="136"/>
      <c r="AW44" s="136"/>
      <c r="AX44" s="136"/>
      <c r="AY44" s="136"/>
      <c r="AZ44" s="136"/>
      <c r="BA44" s="136">
        <v>9.1999999999999993</v>
      </c>
      <c r="BB44" s="136">
        <v>9</v>
      </c>
      <c r="BC44" s="136">
        <v>9</v>
      </c>
      <c r="BD44" s="136">
        <v>8.6999999999999993</v>
      </c>
      <c r="BE44" s="136"/>
      <c r="BF44" s="136"/>
      <c r="BG44" s="136">
        <v>9.1</v>
      </c>
      <c r="BH44" s="136"/>
      <c r="BI44" s="136"/>
      <c r="BJ44" s="136"/>
      <c r="BK44" s="136">
        <v>10.4</v>
      </c>
      <c r="BL44" s="136">
        <v>10.4</v>
      </c>
      <c r="BM44" s="136">
        <v>10</v>
      </c>
      <c r="BN44" s="136">
        <v>9.6999999999999993</v>
      </c>
      <c r="BO44" s="136">
        <v>10.5</v>
      </c>
      <c r="BP44" s="136">
        <v>10.4</v>
      </c>
      <c r="BQ44" s="136">
        <v>10.199999999999999</v>
      </c>
      <c r="BR44" s="136"/>
      <c r="BS44" s="136">
        <v>10.4</v>
      </c>
      <c r="BT44" s="136">
        <v>10.5</v>
      </c>
      <c r="BU44" s="136">
        <v>10.3</v>
      </c>
      <c r="BV44" s="136">
        <v>10.3</v>
      </c>
      <c r="BW44" s="136">
        <v>9.9</v>
      </c>
      <c r="BX44" s="136">
        <v>9.9</v>
      </c>
      <c r="BY44" s="136">
        <v>10.199999999999999</v>
      </c>
      <c r="BZ44" s="136">
        <v>9.6999999999999993</v>
      </c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>
        <v>10</v>
      </c>
      <c r="CT44" s="136"/>
      <c r="CU44" s="136">
        <v>9.8000000000000007</v>
      </c>
      <c r="CV44" s="136">
        <v>10.1</v>
      </c>
      <c r="CW44" s="136">
        <v>9.8000000000000007</v>
      </c>
      <c r="CX44" s="136">
        <v>10.4</v>
      </c>
      <c r="CY44" s="136">
        <v>10.199999999999999</v>
      </c>
      <c r="CZ44" s="136">
        <v>9.8000000000000007</v>
      </c>
      <c r="DA44" s="136"/>
      <c r="DB44" s="136">
        <v>9.8000000000000007</v>
      </c>
      <c r="DC44" s="136">
        <v>10</v>
      </c>
      <c r="DD44" s="136">
        <v>9.9</v>
      </c>
      <c r="DE44" s="136">
        <v>10</v>
      </c>
      <c r="DF44" s="136">
        <v>10.1</v>
      </c>
      <c r="DG44" s="136"/>
      <c r="DH44" s="136">
        <v>9.9</v>
      </c>
      <c r="DI44" s="136">
        <v>9.6999999999999993</v>
      </c>
      <c r="DJ44" s="136">
        <v>9.6999999999999993</v>
      </c>
      <c r="DK44" s="136">
        <v>9.8000000000000007</v>
      </c>
      <c r="DL44" s="136">
        <v>9.6999999999999993</v>
      </c>
      <c r="DM44" s="136">
        <v>9.8000000000000007</v>
      </c>
      <c r="DN44" s="136"/>
      <c r="DO44" s="136">
        <v>9.6</v>
      </c>
      <c r="DP44" s="136">
        <v>9.8000000000000007</v>
      </c>
      <c r="DQ44" s="136">
        <v>9.6999999999999993</v>
      </c>
      <c r="DR44" s="136">
        <v>9.9</v>
      </c>
      <c r="DS44" s="136">
        <v>9.9</v>
      </c>
      <c r="DT44" s="136">
        <v>10</v>
      </c>
      <c r="DU44" s="136">
        <v>9.9</v>
      </c>
      <c r="DV44" s="136"/>
      <c r="DW44" s="136">
        <v>10.6</v>
      </c>
      <c r="DX44" s="136">
        <v>10.199999999999999</v>
      </c>
      <c r="DY44" s="136">
        <v>10.8</v>
      </c>
      <c r="DZ44" s="136">
        <v>9.1999999999999993</v>
      </c>
      <c r="EA44" s="136">
        <v>9.3000000000000007</v>
      </c>
      <c r="EB44" s="136">
        <v>9.5</v>
      </c>
      <c r="EC44" s="136">
        <v>10.199999999999999</v>
      </c>
      <c r="ED44" s="136"/>
      <c r="EE44" s="136">
        <v>9.5</v>
      </c>
      <c r="EF44" s="136">
        <v>9.5</v>
      </c>
      <c r="EG44" s="136">
        <v>9.4</v>
      </c>
      <c r="EH44" s="136">
        <v>9.8000000000000007</v>
      </c>
      <c r="EI44" s="136"/>
      <c r="EJ44" s="136">
        <v>9.1</v>
      </c>
      <c r="EK44" s="136">
        <v>9</v>
      </c>
      <c r="EL44" s="136">
        <v>8.8000000000000007</v>
      </c>
      <c r="EM44" s="136">
        <v>8.8000000000000007</v>
      </c>
      <c r="EN44" s="136">
        <v>8.5</v>
      </c>
      <c r="EO44" s="136">
        <v>8.9</v>
      </c>
      <c r="EP44" s="136">
        <v>9.1</v>
      </c>
      <c r="EQ44" s="136">
        <v>9</v>
      </c>
      <c r="ER44" s="136">
        <v>8.9</v>
      </c>
      <c r="ES44" s="136"/>
      <c r="ET44" s="136">
        <v>9.1</v>
      </c>
      <c r="EU44" s="136">
        <v>8.8000000000000007</v>
      </c>
      <c r="EV44" s="136">
        <v>8.8000000000000007</v>
      </c>
      <c r="EW44" s="136">
        <v>9</v>
      </c>
      <c r="EX44" s="136">
        <v>8.5</v>
      </c>
      <c r="EY44" s="136">
        <v>9</v>
      </c>
      <c r="EZ44" s="136">
        <v>8.6999999999999993</v>
      </c>
      <c r="FA44" s="136"/>
      <c r="FB44" s="136">
        <v>2.6</v>
      </c>
      <c r="FC44" s="136">
        <v>8.3000000000000007</v>
      </c>
      <c r="FD44" s="136"/>
      <c r="FE44" s="136">
        <v>9</v>
      </c>
      <c r="FF44" s="136">
        <v>8.6999999999999993</v>
      </c>
      <c r="FG44" s="136"/>
      <c r="FH44" s="136"/>
      <c r="FI44" s="136"/>
      <c r="FJ44" s="136">
        <v>8.5</v>
      </c>
      <c r="FK44" s="136">
        <v>7.9</v>
      </c>
      <c r="FL44" s="136">
        <v>7</v>
      </c>
      <c r="FM44" s="136"/>
      <c r="FN44" s="136"/>
      <c r="FO44" s="136">
        <v>6.6</v>
      </c>
      <c r="FP44" s="136"/>
      <c r="FQ44" s="136">
        <v>7.8</v>
      </c>
      <c r="FR44" s="136">
        <v>7.7</v>
      </c>
      <c r="FS44" s="136">
        <v>7.9</v>
      </c>
      <c r="FT44" s="136">
        <v>8.1</v>
      </c>
      <c r="FU44" s="136">
        <v>8.1</v>
      </c>
      <c r="FV44" s="136">
        <v>7.7</v>
      </c>
      <c r="FW44" s="136">
        <v>2.1</v>
      </c>
      <c r="FX44" s="136"/>
      <c r="FY44" s="136"/>
      <c r="FZ44" s="136"/>
      <c r="GA44" s="136"/>
      <c r="GB44" s="136"/>
      <c r="GC44" s="136">
        <v>8.6999999999999993</v>
      </c>
      <c r="GD44" s="136"/>
      <c r="GE44" s="136"/>
      <c r="GF44" s="136">
        <v>8</v>
      </c>
      <c r="GG44" s="136">
        <v>8.4</v>
      </c>
      <c r="GH44" s="136"/>
      <c r="GI44" s="136">
        <v>7.7</v>
      </c>
      <c r="GJ44" s="136">
        <v>6.4</v>
      </c>
      <c r="GK44" s="136">
        <v>6.8</v>
      </c>
      <c r="GL44" s="136"/>
      <c r="GM44" s="136"/>
      <c r="GN44" s="136">
        <v>6.5</v>
      </c>
      <c r="GO44" s="136"/>
      <c r="GP44" s="136"/>
      <c r="GQ44" s="136"/>
      <c r="GR44" s="136">
        <v>7.7</v>
      </c>
      <c r="GS44" s="136">
        <v>7.4</v>
      </c>
      <c r="GT44" s="136"/>
      <c r="GU44" s="136">
        <v>8.4</v>
      </c>
      <c r="GV44" s="136">
        <v>9</v>
      </c>
      <c r="GW44" s="136">
        <v>8.8000000000000007</v>
      </c>
      <c r="GX44" s="136">
        <v>8.6999999999999993</v>
      </c>
      <c r="GY44" s="136">
        <v>8.8000000000000007</v>
      </c>
      <c r="GZ44" s="136"/>
      <c r="HA44" s="136">
        <v>9.6999999999999993</v>
      </c>
      <c r="HB44" s="136">
        <v>9.4</v>
      </c>
      <c r="HC44" s="136">
        <v>9</v>
      </c>
      <c r="HD44" s="136">
        <v>9.1</v>
      </c>
      <c r="HE44" s="136">
        <v>9.5</v>
      </c>
      <c r="HF44" s="136">
        <v>9.6999999999999993</v>
      </c>
      <c r="HG44" s="136">
        <v>9</v>
      </c>
      <c r="HH44" s="136"/>
      <c r="HI44" s="136">
        <v>9.4</v>
      </c>
      <c r="HJ44" s="136">
        <v>9.6</v>
      </c>
      <c r="HK44" s="136">
        <v>9.4</v>
      </c>
      <c r="HL44" s="136">
        <v>9.5</v>
      </c>
      <c r="HM44" s="136"/>
      <c r="HN44" s="136">
        <v>8.8000000000000007</v>
      </c>
      <c r="HO44" s="136">
        <v>8.9</v>
      </c>
      <c r="HP44" s="136">
        <v>8.6999999999999993</v>
      </c>
      <c r="HQ44" s="136">
        <v>9.1999999999999993</v>
      </c>
      <c r="HR44" s="136">
        <v>8.6</v>
      </c>
      <c r="HS44" s="136">
        <v>8.6999999999999993</v>
      </c>
      <c r="HT44" s="136"/>
      <c r="HU44" s="136">
        <v>9.6</v>
      </c>
      <c r="HV44" s="136">
        <v>9.1999999999999993</v>
      </c>
      <c r="HW44" s="136">
        <v>9.6</v>
      </c>
      <c r="HX44" s="136">
        <v>9.3000000000000007</v>
      </c>
      <c r="HY44" s="136">
        <v>9.4</v>
      </c>
      <c r="HZ44" s="136">
        <v>9.5</v>
      </c>
      <c r="IA44" s="136">
        <v>9.5</v>
      </c>
      <c r="IB44" s="136">
        <v>9.6999999999999993</v>
      </c>
      <c r="IC44" s="136">
        <v>9.6999999999999993</v>
      </c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>
        <v>11.4</v>
      </c>
      <c r="IP44" s="136">
        <v>11.9</v>
      </c>
      <c r="IQ44" s="136">
        <v>11.8</v>
      </c>
      <c r="IR44" s="136">
        <v>11.8</v>
      </c>
      <c r="IS44" s="136">
        <v>12.3</v>
      </c>
      <c r="IT44" s="136">
        <v>12.1</v>
      </c>
      <c r="IU44" s="136">
        <v>12</v>
      </c>
      <c r="IV44" s="136"/>
      <c r="IW44" s="136"/>
      <c r="IX44" s="136"/>
      <c r="IY44" s="136"/>
      <c r="IZ44" s="136"/>
      <c r="JA44" s="136"/>
      <c r="JB44" s="136"/>
      <c r="JC44" s="136"/>
      <c r="JD44" s="136"/>
      <c r="JE44" s="136"/>
      <c r="JF44" s="136"/>
      <c r="JG44" s="136"/>
      <c r="JH44" s="136"/>
      <c r="JI44" s="136"/>
      <c r="JJ44" s="136"/>
      <c r="JK44" s="136"/>
      <c r="JL44" s="136"/>
      <c r="JM44" s="136"/>
      <c r="JN44" s="136"/>
      <c r="JO44" s="136"/>
      <c r="JP44" s="136"/>
      <c r="JQ44" s="136"/>
      <c r="JR44" s="136"/>
      <c r="JS44" s="136"/>
      <c r="JT44" s="136"/>
      <c r="JU44" s="136"/>
      <c r="JV44" s="136"/>
      <c r="JW44" s="136"/>
      <c r="JX44" s="136"/>
      <c r="JY44" s="136"/>
    </row>
    <row r="45" spans="1:285" x14ac:dyDescent="0.2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6"/>
      <c r="HR45" s="136"/>
      <c r="HS45" s="136"/>
      <c r="HT45" s="136"/>
      <c r="HU45" s="136"/>
      <c r="HV45" s="136"/>
      <c r="HW45" s="136"/>
      <c r="HX45" s="136"/>
      <c r="HY45" s="136"/>
      <c r="HZ45" s="136"/>
      <c r="IA45" s="136"/>
      <c r="IB45" s="136"/>
      <c r="IC45" s="136"/>
      <c r="ID45" s="136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6"/>
      <c r="IT45" s="136"/>
      <c r="IU45" s="136"/>
      <c r="IV45" s="136"/>
      <c r="IW45" s="136"/>
      <c r="IX45" s="136"/>
      <c r="IY45" s="136"/>
      <c r="IZ45" s="136"/>
      <c r="JA45" s="136"/>
      <c r="JB45" s="136"/>
      <c r="JC45" s="136"/>
      <c r="JD45" s="136"/>
      <c r="JE45" s="136"/>
      <c r="JF45" s="136"/>
      <c r="JG45" s="136"/>
      <c r="JH45" s="136"/>
      <c r="JI45" s="136"/>
      <c r="JJ45" s="136"/>
      <c r="JK45" s="136"/>
      <c r="JL45" s="136"/>
      <c r="JM45" s="136"/>
      <c r="JN45" s="136"/>
      <c r="JO45" s="136"/>
      <c r="JP45" s="136"/>
      <c r="JQ45" s="136"/>
      <c r="JR45" s="136"/>
      <c r="JS45" s="136"/>
      <c r="JT45" s="136"/>
      <c r="JU45" s="136"/>
      <c r="JV45" s="136"/>
      <c r="JW45" s="136"/>
      <c r="JX45" s="136"/>
      <c r="JY45" s="136"/>
    </row>
    <row r="46" spans="1:285" x14ac:dyDescent="0.2">
      <c r="A46" s="136" t="s">
        <v>1702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 t="s">
        <v>1703</v>
      </c>
      <c r="FC46" s="136" t="s">
        <v>1703</v>
      </c>
      <c r="FD46" s="136" t="s">
        <v>1703</v>
      </c>
      <c r="FE46" s="136" t="s">
        <v>1703</v>
      </c>
      <c r="FF46" s="136" t="s">
        <v>1703</v>
      </c>
      <c r="FG46" s="136" t="s">
        <v>1703</v>
      </c>
      <c r="FH46" s="136" t="s">
        <v>1703</v>
      </c>
      <c r="FI46" s="136" t="s">
        <v>1703</v>
      </c>
      <c r="FJ46" s="136" t="s">
        <v>1703</v>
      </c>
      <c r="FK46" s="136" t="s">
        <v>1703</v>
      </c>
      <c r="FL46" s="136" t="s">
        <v>1703</v>
      </c>
      <c r="FM46" s="136" t="s">
        <v>1703</v>
      </c>
      <c r="FN46" s="136" t="s">
        <v>1703</v>
      </c>
      <c r="FO46" s="136" t="s">
        <v>1703</v>
      </c>
      <c r="FP46" s="136" t="s">
        <v>1703</v>
      </c>
      <c r="FQ46" s="136" t="s">
        <v>1703</v>
      </c>
      <c r="FR46" s="136" t="s">
        <v>1703</v>
      </c>
      <c r="FS46" s="136" t="s">
        <v>1703</v>
      </c>
      <c r="FT46" s="136" t="s">
        <v>1703</v>
      </c>
      <c r="FU46" s="136" t="s">
        <v>1703</v>
      </c>
      <c r="FV46" s="136" t="s">
        <v>1703</v>
      </c>
      <c r="FW46" s="136" t="s">
        <v>1703</v>
      </c>
      <c r="FX46" s="136"/>
      <c r="FY46" s="136" t="s">
        <v>1703</v>
      </c>
      <c r="FZ46" s="136" t="s">
        <v>1703</v>
      </c>
      <c r="GA46" s="136" t="s">
        <v>1703</v>
      </c>
      <c r="GB46" s="136" t="s">
        <v>1703</v>
      </c>
      <c r="GC46" s="136" t="s">
        <v>1703</v>
      </c>
      <c r="GD46" s="136" t="s">
        <v>1703</v>
      </c>
      <c r="GE46" s="136" t="s">
        <v>1703</v>
      </c>
      <c r="GF46" s="136" t="s">
        <v>1703</v>
      </c>
      <c r="GG46" s="136" t="s">
        <v>1703</v>
      </c>
      <c r="GH46" s="136" t="s">
        <v>1703</v>
      </c>
      <c r="GI46" s="136" t="s">
        <v>1703</v>
      </c>
      <c r="GJ46" s="136" t="s">
        <v>1703</v>
      </c>
      <c r="GK46" s="136" t="s">
        <v>1703</v>
      </c>
      <c r="GL46" s="136" t="s">
        <v>1703</v>
      </c>
      <c r="GM46" s="136" t="s">
        <v>1703</v>
      </c>
      <c r="GN46" s="136" t="s">
        <v>1703</v>
      </c>
      <c r="GO46" s="136" t="s">
        <v>1703</v>
      </c>
      <c r="GP46" s="136" t="s">
        <v>1703</v>
      </c>
      <c r="GQ46" s="136" t="s">
        <v>1703</v>
      </c>
      <c r="GR46" s="136" t="s">
        <v>1703</v>
      </c>
      <c r="GS46" s="136" t="s">
        <v>1703</v>
      </c>
      <c r="GT46" s="136"/>
      <c r="GU46" s="136"/>
      <c r="GV46" s="136"/>
      <c r="GW46" s="136"/>
      <c r="GX46" s="136"/>
      <c r="GY46" s="136"/>
      <c r="GZ46" s="136"/>
      <c r="HA46" s="136"/>
      <c r="HB46" s="136"/>
      <c r="HC46" s="136"/>
      <c r="HD46" s="136"/>
      <c r="HE46" s="136"/>
      <c r="HF46" s="136"/>
      <c r="HG46" s="136"/>
      <c r="HH46" s="136"/>
      <c r="HI46" s="136"/>
      <c r="HJ46" s="136"/>
      <c r="HK46" s="136"/>
      <c r="HL46" s="136"/>
      <c r="HM46" s="136"/>
      <c r="HN46" s="136"/>
      <c r="HO46" s="136"/>
      <c r="HP46" s="136"/>
      <c r="HQ46" s="136"/>
      <c r="HR46" s="136"/>
      <c r="HS46" s="136"/>
      <c r="HT46" s="136"/>
      <c r="HU46" s="136"/>
      <c r="HV46" s="136"/>
      <c r="HW46" s="136"/>
      <c r="HX46" s="136"/>
      <c r="HY46" s="136"/>
      <c r="HZ46" s="136"/>
      <c r="IA46" s="136"/>
      <c r="IB46" s="136"/>
      <c r="IC46" s="136"/>
      <c r="ID46" s="136"/>
      <c r="IE46" s="136"/>
      <c r="IF46" s="136"/>
      <c r="IG46" s="136"/>
      <c r="IH46" s="136"/>
      <c r="II46" s="136"/>
      <c r="IJ46" s="136"/>
      <c r="IK46" s="136"/>
      <c r="IL46" s="136"/>
      <c r="IM46" s="136"/>
      <c r="IN46" s="136"/>
      <c r="IO46" s="136"/>
      <c r="IP46" s="136"/>
      <c r="IQ46" s="136"/>
      <c r="IR46" s="136"/>
      <c r="IS46" s="136"/>
      <c r="IT46" s="136"/>
      <c r="IU46" s="136"/>
      <c r="IV46" s="136"/>
      <c r="IW46" s="136"/>
      <c r="IX46" s="136"/>
      <c r="IY46" s="136"/>
      <c r="IZ46" s="136"/>
      <c r="JA46" s="136"/>
      <c r="JB46" s="136"/>
      <c r="JC46" s="136"/>
      <c r="JD46" s="136"/>
      <c r="JE46" s="136"/>
      <c r="JF46" s="136"/>
      <c r="JG46" s="136"/>
      <c r="JH46" s="136"/>
      <c r="JI46" s="136"/>
      <c r="JJ46" s="136"/>
      <c r="JK46" s="136"/>
      <c r="JL46" s="136"/>
      <c r="JM46" s="136"/>
      <c r="JN46" s="136"/>
      <c r="JO46" s="136"/>
      <c r="JP46" s="136"/>
      <c r="JQ46" s="136"/>
      <c r="JR46" s="136"/>
      <c r="JS46" s="136"/>
      <c r="JT46" s="136"/>
      <c r="JU46" s="136"/>
      <c r="JV46" s="136"/>
      <c r="JW46" s="136"/>
      <c r="JX46" s="136"/>
      <c r="JY46" s="136"/>
    </row>
    <row r="47" spans="1:285" x14ac:dyDescent="0.2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  <c r="ER47" s="136"/>
      <c r="ES47" s="136"/>
      <c r="ET47" s="136"/>
      <c r="EU47" s="136"/>
      <c r="EV47" s="136"/>
      <c r="EW47" s="136"/>
      <c r="EX47" s="136"/>
      <c r="EY47" s="136"/>
      <c r="EZ47" s="136"/>
      <c r="FA47" s="136"/>
      <c r="FB47" s="136"/>
      <c r="FC47" s="136"/>
      <c r="FD47" s="136"/>
      <c r="FE47" s="136"/>
      <c r="FF47" s="136"/>
      <c r="FG47" s="136"/>
      <c r="FH47" s="136"/>
      <c r="FI47" s="136"/>
      <c r="FJ47" s="136"/>
      <c r="FK47" s="136"/>
      <c r="FL47" s="136"/>
      <c r="FM47" s="136"/>
      <c r="FN47" s="136"/>
      <c r="FO47" s="136"/>
      <c r="FP47" s="136"/>
      <c r="FQ47" s="136"/>
      <c r="FR47" s="136"/>
      <c r="FS47" s="136"/>
      <c r="FT47" s="136"/>
      <c r="FU47" s="136"/>
      <c r="FV47" s="136"/>
      <c r="FW47" s="136"/>
      <c r="FX47" s="136"/>
      <c r="FY47" s="136"/>
      <c r="FZ47" s="136"/>
      <c r="GA47" s="136"/>
      <c r="GB47" s="136"/>
      <c r="GC47" s="136"/>
      <c r="GD47" s="136"/>
      <c r="GE47" s="136"/>
      <c r="GF47" s="136"/>
      <c r="GG47" s="136"/>
      <c r="GH47" s="136"/>
      <c r="GI47" s="136"/>
      <c r="GJ47" s="136"/>
      <c r="GK47" s="136"/>
      <c r="GL47" s="136"/>
      <c r="GM47" s="136"/>
      <c r="GN47" s="136"/>
      <c r="GO47" s="136"/>
      <c r="GP47" s="136"/>
      <c r="GQ47" s="136"/>
      <c r="GR47" s="136"/>
      <c r="GS47" s="136"/>
      <c r="GT47" s="136"/>
      <c r="GU47" s="136"/>
      <c r="GV47" s="136"/>
      <c r="GW47" s="136"/>
      <c r="GX47" s="136"/>
      <c r="GY47" s="136"/>
      <c r="GZ47" s="136"/>
      <c r="HA47" s="136"/>
      <c r="HB47" s="136"/>
      <c r="HC47" s="136"/>
      <c r="HD47" s="136"/>
      <c r="HE47" s="136"/>
      <c r="HF47" s="136"/>
      <c r="HG47" s="136"/>
      <c r="HH47" s="136"/>
      <c r="HI47" s="136"/>
      <c r="HJ47" s="136"/>
      <c r="HK47" s="136"/>
      <c r="HL47" s="136"/>
      <c r="HM47" s="136"/>
      <c r="HN47" s="136"/>
      <c r="HO47" s="136"/>
      <c r="HP47" s="136"/>
      <c r="HQ47" s="136"/>
      <c r="HR47" s="136"/>
      <c r="HS47" s="136"/>
      <c r="HT47" s="136"/>
      <c r="HU47" s="136"/>
      <c r="HV47" s="136"/>
      <c r="HW47" s="136"/>
      <c r="HX47" s="136"/>
      <c r="HY47" s="136"/>
      <c r="HZ47" s="136"/>
      <c r="IA47" s="136"/>
      <c r="IB47" s="136"/>
      <c r="IC47" s="136"/>
      <c r="ID47" s="136"/>
      <c r="IE47" s="136"/>
      <c r="IF47" s="136"/>
      <c r="IG47" s="136"/>
      <c r="IH47" s="136"/>
      <c r="II47" s="136"/>
      <c r="IJ47" s="136"/>
      <c r="IK47" s="136"/>
      <c r="IL47" s="136"/>
      <c r="IM47" s="136"/>
      <c r="IN47" s="136"/>
      <c r="IO47" s="136"/>
      <c r="IP47" s="136"/>
      <c r="IQ47" s="136"/>
      <c r="IR47" s="136"/>
      <c r="IS47" s="136"/>
      <c r="IT47" s="136"/>
      <c r="IU47" s="136"/>
      <c r="IV47" s="136"/>
      <c r="IW47" s="136"/>
      <c r="IX47" s="136"/>
      <c r="IY47" s="136"/>
      <c r="IZ47" s="136"/>
      <c r="JA47" s="136"/>
      <c r="JB47" s="136"/>
      <c r="JC47" s="136"/>
      <c r="JD47" s="136"/>
      <c r="JE47" s="136"/>
      <c r="JF47" s="136"/>
      <c r="JG47" s="136"/>
      <c r="JH47" s="136"/>
      <c r="JI47" s="136"/>
      <c r="JJ47" s="136"/>
      <c r="JK47" s="136"/>
      <c r="JL47" s="136"/>
      <c r="JM47" s="136"/>
      <c r="JN47" s="136"/>
      <c r="JO47" s="136"/>
      <c r="JP47" s="136"/>
      <c r="JQ47" s="136"/>
      <c r="JR47" s="136"/>
      <c r="JS47" s="136"/>
      <c r="JT47" s="136"/>
      <c r="JU47" s="136"/>
      <c r="JV47" s="136"/>
      <c r="JW47" s="136"/>
      <c r="JX47" s="136"/>
      <c r="JY47" s="136"/>
    </row>
    <row r="48" spans="1:285" x14ac:dyDescent="0.2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6"/>
      <c r="HR48" s="136"/>
      <c r="HS48" s="136"/>
      <c r="HT48" s="136"/>
      <c r="HU48" s="136"/>
      <c r="HV48" s="136"/>
      <c r="HW48" s="136"/>
      <c r="HX48" s="136"/>
      <c r="HY48" s="136"/>
      <c r="HZ48" s="136"/>
      <c r="IA48" s="136"/>
      <c r="IB48" s="136"/>
      <c r="IC48" s="136"/>
      <c r="ID48" s="136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6"/>
      <c r="IT48" s="136"/>
      <c r="IU48" s="136"/>
      <c r="IV48" s="136"/>
      <c r="IW48" s="136"/>
      <c r="IX48" s="136"/>
      <c r="IY48" s="136"/>
      <c r="IZ48" s="136"/>
      <c r="JA48" s="136"/>
      <c r="JB48" s="136"/>
      <c r="JC48" s="136"/>
      <c r="JD48" s="136"/>
      <c r="JE48" s="136"/>
      <c r="JF48" s="136"/>
      <c r="JG48" s="136"/>
      <c r="JH48" s="136"/>
      <c r="JI48" s="136"/>
      <c r="JJ48" s="136"/>
      <c r="JK48" s="136"/>
      <c r="JL48" s="136"/>
      <c r="JM48" s="136"/>
      <c r="JN48" s="136"/>
      <c r="JO48" s="136"/>
      <c r="JP48" s="136"/>
      <c r="JQ48" s="136"/>
      <c r="JR48" s="136"/>
      <c r="JS48" s="136"/>
      <c r="JT48" s="136"/>
      <c r="JU48" s="136"/>
      <c r="JV48" s="136"/>
      <c r="JW48" s="136"/>
      <c r="JX48" s="136"/>
      <c r="JY48" s="136"/>
    </row>
    <row r="49" spans="1:285" x14ac:dyDescent="0.2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6"/>
      <c r="CO49" s="136"/>
      <c r="CP49" s="136"/>
      <c r="CQ49" s="136"/>
      <c r="CR49" s="136"/>
      <c r="CS49" s="136"/>
      <c r="CT49" s="136"/>
      <c r="CU49" s="136"/>
      <c r="CV49" s="136"/>
      <c r="CW49" s="136"/>
      <c r="CX49" s="136"/>
      <c r="CY49" s="136"/>
      <c r="CZ49" s="136"/>
      <c r="DA49" s="136"/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6"/>
      <c r="DO49" s="136"/>
      <c r="DP49" s="136"/>
      <c r="DQ49" s="136"/>
      <c r="DR49" s="136"/>
      <c r="DS49" s="136"/>
      <c r="DT49" s="136"/>
      <c r="DU49" s="136"/>
      <c r="DV49" s="136"/>
      <c r="DW49" s="136"/>
      <c r="DX49" s="136"/>
      <c r="DY49" s="136"/>
      <c r="DZ49" s="136"/>
      <c r="EA49" s="136"/>
      <c r="EB49" s="136"/>
      <c r="EC49" s="136"/>
      <c r="ED49" s="136"/>
      <c r="EE49" s="136"/>
      <c r="EF49" s="136"/>
      <c r="EG49" s="136"/>
      <c r="EH49" s="136"/>
      <c r="EI49" s="136"/>
      <c r="EJ49" s="136"/>
      <c r="EK49" s="136"/>
      <c r="EL49" s="136"/>
      <c r="EM49" s="136"/>
      <c r="EN49" s="136"/>
      <c r="EO49" s="136"/>
      <c r="EP49" s="136"/>
      <c r="EQ49" s="136"/>
      <c r="ER49" s="136"/>
      <c r="ES49" s="136"/>
      <c r="ET49" s="136"/>
      <c r="EU49" s="136"/>
      <c r="EV49" s="136"/>
      <c r="EW49" s="136"/>
      <c r="EX49" s="136"/>
      <c r="EY49" s="136"/>
      <c r="EZ49" s="136"/>
      <c r="FA49" s="136"/>
      <c r="FB49" s="136"/>
      <c r="FC49" s="136"/>
      <c r="FD49" s="136"/>
      <c r="FE49" s="136"/>
      <c r="FF49" s="136"/>
      <c r="FG49" s="136"/>
      <c r="FH49" s="136"/>
      <c r="FI49" s="136"/>
      <c r="FJ49" s="136"/>
      <c r="FK49" s="136"/>
      <c r="FL49" s="136"/>
      <c r="FM49" s="136"/>
      <c r="FN49" s="136"/>
      <c r="FO49" s="136"/>
      <c r="FP49" s="136"/>
      <c r="FQ49" s="136"/>
      <c r="FR49" s="136"/>
      <c r="FS49" s="136"/>
      <c r="FT49" s="136"/>
      <c r="FU49" s="136"/>
      <c r="FV49" s="136"/>
      <c r="FW49" s="136"/>
      <c r="FX49" s="136"/>
      <c r="FY49" s="136"/>
      <c r="FZ49" s="136"/>
      <c r="GA49" s="136"/>
      <c r="GB49" s="136"/>
      <c r="GC49" s="136"/>
      <c r="GD49" s="136"/>
      <c r="GE49" s="136"/>
      <c r="GF49" s="136"/>
      <c r="GG49" s="136"/>
      <c r="GH49" s="136"/>
      <c r="GI49" s="136"/>
      <c r="GJ49" s="136"/>
      <c r="GK49" s="136"/>
      <c r="GL49" s="136"/>
      <c r="GM49" s="136"/>
      <c r="GN49" s="136"/>
      <c r="GO49" s="136"/>
      <c r="GP49" s="136"/>
      <c r="GQ49" s="136"/>
      <c r="GR49" s="136"/>
      <c r="GS49" s="136"/>
      <c r="GT49" s="136"/>
      <c r="GU49" s="136"/>
      <c r="GV49" s="136"/>
      <c r="GW49" s="136"/>
      <c r="GX49" s="136"/>
      <c r="GY49" s="136"/>
      <c r="GZ49" s="136"/>
      <c r="HA49" s="136"/>
      <c r="HB49" s="136"/>
      <c r="HC49" s="136"/>
      <c r="HD49" s="136"/>
      <c r="HE49" s="136"/>
      <c r="HF49" s="136"/>
      <c r="HG49" s="136"/>
      <c r="HH49" s="136"/>
      <c r="HI49" s="136"/>
      <c r="HJ49" s="136"/>
      <c r="HK49" s="136"/>
      <c r="HL49" s="136"/>
      <c r="HM49" s="136"/>
      <c r="HN49" s="136"/>
      <c r="HO49" s="136"/>
      <c r="HP49" s="136"/>
      <c r="HQ49" s="136"/>
      <c r="HR49" s="136"/>
      <c r="HS49" s="136"/>
      <c r="HT49" s="136"/>
      <c r="HU49" s="136"/>
      <c r="HV49" s="136"/>
      <c r="HW49" s="136"/>
      <c r="HX49" s="136"/>
      <c r="HY49" s="136"/>
      <c r="HZ49" s="136"/>
      <c r="IA49" s="136"/>
      <c r="IB49" s="136"/>
      <c r="IC49" s="136"/>
      <c r="ID49" s="136"/>
      <c r="IE49" s="136"/>
      <c r="IF49" s="136"/>
      <c r="IG49" s="136"/>
      <c r="IH49" s="136"/>
      <c r="II49" s="136"/>
      <c r="IJ49" s="136"/>
      <c r="IK49" s="136"/>
      <c r="IL49" s="136"/>
      <c r="IM49" s="136"/>
      <c r="IN49" s="136"/>
      <c r="IO49" s="136"/>
      <c r="IP49" s="136"/>
      <c r="IQ49" s="136"/>
      <c r="IR49" s="136"/>
      <c r="IS49" s="136"/>
      <c r="IT49" s="136"/>
      <c r="IU49" s="136"/>
      <c r="IV49" s="136"/>
      <c r="IW49" s="136"/>
      <c r="IX49" s="136"/>
      <c r="IY49" s="136"/>
      <c r="IZ49" s="136"/>
      <c r="JA49" s="136"/>
      <c r="JB49" s="136"/>
      <c r="JC49" s="136"/>
      <c r="JD49" s="136"/>
      <c r="JE49" s="136"/>
      <c r="JF49" s="136"/>
      <c r="JG49" s="136"/>
      <c r="JH49" s="136"/>
      <c r="JI49" s="136"/>
      <c r="JJ49" s="136"/>
      <c r="JK49" s="136"/>
      <c r="JL49" s="136"/>
      <c r="JM49" s="136"/>
      <c r="JN49" s="136"/>
      <c r="JO49" s="136"/>
      <c r="JP49" s="136"/>
      <c r="JQ49" s="136"/>
      <c r="JR49" s="136"/>
      <c r="JS49" s="136"/>
      <c r="JT49" s="136"/>
      <c r="JU49" s="136"/>
      <c r="JV49" s="136"/>
      <c r="JW49" s="136"/>
      <c r="JX49" s="136"/>
      <c r="JY49" s="136"/>
    </row>
    <row r="50" spans="1:285" s="149" customFormat="1" x14ac:dyDescent="0.2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  <c r="DA50" s="148"/>
      <c r="DB50" s="148"/>
      <c r="DC50" s="148"/>
      <c r="DD50" s="148"/>
      <c r="DE50" s="148"/>
      <c r="DF50" s="148"/>
      <c r="DG50" s="148"/>
      <c r="DH50" s="148"/>
      <c r="DI50" s="148"/>
      <c r="DJ50" s="148"/>
      <c r="DK50" s="148"/>
      <c r="DL50" s="148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8"/>
      <c r="EA50" s="148"/>
      <c r="EB50" s="148"/>
      <c r="EC50" s="148"/>
      <c r="ED50" s="148"/>
      <c r="EE50" s="148"/>
      <c r="EF50" s="148"/>
      <c r="EG50" s="148"/>
      <c r="EH50" s="148"/>
      <c r="EI50" s="148"/>
      <c r="EJ50" s="148"/>
      <c r="EK50" s="148"/>
      <c r="EL50" s="148"/>
      <c r="EM50" s="148"/>
      <c r="EN50" s="148"/>
      <c r="EO50" s="148"/>
      <c r="EP50" s="148"/>
      <c r="EQ50" s="148"/>
      <c r="ER50" s="148"/>
      <c r="ES50" s="148"/>
      <c r="ET50" s="148"/>
      <c r="EU50" s="148"/>
      <c r="EV50" s="148"/>
      <c r="EW50" s="148"/>
      <c r="EX50" s="148"/>
      <c r="EY50" s="148"/>
      <c r="EZ50" s="148"/>
      <c r="FA50" s="148"/>
      <c r="FB50" s="148"/>
      <c r="FC50" s="148"/>
      <c r="FD50" s="148"/>
      <c r="FE50" s="148"/>
      <c r="FF50" s="148"/>
      <c r="FG50" s="148"/>
      <c r="FH50" s="148"/>
      <c r="FI50" s="148"/>
      <c r="FJ50" s="148"/>
      <c r="FK50" s="148"/>
      <c r="FL50" s="148"/>
      <c r="FM50" s="148"/>
      <c r="FN50" s="148"/>
      <c r="FO50" s="148"/>
      <c r="FP50" s="148"/>
      <c r="FQ50" s="148"/>
      <c r="FR50" s="148"/>
      <c r="FS50" s="148"/>
      <c r="FT50" s="148"/>
      <c r="FU50" s="148"/>
      <c r="FV50" s="148"/>
      <c r="FW50" s="148"/>
      <c r="FX50" s="148"/>
      <c r="FY50" s="148"/>
      <c r="FZ50" s="148"/>
      <c r="GA50" s="148"/>
      <c r="GB50" s="148"/>
      <c r="GC50" s="148"/>
      <c r="GD50" s="148"/>
      <c r="GE50" s="148"/>
      <c r="GF50" s="148"/>
      <c r="GG50" s="148"/>
      <c r="GH50" s="148"/>
      <c r="GI50" s="148"/>
      <c r="GJ50" s="148"/>
      <c r="GK50" s="148"/>
      <c r="GL50" s="148"/>
      <c r="GM50" s="148"/>
      <c r="GN50" s="148"/>
      <c r="GO50" s="148"/>
      <c r="GP50" s="148"/>
      <c r="GQ50" s="148"/>
      <c r="GR50" s="148"/>
      <c r="GS50" s="148"/>
      <c r="GT50" s="148"/>
      <c r="GU50" s="148"/>
      <c r="GV50" s="148"/>
      <c r="GW50" s="148"/>
      <c r="GX50" s="148"/>
      <c r="GY50" s="148"/>
      <c r="GZ50" s="148"/>
      <c r="HA50" s="148"/>
      <c r="HB50" s="148"/>
      <c r="HC50" s="148"/>
      <c r="HD50" s="148"/>
      <c r="HE50" s="148"/>
      <c r="HF50" s="148"/>
      <c r="HG50" s="148"/>
      <c r="HH50" s="148"/>
      <c r="HI50" s="148"/>
      <c r="HJ50" s="148"/>
      <c r="HK50" s="148"/>
      <c r="HL50" s="148"/>
      <c r="HM50" s="148"/>
      <c r="HN50" s="148"/>
      <c r="HO50" s="148"/>
      <c r="HP50" s="148"/>
      <c r="HQ50" s="148"/>
      <c r="HR50" s="148"/>
      <c r="HS50" s="148"/>
      <c r="HT50" s="148"/>
      <c r="HU50" s="148"/>
      <c r="HV50" s="148"/>
      <c r="HW50" s="148"/>
      <c r="HX50" s="148"/>
      <c r="HY50" s="148"/>
      <c r="HZ50" s="148"/>
      <c r="IA50" s="148"/>
      <c r="IB50" s="148"/>
      <c r="IC50" s="148"/>
      <c r="ID50" s="148"/>
      <c r="IE50" s="148"/>
      <c r="IF50" s="148"/>
      <c r="IG50" s="148"/>
      <c r="IH50" s="148"/>
      <c r="II50" s="148"/>
      <c r="IJ50" s="148"/>
      <c r="IK50" s="148"/>
      <c r="IL50" s="148"/>
      <c r="IM50" s="148"/>
      <c r="IN50" s="148"/>
      <c r="IO50" s="148"/>
      <c r="IP50" s="148"/>
      <c r="IQ50" s="148"/>
      <c r="IR50" s="148"/>
      <c r="IS50" s="148"/>
      <c r="IT50" s="148"/>
      <c r="IU50" s="148"/>
      <c r="IV50" s="148"/>
      <c r="IW50" s="148"/>
      <c r="IX50" s="148"/>
      <c r="IY50" s="148"/>
      <c r="IZ50" s="148"/>
      <c r="JA50" s="148"/>
      <c r="JB50" s="148"/>
      <c r="JC50" s="148"/>
      <c r="JD50" s="148"/>
      <c r="JE50" s="148"/>
      <c r="JF50" s="148"/>
      <c r="JG50" s="148"/>
      <c r="JH50" s="148"/>
      <c r="JI50" s="148"/>
      <c r="JJ50" s="148"/>
      <c r="JK50" s="148"/>
      <c r="JL50" s="148"/>
      <c r="JM50" s="148"/>
      <c r="JN50" s="148"/>
      <c r="JO50" s="148"/>
      <c r="JP50" s="148"/>
      <c r="JQ50" s="148"/>
      <c r="JR50" s="148"/>
      <c r="JS50" s="148"/>
      <c r="JT50" s="148"/>
      <c r="JU50" s="148"/>
      <c r="JV50" s="148"/>
      <c r="JW50" s="148"/>
      <c r="JX50" s="148"/>
      <c r="JY50" s="148"/>
    </row>
    <row r="51" spans="1:285" x14ac:dyDescent="0.2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136"/>
      <c r="BY51" s="136"/>
      <c r="BZ51" s="136"/>
      <c r="CA51" s="136"/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6"/>
      <c r="CO51" s="136"/>
      <c r="CP51" s="136"/>
      <c r="CQ51" s="136"/>
      <c r="CR51" s="136"/>
      <c r="CS51" s="136"/>
      <c r="CT51" s="136"/>
      <c r="CU51" s="136"/>
      <c r="CV51" s="136"/>
      <c r="CW51" s="136"/>
      <c r="CX51" s="136"/>
      <c r="CY51" s="136"/>
      <c r="CZ51" s="136"/>
      <c r="DA51" s="136"/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6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36"/>
      <c r="EC51" s="136"/>
      <c r="ED51" s="136"/>
      <c r="EE51" s="136"/>
      <c r="EF51" s="136"/>
      <c r="EG51" s="136"/>
      <c r="EH51" s="136"/>
      <c r="EI51" s="136"/>
      <c r="EJ51" s="136"/>
      <c r="EK51" s="136"/>
      <c r="EL51" s="136"/>
      <c r="EM51" s="136"/>
      <c r="EN51" s="136"/>
      <c r="EO51" s="136"/>
      <c r="EP51" s="136"/>
      <c r="EQ51" s="136"/>
      <c r="ER51" s="136"/>
      <c r="ES51" s="136"/>
      <c r="ET51" s="136"/>
      <c r="EU51" s="136"/>
      <c r="EV51" s="136"/>
      <c r="EW51" s="136"/>
      <c r="EX51" s="136"/>
      <c r="EY51" s="136"/>
      <c r="EZ51" s="136"/>
      <c r="FA51" s="136"/>
      <c r="FB51" s="136"/>
      <c r="FC51" s="136"/>
      <c r="FD51" s="136"/>
      <c r="FE51" s="136"/>
      <c r="FF51" s="136"/>
      <c r="FG51" s="136"/>
      <c r="FH51" s="136"/>
      <c r="FI51" s="136"/>
      <c r="FJ51" s="136"/>
      <c r="FK51" s="136"/>
      <c r="FL51" s="136"/>
      <c r="FM51" s="136"/>
      <c r="FN51" s="136"/>
      <c r="FO51" s="136"/>
      <c r="FP51" s="136"/>
      <c r="FQ51" s="136"/>
      <c r="FR51" s="136"/>
      <c r="FS51" s="136"/>
      <c r="FT51" s="136"/>
      <c r="FU51" s="136"/>
      <c r="FV51" s="136"/>
      <c r="FW51" s="136"/>
      <c r="FX51" s="136"/>
      <c r="FY51" s="136"/>
      <c r="FZ51" s="136"/>
      <c r="GA51" s="136"/>
      <c r="GB51" s="136"/>
      <c r="GC51" s="136"/>
      <c r="GD51" s="136"/>
      <c r="GE51" s="136"/>
      <c r="GF51" s="136"/>
      <c r="GG51" s="136"/>
      <c r="GH51" s="136"/>
      <c r="GI51" s="136"/>
      <c r="GJ51" s="136"/>
      <c r="GK51" s="136"/>
      <c r="GL51" s="136"/>
      <c r="GM51" s="136"/>
      <c r="GN51" s="136"/>
      <c r="GO51" s="136"/>
      <c r="GP51" s="136"/>
      <c r="GQ51" s="136"/>
      <c r="GR51" s="136"/>
      <c r="GS51" s="136"/>
      <c r="GT51" s="136"/>
      <c r="GU51" s="136"/>
      <c r="GV51" s="136"/>
      <c r="GW51" s="136"/>
      <c r="GX51" s="136"/>
      <c r="GY51" s="136"/>
      <c r="GZ51" s="136"/>
      <c r="HA51" s="136"/>
      <c r="HB51" s="136"/>
      <c r="HC51" s="136"/>
      <c r="HD51" s="136"/>
      <c r="HE51" s="136"/>
      <c r="HF51" s="136"/>
      <c r="HG51" s="136"/>
      <c r="HH51" s="136"/>
      <c r="HI51" s="136"/>
      <c r="HJ51" s="136"/>
      <c r="HK51" s="136"/>
      <c r="HL51" s="136"/>
      <c r="HM51" s="136"/>
      <c r="HN51" s="136"/>
      <c r="HO51" s="136"/>
      <c r="HP51" s="136"/>
      <c r="HQ51" s="136"/>
      <c r="HR51" s="136"/>
      <c r="HS51" s="136"/>
      <c r="HT51" s="136"/>
      <c r="HU51" s="136"/>
      <c r="HV51" s="136"/>
      <c r="HW51" s="136"/>
      <c r="HX51" s="136"/>
      <c r="HY51" s="136"/>
      <c r="HZ51" s="136"/>
      <c r="IA51" s="136"/>
      <c r="IB51" s="136"/>
      <c r="IC51" s="136"/>
      <c r="ID51" s="136"/>
      <c r="IE51" s="136"/>
      <c r="IF51" s="136"/>
      <c r="IG51" s="136"/>
      <c r="IH51" s="136"/>
      <c r="II51" s="136"/>
      <c r="IJ51" s="136"/>
      <c r="IK51" s="136"/>
      <c r="IL51" s="136"/>
      <c r="IM51" s="136"/>
      <c r="IN51" s="136"/>
      <c r="IO51" s="136"/>
      <c r="IP51" s="136"/>
      <c r="IQ51" s="136"/>
      <c r="IR51" s="136"/>
      <c r="IS51" s="136"/>
      <c r="IT51" s="136"/>
      <c r="IU51" s="136"/>
      <c r="IV51" s="136"/>
      <c r="IW51" s="136"/>
      <c r="IX51" s="136"/>
      <c r="IY51" s="136"/>
      <c r="IZ51" s="136"/>
      <c r="JA51" s="136"/>
      <c r="JB51" s="136"/>
      <c r="JC51" s="136"/>
      <c r="JD51" s="136"/>
      <c r="JE51" s="136"/>
      <c r="JF51" s="136"/>
      <c r="JG51" s="136"/>
      <c r="JH51" s="136"/>
      <c r="JI51" s="136"/>
      <c r="JJ51" s="136"/>
      <c r="JK51" s="136"/>
      <c r="JL51" s="136"/>
      <c r="JM51" s="136"/>
      <c r="JN51" s="136"/>
      <c r="JO51" s="136"/>
      <c r="JP51" s="136"/>
      <c r="JQ51" s="136"/>
      <c r="JR51" s="136"/>
      <c r="JS51" s="136"/>
      <c r="JT51" s="136"/>
      <c r="JU51" s="136"/>
      <c r="JV51" s="136"/>
      <c r="JW51" s="136"/>
      <c r="JX51" s="136"/>
      <c r="JY51" s="136"/>
    </row>
    <row r="52" spans="1:285" x14ac:dyDescent="0.2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  <c r="BX52" s="136"/>
      <c r="BY52" s="136"/>
      <c r="BZ52" s="136"/>
      <c r="CA52" s="136"/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6"/>
      <c r="CO52" s="136"/>
      <c r="CP52" s="136"/>
      <c r="CQ52" s="136"/>
      <c r="CR52" s="136"/>
      <c r="CS52" s="136"/>
      <c r="CT52" s="136"/>
      <c r="CU52" s="136"/>
      <c r="CV52" s="136"/>
      <c r="CW52" s="136"/>
      <c r="CX52" s="136"/>
      <c r="CY52" s="136"/>
      <c r="CZ52" s="136"/>
      <c r="DA52" s="136"/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6"/>
      <c r="DO52" s="136"/>
      <c r="DP52" s="136"/>
      <c r="DQ52" s="136"/>
      <c r="DR52" s="136"/>
      <c r="DS52" s="136"/>
      <c r="DT52" s="136"/>
      <c r="DU52" s="136"/>
      <c r="DV52" s="136"/>
      <c r="DW52" s="136"/>
      <c r="DX52" s="136"/>
      <c r="DY52" s="136"/>
      <c r="DZ52" s="136"/>
      <c r="EA52" s="136"/>
      <c r="EB52" s="136"/>
      <c r="EC52" s="136"/>
      <c r="ED52" s="136"/>
      <c r="EE52" s="136"/>
      <c r="EF52" s="136"/>
      <c r="EG52" s="136"/>
      <c r="EH52" s="136"/>
      <c r="EI52" s="136"/>
      <c r="EJ52" s="136"/>
      <c r="EK52" s="136"/>
      <c r="EL52" s="136"/>
      <c r="EM52" s="136"/>
      <c r="EN52" s="136"/>
      <c r="EO52" s="136"/>
      <c r="EP52" s="136"/>
      <c r="EQ52" s="136"/>
      <c r="ER52" s="136"/>
      <c r="ES52" s="136"/>
      <c r="ET52" s="136"/>
      <c r="EU52" s="136"/>
      <c r="EV52" s="136"/>
      <c r="EW52" s="136"/>
      <c r="EX52" s="136"/>
      <c r="EY52" s="136"/>
      <c r="EZ52" s="136"/>
      <c r="FA52" s="136"/>
      <c r="FB52" s="136"/>
      <c r="FC52" s="136"/>
      <c r="FD52" s="136"/>
      <c r="FE52" s="136"/>
      <c r="FF52" s="136"/>
      <c r="FG52" s="136"/>
      <c r="FH52" s="136"/>
      <c r="FI52" s="136"/>
      <c r="FJ52" s="136"/>
      <c r="FK52" s="136"/>
      <c r="FL52" s="136"/>
      <c r="FM52" s="136"/>
      <c r="FN52" s="136"/>
      <c r="FO52" s="136"/>
      <c r="FP52" s="136"/>
      <c r="FQ52" s="136"/>
      <c r="FR52" s="136"/>
      <c r="FS52" s="136"/>
      <c r="FT52" s="136"/>
      <c r="FU52" s="136"/>
      <c r="FV52" s="136"/>
      <c r="FW52" s="136"/>
      <c r="FX52" s="136"/>
      <c r="FY52" s="136"/>
      <c r="FZ52" s="136"/>
      <c r="GA52" s="136"/>
      <c r="GB52" s="136"/>
      <c r="GC52" s="136"/>
      <c r="GD52" s="136"/>
      <c r="GE52" s="136"/>
      <c r="GF52" s="136"/>
      <c r="GG52" s="136"/>
      <c r="GH52" s="136"/>
      <c r="GI52" s="136"/>
      <c r="GJ52" s="136"/>
      <c r="GK52" s="136"/>
      <c r="GL52" s="136"/>
      <c r="GM52" s="136"/>
      <c r="GN52" s="136"/>
      <c r="GO52" s="136"/>
      <c r="GP52" s="136"/>
      <c r="GQ52" s="136"/>
      <c r="GR52" s="136"/>
      <c r="GS52" s="136"/>
      <c r="GT52" s="136"/>
      <c r="GU52" s="136"/>
      <c r="GV52" s="136"/>
      <c r="GW52" s="136"/>
      <c r="GX52" s="136"/>
      <c r="GY52" s="136"/>
      <c r="GZ52" s="136"/>
      <c r="HA52" s="136"/>
      <c r="HB52" s="136"/>
      <c r="HC52" s="136"/>
      <c r="HD52" s="136"/>
      <c r="HE52" s="136"/>
      <c r="HF52" s="136"/>
      <c r="HG52" s="136"/>
      <c r="HH52" s="136"/>
      <c r="HI52" s="136"/>
      <c r="HJ52" s="136"/>
      <c r="HK52" s="136"/>
      <c r="HL52" s="136"/>
      <c r="HM52" s="136"/>
      <c r="HN52" s="136"/>
      <c r="HO52" s="136"/>
      <c r="HP52" s="136"/>
      <c r="HQ52" s="136"/>
      <c r="HR52" s="136"/>
      <c r="HS52" s="136"/>
      <c r="HT52" s="136"/>
      <c r="HU52" s="136"/>
      <c r="HV52" s="136"/>
      <c r="HW52" s="136"/>
      <c r="HX52" s="136"/>
      <c r="HY52" s="136"/>
      <c r="HZ52" s="136"/>
      <c r="IA52" s="136"/>
      <c r="IB52" s="136"/>
      <c r="IC52" s="136"/>
      <c r="ID52" s="136"/>
      <c r="IE52" s="136"/>
      <c r="IF52" s="136"/>
      <c r="IG52" s="136"/>
      <c r="IH52" s="136"/>
      <c r="II52" s="136"/>
      <c r="IJ52" s="136"/>
      <c r="IK52" s="136"/>
      <c r="IL52" s="136"/>
      <c r="IM52" s="136"/>
      <c r="IN52" s="136"/>
      <c r="IO52" s="136"/>
      <c r="IP52" s="136"/>
      <c r="IQ52" s="136"/>
      <c r="IR52" s="136"/>
      <c r="IS52" s="136"/>
      <c r="IT52" s="136"/>
      <c r="IU52" s="136"/>
      <c r="IV52" s="136"/>
      <c r="IW52" s="136"/>
      <c r="IX52" s="136"/>
      <c r="IY52" s="136"/>
      <c r="IZ52" s="136"/>
      <c r="JA52" s="136"/>
      <c r="JB52" s="136"/>
      <c r="JC52" s="136"/>
      <c r="JD52" s="136"/>
      <c r="JE52" s="136"/>
      <c r="JF52" s="136"/>
      <c r="JG52" s="136"/>
      <c r="JH52" s="136"/>
      <c r="JI52" s="136"/>
      <c r="JJ52" s="136"/>
      <c r="JK52" s="136"/>
      <c r="JL52" s="136"/>
      <c r="JM52" s="136"/>
      <c r="JN52" s="136"/>
      <c r="JO52" s="136"/>
      <c r="JP52" s="136"/>
      <c r="JQ52" s="136"/>
      <c r="JR52" s="136"/>
      <c r="JS52" s="136"/>
      <c r="JT52" s="136"/>
      <c r="JU52" s="136"/>
      <c r="JV52" s="136"/>
      <c r="JW52" s="136"/>
      <c r="JX52" s="136"/>
      <c r="JY52" s="136"/>
    </row>
    <row r="53" spans="1:285" s="147" customFormat="1" x14ac:dyDescent="0.2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  <c r="BP53" s="136"/>
      <c r="BQ53" s="136"/>
      <c r="BR53" s="136"/>
      <c r="BS53" s="136"/>
      <c r="BT53" s="136"/>
      <c r="BU53" s="136"/>
      <c r="BV53" s="136"/>
      <c r="BW53" s="136"/>
      <c r="BX53" s="136"/>
      <c r="BY53" s="136"/>
      <c r="BZ53" s="136"/>
      <c r="CA53" s="136"/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136"/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6"/>
      <c r="DO53" s="136"/>
      <c r="DP53" s="136"/>
      <c r="DQ53" s="136"/>
      <c r="DR53" s="136"/>
      <c r="DS53" s="136"/>
      <c r="DT53" s="136"/>
      <c r="DU53" s="136"/>
      <c r="DV53" s="136"/>
      <c r="DW53" s="136"/>
      <c r="DX53" s="136"/>
      <c r="DY53" s="136"/>
      <c r="DZ53" s="136"/>
      <c r="EA53" s="136"/>
      <c r="EB53" s="136"/>
      <c r="EC53" s="136"/>
      <c r="ED53" s="136"/>
      <c r="EE53" s="136"/>
      <c r="EF53" s="136"/>
      <c r="EG53" s="136"/>
      <c r="EH53" s="136"/>
      <c r="EI53" s="136"/>
      <c r="EJ53" s="136"/>
      <c r="EK53" s="136"/>
      <c r="EL53" s="136"/>
      <c r="EM53" s="136"/>
      <c r="EN53" s="136"/>
      <c r="EO53" s="136"/>
      <c r="EP53" s="136"/>
      <c r="EQ53" s="136"/>
      <c r="ER53" s="136"/>
      <c r="ES53" s="136"/>
      <c r="ET53" s="136"/>
      <c r="EU53" s="136"/>
      <c r="EV53" s="136"/>
      <c r="EW53" s="136"/>
      <c r="EX53" s="136"/>
      <c r="EY53" s="136"/>
      <c r="EZ53" s="136"/>
      <c r="FA53" s="136"/>
      <c r="FB53" s="136"/>
      <c r="FC53" s="136"/>
      <c r="FD53" s="136"/>
      <c r="FE53" s="136"/>
      <c r="FF53" s="136"/>
      <c r="FG53" s="136"/>
      <c r="FH53" s="136"/>
      <c r="FI53" s="136"/>
      <c r="FJ53" s="136"/>
      <c r="FK53" s="136"/>
      <c r="FL53" s="136"/>
      <c r="FM53" s="136"/>
      <c r="FN53" s="136"/>
      <c r="FO53" s="136"/>
      <c r="FP53" s="136"/>
      <c r="FQ53" s="136"/>
      <c r="FR53" s="136"/>
      <c r="FS53" s="136"/>
      <c r="FT53" s="136"/>
      <c r="FU53" s="136"/>
      <c r="FV53" s="136"/>
      <c r="FW53" s="136"/>
      <c r="FX53" s="136"/>
      <c r="FY53" s="136"/>
      <c r="FZ53" s="136"/>
      <c r="GA53" s="136"/>
      <c r="GB53" s="136"/>
      <c r="GC53" s="136"/>
      <c r="GD53" s="136"/>
      <c r="GE53" s="136"/>
      <c r="GF53" s="136"/>
      <c r="GG53" s="136"/>
      <c r="GH53" s="136"/>
      <c r="GI53" s="136"/>
      <c r="GJ53" s="136"/>
      <c r="GK53" s="136"/>
      <c r="GL53" s="136"/>
      <c r="GM53" s="136"/>
      <c r="GN53" s="136"/>
      <c r="GO53" s="136"/>
      <c r="GP53" s="136"/>
      <c r="GQ53" s="136"/>
      <c r="GR53" s="136"/>
      <c r="GS53" s="136"/>
      <c r="GT53" s="136"/>
      <c r="GU53" s="136"/>
      <c r="GV53" s="136"/>
      <c r="GW53" s="136"/>
      <c r="GX53" s="136"/>
      <c r="GY53" s="136"/>
      <c r="GZ53" s="136"/>
      <c r="HA53" s="136"/>
      <c r="HB53" s="136"/>
      <c r="HC53" s="136"/>
      <c r="HD53" s="136"/>
      <c r="HE53" s="136"/>
      <c r="HF53" s="136"/>
      <c r="HG53" s="136"/>
      <c r="HH53" s="136"/>
      <c r="HI53" s="136"/>
      <c r="HJ53" s="136"/>
      <c r="HK53" s="136"/>
      <c r="HL53" s="136"/>
      <c r="HM53" s="136"/>
      <c r="HN53" s="136"/>
      <c r="HO53" s="136"/>
      <c r="HP53" s="136"/>
      <c r="HQ53" s="136"/>
      <c r="HR53" s="136"/>
      <c r="HS53" s="136"/>
      <c r="HT53" s="136"/>
      <c r="HU53" s="136"/>
      <c r="HV53" s="136"/>
      <c r="HW53" s="136"/>
      <c r="HX53" s="136"/>
      <c r="HY53" s="136"/>
      <c r="HZ53" s="136"/>
      <c r="IA53" s="136"/>
      <c r="IB53" s="136"/>
      <c r="IC53" s="136"/>
      <c r="ID53" s="136"/>
      <c r="IE53" s="136"/>
      <c r="IF53" s="136"/>
      <c r="IG53" s="136"/>
      <c r="IH53" s="136"/>
      <c r="II53" s="136"/>
      <c r="IJ53" s="136"/>
      <c r="IK53" s="136"/>
      <c r="IL53" s="136"/>
      <c r="IM53" s="136"/>
      <c r="IN53" s="136"/>
      <c r="IO53" s="136"/>
      <c r="IP53" s="136"/>
      <c r="IQ53" s="136"/>
      <c r="IR53" s="136"/>
      <c r="IS53" s="136"/>
      <c r="IT53" s="136"/>
      <c r="IU53" s="136"/>
      <c r="IV53" s="136"/>
      <c r="IW53" s="136"/>
      <c r="IX53" s="136"/>
      <c r="IY53" s="136"/>
      <c r="IZ53" s="136"/>
      <c r="JA53" s="136"/>
      <c r="JB53" s="136"/>
      <c r="JC53" s="136"/>
      <c r="JD53" s="136"/>
      <c r="JE53" s="136"/>
      <c r="JF53" s="136"/>
      <c r="JG53" s="136"/>
      <c r="JH53" s="136"/>
      <c r="JI53" s="136"/>
      <c r="JJ53" s="136"/>
      <c r="JK53" s="136"/>
      <c r="JL53" s="136"/>
      <c r="JM53" s="136"/>
      <c r="JN53" s="136"/>
      <c r="JO53" s="136"/>
      <c r="JP53" s="136"/>
      <c r="JQ53" s="136"/>
      <c r="JR53" s="136"/>
      <c r="JS53" s="136"/>
      <c r="JT53" s="136"/>
      <c r="JU53" s="136"/>
      <c r="JV53" s="136"/>
      <c r="JW53" s="136"/>
      <c r="JX53" s="136"/>
      <c r="JY53" s="136"/>
    </row>
    <row r="54" spans="1:285" s="147" customFormat="1" x14ac:dyDescent="0.2">
      <c r="A54" s="137" t="s">
        <v>1662</v>
      </c>
      <c r="B54" s="141" t="s">
        <v>1810</v>
      </c>
      <c r="C54" s="141" t="s">
        <v>1810</v>
      </c>
      <c r="D54" s="141" t="s">
        <v>1810</v>
      </c>
      <c r="E54" s="141" t="s">
        <v>1810</v>
      </c>
      <c r="F54" s="141" t="s">
        <v>1810</v>
      </c>
      <c r="G54" s="141" t="s">
        <v>1810</v>
      </c>
      <c r="H54" s="141" t="s">
        <v>1810</v>
      </c>
      <c r="I54" s="141" t="s">
        <v>1810</v>
      </c>
      <c r="J54" s="141" t="s">
        <v>1810</v>
      </c>
      <c r="K54" s="141" t="s">
        <v>1810</v>
      </c>
      <c r="L54" s="141" t="s">
        <v>1810</v>
      </c>
      <c r="M54" s="141"/>
      <c r="N54" s="141" t="s">
        <v>1810</v>
      </c>
      <c r="O54" s="141" t="s">
        <v>1810</v>
      </c>
      <c r="P54" s="141" t="s">
        <v>1810</v>
      </c>
      <c r="Q54" s="141" t="s">
        <v>1810</v>
      </c>
      <c r="R54" s="141" t="s">
        <v>1810</v>
      </c>
      <c r="S54" s="141" t="s">
        <v>1810</v>
      </c>
      <c r="T54" s="141" t="s">
        <v>1810</v>
      </c>
      <c r="U54" s="141" t="s">
        <v>1810</v>
      </c>
      <c r="V54" s="141" t="s">
        <v>1810</v>
      </c>
      <c r="W54" s="141" t="s">
        <v>1810</v>
      </c>
      <c r="X54" s="141" t="s">
        <v>1810</v>
      </c>
      <c r="Y54" s="141" t="s">
        <v>1810</v>
      </c>
      <c r="Z54" s="141" t="s">
        <v>1810</v>
      </c>
      <c r="AA54" s="141"/>
      <c r="AB54" s="141" t="s">
        <v>1810</v>
      </c>
      <c r="AC54" s="141" t="s">
        <v>1810</v>
      </c>
      <c r="AD54" s="141" t="s">
        <v>1810</v>
      </c>
      <c r="AE54" s="141" t="s">
        <v>1810</v>
      </c>
      <c r="AF54" s="141"/>
      <c r="AG54" s="141" t="s">
        <v>1810</v>
      </c>
      <c r="AH54" s="141" t="s">
        <v>1810</v>
      </c>
      <c r="AI54" s="141" t="s">
        <v>1810</v>
      </c>
      <c r="AJ54" s="141" t="s">
        <v>1810</v>
      </c>
      <c r="AK54" s="141" t="s">
        <v>1810</v>
      </c>
      <c r="AL54" s="141" t="s">
        <v>1810</v>
      </c>
      <c r="AM54" s="141" t="s">
        <v>1810</v>
      </c>
      <c r="AN54" s="141" t="s">
        <v>1810</v>
      </c>
      <c r="AO54" s="141" t="s">
        <v>1810</v>
      </c>
      <c r="AP54" s="141" t="s">
        <v>1810</v>
      </c>
      <c r="AQ54" s="141" t="s">
        <v>1810</v>
      </c>
      <c r="AR54" s="141" t="s">
        <v>1810</v>
      </c>
      <c r="AS54" s="141" t="s">
        <v>1810</v>
      </c>
      <c r="AT54" s="141" t="s">
        <v>1810</v>
      </c>
      <c r="AU54" s="141" t="s">
        <v>1810</v>
      </c>
      <c r="AV54" s="141" t="s">
        <v>1810</v>
      </c>
      <c r="AW54" s="141" t="s">
        <v>1810</v>
      </c>
      <c r="AX54" s="141" t="s">
        <v>1810</v>
      </c>
      <c r="AY54" s="141" t="s">
        <v>1810</v>
      </c>
      <c r="AZ54" s="141" t="s">
        <v>1810</v>
      </c>
      <c r="BA54" s="141" t="s">
        <v>1810</v>
      </c>
      <c r="BB54" s="141" t="s">
        <v>1810</v>
      </c>
      <c r="BC54" s="141" t="s">
        <v>1810</v>
      </c>
      <c r="BD54" s="141" t="s">
        <v>1810</v>
      </c>
      <c r="BE54" s="141" t="s">
        <v>1810</v>
      </c>
      <c r="BF54" s="141" t="s">
        <v>1810</v>
      </c>
      <c r="BG54" s="141" t="s">
        <v>1810</v>
      </c>
      <c r="BH54" s="141" t="s">
        <v>1810</v>
      </c>
      <c r="BI54" s="141" t="s">
        <v>1810</v>
      </c>
      <c r="BJ54" s="141" t="s">
        <v>1810</v>
      </c>
      <c r="BK54" s="141" t="s">
        <v>1810</v>
      </c>
      <c r="BL54" s="141" t="s">
        <v>1810</v>
      </c>
      <c r="BM54" s="141"/>
      <c r="BN54" s="141" t="s">
        <v>1810</v>
      </c>
      <c r="BO54" s="141" t="s">
        <v>1810</v>
      </c>
      <c r="BP54" s="141" t="s">
        <v>1810</v>
      </c>
      <c r="BQ54" s="141" t="s">
        <v>1810</v>
      </c>
      <c r="BR54" s="141" t="s">
        <v>1810</v>
      </c>
      <c r="BS54" s="141" t="s">
        <v>1810</v>
      </c>
      <c r="BT54" s="141" t="s">
        <v>1810</v>
      </c>
      <c r="BU54" s="141" t="s">
        <v>1810</v>
      </c>
      <c r="BV54" s="141"/>
      <c r="BW54" s="141" t="s">
        <v>1810</v>
      </c>
      <c r="BX54" s="141" t="s">
        <v>1810</v>
      </c>
      <c r="BY54" s="141" t="s">
        <v>1810</v>
      </c>
      <c r="BZ54" s="141" t="s">
        <v>1810</v>
      </c>
      <c r="CA54" s="141" t="s">
        <v>1810</v>
      </c>
      <c r="CB54" s="141" t="s">
        <v>1810</v>
      </c>
      <c r="CC54" s="141" t="s">
        <v>1810</v>
      </c>
      <c r="CD54" s="141"/>
      <c r="CE54" s="141" t="s">
        <v>1810</v>
      </c>
      <c r="CF54" s="141" t="s">
        <v>1810</v>
      </c>
      <c r="CG54" s="141" t="s">
        <v>1810</v>
      </c>
      <c r="CH54" s="141" t="s">
        <v>1810</v>
      </c>
      <c r="CI54" s="141" t="s">
        <v>1810</v>
      </c>
      <c r="CJ54" s="141" t="s">
        <v>1810</v>
      </c>
      <c r="CK54" s="141" t="s">
        <v>1810</v>
      </c>
      <c r="CL54" s="141" t="s">
        <v>1810</v>
      </c>
      <c r="CM54" s="141" t="s">
        <v>1810</v>
      </c>
      <c r="CN54" s="141" t="s">
        <v>1810</v>
      </c>
      <c r="CO54" s="141" t="s">
        <v>1810</v>
      </c>
      <c r="CP54" s="141" t="s">
        <v>1810</v>
      </c>
      <c r="CQ54" s="141" t="s">
        <v>1810</v>
      </c>
      <c r="CR54" s="141" t="s">
        <v>1810</v>
      </c>
      <c r="CS54" s="141" t="s">
        <v>1810</v>
      </c>
      <c r="CT54" s="141" t="s">
        <v>1810</v>
      </c>
      <c r="CU54" s="141" t="s">
        <v>1810</v>
      </c>
      <c r="CV54" s="141" t="s">
        <v>1810</v>
      </c>
      <c r="CW54" s="141" t="s">
        <v>1810</v>
      </c>
      <c r="CX54" s="141"/>
      <c r="CY54" s="141" t="s">
        <v>1810</v>
      </c>
      <c r="CZ54" s="141" t="s">
        <v>1810</v>
      </c>
      <c r="DA54" s="141" t="s">
        <v>1810</v>
      </c>
      <c r="DB54" s="141" t="s">
        <v>1810</v>
      </c>
      <c r="DC54" s="141" t="s">
        <v>1810</v>
      </c>
      <c r="DD54" s="141" t="s">
        <v>1810</v>
      </c>
      <c r="DE54" s="141" t="s">
        <v>1810</v>
      </c>
      <c r="DF54" s="141" t="s">
        <v>1810</v>
      </c>
      <c r="DG54" s="141" t="s">
        <v>1810</v>
      </c>
      <c r="DH54" s="141" t="s">
        <v>1810</v>
      </c>
      <c r="DI54" s="141" t="s">
        <v>1810</v>
      </c>
      <c r="DJ54" s="141" t="s">
        <v>1810</v>
      </c>
      <c r="DK54" s="141"/>
      <c r="DL54" s="141" t="s">
        <v>1810</v>
      </c>
      <c r="DM54" s="141" t="s">
        <v>1810</v>
      </c>
      <c r="DN54" s="141" t="s">
        <v>1810</v>
      </c>
      <c r="DO54" s="141" t="s">
        <v>1810</v>
      </c>
      <c r="DP54" s="141" t="s">
        <v>1810</v>
      </c>
      <c r="DQ54" s="141" t="s">
        <v>1810</v>
      </c>
      <c r="DR54" s="141" t="s">
        <v>1810</v>
      </c>
      <c r="DS54" s="141"/>
      <c r="DT54" s="141" t="s">
        <v>1810</v>
      </c>
      <c r="DU54" s="141" t="s">
        <v>1810</v>
      </c>
      <c r="DV54" s="141" t="s">
        <v>1810</v>
      </c>
      <c r="DW54" s="141" t="s">
        <v>1810</v>
      </c>
      <c r="DX54" s="141" t="s">
        <v>1810</v>
      </c>
      <c r="DY54" s="141" t="s">
        <v>1810</v>
      </c>
      <c r="DZ54" s="141" t="s">
        <v>1810</v>
      </c>
      <c r="EA54" s="141" t="s">
        <v>1810</v>
      </c>
      <c r="EB54" s="141" t="s">
        <v>1810</v>
      </c>
      <c r="EC54" s="141" t="s">
        <v>1810</v>
      </c>
      <c r="ED54" s="141" t="s">
        <v>1810</v>
      </c>
      <c r="EE54" s="141" t="s">
        <v>1810</v>
      </c>
      <c r="EF54" s="141" t="s">
        <v>1810</v>
      </c>
      <c r="EG54" s="141" t="s">
        <v>1810</v>
      </c>
      <c r="EH54" s="141"/>
      <c r="EI54" s="141" t="s">
        <v>1810</v>
      </c>
      <c r="EJ54" s="141" t="s">
        <v>1810</v>
      </c>
      <c r="EK54" s="141" t="s">
        <v>1810</v>
      </c>
      <c r="EL54" s="141" t="s">
        <v>1810</v>
      </c>
      <c r="EM54" s="141" t="s">
        <v>1810</v>
      </c>
      <c r="EN54" s="141" t="s">
        <v>1810</v>
      </c>
      <c r="EO54" s="141" t="s">
        <v>1810</v>
      </c>
      <c r="EP54" s="141" t="s">
        <v>1810</v>
      </c>
      <c r="EQ54" s="141" t="s">
        <v>1810</v>
      </c>
      <c r="ER54" s="141"/>
      <c r="ES54" s="141" t="s">
        <v>1810</v>
      </c>
      <c r="ET54" s="141" t="s">
        <v>1810</v>
      </c>
      <c r="EU54" s="141" t="s">
        <v>1810</v>
      </c>
      <c r="EV54" s="141" t="s">
        <v>1810</v>
      </c>
      <c r="EW54" s="141" t="s">
        <v>1810</v>
      </c>
      <c r="EX54" s="141" t="s">
        <v>1810</v>
      </c>
      <c r="EY54" s="141" t="s">
        <v>1810</v>
      </c>
      <c r="EZ54" s="141" t="s">
        <v>1810</v>
      </c>
      <c r="FA54" s="141" t="s">
        <v>1810</v>
      </c>
      <c r="FB54" s="141" t="s">
        <v>1810</v>
      </c>
      <c r="FC54" s="141"/>
      <c r="FD54" s="141" t="s">
        <v>1810</v>
      </c>
      <c r="FE54" s="141" t="s">
        <v>1810</v>
      </c>
      <c r="FF54" s="141" t="s">
        <v>1810</v>
      </c>
      <c r="FG54" s="141" t="s">
        <v>1810</v>
      </c>
      <c r="FH54" s="141" t="s">
        <v>1810</v>
      </c>
      <c r="FI54" s="141" t="s">
        <v>1810</v>
      </c>
      <c r="FJ54" s="141" t="s">
        <v>1810</v>
      </c>
      <c r="FK54" s="141"/>
      <c r="FL54" s="141" t="s">
        <v>1810</v>
      </c>
      <c r="FM54" s="141" t="s">
        <v>1810</v>
      </c>
      <c r="FN54" s="141" t="s">
        <v>1810</v>
      </c>
      <c r="FO54" s="141" t="s">
        <v>1810</v>
      </c>
      <c r="FP54" s="141" t="s">
        <v>1810</v>
      </c>
      <c r="FQ54" s="141" t="s">
        <v>1810</v>
      </c>
      <c r="FR54" s="141" t="s">
        <v>1810</v>
      </c>
      <c r="FS54" s="141" t="s">
        <v>1810</v>
      </c>
      <c r="FT54" s="141" t="s">
        <v>1810</v>
      </c>
      <c r="FU54" s="141"/>
      <c r="FV54" s="141" t="s">
        <v>1810</v>
      </c>
      <c r="FW54" s="141" t="s">
        <v>1810</v>
      </c>
      <c r="FX54" s="141" t="s">
        <v>1810</v>
      </c>
      <c r="FY54" s="141" t="s">
        <v>1810</v>
      </c>
      <c r="FZ54" s="141" t="s">
        <v>1810</v>
      </c>
      <c r="GA54" s="141" t="s">
        <v>1810</v>
      </c>
      <c r="GB54" s="141" t="s">
        <v>1810</v>
      </c>
      <c r="GC54" s="141" t="s">
        <v>1810</v>
      </c>
      <c r="GD54" s="141" t="s">
        <v>1810</v>
      </c>
      <c r="GE54" s="141" t="s">
        <v>1810</v>
      </c>
      <c r="GF54" s="141"/>
      <c r="GG54" s="141" t="s">
        <v>1810</v>
      </c>
      <c r="GH54" s="141" t="s">
        <v>1810</v>
      </c>
      <c r="GI54" s="141" t="s">
        <v>1810</v>
      </c>
      <c r="GJ54" s="141" t="s">
        <v>1810</v>
      </c>
      <c r="GK54" s="141" t="s">
        <v>1810</v>
      </c>
      <c r="GL54" s="141" t="s">
        <v>1810</v>
      </c>
      <c r="GM54" s="141" t="s">
        <v>1810</v>
      </c>
      <c r="GN54" s="141" t="s">
        <v>1810</v>
      </c>
      <c r="GO54" s="141"/>
      <c r="GP54" s="141" t="s">
        <v>1810</v>
      </c>
      <c r="GQ54" s="141" t="s">
        <v>1810</v>
      </c>
      <c r="GR54" s="141" t="s">
        <v>1810</v>
      </c>
      <c r="GS54" s="141" t="s">
        <v>1810</v>
      </c>
      <c r="GT54" s="141" t="s">
        <v>1810</v>
      </c>
      <c r="GU54" s="141" t="s">
        <v>1810</v>
      </c>
      <c r="GV54" s="141"/>
      <c r="GW54" s="141" t="s">
        <v>1810</v>
      </c>
      <c r="GX54" s="141" t="s">
        <v>1810</v>
      </c>
      <c r="GY54" s="141" t="s">
        <v>1810</v>
      </c>
      <c r="GZ54" s="141" t="s">
        <v>1810</v>
      </c>
      <c r="HA54" s="141" t="s">
        <v>1810</v>
      </c>
      <c r="HB54" s="141" t="s">
        <v>1810</v>
      </c>
      <c r="HC54" s="141" t="s">
        <v>1810</v>
      </c>
      <c r="HD54" s="141"/>
      <c r="HE54" s="141" t="s">
        <v>1810</v>
      </c>
      <c r="HF54" s="141" t="s">
        <v>1810</v>
      </c>
      <c r="HG54" s="141" t="s">
        <v>1810</v>
      </c>
      <c r="HH54" s="141" t="s">
        <v>1810</v>
      </c>
      <c r="HI54" s="141" t="s">
        <v>1810</v>
      </c>
      <c r="HJ54" s="141" t="s">
        <v>1810</v>
      </c>
      <c r="HK54" s="141" t="s">
        <v>1810</v>
      </c>
      <c r="HL54" s="141" t="s">
        <v>1810</v>
      </c>
      <c r="HM54" s="141"/>
      <c r="HN54" s="141" t="s">
        <v>1810</v>
      </c>
      <c r="HO54" s="141" t="s">
        <v>1810</v>
      </c>
      <c r="HP54" s="141" t="s">
        <v>1810</v>
      </c>
      <c r="HQ54" s="141" t="s">
        <v>1810</v>
      </c>
      <c r="HR54" s="141" t="s">
        <v>1810</v>
      </c>
      <c r="HS54" s="141" t="s">
        <v>1810</v>
      </c>
      <c r="HT54" s="141"/>
      <c r="HU54" s="141" t="s">
        <v>1810</v>
      </c>
      <c r="HV54" s="141" t="s">
        <v>1810</v>
      </c>
      <c r="HW54" s="141" t="s">
        <v>1810</v>
      </c>
      <c r="HX54" s="141" t="s">
        <v>1810</v>
      </c>
      <c r="HY54" s="141" t="s">
        <v>1810</v>
      </c>
      <c r="HZ54" s="141" t="s">
        <v>1810</v>
      </c>
      <c r="IA54" s="141" t="s">
        <v>1810</v>
      </c>
      <c r="IB54" s="141" t="s">
        <v>1810</v>
      </c>
      <c r="IC54" s="141" t="s">
        <v>1810</v>
      </c>
      <c r="ID54" s="141"/>
      <c r="IE54" s="141" t="s">
        <v>1810</v>
      </c>
      <c r="IF54" s="141" t="s">
        <v>1810</v>
      </c>
      <c r="IG54" s="141" t="s">
        <v>1810</v>
      </c>
      <c r="IH54" s="141" t="s">
        <v>1810</v>
      </c>
      <c r="II54" s="141" t="s">
        <v>1810</v>
      </c>
      <c r="IJ54" s="141" t="s">
        <v>1810</v>
      </c>
      <c r="IK54" s="141" t="s">
        <v>1810</v>
      </c>
      <c r="IL54" s="141" t="s">
        <v>1810</v>
      </c>
      <c r="IM54" s="141" t="s">
        <v>1810</v>
      </c>
      <c r="IN54" s="141" t="s">
        <v>1810</v>
      </c>
      <c r="IO54" s="141" t="s">
        <v>1810</v>
      </c>
      <c r="IP54" s="141" t="s">
        <v>1810</v>
      </c>
      <c r="IQ54" s="141"/>
      <c r="IR54" s="141" t="s">
        <v>1810</v>
      </c>
      <c r="IS54" s="141" t="s">
        <v>1810</v>
      </c>
      <c r="IT54" s="141" t="s">
        <v>1810</v>
      </c>
      <c r="IU54" s="141"/>
      <c r="IV54" s="141" t="s">
        <v>1810</v>
      </c>
      <c r="IW54" s="141" t="s">
        <v>1810</v>
      </c>
      <c r="IX54" s="141"/>
      <c r="IY54" s="141" t="s">
        <v>1810</v>
      </c>
      <c r="IZ54" s="141" t="s">
        <v>1810</v>
      </c>
      <c r="JA54" s="141" t="s">
        <v>1810</v>
      </c>
      <c r="JB54" s="141" t="s">
        <v>1810</v>
      </c>
      <c r="JC54" s="141" t="s">
        <v>1810</v>
      </c>
      <c r="JD54" s="141" t="s">
        <v>1810</v>
      </c>
      <c r="JE54" s="141" t="s">
        <v>1810</v>
      </c>
      <c r="JF54" s="141"/>
      <c r="JG54" s="141" t="s">
        <v>1810</v>
      </c>
      <c r="JH54" s="141" t="s">
        <v>1810</v>
      </c>
      <c r="JI54" s="141" t="s">
        <v>1810</v>
      </c>
      <c r="JJ54" s="141" t="s">
        <v>1810</v>
      </c>
      <c r="JK54" s="141" t="s">
        <v>1810</v>
      </c>
      <c r="JL54" s="141"/>
      <c r="JM54" s="141" t="s">
        <v>1810</v>
      </c>
      <c r="JN54" s="141" t="s">
        <v>1810</v>
      </c>
      <c r="JO54" s="141" t="s">
        <v>1810</v>
      </c>
      <c r="JP54" s="141"/>
      <c r="JQ54" s="141" t="s">
        <v>1810</v>
      </c>
      <c r="JR54" s="141" t="s">
        <v>1810</v>
      </c>
      <c r="JS54" s="141" t="s">
        <v>1810</v>
      </c>
      <c r="JT54" s="141" t="s">
        <v>1810</v>
      </c>
      <c r="JU54" s="141" t="s">
        <v>1810</v>
      </c>
      <c r="JV54" s="141" t="s">
        <v>1810</v>
      </c>
      <c r="JW54" s="141" t="s">
        <v>1810</v>
      </c>
      <c r="JX54" s="141" t="s">
        <v>1810</v>
      </c>
      <c r="JY54" s="137"/>
    </row>
    <row r="55" spans="1:285" s="147" customFormat="1" x14ac:dyDescent="0.2">
      <c r="A55" s="137" t="s">
        <v>1665</v>
      </c>
      <c r="B55" s="137" t="s">
        <v>277</v>
      </c>
      <c r="C55" s="137" t="s">
        <v>277</v>
      </c>
      <c r="D55" s="137" t="s">
        <v>277</v>
      </c>
      <c r="E55" s="137" t="s">
        <v>277</v>
      </c>
      <c r="F55" s="137" t="s">
        <v>277</v>
      </c>
      <c r="G55" s="137" t="s">
        <v>277</v>
      </c>
      <c r="H55" s="137" t="s">
        <v>277</v>
      </c>
      <c r="I55" s="137" t="s">
        <v>277</v>
      </c>
      <c r="J55" s="137" t="s">
        <v>277</v>
      </c>
      <c r="K55" s="137" t="s">
        <v>277</v>
      </c>
      <c r="L55" s="137" t="s">
        <v>277</v>
      </c>
      <c r="M55" s="137"/>
      <c r="N55" s="137" t="s">
        <v>277</v>
      </c>
      <c r="O55" s="137" t="s">
        <v>277</v>
      </c>
      <c r="P55" s="137" t="s">
        <v>277</v>
      </c>
      <c r="Q55" s="137" t="s">
        <v>277</v>
      </c>
      <c r="R55" s="137" t="s">
        <v>277</v>
      </c>
      <c r="S55" s="137" t="s">
        <v>277</v>
      </c>
      <c r="T55" s="137" t="s">
        <v>277</v>
      </c>
      <c r="U55" s="137" t="s">
        <v>277</v>
      </c>
      <c r="V55" s="137" t="s">
        <v>277</v>
      </c>
      <c r="W55" s="137" t="s">
        <v>277</v>
      </c>
      <c r="X55" s="137" t="s">
        <v>277</v>
      </c>
      <c r="Y55" s="137" t="s">
        <v>277</v>
      </c>
      <c r="Z55" s="137" t="s">
        <v>277</v>
      </c>
      <c r="AA55" s="137"/>
      <c r="AB55" s="137" t="s">
        <v>277</v>
      </c>
      <c r="AC55" s="137" t="s">
        <v>277</v>
      </c>
      <c r="AD55" s="137" t="s">
        <v>277</v>
      </c>
      <c r="AE55" s="137" t="s">
        <v>277</v>
      </c>
      <c r="AF55" s="137"/>
      <c r="AG55" s="137" t="s">
        <v>277</v>
      </c>
      <c r="AH55" s="137" t="s">
        <v>277</v>
      </c>
      <c r="AI55" s="137" t="s">
        <v>277</v>
      </c>
      <c r="AJ55" s="137" t="s">
        <v>277</v>
      </c>
      <c r="AK55" s="137" t="s">
        <v>277</v>
      </c>
      <c r="AL55" s="137" t="s">
        <v>277</v>
      </c>
      <c r="AM55" s="137" t="s">
        <v>277</v>
      </c>
      <c r="AN55" s="137" t="s">
        <v>277</v>
      </c>
      <c r="AO55" s="137" t="s">
        <v>277</v>
      </c>
      <c r="AP55" s="137" t="s">
        <v>277</v>
      </c>
      <c r="AQ55" s="137" t="s">
        <v>277</v>
      </c>
      <c r="AR55" s="137" t="s">
        <v>277</v>
      </c>
      <c r="AS55" s="137" t="s">
        <v>277</v>
      </c>
      <c r="AT55" s="137" t="s">
        <v>277</v>
      </c>
      <c r="AU55" s="137" t="s">
        <v>277</v>
      </c>
      <c r="AV55" s="137" t="s">
        <v>277</v>
      </c>
      <c r="AW55" s="137" t="s">
        <v>277</v>
      </c>
      <c r="AX55" s="137" t="s">
        <v>277</v>
      </c>
      <c r="AY55" s="137" t="s">
        <v>277</v>
      </c>
      <c r="AZ55" s="137" t="s">
        <v>277</v>
      </c>
      <c r="BA55" s="137" t="s">
        <v>277</v>
      </c>
      <c r="BB55" s="137" t="s">
        <v>277</v>
      </c>
      <c r="BC55" s="137" t="s">
        <v>277</v>
      </c>
      <c r="BD55" s="137" t="s">
        <v>277</v>
      </c>
      <c r="BE55" s="137" t="s">
        <v>277</v>
      </c>
      <c r="BF55" s="137" t="s">
        <v>277</v>
      </c>
      <c r="BG55" s="137" t="s">
        <v>277</v>
      </c>
      <c r="BH55" s="137" t="s">
        <v>277</v>
      </c>
      <c r="BI55" s="137" t="s">
        <v>277</v>
      </c>
      <c r="BJ55" s="137" t="s">
        <v>277</v>
      </c>
      <c r="BK55" s="137" t="s">
        <v>277</v>
      </c>
      <c r="BL55" s="137" t="s">
        <v>277</v>
      </c>
      <c r="BM55" s="137"/>
      <c r="BN55" s="137" t="s">
        <v>277</v>
      </c>
      <c r="BO55" s="137" t="s">
        <v>277</v>
      </c>
      <c r="BP55" s="137" t="s">
        <v>277</v>
      </c>
      <c r="BQ55" s="137" t="s">
        <v>277</v>
      </c>
      <c r="BR55" s="137" t="s">
        <v>277</v>
      </c>
      <c r="BS55" s="137" t="s">
        <v>277</v>
      </c>
      <c r="BT55" s="137" t="s">
        <v>277</v>
      </c>
      <c r="BU55" s="137" t="s">
        <v>277</v>
      </c>
      <c r="BV55" s="137"/>
      <c r="BW55" s="137" t="s">
        <v>277</v>
      </c>
      <c r="BX55" s="137" t="s">
        <v>277</v>
      </c>
      <c r="BY55" s="137" t="s">
        <v>277</v>
      </c>
      <c r="BZ55" s="137" t="s">
        <v>277</v>
      </c>
      <c r="CA55" s="137" t="s">
        <v>277</v>
      </c>
      <c r="CB55" s="137" t="s">
        <v>277</v>
      </c>
      <c r="CC55" s="137" t="s">
        <v>277</v>
      </c>
      <c r="CD55" s="137"/>
      <c r="CE55" s="137" t="s">
        <v>277</v>
      </c>
      <c r="CF55" s="137" t="s">
        <v>277</v>
      </c>
      <c r="CG55" s="137" t="s">
        <v>277</v>
      </c>
      <c r="CH55" s="137" t="s">
        <v>277</v>
      </c>
      <c r="CI55" s="137" t="s">
        <v>277</v>
      </c>
      <c r="CJ55" s="137" t="s">
        <v>277</v>
      </c>
      <c r="CK55" s="137" t="s">
        <v>277</v>
      </c>
      <c r="CL55" s="137" t="s">
        <v>277</v>
      </c>
      <c r="CM55" s="137" t="s">
        <v>277</v>
      </c>
      <c r="CN55" s="137" t="s">
        <v>277</v>
      </c>
      <c r="CO55" s="137" t="s">
        <v>277</v>
      </c>
      <c r="CP55" s="137" t="s">
        <v>277</v>
      </c>
      <c r="CQ55" s="137" t="s">
        <v>277</v>
      </c>
      <c r="CR55" s="137" t="s">
        <v>277</v>
      </c>
      <c r="CS55" s="137" t="s">
        <v>277</v>
      </c>
      <c r="CT55" s="137" t="s">
        <v>277</v>
      </c>
      <c r="CU55" s="137" t="s">
        <v>277</v>
      </c>
      <c r="CV55" s="137" t="s">
        <v>277</v>
      </c>
      <c r="CW55" s="137" t="s">
        <v>277</v>
      </c>
      <c r="CX55" s="137"/>
      <c r="CY55" s="137" t="s">
        <v>277</v>
      </c>
      <c r="CZ55" s="137" t="s">
        <v>277</v>
      </c>
      <c r="DA55" s="137" t="s">
        <v>277</v>
      </c>
      <c r="DB55" s="137" t="s">
        <v>277</v>
      </c>
      <c r="DC55" s="137" t="s">
        <v>277</v>
      </c>
      <c r="DD55" s="137" t="s">
        <v>277</v>
      </c>
      <c r="DE55" s="137" t="s">
        <v>277</v>
      </c>
      <c r="DF55" s="137" t="s">
        <v>277</v>
      </c>
      <c r="DG55" s="137" t="s">
        <v>277</v>
      </c>
      <c r="DH55" s="137" t="s">
        <v>277</v>
      </c>
      <c r="DI55" s="137" t="s">
        <v>277</v>
      </c>
      <c r="DJ55" s="137" t="s">
        <v>277</v>
      </c>
      <c r="DK55" s="137"/>
      <c r="DL55" s="137" t="s">
        <v>277</v>
      </c>
      <c r="DM55" s="137" t="s">
        <v>277</v>
      </c>
      <c r="DN55" s="137" t="s">
        <v>277</v>
      </c>
      <c r="DO55" s="137" t="s">
        <v>277</v>
      </c>
      <c r="DP55" s="137" t="s">
        <v>277</v>
      </c>
      <c r="DQ55" s="137" t="s">
        <v>277</v>
      </c>
      <c r="DR55" s="137" t="s">
        <v>277</v>
      </c>
      <c r="DS55" s="137"/>
      <c r="DT55" s="137" t="s">
        <v>277</v>
      </c>
      <c r="DU55" s="137" t="s">
        <v>277</v>
      </c>
      <c r="DV55" s="137" t="s">
        <v>277</v>
      </c>
      <c r="DW55" s="137" t="s">
        <v>277</v>
      </c>
      <c r="DX55" s="137" t="s">
        <v>277</v>
      </c>
      <c r="DY55" s="137" t="s">
        <v>277</v>
      </c>
      <c r="DZ55" s="137" t="s">
        <v>277</v>
      </c>
      <c r="EA55" s="137" t="s">
        <v>277</v>
      </c>
      <c r="EB55" s="137" t="s">
        <v>277</v>
      </c>
      <c r="EC55" s="137" t="s">
        <v>277</v>
      </c>
      <c r="ED55" s="137" t="s">
        <v>277</v>
      </c>
      <c r="EE55" s="137" t="s">
        <v>277</v>
      </c>
      <c r="EF55" s="137" t="s">
        <v>277</v>
      </c>
      <c r="EG55" s="137" t="s">
        <v>277</v>
      </c>
      <c r="EH55" s="137"/>
      <c r="EI55" s="137" t="s">
        <v>277</v>
      </c>
      <c r="EJ55" s="137" t="s">
        <v>277</v>
      </c>
      <c r="EK55" s="137" t="s">
        <v>277</v>
      </c>
      <c r="EL55" s="137" t="s">
        <v>277</v>
      </c>
      <c r="EM55" s="137" t="s">
        <v>277</v>
      </c>
      <c r="EN55" s="137" t="s">
        <v>277</v>
      </c>
      <c r="EO55" s="137" t="s">
        <v>277</v>
      </c>
      <c r="EP55" s="137" t="s">
        <v>277</v>
      </c>
      <c r="EQ55" s="137" t="s">
        <v>277</v>
      </c>
      <c r="ER55" s="137"/>
      <c r="ES55" s="137" t="s">
        <v>277</v>
      </c>
      <c r="ET55" s="137" t="s">
        <v>277</v>
      </c>
      <c r="EU55" s="137" t="s">
        <v>277</v>
      </c>
      <c r="EV55" s="137" t="s">
        <v>277</v>
      </c>
      <c r="EW55" s="137" t="s">
        <v>277</v>
      </c>
      <c r="EX55" s="137" t="s">
        <v>277</v>
      </c>
      <c r="EY55" s="137" t="s">
        <v>277</v>
      </c>
      <c r="EZ55" s="137" t="s">
        <v>277</v>
      </c>
      <c r="FA55" s="137" t="s">
        <v>277</v>
      </c>
      <c r="FB55" s="137" t="s">
        <v>277</v>
      </c>
      <c r="FC55" s="137"/>
      <c r="FD55" s="137" t="s">
        <v>277</v>
      </c>
      <c r="FE55" s="137" t="s">
        <v>277</v>
      </c>
      <c r="FF55" s="137" t="s">
        <v>277</v>
      </c>
      <c r="FG55" s="137" t="s">
        <v>277</v>
      </c>
      <c r="FH55" s="137" t="s">
        <v>277</v>
      </c>
      <c r="FI55" s="137" t="s">
        <v>277</v>
      </c>
      <c r="FJ55" s="137" t="s">
        <v>277</v>
      </c>
      <c r="FK55" s="137"/>
      <c r="FL55" s="137" t="s">
        <v>277</v>
      </c>
      <c r="FM55" s="137" t="s">
        <v>277</v>
      </c>
      <c r="FN55" s="137" t="s">
        <v>277</v>
      </c>
      <c r="FO55" s="137" t="s">
        <v>277</v>
      </c>
      <c r="FP55" s="137" t="s">
        <v>277</v>
      </c>
      <c r="FQ55" s="137" t="s">
        <v>277</v>
      </c>
      <c r="FR55" s="137" t="s">
        <v>277</v>
      </c>
      <c r="FS55" s="137" t="s">
        <v>277</v>
      </c>
      <c r="FT55" s="137" t="s">
        <v>277</v>
      </c>
      <c r="FU55" s="137"/>
      <c r="FV55" s="137" t="s">
        <v>277</v>
      </c>
      <c r="FW55" s="137" t="s">
        <v>277</v>
      </c>
      <c r="FX55" s="137" t="s">
        <v>277</v>
      </c>
      <c r="FY55" s="137" t="s">
        <v>277</v>
      </c>
      <c r="FZ55" s="137" t="s">
        <v>277</v>
      </c>
      <c r="GA55" s="137" t="s">
        <v>277</v>
      </c>
      <c r="GB55" s="137" t="s">
        <v>277</v>
      </c>
      <c r="GC55" s="137" t="s">
        <v>277</v>
      </c>
      <c r="GD55" s="137" t="s">
        <v>277</v>
      </c>
      <c r="GE55" s="137" t="s">
        <v>277</v>
      </c>
      <c r="GF55" s="137"/>
      <c r="GG55" s="137" t="s">
        <v>277</v>
      </c>
      <c r="GH55" s="137" t="s">
        <v>277</v>
      </c>
      <c r="GI55" s="137" t="s">
        <v>277</v>
      </c>
      <c r="GJ55" s="137" t="s">
        <v>277</v>
      </c>
      <c r="GK55" s="137" t="s">
        <v>277</v>
      </c>
      <c r="GL55" s="137" t="s">
        <v>277</v>
      </c>
      <c r="GM55" s="137" t="s">
        <v>277</v>
      </c>
      <c r="GN55" s="137" t="s">
        <v>277</v>
      </c>
      <c r="GO55" s="137"/>
      <c r="GP55" s="137" t="s">
        <v>277</v>
      </c>
      <c r="GQ55" s="137" t="s">
        <v>277</v>
      </c>
      <c r="GR55" s="137" t="s">
        <v>277</v>
      </c>
      <c r="GS55" s="137" t="s">
        <v>277</v>
      </c>
      <c r="GT55" s="137" t="s">
        <v>277</v>
      </c>
      <c r="GU55" s="137" t="s">
        <v>277</v>
      </c>
      <c r="GV55" s="137"/>
      <c r="GW55" s="137" t="s">
        <v>277</v>
      </c>
      <c r="GX55" s="137" t="s">
        <v>277</v>
      </c>
      <c r="GY55" s="137" t="s">
        <v>277</v>
      </c>
      <c r="GZ55" s="137" t="s">
        <v>277</v>
      </c>
      <c r="HA55" s="137" t="s">
        <v>277</v>
      </c>
      <c r="HB55" s="137" t="s">
        <v>277</v>
      </c>
      <c r="HC55" s="137" t="s">
        <v>277</v>
      </c>
      <c r="HD55" s="137"/>
      <c r="HE55" s="137" t="s">
        <v>277</v>
      </c>
      <c r="HF55" s="137" t="s">
        <v>277</v>
      </c>
      <c r="HG55" s="137" t="s">
        <v>277</v>
      </c>
      <c r="HH55" s="137" t="s">
        <v>277</v>
      </c>
      <c r="HI55" s="137" t="s">
        <v>277</v>
      </c>
      <c r="HJ55" s="137" t="s">
        <v>277</v>
      </c>
      <c r="HK55" s="137" t="s">
        <v>277</v>
      </c>
      <c r="HL55" s="137" t="s">
        <v>277</v>
      </c>
      <c r="HM55" s="137"/>
      <c r="HN55" s="137" t="s">
        <v>277</v>
      </c>
      <c r="HO55" s="137" t="s">
        <v>277</v>
      </c>
      <c r="HP55" s="137" t="s">
        <v>277</v>
      </c>
      <c r="HQ55" s="137" t="s">
        <v>277</v>
      </c>
      <c r="HR55" s="137" t="s">
        <v>277</v>
      </c>
      <c r="HS55" s="137" t="s">
        <v>277</v>
      </c>
      <c r="HT55" s="137"/>
      <c r="HU55" s="137" t="s">
        <v>277</v>
      </c>
      <c r="HV55" s="137" t="s">
        <v>277</v>
      </c>
      <c r="HW55" s="137" t="s">
        <v>277</v>
      </c>
      <c r="HX55" s="137" t="s">
        <v>277</v>
      </c>
      <c r="HY55" s="137" t="s">
        <v>277</v>
      </c>
      <c r="HZ55" s="137" t="s">
        <v>277</v>
      </c>
      <c r="IA55" s="137" t="s">
        <v>277</v>
      </c>
      <c r="IB55" s="137" t="s">
        <v>277</v>
      </c>
      <c r="IC55" s="137" t="s">
        <v>277</v>
      </c>
      <c r="ID55" s="137"/>
      <c r="IE55" s="137" t="s">
        <v>277</v>
      </c>
      <c r="IF55" s="137" t="s">
        <v>277</v>
      </c>
      <c r="IG55" s="137" t="s">
        <v>277</v>
      </c>
      <c r="IH55" s="137" t="s">
        <v>277</v>
      </c>
      <c r="II55" s="137" t="s">
        <v>277</v>
      </c>
      <c r="IJ55" s="137" t="s">
        <v>277</v>
      </c>
      <c r="IK55" s="137" t="s">
        <v>277</v>
      </c>
      <c r="IL55" s="137" t="s">
        <v>277</v>
      </c>
      <c r="IM55" s="137" t="s">
        <v>277</v>
      </c>
      <c r="IN55" s="137" t="s">
        <v>277</v>
      </c>
      <c r="IO55" s="137" t="s">
        <v>277</v>
      </c>
      <c r="IP55" s="137" t="s">
        <v>277</v>
      </c>
      <c r="IQ55" s="137"/>
      <c r="IR55" s="137" t="s">
        <v>277</v>
      </c>
      <c r="IS55" s="137" t="s">
        <v>277</v>
      </c>
      <c r="IT55" s="137" t="s">
        <v>277</v>
      </c>
      <c r="IU55" s="137"/>
      <c r="IV55" s="137" t="s">
        <v>277</v>
      </c>
      <c r="IW55" s="137" t="s">
        <v>277</v>
      </c>
      <c r="IX55" s="137"/>
      <c r="IY55" s="137" t="s">
        <v>277</v>
      </c>
      <c r="IZ55" s="137" t="s">
        <v>277</v>
      </c>
      <c r="JA55" s="137" t="s">
        <v>277</v>
      </c>
      <c r="JB55" s="137" t="s">
        <v>277</v>
      </c>
      <c r="JC55" s="137" t="s">
        <v>277</v>
      </c>
      <c r="JD55" s="137" t="s">
        <v>277</v>
      </c>
      <c r="JE55" s="137" t="s">
        <v>277</v>
      </c>
      <c r="JF55" s="137"/>
      <c r="JG55" s="137" t="s">
        <v>277</v>
      </c>
      <c r="JH55" s="137" t="s">
        <v>277</v>
      </c>
      <c r="JI55" s="137" t="s">
        <v>277</v>
      </c>
      <c r="JJ55" s="137" t="s">
        <v>277</v>
      </c>
      <c r="JK55" s="137" t="s">
        <v>277</v>
      </c>
      <c r="JL55" s="137"/>
      <c r="JM55" s="137" t="s">
        <v>277</v>
      </c>
      <c r="JN55" s="137" t="s">
        <v>277</v>
      </c>
      <c r="JO55" s="137" t="s">
        <v>277</v>
      </c>
      <c r="JP55" s="137"/>
      <c r="JQ55" s="137" t="s">
        <v>277</v>
      </c>
      <c r="JR55" s="137" t="s">
        <v>277</v>
      </c>
      <c r="JS55" s="137" t="s">
        <v>277</v>
      </c>
      <c r="JT55" s="137" t="s">
        <v>277</v>
      </c>
      <c r="JU55" s="137" t="s">
        <v>277</v>
      </c>
      <c r="JV55" s="137" t="s">
        <v>277</v>
      </c>
      <c r="JW55" s="137" t="s">
        <v>277</v>
      </c>
      <c r="JX55" s="137" t="s">
        <v>277</v>
      </c>
      <c r="JY55" s="137"/>
    </row>
    <row r="56" spans="1:285" s="147" customFormat="1" x14ac:dyDescent="0.2">
      <c r="A56" s="137" t="s">
        <v>354</v>
      </c>
      <c r="B56" s="142">
        <v>42893</v>
      </c>
      <c r="C56" s="142">
        <v>42893</v>
      </c>
      <c r="D56" s="142">
        <v>42893</v>
      </c>
      <c r="E56" s="142">
        <v>42893</v>
      </c>
      <c r="F56" s="142">
        <v>42893</v>
      </c>
      <c r="G56" s="142">
        <v>42893</v>
      </c>
      <c r="H56" s="142">
        <v>42893</v>
      </c>
      <c r="I56" s="142">
        <v>42893</v>
      </c>
      <c r="J56" s="142">
        <v>42893</v>
      </c>
      <c r="K56" s="142">
        <v>42893</v>
      </c>
      <c r="L56" s="142">
        <v>42893</v>
      </c>
      <c r="M56" s="142"/>
      <c r="N56" s="142">
        <v>42893</v>
      </c>
      <c r="O56" s="142">
        <v>42893</v>
      </c>
      <c r="P56" s="142">
        <v>42893</v>
      </c>
      <c r="Q56" s="142">
        <v>42893</v>
      </c>
      <c r="R56" s="142">
        <v>42893</v>
      </c>
      <c r="S56" s="142">
        <v>42893</v>
      </c>
      <c r="T56" s="142">
        <v>42893</v>
      </c>
      <c r="U56" s="142">
        <v>42893</v>
      </c>
      <c r="V56" s="142">
        <v>42893</v>
      </c>
      <c r="W56" s="142">
        <v>42893</v>
      </c>
      <c r="X56" s="142">
        <v>42893</v>
      </c>
      <c r="Y56" s="142">
        <v>42893</v>
      </c>
      <c r="Z56" s="142">
        <v>42893</v>
      </c>
      <c r="AA56" s="142"/>
      <c r="AB56" s="142">
        <v>42900</v>
      </c>
      <c r="AC56" s="142">
        <v>42900</v>
      </c>
      <c r="AD56" s="142">
        <v>42900</v>
      </c>
      <c r="AE56" s="142">
        <v>42900</v>
      </c>
      <c r="AF56" s="142"/>
      <c r="AG56" s="142">
        <v>42900</v>
      </c>
      <c r="AH56" s="142">
        <v>42900</v>
      </c>
      <c r="AI56" s="142">
        <v>42900</v>
      </c>
      <c r="AJ56" s="142">
        <v>42900</v>
      </c>
      <c r="AK56" s="142">
        <v>42900</v>
      </c>
      <c r="AL56" s="142">
        <v>42900</v>
      </c>
      <c r="AM56" s="142">
        <v>42900</v>
      </c>
      <c r="AN56" s="142">
        <v>42900</v>
      </c>
      <c r="AO56" s="142">
        <v>42900</v>
      </c>
      <c r="AP56" s="142">
        <v>42900</v>
      </c>
      <c r="AQ56" s="142">
        <v>42900</v>
      </c>
      <c r="AR56" s="142">
        <v>42900</v>
      </c>
      <c r="AS56" s="142">
        <v>42900</v>
      </c>
      <c r="AT56" s="142">
        <v>42900</v>
      </c>
      <c r="AU56" s="142">
        <v>42900</v>
      </c>
      <c r="AV56" s="142">
        <v>42900</v>
      </c>
      <c r="AW56" s="142">
        <v>42900</v>
      </c>
      <c r="AX56" s="142">
        <v>42900</v>
      </c>
      <c r="AY56" s="142">
        <v>42900</v>
      </c>
      <c r="AZ56" s="142">
        <v>42900</v>
      </c>
      <c r="BA56" s="142">
        <v>42900</v>
      </c>
      <c r="BB56" s="142">
        <v>42900</v>
      </c>
      <c r="BC56" s="142">
        <v>42900</v>
      </c>
      <c r="BD56" s="142">
        <v>42900</v>
      </c>
      <c r="BE56" s="142">
        <v>42900</v>
      </c>
      <c r="BF56" s="142">
        <v>42900</v>
      </c>
      <c r="BG56" s="142">
        <v>42900</v>
      </c>
      <c r="BH56" s="142">
        <v>42900</v>
      </c>
      <c r="BI56" s="142">
        <v>42900</v>
      </c>
      <c r="BJ56" s="142">
        <v>42900</v>
      </c>
      <c r="BK56" s="142">
        <v>42900</v>
      </c>
      <c r="BL56" s="142">
        <v>42900</v>
      </c>
      <c r="BM56" s="142"/>
      <c r="BN56" s="142">
        <v>42900</v>
      </c>
      <c r="BO56" s="142">
        <v>42900</v>
      </c>
      <c r="BP56" s="142">
        <v>42900</v>
      </c>
      <c r="BQ56" s="142">
        <v>42900</v>
      </c>
      <c r="BR56" s="142">
        <v>42900</v>
      </c>
      <c r="BS56" s="142">
        <v>42900</v>
      </c>
      <c r="BT56" s="142">
        <v>42900</v>
      </c>
      <c r="BU56" s="142">
        <v>42900</v>
      </c>
      <c r="BV56" s="142"/>
      <c r="BW56" s="142">
        <v>42900</v>
      </c>
      <c r="BX56" s="142">
        <v>42900</v>
      </c>
      <c r="BY56" s="142">
        <v>42900</v>
      </c>
      <c r="BZ56" s="142">
        <v>42900</v>
      </c>
      <c r="CA56" s="142">
        <v>42900</v>
      </c>
      <c r="CB56" s="142">
        <v>42900</v>
      </c>
      <c r="CC56" s="142">
        <v>42900</v>
      </c>
      <c r="CD56" s="142"/>
      <c r="CE56" s="142">
        <v>42922</v>
      </c>
      <c r="CF56" s="142">
        <v>42922</v>
      </c>
      <c r="CG56" s="142">
        <v>42922</v>
      </c>
      <c r="CH56" s="142">
        <v>42922</v>
      </c>
      <c r="CI56" s="142">
        <v>42922</v>
      </c>
      <c r="CJ56" s="142">
        <v>42922</v>
      </c>
      <c r="CK56" s="142">
        <v>42922</v>
      </c>
      <c r="CL56" s="142">
        <v>42922</v>
      </c>
      <c r="CM56" s="142">
        <v>42922</v>
      </c>
      <c r="CN56" s="142">
        <v>42922</v>
      </c>
      <c r="CO56" s="142">
        <v>42922</v>
      </c>
      <c r="CP56" s="142">
        <v>42922</v>
      </c>
      <c r="CQ56" s="142">
        <v>42922</v>
      </c>
      <c r="CR56" s="142">
        <v>42922</v>
      </c>
      <c r="CS56" s="142">
        <v>42922</v>
      </c>
      <c r="CT56" s="142">
        <v>42922</v>
      </c>
      <c r="CU56" s="142">
        <v>42922</v>
      </c>
      <c r="CV56" s="142">
        <v>42922</v>
      </c>
      <c r="CW56" s="142">
        <v>42922</v>
      </c>
      <c r="CX56" s="142"/>
      <c r="CY56" s="143">
        <v>42938</v>
      </c>
      <c r="CZ56" s="143">
        <v>42938</v>
      </c>
      <c r="DA56" s="143">
        <v>42938</v>
      </c>
      <c r="DB56" s="143">
        <v>42938</v>
      </c>
      <c r="DC56" s="143">
        <v>42938</v>
      </c>
      <c r="DD56" s="143">
        <v>42938</v>
      </c>
      <c r="DE56" s="143">
        <v>42938</v>
      </c>
      <c r="DF56" s="143">
        <v>42938</v>
      </c>
      <c r="DG56" s="143">
        <v>42938</v>
      </c>
      <c r="DH56" s="143">
        <v>42938</v>
      </c>
      <c r="DI56" s="143">
        <v>42938</v>
      </c>
      <c r="DJ56" s="143">
        <v>42938</v>
      </c>
      <c r="DK56" s="143"/>
      <c r="DL56" s="143">
        <v>42939</v>
      </c>
      <c r="DM56" s="143">
        <v>42939</v>
      </c>
      <c r="DN56" s="143">
        <v>42939</v>
      </c>
      <c r="DO56" s="143">
        <v>42939</v>
      </c>
      <c r="DP56" s="143">
        <v>42939</v>
      </c>
      <c r="DQ56" s="143">
        <v>42939</v>
      </c>
      <c r="DR56" s="143">
        <v>42939</v>
      </c>
      <c r="DS56" s="143"/>
      <c r="DT56" s="143">
        <v>42939</v>
      </c>
      <c r="DU56" s="143">
        <v>42939</v>
      </c>
      <c r="DV56" s="143">
        <v>42939</v>
      </c>
      <c r="DW56" s="143">
        <v>42939</v>
      </c>
      <c r="DX56" s="143">
        <v>42939</v>
      </c>
      <c r="DY56" s="143">
        <v>42939</v>
      </c>
      <c r="DZ56" s="143">
        <v>42939</v>
      </c>
      <c r="EA56" s="143">
        <v>42939</v>
      </c>
      <c r="EB56" s="143">
        <v>42939</v>
      </c>
      <c r="EC56" s="143">
        <v>42939</v>
      </c>
      <c r="ED56" s="143">
        <v>42939</v>
      </c>
      <c r="EE56" s="143">
        <v>42939</v>
      </c>
      <c r="EF56" s="143">
        <v>42939</v>
      </c>
      <c r="EG56" s="143">
        <v>42939</v>
      </c>
      <c r="EH56" s="143"/>
      <c r="EI56" s="143">
        <v>42939</v>
      </c>
      <c r="EJ56" s="143">
        <v>42939</v>
      </c>
      <c r="EK56" s="143">
        <v>42939</v>
      </c>
      <c r="EL56" s="143">
        <v>42939</v>
      </c>
      <c r="EM56" s="143">
        <v>42939</v>
      </c>
      <c r="EN56" s="143">
        <v>42939</v>
      </c>
      <c r="EO56" s="143">
        <v>42939</v>
      </c>
      <c r="EP56" s="143">
        <v>42939</v>
      </c>
      <c r="EQ56" s="143">
        <v>42939</v>
      </c>
      <c r="ER56" s="143"/>
      <c r="ES56" s="143">
        <v>42939</v>
      </c>
      <c r="ET56" s="143">
        <v>42939</v>
      </c>
      <c r="EU56" s="143">
        <v>42939</v>
      </c>
      <c r="EV56" s="143">
        <v>42939</v>
      </c>
      <c r="EW56" s="143">
        <v>42939</v>
      </c>
      <c r="EX56" s="143">
        <v>42939</v>
      </c>
      <c r="EY56" s="143">
        <v>42939</v>
      </c>
      <c r="EZ56" s="143">
        <v>42939</v>
      </c>
      <c r="FA56" s="143">
        <v>42939</v>
      </c>
      <c r="FB56" s="143">
        <v>42939</v>
      </c>
      <c r="FC56" s="143"/>
      <c r="FD56" s="143">
        <v>42945</v>
      </c>
      <c r="FE56" s="143">
        <v>42945</v>
      </c>
      <c r="FF56" s="143">
        <v>42945</v>
      </c>
      <c r="FG56" s="143">
        <v>42945</v>
      </c>
      <c r="FH56" s="143">
        <v>42945</v>
      </c>
      <c r="FI56" s="143">
        <v>42945</v>
      </c>
      <c r="FJ56" s="143">
        <v>42945</v>
      </c>
      <c r="FK56" s="143"/>
      <c r="FL56" s="143">
        <v>42946</v>
      </c>
      <c r="FM56" s="143">
        <v>42946</v>
      </c>
      <c r="FN56" s="143">
        <v>42946</v>
      </c>
      <c r="FO56" s="143">
        <v>42946</v>
      </c>
      <c r="FP56" s="143">
        <v>42946</v>
      </c>
      <c r="FQ56" s="143">
        <v>42946</v>
      </c>
      <c r="FR56" s="143">
        <v>42946</v>
      </c>
      <c r="FS56" s="143">
        <v>42946</v>
      </c>
      <c r="FT56" s="143">
        <v>42946</v>
      </c>
      <c r="FU56" s="143"/>
      <c r="FV56" s="143">
        <v>42946</v>
      </c>
      <c r="FW56" s="143">
        <v>42946</v>
      </c>
      <c r="FX56" s="143">
        <v>42946</v>
      </c>
      <c r="FY56" s="143">
        <v>42946</v>
      </c>
      <c r="FZ56" s="143">
        <v>42946</v>
      </c>
      <c r="GA56" s="143">
        <v>42946</v>
      </c>
      <c r="GB56" s="143">
        <v>42946</v>
      </c>
      <c r="GC56" s="143">
        <v>42946</v>
      </c>
      <c r="GD56" s="143">
        <v>42946</v>
      </c>
      <c r="GE56" s="143">
        <v>42946</v>
      </c>
      <c r="GF56" s="143"/>
      <c r="GG56" s="143">
        <v>42953</v>
      </c>
      <c r="GH56" s="143">
        <v>42953</v>
      </c>
      <c r="GI56" s="143">
        <v>42953</v>
      </c>
      <c r="GJ56" s="143">
        <v>42953</v>
      </c>
      <c r="GK56" s="143">
        <v>42953</v>
      </c>
      <c r="GL56" s="143">
        <v>42953</v>
      </c>
      <c r="GM56" s="143">
        <v>42953</v>
      </c>
      <c r="GN56" s="143">
        <v>42953</v>
      </c>
      <c r="GO56" s="143"/>
      <c r="GP56" s="143">
        <v>42973</v>
      </c>
      <c r="GQ56" s="143">
        <v>42973</v>
      </c>
      <c r="GR56" s="143">
        <v>42973</v>
      </c>
      <c r="GS56" s="143">
        <v>42973</v>
      </c>
      <c r="GT56" s="143">
        <v>42973</v>
      </c>
      <c r="GU56" s="143">
        <v>42973</v>
      </c>
      <c r="GV56" s="143"/>
      <c r="GW56" s="143">
        <v>42973</v>
      </c>
      <c r="GX56" s="143">
        <v>42973</v>
      </c>
      <c r="GY56" s="143">
        <v>42973</v>
      </c>
      <c r="GZ56" s="143">
        <v>42973</v>
      </c>
      <c r="HA56" s="143">
        <v>42973</v>
      </c>
      <c r="HB56" s="143">
        <v>42973</v>
      </c>
      <c r="HC56" s="143">
        <v>42973</v>
      </c>
      <c r="HD56" s="143"/>
      <c r="HE56" s="143">
        <v>42973</v>
      </c>
      <c r="HF56" s="143">
        <v>42973</v>
      </c>
      <c r="HG56" s="143">
        <v>42973</v>
      </c>
      <c r="HH56" s="143">
        <v>42973</v>
      </c>
      <c r="HI56" s="143">
        <v>42973</v>
      </c>
      <c r="HJ56" s="143">
        <v>42973</v>
      </c>
      <c r="HK56" s="143">
        <v>42973</v>
      </c>
      <c r="HL56" s="143">
        <v>42973</v>
      </c>
      <c r="HM56" s="143"/>
      <c r="HN56" s="143">
        <v>42974</v>
      </c>
      <c r="HO56" s="143">
        <v>42974</v>
      </c>
      <c r="HP56" s="143">
        <v>42974</v>
      </c>
      <c r="HQ56" s="143">
        <v>42974</v>
      </c>
      <c r="HR56" s="143">
        <v>42974</v>
      </c>
      <c r="HS56" s="143">
        <v>42974</v>
      </c>
      <c r="HT56" s="143"/>
      <c r="HU56" s="143">
        <v>42974</v>
      </c>
      <c r="HV56" s="143">
        <v>42974</v>
      </c>
      <c r="HW56" s="143">
        <v>42974</v>
      </c>
      <c r="HX56" s="143">
        <v>42974</v>
      </c>
      <c r="HY56" s="143">
        <v>42974</v>
      </c>
      <c r="HZ56" s="143">
        <v>42974</v>
      </c>
      <c r="IA56" s="143">
        <v>42974</v>
      </c>
      <c r="IB56" s="143">
        <v>42974</v>
      </c>
      <c r="IC56" s="143">
        <v>42974</v>
      </c>
      <c r="ID56" s="143"/>
      <c r="IE56" s="143">
        <v>42974</v>
      </c>
      <c r="IF56" s="143">
        <v>42974</v>
      </c>
      <c r="IG56" s="143">
        <v>42974</v>
      </c>
      <c r="IH56" s="143">
        <v>42974</v>
      </c>
      <c r="II56" s="143">
        <v>42974</v>
      </c>
      <c r="IJ56" s="143">
        <v>42974</v>
      </c>
      <c r="IK56" s="143">
        <v>42974</v>
      </c>
      <c r="IL56" s="143">
        <v>42974</v>
      </c>
      <c r="IM56" s="143">
        <v>42974</v>
      </c>
      <c r="IN56" s="143">
        <v>42974</v>
      </c>
      <c r="IO56" s="143">
        <v>42974</v>
      </c>
      <c r="IP56" s="143">
        <v>42974</v>
      </c>
      <c r="IQ56" s="143"/>
      <c r="IR56" s="143">
        <v>42994</v>
      </c>
      <c r="IS56" s="143">
        <v>42994</v>
      </c>
      <c r="IT56" s="143">
        <v>42994</v>
      </c>
      <c r="IU56" s="143"/>
      <c r="IV56" s="143">
        <v>42994</v>
      </c>
      <c r="IW56" s="143">
        <v>42994</v>
      </c>
      <c r="IX56" s="143"/>
      <c r="IY56" s="143">
        <v>42995</v>
      </c>
      <c r="IZ56" s="143">
        <v>42995</v>
      </c>
      <c r="JA56" s="143">
        <v>42995</v>
      </c>
      <c r="JB56" s="143">
        <v>42995</v>
      </c>
      <c r="JC56" s="143">
        <v>42995</v>
      </c>
      <c r="JD56" s="143">
        <v>42995</v>
      </c>
      <c r="JE56" s="143">
        <v>42995</v>
      </c>
      <c r="JF56" s="143"/>
      <c r="JG56" s="143">
        <v>42996</v>
      </c>
      <c r="JH56" s="143">
        <v>42996</v>
      </c>
      <c r="JI56" s="143">
        <v>42996</v>
      </c>
      <c r="JJ56" s="143">
        <v>42996</v>
      </c>
      <c r="JK56" s="143">
        <v>42996</v>
      </c>
      <c r="JL56" s="143"/>
      <c r="JM56" s="143">
        <v>42996</v>
      </c>
      <c r="JN56" s="143">
        <v>42996</v>
      </c>
      <c r="JO56" s="143">
        <v>42996</v>
      </c>
      <c r="JP56" s="143"/>
      <c r="JQ56" s="143">
        <v>42996</v>
      </c>
      <c r="JR56" s="143">
        <v>42996</v>
      </c>
      <c r="JS56" s="143">
        <v>42996</v>
      </c>
      <c r="JT56" s="143">
        <v>42996</v>
      </c>
      <c r="JU56" s="143">
        <v>42996</v>
      </c>
      <c r="JV56" s="143">
        <v>42996</v>
      </c>
      <c r="JW56" s="143">
        <v>42996</v>
      </c>
      <c r="JX56" s="143">
        <v>42996</v>
      </c>
      <c r="JY56" s="137"/>
    </row>
    <row r="57" spans="1:285" s="147" customFormat="1" x14ac:dyDescent="0.2">
      <c r="A57" s="137" t="s">
        <v>1811</v>
      </c>
      <c r="B57" s="141" t="s">
        <v>1812</v>
      </c>
      <c r="C57" s="141" t="s">
        <v>1812</v>
      </c>
      <c r="D57" s="141" t="s">
        <v>1812</v>
      </c>
      <c r="E57" s="141" t="s">
        <v>1812</v>
      </c>
      <c r="F57" s="141" t="s">
        <v>1812</v>
      </c>
      <c r="G57" s="141" t="s">
        <v>1812</v>
      </c>
      <c r="H57" s="141" t="s">
        <v>1812</v>
      </c>
      <c r="I57" s="141" t="s">
        <v>1812</v>
      </c>
      <c r="J57" s="141" t="s">
        <v>1812</v>
      </c>
      <c r="K57" s="141" t="s">
        <v>1812</v>
      </c>
      <c r="L57" s="141" t="s">
        <v>1812</v>
      </c>
      <c r="M57" s="141"/>
      <c r="N57" s="141" t="s">
        <v>1812</v>
      </c>
      <c r="O57" s="141" t="s">
        <v>1812</v>
      </c>
      <c r="P57" s="141" t="s">
        <v>1812</v>
      </c>
      <c r="Q57" s="141" t="s">
        <v>1812</v>
      </c>
      <c r="R57" s="141" t="s">
        <v>1812</v>
      </c>
      <c r="S57" s="141" t="s">
        <v>1812</v>
      </c>
      <c r="T57" s="141" t="s">
        <v>1812</v>
      </c>
      <c r="U57" s="141" t="s">
        <v>1812</v>
      </c>
      <c r="V57" s="141" t="s">
        <v>1812</v>
      </c>
      <c r="W57" s="141" t="s">
        <v>1812</v>
      </c>
      <c r="X57" s="141" t="s">
        <v>1812</v>
      </c>
      <c r="Y57" s="141" t="s">
        <v>1812</v>
      </c>
      <c r="Z57" s="141" t="s">
        <v>1812</v>
      </c>
      <c r="AA57" s="141"/>
      <c r="AB57" s="141" t="s">
        <v>1812</v>
      </c>
      <c r="AC57" s="141" t="s">
        <v>1812</v>
      </c>
      <c r="AD57" s="141" t="s">
        <v>1812</v>
      </c>
      <c r="AE57" s="141" t="s">
        <v>1812</v>
      </c>
      <c r="AF57" s="141"/>
      <c r="AG57" s="141" t="s">
        <v>1812</v>
      </c>
      <c r="AH57" s="141" t="s">
        <v>1812</v>
      </c>
      <c r="AI57" s="141" t="s">
        <v>1812</v>
      </c>
      <c r="AJ57" s="141" t="s">
        <v>1812</v>
      </c>
      <c r="AK57" s="141" t="s">
        <v>1812</v>
      </c>
      <c r="AL57" s="141" t="s">
        <v>1812</v>
      </c>
      <c r="AM57" s="141" t="s">
        <v>1812</v>
      </c>
      <c r="AN57" s="141" t="s">
        <v>1812</v>
      </c>
      <c r="AO57" s="141" t="s">
        <v>1812</v>
      </c>
      <c r="AP57" s="141" t="s">
        <v>1812</v>
      </c>
      <c r="AQ57" s="141" t="s">
        <v>1812</v>
      </c>
      <c r="AR57" s="141" t="s">
        <v>1812</v>
      </c>
      <c r="AS57" s="141" t="s">
        <v>1812</v>
      </c>
      <c r="AT57" s="141" t="s">
        <v>1812</v>
      </c>
      <c r="AU57" s="141" t="s">
        <v>1812</v>
      </c>
      <c r="AV57" s="141" t="s">
        <v>1812</v>
      </c>
      <c r="AW57" s="141" t="s">
        <v>1812</v>
      </c>
      <c r="AX57" s="141" t="s">
        <v>1812</v>
      </c>
      <c r="AY57" s="141" t="s">
        <v>1812</v>
      </c>
      <c r="AZ57" s="141" t="s">
        <v>1812</v>
      </c>
      <c r="BA57" s="141" t="s">
        <v>1812</v>
      </c>
      <c r="BB57" s="141" t="s">
        <v>1812</v>
      </c>
      <c r="BC57" s="141" t="s">
        <v>1812</v>
      </c>
      <c r="BD57" s="141" t="s">
        <v>1812</v>
      </c>
      <c r="BE57" s="141" t="s">
        <v>1812</v>
      </c>
      <c r="BF57" s="141" t="s">
        <v>1812</v>
      </c>
      <c r="BG57" s="141" t="s">
        <v>1812</v>
      </c>
      <c r="BH57" s="141" t="s">
        <v>1812</v>
      </c>
      <c r="BI57" s="141" t="s">
        <v>1812</v>
      </c>
      <c r="BJ57" s="141" t="s">
        <v>1812</v>
      </c>
      <c r="BK57" s="141" t="s">
        <v>1812</v>
      </c>
      <c r="BL57" s="141" t="s">
        <v>1812</v>
      </c>
      <c r="BM57" s="141"/>
      <c r="BN57" s="141" t="s">
        <v>1812</v>
      </c>
      <c r="BO57" s="141" t="s">
        <v>1812</v>
      </c>
      <c r="BP57" s="141" t="s">
        <v>1812</v>
      </c>
      <c r="BQ57" s="141" t="s">
        <v>1812</v>
      </c>
      <c r="BR57" s="141" t="s">
        <v>1812</v>
      </c>
      <c r="BS57" s="141" t="s">
        <v>1812</v>
      </c>
      <c r="BT57" s="141" t="s">
        <v>1812</v>
      </c>
      <c r="BU57" s="141" t="s">
        <v>1812</v>
      </c>
      <c r="BV57" s="141"/>
      <c r="BW57" s="141" t="s">
        <v>1812</v>
      </c>
      <c r="BX57" s="141" t="s">
        <v>1812</v>
      </c>
      <c r="BY57" s="141" t="s">
        <v>1812</v>
      </c>
      <c r="BZ57" s="141" t="s">
        <v>1812</v>
      </c>
      <c r="CA57" s="141" t="s">
        <v>1812</v>
      </c>
      <c r="CB57" s="141" t="s">
        <v>1812</v>
      </c>
      <c r="CC57" s="141" t="s">
        <v>1812</v>
      </c>
      <c r="CD57" s="141"/>
      <c r="CE57" s="141" t="s">
        <v>1812</v>
      </c>
      <c r="CF57" s="141" t="s">
        <v>1812</v>
      </c>
      <c r="CG57" s="141" t="s">
        <v>1812</v>
      </c>
      <c r="CH57" s="141" t="s">
        <v>1812</v>
      </c>
      <c r="CI57" s="141" t="s">
        <v>1812</v>
      </c>
      <c r="CJ57" s="141" t="s">
        <v>1812</v>
      </c>
      <c r="CK57" s="141" t="s">
        <v>1812</v>
      </c>
      <c r="CL57" s="141" t="s">
        <v>1812</v>
      </c>
      <c r="CM57" s="141" t="s">
        <v>1812</v>
      </c>
      <c r="CN57" s="141" t="s">
        <v>1812</v>
      </c>
      <c r="CO57" s="141" t="s">
        <v>1812</v>
      </c>
      <c r="CP57" s="141" t="s">
        <v>1812</v>
      </c>
      <c r="CQ57" s="141" t="s">
        <v>1812</v>
      </c>
      <c r="CR57" s="141" t="s">
        <v>1812</v>
      </c>
      <c r="CS57" s="141" t="s">
        <v>1812</v>
      </c>
      <c r="CT57" s="141" t="s">
        <v>1812</v>
      </c>
      <c r="CU57" s="141" t="s">
        <v>1812</v>
      </c>
      <c r="CV57" s="141" t="s">
        <v>1812</v>
      </c>
      <c r="CW57" s="141" t="s">
        <v>1812</v>
      </c>
      <c r="CX57" s="141"/>
      <c r="CY57" s="141" t="s">
        <v>1813</v>
      </c>
      <c r="CZ57" s="141" t="s">
        <v>1813</v>
      </c>
      <c r="DA57" s="141" t="s">
        <v>1813</v>
      </c>
      <c r="DB57" s="141" t="s">
        <v>1813</v>
      </c>
      <c r="DC57" s="141" t="s">
        <v>1813</v>
      </c>
      <c r="DD57" s="141" t="s">
        <v>1813</v>
      </c>
      <c r="DE57" s="141" t="s">
        <v>1813</v>
      </c>
      <c r="DF57" s="141" t="s">
        <v>1813</v>
      </c>
      <c r="DG57" s="141" t="s">
        <v>1813</v>
      </c>
      <c r="DH57" s="141" t="s">
        <v>1813</v>
      </c>
      <c r="DI57" s="141" t="s">
        <v>1813</v>
      </c>
      <c r="DJ57" s="141" t="s">
        <v>1813</v>
      </c>
      <c r="DK57" s="141"/>
      <c r="DL57" s="141" t="s">
        <v>1813</v>
      </c>
      <c r="DM57" s="141" t="s">
        <v>1813</v>
      </c>
      <c r="DN57" s="141" t="s">
        <v>1813</v>
      </c>
      <c r="DO57" s="141" t="s">
        <v>1813</v>
      </c>
      <c r="DP57" s="141" t="s">
        <v>1813</v>
      </c>
      <c r="DQ57" s="141" t="s">
        <v>1813</v>
      </c>
      <c r="DR57" s="141" t="s">
        <v>1813</v>
      </c>
      <c r="DS57" s="141"/>
      <c r="DT57" s="141" t="s">
        <v>1813</v>
      </c>
      <c r="DU57" s="141" t="s">
        <v>1813</v>
      </c>
      <c r="DV57" s="141" t="s">
        <v>1813</v>
      </c>
      <c r="DW57" s="141" t="s">
        <v>1813</v>
      </c>
      <c r="DX57" s="141" t="s">
        <v>1813</v>
      </c>
      <c r="DY57" s="141" t="s">
        <v>1813</v>
      </c>
      <c r="DZ57" s="141" t="s">
        <v>1813</v>
      </c>
      <c r="EA57" s="141" t="s">
        <v>1813</v>
      </c>
      <c r="EB57" s="141" t="s">
        <v>1813</v>
      </c>
      <c r="EC57" s="141" t="s">
        <v>1813</v>
      </c>
      <c r="ED57" s="141" t="s">
        <v>1813</v>
      </c>
      <c r="EE57" s="141" t="s">
        <v>1813</v>
      </c>
      <c r="EF57" s="141" t="s">
        <v>1813</v>
      </c>
      <c r="EG57" s="141" t="s">
        <v>1813</v>
      </c>
      <c r="EH57" s="141"/>
      <c r="EI57" s="141" t="s">
        <v>1813</v>
      </c>
      <c r="EJ57" s="141" t="s">
        <v>1813</v>
      </c>
      <c r="EK57" s="141" t="s">
        <v>1813</v>
      </c>
      <c r="EL57" s="141" t="s">
        <v>1813</v>
      </c>
      <c r="EM57" s="141" t="s">
        <v>1813</v>
      </c>
      <c r="EN57" s="141" t="s">
        <v>1813</v>
      </c>
      <c r="EO57" s="141" t="s">
        <v>1813</v>
      </c>
      <c r="EP57" s="141" t="s">
        <v>1813</v>
      </c>
      <c r="EQ57" s="141" t="s">
        <v>1813</v>
      </c>
      <c r="ER57" s="141"/>
      <c r="ES57" s="141" t="s">
        <v>1813</v>
      </c>
      <c r="ET57" s="141" t="s">
        <v>1813</v>
      </c>
      <c r="EU57" s="141" t="s">
        <v>1813</v>
      </c>
      <c r="EV57" s="141" t="s">
        <v>1813</v>
      </c>
      <c r="EW57" s="141" t="s">
        <v>1813</v>
      </c>
      <c r="EX57" s="141" t="s">
        <v>1813</v>
      </c>
      <c r="EY57" s="141" t="s">
        <v>1813</v>
      </c>
      <c r="EZ57" s="141" t="s">
        <v>1813</v>
      </c>
      <c r="FA57" s="141" t="s">
        <v>1813</v>
      </c>
      <c r="FB57" s="141" t="s">
        <v>1813</v>
      </c>
      <c r="FC57" s="141"/>
      <c r="FD57" s="141" t="s">
        <v>1813</v>
      </c>
      <c r="FE57" s="141" t="s">
        <v>1813</v>
      </c>
      <c r="FF57" s="141" t="s">
        <v>1813</v>
      </c>
      <c r="FG57" s="141" t="s">
        <v>1813</v>
      </c>
      <c r="FH57" s="141" t="s">
        <v>1813</v>
      </c>
      <c r="FI57" s="141" t="s">
        <v>1813</v>
      </c>
      <c r="FJ57" s="141" t="s">
        <v>1813</v>
      </c>
      <c r="FK57" s="141"/>
      <c r="FL57" s="141" t="s">
        <v>1813</v>
      </c>
      <c r="FM57" s="141" t="s">
        <v>1813</v>
      </c>
      <c r="FN57" s="141" t="s">
        <v>1813</v>
      </c>
      <c r="FO57" s="141" t="s">
        <v>1813</v>
      </c>
      <c r="FP57" s="141" t="s">
        <v>1813</v>
      </c>
      <c r="FQ57" s="141" t="s">
        <v>1813</v>
      </c>
      <c r="FR57" s="141" t="s">
        <v>1813</v>
      </c>
      <c r="FS57" s="141" t="s">
        <v>1813</v>
      </c>
      <c r="FT57" s="141" t="s">
        <v>1813</v>
      </c>
      <c r="FU57" s="141"/>
      <c r="FV57" s="141" t="s">
        <v>1813</v>
      </c>
      <c r="FW57" s="141" t="s">
        <v>1813</v>
      </c>
      <c r="FX57" s="141" t="s">
        <v>1813</v>
      </c>
      <c r="FY57" s="141" t="s">
        <v>1813</v>
      </c>
      <c r="FZ57" s="141" t="s">
        <v>1813</v>
      </c>
      <c r="GA57" s="141" t="s">
        <v>1813</v>
      </c>
      <c r="GB57" s="141" t="s">
        <v>1813</v>
      </c>
      <c r="GC57" s="141" t="s">
        <v>1813</v>
      </c>
      <c r="GD57" s="141" t="s">
        <v>1813</v>
      </c>
      <c r="GE57" s="141" t="s">
        <v>1813</v>
      </c>
      <c r="GF57" s="141"/>
      <c r="GG57" s="141" t="s">
        <v>1814</v>
      </c>
      <c r="GH57" s="141" t="s">
        <v>1814</v>
      </c>
      <c r="GI57" s="141" t="s">
        <v>1814</v>
      </c>
      <c r="GJ57" s="141" t="s">
        <v>1814</v>
      </c>
      <c r="GK57" s="141" t="s">
        <v>1814</v>
      </c>
      <c r="GL57" s="141" t="s">
        <v>1814</v>
      </c>
      <c r="GM57" s="141" t="s">
        <v>1814</v>
      </c>
      <c r="GN57" s="141" t="s">
        <v>1814</v>
      </c>
      <c r="GO57" s="141"/>
      <c r="GP57" s="141" t="s">
        <v>1814</v>
      </c>
      <c r="GQ57" s="141" t="s">
        <v>1814</v>
      </c>
      <c r="GR57" s="141" t="s">
        <v>1814</v>
      </c>
      <c r="GS57" s="141" t="s">
        <v>1814</v>
      </c>
      <c r="GT57" s="141" t="s">
        <v>1814</v>
      </c>
      <c r="GU57" s="141" t="s">
        <v>1814</v>
      </c>
      <c r="GV57" s="141"/>
      <c r="GW57" s="141" t="s">
        <v>1814</v>
      </c>
      <c r="GX57" s="141" t="s">
        <v>1814</v>
      </c>
      <c r="GY57" s="141" t="s">
        <v>1814</v>
      </c>
      <c r="GZ57" s="141" t="s">
        <v>1814</v>
      </c>
      <c r="HA57" s="141" t="s">
        <v>1814</v>
      </c>
      <c r="HB57" s="141" t="s">
        <v>1814</v>
      </c>
      <c r="HC57" s="141" t="s">
        <v>1814</v>
      </c>
      <c r="HD57" s="141"/>
      <c r="HE57" s="141" t="s">
        <v>1814</v>
      </c>
      <c r="HF57" s="141" t="s">
        <v>1814</v>
      </c>
      <c r="HG57" s="141" t="s">
        <v>1814</v>
      </c>
      <c r="HH57" s="141" t="s">
        <v>1814</v>
      </c>
      <c r="HI57" s="141" t="s">
        <v>1814</v>
      </c>
      <c r="HJ57" s="141" t="s">
        <v>1814</v>
      </c>
      <c r="HK57" s="141" t="s">
        <v>1814</v>
      </c>
      <c r="HL57" s="141" t="s">
        <v>1814</v>
      </c>
      <c r="HM57" s="141"/>
      <c r="HN57" s="141" t="s">
        <v>1814</v>
      </c>
      <c r="HO57" s="141" t="s">
        <v>1814</v>
      </c>
      <c r="HP57" s="141" t="s">
        <v>1814</v>
      </c>
      <c r="HQ57" s="141" t="s">
        <v>1814</v>
      </c>
      <c r="HR57" s="141" t="s">
        <v>1814</v>
      </c>
      <c r="HS57" s="141" t="s">
        <v>1814</v>
      </c>
      <c r="HT57" s="141"/>
      <c r="HU57" s="141" t="s">
        <v>1814</v>
      </c>
      <c r="HV57" s="141" t="s">
        <v>1814</v>
      </c>
      <c r="HW57" s="141" t="s">
        <v>1814</v>
      </c>
      <c r="HX57" s="141" t="s">
        <v>1814</v>
      </c>
      <c r="HY57" s="141" t="s">
        <v>1814</v>
      </c>
      <c r="HZ57" s="141" t="s">
        <v>1814</v>
      </c>
      <c r="IA57" s="141" t="s">
        <v>1814</v>
      </c>
      <c r="IB57" s="141" t="s">
        <v>1814</v>
      </c>
      <c r="IC57" s="141" t="s">
        <v>1814</v>
      </c>
      <c r="ID57" s="141"/>
      <c r="IE57" s="141" t="s">
        <v>1814</v>
      </c>
      <c r="IF57" s="141" t="s">
        <v>1814</v>
      </c>
      <c r="IG57" s="141" t="s">
        <v>1814</v>
      </c>
      <c r="IH57" s="141" t="s">
        <v>1814</v>
      </c>
      <c r="II57" s="141" t="s">
        <v>1814</v>
      </c>
      <c r="IJ57" s="141" t="s">
        <v>1814</v>
      </c>
      <c r="IK57" s="141" t="s">
        <v>1814</v>
      </c>
      <c r="IL57" s="141" t="s">
        <v>1814</v>
      </c>
      <c r="IM57" s="141" t="s">
        <v>1814</v>
      </c>
      <c r="IN57" s="141" t="s">
        <v>1814</v>
      </c>
      <c r="IO57" s="141" t="s">
        <v>1814</v>
      </c>
      <c r="IP57" s="141" t="s">
        <v>1814</v>
      </c>
      <c r="IQ57" s="141"/>
      <c r="IR57" s="141" t="s">
        <v>142</v>
      </c>
      <c r="IS57" s="141" t="s">
        <v>142</v>
      </c>
      <c r="IT57" s="141" t="s">
        <v>142</v>
      </c>
      <c r="IU57" s="141"/>
      <c r="IV57" s="141" t="s">
        <v>142</v>
      </c>
      <c r="IW57" s="141" t="s">
        <v>142</v>
      </c>
      <c r="IX57" s="141"/>
      <c r="IY57" s="141" t="s">
        <v>142</v>
      </c>
      <c r="IZ57" s="141" t="s">
        <v>142</v>
      </c>
      <c r="JA57" s="141" t="s">
        <v>142</v>
      </c>
      <c r="JB57" s="141" t="s">
        <v>142</v>
      </c>
      <c r="JC57" s="141" t="s">
        <v>142</v>
      </c>
      <c r="JD57" s="141" t="s">
        <v>142</v>
      </c>
      <c r="JE57" s="141" t="s">
        <v>142</v>
      </c>
      <c r="JF57" s="141"/>
      <c r="JG57" s="141" t="s">
        <v>142</v>
      </c>
      <c r="JH57" s="141" t="s">
        <v>142</v>
      </c>
      <c r="JI57" s="141" t="s">
        <v>142</v>
      </c>
      <c r="JJ57" s="141" t="s">
        <v>142</v>
      </c>
      <c r="JK57" s="141" t="s">
        <v>142</v>
      </c>
      <c r="JL57" s="141"/>
      <c r="JM57" s="141" t="s">
        <v>142</v>
      </c>
      <c r="JN57" s="141" t="s">
        <v>142</v>
      </c>
      <c r="JO57" s="141" t="s">
        <v>142</v>
      </c>
      <c r="JP57" s="141"/>
      <c r="JQ57" s="141" t="s">
        <v>1815</v>
      </c>
      <c r="JR57" s="141" t="s">
        <v>1816</v>
      </c>
      <c r="JS57" s="141" t="s">
        <v>1817</v>
      </c>
      <c r="JT57" s="141" t="s">
        <v>1818</v>
      </c>
      <c r="JU57" s="141" t="s">
        <v>1819</v>
      </c>
      <c r="JV57" s="141" t="s">
        <v>1820</v>
      </c>
      <c r="JW57" s="141" t="s">
        <v>1821</v>
      </c>
      <c r="JX57" s="141" t="s">
        <v>1822</v>
      </c>
      <c r="JY57" s="137"/>
    </row>
    <row r="58" spans="1:285" s="147" customFormat="1" x14ac:dyDescent="0.2">
      <c r="A58" s="137" t="s">
        <v>1673</v>
      </c>
      <c r="B58" s="141" t="s">
        <v>1676</v>
      </c>
      <c r="C58" s="141" t="s">
        <v>1676</v>
      </c>
      <c r="D58" s="141" t="s">
        <v>1676</v>
      </c>
      <c r="E58" s="141" t="s">
        <v>1676</v>
      </c>
      <c r="F58" s="141" t="s">
        <v>1676</v>
      </c>
      <c r="G58" s="141" t="s">
        <v>1676</v>
      </c>
      <c r="H58" s="141" t="s">
        <v>1676</v>
      </c>
      <c r="I58" s="141" t="s">
        <v>1676</v>
      </c>
      <c r="J58" s="141" t="s">
        <v>1676</v>
      </c>
      <c r="K58" s="141" t="s">
        <v>1676</v>
      </c>
      <c r="L58" s="141" t="s">
        <v>1676</v>
      </c>
      <c r="M58" s="141"/>
      <c r="N58" s="141" t="s">
        <v>1676</v>
      </c>
      <c r="O58" s="141" t="s">
        <v>1676</v>
      </c>
      <c r="P58" s="141" t="s">
        <v>1676</v>
      </c>
      <c r="Q58" s="141" t="s">
        <v>1676</v>
      </c>
      <c r="R58" s="141" t="s">
        <v>1676</v>
      </c>
      <c r="S58" s="141" t="s">
        <v>1676</v>
      </c>
      <c r="T58" s="141" t="s">
        <v>1676</v>
      </c>
      <c r="U58" s="141" t="s">
        <v>1676</v>
      </c>
      <c r="V58" s="141" t="s">
        <v>1676</v>
      </c>
      <c r="W58" s="141" t="s">
        <v>1676</v>
      </c>
      <c r="X58" s="141" t="s">
        <v>1676</v>
      </c>
      <c r="Y58" s="141" t="s">
        <v>1676</v>
      </c>
      <c r="Z58" s="141" t="s">
        <v>1676</v>
      </c>
      <c r="AA58" s="141"/>
      <c r="AB58" s="141" t="s">
        <v>1823</v>
      </c>
      <c r="AC58" s="141" t="s">
        <v>1823</v>
      </c>
      <c r="AD58" s="141" t="s">
        <v>1823</v>
      </c>
      <c r="AE58" s="141" t="s">
        <v>1823</v>
      </c>
      <c r="AF58" s="141"/>
      <c r="AG58" s="141" t="s">
        <v>1676</v>
      </c>
      <c r="AH58" s="141" t="s">
        <v>1676</v>
      </c>
      <c r="AI58" s="141" t="s">
        <v>1676</v>
      </c>
      <c r="AJ58" s="141" t="s">
        <v>1676</v>
      </c>
      <c r="AK58" s="141" t="s">
        <v>1676</v>
      </c>
      <c r="AL58" s="141" t="s">
        <v>1676</v>
      </c>
      <c r="AM58" s="141" t="s">
        <v>1676</v>
      </c>
      <c r="AN58" s="141" t="s">
        <v>1676</v>
      </c>
      <c r="AO58" s="141" t="s">
        <v>1676</v>
      </c>
      <c r="AP58" s="141" t="s">
        <v>1676</v>
      </c>
      <c r="AQ58" s="141" t="s">
        <v>1676</v>
      </c>
      <c r="AR58" s="141" t="s">
        <v>1676</v>
      </c>
      <c r="AS58" s="141" t="s">
        <v>1676</v>
      </c>
      <c r="AT58" s="141" t="s">
        <v>1676</v>
      </c>
      <c r="AU58" s="141" t="s">
        <v>1676</v>
      </c>
      <c r="AV58" s="141" t="s">
        <v>1676</v>
      </c>
      <c r="AW58" s="141" t="s">
        <v>1676</v>
      </c>
      <c r="AX58" s="141" t="s">
        <v>1676</v>
      </c>
      <c r="AY58" s="141" t="s">
        <v>1676</v>
      </c>
      <c r="AZ58" s="141" t="s">
        <v>1676</v>
      </c>
      <c r="BA58" s="141" t="s">
        <v>1676</v>
      </c>
      <c r="BB58" s="141" t="s">
        <v>1676</v>
      </c>
      <c r="BC58" s="141" t="s">
        <v>1676</v>
      </c>
      <c r="BD58" s="141" t="s">
        <v>1676</v>
      </c>
      <c r="BE58" s="141" t="s">
        <v>1676</v>
      </c>
      <c r="BF58" s="141" t="s">
        <v>1676</v>
      </c>
      <c r="BG58" s="141" t="s">
        <v>1676</v>
      </c>
      <c r="BH58" s="141" t="s">
        <v>1676</v>
      </c>
      <c r="BI58" s="141" t="s">
        <v>1676</v>
      </c>
      <c r="BJ58" s="141" t="s">
        <v>1676</v>
      </c>
      <c r="BK58" s="141" t="s">
        <v>1676</v>
      </c>
      <c r="BL58" s="141" t="s">
        <v>1676</v>
      </c>
      <c r="BM58" s="141"/>
      <c r="BN58" s="141" t="s">
        <v>1676</v>
      </c>
      <c r="BO58" s="141" t="s">
        <v>1676</v>
      </c>
      <c r="BP58" s="141" t="s">
        <v>1676</v>
      </c>
      <c r="BQ58" s="141" t="s">
        <v>1676</v>
      </c>
      <c r="BR58" s="141" t="s">
        <v>1676</v>
      </c>
      <c r="BS58" s="141" t="s">
        <v>1676</v>
      </c>
      <c r="BT58" s="141" t="s">
        <v>1676</v>
      </c>
      <c r="BU58" s="141" t="s">
        <v>1676</v>
      </c>
      <c r="BV58" s="141"/>
      <c r="BW58" s="141" t="s">
        <v>1676</v>
      </c>
      <c r="BX58" s="141" t="s">
        <v>1676</v>
      </c>
      <c r="BY58" s="141" t="s">
        <v>1676</v>
      </c>
      <c r="BZ58" s="141" t="s">
        <v>1676</v>
      </c>
      <c r="CA58" s="141" t="s">
        <v>1676</v>
      </c>
      <c r="CB58" s="141" t="s">
        <v>1676</v>
      </c>
      <c r="CC58" s="141" t="s">
        <v>1676</v>
      </c>
      <c r="CD58" s="141"/>
      <c r="CE58" s="141" t="s">
        <v>1674</v>
      </c>
      <c r="CF58" s="141" t="s">
        <v>1674</v>
      </c>
      <c r="CG58" s="141" t="s">
        <v>1674</v>
      </c>
      <c r="CH58" s="141" t="s">
        <v>1674</v>
      </c>
      <c r="CI58" s="141" t="s">
        <v>1674</v>
      </c>
      <c r="CJ58" s="141" t="s">
        <v>1674</v>
      </c>
      <c r="CK58" s="141" t="s">
        <v>1674</v>
      </c>
      <c r="CL58" s="141" t="s">
        <v>1674</v>
      </c>
      <c r="CM58" s="141" t="s">
        <v>1674</v>
      </c>
      <c r="CN58" s="141" t="s">
        <v>1674</v>
      </c>
      <c r="CO58" s="141" t="s">
        <v>1674</v>
      </c>
      <c r="CP58" s="141" t="s">
        <v>1674</v>
      </c>
      <c r="CQ58" s="141" t="s">
        <v>1674</v>
      </c>
      <c r="CR58" s="141" t="s">
        <v>1674</v>
      </c>
      <c r="CS58" s="141" t="s">
        <v>1674</v>
      </c>
      <c r="CT58" s="141" t="s">
        <v>1674</v>
      </c>
      <c r="CU58" s="141" t="s">
        <v>1674</v>
      </c>
      <c r="CV58" s="141" t="s">
        <v>1674</v>
      </c>
      <c r="CW58" s="141" t="s">
        <v>1674</v>
      </c>
      <c r="CX58" s="141"/>
      <c r="CY58" s="141" t="s">
        <v>1676</v>
      </c>
      <c r="CZ58" s="141" t="s">
        <v>1676</v>
      </c>
      <c r="DA58" s="141" t="s">
        <v>1676</v>
      </c>
      <c r="DB58" s="141" t="s">
        <v>1676</v>
      </c>
      <c r="DC58" s="141" t="s">
        <v>1676</v>
      </c>
      <c r="DD58" s="141" t="s">
        <v>1676</v>
      </c>
      <c r="DE58" s="141" t="s">
        <v>1676</v>
      </c>
      <c r="DF58" s="141" t="s">
        <v>1676</v>
      </c>
      <c r="DG58" s="141" t="s">
        <v>1676</v>
      </c>
      <c r="DH58" s="141" t="s">
        <v>1676</v>
      </c>
      <c r="DI58" s="141" t="s">
        <v>1676</v>
      </c>
      <c r="DJ58" s="141" t="s">
        <v>1676</v>
      </c>
      <c r="DK58" s="141"/>
      <c r="DL58" s="141" t="s">
        <v>1824</v>
      </c>
      <c r="DM58" s="141" t="s">
        <v>1824</v>
      </c>
      <c r="DN58" s="141" t="s">
        <v>1824</v>
      </c>
      <c r="DO58" s="141" t="s">
        <v>1824</v>
      </c>
      <c r="DP58" s="141" t="s">
        <v>1824</v>
      </c>
      <c r="DQ58" s="141" t="s">
        <v>1824</v>
      </c>
      <c r="DR58" s="141" t="s">
        <v>1824</v>
      </c>
      <c r="DS58" s="141"/>
      <c r="DT58" s="141" t="s">
        <v>1824</v>
      </c>
      <c r="DU58" s="141" t="s">
        <v>1824</v>
      </c>
      <c r="DV58" s="141" t="s">
        <v>1824</v>
      </c>
      <c r="DW58" s="141" t="s">
        <v>1824</v>
      </c>
      <c r="DX58" s="141" t="s">
        <v>1824</v>
      </c>
      <c r="DY58" s="141" t="s">
        <v>1824</v>
      </c>
      <c r="DZ58" s="141" t="s">
        <v>1824</v>
      </c>
      <c r="EA58" s="141" t="s">
        <v>1824</v>
      </c>
      <c r="EB58" s="141" t="s">
        <v>1824</v>
      </c>
      <c r="EC58" s="141" t="s">
        <v>1824</v>
      </c>
      <c r="ED58" s="141" t="s">
        <v>1824</v>
      </c>
      <c r="EE58" s="141" t="s">
        <v>1824</v>
      </c>
      <c r="EF58" s="141" t="s">
        <v>1824</v>
      </c>
      <c r="EG58" s="141" t="s">
        <v>1824</v>
      </c>
      <c r="EH58" s="141"/>
      <c r="EI58" s="141" t="s">
        <v>1824</v>
      </c>
      <c r="EJ58" s="141" t="s">
        <v>1824</v>
      </c>
      <c r="EK58" s="141" t="s">
        <v>1824</v>
      </c>
      <c r="EL58" s="141" t="s">
        <v>1824</v>
      </c>
      <c r="EM58" s="141" t="s">
        <v>1824</v>
      </c>
      <c r="EN58" s="141" t="s">
        <v>1824</v>
      </c>
      <c r="EO58" s="141" t="s">
        <v>1824</v>
      </c>
      <c r="EP58" s="141" t="s">
        <v>1824</v>
      </c>
      <c r="EQ58" s="141" t="s">
        <v>1824</v>
      </c>
      <c r="ER58" s="141"/>
      <c r="ES58" s="141" t="s">
        <v>1825</v>
      </c>
      <c r="ET58" s="141" t="s">
        <v>1825</v>
      </c>
      <c r="EU58" s="141" t="s">
        <v>1825</v>
      </c>
      <c r="EV58" s="141" t="s">
        <v>1825</v>
      </c>
      <c r="EW58" s="141" t="s">
        <v>1825</v>
      </c>
      <c r="EX58" s="141" t="s">
        <v>1825</v>
      </c>
      <c r="EY58" s="141" t="s">
        <v>1825</v>
      </c>
      <c r="EZ58" s="141" t="s">
        <v>1825</v>
      </c>
      <c r="FA58" s="141" t="s">
        <v>1825</v>
      </c>
      <c r="FB58" s="141" t="s">
        <v>1825</v>
      </c>
      <c r="FC58" s="141"/>
      <c r="FD58" s="141" t="s">
        <v>1826</v>
      </c>
      <c r="FE58" s="141" t="s">
        <v>1826</v>
      </c>
      <c r="FF58" s="141" t="s">
        <v>1826</v>
      </c>
      <c r="FG58" s="141" t="s">
        <v>1826</v>
      </c>
      <c r="FH58" s="141" t="s">
        <v>1826</v>
      </c>
      <c r="FI58" s="141" t="s">
        <v>1826</v>
      </c>
      <c r="FJ58" s="141" t="s">
        <v>1826</v>
      </c>
      <c r="FK58" s="141"/>
      <c r="FL58" s="141" t="s">
        <v>1826</v>
      </c>
      <c r="FM58" s="141" t="s">
        <v>1826</v>
      </c>
      <c r="FN58" s="141" t="s">
        <v>1826</v>
      </c>
      <c r="FO58" s="141" t="s">
        <v>1826</v>
      </c>
      <c r="FP58" s="141" t="s">
        <v>1826</v>
      </c>
      <c r="FQ58" s="141" t="s">
        <v>1826</v>
      </c>
      <c r="FR58" s="141" t="s">
        <v>1826</v>
      </c>
      <c r="FS58" s="141" t="s">
        <v>1826</v>
      </c>
      <c r="FT58" s="141" t="s">
        <v>1826</v>
      </c>
      <c r="FU58" s="141"/>
      <c r="FV58" s="141" t="s">
        <v>1827</v>
      </c>
      <c r="FW58" s="141" t="s">
        <v>1827</v>
      </c>
      <c r="FX58" s="141" t="s">
        <v>1827</v>
      </c>
      <c r="FY58" s="141" t="s">
        <v>1827</v>
      </c>
      <c r="FZ58" s="141" t="s">
        <v>1827</v>
      </c>
      <c r="GA58" s="141" t="s">
        <v>1827</v>
      </c>
      <c r="GB58" s="141" t="s">
        <v>1827</v>
      </c>
      <c r="GC58" s="141" t="s">
        <v>1827</v>
      </c>
      <c r="GD58" s="141" t="s">
        <v>1827</v>
      </c>
      <c r="GE58" s="141" t="s">
        <v>1827</v>
      </c>
      <c r="GF58" s="141"/>
      <c r="GG58" s="141" t="s">
        <v>1824</v>
      </c>
      <c r="GH58" s="141" t="s">
        <v>1824</v>
      </c>
      <c r="GI58" s="141" t="s">
        <v>1824</v>
      </c>
      <c r="GJ58" s="141" t="s">
        <v>1824</v>
      </c>
      <c r="GK58" s="141" t="s">
        <v>1824</v>
      </c>
      <c r="GL58" s="141" t="s">
        <v>1824</v>
      </c>
      <c r="GM58" s="141" t="s">
        <v>1824</v>
      </c>
      <c r="GN58" s="141" t="s">
        <v>1824</v>
      </c>
      <c r="GO58" s="141"/>
      <c r="GP58" s="141" t="s">
        <v>1823</v>
      </c>
      <c r="GQ58" s="141" t="s">
        <v>1823</v>
      </c>
      <c r="GR58" s="141" t="s">
        <v>1823</v>
      </c>
      <c r="GS58" s="141" t="s">
        <v>1823</v>
      </c>
      <c r="GT58" s="141" t="s">
        <v>1823</v>
      </c>
      <c r="GU58" s="141" t="s">
        <v>1823</v>
      </c>
      <c r="GV58" s="141"/>
      <c r="GW58" s="141" t="s">
        <v>1823</v>
      </c>
      <c r="GX58" s="141" t="s">
        <v>1823</v>
      </c>
      <c r="GY58" s="141" t="s">
        <v>1823</v>
      </c>
      <c r="GZ58" s="141" t="s">
        <v>1823</v>
      </c>
      <c r="HA58" s="141" t="s">
        <v>1823</v>
      </c>
      <c r="HB58" s="141" t="s">
        <v>1823</v>
      </c>
      <c r="HC58" s="141" t="s">
        <v>1823</v>
      </c>
      <c r="HD58" s="141"/>
      <c r="HE58" s="141" t="s">
        <v>1826</v>
      </c>
      <c r="HF58" s="141" t="s">
        <v>1826</v>
      </c>
      <c r="HG58" s="141" t="s">
        <v>1826</v>
      </c>
      <c r="HH58" s="141" t="s">
        <v>1826</v>
      </c>
      <c r="HI58" s="141" t="s">
        <v>1826</v>
      </c>
      <c r="HJ58" s="141" t="s">
        <v>1826</v>
      </c>
      <c r="HK58" s="141" t="s">
        <v>1826</v>
      </c>
      <c r="HL58" s="141" t="s">
        <v>1826</v>
      </c>
      <c r="HM58" s="141"/>
      <c r="HN58" s="141" t="s">
        <v>1826</v>
      </c>
      <c r="HO58" s="141" t="s">
        <v>1826</v>
      </c>
      <c r="HP58" s="141" t="s">
        <v>1826</v>
      </c>
      <c r="HQ58" s="141" t="s">
        <v>1826</v>
      </c>
      <c r="HR58" s="141" t="s">
        <v>1826</v>
      </c>
      <c r="HS58" s="141" t="s">
        <v>1826</v>
      </c>
      <c r="HT58" s="141"/>
      <c r="HU58" s="141" t="s">
        <v>1828</v>
      </c>
      <c r="HV58" s="141" t="s">
        <v>1828</v>
      </c>
      <c r="HW58" s="141" t="s">
        <v>1828</v>
      </c>
      <c r="HX58" s="141" t="s">
        <v>1828</v>
      </c>
      <c r="HY58" s="141" t="s">
        <v>1828</v>
      </c>
      <c r="HZ58" s="141" t="s">
        <v>1828</v>
      </c>
      <c r="IA58" s="141" t="s">
        <v>1828</v>
      </c>
      <c r="IB58" s="141" t="s">
        <v>1828</v>
      </c>
      <c r="IC58" s="141" t="s">
        <v>1828</v>
      </c>
      <c r="ID58" s="141"/>
      <c r="IE58" s="141" t="s">
        <v>1828</v>
      </c>
      <c r="IF58" s="141" t="s">
        <v>1828</v>
      </c>
      <c r="IG58" s="141" t="s">
        <v>1828</v>
      </c>
      <c r="IH58" s="141" t="s">
        <v>1828</v>
      </c>
      <c r="II58" s="141" t="s">
        <v>1828</v>
      </c>
      <c r="IJ58" s="141" t="s">
        <v>1828</v>
      </c>
      <c r="IK58" s="141" t="s">
        <v>1828</v>
      </c>
      <c r="IL58" s="141" t="s">
        <v>1828</v>
      </c>
      <c r="IM58" s="141" t="s">
        <v>1828</v>
      </c>
      <c r="IN58" s="141" t="s">
        <v>1828</v>
      </c>
      <c r="IO58" s="141" t="s">
        <v>1828</v>
      </c>
      <c r="IP58" s="141" t="s">
        <v>1828</v>
      </c>
      <c r="IQ58" s="141"/>
      <c r="IR58" s="141" t="s">
        <v>1676</v>
      </c>
      <c r="IS58" s="141" t="s">
        <v>1676</v>
      </c>
      <c r="IT58" s="141" t="s">
        <v>1676</v>
      </c>
      <c r="IU58" s="141"/>
      <c r="IV58" s="141" t="s">
        <v>1676</v>
      </c>
      <c r="IW58" s="141" t="s">
        <v>1676</v>
      </c>
      <c r="IX58" s="141"/>
      <c r="IY58" s="141" t="s">
        <v>1676</v>
      </c>
      <c r="IZ58" s="141" t="s">
        <v>1676</v>
      </c>
      <c r="JA58" s="141" t="s">
        <v>1676</v>
      </c>
      <c r="JB58" s="141" t="s">
        <v>1676</v>
      </c>
      <c r="JC58" s="141" t="s">
        <v>1676</v>
      </c>
      <c r="JD58" s="141" t="s">
        <v>1676</v>
      </c>
      <c r="JE58" s="141" t="s">
        <v>1676</v>
      </c>
      <c r="JF58" s="141"/>
      <c r="JG58" s="141" t="s">
        <v>1829</v>
      </c>
      <c r="JH58" s="141" t="s">
        <v>1829</v>
      </c>
      <c r="JI58" s="141" t="s">
        <v>1829</v>
      </c>
      <c r="JJ58" s="141" t="s">
        <v>1829</v>
      </c>
      <c r="JK58" s="141" t="s">
        <v>1829</v>
      </c>
      <c r="JL58" s="141"/>
      <c r="JM58" s="141" t="s">
        <v>1830</v>
      </c>
      <c r="JN58" s="141" t="s">
        <v>1830</v>
      </c>
      <c r="JO58" s="141" t="s">
        <v>1830</v>
      </c>
      <c r="JP58" s="141"/>
      <c r="JQ58" s="141" t="s">
        <v>1830</v>
      </c>
      <c r="JR58" s="141" t="s">
        <v>1830</v>
      </c>
      <c r="JS58" s="141" t="s">
        <v>1830</v>
      </c>
      <c r="JT58" s="141" t="s">
        <v>1830</v>
      </c>
      <c r="JU58" s="141" t="s">
        <v>1830</v>
      </c>
      <c r="JV58" s="141" t="s">
        <v>1830</v>
      </c>
      <c r="JW58" s="141" t="s">
        <v>1830</v>
      </c>
      <c r="JX58" s="141" t="s">
        <v>1830</v>
      </c>
      <c r="JY58" s="137"/>
    </row>
    <row r="59" spans="1:285" s="147" customFormat="1" x14ac:dyDescent="0.2">
      <c r="A59" s="137" t="s">
        <v>1831</v>
      </c>
      <c r="B59" s="141" t="s">
        <v>1653</v>
      </c>
      <c r="C59" s="141" t="s">
        <v>1653</v>
      </c>
      <c r="D59" s="141" t="s">
        <v>1653</v>
      </c>
      <c r="E59" s="141" t="s">
        <v>1653</v>
      </c>
      <c r="F59" s="141" t="s">
        <v>1653</v>
      </c>
      <c r="G59" s="141" t="s">
        <v>1653</v>
      </c>
      <c r="H59" s="141" t="s">
        <v>1653</v>
      </c>
      <c r="I59" s="141" t="s">
        <v>1653</v>
      </c>
      <c r="J59" s="141" t="s">
        <v>1653</v>
      </c>
      <c r="K59" s="141" t="s">
        <v>1653</v>
      </c>
      <c r="L59" s="141" t="s">
        <v>1653</v>
      </c>
      <c r="M59" s="141"/>
      <c r="N59" s="141" t="s">
        <v>1653</v>
      </c>
      <c r="O59" s="141" t="s">
        <v>1653</v>
      </c>
      <c r="P59" s="141" t="s">
        <v>1653</v>
      </c>
      <c r="Q59" s="141" t="s">
        <v>1653</v>
      </c>
      <c r="R59" s="141" t="s">
        <v>1653</v>
      </c>
      <c r="S59" s="141" t="s">
        <v>1653</v>
      </c>
      <c r="T59" s="141" t="s">
        <v>1653</v>
      </c>
      <c r="U59" s="141" t="s">
        <v>1653</v>
      </c>
      <c r="V59" s="141" t="s">
        <v>1653</v>
      </c>
      <c r="W59" s="141" t="s">
        <v>1653</v>
      </c>
      <c r="X59" s="141" t="s">
        <v>1653</v>
      </c>
      <c r="Y59" s="141" t="s">
        <v>1653</v>
      </c>
      <c r="Z59" s="141" t="s">
        <v>1653</v>
      </c>
      <c r="AA59" s="141"/>
      <c r="AB59" s="141" t="s">
        <v>1653</v>
      </c>
      <c r="AC59" s="141" t="s">
        <v>1653</v>
      </c>
      <c r="AD59" s="141" t="s">
        <v>1653</v>
      </c>
      <c r="AE59" s="141" t="s">
        <v>1653</v>
      </c>
      <c r="AF59" s="141"/>
      <c r="AG59" s="141" t="s">
        <v>1653</v>
      </c>
      <c r="AH59" s="141" t="s">
        <v>1653</v>
      </c>
      <c r="AI59" s="141" t="s">
        <v>1653</v>
      </c>
      <c r="AJ59" s="141" t="s">
        <v>1653</v>
      </c>
      <c r="AK59" s="141" t="s">
        <v>1653</v>
      </c>
      <c r="AL59" s="141" t="s">
        <v>1653</v>
      </c>
      <c r="AM59" s="141" t="s">
        <v>1653</v>
      </c>
      <c r="AN59" s="141" t="s">
        <v>1653</v>
      </c>
      <c r="AO59" s="141" t="s">
        <v>1653</v>
      </c>
      <c r="AP59" s="141" t="s">
        <v>1653</v>
      </c>
      <c r="AQ59" s="141" t="s">
        <v>1653</v>
      </c>
      <c r="AR59" s="141" t="s">
        <v>1653</v>
      </c>
      <c r="AS59" s="141" t="s">
        <v>1653</v>
      </c>
      <c r="AT59" s="141" t="s">
        <v>1653</v>
      </c>
      <c r="AU59" s="141" t="s">
        <v>1653</v>
      </c>
      <c r="AV59" s="141" t="s">
        <v>1653</v>
      </c>
      <c r="AW59" s="141" t="s">
        <v>1653</v>
      </c>
      <c r="AX59" s="141" t="s">
        <v>1653</v>
      </c>
      <c r="AY59" s="141" t="s">
        <v>1653</v>
      </c>
      <c r="AZ59" s="141" t="s">
        <v>1653</v>
      </c>
      <c r="BA59" s="141" t="s">
        <v>1653</v>
      </c>
      <c r="BB59" s="141" t="s">
        <v>1653</v>
      </c>
      <c r="BC59" s="141" t="s">
        <v>1653</v>
      </c>
      <c r="BD59" s="141" t="s">
        <v>1653</v>
      </c>
      <c r="BE59" s="141" t="s">
        <v>1653</v>
      </c>
      <c r="BF59" s="141" t="s">
        <v>1653</v>
      </c>
      <c r="BG59" s="141" t="s">
        <v>1653</v>
      </c>
      <c r="BH59" s="141" t="s">
        <v>1653</v>
      </c>
      <c r="BI59" s="141" t="s">
        <v>1653</v>
      </c>
      <c r="BJ59" s="141" t="s">
        <v>1653</v>
      </c>
      <c r="BK59" s="141" t="s">
        <v>1653</v>
      </c>
      <c r="BL59" s="141" t="s">
        <v>1653</v>
      </c>
      <c r="BM59" s="141"/>
      <c r="BN59" s="141" t="s">
        <v>1653</v>
      </c>
      <c r="BO59" s="141" t="s">
        <v>1653</v>
      </c>
      <c r="BP59" s="141" t="s">
        <v>1653</v>
      </c>
      <c r="BQ59" s="141" t="s">
        <v>1653</v>
      </c>
      <c r="BR59" s="141" t="s">
        <v>1653</v>
      </c>
      <c r="BS59" s="141" t="s">
        <v>1653</v>
      </c>
      <c r="BT59" s="141" t="s">
        <v>1653</v>
      </c>
      <c r="BU59" s="141" t="s">
        <v>1653</v>
      </c>
      <c r="BV59" s="141"/>
      <c r="BW59" s="141" t="s">
        <v>1653</v>
      </c>
      <c r="BX59" s="141" t="s">
        <v>1653</v>
      </c>
      <c r="BY59" s="141" t="s">
        <v>1653</v>
      </c>
      <c r="BZ59" s="141" t="s">
        <v>1653</v>
      </c>
      <c r="CA59" s="141" t="s">
        <v>1653</v>
      </c>
      <c r="CB59" s="141" t="s">
        <v>1653</v>
      </c>
      <c r="CC59" s="141" t="s">
        <v>1653</v>
      </c>
      <c r="CD59" s="141"/>
      <c r="CE59" s="141" t="s">
        <v>1653</v>
      </c>
      <c r="CF59" s="141" t="s">
        <v>1653</v>
      </c>
      <c r="CG59" s="141" t="s">
        <v>1653</v>
      </c>
      <c r="CH59" s="141" t="s">
        <v>1653</v>
      </c>
      <c r="CI59" s="141" t="s">
        <v>1653</v>
      </c>
      <c r="CJ59" s="141" t="s">
        <v>1653</v>
      </c>
      <c r="CK59" s="141" t="s">
        <v>1653</v>
      </c>
      <c r="CL59" s="141" t="s">
        <v>1653</v>
      </c>
      <c r="CM59" s="141" t="s">
        <v>1653</v>
      </c>
      <c r="CN59" s="141" t="s">
        <v>1653</v>
      </c>
      <c r="CO59" s="141" t="s">
        <v>1653</v>
      </c>
      <c r="CP59" s="141" t="s">
        <v>1653</v>
      </c>
      <c r="CQ59" s="141" t="s">
        <v>1653</v>
      </c>
      <c r="CR59" s="141" t="s">
        <v>1653</v>
      </c>
      <c r="CS59" s="141" t="s">
        <v>1653</v>
      </c>
      <c r="CT59" s="141" t="s">
        <v>1653</v>
      </c>
      <c r="CU59" s="141" t="s">
        <v>1653</v>
      </c>
      <c r="CV59" s="141" t="s">
        <v>1653</v>
      </c>
      <c r="CW59" s="141" t="s">
        <v>1653</v>
      </c>
      <c r="CX59" s="141"/>
      <c r="CY59" s="141" t="s">
        <v>1653</v>
      </c>
      <c r="CZ59" s="141" t="s">
        <v>1653</v>
      </c>
      <c r="DA59" s="141" t="s">
        <v>1653</v>
      </c>
      <c r="DB59" s="141" t="s">
        <v>1653</v>
      </c>
      <c r="DC59" s="141" t="s">
        <v>1653</v>
      </c>
      <c r="DD59" s="141" t="s">
        <v>1653</v>
      </c>
      <c r="DE59" s="141" t="s">
        <v>1653</v>
      </c>
      <c r="DF59" s="141" t="s">
        <v>1653</v>
      </c>
      <c r="DG59" s="141" t="s">
        <v>1653</v>
      </c>
      <c r="DH59" s="141" t="s">
        <v>1653</v>
      </c>
      <c r="DI59" s="141" t="s">
        <v>1653</v>
      </c>
      <c r="DJ59" s="141" t="s">
        <v>1653</v>
      </c>
      <c r="DK59" s="141"/>
      <c r="DL59" s="141" t="s">
        <v>1653</v>
      </c>
      <c r="DM59" s="141" t="s">
        <v>1653</v>
      </c>
      <c r="DN59" s="141" t="s">
        <v>1653</v>
      </c>
      <c r="DO59" s="141" t="s">
        <v>1653</v>
      </c>
      <c r="DP59" s="141" t="s">
        <v>1653</v>
      </c>
      <c r="DQ59" s="141" t="s">
        <v>1653</v>
      </c>
      <c r="DR59" s="141" t="s">
        <v>1653</v>
      </c>
      <c r="DS59" s="141"/>
      <c r="DT59" s="141" t="s">
        <v>1653</v>
      </c>
      <c r="DU59" s="141" t="s">
        <v>1653</v>
      </c>
      <c r="DV59" s="141" t="s">
        <v>1653</v>
      </c>
      <c r="DW59" s="141" t="s">
        <v>1653</v>
      </c>
      <c r="DX59" s="141" t="s">
        <v>1653</v>
      </c>
      <c r="DY59" s="141" t="s">
        <v>1653</v>
      </c>
      <c r="DZ59" s="141" t="s">
        <v>1653</v>
      </c>
      <c r="EA59" s="141" t="s">
        <v>1653</v>
      </c>
      <c r="EB59" s="141" t="s">
        <v>1653</v>
      </c>
      <c r="EC59" s="141" t="s">
        <v>1653</v>
      </c>
      <c r="ED59" s="141" t="s">
        <v>1653</v>
      </c>
      <c r="EE59" s="141" t="s">
        <v>1653</v>
      </c>
      <c r="EF59" s="141" t="s">
        <v>1653</v>
      </c>
      <c r="EG59" s="141" t="s">
        <v>1653</v>
      </c>
      <c r="EH59" s="141"/>
      <c r="EI59" s="141" t="s">
        <v>1653</v>
      </c>
      <c r="EJ59" s="141" t="s">
        <v>1653</v>
      </c>
      <c r="EK59" s="141" t="s">
        <v>1653</v>
      </c>
      <c r="EL59" s="141" t="s">
        <v>1653</v>
      </c>
      <c r="EM59" s="141" t="s">
        <v>1653</v>
      </c>
      <c r="EN59" s="141" t="s">
        <v>1653</v>
      </c>
      <c r="EO59" s="141" t="s">
        <v>1653</v>
      </c>
      <c r="EP59" s="141" t="s">
        <v>1653</v>
      </c>
      <c r="EQ59" s="141" t="s">
        <v>1653</v>
      </c>
      <c r="ER59" s="141"/>
      <c r="ES59" s="141" t="s">
        <v>1653</v>
      </c>
      <c r="ET59" s="141" t="s">
        <v>1653</v>
      </c>
      <c r="EU59" s="141" t="s">
        <v>1653</v>
      </c>
      <c r="EV59" s="141" t="s">
        <v>1653</v>
      </c>
      <c r="EW59" s="141" t="s">
        <v>1653</v>
      </c>
      <c r="EX59" s="141" t="s">
        <v>1653</v>
      </c>
      <c r="EY59" s="141" t="s">
        <v>1653</v>
      </c>
      <c r="EZ59" s="141" t="s">
        <v>1653</v>
      </c>
      <c r="FA59" s="141" t="s">
        <v>1653</v>
      </c>
      <c r="FB59" s="141" t="s">
        <v>1653</v>
      </c>
      <c r="FC59" s="141"/>
      <c r="FD59" s="137" t="s">
        <v>1653</v>
      </c>
      <c r="FE59" s="137" t="s">
        <v>1653</v>
      </c>
      <c r="FF59" s="137" t="s">
        <v>1653</v>
      </c>
      <c r="FG59" s="137" t="s">
        <v>1653</v>
      </c>
      <c r="FH59" s="137" t="s">
        <v>1653</v>
      </c>
      <c r="FI59" s="137" t="s">
        <v>1653</v>
      </c>
      <c r="FJ59" s="137" t="s">
        <v>1653</v>
      </c>
      <c r="FK59" s="137"/>
      <c r="FL59" s="137" t="s">
        <v>1653</v>
      </c>
      <c r="FM59" s="137" t="s">
        <v>1653</v>
      </c>
      <c r="FN59" s="137" t="s">
        <v>1653</v>
      </c>
      <c r="FO59" s="137" t="s">
        <v>1653</v>
      </c>
      <c r="FP59" s="137" t="s">
        <v>1653</v>
      </c>
      <c r="FQ59" s="137" t="s">
        <v>1653</v>
      </c>
      <c r="FR59" s="137" t="s">
        <v>1653</v>
      </c>
      <c r="FS59" s="137" t="s">
        <v>1653</v>
      </c>
      <c r="FT59" s="137" t="s">
        <v>1653</v>
      </c>
      <c r="FU59" s="137"/>
      <c r="FV59" s="137" t="s">
        <v>1653</v>
      </c>
      <c r="FW59" s="137" t="s">
        <v>1653</v>
      </c>
      <c r="FX59" s="137" t="s">
        <v>1653</v>
      </c>
      <c r="FY59" s="137" t="s">
        <v>1653</v>
      </c>
      <c r="FZ59" s="137" t="s">
        <v>1653</v>
      </c>
      <c r="GA59" s="137" t="s">
        <v>1653</v>
      </c>
      <c r="GB59" s="137" t="s">
        <v>1653</v>
      </c>
      <c r="GC59" s="137" t="s">
        <v>1653</v>
      </c>
      <c r="GD59" s="137" t="s">
        <v>1653</v>
      </c>
      <c r="GE59" s="137" t="s">
        <v>1653</v>
      </c>
      <c r="GF59" s="137"/>
      <c r="GG59" s="137" t="s">
        <v>1653</v>
      </c>
      <c r="GH59" s="137" t="s">
        <v>1653</v>
      </c>
      <c r="GI59" s="137" t="s">
        <v>1653</v>
      </c>
      <c r="GJ59" s="137" t="s">
        <v>1653</v>
      </c>
      <c r="GK59" s="137" t="s">
        <v>1653</v>
      </c>
      <c r="GL59" s="137" t="s">
        <v>1653</v>
      </c>
      <c r="GM59" s="137" t="s">
        <v>1653</v>
      </c>
      <c r="GN59" s="137" t="s">
        <v>1653</v>
      </c>
      <c r="GO59" s="137"/>
      <c r="GP59" s="137" t="s">
        <v>1653</v>
      </c>
      <c r="GQ59" s="137" t="s">
        <v>1653</v>
      </c>
      <c r="GR59" s="137" t="s">
        <v>1653</v>
      </c>
      <c r="GS59" s="137" t="s">
        <v>1653</v>
      </c>
      <c r="GT59" s="137" t="s">
        <v>1653</v>
      </c>
      <c r="GU59" s="137" t="s">
        <v>1653</v>
      </c>
      <c r="GV59" s="137"/>
      <c r="GW59" s="137" t="s">
        <v>1653</v>
      </c>
      <c r="GX59" s="137" t="s">
        <v>1653</v>
      </c>
      <c r="GY59" s="137" t="s">
        <v>1653</v>
      </c>
      <c r="GZ59" s="137" t="s">
        <v>1653</v>
      </c>
      <c r="HA59" s="137" t="s">
        <v>1653</v>
      </c>
      <c r="HB59" s="137" t="s">
        <v>1653</v>
      </c>
      <c r="HC59" s="137" t="s">
        <v>1653</v>
      </c>
      <c r="HD59" s="137"/>
      <c r="HE59" s="137" t="s">
        <v>1653</v>
      </c>
      <c r="HF59" s="137" t="s">
        <v>1653</v>
      </c>
      <c r="HG59" s="137" t="s">
        <v>1653</v>
      </c>
      <c r="HH59" s="137" t="s">
        <v>1653</v>
      </c>
      <c r="HI59" s="137" t="s">
        <v>1653</v>
      </c>
      <c r="HJ59" s="137" t="s">
        <v>1653</v>
      </c>
      <c r="HK59" s="137" t="s">
        <v>1653</v>
      </c>
      <c r="HL59" s="137" t="s">
        <v>1653</v>
      </c>
      <c r="HM59" s="137"/>
      <c r="HN59" s="137" t="s">
        <v>1653</v>
      </c>
      <c r="HO59" s="137" t="s">
        <v>1653</v>
      </c>
      <c r="HP59" s="137" t="s">
        <v>1653</v>
      </c>
      <c r="HQ59" s="137" t="s">
        <v>1653</v>
      </c>
      <c r="HR59" s="137" t="s">
        <v>1653</v>
      </c>
      <c r="HS59" s="137" t="s">
        <v>1653</v>
      </c>
      <c r="HT59" s="137"/>
      <c r="HU59" s="137" t="s">
        <v>1653</v>
      </c>
      <c r="HV59" s="137" t="s">
        <v>1653</v>
      </c>
      <c r="HW59" s="137" t="s">
        <v>1653</v>
      </c>
      <c r="HX59" s="137" t="s">
        <v>1653</v>
      </c>
      <c r="HY59" s="137" t="s">
        <v>1653</v>
      </c>
      <c r="HZ59" s="137" t="s">
        <v>1653</v>
      </c>
      <c r="IA59" s="137" t="s">
        <v>1653</v>
      </c>
      <c r="IB59" s="137" t="s">
        <v>1653</v>
      </c>
      <c r="IC59" s="137" t="s">
        <v>1653</v>
      </c>
      <c r="ID59" s="137"/>
      <c r="IE59" s="137" t="s">
        <v>1653</v>
      </c>
      <c r="IF59" s="137" t="s">
        <v>1653</v>
      </c>
      <c r="IG59" s="137" t="s">
        <v>1653</v>
      </c>
      <c r="IH59" s="137" t="s">
        <v>1653</v>
      </c>
      <c r="II59" s="137" t="s">
        <v>1653</v>
      </c>
      <c r="IJ59" s="137" t="s">
        <v>1653</v>
      </c>
      <c r="IK59" s="137" t="s">
        <v>1653</v>
      </c>
      <c r="IL59" s="137" t="s">
        <v>1653</v>
      </c>
      <c r="IM59" s="137" t="s">
        <v>1653</v>
      </c>
      <c r="IN59" s="137" t="s">
        <v>1653</v>
      </c>
      <c r="IO59" s="137" t="s">
        <v>1653</v>
      </c>
      <c r="IP59" s="137" t="s">
        <v>1653</v>
      </c>
      <c r="IQ59" s="137"/>
      <c r="IR59" s="137" t="s">
        <v>1629</v>
      </c>
      <c r="IS59" s="137" t="s">
        <v>1629</v>
      </c>
      <c r="IT59" s="137" t="s">
        <v>1629</v>
      </c>
      <c r="IU59" s="137"/>
      <c r="IV59" s="137" t="s">
        <v>1629</v>
      </c>
      <c r="IW59" s="137" t="s">
        <v>1629</v>
      </c>
      <c r="IX59" s="137"/>
      <c r="IY59" s="137" t="s">
        <v>1629</v>
      </c>
      <c r="IZ59" s="137" t="s">
        <v>1629</v>
      </c>
      <c r="JA59" s="137" t="s">
        <v>1629</v>
      </c>
      <c r="JB59" s="137" t="s">
        <v>1629</v>
      </c>
      <c r="JC59" s="137" t="s">
        <v>1629</v>
      </c>
      <c r="JD59" s="137" t="s">
        <v>1629</v>
      </c>
      <c r="JE59" s="137" t="s">
        <v>1629</v>
      </c>
      <c r="JF59" s="137"/>
      <c r="JG59" s="137" t="s">
        <v>1629</v>
      </c>
      <c r="JH59" s="137" t="s">
        <v>1629</v>
      </c>
      <c r="JI59" s="137" t="s">
        <v>1629</v>
      </c>
      <c r="JJ59" s="137" t="s">
        <v>1629</v>
      </c>
      <c r="JK59" s="137" t="s">
        <v>1629</v>
      </c>
      <c r="JL59" s="137"/>
      <c r="JM59" s="137" t="s">
        <v>1629</v>
      </c>
      <c r="JN59" s="137" t="s">
        <v>1629</v>
      </c>
      <c r="JO59" s="137" t="s">
        <v>1629</v>
      </c>
      <c r="JP59" s="137"/>
      <c r="JQ59" s="137" t="s">
        <v>1653</v>
      </c>
      <c r="JR59" s="137" t="s">
        <v>1653</v>
      </c>
      <c r="JS59" s="137" t="s">
        <v>1653</v>
      </c>
      <c r="JT59" s="137" t="s">
        <v>1653</v>
      </c>
      <c r="JU59" s="137" t="s">
        <v>1653</v>
      </c>
      <c r="JV59" s="137" t="s">
        <v>1653</v>
      </c>
      <c r="JW59" s="137" t="s">
        <v>1653</v>
      </c>
      <c r="JX59" s="137" t="s">
        <v>1653</v>
      </c>
      <c r="JY59" s="137"/>
    </row>
    <row r="60" spans="1:285" s="147" customFormat="1" x14ac:dyDescent="0.2">
      <c r="A60" s="137" t="s">
        <v>1832</v>
      </c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/>
      <c r="AX60" s="141"/>
      <c r="AY60" s="141"/>
      <c r="AZ60" s="141"/>
      <c r="BA60" s="141"/>
      <c r="BB60" s="141"/>
      <c r="BC60" s="141"/>
      <c r="BD60" s="141"/>
      <c r="BE60" s="141"/>
      <c r="BF60" s="141"/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41"/>
      <c r="CA60" s="141"/>
      <c r="CB60" s="141"/>
      <c r="CC60" s="141"/>
      <c r="CD60" s="141"/>
      <c r="CE60" s="141"/>
      <c r="CF60" s="141"/>
      <c r="CG60" s="141"/>
      <c r="CH60" s="141"/>
      <c r="CI60" s="141"/>
      <c r="CJ60" s="141"/>
      <c r="CK60" s="141"/>
      <c r="CL60" s="141"/>
      <c r="CM60" s="141"/>
      <c r="CN60" s="141"/>
      <c r="CO60" s="141"/>
      <c r="CP60" s="141"/>
      <c r="CQ60" s="141"/>
      <c r="CR60" s="141"/>
      <c r="CS60" s="141"/>
      <c r="CT60" s="141"/>
      <c r="CU60" s="141"/>
      <c r="CV60" s="141"/>
      <c r="CW60" s="141"/>
      <c r="CX60" s="141"/>
      <c r="CY60" s="141"/>
      <c r="CZ60" s="141"/>
      <c r="DA60" s="141"/>
      <c r="DB60" s="141"/>
      <c r="DC60" s="141"/>
      <c r="DD60" s="141"/>
      <c r="DE60" s="141"/>
      <c r="DF60" s="141"/>
      <c r="DG60" s="141"/>
      <c r="DH60" s="141"/>
      <c r="DI60" s="141"/>
      <c r="DJ60" s="141"/>
      <c r="DK60" s="141"/>
      <c r="DL60" s="141"/>
      <c r="DM60" s="141"/>
      <c r="DN60" s="141"/>
      <c r="DO60" s="141"/>
      <c r="DP60" s="141"/>
      <c r="DQ60" s="141"/>
      <c r="DR60" s="141"/>
      <c r="DS60" s="141"/>
      <c r="DT60" s="141"/>
      <c r="DU60" s="141"/>
      <c r="DV60" s="141"/>
      <c r="DW60" s="141"/>
      <c r="DX60" s="141"/>
      <c r="DY60" s="141"/>
      <c r="DZ60" s="141"/>
      <c r="EA60" s="141"/>
      <c r="EB60" s="141"/>
      <c r="EC60" s="141"/>
      <c r="ED60" s="141"/>
      <c r="EE60" s="141"/>
      <c r="EF60" s="141"/>
      <c r="EG60" s="141"/>
      <c r="EH60" s="141"/>
      <c r="EI60" s="141"/>
      <c r="EJ60" s="141"/>
      <c r="EK60" s="141"/>
      <c r="EL60" s="141"/>
      <c r="EM60" s="141"/>
      <c r="EN60" s="141"/>
      <c r="EO60" s="141"/>
      <c r="EP60" s="141"/>
      <c r="EQ60" s="141"/>
      <c r="ER60" s="141"/>
      <c r="ES60" s="141"/>
      <c r="ET60" s="141"/>
      <c r="EU60" s="141"/>
      <c r="EV60" s="141"/>
      <c r="EW60" s="141"/>
      <c r="EX60" s="141"/>
      <c r="EY60" s="141"/>
      <c r="EZ60" s="141"/>
      <c r="FA60" s="141"/>
      <c r="FB60" s="141"/>
      <c r="FC60" s="141"/>
      <c r="FD60" s="137"/>
      <c r="FE60" s="137"/>
      <c r="FF60" s="137"/>
      <c r="FG60" s="137"/>
      <c r="FH60" s="137"/>
      <c r="FI60" s="137"/>
      <c r="FJ60" s="137"/>
      <c r="FK60" s="137"/>
      <c r="FL60" s="137"/>
      <c r="FM60" s="137"/>
      <c r="FN60" s="137"/>
      <c r="FO60" s="137"/>
      <c r="FP60" s="137"/>
      <c r="FQ60" s="137"/>
      <c r="FR60" s="137"/>
      <c r="FS60" s="137"/>
      <c r="FT60" s="137"/>
      <c r="FU60" s="137"/>
      <c r="FV60" s="137"/>
      <c r="FW60" s="137"/>
      <c r="FX60" s="137"/>
      <c r="FY60" s="137"/>
      <c r="FZ60" s="137"/>
      <c r="GA60" s="137"/>
      <c r="GB60" s="137"/>
      <c r="GC60" s="137"/>
      <c r="GD60" s="137"/>
      <c r="GE60" s="137"/>
      <c r="GF60" s="137"/>
      <c r="GG60" s="137"/>
      <c r="GH60" s="137"/>
      <c r="GI60" s="137"/>
      <c r="GJ60" s="137"/>
      <c r="GK60" s="137"/>
      <c r="GL60" s="137"/>
      <c r="GM60" s="137"/>
      <c r="GN60" s="137"/>
      <c r="GO60" s="137"/>
      <c r="GP60" s="137"/>
      <c r="GQ60" s="137"/>
      <c r="GR60" s="137"/>
      <c r="GS60" s="137"/>
      <c r="GT60" s="137"/>
      <c r="GU60" s="137"/>
      <c r="GV60" s="137"/>
      <c r="GW60" s="137"/>
      <c r="GX60" s="137"/>
      <c r="GY60" s="137"/>
      <c r="GZ60" s="137"/>
      <c r="HA60" s="137"/>
      <c r="HB60" s="137"/>
      <c r="HC60" s="137"/>
      <c r="HD60" s="137"/>
      <c r="HE60" s="137"/>
      <c r="HF60" s="137"/>
      <c r="HG60" s="137"/>
      <c r="HH60" s="137"/>
      <c r="HI60" s="137"/>
      <c r="HJ60" s="137"/>
      <c r="HK60" s="137"/>
      <c r="HL60" s="137"/>
      <c r="HM60" s="137"/>
      <c r="HN60" s="137"/>
      <c r="HO60" s="137"/>
      <c r="HP60" s="137"/>
      <c r="HQ60" s="137"/>
      <c r="HR60" s="137"/>
      <c r="HS60" s="137"/>
      <c r="HT60" s="137"/>
      <c r="HU60" s="137"/>
      <c r="HV60" s="137"/>
      <c r="HW60" s="137"/>
      <c r="HX60" s="137"/>
      <c r="HY60" s="137"/>
      <c r="HZ60" s="137"/>
      <c r="IA60" s="137"/>
      <c r="IB60" s="137"/>
      <c r="IC60" s="137"/>
      <c r="ID60" s="137"/>
      <c r="IE60" s="137"/>
      <c r="IF60" s="137"/>
      <c r="IG60" s="137"/>
      <c r="IH60" s="137"/>
      <c r="II60" s="137"/>
      <c r="IJ60" s="137"/>
      <c r="IK60" s="137"/>
      <c r="IL60" s="137"/>
      <c r="IM60" s="137"/>
      <c r="IN60" s="137"/>
      <c r="IO60" s="137"/>
      <c r="IP60" s="137"/>
      <c r="IQ60" s="137"/>
      <c r="IR60" s="137"/>
      <c r="IS60" s="137"/>
      <c r="IT60" s="137"/>
      <c r="IU60" s="137"/>
      <c r="IV60" s="137"/>
      <c r="IW60" s="137"/>
      <c r="IX60" s="137"/>
      <c r="IY60" s="137"/>
      <c r="IZ60" s="137"/>
      <c r="JA60" s="137"/>
      <c r="JB60" s="137"/>
      <c r="JC60" s="137"/>
      <c r="JD60" s="137"/>
      <c r="JE60" s="137"/>
      <c r="JF60" s="137"/>
      <c r="JG60" s="137"/>
      <c r="JH60" s="137"/>
      <c r="JI60" s="137"/>
      <c r="JJ60" s="137"/>
      <c r="JK60" s="137"/>
      <c r="JL60" s="137"/>
      <c r="JM60" s="137"/>
      <c r="JN60" s="137"/>
      <c r="JO60" s="137"/>
      <c r="JP60" s="137"/>
      <c r="JQ60" s="137"/>
      <c r="JR60" s="137"/>
      <c r="JS60" s="137"/>
      <c r="JT60" s="137"/>
      <c r="JU60" s="137"/>
      <c r="JV60" s="137"/>
      <c r="JW60" s="137"/>
      <c r="JX60" s="137"/>
      <c r="JY60" s="137"/>
    </row>
    <row r="61" spans="1:285" s="147" customFormat="1" x14ac:dyDescent="0.2">
      <c r="A61" s="137" t="s">
        <v>1833</v>
      </c>
      <c r="B61" s="141" t="s">
        <v>1834</v>
      </c>
      <c r="C61" s="141" t="s">
        <v>1681</v>
      </c>
      <c r="D61" s="141" t="s">
        <v>1681</v>
      </c>
      <c r="E61" s="141" t="s">
        <v>1681</v>
      </c>
      <c r="F61" s="141" t="s">
        <v>1681</v>
      </c>
      <c r="G61" s="141" t="s">
        <v>1681</v>
      </c>
      <c r="H61" s="141" t="s">
        <v>1681</v>
      </c>
      <c r="I61" s="141" t="s">
        <v>1681</v>
      </c>
      <c r="J61" s="141" t="s">
        <v>1681</v>
      </c>
      <c r="K61" s="141" t="s">
        <v>1681</v>
      </c>
      <c r="L61" s="141" t="s">
        <v>1681</v>
      </c>
      <c r="M61" s="141"/>
      <c r="N61" s="141" t="s">
        <v>1835</v>
      </c>
      <c r="O61" s="141" t="s">
        <v>1681</v>
      </c>
      <c r="P61" s="141" t="s">
        <v>1681</v>
      </c>
      <c r="Q61" s="141" t="s">
        <v>1681</v>
      </c>
      <c r="R61" s="141" t="s">
        <v>1681</v>
      </c>
      <c r="S61" s="141" t="s">
        <v>1681</v>
      </c>
      <c r="T61" s="141" t="s">
        <v>1681</v>
      </c>
      <c r="U61" s="141" t="s">
        <v>1681</v>
      </c>
      <c r="V61" s="141" t="s">
        <v>1681</v>
      </c>
      <c r="W61" s="141" t="s">
        <v>1681</v>
      </c>
      <c r="X61" s="141" t="s">
        <v>1681</v>
      </c>
      <c r="Y61" s="141" t="s">
        <v>1681</v>
      </c>
      <c r="Z61" s="141" t="s">
        <v>1681</v>
      </c>
      <c r="AA61" s="141"/>
      <c r="AB61" s="141" t="s">
        <v>1684</v>
      </c>
      <c r="AC61" s="141" t="s">
        <v>1684</v>
      </c>
      <c r="AD61" s="141" t="s">
        <v>1684</v>
      </c>
      <c r="AE61" s="141" t="s">
        <v>1684</v>
      </c>
      <c r="AF61" s="141"/>
      <c r="AG61" s="141" t="s">
        <v>1836</v>
      </c>
      <c r="AH61" s="141" t="s">
        <v>1836</v>
      </c>
      <c r="AI61" s="141" t="s">
        <v>1836</v>
      </c>
      <c r="AJ61" s="141" t="s">
        <v>1836</v>
      </c>
      <c r="AK61" s="141" t="s">
        <v>1836</v>
      </c>
      <c r="AL61" s="141" t="s">
        <v>1836</v>
      </c>
      <c r="AM61" s="141" t="s">
        <v>1836</v>
      </c>
      <c r="AN61" s="141" t="s">
        <v>1836</v>
      </c>
      <c r="AO61" s="141" t="s">
        <v>1836</v>
      </c>
      <c r="AP61" s="141" t="s">
        <v>1836</v>
      </c>
      <c r="AQ61" s="141" t="s">
        <v>1836</v>
      </c>
      <c r="AR61" s="141" t="s">
        <v>1836</v>
      </c>
      <c r="AS61" s="141" t="s">
        <v>1836</v>
      </c>
      <c r="AT61" s="141" t="s">
        <v>1836</v>
      </c>
      <c r="AU61" s="141" t="s">
        <v>1836</v>
      </c>
      <c r="AV61" s="141" t="s">
        <v>1836</v>
      </c>
      <c r="AW61" s="141" t="s">
        <v>1836</v>
      </c>
      <c r="AX61" s="141" t="s">
        <v>1836</v>
      </c>
      <c r="AY61" s="141" t="s">
        <v>1836</v>
      </c>
      <c r="AZ61" s="141" t="s">
        <v>1836</v>
      </c>
      <c r="BA61" s="141" t="s">
        <v>1836</v>
      </c>
      <c r="BB61" s="141" t="s">
        <v>1836</v>
      </c>
      <c r="BC61" s="141" t="s">
        <v>1836</v>
      </c>
      <c r="BD61" s="141" t="s">
        <v>1836</v>
      </c>
      <c r="BE61" s="141" t="s">
        <v>1836</v>
      </c>
      <c r="BF61" s="141" t="s">
        <v>1836</v>
      </c>
      <c r="BG61" s="141" t="s">
        <v>1836</v>
      </c>
      <c r="BH61" s="141" t="s">
        <v>1836</v>
      </c>
      <c r="BI61" s="141" t="s">
        <v>1836</v>
      </c>
      <c r="BJ61" s="141" t="s">
        <v>1836</v>
      </c>
      <c r="BK61" s="141" t="s">
        <v>1836</v>
      </c>
      <c r="BL61" s="141" t="s">
        <v>1836</v>
      </c>
      <c r="BM61" s="141"/>
      <c r="BN61" s="141" t="s">
        <v>1837</v>
      </c>
      <c r="BO61" s="141" t="s">
        <v>1837</v>
      </c>
      <c r="BP61" s="141" t="s">
        <v>1837</v>
      </c>
      <c r="BQ61" s="141" t="s">
        <v>1837</v>
      </c>
      <c r="BR61" s="141" t="s">
        <v>1837</v>
      </c>
      <c r="BS61" s="141" t="s">
        <v>1837</v>
      </c>
      <c r="BT61" s="141" t="s">
        <v>1837</v>
      </c>
      <c r="BU61" s="141" t="s">
        <v>1837</v>
      </c>
      <c r="BV61" s="141"/>
      <c r="BW61" s="141" t="s">
        <v>1838</v>
      </c>
      <c r="BX61" s="141" t="s">
        <v>1838</v>
      </c>
      <c r="BY61" s="141" t="s">
        <v>1838</v>
      </c>
      <c r="BZ61" s="141" t="s">
        <v>1838</v>
      </c>
      <c r="CA61" s="141" t="s">
        <v>1838</v>
      </c>
      <c r="CB61" s="141" t="s">
        <v>1838</v>
      </c>
      <c r="CC61" s="141" t="s">
        <v>1838</v>
      </c>
      <c r="CD61" s="141"/>
      <c r="CE61" s="141" t="s">
        <v>1836</v>
      </c>
      <c r="CF61" s="141" t="s">
        <v>1836</v>
      </c>
      <c r="CG61" s="141" t="s">
        <v>1836</v>
      </c>
      <c r="CH61" s="141" t="s">
        <v>1836</v>
      </c>
      <c r="CI61" s="141" t="s">
        <v>1836</v>
      </c>
      <c r="CJ61" s="141" t="s">
        <v>1836</v>
      </c>
      <c r="CK61" s="141" t="s">
        <v>1836</v>
      </c>
      <c r="CL61" s="141" t="s">
        <v>1836</v>
      </c>
      <c r="CM61" s="141" t="s">
        <v>1836</v>
      </c>
      <c r="CN61" s="141" t="s">
        <v>1836</v>
      </c>
      <c r="CO61" s="141" t="s">
        <v>1836</v>
      </c>
      <c r="CP61" s="141" t="s">
        <v>1836</v>
      </c>
      <c r="CQ61" s="141" t="s">
        <v>1836</v>
      </c>
      <c r="CR61" s="141" t="s">
        <v>1836</v>
      </c>
      <c r="CS61" s="141" t="s">
        <v>1836</v>
      </c>
      <c r="CT61" s="141" t="s">
        <v>1836</v>
      </c>
      <c r="CU61" s="141" t="s">
        <v>1836</v>
      </c>
      <c r="CV61" s="141" t="s">
        <v>1836</v>
      </c>
      <c r="CW61" s="141" t="s">
        <v>1836</v>
      </c>
      <c r="CX61" s="141"/>
      <c r="CY61" s="141" t="s">
        <v>1839</v>
      </c>
      <c r="CZ61" s="141" t="s">
        <v>1839</v>
      </c>
      <c r="DA61" s="141" t="s">
        <v>1839</v>
      </c>
      <c r="DB61" s="141" t="s">
        <v>1839</v>
      </c>
      <c r="DC61" s="141" t="s">
        <v>1839</v>
      </c>
      <c r="DD61" s="141" t="s">
        <v>1839</v>
      </c>
      <c r="DE61" s="141" t="s">
        <v>1839</v>
      </c>
      <c r="DF61" s="141" t="s">
        <v>1839</v>
      </c>
      <c r="DG61" s="141" t="s">
        <v>1839</v>
      </c>
      <c r="DH61" s="141" t="s">
        <v>1839</v>
      </c>
      <c r="DI61" s="141" t="s">
        <v>1839</v>
      </c>
      <c r="DJ61" s="141" t="s">
        <v>1839</v>
      </c>
      <c r="DK61" s="141"/>
      <c r="DL61" s="141" t="s">
        <v>1835</v>
      </c>
      <c r="DM61" s="141" t="s">
        <v>1835</v>
      </c>
      <c r="DN61" s="141" t="s">
        <v>1835</v>
      </c>
      <c r="DO61" s="141" t="s">
        <v>1835</v>
      </c>
      <c r="DP61" s="141" t="s">
        <v>1835</v>
      </c>
      <c r="DQ61" s="141" t="s">
        <v>1835</v>
      </c>
      <c r="DR61" s="141" t="s">
        <v>1835</v>
      </c>
      <c r="DS61" s="141"/>
      <c r="DT61" s="141" t="s">
        <v>1680</v>
      </c>
      <c r="DU61" s="141" t="s">
        <v>1680</v>
      </c>
      <c r="DV61" s="141" t="s">
        <v>1680</v>
      </c>
      <c r="DW61" s="141" t="s">
        <v>1680</v>
      </c>
      <c r="DX61" s="141" t="s">
        <v>1680</v>
      </c>
      <c r="DY61" s="141" t="s">
        <v>1680</v>
      </c>
      <c r="DZ61" s="141" t="s">
        <v>1680</v>
      </c>
      <c r="EA61" s="141" t="s">
        <v>1680</v>
      </c>
      <c r="EB61" s="141" t="s">
        <v>1680</v>
      </c>
      <c r="EC61" s="141" t="s">
        <v>1680</v>
      </c>
      <c r="ED61" s="141" t="s">
        <v>1680</v>
      </c>
      <c r="EE61" s="141" t="s">
        <v>1680</v>
      </c>
      <c r="EF61" s="141" t="s">
        <v>1680</v>
      </c>
      <c r="EG61" s="141" t="s">
        <v>1680</v>
      </c>
      <c r="EH61" s="141"/>
      <c r="EI61" s="141" t="s">
        <v>1836</v>
      </c>
      <c r="EJ61" s="141" t="s">
        <v>1836</v>
      </c>
      <c r="EK61" s="141" t="s">
        <v>1836</v>
      </c>
      <c r="EL61" s="141" t="s">
        <v>1836</v>
      </c>
      <c r="EM61" s="141" t="s">
        <v>1836</v>
      </c>
      <c r="EN61" s="141" t="s">
        <v>1836</v>
      </c>
      <c r="EO61" s="141" t="s">
        <v>1836</v>
      </c>
      <c r="EP61" s="141" t="s">
        <v>1836</v>
      </c>
      <c r="EQ61" s="141" t="s">
        <v>1836</v>
      </c>
      <c r="ER61" s="141"/>
      <c r="ES61" s="141" t="s">
        <v>1838</v>
      </c>
      <c r="ET61" s="141" t="s">
        <v>1838</v>
      </c>
      <c r="EU61" s="141" t="s">
        <v>1838</v>
      </c>
      <c r="EV61" s="141" t="s">
        <v>1838</v>
      </c>
      <c r="EW61" s="141" t="s">
        <v>1838</v>
      </c>
      <c r="EX61" s="141" t="s">
        <v>1838</v>
      </c>
      <c r="EY61" s="141" t="s">
        <v>1838</v>
      </c>
      <c r="EZ61" s="141" t="s">
        <v>1838</v>
      </c>
      <c r="FA61" s="141" t="s">
        <v>1838</v>
      </c>
      <c r="FB61" s="141" t="s">
        <v>1838</v>
      </c>
      <c r="FC61" s="141"/>
      <c r="FD61" s="141" t="s">
        <v>1838</v>
      </c>
      <c r="FE61" s="141" t="s">
        <v>1838</v>
      </c>
      <c r="FF61" s="141" t="s">
        <v>1838</v>
      </c>
      <c r="FG61" s="141" t="s">
        <v>1838</v>
      </c>
      <c r="FH61" s="141" t="s">
        <v>1838</v>
      </c>
      <c r="FI61" s="141" t="s">
        <v>1838</v>
      </c>
      <c r="FJ61" s="141" t="s">
        <v>1838</v>
      </c>
      <c r="FK61" s="141"/>
      <c r="FL61" s="141" t="s">
        <v>1840</v>
      </c>
      <c r="FM61" s="141" t="s">
        <v>1840</v>
      </c>
      <c r="FN61" s="141" t="s">
        <v>1840</v>
      </c>
      <c r="FO61" s="141" t="s">
        <v>1840</v>
      </c>
      <c r="FP61" s="141" t="s">
        <v>1840</v>
      </c>
      <c r="FQ61" s="141" t="s">
        <v>1840</v>
      </c>
      <c r="FR61" s="141" t="s">
        <v>1840</v>
      </c>
      <c r="FS61" s="141" t="s">
        <v>1840</v>
      </c>
      <c r="FT61" s="141" t="s">
        <v>1840</v>
      </c>
      <c r="FU61" s="141"/>
      <c r="FV61" s="141" t="s">
        <v>1840</v>
      </c>
      <c r="FW61" s="141" t="s">
        <v>1840</v>
      </c>
      <c r="FX61" s="141" t="s">
        <v>1840</v>
      </c>
      <c r="FY61" s="141" t="s">
        <v>1840</v>
      </c>
      <c r="FZ61" s="141" t="s">
        <v>1840</v>
      </c>
      <c r="GA61" s="141" t="s">
        <v>1840</v>
      </c>
      <c r="GB61" s="141" t="s">
        <v>1840</v>
      </c>
      <c r="GC61" s="141" t="s">
        <v>1840</v>
      </c>
      <c r="GD61" s="141" t="s">
        <v>1840</v>
      </c>
      <c r="GE61" s="141" t="s">
        <v>1840</v>
      </c>
      <c r="GF61" s="141"/>
      <c r="GG61" s="141" t="s">
        <v>1839</v>
      </c>
      <c r="GH61" s="141" t="s">
        <v>1839</v>
      </c>
      <c r="GI61" s="141" t="s">
        <v>1839</v>
      </c>
      <c r="GJ61" s="141" t="s">
        <v>1839</v>
      </c>
      <c r="GK61" s="141" t="s">
        <v>1839</v>
      </c>
      <c r="GL61" s="141" t="s">
        <v>1839</v>
      </c>
      <c r="GM61" s="141" t="s">
        <v>1839</v>
      </c>
      <c r="GN61" s="141" t="s">
        <v>1839</v>
      </c>
      <c r="GO61" s="141"/>
      <c r="GP61" s="137" t="s">
        <v>1841</v>
      </c>
      <c r="GQ61" s="137" t="s">
        <v>1841</v>
      </c>
      <c r="GR61" s="137" t="s">
        <v>1841</v>
      </c>
      <c r="GS61" s="137" t="s">
        <v>1841</v>
      </c>
      <c r="GT61" s="137" t="s">
        <v>1841</v>
      </c>
      <c r="GU61" s="137" t="s">
        <v>1841</v>
      </c>
      <c r="GV61" s="137"/>
      <c r="GW61" s="137" t="s">
        <v>1842</v>
      </c>
      <c r="GX61" s="137" t="s">
        <v>1842</v>
      </c>
      <c r="GY61" s="137" t="s">
        <v>1842</v>
      </c>
      <c r="GZ61" s="137" t="s">
        <v>1842</v>
      </c>
      <c r="HA61" s="137" t="s">
        <v>1842</v>
      </c>
      <c r="HB61" s="137" t="s">
        <v>1842</v>
      </c>
      <c r="HC61" s="137" t="s">
        <v>1842</v>
      </c>
      <c r="HD61" s="137"/>
      <c r="HE61" s="137" t="s">
        <v>1843</v>
      </c>
      <c r="HF61" s="137" t="s">
        <v>1843</v>
      </c>
      <c r="HG61" s="137" t="s">
        <v>1843</v>
      </c>
      <c r="HH61" s="137" t="s">
        <v>1843</v>
      </c>
      <c r="HI61" s="137" t="s">
        <v>1843</v>
      </c>
      <c r="HJ61" s="137" t="s">
        <v>1843</v>
      </c>
      <c r="HK61" s="137" t="s">
        <v>1843</v>
      </c>
      <c r="HL61" s="137" t="s">
        <v>1843</v>
      </c>
      <c r="HM61" s="137"/>
      <c r="HN61" s="137" t="s">
        <v>1844</v>
      </c>
      <c r="HO61" s="137" t="s">
        <v>1844</v>
      </c>
      <c r="HP61" s="137" t="s">
        <v>1844</v>
      </c>
      <c r="HQ61" s="137" t="s">
        <v>1844</v>
      </c>
      <c r="HR61" s="137" t="s">
        <v>1844</v>
      </c>
      <c r="HS61" s="137" t="s">
        <v>1844</v>
      </c>
      <c r="HT61" s="137"/>
      <c r="HU61" s="137" t="s">
        <v>1839</v>
      </c>
      <c r="HV61" s="137" t="s">
        <v>1839</v>
      </c>
      <c r="HW61" s="137" t="s">
        <v>1839</v>
      </c>
      <c r="HX61" s="137" t="s">
        <v>1839</v>
      </c>
      <c r="HY61" s="137" t="s">
        <v>1839</v>
      </c>
      <c r="HZ61" s="137" t="s">
        <v>1839</v>
      </c>
      <c r="IA61" s="137" t="s">
        <v>1839</v>
      </c>
      <c r="IB61" s="137" t="s">
        <v>1839</v>
      </c>
      <c r="IC61" s="137" t="s">
        <v>1839</v>
      </c>
      <c r="ID61" s="137"/>
      <c r="IE61" s="137" t="s">
        <v>1835</v>
      </c>
      <c r="IF61" s="137" t="s">
        <v>1835</v>
      </c>
      <c r="IG61" s="137" t="s">
        <v>1835</v>
      </c>
      <c r="IH61" s="137" t="s">
        <v>1835</v>
      </c>
      <c r="II61" s="137" t="s">
        <v>1835</v>
      </c>
      <c r="IJ61" s="137" t="s">
        <v>1835</v>
      </c>
      <c r="IK61" s="137" t="s">
        <v>1835</v>
      </c>
      <c r="IL61" s="137" t="s">
        <v>1835</v>
      </c>
      <c r="IM61" s="137" t="s">
        <v>1835</v>
      </c>
      <c r="IN61" s="137" t="s">
        <v>1835</v>
      </c>
      <c r="IO61" s="137" t="s">
        <v>1835</v>
      </c>
      <c r="IP61" s="137" t="s">
        <v>1835</v>
      </c>
      <c r="IQ61" s="137"/>
      <c r="IR61" s="137" t="s">
        <v>1685</v>
      </c>
      <c r="IS61" s="137" t="s">
        <v>1685</v>
      </c>
      <c r="IT61" s="137" t="s">
        <v>1685</v>
      </c>
      <c r="IU61" s="137"/>
      <c r="IV61" s="137" t="s">
        <v>1684</v>
      </c>
      <c r="IW61" s="137" t="s">
        <v>1684</v>
      </c>
      <c r="IX61" s="137"/>
      <c r="IY61" s="137" t="s">
        <v>1684</v>
      </c>
      <c r="IZ61" s="137" t="s">
        <v>1684</v>
      </c>
      <c r="JA61" s="137" t="s">
        <v>1684</v>
      </c>
      <c r="JB61" s="137" t="s">
        <v>1684</v>
      </c>
      <c r="JC61" s="137" t="s">
        <v>1684</v>
      </c>
      <c r="JD61" s="137" t="s">
        <v>1684</v>
      </c>
      <c r="JE61" s="137" t="s">
        <v>1684</v>
      </c>
      <c r="JF61" s="137"/>
      <c r="JG61" s="137" t="s">
        <v>1684</v>
      </c>
      <c r="JH61" s="137" t="s">
        <v>1684</v>
      </c>
      <c r="JI61" s="137" t="s">
        <v>1684</v>
      </c>
      <c r="JJ61" s="137" t="s">
        <v>1684</v>
      </c>
      <c r="JK61" s="137" t="s">
        <v>1684</v>
      </c>
      <c r="JL61" s="137"/>
      <c r="JM61" s="137" t="s">
        <v>1684</v>
      </c>
      <c r="JN61" s="137" t="s">
        <v>1684</v>
      </c>
      <c r="JO61" s="137" t="s">
        <v>1684</v>
      </c>
      <c r="JP61" s="137"/>
      <c r="JQ61" s="137" t="s">
        <v>1685</v>
      </c>
      <c r="JR61" s="137" t="s">
        <v>1685</v>
      </c>
      <c r="JS61" s="137" t="s">
        <v>1685</v>
      </c>
      <c r="JT61" s="137" t="s">
        <v>1685</v>
      </c>
      <c r="JU61" s="137" t="s">
        <v>1685</v>
      </c>
      <c r="JV61" s="137" t="s">
        <v>1685</v>
      </c>
      <c r="JW61" s="137" t="s">
        <v>1685</v>
      </c>
      <c r="JX61" s="137" t="s">
        <v>1685</v>
      </c>
      <c r="JY61" s="137"/>
    </row>
    <row r="62" spans="1:285" s="147" customFormat="1" x14ac:dyDescent="0.2">
      <c r="A62" s="137" t="s">
        <v>1686</v>
      </c>
      <c r="B62" s="141">
        <v>1</v>
      </c>
      <c r="C62" s="141">
        <v>1</v>
      </c>
      <c r="D62" s="141">
        <v>2</v>
      </c>
      <c r="E62" s="141">
        <v>3</v>
      </c>
      <c r="F62" s="141">
        <v>4</v>
      </c>
      <c r="G62" s="141">
        <v>5</v>
      </c>
      <c r="H62" s="141">
        <v>6</v>
      </c>
      <c r="I62" s="141">
        <v>7</v>
      </c>
      <c r="J62" s="141">
        <v>8</v>
      </c>
      <c r="K62" s="141">
        <v>9</v>
      </c>
      <c r="L62" s="141">
        <v>10</v>
      </c>
      <c r="M62" s="141"/>
      <c r="N62" s="141">
        <v>1</v>
      </c>
      <c r="O62" s="141">
        <v>2</v>
      </c>
      <c r="P62" s="141">
        <v>3</v>
      </c>
      <c r="Q62" s="141">
        <v>4</v>
      </c>
      <c r="R62" s="141">
        <v>5</v>
      </c>
      <c r="S62" s="141">
        <v>6</v>
      </c>
      <c r="T62" s="141">
        <v>7</v>
      </c>
      <c r="U62" s="141">
        <v>8</v>
      </c>
      <c r="V62" s="141">
        <v>9</v>
      </c>
      <c r="W62" s="141">
        <v>10</v>
      </c>
      <c r="X62" s="141">
        <v>11</v>
      </c>
      <c r="Y62" s="141">
        <v>12</v>
      </c>
      <c r="Z62" s="141">
        <v>13</v>
      </c>
      <c r="AA62" s="141"/>
      <c r="AB62" s="141">
        <v>1</v>
      </c>
      <c r="AC62" s="141">
        <v>2</v>
      </c>
      <c r="AD62" s="141">
        <v>3</v>
      </c>
      <c r="AE62" s="141">
        <v>4</v>
      </c>
      <c r="AF62" s="141"/>
      <c r="AG62" s="141">
        <v>1</v>
      </c>
      <c r="AH62" s="141">
        <v>2</v>
      </c>
      <c r="AI62" s="141">
        <v>3</v>
      </c>
      <c r="AJ62" s="141">
        <v>4</v>
      </c>
      <c r="AK62" s="141">
        <v>5</v>
      </c>
      <c r="AL62" s="141">
        <v>6</v>
      </c>
      <c r="AM62" s="141">
        <v>7</v>
      </c>
      <c r="AN62" s="141">
        <v>8</v>
      </c>
      <c r="AO62" s="141">
        <v>9</v>
      </c>
      <c r="AP62" s="141">
        <v>10</v>
      </c>
      <c r="AQ62" s="141">
        <v>11</v>
      </c>
      <c r="AR62" s="141">
        <v>12</v>
      </c>
      <c r="AS62" s="141">
        <v>13</v>
      </c>
      <c r="AT62" s="141">
        <v>14</v>
      </c>
      <c r="AU62" s="141">
        <v>15</v>
      </c>
      <c r="AV62" s="141">
        <v>16</v>
      </c>
      <c r="AW62" s="141">
        <v>17</v>
      </c>
      <c r="AX62" s="141">
        <v>18</v>
      </c>
      <c r="AY62" s="141">
        <v>19</v>
      </c>
      <c r="AZ62" s="141">
        <v>20</v>
      </c>
      <c r="BA62" s="141">
        <v>21</v>
      </c>
      <c r="BB62" s="141">
        <v>22</v>
      </c>
      <c r="BC62" s="141">
        <v>23</v>
      </c>
      <c r="BD62" s="141">
        <v>24</v>
      </c>
      <c r="BE62" s="141">
        <v>25</v>
      </c>
      <c r="BF62" s="141">
        <v>26</v>
      </c>
      <c r="BG62" s="141">
        <v>27</v>
      </c>
      <c r="BH62" s="141">
        <v>28</v>
      </c>
      <c r="BI62" s="141">
        <v>29</v>
      </c>
      <c r="BJ62" s="141">
        <v>30</v>
      </c>
      <c r="BK62" s="141">
        <v>31</v>
      </c>
      <c r="BL62" s="141">
        <v>32</v>
      </c>
      <c r="BM62" s="141"/>
      <c r="BN62" s="141">
        <v>1</v>
      </c>
      <c r="BO62" s="141">
        <v>2</v>
      </c>
      <c r="BP62" s="141">
        <v>3</v>
      </c>
      <c r="BQ62" s="141">
        <v>4</v>
      </c>
      <c r="BR62" s="141">
        <v>5</v>
      </c>
      <c r="BS62" s="141">
        <v>6</v>
      </c>
      <c r="BT62" s="141">
        <v>7</v>
      </c>
      <c r="BU62" s="141">
        <v>8</v>
      </c>
      <c r="BV62" s="141"/>
      <c r="BW62" s="141">
        <v>1</v>
      </c>
      <c r="BX62" s="141">
        <v>2</v>
      </c>
      <c r="BY62" s="141">
        <v>3</v>
      </c>
      <c r="BZ62" s="141">
        <v>4</v>
      </c>
      <c r="CA62" s="141">
        <v>5</v>
      </c>
      <c r="CB62" s="141">
        <v>6</v>
      </c>
      <c r="CC62" s="141">
        <v>7</v>
      </c>
      <c r="CD62" s="141"/>
      <c r="CE62" s="141">
        <v>1</v>
      </c>
      <c r="CF62" s="141">
        <v>2</v>
      </c>
      <c r="CG62" s="141">
        <v>3</v>
      </c>
      <c r="CH62" s="141">
        <v>4</v>
      </c>
      <c r="CI62" s="141">
        <v>5</v>
      </c>
      <c r="CJ62" s="141">
        <v>6</v>
      </c>
      <c r="CK62" s="141">
        <v>7</v>
      </c>
      <c r="CL62" s="141">
        <v>8</v>
      </c>
      <c r="CM62" s="141">
        <v>9</v>
      </c>
      <c r="CN62" s="141">
        <v>10</v>
      </c>
      <c r="CO62" s="141">
        <v>11</v>
      </c>
      <c r="CP62" s="141">
        <v>12</v>
      </c>
      <c r="CQ62" s="141">
        <v>13</v>
      </c>
      <c r="CR62" s="141">
        <v>14</v>
      </c>
      <c r="CS62" s="141">
        <v>15</v>
      </c>
      <c r="CT62" s="141">
        <v>16</v>
      </c>
      <c r="CU62" s="141">
        <v>17</v>
      </c>
      <c r="CV62" s="141">
        <v>18</v>
      </c>
      <c r="CW62" s="141">
        <v>19</v>
      </c>
      <c r="CX62" s="141"/>
      <c r="CY62" s="141">
        <v>1</v>
      </c>
      <c r="CZ62" s="141">
        <v>2</v>
      </c>
      <c r="DA62" s="141">
        <v>3</v>
      </c>
      <c r="DB62" s="141">
        <v>4</v>
      </c>
      <c r="DC62" s="141">
        <v>5</v>
      </c>
      <c r="DD62" s="141">
        <v>6</v>
      </c>
      <c r="DE62" s="141">
        <v>7</v>
      </c>
      <c r="DF62" s="141">
        <v>8</v>
      </c>
      <c r="DG62" s="141">
        <v>9</v>
      </c>
      <c r="DH62" s="141">
        <v>10</v>
      </c>
      <c r="DI62" s="141">
        <v>11</v>
      </c>
      <c r="DJ62" s="141">
        <v>12</v>
      </c>
      <c r="DK62" s="141"/>
      <c r="DL62" s="141">
        <v>1</v>
      </c>
      <c r="DM62" s="141">
        <v>2</v>
      </c>
      <c r="DN62" s="141">
        <v>3</v>
      </c>
      <c r="DO62" s="141">
        <v>4</v>
      </c>
      <c r="DP62" s="141">
        <v>5</v>
      </c>
      <c r="DQ62" s="141">
        <v>6</v>
      </c>
      <c r="DR62" s="141">
        <v>7</v>
      </c>
      <c r="DS62" s="141"/>
      <c r="DT62" s="141">
        <v>1</v>
      </c>
      <c r="DU62" s="141">
        <v>2</v>
      </c>
      <c r="DV62" s="141">
        <v>3</v>
      </c>
      <c r="DW62" s="141">
        <v>4</v>
      </c>
      <c r="DX62" s="141">
        <v>5</v>
      </c>
      <c r="DY62" s="141">
        <v>6</v>
      </c>
      <c r="DZ62" s="141">
        <v>7</v>
      </c>
      <c r="EA62" s="141">
        <v>8</v>
      </c>
      <c r="EB62" s="141">
        <v>9</v>
      </c>
      <c r="EC62" s="141">
        <v>10</v>
      </c>
      <c r="ED62" s="141">
        <v>11</v>
      </c>
      <c r="EE62" s="141">
        <v>12</v>
      </c>
      <c r="EF62" s="141">
        <v>13</v>
      </c>
      <c r="EG62" s="141">
        <v>14</v>
      </c>
      <c r="EH62" s="141"/>
      <c r="EI62" s="141">
        <v>1</v>
      </c>
      <c r="EJ62" s="141">
        <v>2</v>
      </c>
      <c r="EK62" s="141">
        <v>3</v>
      </c>
      <c r="EL62" s="141">
        <v>4</v>
      </c>
      <c r="EM62" s="141">
        <v>5</v>
      </c>
      <c r="EN62" s="141">
        <v>6</v>
      </c>
      <c r="EO62" s="141">
        <v>7</v>
      </c>
      <c r="EP62" s="141">
        <v>8</v>
      </c>
      <c r="EQ62" s="141">
        <v>9</v>
      </c>
      <c r="ER62" s="141"/>
      <c r="ES62" s="141">
        <v>1</v>
      </c>
      <c r="ET62" s="141">
        <v>2</v>
      </c>
      <c r="EU62" s="141">
        <v>3</v>
      </c>
      <c r="EV62" s="141">
        <v>4</v>
      </c>
      <c r="EW62" s="141">
        <v>5</v>
      </c>
      <c r="EX62" s="141">
        <v>6</v>
      </c>
      <c r="EY62" s="141">
        <v>7</v>
      </c>
      <c r="EZ62" s="141">
        <v>8</v>
      </c>
      <c r="FA62" s="141">
        <v>9</v>
      </c>
      <c r="FB62" s="141">
        <v>10</v>
      </c>
      <c r="FC62" s="141"/>
      <c r="FD62" s="141">
        <v>1</v>
      </c>
      <c r="FE62" s="141">
        <v>2</v>
      </c>
      <c r="FF62" s="141">
        <v>3</v>
      </c>
      <c r="FG62" s="141">
        <v>4</v>
      </c>
      <c r="FH62" s="141">
        <v>5</v>
      </c>
      <c r="FI62" s="141">
        <v>6</v>
      </c>
      <c r="FJ62" s="141">
        <v>7</v>
      </c>
      <c r="FK62" s="141"/>
      <c r="FL62" s="141">
        <v>1</v>
      </c>
      <c r="FM62" s="141">
        <v>2</v>
      </c>
      <c r="FN62" s="141">
        <v>3</v>
      </c>
      <c r="FO62" s="141">
        <v>4</v>
      </c>
      <c r="FP62" s="141">
        <v>5</v>
      </c>
      <c r="FQ62" s="141">
        <v>6</v>
      </c>
      <c r="FR62" s="141">
        <v>7</v>
      </c>
      <c r="FS62" s="141">
        <v>8</v>
      </c>
      <c r="FT62" s="141">
        <v>9</v>
      </c>
      <c r="FU62" s="141"/>
      <c r="FV62" s="141">
        <v>1</v>
      </c>
      <c r="FW62" s="141">
        <v>2</v>
      </c>
      <c r="FX62" s="141">
        <v>3</v>
      </c>
      <c r="FY62" s="141">
        <v>4</v>
      </c>
      <c r="FZ62" s="141">
        <v>5</v>
      </c>
      <c r="GA62" s="141">
        <v>6</v>
      </c>
      <c r="GB62" s="141">
        <v>7</v>
      </c>
      <c r="GC62" s="141">
        <v>8</v>
      </c>
      <c r="GD62" s="141">
        <v>9</v>
      </c>
      <c r="GE62" s="141">
        <v>10</v>
      </c>
      <c r="GF62" s="141"/>
      <c r="GG62" s="141">
        <v>1</v>
      </c>
      <c r="GH62" s="141">
        <v>2</v>
      </c>
      <c r="GI62" s="141">
        <v>3</v>
      </c>
      <c r="GJ62" s="141">
        <v>4</v>
      </c>
      <c r="GK62" s="141">
        <v>5</v>
      </c>
      <c r="GL62" s="141">
        <v>6</v>
      </c>
      <c r="GM62" s="141">
        <v>7</v>
      </c>
      <c r="GN62" s="141">
        <v>8</v>
      </c>
      <c r="GO62" s="141"/>
      <c r="GP62" s="141">
        <v>1</v>
      </c>
      <c r="GQ62" s="141">
        <v>2</v>
      </c>
      <c r="GR62" s="141">
        <v>3</v>
      </c>
      <c r="GS62" s="141">
        <v>4</v>
      </c>
      <c r="GT62" s="141">
        <v>5</v>
      </c>
      <c r="GU62" s="141">
        <v>6</v>
      </c>
      <c r="GV62" s="141"/>
      <c r="GW62" s="141">
        <v>1</v>
      </c>
      <c r="GX62" s="141">
        <v>2</v>
      </c>
      <c r="GY62" s="141">
        <v>3</v>
      </c>
      <c r="GZ62" s="141">
        <v>4</v>
      </c>
      <c r="HA62" s="141">
        <v>5</v>
      </c>
      <c r="HB62" s="141">
        <v>6</v>
      </c>
      <c r="HC62" s="141">
        <v>7</v>
      </c>
      <c r="HD62" s="141"/>
      <c r="HE62" s="141">
        <v>1</v>
      </c>
      <c r="HF62" s="141">
        <v>2</v>
      </c>
      <c r="HG62" s="141">
        <v>3</v>
      </c>
      <c r="HH62" s="141">
        <v>4</v>
      </c>
      <c r="HI62" s="141">
        <v>5</v>
      </c>
      <c r="HJ62" s="141">
        <v>6</v>
      </c>
      <c r="HK62" s="141">
        <v>7</v>
      </c>
      <c r="HL62" s="141">
        <v>8</v>
      </c>
      <c r="HM62" s="141"/>
      <c r="HN62" s="137">
        <v>1</v>
      </c>
      <c r="HO62" s="137">
        <v>2</v>
      </c>
      <c r="HP62" s="137">
        <v>3</v>
      </c>
      <c r="HQ62" s="137">
        <v>4</v>
      </c>
      <c r="HR62" s="137">
        <v>5</v>
      </c>
      <c r="HS62" s="137">
        <v>6</v>
      </c>
      <c r="HT62" s="137"/>
      <c r="HU62" s="141">
        <v>1</v>
      </c>
      <c r="HV62" s="141">
        <v>2</v>
      </c>
      <c r="HW62" s="141">
        <v>3</v>
      </c>
      <c r="HX62" s="141">
        <v>4</v>
      </c>
      <c r="HY62" s="141">
        <v>5</v>
      </c>
      <c r="HZ62" s="141">
        <v>6</v>
      </c>
      <c r="IA62" s="141">
        <v>7</v>
      </c>
      <c r="IB62" s="141">
        <v>8</v>
      </c>
      <c r="IC62" s="141">
        <v>9</v>
      </c>
      <c r="ID62" s="141"/>
      <c r="IE62" s="141">
        <v>1</v>
      </c>
      <c r="IF62" s="141">
        <v>2</v>
      </c>
      <c r="IG62" s="141">
        <v>3</v>
      </c>
      <c r="IH62" s="141">
        <v>4</v>
      </c>
      <c r="II62" s="141">
        <v>5</v>
      </c>
      <c r="IJ62" s="141">
        <v>6</v>
      </c>
      <c r="IK62" s="141">
        <v>7</v>
      </c>
      <c r="IL62" s="141">
        <v>8</v>
      </c>
      <c r="IM62" s="141">
        <v>9</v>
      </c>
      <c r="IN62" s="141">
        <v>10</v>
      </c>
      <c r="IO62" s="141">
        <v>11</v>
      </c>
      <c r="IP62" s="141">
        <v>12</v>
      </c>
      <c r="IQ62" s="141"/>
      <c r="IR62" s="141">
        <v>1</v>
      </c>
      <c r="IS62" s="141">
        <v>2</v>
      </c>
      <c r="IT62" s="141">
        <v>3</v>
      </c>
      <c r="IU62" s="141"/>
      <c r="IV62" s="141">
        <v>1</v>
      </c>
      <c r="IW62" s="141">
        <v>2</v>
      </c>
      <c r="IX62" s="141"/>
      <c r="IY62" s="141">
        <v>1</v>
      </c>
      <c r="IZ62" s="141">
        <v>2</v>
      </c>
      <c r="JA62" s="141">
        <v>3</v>
      </c>
      <c r="JB62" s="141">
        <v>4</v>
      </c>
      <c r="JC62" s="141">
        <v>5</v>
      </c>
      <c r="JD62" s="141">
        <v>6</v>
      </c>
      <c r="JE62" s="141">
        <v>7</v>
      </c>
      <c r="JF62" s="141"/>
      <c r="JG62" s="141">
        <v>1</v>
      </c>
      <c r="JH62" s="141">
        <v>2</v>
      </c>
      <c r="JI62" s="141">
        <v>3</v>
      </c>
      <c r="JJ62" s="141">
        <v>4</v>
      </c>
      <c r="JK62" s="141">
        <v>5</v>
      </c>
      <c r="JL62" s="141"/>
      <c r="JM62" s="141">
        <v>1</v>
      </c>
      <c r="JN62" s="141">
        <v>2</v>
      </c>
      <c r="JO62" s="141">
        <v>3</v>
      </c>
      <c r="JP62" s="141"/>
      <c r="JQ62" s="141">
        <v>1</v>
      </c>
      <c r="JR62" s="141">
        <v>2</v>
      </c>
      <c r="JS62" s="141">
        <v>3</v>
      </c>
      <c r="JT62" s="141">
        <v>4</v>
      </c>
      <c r="JU62" s="141">
        <v>5</v>
      </c>
      <c r="JV62" s="141">
        <v>6</v>
      </c>
      <c r="JW62" s="141">
        <v>7</v>
      </c>
      <c r="JX62" s="141">
        <v>8</v>
      </c>
      <c r="JY62" s="137"/>
    </row>
    <row r="63" spans="1:285" s="147" customFormat="1" x14ac:dyDescent="0.2">
      <c r="A63" s="137" t="s">
        <v>1687</v>
      </c>
      <c r="B63" s="141" t="s">
        <v>1890</v>
      </c>
      <c r="C63" s="141" t="s">
        <v>1891</v>
      </c>
      <c r="D63" s="141" t="s">
        <v>1892</v>
      </c>
      <c r="E63" s="141" t="s">
        <v>1893</v>
      </c>
      <c r="F63" s="141" t="s">
        <v>1894</v>
      </c>
      <c r="G63" s="141" t="s">
        <v>1895</v>
      </c>
      <c r="H63" s="141" t="s">
        <v>1896</v>
      </c>
      <c r="I63" s="141" t="s">
        <v>1897</v>
      </c>
      <c r="J63" s="141" t="s">
        <v>1898</v>
      </c>
      <c r="K63" s="141" t="s">
        <v>1899</v>
      </c>
      <c r="L63" s="141" t="s">
        <v>1900</v>
      </c>
      <c r="M63" s="141"/>
      <c r="N63" s="141" t="s">
        <v>1901</v>
      </c>
      <c r="O63" s="141" t="s">
        <v>1892</v>
      </c>
      <c r="P63" s="141" t="s">
        <v>1893</v>
      </c>
      <c r="Q63" s="141" t="s">
        <v>1894</v>
      </c>
      <c r="R63" s="141" t="s">
        <v>1895</v>
      </c>
      <c r="S63" s="141" t="s">
        <v>1896</v>
      </c>
      <c r="T63" s="141" t="s">
        <v>1897</v>
      </c>
      <c r="U63" s="141" t="s">
        <v>1898</v>
      </c>
      <c r="V63" s="141" t="s">
        <v>1899</v>
      </c>
      <c r="W63" s="141" t="s">
        <v>1900</v>
      </c>
      <c r="X63" s="141" t="s">
        <v>1902</v>
      </c>
      <c r="Y63" s="141" t="s">
        <v>1903</v>
      </c>
      <c r="Z63" s="141" t="s">
        <v>1904</v>
      </c>
      <c r="AA63" s="141"/>
      <c r="AB63" s="141" t="s">
        <v>1905</v>
      </c>
      <c r="AC63" s="141" t="s">
        <v>1906</v>
      </c>
      <c r="AD63" s="141" t="s">
        <v>1907</v>
      </c>
      <c r="AE63" s="141" t="s">
        <v>1908</v>
      </c>
      <c r="AF63" s="141"/>
      <c r="AG63" s="141" t="s">
        <v>1909</v>
      </c>
      <c r="AH63" s="141" t="s">
        <v>1910</v>
      </c>
      <c r="AI63" s="141" t="s">
        <v>1911</v>
      </c>
      <c r="AJ63" s="141" t="s">
        <v>1912</v>
      </c>
      <c r="AK63" s="141" t="s">
        <v>1913</v>
      </c>
      <c r="AL63" s="141" t="s">
        <v>1914</v>
      </c>
      <c r="AM63" s="141" t="s">
        <v>1915</v>
      </c>
      <c r="AN63" s="141" t="s">
        <v>1916</v>
      </c>
      <c r="AO63" s="141" t="s">
        <v>1917</v>
      </c>
      <c r="AP63" s="141" t="s">
        <v>1918</v>
      </c>
      <c r="AQ63" s="141" t="s">
        <v>1919</v>
      </c>
      <c r="AR63" s="141" t="s">
        <v>1920</v>
      </c>
      <c r="AS63" s="141" t="s">
        <v>1921</v>
      </c>
      <c r="AT63" s="141" t="s">
        <v>1922</v>
      </c>
      <c r="AU63" s="141" t="s">
        <v>1923</v>
      </c>
      <c r="AV63" s="141" t="s">
        <v>1924</v>
      </c>
      <c r="AW63" s="141" t="s">
        <v>1925</v>
      </c>
      <c r="AX63" s="141" t="s">
        <v>1926</v>
      </c>
      <c r="AY63" s="141" t="s">
        <v>1927</v>
      </c>
      <c r="AZ63" s="141" t="s">
        <v>1928</v>
      </c>
      <c r="BA63" s="141" t="s">
        <v>1929</v>
      </c>
      <c r="BB63" s="141" t="s">
        <v>1930</v>
      </c>
      <c r="BC63" s="141" t="s">
        <v>1931</v>
      </c>
      <c r="BD63" s="141" t="s">
        <v>1932</v>
      </c>
      <c r="BE63" s="141" t="s">
        <v>1933</v>
      </c>
      <c r="BF63" s="141" t="s">
        <v>1934</v>
      </c>
      <c r="BG63" s="141" t="s">
        <v>1935</v>
      </c>
      <c r="BH63" s="141" t="s">
        <v>1936</v>
      </c>
      <c r="BI63" s="141" t="s">
        <v>1937</v>
      </c>
      <c r="BJ63" s="141" t="s">
        <v>1938</v>
      </c>
      <c r="BK63" s="141" t="s">
        <v>1939</v>
      </c>
      <c r="BL63" s="141" t="s">
        <v>1940</v>
      </c>
      <c r="BM63" s="141"/>
      <c r="BN63" s="141" t="s">
        <v>1941</v>
      </c>
      <c r="BO63" s="141" t="s">
        <v>1942</v>
      </c>
      <c r="BP63" s="141" t="s">
        <v>1943</v>
      </c>
      <c r="BQ63" s="141" t="s">
        <v>1944</v>
      </c>
      <c r="BR63" s="141" t="s">
        <v>1945</v>
      </c>
      <c r="BS63" s="141" t="s">
        <v>1946</v>
      </c>
      <c r="BT63" s="141" t="s">
        <v>1947</v>
      </c>
      <c r="BU63" s="141" t="s">
        <v>1948</v>
      </c>
      <c r="BV63" s="141"/>
      <c r="BW63" s="141" t="s">
        <v>1949</v>
      </c>
      <c r="BX63" s="141" t="s">
        <v>1950</v>
      </c>
      <c r="BY63" s="141" t="s">
        <v>1951</v>
      </c>
      <c r="BZ63" s="141" t="s">
        <v>1952</v>
      </c>
      <c r="CA63" s="141" t="s">
        <v>1953</v>
      </c>
      <c r="CB63" s="141" t="s">
        <v>1954</v>
      </c>
      <c r="CC63" s="141" t="s">
        <v>1955</v>
      </c>
      <c r="CD63" s="141"/>
      <c r="CE63" s="141" t="s">
        <v>1956</v>
      </c>
      <c r="CF63" s="141" t="s">
        <v>1957</v>
      </c>
      <c r="CG63" s="141" t="s">
        <v>1958</v>
      </c>
      <c r="CH63" s="141" t="s">
        <v>1959</v>
      </c>
      <c r="CI63" s="141" t="s">
        <v>1960</v>
      </c>
      <c r="CJ63" s="141" t="s">
        <v>1961</v>
      </c>
      <c r="CK63" s="141" t="s">
        <v>1962</v>
      </c>
      <c r="CL63" s="141" t="s">
        <v>1963</v>
      </c>
      <c r="CM63" s="141" t="s">
        <v>1964</v>
      </c>
      <c r="CN63" s="141" t="s">
        <v>1965</v>
      </c>
      <c r="CO63" s="141" t="s">
        <v>1966</v>
      </c>
      <c r="CP63" s="141" t="s">
        <v>1967</v>
      </c>
      <c r="CQ63" s="141" t="s">
        <v>1968</v>
      </c>
      <c r="CR63" s="141" t="s">
        <v>1969</v>
      </c>
      <c r="CS63" s="141" t="s">
        <v>1970</v>
      </c>
      <c r="CT63" s="141" t="s">
        <v>1971</v>
      </c>
      <c r="CU63" s="141" t="s">
        <v>1972</v>
      </c>
      <c r="CV63" s="141" t="s">
        <v>1973</v>
      </c>
      <c r="CW63" s="141" t="s">
        <v>1974</v>
      </c>
      <c r="CX63" s="141"/>
      <c r="CY63" s="141" t="s">
        <v>1975</v>
      </c>
      <c r="CZ63" s="141" t="s">
        <v>1976</v>
      </c>
      <c r="DA63" s="141" t="s">
        <v>1977</v>
      </c>
      <c r="DB63" s="141" t="s">
        <v>1978</v>
      </c>
      <c r="DC63" s="141" t="s">
        <v>1979</v>
      </c>
      <c r="DD63" s="141" t="s">
        <v>1980</v>
      </c>
      <c r="DE63" s="141" t="s">
        <v>1981</v>
      </c>
      <c r="DF63" s="141" t="s">
        <v>1982</v>
      </c>
      <c r="DG63" s="141" t="s">
        <v>1983</v>
      </c>
      <c r="DH63" s="141" t="s">
        <v>1984</v>
      </c>
      <c r="DI63" s="141" t="s">
        <v>1985</v>
      </c>
      <c r="DJ63" s="141" t="s">
        <v>1986</v>
      </c>
      <c r="DK63" s="141"/>
      <c r="DL63" s="141" t="s">
        <v>1987</v>
      </c>
      <c r="DM63" s="141" t="s">
        <v>1988</v>
      </c>
      <c r="DN63" s="141" t="s">
        <v>1989</v>
      </c>
      <c r="DO63" s="141" t="s">
        <v>1990</v>
      </c>
      <c r="DP63" s="141" t="s">
        <v>1991</v>
      </c>
      <c r="DQ63" s="141" t="s">
        <v>1992</v>
      </c>
      <c r="DR63" s="141" t="s">
        <v>1993</v>
      </c>
      <c r="DS63" s="141"/>
      <c r="DT63" s="141" t="s">
        <v>1994</v>
      </c>
      <c r="DU63" s="141" t="s">
        <v>1995</v>
      </c>
      <c r="DV63" s="141" t="s">
        <v>1996</v>
      </c>
      <c r="DW63" s="141" t="s">
        <v>1997</v>
      </c>
      <c r="DX63" s="141" t="s">
        <v>1998</v>
      </c>
      <c r="DY63" s="141" t="s">
        <v>1999</v>
      </c>
      <c r="DZ63" s="141" t="s">
        <v>2000</v>
      </c>
      <c r="EA63" s="141" t="s">
        <v>2001</v>
      </c>
      <c r="EB63" s="141" t="s">
        <v>2002</v>
      </c>
      <c r="EC63" s="141" t="s">
        <v>2003</v>
      </c>
      <c r="ED63" s="141" t="s">
        <v>2004</v>
      </c>
      <c r="EE63" s="141" t="s">
        <v>2005</v>
      </c>
      <c r="EF63" s="141" t="s">
        <v>2006</v>
      </c>
      <c r="EG63" s="141" t="s">
        <v>2007</v>
      </c>
      <c r="EH63" s="141"/>
      <c r="EI63" s="141" t="s">
        <v>2008</v>
      </c>
      <c r="EJ63" s="141" t="s">
        <v>2009</v>
      </c>
      <c r="EK63" s="141" t="s">
        <v>2010</v>
      </c>
      <c r="EL63" s="141" t="s">
        <v>2011</v>
      </c>
      <c r="EM63" s="141" t="s">
        <v>2012</v>
      </c>
      <c r="EN63" s="141" t="s">
        <v>2013</v>
      </c>
      <c r="EO63" s="141" t="s">
        <v>2014</v>
      </c>
      <c r="EP63" s="141" t="s">
        <v>2015</v>
      </c>
      <c r="EQ63" s="141" t="s">
        <v>2016</v>
      </c>
      <c r="ER63" s="141"/>
      <c r="ES63" s="141" t="s">
        <v>2017</v>
      </c>
      <c r="ET63" s="141" t="s">
        <v>2018</v>
      </c>
      <c r="EU63" s="141" t="s">
        <v>2019</v>
      </c>
      <c r="EV63" s="141" t="s">
        <v>2020</v>
      </c>
      <c r="EW63" s="141" t="s">
        <v>2021</v>
      </c>
      <c r="EX63" s="141" t="s">
        <v>2022</v>
      </c>
      <c r="EY63" s="141" t="s">
        <v>2023</v>
      </c>
      <c r="EZ63" s="141" t="s">
        <v>2024</v>
      </c>
      <c r="FA63" s="141" t="s">
        <v>2025</v>
      </c>
      <c r="FB63" s="141" t="s">
        <v>2026</v>
      </c>
      <c r="FC63" s="141"/>
      <c r="FD63" s="141" t="s">
        <v>2027</v>
      </c>
      <c r="FE63" s="141" t="s">
        <v>2028</v>
      </c>
      <c r="FF63" s="141" t="s">
        <v>2029</v>
      </c>
      <c r="FG63" s="141" t="s">
        <v>2030</v>
      </c>
      <c r="FH63" s="141" t="s">
        <v>2031</v>
      </c>
      <c r="FI63" s="141" t="s">
        <v>2032</v>
      </c>
      <c r="FJ63" s="141" t="s">
        <v>2033</v>
      </c>
      <c r="FK63" s="141"/>
      <c r="FL63" s="141" t="s">
        <v>2034</v>
      </c>
      <c r="FM63" s="141" t="s">
        <v>2035</v>
      </c>
      <c r="FN63" s="141" t="s">
        <v>2036</v>
      </c>
      <c r="FO63" s="141" t="s">
        <v>2037</v>
      </c>
      <c r="FP63" s="141" t="s">
        <v>2038</v>
      </c>
      <c r="FQ63" s="141" t="s">
        <v>2039</v>
      </c>
      <c r="FR63" s="141" t="s">
        <v>2040</v>
      </c>
      <c r="FS63" s="141" t="s">
        <v>2041</v>
      </c>
      <c r="FT63" s="141" t="s">
        <v>2042</v>
      </c>
      <c r="FU63" s="141"/>
      <c r="FV63" s="141" t="s">
        <v>2043</v>
      </c>
      <c r="FW63" s="141" t="s">
        <v>2044</v>
      </c>
      <c r="FX63" s="141" t="s">
        <v>2045</v>
      </c>
      <c r="FY63" s="141" t="s">
        <v>2046</v>
      </c>
      <c r="FZ63" s="141" t="s">
        <v>2047</v>
      </c>
      <c r="GA63" s="141" t="s">
        <v>2048</v>
      </c>
      <c r="GB63" s="141" t="s">
        <v>2049</v>
      </c>
      <c r="GC63" s="141" t="s">
        <v>2050</v>
      </c>
      <c r="GD63" s="141" t="s">
        <v>2051</v>
      </c>
      <c r="GE63" s="141" t="s">
        <v>2052</v>
      </c>
      <c r="GF63" s="141"/>
      <c r="GG63" s="141" t="s">
        <v>2053</v>
      </c>
      <c r="GH63" s="141" t="s">
        <v>2054</v>
      </c>
      <c r="GI63" s="141" t="s">
        <v>2055</v>
      </c>
      <c r="GJ63" s="141" t="s">
        <v>2056</v>
      </c>
      <c r="GK63" s="141" t="s">
        <v>2057</v>
      </c>
      <c r="GL63" s="141" t="s">
        <v>2058</v>
      </c>
      <c r="GM63" s="141" t="s">
        <v>2059</v>
      </c>
      <c r="GN63" s="141" t="s">
        <v>2060</v>
      </c>
      <c r="GO63" s="141"/>
      <c r="GP63" s="141" t="s">
        <v>2061</v>
      </c>
      <c r="GQ63" s="141" t="s">
        <v>2062</v>
      </c>
      <c r="GR63" s="141" t="s">
        <v>2063</v>
      </c>
      <c r="GS63" s="141" t="s">
        <v>2064</v>
      </c>
      <c r="GT63" s="141" t="s">
        <v>2065</v>
      </c>
      <c r="GU63" s="141" t="s">
        <v>2066</v>
      </c>
      <c r="GV63" s="141"/>
      <c r="GW63" s="141" t="s">
        <v>2067</v>
      </c>
      <c r="GX63" s="141" t="s">
        <v>2068</v>
      </c>
      <c r="GY63" s="141" t="s">
        <v>2069</v>
      </c>
      <c r="GZ63" s="141" t="s">
        <v>2070</v>
      </c>
      <c r="HA63" s="141" t="s">
        <v>2071</v>
      </c>
      <c r="HB63" s="141" t="s">
        <v>2072</v>
      </c>
      <c r="HC63" s="141" t="s">
        <v>2073</v>
      </c>
      <c r="HD63" s="141"/>
      <c r="HE63" s="141" t="s">
        <v>2074</v>
      </c>
      <c r="HF63" s="141" t="s">
        <v>2075</v>
      </c>
      <c r="HG63" s="141" t="s">
        <v>2076</v>
      </c>
      <c r="HH63" s="141" t="s">
        <v>2077</v>
      </c>
      <c r="HI63" s="141" t="s">
        <v>2078</v>
      </c>
      <c r="HJ63" s="141" t="s">
        <v>2079</v>
      </c>
      <c r="HK63" s="141" t="s">
        <v>2080</v>
      </c>
      <c r="HL63" s="141" t="s">
        <v>2081</v>
      </c>
      <c r="HM63" s="141"/>
      <c r="HN63" s="141" t="s">
        <v>2082</v>
      </c>
      <c r="HO63" s="141" t="s">
        <v>2083</v>
      </c>
      <c r="HP63" s="141" t="s">
        <v>2084</v>
      </c>
      <c r="HQ63" s="141" t="s">
        <v>2085</v>
      </c>
      <c r="HR63" s="141" t="s">
        <v>2086</v>
      </c>
      <c r="HS63" s="141" t="s">
        <v>2087</v>
      </c>
      <c r="HT63" s="141"/>
      <c r="HU63" s="141" t="s">
        <v>2088</v>
      </c>
      <c r="HV63" s="141" t="s">
        <v>2089</v>
      </c>
      <c r="HW63" s="141" t="s">
        <v>2090</v>
      </c>
      <c r="HX63" s="141" t="s">
        <v>2091</v>
      </c>
      <c r="HY63" s="141" t="s">
        <v>2092</v>
      </c>
      <c r="HZ63" s="141" t="s">
        <v>2093</v>
      </c>
      <c r="IA63" s="141" t="s">
        <v>2094</v>
      </c>
      <c r="IB63" s="141" t="s">
        <v>2095</v>
      </c>
      <c r="IC63" s="141" t="s">
        <v>2096</v>
      </c>
      <c r="ID63" s="141"/>
      <c r="IE63" s="141" t="s">
        <v>2097</v>
      </c>
      <c r="IF63" s="141" t="s">
        <v>2098</v>
      </c>
      <c r="IG63" s="141" t="s">
        <v>2099</v>
      </c>
      <c r="IH63" s="141" t="s">
        <v>2100</v>
      </c>
      <c r="II63" s="141" t="s">
        <v>2101</v>
      </c>
      <c r="IJ63" s="141" t="s">
        <v>2102</v>
      </c>
      <c r="IK63" s="141" t="s">
        <v>2103</v>
      </c>
      <c r="IL63" s="141" t="s">
        <v>2104</v>
      </c>
      <c r="IM63" s="141" t="s">
        <v>2105</v>
      </c>
      <c r="IN63" s="141" t="s">
        <v>2106</v>
      </c>
      <c r="IO63" s="141" t="s">
        <v>2107</v>
      </c>
      <c r="IP63" s="141" t="s">
        <v>2108</v>
      </c>
      <c r="IQ63" s="141"/>
      <c r="IR63" s="141" t="s">
        <v>2109</v>
      </c>
      <c r="IS63" s="141" t="s">
        <v>2110</v>
      </c>
      <c r="IT63" s="141" t="s">
        <v>2111</v>
      </c>
      <c r="IU63" s="141"/>
      <c r="IV63" s="141" t="s">
        <v>2112</v>
      </c>
      <c r="IW63" s="141" t="s">
        <v>2113</v>
      </c>
      <c r="IX63" s="141"/>
      <c r="IY63" s="141" t="s">
        <v>2112</v>
      </c>
      <c r="IZ63" s="141" t="s">
        <v>2113</v>
      </c>
      <c r="JA63" s="141" t="s">
        <v>2114</v>
      </c>
      <c r="JB63" s="141" t="s">
        <v>2115</v>
      </c>
      <c r="JC63" s="141" t="s">
        <v>2116</v>
      </c>
      <c r="JD63" s="141" t="s">
        <v>2117</v>
      </c>
      <c r="JE63" s="141" t="s">
        <v>2118</v>
      </c>
      <c r="JF63" s="141"/>
      <c r="JG63" s="141" t="s">
        <v>2119</v>
      </c>
      <c r="JH63" s="141" t="s">
        <v>2120</v>
      </c>
      <c r="JI63" s="141" t="s">
        <v>2121</v>
      </c>
      <c r="JJ63" s="141" t="s">
        <v>2122</v>
      </c>
      <c r="JK63" s="141" t="s">
        <v>2123</v>
      </c>
      <c r="JL63" s="141"/>
      <c r="JM63" s="141" t="s">
        <v>2124</v>
      </c>
      <c r="JN63" s="141" t="s">
        <v>2125</v>
      </c>
      <c r="JO63" s="141" t="s">
        <v>2126</v>
      </c>
      <c r="JP63" s="141"/>
      <c r="JQ63" s="141" t="s">
        <v>2127</v>
      </c>
      <c r="JR63" s="141" t="s">
        <v>2128</v>
      </c>
      <c r="JS63" s="141" t="s">
        <v>2129</v>
      </c>
      <c r="JT63" s="141" t="s">
        <v>2130</v>
      </c>
      <c r="JU63" s="141" t="s">
        <v>2131</v>
      </c>
      <c r="JV63" s="141" t="s">
        <v>2132</v>
      </c>
      <c r="JW63" s="141" t="s">
        <v>2133</v>
      </c>
      <c r="JX63" s="141" t="s">
        <v>2134</v>
      </c>
      <c r="JY63" s="137"/>
    </row>
    <row r="64" spans="1:285" s="147" customFormat="1" x14ac:dyDescent="0.2">
      <c r="A64" s="137" t="s">
        <v>1845</v>
      </c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  <c r="CC64" s="137"/>
      <c r="CD64" s="137"/>
      <c r="CE64" s="137"/>
      <c r="CF64" s="137"/>
      <c r="CG64" s="137"/>
      <c r="CH64" s="137"/>
      <c r="CI64" s="137"/>
      <c r="CJ64" s="137"/>
      <c r="CK64" s="137"/>
      <c r="CL64" s="137"/>
      <c r="CM64" s="137"/>
      <c r="CN64" s="137"/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7"/>
      <c r="DB64" s="137"/>
      <c r="DC64" s="137"/>
      <c r="DD64" s="137"/>
      <c r="DE64" s="137"/>
      <c r="DF64" s="137"/>
      <c r="DG64" s="137"/>
      <c r="DH64" s="137"/>
      <c r="DI64" s="137"/>
      <c r="DJ64" s="137"/>
      <c r="DK64" s="137"/>
      <c r="DL64" s="137"/>
      <c r="DM64" s="137"/>
      <c r="DN64" s="137"/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7"/>
      <c r="EB64" s="137"/>
      <c r="EC64" s="137"/>
      <c r="ED64" s="137"/>
      <c r="EE64" s="137"/>
      <c r="EF64" s="137"/>
      <c r="EG64" s="137"/>
      <c r="EH64" s="137"/>
      <c r="EI64" s="137"/>
      <c r="EJ64" s="137"/>
      <c r="EK64" s="137"/>
      <c r="EL64" s="137"/>
      <c r="EM64" s="137"/>
      <c r="EN64" s="137"/>
      <c r="EO64" s="137"/>
      <c r="EP64" s="137"/>
      <c r="EQ64" s="137"/>
      <c r="ER64" s="137"/>
      <c r="ES64" s="137"/>
      <c r="ET64" s="137"/>
      <c r="EU64" s="137"/>
      <c r="EV64" s="137"/>
      <c r="EW64" s="137"/>
      <c r="EX64" s="137"/>
      <c r="EY64" s="137"/>
      <c r="EZ64" s="137"/>
      <c r="FA64" s="137"/>
      <c r="FB64" s="137"/>
      <c r="FC64" s="137"/>
      <c r="FD64" s="137"/>
      <c r="FE64" s="137"/>
      <c r="FF64" s="137"/>
      <c r="FG64" s="137"/>
      <c r="FH64" s="137"/>
      <c r="FI64" s="137"/>
      <c r="FJ64" s="137"/>
      <c r="FK64" s="137"/>
      <c r="FL64" s="137"/>
      <c r="FM64" s="137"/>
      <c r="FN64" s="137"/>
      <c r="FO64" s="137"/>
      <c r="FP64" s="137"/>
      <c r="FQ64" s="137"/>
      <c r="FR64" s="137"/>
      <c r="FS64" s="137"/>
      <c r="FT64" s="137"/>
      <c r="FU64" s="137"/>
      <c r="FV64" s="137"/>
      <c r="FW64" s="137"/>
      <c r="FX64" s="137"/>
      <c r="FY64" s="137"/>
      <c r="FZ64" s="137"/>
      <c r="GA64" s="137"/>
      <c r="GB64" s="137"/>
      <c r="GC64" s="137"/>
      <c r="GD64" s="137"/>
      <c r="GE64" s="137"/>
      <c r="GF64" s="137"/>
      <c r="GG64" s="137"/>
      <c r="GH64" s="137"/>
      <c r="GI64" s="137"/>
      <c r="GJ64" s="137"/>
      <c r="GK64" s="137"/>
      <c r="GL64" s="137"/>
      <c r="GM64" s="137"/>
      <c r="GN64" s="137"/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7"/>
      <c r="HB64" s="137"/>
      <c r="HC64" s="137"/>
      <c r="HD64" s="137"/>
      <c r="HE64" s="137"/>
      <c r="HF64" s="137"/>
      <c r="HG64" s="137"/>
      <c r="HH64" s="137"/>
      <c r="HI64" s="137"/>
      <c r="HJ64" s="137"/>
      <c r="HK64" s="137"/>
      <c r="HL64" s="137"/>
      <c r="HM64" s="137"/>
      <c r="HN64" s="137"/>
      <c r="HO64" s="137"/>
      <c r="HP64" s="137"/>
      <c r="HQ64" s="137"/>
      <c r="HR64" s="137"/>
      <c r="HS64" s="137"/>
      <c r="HT64" s="137"/>
      <c r="HU64" s="137"/>
      <c r="HV64" s="137"/>
      <c r="HW64" s="137"/>
      <c r="HX64" s="137"/>
      <c r="HY64" s="137"/>
      <c r="HZ64" s="137"/>
      <c r="IA64" s="137"/>
      <c r="IB64" s="137"/>
      <c r="IC64" s="137"/>
      <c r="ID64" s="137"/>
      <c r="IE64" s="137"/>
      <c r="IF64" s="137"/>
      <c r="IG64" s="137"/>
      <c r="IH64" s="137"/>
      <c r="II64" s="137"/>
      <c r="IJ64" s="137"/>
      <c r="IK64" s="137"/>
      <c r="IL64" s="137"/>
      <c r="IM64" s="137"/>
      <c r="IN64" s="137"/>
      <c r="IO64" s="137"/>
      <c r="IP64" s="137"/>
      <c r="IQ64" s="137"/>
      <c r="IR64" s="137"/>
      <c r="IS64" s="137"/>
      <c r="IT64" s="137"/>
      <c r="IU64" s="137"/>
      <c r="IV64" s="137"/>
      <c r="IW64" s="137"/>
      <c r="IX64" s="137"/>
      <c r="IY64" s="137"/>
      <c r="IZ64" s="137"/>
      <c r="JA64" s="137"/>
      <c r="JB64" s="137"/>
      <c r="JC64" s="137"/>
      <c r="JD64" s="137"/>
      <c r="JE64" s="137"/>
      <c r="JF64" s="137"/>
      <c r="JG64" s="137"/>
      <c r="JH64" s="137"/>
      <c r="JI64" s="137"/>
      <c r="JJ64" s="137"/>
      <c r="JK64" s="137"/>
      <c r="JL64" s="137"/>
      <c r="JM64" s="137"/>
      <c r="JN64" s="137"/>
      <c r="JO64" s="137"/>
      <c r="JP64" s="137"/>
      <c r="JQ64" s="137"/>
      <c r="JR64" s="137"/>
      <c r="JS64" s="137"/>
      <c r="JT64" s="137"/>
      <c r="JU64" s="137"/>
      <c r="JV64" s="137"/>
      <c r="JW64" s="137"/>
      <c r="JX64" s="137"/>
      <c r="JY64" s="137"/>
    </row>
    <row r="65" spans="1:285" s="147" customFormat="1" x14ac:dyDescent="0.2">
      <c r="A65" s="137" t="s">
        <v>1846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>
        <v>30</v>
      </c>
      <c r="AA65" s="137"/>
      <c r="AB65" s="137">
        <v>45</v>
      </c>
      <c r="AC65" s="137">
        <v>75</v>
      </c>
      <c r="AD65" s="137">
        <v>65</v>
      </c>
      <c r="AE65" s="137">
        <v>30</v>
      </c>
      <c r="AF65" s="137"/>
      <c r="AG65" s="137">
        <v>35</v>
      </c>
      <c r="AH65" s="137">
        <v>30</v>
      </c>
      <c r="AI65" s="137">
        <v>75</v>
      </c>
      <c r="AJ65" s="137"/>
      <c r="AK65" s="137">
        <v>50</v>
      </c>
      <c r="AL65" s="137">
        <v>20</v>
      </c>
      <c r="AM65" s="137"/>
      <c r="AN65" s="137"/>
      <c r="AO65" s="137"/>
      <c r="AP65" s="137">
        <v>60</v>
      </c>
      <c r="AQ65" s="137">
        <v>30</v>
      </c>
      <c r="AR65" s="137">
        <v>25</v>
      </c>
      <c r="AS65" s="137">
        <v>15</v>
      </c>
      <c r="AT65" s="137">
        <v>20</v>
      </c>
      <c r="AU65" s="137">
        <v>45</v>
      </c>
      <c r="AV65" s="137">
        <v>30</v>
      </c>
      <c r="AW65" s="137">
        <v>30</v>
      </c>
      <c r="AX65" s="137">
        <v>70</v>
      </c>
      <c r="AY65" s="137">
        <v>70</v>
      </c>
      <c r="AZ65" s="137">
        <v>80</v>
      </c>
      <c r="BA65" s="137">
        <v>80</v>
      </c>
      <c r="BB65" s="137">
        <v>30</v>
      </c>
      <c r="BC65" s="137">
        <v>30</v>
      </c>
      <c r="BD65" s="137">
        <v>50</v>
      </c>
      <c r="BE65" s="137">
        <v>15</v>
      </c>
      <c r="BF65" s="137">
        <v>20</v>
      </c>
      <c r="BG65" s="137">
        <v>45</v>
      </c>
      <c r="BH65" s="137">
        <v>40</v>
      </c>
      <c r="BI65" s="137">
        <v>10</v>
      </c>
      <c r="BJ65" s="137">
        <v>30</v>
      </c>
      <c r="BK65" s="137">
        <v>30</v>
      </c>
      <c r="BL65" s="137">
        <v>40</v>
      </c>
      <c r="BM65" s="137"/>
      <c r="BN65" s="137">
        <v>35</v>
      </c>
      <c r="BO65" s="137">
        <v>40</v>
      </c>
      <c r="BP65" s="137">
        <v>45</v>
      </c>
      <c r="BQ65" s="137">
        <v>35</v>
      </c>
      <c r="BR65" s="137"/>
      <c r="BS65" s="137">
        <v>45</v>
      </c>
      <c r="BT65" s="137"/>
      <c r="BU65" s="137">
        <v>40</v>
      </c>
      <c r="BV65" s="137"/>
      <c r="BW65" s="137">
        <v>30</v>
      </c>
      <c r="BX65" s="137">
        <v>20</v>
      </c>
      <c r="BY65" s="137">
        <v>10</v>
      </c>
      <c r="BZ65" s="137">
        <v>20</v>
      </c>
      <c r="CA65" s="137">
        <v>50</v>
      </c>
      <c r="CB65" s="137"/>
      <c r="CC65" s="137"/>
      <c r="CD65" s="137"/>
      <c r="CE65" s="137">
        <v>40</v>
      </c>
      <c r="CF65" s="137"/>
      <c r="CG65" s="137">
        <v>20</v>
      </c>
      <c r="CH65" s="137">
        <v>100</v>
      </c>
      <c r="CI65" s="137">
        <v>30</v>
      </c>
      <c r="CJ65" s="137">
        <v>50</v>
      </c>
      <c r="CK65" s="137">
        <v>30</v>
      </c>
      <c r="CL65" s="137">
        <v>10</v>
      </c>
      <c r="CM65" s="137">
        <v>70</v>
      </c>
      <c r="CN65" s="137">
        <v>25</v>
      </c>
      <c r="CO65" s="137">
        <v>23</v>
      </c>
      <c r="CP65" s="137">
        <v>30</v>
      </c>
      <c r="CQ65" s="137">
        <v>45</v>
      </c>
      <c r="CR65" s="137">
        <v>20</v>
      </c>
      <c r="CS65" s="137">
        <v>65</v>
      </c>
      <c r="CT65" s="137">
        <v>30</v>
      </c>
      <c r="CU65" s="137">
        <v>35</v>
      </c>
      <c r="CV65" s="137">
        <v>25</v>
      </c>
      <c r="CW65" s="137">
        <v>40</v>
      </c>
      <c r="CX65" s="137"/>
      <c r="CY65" s="137">
        <v>100</v>
      </c>
      <c r="CZ65" s="137">
        <v>70</v>
      </c>
      <c r="DA65" s="137">
        <v>20</v>
      </c>
      <c r="DB65" s="137">
        <v>12</v>
      </c>
      <c r="DC65" s="137">
        <v>125</v>
      </c>
      <c r="DD65" s="137">
        <v>65</v>
      </c>
      <c r="DE65" s="137">
        <v>20</v>
      </c>
      <c r="DF65" s="137">
        <v>40</v>
      </c>
      <c r="DG65" s="137">
        <v>30</v>
      </c>
      <c r="DH65" s="137">
        <v>120</v>
      </c>
      <c r="DI65" s="137">
        <v>40</v>
      </c>
      <c r="DJ65" s="137">
        <v>80</v>
      </c>
      <c r="DK65" s="137"/>
      <c r="DL65" s="137">
        <v>150</v>
      </c>
      <c r="DM65" s="137">
        <v>80</v>
      </c>
      <c r="DN65" s="137">
        <v>50</v>
      </c>
      <c r="DO65" s="137">
        <v>60</v>
      </c>
      <c r="DP65" s="137">
        <v>15</v>
      </c>
      <c r="DQ65" s="137">
        <v>30</v>
      </c>
      <c r="DR65" s="137">
        <v>12</v>
      </c>
      <c r="DS65" s="137"/>
      <c r="DT65" s="137">
        <v>15</v>
      </c>
      <c r="DU65" s="137">
        <v>15</v>
      </c>
      <c r="DV65" s="137">
        <v>15</v>
      </c>
      <c r="DW65" s="137">
        <v>20</v>
      </c>
      <c r="DX65" s="137">
        <v>15</v>
      </c>
      <c r="DY65" s="137">
        <v>15</v>
      </c>
      <c r="DZ65" s="137">
        <v>15</v>
      </c>
      <c r="EA65" s="137">
        <v>15</v>
      </c>
      <c r="EB65" s="137">
        <v>20</v>
      </c>
      <c r="EC65" s="137">
        <v>15</v>
      </c>
      <c r="ED65" s="137">
        <v>10</v>
      </c>
      <c r="EE65" s="137">
        <v>15</v>
      </c>
      <c r="EF65" s="137">
        <v>15</v>
      </c>
      <c r="EG65" s="137">
        <v>15</v>
      </c>
      <c r="EH65" s="137"/>
      <c r="EI65" s="137">
        <v>35</v>
      </c>
      <c r="EJ65" s="137">
        <v>50</v>
      </c>
      <c r="EK65" s="137">
        <v>50</v>
      </c>
      <c r="EL65" s="137">
        <v>25</v>
      </c>
      <c r="EM65" s="137">
        <v>20</v>
      </c>
      <c r="EN65" s="137">
        <v>20</v>
      </c>
      <c r="EO65" s="137">
        <v>50</v>
      </c>
      <c r="EP65" s="137">
        <v>15</v>
      </c>
      <c r="EQ65" s="137">
        <v>15</v>
      </c>
      <c r="ER65" s="137"/>
      <c r="ES65" s="137">
        <v>30</v>
      </c>
      <c r="ET65" s="137">
        <v>40</v>
      </c>
      <c r="EU65" s="137">
        <v>25</v>
      </c>
      <c r="EV65" s="137">
        <v>25</v>
      </c>
      <c r="EW65" s="137">
        <v>35</v>
      </c>
      <c r="EX65" s="137">
        <v>40</v>
      </c>
      <c r="EY65" s="137">
        <v>20</v>
      </c>
      <c r="EZ65" s="137">
        <v>25</v>
      </c>
      <c r="FA65" s="137">
        <v>20</v>
      </c>
      <c r="FB65" s="137">
        <v>20</v>
      </c>
      <c r="FC65" s="137"/>
      <c r="FD65" s="137">
        <v>25</v>
      </c>
      <c r="FE65" s="137">
        <v>30</v>
      </c>
      <c r="FF65" s="137">
        <v>15</v>
      </c>
      <c r="FG65" s="137">
        <v>20</v>
      </c>
      <c r="FH65" s="137">
        <v>15</v>
      </c>
      <c r="FI65" s="137">
        <v>10</v>
      </c>
      <c r="FJ65" s="137">
        <v>20</v>
      </c>
      <c r="FK65" s="137"/>
      <c r="FL65" s="137">
        <v>25</v>
      </c>
      <c r="FM65" s="137">
        <v>8</v>
      </c>
      <c r="FN65" s="137">
        <v>15</v>
      </c>
      <c r="FO65" s="137">
        <v>10</v>
      </c>
      <c r="FP65" s="137">
        <v>30</v>
      </c>
      <c r="FQ65" s="137">
        <v>10</v>
      </c>
      <c r="FR65" s="137">
        <v>25</v>
      </c>
      <c r="FS65" s="137">
        <v>25</v>
      </c>
      <c r="FT65" s="137">
        <v>10</v>
      </c>
      <c r="FU65" s="137"/>
      <c r="FV65" s="137">
        <v>40</v>
      </c>
      <c r="FW65" s="137">
        <v>35</v>
      </c>
      <c r="FX65" s="137">
        <v>15</v>
      </c>
      <c r="FY65" s="137">
        <v>20</v>
      </c>
      <c r="FZ65" s="137">
        <v>15</v>
      </c>
      <c r="GA65" s="137">
        <v>30</v>
      </c>
      <c r="GB65" s="137">
        <v>50</v>
      </c>
      <c r="GC65" s="137">
        <v>30</v>
      </c>
      <c r="GD65" s="137">
        <v>25</v>
      </c>
      <c r="GE65" s="137">
        <v>35</v>
      </c>
      <c r="GF65" s="137"/>
      <c r="GG65" s="137">
        <v>50</v>
      </c>
      <c r="GH65" s="137">
        <v>30</v>
      </c>
      <c r="GI65" s="137">
        <v>25</v>
      </c>
      <c r="GJ65" s="137">
        <v>20</v>
      </c>
      <c r="GK65" s="137">
        <v>25</v>
      </c>
      <c r="GL65" s="137">
        <v>25</v>
      </c>
      <c r="GM65" s="137">
        <v>25</v>
      </c>
      <c r="GN65" s="137">
        <v>20</v>
      </c>
      <c r="GO65" s="137"/>
      <c r="GP65" s="137">
        <v>60</v>
      </c>
      <c r="GQ65" s="137">
        <v>105</v>
      </c>
      <c r="GR65" s="137">
        <v>35</v>
      </c>
      <c r="GS65" s="137">
        <v>30</v>
      </c>
      <c r="GT65" s="137">
        <v>25</v>
      </c>
      <c r="GU65" s="137">
        <v>30</v>
      </c>
      <c r="GV65" s="137"/>
      <c r="GW65" s="137">
        <v>80</v>
      </c>
      <c r="GX65" s="137">
        <v>35</v>
      </c>
      <c r="GY65" s="137">
        <v>30</v>
      </c>
      <c r="GZ65" s="137">
        <v>110</v>
      </c>
      <c r="HA65" s="137">
        <v>60</v>
      </c>
      <c r="HB65" s="137">
        <v>15</v>
      </c>
      <c r="HC65" s="137">
        <v>25</v>
      </c>
      <c r="HD65" s="137"/>
      <c r="HE65" s="137">
        <v>30</v>
      </c>
      <c r="HF65" s="137">
        <v>10</v>
      </c>
      <c r="HG65" s="137">
        <v>20</v>
      </c>
      <c r="HH65" s="137">
        <v>20</v>
      </c>
      <c r="HI65" s="137">
        <v>25</v>
      </c>
      <c r="HJ65" s="137" t="s">
        <v>1847</v>
      </c>
      <c r="HK65" s="137">
        <v>30</v>
      </c>
      <c r="HL65" s="137">
        <v>25</v>
      </c>
      <c r="HM65" s="137"/>
      <c r="HN65" s="137">
        <v>30</v>
      </c>
      <c r="HO65" s="137">
        <v>20</v>
      </c>
      <c r="HP65" s="137">
        <v>15</v>
      </c>
      <c r="HQ65" s="137">
        <v>20</v>
      </c>
      <c r="HR65" s="137">
        <v>25</v>
      </c>
      <c r="HS65" s="137">
        <v>10</v>
      </c>
      <c r="HT65" s="137"/>
      <c r="HU65" s="137">
        <v>25</v>
      </c>
      <c r="HV65" s="137">
        <v>30</v>
      </c>
      <c r="HW65" s="137">
        <v>20</v>
      </c>
      <c r="HX65" s="137">
        <v>60</v>
      </c>
      <c r="HY65" s="137">
        <v>10</v>
      </c>
      <c r="HZ65" s="137">
        <v>20</v>
      </c>
      <c r="IA65" s="137">
        <v>80</v>
      </c>
      <c r="IB65" s="137">
        <v>15</v>
      </c>
      <c r="IC65" s="137">
        <v>40</v>
      </c>
      <c r="ID65" s="137"/>
      <c r="IE65" s="137">
        <v>30</v>
      </c>
      <c r="IF65" s="137">
        <v>35</v>
      </c>
      <c r="IG65" s="137">
        <v>35</v>
      </c>
      <c r="IH65" s="137">
        <v>15</v>
      </c>
      <c r="II65" s="137">
        <v>15</v>
      </c>
      <c r="IJ65" s="137">
        <v>70</v>
      </c>
      <c r="IK65" s="137">
        <v>25</v>
      </c>
      <c r="IL65" s="137">
        <v>40</v>
      </c>
      <c r="IM65" s="137">
        <v>25</v>
      </c>
      <c r="IN65" s="137">
        <v>40</v>
      </c>
      <c r="IO65" s="137">
        <v>15</v>
      </c>
      <c r="IP65" s="137">
        <v>25</v>
      </c>
      <c r="IQ65" s="137"/>
      <c r="IR65" s="137">
        <v>30</v>
      </c>
      <c r="IS65" s="137">
        <v>15</v>
      </c>
      <c r="IT65" s="137">
        <v>20</v>
      </c>
      <c r="IU65" s="137"/>
      <c r="IV65" s="137">
        <v>60</v>
      </c>
      <c r="IW65" s="137">
        <v>30</v>
      </c>
      <c r="IX65" s="137"/>
      <c r="IY65" s="137">
        <v>70</v>
      </c>
      <c r="IZ65" s="137">
        <v>15</v>
      </c>
      <c r="JA65" s="137">
        <v>10</v>
      </c>
      <c r="JB65" s="137">
        <v>25</v>
      </c>
      <c r="JC65" s="137">
        <v>20</v>
      </c>
      <c r="JD65" s="137">
        <v>40</v>
      </c>
      <c r="JE65" s="137">
        <v>30</v>
      </c>
      <c r="JF65" s="137"/>
      <c r="JG65" s="137">
        <v>50</v>
      </c>
      <c r="JH65" s="137">
        <v>20</v>
      </c>
      <c r="JI65" s="137">
        <v>25</v>
      </c>
      <c r="JJ65" s="137">
        <v>50</v>
      </c>
      <c r="JK65" s="137">
        <v>20</v>
      </c>
      <c r="JL65" s="137"/>
      <c r="JM65" s="137">
        <v>40</v>
      </c>
      <c r="JN65" s="137">
        <v>15</v>
      </c>
      <c r="JO65" s="137">
        <v>10</v>
      </c>
      <c r="JP65" s="137"/>
      <c r="JQ65" s="137">
        <v>90</v>
      </c>
      <c r="JR65" s="137">
        <v>45</v>
      </c>
      <c r="JS65" s="137">
        <v>25</v>
      </c>
      <c r="JT65" s="137">
        <v>60</v>
      </c>
      <c r="JU65" s="137">
        <v>75</v>
      </c>
      <c r="JV65" s="137">
        <v>60</v>
      </c>
      <c r="JW65" s="137">
        <v>35</v>
      </c>
      <c r="JX65" s="137">
        <v>30</v>
      </c>
      <c r="JY65" s="137"/>
    </row>
    <row r="66" spans="1:285" s="147" customFormat="1" x14ac:dyDescent="0.2">
      <c r="A66" s="137" t="s">
        <v>1848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7"/>
      <c r="CG66" s="137"/>
      <c r="CH66" s="137"/>
      <c r="CI66" s="137"/>
      <c r="CJ66" s="137"/>
      <c r="CK66" s="137"/>
      <c r="CL66" s="137"/>
      <c r="CM66" s="137"/>
      <c r="CN66" s="137"/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7"/>
      <c r="DB66" s="137"/>
      <c r="DC66" s="137"/>
      <c r="DD66" s="137"/>
      <c r="DE66" s="137"/>
      <c r="DF66" s="137"/>
      <c r="DG66" s="137"/>
      <c r="DH66" s="137"/>
      <c r="DI66" s="137"/>
      <c r="DJ66" s="137"/>
      <c r="DK66" s="137"/>
      <c r="DL66" s="137"/>
      <c r="DM66" s="137"/>
      <c r="DN66" s="137"/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7"/>
      <c r="EB66" s="137"/>
      <c r="EC66" s="137"/>
      <c r="ED66" s="137"/>
      <c r="EE66" s="137"/>
      <c r="EF66" s="137"/>
      <c r="EG66" s="137"/>
      <c r="EH66" s="137"/>
      <c r="EI66" s="137"/>
      <c r="EJ66" s="137"/>
      <c r="EK66" s="137"/>
      <c r="EL66" s="137"/>
      <c r="EM66" s="137"/>
      <c r="EN66" s="137"/>
      <c r="EO66" s="137"/>
      <c r="EP66" s="137"/>
      <c r="EQ66" s="137"/>
      <c r="ER66" s="137"/>
      <c r="ES66" s="137"/>
      <c r="ET66" s="137"/>
      <c r="EU66" s="137"/>
      <c r="EV66" s="137"/>
      <c r="EW66" s="137"/>
      <c r="EX66" s="137"/>
      <c r="EY66" s="137"/>
      <c r="EZ66" s="137"/>
      <c r="FA66" s="137"/>
      <c r="FB66" s="137"/>
      <c r="FC66" s="137"/>
      <c r="FD66" s="137"/>
      <c r="FE66" s="137"/>
      <c r="FF66" s="137"/>
      <c r="FG66" s="137"/>
      <c r="FH66" s="137"/>
      <c r="FI66" s="137"/>
      <c r="FJ66" s="137"/>
      <c r="FK66" s="137"/>
      <c r="FL66" s="137"/>
      <c r="FM66" s="137"/>
      <c r="FN66" s="137"/>
      <c r="FO66" s="137"/>
      <c r="FP66" s="137"/>
      <c r="FQ66" s="137"/>
      <c r="FR66" s="137"/>
      <c r="FS66" s="137"/>
      <c r="FT66" s="137"/>
      <c r="FU66" s="137"/>
      <c r="FV66" s="137"/>
      <c r="FW66" s="137"/>
      <c r="FX66" s="137"/>
      <c r="FY66" s="137"/>
      <c r="FZ66" s="137"/>
      <c r="GA66" s="137"/>
      <c r="GB66" s="137"/>
      <c r="GC66" s="137"/>
      <c r="GD66" s="137"/>
      <c r="GE66" s="137"/>
      <c r="GF66" s="137"/>
      <c r="GG66" s="137"/>
      <c r="GH66" s="137"/>
      <c r="GI66" s="137"/>
      <c r="GJ66" s="137"/>
      <c r="GK66" s="137"/>
      <c r="GL66" s="137"/>
      <c r="GM66" s="137"/>
      <c r="GN66" s="137"/>
      <c r="GO66" s="137"/>
      <c r="GP66" s="137"/>
      <c r="GQ66" s="137"/>
      <c r="GR66" s="137"/>
      <c r="GS66" s="137"/>
      <c r="GT66" s="137"/>
      <c r="GU66" s="137"/>
      <c r="GV66" s="137"/>
      <c r="GW66" s="137"/>
      <c r="GX66" s="137"/>
      <c r="GY66" s="137"/>
      <c r="GZ66" s="137"/>
      <c r="HA66" s="137"/>
      <c r="HB66" s="137"/>
      <c r="HC66" s="137"/>
      <c r="HD66" s="137"/>
      <c r="HE66" s="137"/>
      <c r="HF66" s="137"/>
      <c r="HG66" s="137"/>
      <c r="HH66" s="137"/>
      <c r="HI66" s="137"/>
      <c r="HJ66" s="137"/>
      <c r="HK66" s="137"/>
      <c r="HL66" s="137"/>
      <c r="HM66" s="137"/>
      <c r="HN66" s="137"/>
      <c r="HO66" s="137"/>
      <c r="HP66" s="137"/>
      <c r="HQ66" s="137"/>
      <c r="HR66" s="137"/>
      <c r="HS66" s="137"/>
      <c r="HT66" s="137"/>
      <c r="HU66" s="137"/>
      <c r="HV66" s="137"/>
      <c r="HW66" s="137"/>
      <c r="HX66" s="137"/>
      <c r="HY66" s="137"/>
      <c r="HZ66" s="137"/>
      <c r="IA66" s="137"/>
      <c r="IB66" s="137"/>
      <c r="IC66" s="137"/>
      <c r="ID66" s="137"/>
      <c r="IE66" s="137"/>
      <c r="IF66" s="137"/>
      <c r="IG66" s="137"/>
      <c r="IH66" s="137"/>
      <c r="II66" s="137"/>
      <c r="IJ66" s="137"/>
      <c r="IK66" s="137"/>
      <c r="IL66" s="137"/>
      <c r="IM66" s="137"/>
      <c r="IN66" s="137"/>
      <c r="IO66" s="137"/>
      <c r="IP66" s="137"/>
      <c r="IQ66" s="137"/>
      <c r="IR66" s="137"/>
      <c r="IS66" s="137"/>
      <c r="IT66" s="137"/>
      <c r="IU66" s="137"/>
      <c r="IV66" s="137"/>
      <c r="IW66" s="137"/>
      <c r="IX66" s="137"/>
      <c r="IY66" s="137"/>
      <c r="IZ66" s="137"/>
      <c r="JA66" s="137"/>
      <c r="JB66" s="137"/>
      <c r="JC66" s="137"/>
      <c r="JD66" s="137"/>
      <c r="JE66" s="137"/>
      <c r="JF66" s="137"/>
      <c r="JG66" s="137"/>
      <c r="JH66" s="137"/>
      <c r="JI66" s="137"/>
      <c r="JJ66" s="137"/>
      <c r="JK66" s="137"/>
      <c r="JL66" s="137"/>
      <c r="JM66" s="137"/>
      <c r="JN66" s="137"/>
      <c r="JO66" s="137"/>
      <c r="JP66" s="137"/>
      <c r="JQ66" s="137"/>
      <c r="JR66" s="137"/>
      <c r="JS66" s="137"/>
      <c r="JT66" s="137"/>
      <c r="JU66" s="137"/>
      <c r="JV66" s="137"/>
      <c r="JW66" s="137"/>
      <c r="JX66" s="137"/>
      <c r="JY66" s="137"/>
    </row>
    <row r="67" spans="1:285" s="147" customFormat="1" x14ac:dyDescent="0.2">
      <c r="A67" s="137" t="s">
        <v>1849</v>
      </c>
      <c r="B67" s="137" t="s">
        <v>1850</v>
      </c>
      <c r="C67" s="137"/>
      <c r="D67" s="137"/>
      <c r="E67" s="137"/>
      <c r="F67" s="137"/>
      <c r="G67" s="137"/>
      <c r="H67" s="137"/>
      <c r="I67" s="137" t="s">
        <v>1851</v>
      </c>
      <c r="J67" s="137"/>
      <c r="K67" s="137"/>
      <c r="L67" s="137"/>
      <c r="M67" s="137"/>
      <c r="N67" s="137"/>
      <c r="O67" s="137" t="s">
        <v>1852</v>
      </c>
      <c r="P67" s="137" t="s">
        <v>1852</v>
      </c>
      <c r="Q67" s="137"/>
      <c r="R67" s="137"/>
      <c r="S67" s="137"/>
      <c r="T67" s="137"/>
      <c r="U67" s="137" t="s">
        <v>1852</v>
      </c>
      <c r="V67" s="137"/>
      <c r="W67" s="137"/>
      <c r="X67" s="137" t="s">
        <v>1852</v>
      </c>
      <c r="Y67" s="137" t="s">
        <v>1853</v>
      </c>
      <c r="Z67" s="137"/>
      <c r="AA67" s="137"/>
      <c r="AB67" s="137"/>
      <c r="AC67" s="137"/>
      <c r="AD67" s="137"/>
      <c r="AE67" s="137"/>
      <c r="AF67" s="137"/>
      <c r="AG67" s="137"/>
      <c r="AH67" s="137"/>
      <c r="AI67" s="137" t="s">
        <v>1852</v>
      </c>
      <c r="AJ67" s="137" t="s">
        <v>1852</v>
      </c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 t="s">
        <v>1854</v>
      </c>
      <c r="BO67" s="137" t="s">
        <v>1855</v>
      </c>
      <c r="BP67" s="137"/>
      <c r="BQ67" s="137"/>
      <c r="BR67" s="137" t="s">
        <v>1856</v>
      </c>
      <c r="BS67" s="137" t="s">
        <v>1854</v>
      </c>
      <c r="BT67" s="137"/>
      <c r="BU67" s="137" t="s">
        <v>1855</v>
      </c>
      <c r="BV67" s="137"/>
      <c r="BW67" s="137" t="s">
        <v>1857</v>
      </c>
      <c r="BX67" s="137"/>
      <c r="BY67" s="137" t="s">
        <v>1857</v>
      </c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 t="s">
        <v>1852</v>
      </c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 t="s">
        <v>1858</v>
      </c>
      <c r="CZ67" s="137"/>
      <c r="DA67" s="137"/>
      <c r="DB67" s="137"/>
      <c r="DC67" s="137" t="s">
        <v>1859</v>
      </c>
      <c r="DD67" s="137"/>
      <c r="DE67" s="137"/>
      <c r="DF67" s="137"/>
      <c r="DG67" s="137"/>
      <c r="DH67" s="137"/>
      <c r="DI67" s="137"/>
      <c r="DJ67" s="137"/>
      <c r="DK67" s="137"/>
      <c r="DL67" s="137"/>
      <c r="DM67" s="137"/>
      <c r="DN67" s="137"/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7"/>
      <c r="EB67" s="137"/>
      <c r="EC67" s="137"/>
      <c r="ED67" s="137"/>
      <c r="EE67" s="137"/>
      <c r="EF67" s="137"/>
      <c r="EG67" s="137"/>
      <c r="EH67" s="137"/>
      <c r="EI67" s="137"/>
      <c r="EJ67" s="137"/>
      <c r="EK67" s="137"/>
      <c r="EL67" s="137"/>
      <c r="EM67" s="137"/>
      <c r="EN67" s="137"/>
      <c r="EO67" s="137"/>
      <c r="EP67" s="137"/>
      <c r="EQ67" s="137"/>
      <c r="ER67" s="137"/>
      <c r="ES67" s="137"/>
      <c r="ET67" s="137"/>
      <c r="EU67" s="137"/>
      <c r="EV67" s="137"/>
      <c r="EW67" s="137"/>
      <c r="EX67" s="137"/>
      <c r="EY67" s="137"/>
      <c r="EZ67" s="137"/>
      <c r="FA67" s="137"/>
      <c r="FB67" s="137"/>
      <c r="FC67" s="137"/>
      <c r="FD67" s="137"/>
      <c r="FE67" s="137" t="s">
        <v>1860</v>
      </c>
      <c r="FF67" s="137"/>
      <c r="FG67" s="137"/>
      <c r="FH67" s="137"/>
      <c r="FI67" s="137"/>
      <c r="FJ67" s="137"/>
      <c r="FK67" s="137"/>
      <c r="FL67" s="137"/>
      <c r="FM67" s="137"/>
      <c r="FN67" s="137"/>
      <c r="FO67" s="137"/>
      <c r="FP67" s="137"/>
      <c r="FQ67" s="137"/>
      <c r="FR67" s="137"/>
      <c r="FS67" s="137"/>
      <c r="FT67" s="137"/>
      <c r="FU67" s="137"/>
      <c r="FV67" s="137" t="s">
        <v>1861</v>
      </c>
      <c r="FW67" s="137"/>
      <c r="FX67" s="137"/>
      <c r="FY67" s="137"/>
      <c r="FZ67" s="137"/>
      <c r="GA67" s="137"/>
      <c r="GB67" s="137"/>
      <c r="GC67" s="137"/>
      <c r="GD67" s="137"/>
      <c r="GE67" s="137"/>
      <c r="GF67" s="137"/>
      <c r="GG67" s="137"/>
      <c r="GH67" s="137"/>
      <c r="GI67" s="137"/>
      <c r="GJ67" s="137"/>
      <c r="GK67" s="137"/>
      <c r="GL67" s="137"/>
      <c r="GM67" s="137"/>
      <c r="GN67" s="137"/>
      <c r="GO67" s="137"/>
      <c r="GP67" s="137"/>
      <c r="GQ67" s="137"/>
      <c r="GR67" s="137"/>
      <c r="GS67" s="137"/>
      <c r="GT67" s="137"/>
      <c r="GU67" s="137"/>
      <c r="GV67" s="137"/>
      <c r="GW67" s="137"/>
      <c r="GX67" s="137"/>
      <c r="GY67" s="137"/>
      <c r="GZ67" s="137"/>
      <c r="HA67" s="137" t="s">
        <v>1860</v>
      </c>
      <c r="HB67" s="137"/>
      <c r="HC67" s="137"/>
      <c r="HD67" s="137"/>
      <c r="HE67" s="137"/>
      <c r="HF67" s="137"/>
      <c r="HG67" s="137"/>
      <c r="HH67" s="137"/>
      <c r="HI67" s="137"/>
      <c r="HJ67" s="137"/>
      <c r="HK67" s="137"/>
      <c r="HL67" s="137"/>
      <c r="HM67" s="137"/>
      <c r="HN67" s="137" t="s">
        <v>1860</v>
      </c>
      <c r="HO67" s="137"/>
      <c r="HP67" s="137"/>
      <c r="HQ67" s="137"/>
      <c r="HR67" s="137"/>
      <c r="HS67" s="137"/>
      <c r="HT67" s="137"/>
      <c r="HU67" s="137"/>
      <c r="HV67" s="137"/>
      <c r="HW67" s="137"/>
      <c r="HX67" s="137"/>
      <c r="HY67" s="137"/>
      <c r="HZ67" s="137"/>
      <c r="IA67" s="137"/>
      <c r="IB67" s="137"/>
      <c r="IC67" s="137"/>
      <c r="ID67" s="137"/>
      <c r="IE67" s="137"/>
      <c r="IF67" s="137"/>
      <c r="IG67" s="137"/>
      <c r="IH67" s="137"/>
      <c r="II67" s="137"/>
      <c r="IJ67" s="137"/>
      <c r="IK67" s="137"/>
      <c r="IL67" s="137"/>
      <c r="IM67" s="137"/>
      <c r="IN67" s="137"/>
      <c r="IO67" s="137"/>
      <c r="IP67" s="137"/>
      <c r="IQ67" s="137"/>
      <c r="IR67" s="137"/>
      <c r="IS67" s="137"/>
      <c r="IT67" s="137"/>
      <c r="IU67" s="137"/>
      <c r="IV67" s="137"/>
      <c r="IW67" s="137"/>
      <c r="IX67" s="137"/>
      <c r="IY67" s="137"/>
      <c r="IZ67" s="137"/>
      <c r="JA67" s="137"/>
      <c r="JB67" s="137"/>
      <c r="JC67" s="137"/>
      <c r="JD67" s="137"/>
      <c r="JE67" s="137"/>
      <c r="JF67" s="137"/>
      <c r="JG67" s="137"/>
      <c r="JH67" s="137"/>
      <c r="JI67" s="137"/>
      <c r="JJ67" s="137"/>
      <c r="JK67" s="137"/>
      <c r="JL67" s="137"/>
      <c r="JM67" s="137"/>
      <c r="JN67" s="137"/>
      <c r="JO67" s="137"/>
      <c r="JP67" s="137"/>
      <c r="JQ67" s="137" t="s">
        <v>1860</v>
      </c>
      <c r="JR67" s="137"/>
      <c r="JS67" s="137"/>
      <c r="JT67" s="137"/>
      <c r="JU67" s="137"/>
      <c r="JV67" s="137"/>
      <c r="JW67" s="137"/>
      <c r="JX67" s="137"/>
      <c r="JY67" s="137"/>
    </row>
    <row r="68" spans="1:285" s="147" customFormat="1" x14ac:dyDescent="0.2">
      <c r="A68" s="137" t="s">
        <v>1862</v>
      </c>
      <c r="B68" s="137" t="s">
        <v>1863</v>
      </c>
      <c r="C68" s="137"/>
      <c r="D68" s="137"/>
      <c r="E68" s="137"/>
      <c r="F68" s="137"/>
      <c r="G68" s="137"/>
      <c r="H68" s="137"/>
      <c r="I68" s="137"/>
      <c r="J68" s="137"/>
      <c r="K68" s="137" t="s">
        <v>1864</v>
      </c>
      <c r="L68" s="137"/>
      <c r="M68" s="137"/>
      <c r="N68" s="137" t="s">
        <v>1865</v>
      </c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 t="s">
        <v>1866</v>
      </c>
      <c r="AC68" s="137" t="s">
        <v>1866</v>
      </c>
      <c r="AD68" s="137"/>
      <c r="AE68" s="137" t="s">
        <v>1866</v>
      </c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 t="s">
        <v>1866</v>
      </c>
      <c r="BP68" s="137" t="s">
        <v>1866</v>
      </c>
      <c r="BQ68" s="137"/>
      <c r="BR68" s="137"/>
      <c r="BS68" s="137"/>
      <c r="BT68" s="137"/>
      <c r="BU68" s="137" t="s">
        <v>1866</v>
      </c>
      <c r="BV68" s="137"/>
      <c r="BW68" s="137" t="s">
        <v>1867</v>
      </c>
      <c r="BX68" s="137" t="s">
        <v>1866</v>
      </c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7"/>
      <c r="DC68" s="137"/>
      <c r="DD68" s="137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7"/>
      <c r="EB68" s="137"/>
      <c r="EC68" s="137"/>
      <c r="ED68" s="137"/>
      <c r="EE68" s="137"/>
      <c r="EF68" s="137"/>
      <c r="EG68" s="137"/>
      <c r="EH68" s="137"/>
      <c r="EI68" s="137"/>
      <c r="EJ68" s="137"/>
      <c r="EK68" s="137"/>
      <c r="EL68" s="137"/>
      <c r="EM68" s="137"/>
      <c r="EN68" s="137"/>
      <c r="EO68" s="137"/>
      <c r="EP68" s="137"/>
      <c r="EQ68" s="137"/>
      <c r="ER68" s="137"/>
      <c r="ES68" s="137"/>
      <c r="ET68" s="137"/>
      <c r="EU68" s="137"/>
      <c r="EV68" s="137"/>
      <c r="EW68" s="137"/>
      <c r="EX68" s="137"/>
      <c r="EY68" s="137"/>
      <c r="EZ68" s="137"/>
      <c r="FA68" s="137"/>
      <c r="FB68" s="137"/>
      <c r="FC68" s="137"/>
      <c r="FD68" s="137"/>
      <c r="FE68" s="137"/>
      <c r="FF68" s="137"/>
      <c r="FG68" s="137"/>
      <c r="FH68" s="137"/>
      <c r="FI68" s="137"/>
      <c r="FJ68" s="137"/>
      <c r="FK68" s="137"/>
      <c r="FL68" s="137"/>
      <c r="FM68" s="137"/>
      <c r="FN68" s="137"/>
      <c r="FO68" s="137"/>
      <c r="FP68" s="137"/>
      <c r="FQ68" s="137"/>
      <c r="FR68" s="137"/>
      <c r="FS68" s="137"/>
      <c r="FT68" s="137"/>
      <c r="FU68" s="137"/>
      <c r="FV68" s="137"/>
      <c r="FW68" s="137"/>
      <c r="FX68" s="137"/>
      <c r="FY68" s="137"/>
      <c r="FZ68" s="137"/>
      <c r="GA68" s="137"/>
      <c r="GB68" s="137"/>
      <c r="GC68" s="137"/>
      <c r="GD68" s="137"/>
      <c r="GE68" s="137"/>
      <c r="GF68" s="137"/>
      <c r="GG68" s="137"/>
      <c r="GH68" s="137"/>
      <c r="GI68" s="137"/>
      <c r="GJ68" s="137"/>
      <c r="GK68" s="137"/>
      <c r="GL68" s="137"/>
      <c r="GM68" s="137"/>
      <c r="GN68" s="137"/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7"/>
      <c r="HB68" s="137"/>
      <c r="HC68" s="137"/>
      <c r="HD68" s="137"/>
      <c r="HE68" s="137"/>
      <c r="HF68" s="137"/>
      <c r="HG68" s="137"/>
      <c r="HH68" s="137"/>
      <c r="HI68" s="137"/>
      <c r="HJ68" s="137" t="s">
        <v>1847</v>
      </c>
      <c r="HK68" s="137"/>
      <c r="HL68" s="137"/>
      <c r="HM68" s="137"/>
      <c r="HN68" s="137"/>
      <c r="HO68" s="137"/>
      <c r="HP68" s="137"/>
      <c r="HQ68" s="137"/>
      <c r="HR68" s="137"/>
      <c r="HS68" s="137"/>
      <c r="HT68" s="137"/>
      <c r="HU68" s="137"/>
      <c r="HV68" s="137"/>
      <c r="HW68" s="137"/>
      <c r="HX68" s="137"/>
      <c r="HY68" s="137"/>
      <c r="HZ68" s="137"/>
      <c r="IA68" s="137"/>
      <c r="IB68" s="137"/>
      <c r="IC68" s="137"/>
      <c r="ID68" s="137"/>
      <c r="IE68" s="137"/>
      <c r="IF68" s="137"/>
      <c r="IG68" s="137"/>
      <c r="IH68" s="137"/>
      <c r="II68" s="137"/>
      <c r="IJ68" s="137"/>
      <c r="IK68" s="137"/>
      <c r="IL68" s="137"/>
      <c r="IM68" s="137"/>
      <c r="IN68" s="137"/>
      <c r="IO68" s="137"/>
      <c r="IP68" s="137"/>
      <c r="IQ68" s="137"/>
      <c r="IR68" s="137"/>
      <c r="IS68" s="137"/>
      <c r="IT68" s="137"/>
      <c r="IU68" s="137"/>
      <c r="IV68" s="137"/>
      <c r="IW68" s="137"/>
      <c r="IX68" s="137"/>
      <c r="IY68" s="137"/>
      <c r="IZ68" s="137"/>
      <c r="JA68" s="137"/>
      <c r="JB68" s="137"/>
      <c r="JC68" s="137"/>
      <c r="JD68" s="137"/>
      <c r="JE68" s="137"/>
      <c r="JF68" s="137"/>
      <c r="JG68" s="137"/>
      <c r="JH68" s="137"/>
      <c r="JI68" s="137"/>
      <c r="JJ68" s="137"/>
      <c r="JK68" s="137"/>
      <c r="JL68" s="137"/>
      <c r="JM68" s="137"/>
      <c r="JN68" s="137"/>
      <c r="JO68" s="137"/>
      <c r="JP68" s="137"/>
      <c r="JQ68" s="137"/>
      <c r="JR68" s="137"/>
      <c r="JS68" s="137"/>
      <c r="JT68" s="137"/>
      <c r="JU68" s="137"/>
      <c r="JV68" s="137"/>
      <c r="JW68" s="137"/>
      <c r="JX68" s="137"/>
      <c r="JY68" s="137"/>
    </row>
    <row r="69" spans="1:285" s="147" customFormat="1" x14ac:dyDescent="0.2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7"/>
      <c r="CG69" s="137"/>
      <c r="CH69" s="137"/>
      <c r="CI69" s="137"/>
      <c r="CJ69" s="137"/>
      <c r="CK69" s="137"/>
      <c r="CL69" s="137"/>
      <c r="CM69" s="137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7"/>
      <c r="EB69" s="137"/>
      <c r="EC69" s="137"/>
      <c r="ED69" s="137"/>
      <c r="EE69" s="137"/>
      <c r="EF69" s="137"/>
      <c r="EG69" s="137"/>
      <c r="EH69" s="137"/>
      <c r="EI69" s="137"/>
      <c r="EJ69" s="137"/>
      <c r="EK69" s="137"/>
      <c r="EL69" s="137"/>
      <c r="EM69" s="137"/>
      <c r="EN69" s="137"/>
      <c r="EO69" s="137"/>
      <c r="EP69" s="137"/>
      <c r="EQ69" s="137"/>
      <c r="ER69" s="137"/>
      <c r="ES69" s="137"/>
      <c r="ET69" s="137"/>
      <c r="EU69" s="137"/>
      <c r="EV69" s="137"/>
      <c r="EW69" s="137"/>
      <c r="EX69" s="137"/>
      <c r="EY69" s="137"/>
      <c r="EZ69" s="137"/>
      <c r="FA69" s="137"/>
      <c r="FB69" s="137"/>
      <c r="FC69" s="137"/>
      <c r="FD69" s="137"/>
      <c r="FE69" s="137"/>
      <c r="FF69" s="137"/>
      <c r="FG69" s="137"/>
      <c r="FH69" s="137"/>
      <c r="FI69" s="137"/>
      <c r="FJ69" s="137"/>
      <c r="FK69" s="137"/>
      <c r="FL69" s="137"/>
      <c r="FM69" s="137"/>
      <c r="FN69" s="137"/>
      <c r="FO69" s="137"/>
      <c r="FP69" s="137"/>
      <c r="FQ69" s="137"/>
      <c r="FR69" s="137"/>
      <c r="FS69" s="137"/>
      <c r="FT69" s="137"/>
      <c r="FU69" s="137"/>
      <c r="FV69" s="137"/>
      <c r="FW69" s="137"/>
      <c r="FX69" s="137"/>
      <c r="FY69" s="137"/>
      <c r="FZ69" s="137"/>
      <c r="GA69" s="137"/>
      <c r="GB69" s="137"/>
      <c r="GC69" s="137"/>
      <c r="GD69" s="137"/>
      <c r="GE69" s="137"/>
      <c r="GF69" s="137"/>
      <c r="GG69" s="137"/>
      <c r="GH69" s="137"/>
      <c r="GI69" s="137"/>
      <c r="GJ69" s="137"/>
      <c r="GK69" s="137"/>
      <c r="GL69" s="137"/>
      <c r="GM69" s="137"/>
      <c r="GN69" s="137"/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7"/>
      <c r="HB69" s="137"/>
      <c r="HC69" s="137"/>
      <c r="HD69" s="137"/>
      <c r="HE69" s="137"/>
      <c r="HF69" s="137"/>
      <c r="HG69" s="137"/>
      <c r="HH69" s="137"/>
      <c r="HI69" s="137"/>
      <c r="HJ69" s="137"/>
      <c r="HK69" s="137"/>
      <c r="HL69" s="137"/>
      <c r="HM69" s="137"/>
      <c r="HN69" s="137"/>
      <c r="HO69" s="137"/>
      <c r="HP69" s="137"/>
      <c r="HQ69" s="137"/>
      <c r="HR69" s="137"/>
      <c r="HS69" s="137"/>
      <c r="HT69" s="137"/>
      <c r="HU69" s="137"/>
      <c r="HV69" s="137"/>
      <c r="HW69" s="137"/>
      <c r="HX69" s="137"/>
      <c r="HY69" s="137"/>
      <c r="HZ69" s="137"/>
      <c r="IA69" s="137"/>
      <c r="IB69" s="137"/>
      <c r="IC69" s="137"/>
      <c r="ID69" s="137"/>
      <c r="IE69" s="137"/>
      <c r="IF69" s="137"/>
      <c r="IG69" s="137"/>
      <c r="IH69" s="137"/>
      <c r="II69" s="137"/>
      <c r="IJ69" s="137"/>
      <c r="IK69" s="137"/>
      <c r="IL69" s="137"/>
      <c r="IM69" s="137"/>
      <c r="IN69" s="137"/>
      <c r="IO69" s="137"/>
      <c r="IP69" s="137"/>
      <c r="IQ69" s="137"/>
      <c r="IR69" s="137"/>
      <c r="IS69" s="137"/>
      <c r="IT69" s="137"/>
      <c r="IU69" s="137"/>
      <c r="IV69" s="137"/>
      <c r="IW69" s="137"/>
      <c r="IX69" s="137"/>
      <c r="IY69" s="137"/>
      <c r="IZ69" s="137"/>
      <c r="JA69" s="137"/>
      <c r="JB69" s="137"/>
      <c r="JC69" s="137"/>
      <c r="JD69" s="137"/>
      <c r="JE69" s="137"/>
      <c r="JF69" s="137"/>
      <c r="JG69" s="137"/>
      <c r="JH69" s="137"/>
      <c r="JI69" s="137"/>
      <c r="JJ69" s="137"/>
      <c r="JK69" s="137"/>
      <c r="JL69" s="137"/>
      <c r="JM69" s="137"/>
      <c r="JN69" s="137"/>
      <c r="JO69" s="137"/>
      <c r="JP69" s="137"/>
      <c r="JQ69" s="137"/>
      <c r="JR69" s="137"/>
      <c r="JS69" s="137"/>
      <c r="JT69" s="137"/>
      <c r="JU69" s="137"/>
      <c r="JV69" s="137"/>
      <c r="JW69" s="137"/>
      <c r="JX69" s="137"/>
      <c r="JY69" s="137"/>
    </row>
    <row r="70" spans="1:285" s="147" customFormat="1" x14ac:dyDescent="0.2">
      <c r="A70" s="137" t="s">
        <v>1868</v>
      </c>
      <c r="B70" s="141">
        <v>95</v>
      </c>
      <c r="C70" s="141">
        <v>95</v>
      </c>
      <c r="D70" s="141">
        <v>95</v>
      </c>
      <c r="E70" s="141">
        <v>95</v>
      </c>
      <c r="F70" s="141">
        <v>95</v>
      </c>
      <c r="G70" s="141">
        <v>95</v>
      </c>
      <c r="H70" s="141">
        <v>95</v>
      </c>
      <c r="I70" s="141">
        <v>100</v>
      </c>
      <c r="J70" s="141">
        <v>95</v>
      </c>
      <c r="K70" s="141"/>
      <c r="L70" s="141">
        <v>95</v>
      </c>
      <c r="M70" s="141"/>
      <c r="N70" s="141">
        <v>95</v>
      </c>
      <c r="O70" s="141">
        <v>95</v>
      </c>
      <c r="P70" s="141">
        <v>95</v>
      </c>
      <c r="Q70" s="141">
        <v>95</v>
      </c>
      <c r="R70" s="141">
        <v>95</v>
      </c>
      <c r="S70" s="141">
        <v>95</v>
      </c>
      <c r="T70" s="141">
        <v>95</v>
      </c>
      <c r="U70" s="141">
        <v>95</v>
      </c>
      <c r="V70" s="141">
        <v>95</v>
      </c>
      <c r="W70" s="141">
        <v>95</v>
      </c>
      <c r="X70" s="141">
        <v>95</v>
      </c>
      <c r="Y70" s="141">
        <v>95</v>
      </c>
      <c r="Z70" s="141">
        <v>95</v>
      </c>
      <c r="AA70" s="141"/>
      <c r="AB70" s="141">
        <v>90</v>
      </c>
      <c r="AC70" s="141">
        <v>95</v>
      </c>
      <c r="AD70" s="141">
        <v>95</v>
      </c>
      <c r="AE70" s="141">
        <v>95</v>
      </c>
      <c r="AF70" s="141"/>
      <c r="AG70" s="141">
        <v>95</v>
      </c>
      <c r="AH70" s="141">
        <v>95</v>
      </c>
      <c r="AI70" s="141">
        <v>95</v>
      </c>
      <c r="AJ70" s="141">
        <v>95</v>
      </c>
      <c r="AK70" s="141">
        <v>95</v>
      </c>
      <c r="AL70" s="141">
        <v>95</v>
      </c>
      <c r="AM70" s="141">
        <v>95</v>
      </c>
      <c r="AN70" s="141">
        <v>95</v>
      </c>
      <c r="AO70" s="141">
        <v>95</v>
      </c>
      <c r="AP70" s="141">
        <v>95</v>
      </c>
      <c r="AQ70" s="141">
        <v>95</v>
      </c>
      <c r="AR70" s="141">
        <v>95</v>
      </c>
      <c r="AS70" s="141">
        <v>95</v>
      </c>
      <c r="AT70" s="141">
        <v>95</v>
      </c>
      <c r="AU70" s="141">
        <v>95</v>
      </c>
      <c r="AV70" s="141">
        <v>95</v>
      </c>
      <c r="AW70" s="141">
        <v>95</v>
      </c>
      <c r="AX70" s="141">
        <v>95</v>
      </c>
      <c r="AY70" s="141">
        <v>93</v>
      </c>
      <c r="AZ70" s="141">
        <v>93</v>
      </c>
      <c r="BA70" s="141">
        <v>93</v>
      </c>
      <c r="BB70" s="141">
        <v>93</v>
      </c>
      <c r="BC70" s="141">
        <v>93</v>
      </c>
      <c r="BD70" s="141">
        <v>95</v>
      </c>
      <c r="BE70" s="141">
        <v>95</v>
      </c>
      <c r="BF70" s="141">
        <v>95</v>
      </c>
      <c r="BG70" s="141">
        <v>90</v>
      </c>
      <c r="BH70" s="141">
        <v>90</v>
      </c>
      <c r="BI70" s="141">
        <v>90</v>
      </c>
      <c r="BJ70" s="141">
        <v>90</v>
      </c>
      <c r="BK70" s="141"/>
      <c r="BL70" s="141"/>
      <c r="BM70" s="141"/>
      <c r="BN70" s="141">
        <v>95</v>
      </c>
      <c r="BO70" s="141"/>
      <c r="BP70" s="141">
        <v>93</v>
      </c>
      <c r="BQ70" s="141"/>
      <c r="BR70" s="141"/>
      <c r="BS70" s="141"/>
      <c r="BT70" s="141"/>
      <c r="BU70" s="141"/>
      <c r="BV70" s="141"/>
      <c r="BW70" s="141">
        <v>93</v>
      </c>
      <c r="BX70" s="141">
        <v>95</v>
      </c>
      <c r="BY70" s="141">
        <v>93</v>
      </c>
      <c r="BZ70" s="141">
        <v>95</v>
      </c>
      <c r="CA70" s="141"/>
      <c r="CB70" s="141"/>
      <c r="CC70" s="141"/>
      <c r="CD70" s="141"/>
      <c r="CE70" s="141">
        <v>95</v>
      </c>
      <c r="CF70" s="141"/>
      <c r="CG70" s="141">
        <v>95</v>
      </c>
      <c r="CH70" s="141">
        <v>95</v>
      </c>
      <c r="CI70" s="141">
        <v>95</v>
      </c>
      <c r="CJ70" s="141">
        <v>95</v>
      </c>
      <c r="CK70" s="141">
        <v>95</v>
      </c>
      <c r="CL70" s="141">
        <v>95</v>
      </c>
      <c r="CM70" s="141">
        <v>95</v>
      </c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>
        <v>90</v>
      </c>
      <c r="CZ70" s="141">
        <v>90</v>
      </c>
      <c r="DA70" s="141">
        <v>95</v>
      </c>
      <c r="DB70" s="141">
        <v>90</v>
      </c>
      <c r="DC70" s="141">
        <v>90</v>
      </c>
      <c r="DD70" s="141">
        <v>90</v>
      </c>
      <c r="DE70" s="141">
        <v>90</v>
      </c>
      <c r="DF70" s="141">
        <v>90</v>
      </c>
      <c r="DG70" s="141">
        <v>90</v>
      </c>
      <c r="DH70" s="141">
        <v>90</v>
      </c>
      <c r="DI70" s="141">
        <v>90</v>
      </c>
      <c r="DJ70" s="141">
        <v>90</v>
      </c>
      <c r="DK70" s="141"/>
      <c r="DL70" s="141">
        <v>90</v>
      </c>
      <c r="DM70" s="141">
        <v>90</v>
      </c>
      <c r="DN70" s="141">
        <v>90</v>
      </c>
      <c r="DO70" s="141">
        <v>90</v>
      </c>
      <c r="DP70" s="141">
        <v>90</v>
      </c>
      <c r="DQ70" s="141">
        <v>90</v>
      </c>
      <c r="DR70" s="141">
        <v>90</v>
      </c>
      <c r="DS70" s="141"/>
      <c r="DT70" s="141">
        <v>95</v>
      </c>
      <c r="DU70" s="141">
        <v>95</v>
      </c>
      <c r="DV70" s="141">
        <v>95</v>
      </c>
      <c r="DW70" s="141">
        <v>95</v>
      </c>
      <c r="DX70" s="141">
        <v>95</v>
      </c>
      <c r="DY70" s="141">
        <v>95</v>
      </c>
      <c r="DZ70" s="141">
        <v>95</v>
      </c>
      <c r="EA70" s="141">
        <v>95</v>
      </c>
      <c r="EB70" s="141">
        <v>95</v>
      </c>
      <c r="EC70" s="141">
        <v>95</v>
      </c>
      <c r="ED70" s="141">
        <v>95</v>
      </c>
      <c r="EE70" s="141">
        <v>95</v>
      </c>
      <c r="EF70" s="141">
        <v>95</v>
      </c>
      <c r="EG70" s="141">
        <v>95</v>
      </c>
      <c r="EH70" s="141"/>
      <c r="EI70" s="137">
        <v>90</v>
      </c>
      <c r="EJ70" s="137">
        <v>90</v>
      </c>
      <c r="EK70" s="137">
        <v>90</v>
      </c>
      <c r="EL70" s="137">
        <v>90</v>
      </c>
      <c r="EM70" s="137">
        <v>90</v>
      </c>
      <c r="EN70" s="137">
        <v>90</v>
      </c>
      <c r="EO70" s="137">
        <v>90</v>
      </c>
      <c r="EP70" s="137">
        <v>90</v>
      </c>
      <c r="EQ70" s="137">
        <v>90</v>
      </c>
      <c r="ER70" s="137"/>
      <c r="ES70" s="137">
        <v>90</v>
      </c>
      <c r="ET70" s="137">
        <v>90</v>
      </c>
      <c r="EU70" s="137">
        <v>90</v>
      </c>
      <c r="EV70" s="137">
        <v>90</v>
      </c>
      <c r="EW70" s="137">
        <v>90</v>
      </c>
      <c r="EX70" s="137">
        <v>90</v>
      </c>
      <c r="EY70" s="137">
        <v>90</v>
      </c>
      <c r="EZ70" s="137">
        <v>90</v>
      </c>
      <c r="FA70" s="137">
        <v>90</v>
      </c>
      <c r="FB70" s="137">
        <v>90</v>
      </c>
      <c r="FC70" s="137"/>
      <c r="FD70" s="137">
        <v>90</v>
      </c>
      <c r="FE70" s="137">
        <v>90</v>
      </c>
      <c r="FF70" s="137">
        <v>90</v>
      </c>
      <c r="FG70" s="137">
        <v>90</v>
      </c>
      <c r="FH70" s="137">
        <v>90</v>
      </c>
      <c r="FI70" s="137">
        <v>90</v>
      </c>
      <c r="FJ70" s="137">
        <v>90</v>
      </c>
      <c r="FK70" s="137"/>
      <c r="FL70" s="137">
        <v>90</v>
      </c>
      <c r="FM70" s="137">
        <v>90</v>
      </c>
      <c r="FN70" s="137">
        <v>90</v>
      </c>
      <c r="FO70" s="137">
        <v>90</v>
      </c>
      <c r="FP70" s="137">
        <v>90</v>
      </c>
      <c r="FQ70" s="137">
        <v>90</v>
      </c>
      <c r="FR70" s="137">
        <v>90</v>
      </c>
      <c r="FS70" s="137">
        <v>90</v>
      </c>
      <c r="FT70" s="137">
        <v>90</v>
      </c>
      <c r="FU70" s="137"/>
      <c r="FV70" s="137">
        <v>90</v>
      </c>
      <c r="FW70" s="137">
        <v>90</v>
      </c>
      <c r="FX70" s="137">
        <v>90</v>
      </c>
      <c r="FY70" s="137">
        <v>90</v>
      </c>
      <c r="FZ70" s="137">
        <v>90</v>
      </c>
      <c r="GA70" s="137">
        <v>90</v>
      </c>
      <c r="GB70" s="137">
        <v>90</v>
      </c>
      <c r="GC70" s="137">
        <v>90</v>
      </c>
      <c r="GD70" s="137">
        <v>90</v>
      </c>
      <c r="GE70" s="137">
        <v>90</v>
      </c>
      <c r="GF70" s="137"/>
      <c r="GG70" s="137">
        <v>90</v>
      </c>
      <c r="GH70" s="137">
        <v>90</v>
      </c>
      <c r="GI70" s="137">
        <v>90</v>
      </c>
      <c r="GJ70" s="137">
        <v>90</v>
      </c>
      <c r="GK70" s="137">
        <v>90</v>
      </c>
      <c r="GL70" s="137">
        <v>90</v>
      </c>
      <c r="GM70" s="137">
        <v>90</v>
      </c>
      <c r="GN70" s="137">
        <v>90</v>
      </c>
      <c r="GO70" s="137"/>
      <c r="GP70" s="137">
        <v>90</v>
      </c>
      <c r="GQ70" s="137">
        <v>90</v>
      </c>
      <c r="GR70" s="137">
        <v>90</v>
      </c>
      <c r="GS70" s="137">
        <v>90</v>
      </c>
      <c r="GT70" s="137">
        <v>90</v>
      </c>
      <c r="GU70" s="137">
        <v>90</v>
      </c>
      <c r="GV70" s="137"/>
      <c r="GW70" s="137">
        <v>90</v>
      </c>
      <c r="GX70" s="137">
        <v>90</v>
      </c>
      <c r="GY70" s="137">
        <v>90</v>
      </c>
      <c r="GZ70" s="137">
        <v>90</v>
      </c>
      <c r="HA70" s="137">
        <v>90</v>
      </c>
      <c r="HB70" s="137">
        <v>90</v>
      </c>
      <c r="HC70" s="137">
        <v>90</v>
      </c>
      <c r="HD70" s="137"/>
      <c r="HE70" s="137">
        <v>90</v>
      </c>
      <c r="HF70" s="137">
        <v>90</v>
      </c>
      <c r="HG70" s="137">
        <v>90</v>
      </c>
      <c r="HH70" s="137">
        <v>90</v>
      </c>
      <c r="HI70" s="137">
        <v>90</v>
      </c>
      <c r="HJ70" s="137">
        <v>90</v>
      </c>
      <c r="HK70" s="137">
        <v>90</v>
      </c>
      <c r="HL70" s="137">
        <v>90</v>
      </c>
      <c r="HM70" s="137"/>
      <c r="HN70" s="137">
        <v>90</v>
      </c>
      <c r="HO70" s="137">
        <v>90</v>
      </c>
      <c r="HP70" s="137">
        <v>90</v>
      </c>
      <c r="HQ70" s="137">
        <v>90</v>
      </c>
      <c r="HR70" s="137">
        <v>90</v>
      </c>
      <c r="HS70" s="137">
        <v>90</v>
      </c>
      <c r="HT70" s="137"/>
      <c r="HU70" s="137">
        <v>90</v>
      </c>
      <c r="HV70" s="137">
        <v>90</v>
      </c>
      <c r="HW70" s="137">
        <v>90</v>
      </c>
      <c r="HX70" s="137">
        <v>90</v>
      </c>
      <c r="HY70" s="137">
        <v>90</v>
      </c>
      <c r="HZ70" s="137">
        <v>90</v>
      </c>
      <c r="IA70" s="137">
        <v>90</v>
      </c>
      <c r="IB70" s="137">
        <v>90</v>
      </c>
      <c r="IC70" s="137">
        <v>90</v>
      </c>
      <c r="ID70" s="137"/>
      <c r="IE70" s="137">
        <v>90</v>
      </c>
      <c r="IF70" s="137">
        <v>90</v>
      </c>
      <c r="IG70" s="137">
        <v>90</v>
      </c>
      <c r="IH70" s="137">
        <v>90</v>
      </c>
      <c r="II70" s="137">
        <v>90</v>
      </c>
      <c r="IJ70" s="137">
        <v>90</v>
      </c>
      <c r="IK70" s="137">
        <v>90</v>
      </c>
      <c r="IL70" s="137">
        <v>90</v>
      </c>
      <c r="IM70" s="137">
        <v>90</v>
      </c>
      <c r="IN70" s="137">
        <v>90</v>
      </c>
      <c r="IO70" s="137">
        <v>90</v>
      </c>
      <c r="IP70" s="137">
        <v>90</v>
      </c>
      <c r="IQ70" s="137"/>
      <c r="IR70" s="137">
        <v>95</v>
      </c>
      <c r="IS70" s="137">
        <v>95</v>
      </c>
      <c r="IT70" s="137">
        <v>95</v>
      </c>
      <c r="IU70" s="137"/>
      <c r="IV70" s="137">
        <v>95</v>
      </c>
      <c r="IW70" s="137">
        <v>95</v>
      </c>
      <c r="IX70" s="137"/>
      <c r="IY70" s="137">
        <v>95</v>
      </c>
      <c r="IZ70" s="137">
        <v>95</v>
      </c>
      <c r="JA70" s="137">
        <v>95</v>
      </c>
      <c r="JB70" s="137">
        <v>95</v>
      </c>
      <c r="JC70" s="137">
        <v>95</v>
      </c>
      <c r="JD70" s="137">
        <v>95</v>
      </c>
      <c r="JE70" s="137">
        <v>95</v>
      </c>
      <c r="JF70" s="137"/>
      <c r="JG70" s="137">
        <v>90</v>
      </c>
      <c r="JH70" s="137">
        <v>90</v>
      </c>
      <c r="JI70" s="137">
        <v>90</v>
      </c>
      <c r="JJ70" s="137">
        <v>90</v>
      </c>
      <c r="JK70" s="137">
        <v>90</v>
      </c>
      <c r="JL70" s="137"/>
      <c r="JM70" s="137">
        <v>90</v>
      </c>
      <c r="JN70" s="137">
        <v>90</v>
      </c>
      <c r="JO70" s="137">
        <v>90</v>
      </c>
      <c r="JP70" s="137"/>
      <c r="JQ70" s="137">
        <v>90</v>
      </c>
      <c r="JR70" s="137">
        <v>90</v>
      </c>
      <c r="JS70" s="137">
        <v>90</v>
      </c>
      <c r="JT70" s="137">
        <v>90</v>
      </c>
      <c r="JU70" s="137">
        <v>90</v>
      </c>
      <c r="JV70" s="137">
        <v>90</v>
      </c>
      <c r="JW70" s="137">
        <v>90</v>
      </c>
      <c r="JX70" s="137">
        <v>90</v>
      </c>
      <c r="JY70" s="137"/>
    </row>
    <row r="71" spans="1:285" s="147" customFormat="1" x14ac:dyDescent="0.2">
      <c r="A71" s="137" t="s">
        <v>1690</v>
      </c>
      <c r="B71" s="141">
        <v>-90</v>
      </c>
      <c r="C71" s="141">
        <v>-70</v>
      </c>
      <c r="D71" s="141">
        <v>-70</v>
      </c>
      <c r="E71" s="141">
        <v>-70</v>
      </c>
      <c r="F71" s="141">
        <v>-70</v>
      </c>
      <c r="G71" s="141">
        <v>-60</v>
      </c>
      <c r="H71" s="141">
        <v>-70</v>
      </c>
      <c r="I71" s="141">
        <v>-70</v>
      </c>
      <c r="J71" s="141">
        <v>-70</v>
      </c>
      <c r="K71" s="141"/>
      <c r="L71" s="141">
        <v>-70</v>
      </c>
      <c r="M71" s="141"/>
      <c r="N71" s="141">
        <v>-70</v>
      </c>
      <c r="O71" s="141">
        <v>-70</v>
      </c>
      <c r="P71" s="141">
        <v>-70</v>
      </c>
      <c r="Q71" s="141">
        <v>-80</v>
      </c>
      <c r="R71" s="141">
        <v>-80</v>
      </c>
      <c r="S71" s="141">
        <v>-80</v>
      </c>
      <c r="T71" s="141">
        <v>-80</v>
      </c>
      <c r="U71" s="141">
        <v>-75</v>
      </c>
      <c r="V71" s="141">
        <v>-75</v>
      </c>
      <c r="W71" s="141">
        <v>-70</v>
      </c>
      <c r="X71" s="141">
        <v>-80</v>
      </c>
      <c r="Y71" s="141">
        <v>-80</v>
      </c>
      <c r="Z71" s="141">
        <v>-80</v>
      </c>
      <c r="AA71" s="141"/>
      <c r="AB71" s="141">
        <v>-70</v>
      </c>
      <c r="AC71" s="141">
        <v>-70</v>
      </c>
      <c r="AD71" s="141">
        <v>-70</v>
      </c>
      <c r="AE71" s="141">
        <v>-70</v>
      </c>
      <c r="AF71" s="141"/>
      <c r="AG71" s="141">
        <v>-66</v>
      </c>
      <c r="AH71" s="141">
        <v>-62</v>
      </c>
      <c r="AI71" s="141">
        <v>-100</v>
      </c>
      <c r="AJ71" s="141"/>
      <c r="AK71" s="141">
        <v>-70</v>
      </c>
      <c r="AL71" s="141">
        <v>-70</v>
      </c>
      <c r="AM71" s="141">
        <v>-70</v>
      </c>
      <c r="AN71" s="141">
        <v>-70</v>
      </c>
      <c r="AO71" s="141">
        <v>-70</v>
      </c>
      <c r="AP71" s="141">
        <v>-60</v>
      </c>
      <c r="AQ71" s="141">
        <v>-53</v>
      </c>
      <c r="AR71" s="141">
        <v>-65</v>
      </c>
      <c r="AS71" s="141">
        <v>-65</v>
      </c>
      <c r="AT71" s="141">
        <v>-65</v>
      </c>
      <c r="AU71" s="141">
        <v>-70</v>
      </c>
      <c r="AV71" s="141">
        <v>-70</v>
      </c>
      <c r="AW71" s="141">
        <v>-70</v>
      </c>
      <c r="AX71" s="141">
        <v>-70</v>
      </c>
      <c r="AY71" s="141">
        <v>-68</v>
      </c>
      <c r="AZ71" s="141">
        <v>-68</v>
      </c>
      <c r="BA71" s="141">
        <v>-68</v>
      </c>
      <c r="BB71" s="141">
        <v>-70</v>
      </c>
      <c r="BC71" s="141">
        <v>-42</v>
      </c>
      <c r="BD71" s="141">
        <v>-60</v>
      </c>
      <c r="BE71" s="141">
        <v>-60</v>
      </c>
      <c r="BF71" s="141">
        <v>-60</v>
      </c>
      <c r="BG71" s="141">
        <v>-58</v>
      </c>
      <c r="BH71" s="141">
        <v>-70</v>
      </c>
      <c r="BI71" s="141">
        <v>-58</v>
      </c>
      <c r="BJ71" s="141">
        <v>-75</v>
      </c>
      <c r="BK71" s="141">
        <v>-70</v>
      </c>
      <c r="BL71" s="141">
        <v>-70</v>
      </c>
      <c r="BM71" s="141"/>
      <c r="BN71" s="141"/>
      <c r="BO71" s="141">
        <v>-70</v>
      </c>
      <c r="BP71" s="141">
        <v>-70</v>
      </c>
      <c r="BQ71" s="141"/>
      <c r="BR71" s="141">
        <v>-80</v>
      </c>
      <c r="BS71" s="141"/>
      <c r="BT71" s="141"/>
      <c r="BU71" s="141">
        <v>-85</v>
      </c>
      <c r="BV71" s="141"/>
      <c r="BW71" s="141">
        <v>-100</v>
      </c>
      <c r="BX71" s="141">
        <v>-90</v>
      </c>
      <c r="BY71" s="141">
        <v>-100</v>
      </c>
      <c r="BZ71" s="141"/>
      <c r="CA71" s="141">
        <v>-80</v>
      </c>
      <c r="CB71" s="141"/>
      <c r="CC71" s="141"/>
      <c r="CD71" s="141"/>
      <c r="CE71" s="141">
        <v>-73</v>
      </c>
      <c r="CF71" s="141"/>
      <c r="CG71" s="141">
        <v>-80</v>
      </c>
      <c r="CH71" s="141">
        <v>-55</v>
      </c>
      <c r="CI71" s="141">
        <v>-60</v>
      </c>
      <c r="CJ71" s="141">
        <v>-60</v>
      </c>
      <c r="CK71" s="141">
        <v>-70</v>
      </c>
      <c r="CL71" s="141">
        <v>-70</v>
      </c>
      <c r="CM71" s="141">
        <v>-60</v>
      </c>
      <c r="CN71" s="141">
        <v>-71</v>
      </c>
      <c r="CO71" s="141">
        <v>-73</v>
      </c>
      <c r="CP71" s="141">
        <v>-72</v>
      </c>
      <c r="CQ71" s="141">
        <v>-70</v>
      </c>
      <c r="CR71" s="141">
        <v>-70</v>
      </c>
      <c r="CS71" s="141">
        <v>-70</v>
      </c>
      <c r="CT71" s="141">
        <v>-70</v>
      </c>
      <c r="CU71" s="141">
        <v>-70</v>
      </c>
      <c r="CV71" s="141">
        <v>-70</v>
      </c>
      <c r="CW71" s="141">
        <v>-73</v>
      </c>
      <c r="CX71" s="141"/>
      <c r="CY71" s="141">
        <v>-65</v>
      </c>
      <c r="CZ71" s="141">
        <v>-65</v>
      </c>
      <c r="DA71" s="141">
        <v>-65</v>
      </c>
      <c r="DB71" s="141">
        <v>-65</v>
      </c>
      <c r="DC71" s="141">
        <v>-55</v>
      </c>
      <c r="DD71" s="141">
        <v>-68</v>
      </c>
      <c r="DE71" s="141">
        <v>-75</v>
      </c>
      <c r="DF71" s="141">
        <v>-75</v>
      </c>
      <c r="DG71" s="141">
        <v>-70</v>
      </c>
      <c r="DH71" s="141">
        <v>-55</v>
      </c>
      <c r="DI71" s="141">
        <v>-75</v>
      </c>
      <c r="DJ71" s="141">
        <v>-60</v>
      </c>
      <c r="DK71" s="141"/>
      <c r="DL71" s="141">
        <v>-60</v>
      </c>
      <c r="DM71" s="141">
        <v>-65</v>
      </c>
      <c r="DN71" s="141">
        <v>-62</v>
      </c>
      <c r="DO71" s="141">
        <v>-62</v>
      </c>
      <c r="DP71" s="141">
        <v>-65</v>
      </c>
      <c r="DQ71" s="141">
        <v>-65</v>
      </c>
      <c r="DR71" s="141">
        <v>-70</v>
      </c>
      <c r="DS71" s="141"/>
      <c r="DT71" s="141">
        <v>-75</v>
      </c>
      <c r="DU71" s="141">
        <v>-75</v>
      </c>
      <c r="DV71" s="141">
        <v>-75</v>
      </c>
      <c r="DW71" s="141">
        <v>-75</v>
      </c>
      <c r="DX71" s="141">
        <v>-75</v>
      </c>
      <c r="DY71" s="141">
        <v>-75</v>
      </c>
      <c r="DZ71" s="141">
        <v>-75</v>
      </c>
      <c r="EA71" s="141">
        <v>-75</v>
      </c>
      <c r="EB71" s="141">
        <v>-75</v>
      </c>
      <c r="EC71" s="141">
        <v>-75</v>
      </c>
      <c r="ED71" s="141">
        <v>-75</v>
      </c>
      <c r="EE71" s="141">
        <v>-75</v>
      </c>
      <c r="EF71" s="141">
        <v>-75</v>
      </c>
      <c r="EG71" s="141">
        <v>-75</v>
      </c>
      <c r="EH71" s="141"/>
      <c r="EI71" s="141">
        <v>-75</v>
      </c>
      <c r="EJ71" s="141">
        <v>-70</v>
      </c>
      <c r="EK71" s="141">
        <v>-75</v>
      </c>
      <c r="EL71" s="141">
        <v>-75</v>
      </c>
      <c r="EM71" s="141">
        <v>-75</v>
      </c>
      <c r="EN71" s="141">
        <v>-75</v>
      </c>
      <c r="EO71" s="141">
        <v>-75</v>
      </c>
      <c r="EP71" s="141">
        <v>-75</v>
      </c>
      <c r="EQ71" s="141">
        <v>-75</v>
      </c>
      <c r="ER71" s="141"/>
      <c r="ES71" s="141">
        <v>-70</v>
      </c>
      <c r="ET71" s="141">
        <v>-70</v>
      </c>
      <c r="EU71" s="141">
        <v>-70</v>
      </c>
      <c r="EV71" s="141">
        <v>-70</v>
      </c>
      <c r="EW71" s="141">
        <v>-70</v>
      </c>
      <c r="EX71" s="141">
        <v>-70</v>
      </c>
      <c r="EY71" s="141">
        <v>-70</v>
      </c>
      <c r="EZ71" s="141">
        <v>-70</v>
      </c>
      <c r="FA71" s="141">
        <v>-70</v>
      </c>
      <c r="FB71" s="141">
        <v>-70</v>
      </c>
      <c r="FC71" s="141"/>
      <c r="FD71" s="141">
        <v>-60</v>
      </c>
      <c r="FE71" s="141">
        <v>-60</v>
      </c>
      <c r="FF71" s="141">
        <v>-60</v>
      </c>
      <c r="FG71" s="141">
        <v>-60</v>
      </c>
      <c r="FH71" s="141">
        <v>-60</v>
      </c>
      <c r="FI71" s="141">
        <v>-60</v>
      </c>
      <c r="FJ71" s="141">
        <v>-60</v>
      </c>
      <c r="FK71" s="141"/>
      <c r="FL71" s="141">
        <v>-70</v>
      </c>
      <c r="FM71" s="141">
        <v>-70</v>
      </c>
      <c r="FN71" s="141">
        <v>-70</v>
      </c>
      <c r="FO71" s="141">
        <v>-70</v>
      </c>
      <c r="FP71" s="141">
        <v>-70</v>
      </c>
      <c r="FQ71" s="141">
        <v>-70</v>
      </c>
      <c r="FR71" s="141">
        <v>-70</v>
      </c>
      <c r="FS71" s="141">
        <v>-70</v>
      </c>
      <c r="FT71" s="141">
        <v>-70</v>
      </c>
      <c r="FU71" s="141"/>
      <c r="FV71" s="137">
        <v>-70</v>
      </c>
      <c r="FW71" s="137">
        <v>-75</v>
      </c>
      <c r="FX71" s="137">
        <v>-70</v>
      </c>
      <c r="FY71" s="137">
        <v>-75</v>
      </c>
      <c r="FZ71" s="137">
        <v>-70</v>
      </c>
      <c r="GA71" s="137">
        <v>-70</v>
      </c>
      <c r="GB71" s="137">
        <v>-70</v>
      </c>
      <c r="GC71" s="137">
        <v>-70</v>
      </c>
      <c r="GD71" s="137">
        <v>-70</v>
      </c>
      <c r="GE71" s="137">
        <v>-70</v>
      </c>
      <c r="GF71" s="137"/>
      <c r="GG71" s="137">
        <v>-70</v>
      </c>
      <c r="GH71" s="137">
        <v>-70</v>
      </c>
      <c r="GI71" s="137">
        <v>-70</v>
      </c>
      <c r="GJ71" s="137">
        <v>-70</v>
      </c>
      <c r="GK71" s="137">
        <v>-70</v>
      </c>
      <c r="GL71" s="137">
        <v>-70</v>
      </c>
      <c r="GM71" s="137">
        <v>-70</v>
      </c>
      <c r="GN71" s="137">
        <v>-70</v>
      </c>
      <c r="GO71" s="137"/>
      <c r="GP71" s="137">
        <v>-55</v>
      </c>
      <c r="GQ71" s="137">
        <v>-70</v>
      </c>
      <c r="GR71" s="137">
        <v>-70</v>
      </c>
      <c r="GS71" s="137">
        <v>-70</v>
      </c>
      <c r="GT71" s="137">
        <v>-70</v>
      </c>
      <c r="GU71" s="137">
        <v>-70</v>
      </c>
      <c r="GV71" s="137"/>
      <c r="GW71" s="137">
        <v>-70</v>
      </c>
      <c r="GX71" s="137">
        <v>-70</v>
      </c>
      <c r="GY71" s="137">
        <v>-70</v>
      </c>
      <c r="GZ71" s="137">
        <v>-70</v>
      </c>
      <c r="HA71" s="137">
        <v>-70</v>
      </c>
      <c r="HB71" s="137">
        <v>-70</v>
      </c>
      <c r="HC71" s="137">
        <v>-70</v>
      </c>
      <c r="HD71" s="137"/>
      <c r="HE71" s="137">
        <v>-70</v>
      </c>
      <c r="HF71" s="137">
        <v>-70</v>
      </c>
      <c r="HG71" s="137">
        <v>-70</v>
      </c>
      <c r="HH71" s="137">
        <v>-70</v>
      </c>
      <c r="HI71" s="137">
        <v>-70</v>
      </c>
      <c r="HJ71" s="137">
        <v>-70</v>
      </c>
      <c r="HK71" s="137">
        <v>-70</v>
      </c>
      <c r="HL71" s="137">
        <v>-70</v>
      </c>
      <c r="HM71" s="137"/>
      <c r="HN71" s="137">
        <v>-70</v>
      </c>
      <c r="HO71" s="137">
        <v>-70</v>
      </c>
      <c r="HP71" s="137">
        <v>-70</v>
      </c>
      <c r="HQ71" s="137">
        <v>-70</v>
      </c>
      <c r="HR71" s="137">
        <v>-70</v>
      </c>
      <c r="HS71" s="137">
        <v>-70</v>
      </c>
      <c r="HT71" s="137"/>
      <c r="HU71" s="137">
        <v>-70</v>
      </c>
      <c r="HV71" s="137">
        <v>-70</v>
      </c>
      <c r="HW71" s="137">
        <v>-70</v>
      </c>
      <c r="HX71" s="137">
        <v>-70</v>
      </c>
      <c r="HY71" s="137">
        <v>-70</v>
      </c>
      <c r="HZ71" s="137">
        <v>-70</v>
      </c>
      <c r="IA71" s="137">
        <v>-70</v>
      </c>
      <c r="IB71" s="137">
        <v>-70</v>
      </c>
      <c r="IC71" s="137">
        <v>-70</v>
      </c>
      <c r="ID71" s="137"/>
      <c r="IE71" s="137">
        <v>-70</v>
      </c>
      <c r="IF71" s="137">
        <v>-70</v>
      </c>
      <c r="IG71" s="137">
        <v>-70</v>
      </c>
      <c r="IH71" s="137">
        <v>-70</v>
      </c>
      <c r="II71" s="137">
        <v>-70</v>
      </c>
      <c r="IJ71" s="137">
        <v>-70</v>
      </c>
      <c r="IK71" s="137">
        <v>-70</v>
      </c>
      <c r="IL71" s="137">
        <v>-70</v>
      </c>
      <c r="IM71" s="137">
        <v>-70</v>
      </c>
      <c r="IN71" s="137">
        <v>-70</v>
      </c>
      <c r="IO71" s="137">
        <v>-70</v>
      </c>
      <c r="IP71" s="137">
        <v>-70</v>
      </c>
      <c r="IQ71" s="137"/>
      <c r="IR71" s="137">
        <v>-70</v>
      </c>
      <c r="IS71" s="137">
        <v>-75</v>
      </c>
      <c r="IT71" s="137">
        <v>-70</v>
      </c>
      <c r="IU71" s="137"/>
      <c r="IV71" s="137">
        <v>-65</v>
      </c>
      <c r="IW71" s="137">
        <v>-65</v>
      </c>
      <c r="IX71" s="137"/>
      <c r="IY71" s="137">
        <v>-55</v>
      </c>
      <c r="IZ71" s="137">
        <v>-65</v>
      </c>
      <c r="JA71" s="137">
        <v>-65</v>
      </c>
      <c r="JB71" s="137">
        <v>-65</v>
      </c>
      <c r="JC71" s="137">
        <v>-65</v>
      </c>
      <c r="JD71" s="137">
        <v>-70</v>
      </c>
      <c r="JE71" s="137">
        <v>-65</v>
      </c>
      <c r="JF71" s="137"/>
      <c r="JG71" s="137">
        <v>-65</v>
      </c>
      <c r="JH71" s="137">
        <v>-65</v>
      </c>
      <c r="JI71" s="137">
        <v>-65</v>
      </c>
      <c r="JJ71" s="137">
        <v>-65</v>
      </c>
      <c r="JK71" s="137">
        <v>-65</v>
      </c>
      <c r="JL71" s="137"/>
      <c r="JM71" s="137">
        <v>-65</v>
      </c>
      <c r="JN71" s="137">
        <v>-65</v>
      </c>
      <c r="JO71" s="137">
        <v>-65</v>
      </c>
      <c r="JP71" s="137"/>
      <c r="JQ71" s="137">
        <v>-70</v>
      </c>
      <c r="JR71" s="137">
        <v>-70</v>
      </c>
      <c r="JS71" s="137">
        <v>-70</v>
      </c>
      <c r="JT71" s="137">
        <v>-70</v>
      </c>
      <c r="JU71" s="137">
        <v>-70</v>
      </c>
      <c r="JV71" s="137">
        <v>-70</v>
      </c>
      <c r="JW71" s="137">
        <v>-70</v>
      </c>
      <c r="JX71" s="137">
        <v>-70</v>
      </c>
      <c r="JY71" s="137"/>
    </row>
    <row r="72" spans="1:285" s="147" customFormat="1" x14ac:dyDescent="0.2">
      <c r="A72" s="137" t="s">
        <v>1869</v>
      </c>
      <c r="B72" s="141">
        <v>-52</v>
      </c>
      <c r="C72" s="141">
        <v>-52</v>
      </c>
      <c r="D72" s="141">
        <v>-52</v>
      </c>
      <c r="E72" s="141">
        <v>-52</v>
      </c>
      <c r="F72" s="141">
        <v>-52</v>
      </c>
      <c r="G72" s="141">
        <v>-52</v>
      </c>
      <c r="H72" s="141">
        <v>-52</v>
      </c>
      <c r="I72" s="141">
        <v>-52</v>
      </c>
      <c r="J72" s="141">
        <v>-52</v>
      </c>
      <c r="K72" s="141"/>
      <c r="L72" s="141">
        <v>-52</v>
      </c>
      <c r="M72" s="141"/>
      <c r="N72" s="141">
        <v>-52</v>
      </c>
      <c r="O72" s="141">
        <v>-52</v>
      </c>
      <c r="P72" s="141">
        <v>-52</v>
      </c>
      <c r="Q72" s="141">
        <v>-52</v>
      </c>
      <c r="R72" s="141">
        <v>-52</v>
      </c>
      <c r="S72" s="141">
        <v>-52</v>
      </c>
      <c r="T72" s="141">
        <v>-52</v>
      </c>
      <c r="U72" s="141">
        <v>-52</v>
      </c>
      <c r="V72" s="141">
        <v>-52</v>
      </c>
      <c r="W72" s="141">
        <v>-52</v>
      </c>
      <c r="X72" s="141">
        <v>-52</v>
      </c>
      <c r="Y72" s="141">
        <v>-52</v>
      </c>
      <c r="Z72" s="141">
        <v>-52</v>
      </c>
      <c r="AA72" s="141"/>
      <c r="AB72" s="141">
        <v>-52</v>
      </c>
      <c r="AC72" s="141">
        <v>-52</v>
      </c>
      <c r="AD72" s="141">
        <v>-52</v>
      </c>
      <c r="AE72" s="141">
        <v>-52</v>
      </c>
      <c r="AF72" s="141"/>
      <c r="AG72" s="141">
        <v>-52</v>
      </c>
      <c r="AH72" s="141">
        <v>-52</v>
      </c>
      <c r="AI72" s="141">
        <v>-52</v>
      </c>
      <c r="AJ72" s="141">
        <v>-52</v>
      </c>
      <c r="AK72" s="141">
        <v>-52</v>
      </c>
      <c r="AL72" s="141">
        <v>-52</v>
      </c>
      <c r="AM72" s="141">
        <v>-52</v>
      </c>
      <c r="AN72" s="141">
        <v>-52</v>
      </c>
      <c r="AO72" s="141">
        <v>-52</v>
      </c>
      <c r="AP72" s="141">
        <v>-52</v>
      </c>
      <c r="AQ72" s="141">
        <v>-52</v>
      </c>
      <c r="AR72" s="141">
        <v>-52</v>
      </c>
      <c r="AS72" s="141">
        <v>-52</v>
      </c>
      <c r="AT72" s="141">
        <v>-52</v>
      </c>
      <c r="AU72" s="141">
        <v>-52</v>
      </c>
      <c r="AV72" s="141">
        <v>-52</v>
      </c>
      <c r="AW72" s="141">
        <v>-52</v>
      </c>
      <c r="AX72" s="141">
        <v>-52</v>
      </c>
      <c r="AY72" s="141">
        <v>-52</v>
      </c>
      <c r="AZ72" s="141">
        <v>-52</v>
      </c>
      <c r="BA72" s="141">
        <v>-52</v>
      </c>
      <c r="BB72" s="141">
        <v>-52</v>
      </c>
      <c r="BC72" s="141"/>
      <c r="BD72" s="141">
        <v>-52</v>
      </c>
      <c r="BE72" s="141">
        <v>-52</v>
      </c>
      <c r="BF72" s="141">
        <v>-52</v>
      </c>
      <c r="BG72" s="141">
        <v>-52</v>
      </c>
      <c r="BH72" s="141">
        <v>-52</v>
      </c>
      <c r="BI72" s="141">
        <v>-52</v>
      </c>
      <c r="BJ72" s="141">
        <v>-52</v>
      </c>
      <c r="BK72" s="141">
        <v>-52</v>
      </c>
      <c r="BL72" s="141">
        <v>-52</v>
      </c>
      <c r="BM72" s="141"/>
      <c r="BN72" s="141">
        <v>-52</v>
      </c>
      <c r="BO72" s="141"/>
      <c r="BP72" s="141">
        <v>-52</v>
      </c>
      <c r="BQ72" s="141"/>
      <c r="BR72" s="141">
        <v>-52</v>
      </c>
      <c r="BS72" s="141">
        <v>-52</v>
      </c>
      <c r="BT72" s="141"/>
      <c r="BU72" s="141"/>
      <c r="BV72" s="141"/>
      <c r="BW72" s="141">
        <v>-52</v>
      </c>
      <c r="BX72" s="141">
        <v>-52</v>
      </c>
      <c r="BY72" s="141">
        <v>-52</v>
      </c>
      <c r="BZ72" s="141"/>
      <c r="CA72" s="141">
        <v>-52</v>
      </c>
      <c r="CB72" s="141">
        <v>-52</v>
      </c>
      <c r="CC72" s="141">
        <v>-52</v>
      </c>
      <c r="CD72" s="141"/>
      <c r="CE72" s="141">
        <v>-52</v>
      </c>
      <c r="CF72" s="141"/>
      <c r="CG72" s="141">
        <v>-52</v>
      </c>
      <c r="CH72" s="141">
        <v>-52</v>
      </c>
      <c r="CI72" s="141">
        <v>-52</v>
      </c>
      <c r="CJ72" s="141">
        <v>-52</v>
      </c>
      <c r="CK72" s="141">
        <v>-52</v>
      </c>
      <c r="CL72" s="141">
        <v>-52</v>
      </c>
      <c r="CM72" s="141">
        <v>-52</v>
      </c>
      <c r="CN72" s="141">
        <v>-52</v>
      </c>
      <c r="CO72" s="141">
        <v>-52</v>
      </c>
      <c r="CP72" s="141">
        <v>-51.8</v>
      </c>
      <c r="CQ72" s="141">
        <v>-52</v>
      </c>
      <c r="CR72" s="141">
        <v>-52</v>
      </c>
      <c r="CS72" s="141">
        <v>-52</v>
      </c>
      <c r="CT72" s="141">
        <v>-52</v>
      </c>
      <c r="CU72" s="141">
        <v>-52</v>
      </c>
      <c r="CV72" s="141">
        <v>-52</v>
      </c>
      <c r="CW72" s="141">
        <v>-52</v>
      </c>
      <c r="CX72" s="141"/>
      <c r="CY72" s="141">
        <v>-52</v>
      </c>
      <c r="CZ72" s="141">
        <v>-52</v>
      </c>
      <c r="DA72" s="141">
        <v>-52</v>
      </c>
      <c r="DB72" s="141">
        <v>-52</v>
      </c>
      <c r="DC72" s="141">
        <v>-52</v>
      </c>
      <c r="DD72" s="141">
        <v>-52</v>
      </c>
      <c r="DE72" s="137">
        <v>-52</v>
      </c>
      <c r="DF72" s="137">
        <v>-52</v>
      </c>
      <c r="DG72" s="137">
        <v>-52</v>
      </c>
      <c r="DH72" s="137">
        <v>-52</v>
      </c>
      <c r="DI72" s="137">
        <v>-52</v>
      </c>
      <c r="DJ72" s="137">
        <v>-52</v>
      </c>
      <c r="DK72" s="137"/>
      <c r="DL72" s="137">
        <v>-52</v>
      </c>
      <c r="DM72" s="137">
        <v>-52</v>
      </c>
      <c r="DN72" s="137">
        <v>-52</v>
      </c>
      <c r="DO72" s="137">
        <v>-52</v>
      </c>
      <c r="DP72" s="137">
        <v>-52</v>
      </c>
      <c r="DQ72" s="137">
        <v>-52</v>
      </c>
      <c r="DR72" s="137">
        <v>-52</v>
      </c>
      <c r="DS72" s="137"/>
      <c r="DT72" s="137">
        <v>-60</v>
      </c>
      <c r="DU72" s="137">
        <v>-60</v>
      </c>
      <c r="DV72" s="137">
        <v>-60</v>
      </c>
      <c r="DW72" s="137">
        <v>-60</v>
      </c>
      <c r="DX72" s="137">
        <v>-60</v>
      </c>
      <c r="DY72" s="137">
        <v>-60</v>
      </c>
      <c r="DZ72" s="137">
        <v>-60</v>
      </c>
      <c r="EA72" s="137">
        <v>-60</v>
      </c>
      <c r="EB72" s="137">
        <v>-60</v>
      </c>
      <c r="EC72" s="137">
        <v>-60</v>
      </c>
      <c r="ED72" s="137">
        <v>-60</v>
      </c>
      <c r="EE72" s="137">
        <v>-60</v>
      </c>
      <c r="EF72" s="137">
        <v>-60</v>
      </c>
      <c r="EG72" s="137">
        <v>-60</v>
      </c>
      <c r="EH72" s="137"/>
      <c r="EI72" s="137">
        <v>-52</v>
      </c>
      <c r="EJ72" s="137">
        <v>-52</v>
      </c>
      <c r="EK72" s="137">
        <v>-52</v>
      </c>
      <c r="EL72" s="137">
        <v>-52</v>
      </c>
      <c r="EM72" s="137">
        <v>-52</v>
      </c>
      <c r="EN72" s="137">
        <v>-52</v>
      </c>
      <c r="EO72" s="137">
        <v>-52</v>
      </c>
      <c r="EP72" s="137">
        <v>-52</v>
      </c>
      <c r="EQ72" s="137">
        <v>-52</v>
      </c>
      <c r="ER72" s="137"/>
      <c r="ES72" s="137">
        <v>-52</v>
      </c>
      <c r="ET72" s="137">
        <v>-52</v>
      </c>
      <c r="EU72" s="137">
        <v>-52</v>
      </c>
      <c r="EV72" s="137">
        <v>-52</v>
      </c>
      <c r="EW72" s="137">
        <v>-52</v>
      </c>
      <c r="EX72" s="137">
        <v>-52</v>
      </c>
      <c r="EY72" s="137">
        <v>-52</v>
      </c>
      <c r="EZ72" s="137">
        <v>-52</v>
      </c>
      <c r="FA72" s="137">
        <v>-52</v>
      </c>
      <c r="FB72" s="137">
        <v>-52</v>
      </c>
      <c r="FC72" s="137"/>
      <c r="FD72" s="137">
        <v>-52</v>
      </c>
      <c r="FE72" s="137">
        <v>-52</v>
      </c>
      <c r="FF72" s="137">
        <v>-52</v>
      </c>
      <c r="FG72" s="137">
        <v>-52</v>
      </c>
      <c r="FH72" s="137">
        <v>-52</v>
      </c>
      <c r="FI72" s="137">
        <v>-52</v>
      </c>
      <c r="FJ72" s="137">
        <v>-52</v>
      </c>
      <c r="FK72" s="137"/>
      <c r="FL72" s="137">
        <v>-52</v>
      </c>
      <c r="FM72" s="137">
        <v>-52</v>
      </c>
      <c r="FN72" s="137">
        <v>-52</v>
      </c>
      <c r="FO72" s="137">
        <v>-52</v>
      </c>
      <c r="FP72" s="137">
        <v>-52</v>
      </c>
      <c r="FQ72" s="137">
        <v>-52</v>
      </c>
      <c r="FR72" s="137">
        <v>-52</v>
      </c>
      <c r="FS72" s="137">
        <v>-52</v>
      </c>
      <c r="FT72" s="137">
        <v>-52</v>
      </c>
      <c r="FU72" s="137"/>
      <c r="FV72" s="137">
        <v>-52</v>
      </c>
      <c r="FW72" s="137">
        <v>-52</v>
      </c>
      <c r="FX72" s="137">
        <v>-52</v>
      </c>
      <c r="FY72" s="137">
        <v>-52</v>
      </c>
      <c r="FZ72" s="137">
        <v>-52</v>
      </c>
      <c r="GA72" s="137">
        <v>-52</v>
      </c>
      <c r="GB72" s="137">
        <v>-52</v>
      </c>
      <c r="GC72" s="137">
        <v>-52</v>
      </c>
      <c r="GD72" s="137">
        <v>-52</v>
      </c>
      <c r="GE72" s="137">
        <v>-52</v>
      </c>
      <c r="GF72" s="137"/>
      <c r="GG72" s="137">
        <v>-52</v>
      </c>
      <c r="GH72" s="137">
        <v>-52</v>
      </c>
      <c r="GI72" s="137">
        <v>-52</v>
      </c>
      <c r="GJ72" s="137">
        <v>-52</v>
      </c>
      <c r="GK72" s="137">
        <v>-52</v>
      </c>
      <c r="GL72" s="137">
        <v>-52</v>
      </c>
      <c r="GM72" s="137">
        <v>-52</v>
      </c>
      <c r="GN72" s="137">
        <v>-52</v>
      </c>
      <c r="GO72" s="137"/>
      <c r="GP72" s="137">
        <v>-52</v>
      </c>
      <c r="GQ72" s="137">
        <v>-52</v>
      </c>
      <c r="GR72" s="137">
        <v>-52</v>
      </c>
      <c r="GS72" s="137">
        <v>-52</v>
      </c>
      <c r="GT72" s="137">
        <v>-52</v>
      </c>
      <c r="GU72" s="137">
        <v>-52</v>
      </c>
      <c r="GV72" s="137"/>
      <c r="GW72" s="137">
        <v>-52</v>
      </c>
      <c r="GX72" s="137">
        <v>-52</v>
      </c>
      <c r="GY72" s="137">
        <v>-52</v>
      </c>
      <c r="GZ72" s="137">
        <v>-52</v>
      </c>
      <c r="HA72" s="137">
        <v>-52</v>
      </c>
      <c r="HB72" s="137">
        <v>-52</v>
      </c>
      <c r="HC72" s="137">
        <v>-52</v>
      </c>
      <c r="HD72" s="137"/>
      <c r="HE72" s="137">
        <v>-52</v>
      </c>
      <c r="HF72" s="137">
        <v>-52</v>
      </c>
      <c r="HG72" s="137">
        <v>-52</v>
      </c>
      <c r="HH72" s="137">
        <v>-52</v>
      </c>
      <c r="HI72" s="137">
        <v>-52</v>
      </c>
      <c r="HJ72" s="137">
        <v>-52</v>
      </c>
      <c r="HK72" s="137">
        <v>-52</v>
      </c>
      <c r="HL72" s="137">
        <v>-52</v>
      </c>
      <c r="HM72" s="137"/>
      <c r="HN72" s="137">
        <v>-52</v>
      </c>
      <c r="HO72" s="137">
        <v>-52</v>
      </c>
      <c r="HP72" s="137">
        <v>-52</v>
      </c>
      <c r="HQ72" s="137">
        <v>-52</v>
      </c>
      <c r="HR72" s="137">
        <v>-52</v>
      </c>
      <c r="HS72" s="137">
        <v>-52</v>
      </c>
      <c r="HT72" s="137"/>
      <c r="HU72" s="137">
        <v>-52</v>
      </c>
      <c r="HV72" s="137">
        <v>-52</v>
      </c>
      <c r="HW72" s="137">
        <v>-52</v>
      </c>
      <c r="HX72" s="137">
        <v>-52</v>
      </c>
      <c r="HY72" s="137">
        <v>-52</v>
      </c>
      <c r="HZ72" s="137">
        <v>-52</v>
      </c>
      <c r="IA72" s="137">
        <v>-52</v>
      </c>
      <c r="IB72" s="137">
        <v>-52</v>
      </c>
      <c r="IC72" s="137">
        <v>-52</v>
      </c>
      <c r="ID72" s="137"/>
      <c r="IE72" s="137">
        <v>-52</v>
      </c>
      <c r="IF72" s="137">
        <v>-52</v>
      </c>
      <c r="IG72" s="137">
        <v>-52</v>
      </c>
      <c r="IH72" s="137">
        <v>-52</v>
      </c>
      <c r="II72" s="137">
        <v>-52</v>
      </c>
      <c r="IJ72" s="137">
        <v>-52</v>
      </c>
      <c r="IK72" s="137">
        <v>-52</v>
      </c>
      <c r="IL72" s="137">
        <v>-52</v>
      </c>
      <c r="IM72" s="137">
        <v>-52</v>
      </c>
      <c r="IN72" s="137">
        <v>-52</v>
      </c>
      <c r="IO72" s="137">
        <v>-52</v>
      </c>
      <c r="IP72" s="137">
        <v>-52</v>
      </c>
      <c r="IQ72" s="137"/>
      <c r="IR72" s="137">
        <v>-52</v>
      </c>
      <c r="IS72" s="137">
        <v>-52</v>
      </c>
      <c r="IT72" s="137">
        <v>-52</v>
      </c>
      <c r="IU72" s="137"/>
      <c r="IV72" s="137">
        <v>-52</v>
      </c>
      <c r="IW72" s="137">
        <v>-52</v>
      </c>
      <c r="IX72" s="137"/>
      <c r="IY72" s="137">
        <v>-52</v>
      </c>
      <c r="IZ72" s="137">
        <v>-52</v>
      </c>
      <c r="JA72" s="137">
        <v>-52</v>
      </c>
      <c r="JB72" s="137">
        <v>-52</v>
      </c>
      <c r="JC72" s="137">
        <v>-52</v>
      </c>
      <c r="JD72" s="137">
        <v>-52</v>
      </c>
      <c r="JE72" s="137">
        <v>-52</v>
      </c>
      <c r="JF72" s="137"/>
      <c r="JG72" s="137">
        <v>-52</v>
      </c>
      <c r="JH72" s="137">
        <v>-52</v>
      </c>
      <c r="JI72" s="137">
        <v>-52</v>
      </c>
      <c r="JJ72" s="137">
        <v>-52</v>
      </c>
      <c r="JK72" s="137">
        <v>-52</v>
      </c>
      <c r="JL72" s="137"/>
      <c r="JM72" s="137">
        <v>-52</v>
      </c>
      <c r="JN72" s="137">
        <v>-52</v>
      </c>
      <c r="JO72" s="137">
        <v>-52</v>
      </c>
      <c r="JP72" s="137"/>
      <c r="JQ72" s="137">
        <v>-52</v>
      </c>
      <c r="JR72" s="137">
        <v>-52</v>
      </c>
      <c r="JS72" s="137">
        <v>-52</v>
      </c>
      <c r="JT72" s="137">
        <v>-52</v>
      </c>
      <c r="JU72" s="137">
        <v>-52</v>
      </c>
      <c r="JV72" s="137">
        <v>-52</v>
      </c>
      <c r="JW72" s="137">
        <v>-52</v>
      </c>
      <c r="JX72" s="137">
        <v>-52</v>
      </c>
      <c r="JY72" s="137"/>
    </row>
    <row r="73" spans="1:285" x14ac:dyDescent="0.2">
      <c r="A73" s="137"/>
      <c r="B73" s="141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7"/>
      <c r="CD73" s="137"/>
      <c r="CE73" s="137"/>
      <c r="CF73" s="137"/>
      <c r="CG73" s="137"/>
      <c r="CH73" s="137"/>
      <c r="CI73" s="137"/>
      <c r="CJ73" s="137"/>
      <c r="CK73" s="137"/>
      <c r="CL73" s="137"/>
      <c r="CM73" s="137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B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7"/>
      <c r="EB73" s="137"/>
      <c r="EC73" s="137"/>
      <c r="ED73" s="137"/>
      <c r="EE73" s="137"/>
      <c r="EF73" s="137"/>
      <c r="EG73" s="137"/>
      <c r="EH73" s="137"/>
      <c r="EI73" s="137"/>
      <c r="EJ73" s="137"/>
      <c r="EK73" s="137"/>
      <c r="EL73" s="137"/>
      <c r="EM73" s="137"/>
      <c r="EN73" s="137"/>
      <c r="EO73" s="137"/>
      <c r="EP73" s="137"/>
      <c r="EQ73" s="137"/>
      <c r="ER73" s="137"/>
      <c r="ES73" s="137"/>
      <c r="ET73" s="137"/>
      <c r="EU73" s="137"/>
      <c r="EV73" s="137"/>
      <c r="EW73" s="137"/>
      <c r="EX73" s="137"/>
      <c r="EY73" s="137"/>
      <c r="EZ73" s="137"/>
      <c r="FA73" s="137"/>
      <c r="FB73" s="137"/>
      <c r="FC73" s="137"/>
      <c r="FD73" s="137"/>
      <c r="FE73" s="137"/>
      <c r="FF73" s="137"/>
      <c r="FG73" s="137"/>
      <c r="FH73" s="137"/>
      <c r="FI73" s="137"/>
      <c r="FJ73" s="137"/>
      <c r="FK73" s="137"/>
      <c r="FL73" s="137"/>
      <c r="FM73" s="137"/>
      <c r="FN73" s="137"/>
      <c r="FO73" s="137"/>
      <c r="FP73" s="137"/>
      <c r="FQ73" s="137"/>
      <c r="FR73" s="137"/>
      <c r="FS73" s="137"/>
      <c r="FT73" s="137"/>
      <c r="FU73" s="137"/>
      <c r="FV73" s="137"/>
      <c r="FW73" s="137"/>
      <c r="FX73" s="137"/>
      <c r="FY73" s="137"/>
      <c r="FZ73" s="137"/>
      <c r="GA73" s="137"/>
      <c r="GB73" s="137"/>
      <c r="GC73" s="137"/>
      <c r="GD73" s="137"/>
      <c r="GE73" s="137"/>
      <c r="GF73" s="137"/>
      <c r="GG73" s="137"/>
      <c r="GH73" s="137"/>
      <c r="GI73" s="137"/>
      <c r="GJ73" s="137"/>
      <c r="GK73" s="137"/>
      <c r="GL73" s="137"/>
      <c r="GM73" s="137"/>
      <c r="GN73" s="137"/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7"/>
      <c r="HB73" s="137"/>
      <c r="HC73" s="137"/>
      <c r="HD73" s="137"/>
      <c r="HE73" s="137"/>
      <c r="HF73" s="137"/>
      <c r="HG73" s="137"/>
      <c r="HH73" s="137"/>
      <c r="HI73" s="137"/>
      <c r="HJ73" s="137"/>
      <c r="HK73" s="137"/>
      <c r="HL73" s="137"/>
      <c r="HM73" s="137"/>
      <c r="HN73" s="137"/>
      <c r="HO73" s="137"/>
      <c r="HP73" s="137"/>
      <c r="HQ73" s="137"/>
      <c r="HR73" s="137"/>
      <c r="HS73" s="137"/>
      <c r="HT73" s="137"/>
      <c r="HU73" s="137"/>
      <c r="HV73" s="137"/>
      <c r="HW73" s="137"/>
      <c r="HX73" s="137"/>
      <c r="HY73" s="137"/>
      <c r="HZ73" s="137"/>
      <c r="IA73" s="137"/>
      <c r="IB73" s="137"/>
      <c r="IC73" s="137"/>
      <c r="ID73" s="137"/>
      <c r="IE73" s="137"/>
      <c r="IF73" s="137"/>
      <c r="IG73" s="137"/>
      <c r="IH73" s="137"/>
      <c r="II73" s="137"/>
      <c r="IJ73" s="137"/>
      <c r="IK73" s="137"/>
      <c r="IL73" s="137"/>
      <c r="IM73" s="137"/>
      <c r="IN73" s="137"/>
      <c r="IO73" s="137"/>
      <c r="IP73" s="137"/>
      <c r="IQ73" s="137"/>
      <c r="IR73" s="137"/>
      <c r="IS73" s="137"/>
      <c r="IT73" s="137"/>
      <c r="IU73" s="137"/>
      <c r="IV73" s="137"/>
      <c r="IW73" s="137"/>
      <c r="IX73" s="137"/>
      <c r="IY73" s="137"/>
      <c r="IZ73" s="137"/>
      <c r="JA73" s="137"/>
      <c r="JB73" s="137"/>
      <c r="JC73" s="137"/>
      <c r="JD73" s="137"/>
      <c r="JE73" s="137"/>
      <c r="JF73" s="137"/>
      <c r="JG73" s="137"/>
      <c r="JH73" s="137"/>
      <c r="JI73" s="137"/>
      <c r="JJ73" s="137"/>
      <c r="JK73" s="137"/>
      <c r="JL73" s="137"/>
      <c r="JM73" s="137"/>
      <c r="JN73" s="137"/>
      <c r="JO73" s="137"/>
      <c r="JP73" s="137"/>
      <c r="JQ73" s="137"/>
      <c r="JR73" s="137"/>
      <c r="JS73" s="137"/>
      <c r="JT73" s="137"/>
      <c r="JU73" s="137"/>
      <c r="JV73" s="137"/>
      <c r="JW73" s="137"/>
      <c r="JX73" s="137"/>
      <c r="JY73" s="137"/>
    </row>
    <row r="74" spans="1:285" x14ac:dyDescent="0.2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7"/>
      <c r="CD74" s="137"/>
      <c r="CE74" s="137"/>
      <c r="CF74" s="137"/>
      <c r="CG74" s="137"/>
      <c r="CH74" s="137"/>
      <c r="CI74" s="137"/>
      <c r="CJ74" s="137"/>
      <c r="CK74" s="137"/>
      <c r="CL74" s="137"/>
      <c r="CM74" s="137"/>
      <c r="CN74" s="137"/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7"/>
      <c r="DB74" s="137"/>
      <c r="DC74" s="137"/>
      <c r="DD74" s="137"/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7"/>
      <c r="EB74" s="137"/>
      <c r="EC74" s="137"/>
      <c r="ED74" s="137"/>
      <c r="EE74" s="137"/>
      <c r="EF74" s="137"/>
      <c r="EG74" s="137"/>
      <c r="EH74" s="137"/>
      <c r="EI74" s="137"/>
      <c r="EJ74" s="137"/>
      <c r="EK74" s="137"/>
      <c r="EL74" s="137"/>
      <c r="EM74" s="137"/>
      <c r="EN74" s="137"/>
      <c r="EO74" s="137"/>
      <c r="EP74" s="137"/>
      <c r="EQ74" s="137"/>
      <c r="ER74" s="137"/>
      <c r="ES74" s="137"/>
      <c r="ET74" s="137"/>
      <c r="EU74" s="137"/>
      <c r="EV74" s="137"/>
      <c r="EW74" s="137"/>
      <c r="EX74" s="137"/>
      <c r="EY74" s="137"/>
      <c r="EZ74" s="137"/>
      <c r="FA74" s="137"/>
      <c r="FB74" s="137"/>
      <c r="FC74" s="137"/>
      <c r="FD74" s="137"/>
      <c r="FE74" s="137"/>
      <c r="FF74" s="137"/>
      <c r="FG74" s="137"/>
      <c r="FH74" s="137"/>
      <c r="FI74" s="137"/>
      <c r="FJ74" s="137"/>
      <c r="FK74" s="137"/>
      <c r="FL74" s="137"/>
      <c r="FM74" s="137"/>
      <c r="FN74" s="137"/>
      <c r="FO74" s="137"/>
      <c r="FP74" s="137"/>
      <c r="FQ74" s="137"/>
      <c r="FR74" s="137"/>
      <c r="FS74" s="137"/>
      <c r="FT74" s="137"/>
      <c r="FU74" s="137"/>
      <c r="FV74" s="137"/>
      <c r="FW74" s="137"/>
      <c r="FX74" s="137"/>
      <c r="FY74" s="137"/>
      <c r="FZ74" s="137"/>
      <c r="GA74" s="137"/>
      <c r="GB74" s="137"/>
      <c r="GC74" s="137"/>
      <c r="GD74" s="137"/>
      <c r="GE74" s="137"/>
      <c r="GF74" s="137"/>
      <c r="GG74" s="137"/>
      <c r="GH74" s="137"/>
      <c r="GI74" s="137"/>
      <c r="GJ74" s="137"/>
      <c r="GK74" s="137"/>
      <c r="GL74" s="137"/>
      <c r="GM74" s="137"/>
      <c r="GN74" s="137"/>
      <c r="GO74" s="137"/>
      <c r="GP74" s="137"/>
      <c r="GQ74" s="137"/>
      <c r="GR74" s="137"/>
      <c r="GS74" s="137"/>
      <c r="GT74" s="137"/>
      <c r="GU74" s="137"/>
      <c r="GV74" s="137"/>
      <c r="GW74" s="137"/>
      <c r="GX74" s="137"/>
      <c r="GY74" s="137"/>
      <c r="GZ74" s="137"/>
      <c r="HA74" s="137"/>
      <c r="HB74" s="137"/>
      <c r="HC74" s="137"/>
      <c r="HD74" s="137"/>
      <c r="HE74" s="137"/>
      <c r="HF74" s="137"/>
      <c r="HG74" s="137"/>
      <c r="HH74" s="137"/>
      <c r="HI74" s="137"/>
      <c r="HJ74" s="137"/>
      <c r="HK74" s="137"/>
      <c r="HL74" s="137"/>
      <c r="HM74" s="137"/>
      <c r="HN74" s="137"/>
      <c r="HO74" s="137"/>
      <c r="HP74" s="137"/>
      <c r="HQ74" s="137"/>
      <c r="HR74" s="137"/>
      <c r="HS74" s="137"/>
      <c r="HT74" s="137"/>
      <c r="HU74" s="137"/>
      <c r="HV74" s="137"/>
      <c r="HW74" s="137"/>
      <c r="HX74" s="137"/>
      <c r="HY74" s="137"/>
      <c r="HZ74" s="137"/>
      <c r="IA74" s="137"/>
      <c r="IB74" s="137"/>
      <c r="IC74" s="137"/>
      <c r="ID74" s="137"/>
      <c r="IE74" s="137"/>
      <c r="IF74" s="137"/>
      <c r="IG74" s="137"/>
      <c r="IH74" s="137"/>
      <c r="II74" s="137"/>
      <c r="IJ74" s="137"/>
      <c r="IK74" s="137"/>
      <c r="IL74" s="137"/>
      <c r="IM74" s="137"/>
      <c r="IN74" s="137"/>
      <c r="IO74" s="137"/>
      <c r="IP74" s="137"/>
      <c r="IQ74" s="137"/>
      <c r="IR74" s="137"/>
      <c r="IS74" s="137"/>
      <c r="IT74" s="137"/>
      <c r="IU74" s="137"/>
      <c r="IV74" s="137"/>
      <c r="IW74" s="137"/>
      <c r="IX74" s="137"/>
      <c r="IY74" s="137"/>
      <c r="IZ74" s="137"/>
      <c r="JA74" s="137"/>
      <c r="JB74" s="137"/>
      <c r="JC74" s="137"/>
      <c r="JD74" s="137"/>
      <c r="JE74" s="137"/>
      <c r="JF74" s="137"/>
      <c r="JG74" s="137"/>
      <c r="JH74" s="137"/>
      <c r="JI74" s="137"/>
      <c r="JJ74" s="137"/>
      <c r="JK74" s="137"/>
      <c r="JL74" s="137"/>
      <c r="JM74" s="137"/>
      <c r="JN74" s="137"/>
      <c r="JO74" s="137"/>
      <c r="JP74" s="137"/>
      <c r="JQ74" s="137"/>
      <c r="JR74" s="137"/>
      <c r="JS74" s="137"/>
      <c r="JT74" s="137"/>
      <c r="JU74" s="137"/>
      <c r="JV74" s="137"/>
      <c r="JW74" s="137"/>
      <c r="JX74" s="137"/>
      <c r="JY74" s="137"/>
    </row>
    <row r="75" spans="1:285" x14ac:dyDescent="0.2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  <c r="BQ75" s="136"/>
      <c r="BR75" s="136"/>
      <c r="BS75" s="136"/>
      <c r="BT75" s="136"/>
      <c r="BU75" s="136"/>
      <c r="BV75" s="136"/>
      <c r="BW75" s="136"/>
      <c r="BX75" s="136"/>
      <c r="BY75" s="136"/>
      <c r="BZ75" s="136"/>
      <c r="CA75" s="136"/>
      <c r="CB75" s="136"/>
      <c r="CC75" s="136"/>
      <c r="CD75" s="136"/>
      <c r="CE75" s="136"/>
      <c r="CF75" s="136"/>
      <c r="CG75" s="136"/>
      <c r="CH75" s="136"/>
      <c r="CI75" s="136"/>
      <c r="CJ75" s="136"/>
      <c r="CK75" s="136"/>
      <c r="CL75" s="136"/>
      <c r="CM75" s="136"/>
      <c r="CN75" s="136"/>
      <c r="CO75" s="136"/>
      <c r="CP75" s="136"/>
      <c r="CQ75" s="136"/>
      <c r="CR75" s="136"/>
      <c r="CS75" s="136"/>
      <c r="CT75" s="136"/>
      <c r="CU75" s="136"/>
      <c r="CV75" s="136"/>
      <c r="CW75" s="136"/>
      <c r="CX75" s="136"/>
      <c r="CY75" s="136"/>
      <c r="CZ75" s="136"/>
      <c r="DA75" s="136"/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6"/>
      <c r="DO75" s="136"/>
      <c r="DP75" s="136"/>
      <c r="DQ75" s="136"/>
      <c r="DR75" s="136"/>
      <c r="DS75" s="136"/>
      <c r="DT75" s="136"/>
      <c r="DU75" s="136"/>
      <c r="DV75" s="136"/>
      <c r="DW75" s="136"/>
      <c r="DX75" s="136"/>
      <c r="DY75" s="136"/>
      <c r="DZ75" s="136"/>
      <c r="EA75" s="136"/>
      <c r="EB75" s="136"/>
      <c r="EC75" s="136"/>
      <c r="ED75" s="136"/>
      <c r="EE75" s="136"/>
      <c r="EF75" s="136"/>
      <c r="EG75" s="136"/>
      <c r="EH75" s="136"/>
      <c r="EI75" s="136"/>
      <c r="EJ75" s="136"/>
      <c r="EK75" s="136"/>
      <c r="EL75" s="136"/>
      <c r="EM75" s="136"/>
      <c r="EN75" s="136"/>
      <c r="EO75" s="136"/>
      <c r="EP75" s="136"/>
      <c r="EQ75" s="136"/>
      <c r="ER75" s="136"/>
      <c r="ES75" s="136"/>
      <c r="ET75" s="136"/>
      <c r="EU75" s="136"/>
      <c r="EV75" s="136"/>
      <c r="EW75" s="136"/>
      <c r="EX75" s="136"/>
      <c r="EY75" s="136"/>
      <c r="EZ75" s="136"/>
      <c r="FA75" s="136"/>
      <c r="FB75" s="136"/>
      <c r="FC75" s="136"/>
      <c r="FD75" s="136"/>
      <c r="FE75" s="136"/>
      <c r="FF75" s="136"/>
      <c r="FG75" s="136"/>
      <c r="FH75" s="136"/>
      <c r="FI75" s="136"/>
      <c r="FJ75" s="136"/>
      <c r="FK75" s="136"/>
      <c r="FL75" s="136"/>
      <c r="FM75" s="136"/>
      <c r="FN75" s="136"/>
      <c r="FO75" s="136"/>
      <c r="FP75" s="136"/>
      <c r="FQ75" s="136"/>
      <c r="FR75" s="136"/>
      <c r="FS75" s="136"/>
      <c r="FT75" s="136"/>
      <c r="FU75" s="136"/>
      <c r="FV75" s="136"/>
      <c r="FW75" s="136"/>
      <c r="FX75" s="136"/>
      <c r="FY75" s="136"/>
      <c r="FZ75" s="136"/>
      <c r="GA75" s="136"/>
      <c r="GB75" s="136"/>
      <c r="GC75" s="136"/>
      <c r="GD75" s="136"/>
      <c r="GE75" s="136"/>
      <c r="GF75" s="136"/>
      <c r="GG75" s="136"/>
      <c r="GH75" s="136"/>
      <c r="GI75" s="136"/>
      <c r="GJ75" s="136"/>
      <c r="GK75" s="136"/>
      <c r="GL75" s="136"/>
      <c r="GM75" s="136"/>
      <c r="GN75" s="136"/>
      <c r="GO75" s="136"/>
      <c r="GP75" s="136"/>
      <c r="GQ75" s="136"/>
      <c r="GR75" s="136"/>
      <c r="GS75" s="136"/>
      <c r="GT75" s="136"/>
      <c r="GU75" s="136"/>
      <c r="GV75" s="136"/>
      <c r="GW75" s="136"/>
      <c r="GX75" s="136"/>
      <c r="GY75" s="136"/>
      <c r="GZ75" s="136"/>
      <c r="HA75" s="136"/>
      <c r="HB75" s="136"/>
      <c r="HC75" s="136"/>
      <c r="HD75" s="136"/>
      <c r="HE75" s="136"/>
      <c r="HF75" s="136"/>
      <c r="HG75" s="136"/>
      <c r="HH75" s="136"/>
      <c r="HI75" s="136"/>
      <c r="HJ75" s="136"/>
      <c r="HK75" s="136"/>
      <c r="HL75" s="136"/>
      <c r="HM75" s="136"/>
      <c r="HN75" s="136"/>
      <c r="HO75" s="136"/>
      <c r="HP75" s="136"/>
      <c r="HQ75" s="136"/>
      <c r="HR75" s="136"/>
      <c r="HS75" s="136"/>
      <c r="HT75" s="136"/>
      <c r="HU75" s="136"/>
      <c r="HV75" s="136"/>
      <c r="HW75" s="136"/>
      <c r="HX75" s="136"/>
      <c r="HY75" s="136"/>
      <c r="HZ75" s="136"/>
      <c r="IA75" s="136"/>
      <c r="IB75" s="136"/>
      <c r="IC75" s="136"/>
      <c r="ID75" s="136"/>
      <c r="IE75" s="136"/>
      <c r="IF75" s="136"/>
      <c r="IG75" s="136"/>
      <c r="IH75" s="136"/>
      <c r="II75" s="136"/>
      <c r="IJ75" s="136"/>
      <c r="IK75" s="136"/>
      <c r="IL75" s="136"/>
      <c r="IM75" s="136"/>
      <c r="IN75" s="136"/>
      <c r="IO75" s="136"/>
      <c r="IP75" s="136"/>
      <c r="IQ75" s="136"/>
      <c r="IR75" s="136"/>
      <c r="IS75" s="136"/>
      <c r="IT75" s="136"/>
      <c r="IU75" s="136"/>
      <c r="IV75" s="136"/>
      <c r="IW75" s="136"/>
      <c r="IX75" s="136"/>
      <c r="IY75" s="136"/>
      <c r="IZ75" s="136"/>
      <c r="JA75" s="136"/>
      <c r="JB75" s="136"/>
      <c r="JC75" s="136"/>
      <c r="JD75" s="136"/>
      <c r="JE75" s="136"/>
      <c r="JF75" s="136"/>
      <c r="JG75" s="136"/>
      <c r="JH75" s="136"/>
      <c r="JI75" s="136"/>
      <c r="JJ75" s="136"/>
      <c r="JK75" s="136"/>
      <c r="JL75" s="136"/>
      <c r="JM75" s="136"/>
      <c r="JN75" s="136"/>
      <c r="JO75" s="136"/>
      <c r="JP75" s="136"/>
      <c r="JQ75" s="136"/>
      <c r="JR75" s="136"/>
      <c r="JS75" s="136"/>
      <c r="JT75" s="136"/>
      <c r="JU75" s="136"/>
      <c r="JV75" s="136"/>
      <c r="JW75" s="136"/>
      <c r="JX75" s="136"/>
      <c r="JY75" s="136"/>
    </row>
    <row r="76" spans="1:285" x14ac:dyDescent="0.2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  <c r="BX76" s="136"/>
      <c r="BY76" s="136"/>
      <c r="BZ76" s="136"/>
      <c r="CA76" s="136"/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6"/>
      <c r="CO76" s="136"/>
      <c r="CP76" s="136"/>
      <c r="CQ76" s="136"/>
      <c r="CR76" s="136"/>
      <c r="CS76" s="136"/>
      <c r="CT76" s="136"/>
      <c r="CU76" s="136"/>
      <c r="CV76" s="136"/>
      <c r="CW76" s="136"/>
      <c r="CX76" s="136"/>
      <c r="CY76" s="136"/>
      <c r="CZ76" s="136"/>
      <c r="DA76" s="136"/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6"/>
      <c r="DO76" s="136"/>
      <c r="DP76" s="136"/>
      <c r="DQ76" s="136"/>
      <c r="DR76" s="136"/>
      <c r="DS76" s="136"/>
      <c r="DT76" s="136"/>
      <c r="DU76" s="136"/>
      <c r="DV76" s="136"/>
      <c r="DW76" s="136"/>
      <c r="DX76" s="136"/>
      <c r="DY76" s="136"/>
      <c r="DZ76" s="136"/>
      <c r="EA76" s="136"/>
      <c r="EB76" s="136"/>
      <c r="EC76" s="136"/>
      <c r="ED76" s="136"/>
      <c r="EE76" s="136"/>
      <c r="EF76" s="136"/>
      <c r="EG76" s="136"/>
      <c r="EH76" s="136"/>
      <c r="EI76" s="136"/>
      <c r="EJ76" s="136"/>
      <c r="EK76" s="136"/>
      <c r="EL76" s="136"/>
      <c r="EM76" s="136"/>
      <c r="EN76" s="136"/>
      <c r="EO76" s="136"/>
      <c r="EP76" s="136"/>
      <c r="EQ76" s="136"/>
      <c r="ER76" s="136"/>
      <c r="ES76" s="136"/>
      <c r="ET76" s="136"/>
      <c r="EU76" s="136"/>
      <c r="EV76" s="136"/>
      <c r="EW76" s="136"/>
      <c r="EX76" s="136"/>
      <c r="EY76" s="136"/>
      <c r="EZ76" s="136"/>
      <c r="FA76" s="136"/>
      <c r="FB76" s="136"/>
      <c r="FC76" s="136"/>
      <c r="FD76" s="136"/>
      <c r="FE76" s="136"/>
      <c r="FF76" s="136"/>
      <c r="FG76" s="136"/>
      <c r="FH76" s="136"/>
      <c r="FI76" s="136"/>
      <c r="FJ76" s="136"/>
      <c r="FK76" s="136"/>
      <c r="FL76" s="136"/>
      <c r="FM76" s="136"/>
      <c r="FN76" s="136"/>
      <c r="FO76" s="136"/>
      <c r="FP76" s="136"/>
      <c r="FQ76" s="136"/>
      <c r="FR76" s="136"/>
      <c r="FS76" s="136"/>
      <c r="FT76" s="136"/>
      <c r="FU76" s="136"/>
      <c r="FV76" s="136"/>
      <c r="FW76" s="136"/>
      <c r="FX76" s="136"/>
      <c r="FY76" s="136"/>
      <c r="FZ76" s="136"/>
      <c r="GA76" s="136"/>
      <c r="GB76" s="136"/>
      <c r="GC76" s="136"/>
      <c r="GD76" s="136"/>
      <c r="GE76" s="136"/>
      <c r="GF76" s="136"/>
      <c r="GG76" s="136"/>
      <c r="GH76" s="136"/>
      <c r="GI76" s="136"/>
      <c r="GJ76" s="136"/>
      <c r="GK76" s="136"/>
      <c r="GL76" s="136"/>
      <c r="GM76" s="136"/>
      <c r="GN76" s="136"/>
      <c r="GO76" s="136"/>
      <c r="GP76" s="136"/>
      <c r="GQ76" s="136"/>
      <c r="GR76" s="136"/>
      <c r="GS76" s="136"/>
      <c r="GT76" s="136"/>
      <c r="GU76" s="136"/>
      <c r="GV76" s="136"/>
      <c r="GW76" s="136"/>
      <c r="GX76" s="136"/>
      <c r="GY76" s="136"/>
      <c r="GZ76" s="136"/>
      <c r="HA76" s="136"/>
      <c r="HB76" s="136"/>
      <c r="HC76" s="136"/>
      <c r="HD76" s="136"/>
      <c r="HE76" s="136"/>
      <c r="HF76" s="136"/>
      <c r="HG76" s="136"/>
      <c r="HH76" s="136"/>
      <c r="HI76" s="136"/>
      <c r="HJ76" s="136"/>
      <c r="HK76" s="136"/>
      <c r="HL76" s="136"/>
      <c r="HM76" s="136"/>
      <c r="HN76" s="136"/>
      <c r="HO76" s="136"/>
      <c r="HP76" s="136"/>
      <c r="HQ76" s="136"/>
      <c r="HR76" s="136"/>
      <c r="HS76" s="136"/>
      <c r="HT76" s="136"/>
      <c r="HU76" s="136"/>
      <c r="HV76" s="136"/>
      <c r="HW76" s="136"/>
      <c r="HX76" s="136"/>
      <c r="HY76" s="136"/>
      <c r="HZ76" s="136"/>
      <c r="IA76" s="136"/>
      <c r="IB76" s="136"/>
      <c r="IC76" s="136"/>
      <c r="ID76" s="136"/>
      <c r="IE76" s="136"/>
      <c r="IF76" s="136"/>
      <c r="IG76" s="136"/>
      <c r="IH76" s="136"/>
      <c r="II76" s="136"/>
      <c r="IJ76" s="136"/>
      <c r="IK76" s="136"/>
      <c r="IL76" s="136"/>
      <c r="IM76" s="136"/>
      <c r="IN76" s="136"/>
      <c r="IO76" s="136"/>
      <c r="IP76" s="136"/>
      <c r="IQ76" s="136"/>
      <c r="IR76" s="136"/>
      <c r="IS76" s="136"/>
      <c r="IT76" s="136"/>
      <c r="IU76" s="136"/>
      <c r="IV76" s="136"/>
      <c r="IW76" s="136"/>
      <c r="IX76" s="136"/>
      <c r="IY76" s="136"/>
      <c r="IZ76" s="136"/>
      <c r="JA76" s="136"/>
      <c r="JB76" s="136"/>
      <c r="JC76" s="136"/>
      <c r="JD76" s="136"/>
      <c r="JE76" s="136"/>
      <c r="JF76" s="136"/>
      <c r="JG76" s="136"/>
      <c r="JH76" s="136"/>
      <c r="JI76" s="136"/>
      <c r="JJ76" s="136"/>
      <c r="JK76" s="136"/>
      <c r="JL76" s="136"/>
      <c r="JM76" s="136"/>
      <c r="JN76" s="136"/>
      <c r="JO76" s="136"/>
      <c r="JP76" s="136"/>
      <c r="JQ76" s="136"/>
      <c r="JR76" s="136"/>
      <c r="JS76" s="136"/>
      <c r="JT76" s="136"/>
      <c r="JU76" s="136"/>
      <c r="JV76" s="136"/>
      <c r="JW76" s="136"/>
      <c r="JX76" s="136"/>
      <c r="JY76" s="136"/>
    </row>
    <row r="77" spans="1:285" x14ac:dyDescent="0.2">
      <c r="A77" s="133" t="s">
        <v>1692</v>
      </c>
      <c r="C77" s="145">
        <v>-18.485539675662334</v>
      </c>
      <c r="D77" s="145">
        <v>-17.384190908396796</v>
      </c>
      <c r="E77" s="145">
        <v>-17.384190908396796</v>
      </c>
      <c r="F77" s="145">
        <v>-17.384190908396796</v>
      </c>
      <c r="G77" s="145">
        <v>-18.285294445250418</v>
      </c>
      <c r="H77" s="145">
        <v>-18.285294445250418</v>
      </c>
      <c r="J77" s="145">
        <v>-17.384190908396796</v>
      </c>
      <c r="L77" s="145">
        <v>-18.385417060456376</v>
      </c>
      <c r="M77" s="145">
        <v>-17.872288657525839</v>
      </c>
      <c r="O77" s="145">
        <v>-22.690689514312563</v>
      </c>
      <c r="P77" s="145">
        <v>-23.091179975136395</v>
      </c>
      <c r="Q77" s="145">
        <v>-23.191302590342353</v>
      </c>
      <c r="U77" s="145">
        <v>-16.783455217161052</v>
      </c>
      <c r="V77" s="145">
        <v>-17.984926599632544</v>
      </c>
      <c r="W77" s="145">
        <v>-18.585662290868292</v>
      </c>
      <c r="X77" s="145">
        <v>-23.191302590342353</v>
      </c>
      <c r="Y77" s="145">
        <v>-23.191302590342353</v>
      </c>
      <c r="Z77" s="145">
        <v>-23.191302590342353</v>
      </c>
      <c r="AA77" s="145">
        <v>-21.322347106497809</v>
      </c>
      <c r="AB77" s="145">
        <v>-26.757304676286857</v>
      </c>
      <c r="AC77" s="145">
        <v>-20.264294273906568</v>
      </c>
      <c r="AD77" s="145">
        <v>-27.15687454720257</v>
      </c>
      <c r="AE77" s="145">
        <v>-27.15687454720257</v>
      </c>
      <c r="AF77" s="145" t="s">
        <v>1871</v>
      </c>
      <c r="AG77" s="145">
        <v>-17.966767516141235</v>
      </c>
      <c r="AH77" s="145">
        <v>-17.966767516141235</v>
      </c>
      <c r="AK77" s="145">
        <v>-18.666014790243729</v>
      </c>
      <c r="AL77" s="145">
        <v>-18.865799725701585</v>
      </c>
      <c r="AM77" s="145">
        <v>-18.765907257972653</v>
      </c>
      <c r="AN77" s="145">
        <v>-18.865799725701585</v>
      </c>
      <c r="AO77" s="145">
        <v>-18.765907257972653</v>
      </c>
      <c r="AP77" s="145">
        <v>-16.668165435665177</v>
      </c>
      <c r="AQ77" s="145">
        <v>-16.668165435665177</v>
      </c>
      <c r="AR77" s="145">
        <v>-16.668165435665177</v>
      </c>
      <c r="AS77" s="145">
        <v>-16.668165435665177</v>
      </c>
      <c r="AT77" s="145">
        <v>-16.668165435665177</v>
      </c>
      <c r="AU77" s="145">
        <v>-18.066659983870164</v>
      </c>
      <c r="AV77" s="145">
        <v>-17.766982580683379</v>
      </c>
      <c r="AW77" s="145">
        <v>-18.266444919328016</v>
      </c>
      <c r="AX77" s="145">
        <v>-17.766982580683379</v>
      </c>
      <c r="AY77" s="145">
        <v>-17.067735306580886</v>
      </c>
      <c r="AZ77" s="145">
        <v>-17.067735306580886</v>
      </c>
      <c r="BA77" s="145">
        <v>-17.067735306580886</v>
      </c>
      <c r="BB77" s="145">
        <v>-18.566122322514801</v>
      </c>
      <c r="BC77" s="145">
        <v>-18.666014790243729</v>
      </c>
      <c r="BD77" s="145">
        <v>-18.566122322514801</v>
      </c>
      <c r="BE77" s="145">
        <v>-18.566122322514801</v>
      </c>
      <c r="BF77" s="145">
        <v>-18.566122322514801</v>
      </c>
      <c r="BG77" s="145">
        <v>-16.768057903394105</v>
      </c>
      <c r="BH77" s="145">
        <v>-18.566122322514801</v>
      </c>
      <c r="BI77" s="145">
        <v>-16.768057903394105</v>
      </c>
      <c r="BJ77" s="145">
        <v>-19.465154532075147</v>
      </c>
      <c r="BK77" s="145">
        <v>-19.565046999804075</v>
      </c>
      <c r="BL77" s="145">
        <v>-18.566122322514801</v>
      </c>
      <c r="BM77" s="145">
        <v>-17.963437767216931</v>
      </c>
      <c r="BN77" s="145">
        <v>-28.555369095407556</v>
      </c>
      <c r="BO77" s="145">
        <v>-28.555369095407556</v>
      </c>
      <c r="BP77" s="145">
        <v>-28.555369095407556</v>
      </c>
      <c r="BR77" s="145">
        <v>-28.655261563136484</v>
      </c>
      <c r="BS77" s="145">
        <v>-29.054831434052193</v>
      </c>
      <c r="BU77" s="145">
        <v>-29.154723901781121</v>
      </c>
      <c r="BV77" s="145" t="s">
        <v>1871</v>
      </c>
      <c r="CA77" s="145">
        <v>-19.864724402990859</v>
      </c>
      <c r="CB77" s="145">
        <v>-19.864724402990859</v>
      </c>
      <c r="CC77" s="145">
        <v>-19.864724402990859</v>
      </c>
      <c r="CD77" s="145">
        <v>-19.864724402990859</v>
      </c>
      <c r="CH77" s="145">
        <v>-19.156314300041814</v>
      </c>
      <c r="CI77" s="145">
        <v>-18.7566672393807</v>
      </c>
      <c r="CJ77" s="145">
        <v>-19.256226065207095</v>
      </c>
      <c r="CK77" s="145">
        <v>-18.656755474215419</v>
      </c>
      <c r="CL77" s="145">
        <v>-18.556843709050145</v>
      </c>
      <c r="CM77" s="145">
        <v>-20.055520186529325</v>
      </c>
      <c r="CN77" s="145">
        <v>-18.7566672393807</v>
      </c>
      <c r="CO77" s="145">
        <v>-18.656755474215419</v>
      </c>
      <c r="CP77" s="145">
        <v>-18.656755474215419</v>
      </c>
      <c r="CQ77" s="145">
        <v>-18.656755474215419</v>
      </c>
      <c r="CR77" s="145">
        <v>-18.656755474215419</v>
      </c>
      <c r="CS77" s="145">
        <v>-18.456931943884864</v>
      </c>
      <c r="CT77" s="145">
        <v>-17.357902527066798</v>
      </c>
      <c r="CU77" s="145">
        <v>-16.35878487541401</v>
      </c>
      <c r="CV77" s="145">
        <v>-16.35878487541401</v>
      </c>
      <c r="CW77" s="145">
        <v>-18.556843709050145</v>
      </c>
      <c r="CX77" s="145">
        <v>-18.431954002593546</v>
      </c>
      <c r="CY77" s="145">
        <v>-20.2</v>
      </c>
      <c r="CZ77" s="145">
        <v>-19.600000000000001</v>
      </c>
      <c r="DA77" s="145">
        <v>-20.399999999999999</v>
      </c>
      <c r="DB77" s="145">
        <v>-20.399999999999999</v>
      </c>
      <c r="DC77" s="145">
        <v>-19.7</v>
      </c>
      <c r="DD77" s="145">
        <v>-17.899999999999999</v>
      </c>
      <c r="DE77" s="145">
        <v>-20.3</v>
      </c>
      <c r="DF77" s="145">
        <v>-20.2</v>
      </c>
      <c r="DG77" s="145">
        <v>-20.3</v>
      </c>
      <c r="DH77" s="145">
        <v>-19.7</v>
      </c>
      <c r="DI77" s="145">
        <v>-20.3</v>
      </c>
      <c r="DJ77" s="145">
        <v>-20.5</v>
      </c>
      <c r="DK77" s="145">
        <v>-19.958333333333332</v>
      </c>
      <c r="DL77" s="145">
        <v>-17.051548956526897</v>
      </c>
      <c r="DM77" s="145">
        <v>-15.651341342911122</v>
      </c>
      <c r="DN77" s="145">
        <v>-15.551326513367139</v>
      </c>
      <c r="DO77" s="145">
        <v>-15.551326513367139</v>
      </c>
      <c r="DP77" s="145">
        <v>-19.151860376950559</v>
      </c>
      <c r="DQ77" s="145">
        <v>-17.651637933790802</v>
      </c>
      <c r="DR77" s="145">
        <v>-17.251578615614864</v>
      </c>
      <c r="DS77" s="145">
        <v>-16.83723146464693</v>
      </c>
      <c r="DU77" s="145">
        <v>-20.352038331478369</v>
      </c>
      <c r="DV77" s="145">
        <v>-20.152008672390402</v>
      </c>
      <c r="DX77" s="145">
        <v>-20.452053161022349</v>
      </c>
      <c r="DY77" s="145">
        <v>-20.452053161022349</v>
      </c>
      <c r="DZ77" s="145">
        <v>-20.352038331478369</v>
      </c>
      <c r="EA77" s="145">
        <v>-20.252023501934381</v>
      </c>
      <c r="EB77" s="145">
        <v>-20.152008672390402</v>
      </c>
      <c r="EC77" s="145">
        <v>-20.352038331478369</v>
      </c>
      <c r="ED77" s="145">
        <v>-20.352038331478369</v>
      </c>
      <c r="EE77" s="145">
        <v>-20.152008672390402</v>
      </c>
      <c r="EF77" s="145">
        <v>-20.252023501934381</v>
      </c>
      <c r="EG77" s="145">
        <v>-20.252023501934381</v>
      </c>
      <c r="EH77" s="145">
        <v>-20.293696347577711</v>
      </c>
      <c r="EI77" s="145">
        <v>-21.152156967830237</v>
      </c>
      <c r="EJ77" s="145">
        <v>-20.752097649654303</v>
      </c>
      <c r="EK77" s="145">
        <v>-21.152156967830237</v>
      </c>
      <c r="EL77" s="145">
        <v>-21.752245945094138</v>
      </c>
      <c r="EM77" s="145">
        <v>-21.152156967830237</v>
      </c>
      <c r="EN77" s="145">
        <v>-19.951979013302427</v>
      </c>
      <c r="EO77" s="145">
        <v>-21.152156967830237</v>
      </c>
      <c r="EP77" s="145">
        <v>-21.152156967830237</v>
      </c>
      <c r="EQ77" s="145">
        <v>-21.052142138286253</v>
      </c>
      <c r="ER77" s="145">
        <v>-21.029916620609814</v>
      </c>
      <c r="ES77" s="145">
        <v>-18.851815888318608</v>
      </c>
      <c r="ET77" s="145">
        <v>-18.551771399686658</v>
      </c>
      <c r="EU77" s="145">
        <v>-18.35174174059869</v>
      </c>
      <c r="EV77" s="145">
        <v>-18.251726911054703</v>
      </c>
      <c r="EW77" s="145">
        <v>-17.951682422422749</v>
      </c>
      <c r="EX77" s="145">
        <v>-17.851667592878769</v>
      </c>
      <c r="EY77" s="145">
        <v>-17.851667592878769</v>
      </c>
      <c r="EZ77" s="145">
        <v>-17.951682422422749</v>
      </c>
      <c r="FA77" s="145">
        <v>-18.051697251966736</v>
      </c>
      <c r="FB77" s="145">
        <v>-18.151712081510723</v>
      </c>
      <c r="FC77" s="145">
        <v>-18.181716530373915</v>
      </c>
      <c r="FD77" s="145">
        <v>-17.399999999999999</v>
      </c>
      <c r="FE77" s="145">
        <v>-17.399999999999999</v>
      </c>
      <c r="FF77" s="145">
        <v>-17.600000000000001</v>
      </c>
      <c r="FG77" s="145">
        <v>-17.3</v>
      </c>
      <c r="FH77" s="145">
        <v>-17.5</v>
      </c>
      <c r="FI77" s="145">
        <v>-17.399999999999999</v>
      </c>
      <c r="FJ77" s="145">
        <v>-17.600000000000001</v>
      </c>
      <c r="FK77" s="145">
        <v>-17.457142857142856</v>
      </c>
      <c r="FL77" s="145">
        <v>-19.815396178808541</v>
      </c>
      <c r="FM77" s="145">
        <v>-19.815396178808541</v>
      </c>
      <c r="FN77" s="145">
        <v>-19.515040555639235</v>
      </c>
      <c r="FO77" s="145">
        <v>-19.815396178808541</v>
      </c>
      <c r="FP77" s="145">
        <v>-21.21705575359865</v>
      </c>
      <c r="FQ77" s="145">
        <v>-21.21705575359865</v>
      </c>
      <c r="FR77" s="145">
        <v>-21.21705575359865</v>
      </c>
      <c r="FS77" s="145">
        <v>-21.21705575359865</v>
      </c>
      <c r="FT77" s="145">
        <v>-21.21705575359865</v>
      </c>
      <c r="FU77" s="145">
        <v>-20.560723095562015</v>
      </c>
      <c r="FV77" s="145">
        <v>-19.515040555639235</v>
      </c>
      <c r="FW77" s="145">
        <v>-19.515040555639235</v>
      </c>
      <c r="FX77" s="145">
        <v>-19.515040555639235</v>
      </c>
      <c r="FY77" s="145">
        <v>-19.515040555639235</v>
      </c>
      <c r="FZ77" s="145">
        <v>-19.61515909669567</v>
      </c>
      <c r="GA77" s="145">
        <v>-19.314803473526361</v>
      </c>
      <c r="GB77" s="145">
        <v>-19.61515909669567</v>
      </c>
      <c r="GC77" s="145">
        <v>-18.914329309300616</v>
      </c>
      <c r="GD77" s="145">
        <v>-19.515040555639235</v>
      </c>
      <c r="GE77" s="145">
        <v>-20.916700130429341</v>
      </c>
      <c r="GF77" s="145">
        <v>-19.595135388484387</v>
      </c>
      <c r="GG77" s="145">
        <v>-18.893532132870455</v>
      </c>
      <c r="GH77" s="145">
        <v>-18.193568440063643</v>
      </c>
      <c r="GI77" s="145">
        <v>-18.093573626805533</v>
      </c>
      <c r="GJ77" s="145">
        <v>-18.293563253321761</v>
      </c>
      <c r="GK77" s="145">
        <v>-18.093573626805533</v>
      </c>
      <c r="GL77" s="145">
        <v>-18.193568440063643</v>
      </c>
      <c r="GM77" s="145">
        <v>-18.193568440063643</v>
      </c>
      <c r="GN77" s="145">
        <v>-18.193568440063643</v>
      </c>
      <c r="GO77" s="145">
        <v>-18.268564550007234</v>
      </c>
      <c r="GP77" s="145">
        <v>-17.858017479712959</v>
      </c>
      <c r="GQ77" s="145">
        <v>-17.858017479712959</v>
      </c>
      <c r="GR77" s="145">
        <v>-17.557957582889713</v>
      </c>
      <c r="GS77" s="145">
        <v>-17.457937617281964</v>
      </c>
      <c r="GT77" s="145">
        <v>-17.75799751410521</v>
      </c>
      <c r="GU77" s="145">
        <v>-17.858017479712959</v>
      </c>
      <c r="GV77" s="145">
        <v>-17.724657525569295</v>
      </c>
      <c r="GW77" s="145">
        <v>-18.458137273359448</v>
      </c>
      <c r="GX77" s="145">
        <v>-18.358117307751701</v>
      </c>
      <c r="GY77" s="145">
        <v>-18.258097342143952</v>
      </c>
      <c r="GZ77" s="145">
        <v>-17.958037445320706</v>
      </c>
      <c r="HA77" s="145">
        <v>-18.358117307751701</v>
      </c>
      <c r="HB77" s="145">
        <v>-18.358117307751701</v>
      </c>
      <c r="HC77" s="145">
        <v>-18.358117307751701</v>
      </c>
      <c r="HD77" s="145">
        <v>-18.300963041690132</v>
      </c>
      <c r="HE77" s="145">
        <v>-18.758197170182694</v>
      </c>
      <c r="HF77" s="145">
        <v>-18.95823710139819</v>
      </c>
      <c r="HG77" s="145">
        <v>-18.95823710139819</v>
      </c>
      <c r="HH77" s="145">
        <v>-18.858217135790444</v>
      </c>
      <c r="HI77" s="145">
        <v>-18.658177204574947</v>
      </c>
      <c r="HK77" s="145">
        <v>-15.257498373911499</v>
      </c>
      <c r="HL77" s="145">
        <v>-16.157678064381237</v>
      </c>
      <c r="HM77" s="145">
        <v>-17.943748878805316</v>
      </c>
      <c r="HN77" s="145">
        <v>-18.103400195527836</v>
      </c>
      <c r="HO77" s="145">
        <v>-18.203429851229288</v>
      </c>
      <c r="HP77" s="145">
        <v>-18.103400195527836</v>
      </c>
      <c r="HQ77" s="145">
        <v>-17.203133294214801</v>
      </c>
      <c r="HR77" s="145">
        <v>-17.403192605617697</v>
      </c>
      <c r="HS77" s="145">
        <v>-18.003370539826388</v>
      </c>
      <c r="HT77" s="145">
        <v>-17.836654446990647</v>
      </c>
      <c r="HU77" s="145">
        <v>-13.301976721858297</v>
      </c>
      <c r="HV77" s="145">
        <v>-14.00218431176844</v>
      </c>
      <c r="HW77" s="145">
        <v>-16.202836737200315</v>
      </c>
      <c r="HX77" s="145">
        <v>-16.202836737200315</v>
      </c>
      <c r="HY77" s="145">
        <v>-17.003073982811902</v>
      </c>
      <c r="HZ77" s="145">
        <v>-14.802421557380029</v>
      </c>
      <c r="IA77" s="145">
        <v>-18.60354847403508</v>
      </c>
      <c r="IB77" s="145">
        <v>-18.803607785437979</v>
      </c>
      <c r="IC77" s="145">
        <v>-16.40289604860321</v>
      </c>
      <c r="ID77" s="145">
        <v>-16.147264706255061</v>
      </c>
      <c r="IE77" s="145">
        <v>-18.203429851229288</v>
      </c>
      <c r="IF77" s="145">
        <v>-18.203429851229288</v>
      </c>
      <c r="IG77" s="145">
        <v>-17.503222261319145</v>
      </c>
      <c r="IH77" s="145">
        <v>-18.303459506930736</v>
      </c>
      <c r="II77" s="145">
        <v>-18.403489162632184</v>
      </c>
      <c r="IJ77" s="145">
        <v>-20.003963653855362</v>
      </c>
      <c r="IK77" s="145">
        <v>-20.40408227666116</v>
      </c>
      <c r="IL77" s="145">
        <v>-16.903044327110454</v>
      </c>
      <c r="IM77" s="145">
        <v>-17.703281572722045</v>
      </c>
      <c r="IN77" s="145">
        <v>-17.803311228423492</v>
      </c>
      <c r="IO77" s="145">
        <v>-18.703578129736531</v>
      </c>
      <c r="IP77" s="145">
        <v>-19.903933998153917</v>
      </c>
      <c r="IQ77" s="145">
        <v>-18.503518818333635</v>
      </c>
      <c r="IR77" s="145">
        <v>-19.253524131772021</v>
      </c>
      <c r="IS77" s="145">
        <v>-18.953715469761914</v>
      </c>
      <c r="IT77" s="145">
        <v>-19.053651690431948</v>
      </c>
      <c r="IU77" s="145">
        <v>-19.086963763988628</v>
      </c>
      <c r="IV77" s="145">
        <v>-15.855692628990791</v>
      </c>
      <c r="IW77" s="145">
        <v>-16.055565070330861</v>
      </c>
      <c r="IX77" s="145">
        <v>-15.955628849660826</v>
      </c>
      <c r="IY77" s="145">
        <v>-14.256713098270209</v>
      </c>
      <c r="IZ77" s="145">
        <v>-14.556521760280319</v>
      </c>
      <c r="JA77" s="145">
        <v>-14.356649318940246</v>
      </c>
      <c r="JB77" s="145">
        <v>-14.556521760280319</v>
      </c>
      <c r="JC77" s="145">
        <v>-14.45658553961028</v>
      </c>
      <c r="JD77" s="145">
        <v>-14.256713098270209</v>
      </c>
      <c r="JE77" s="145">
        <v>-14.256713098270209</v>
      </c>
      <c r="JF77" s="145">
        <v>-14.385202524845969</v>
      </c>
      <c r="JG77" s="145">
        <v>-15</v>
      </c>
      <c r="JH77" s="145">
        <v>-15.4</v>
      </c>
      <c r="JI77" s="145">
        <v>-15.2</v>
      </c>
      <c r="JJ77" s="145">
        <v>-14.6</v>
      </c>
      <c r="JK77" s="145">
        <v>-15</v>
      </c>
      <c r="JL77" s="145">
        <v>-15.039999999999997</v>
      </c>
      <c r="JM77" s="145">
        <v>-15.5</v>
      </c>
      <c r="JN77" s="145">
        <v>-15.6</v>
      </c>
      <c r="JO77" s="145">
        <v>-15.3</v>
      </c>
      <c r="JP77" s="145">
        <v>-15.466666666666669</v>
      </c>
      <c r="JQ77" s="145">
        <v>-22</v>
      </c>
      <c r="JR77" s="145">
        <v>-21.6</v>
      </c>
      <c r="JS77" s="145">
        <v>-21.7</v>
      </c>
      <c r="JT77" s="145">
        <v>-21.7</v>
      </c>
      <c r="JU77" s="145">
        <v>-21.7</v>
      </c>
      <c r="JV77" s="145">
        <v>-21.4</v>
      </c>
      <c r="JW77" s="145">
        <v>-21.8</v>
      </c>
      <c r="JX77" s="145">
        <v>-21.7</v>
      </c>
      <c r="JY77" s="145">
        <v>-21.7</v>
      </c>
    </row>
    <row r="78" spans="1:285" x14ac:dyDescent="0.2">
      <c r="A78" s="145" t="s">
        <v>1872</v>
      </c>
      <c r="M78" s="145">
        <v>0.52555858465702177</v>
      </c>
      <c r="AA78" s="145">
        <v>2.6972779813035239</v>
      </c>
      <c r="BM78" s="145">
        <v>0.92356844580123676</v>
      </c>
      <c r="CD78" s="145">
        <v>0</v>
      </c>
      <c r="CX78" s="145">
        <v>0.96902394586241236</v>
      </c>
      <c r="DK78" s="145">
        <v>0.71663142971865712</v>
      </c>
      <c r="DS78" s="145">
        <v>1.3510378057736805</v>
      </c>
      <c r="EH78" s="145">
        <v>0.10837853660477986</v>
      </c>
      <c r="ER78" s="145">
        <v>0.47907462948886775</v>
      </c>
      <c r="FC78" s="145">
        <v>0.32681714985757254</v>
      </c>
      <c r="FK78" s="145">
        <v>0.11338934190276896</v>
      </c>
      <c r="FU78" s="145">
        <v>0.78372917857814972</v>
      </c>
      <c r="GF78" s="145">
        <v>0.50788166558900649</v>
      </c>
      <c r="GO78" s="145">
        <v>0.2604805249725855</v>
      </c>
      <c r="GV78" s="145">
        <v>0.17515397072824471</v>
      </c>
      <c r="HD78" s="145">
        <v>0.16186703002768277</v>
      </c>
      <c r="HM78" s="145">
        <v>1.5531875547704053</v>
      </c>
      <c r="HT78" s="145">
        <v>0.42281515120227886</v>
      </c>
      <c r="ID78" s="145">
        <v>1.8841131405949505</v>
      </c>
      <c r="IQ78" s="145">
        <v>1.0781963525528506</v>
      </c>
      <c r="IU78" s="145">
        <v>0.15265509862941679</v>
      </c>
      <c r="IX78" s="145">
        <v>0.14133115864387352</v>
      </c>
      <c r="JF78" s="145">
        <v>0.13792508803045919</v>
      </c>
      <c r="JL78" s="145">
        <v>0.29664793948382667</v>
      </c>
      <c r="JP78" s="145">
        <v>0.15275252316519414</v>
      </c>
      <c r="JY78" s="145">
        <v>0.16903085094570361</v>
      </c>
    </row>
    <row r="79" spans="1:285" x14ac:dyDescent="0.2">
      <c r="A79" s="145" t="s">
        <v>1873</v>
      </c>
      <c r="M79" s="145">
        <v>-18.485539675662334</v>
      </c>
      <c r="AA79" s="145">
        <v>-23.191302590342353</v>
      </c>
      <c r="BM79" s="145">
        <v>-19.565046999804075</v>
      </c>
      <c r="CD79" s="145">
        <v>-19.864724402990859</v>
      </c>
      <c r="CX79" s="145">
        <v>-20.055520186529325</v>
      </c>
      <c r="DK79" s="145">
        <v>-20.5</v>
      </c>
      <c r="DS79" s="145">
        <v>-19.151860376950559</v>
      </c>
      <c r="EH79" s="145">
        <v>-20.452053161022349</v>
      </c>
      <c r="ER79" s="145">
        <v>-21.752245945094138</v>
      </c>
      <c r="FC79" s="145">
        <v>-18.851815888318608</v>
      </c>
      <c r="FK79" s="145">
        <v>-17.600000000000001</v>
      </c>
      <c r="FU79" s="145">
        <v>-21.21705575359865</v>
      </c>
      <c r="GF79" s="145">
        <v>-20.916700130429341</v>
      </c>
      <c r="GO79" s="145">
        <v>-18.893532132870455</v>
      </c>
      <c r="GV79" s="145">
        <v>-17.858017479712959</v>
      </c>
      <c r="HD79" s="145">
        <v>-18.458137273359448</v>
      </c>
      <c r="HM79" s="145">
        <v>-18.95823710139819</v>
      </c>
      <c r="HT79" s="145">
        <v>-18.203429851229288</v>
      </c>
      <c r="ID79" s="145">
        <v>-18.803607785437979</v>
      </c>
      <c r="IQ79" s="145">
        <v>-20.40408227666116</v>
      </c>
      <c r="IU79" s="145">
        <v>-19.253524131772021</v>
      </c>
      <c r="IX79" s="145">
        <v>-16.055565070330861</v>
      </c>
      <c r="JF79" s="145">
        <v>-14.556521760280319</v>
      </c>
      <c r="JL79" s="145">
        <v>-15.4</v>
      </c>
      <c r="JP79" s="145">
        <v>-15.6</v>
      </c>
      <c r="JY79" s="145">
        <v>-22</v>
      </c>
    </row>
    <row r="80" spans="1:285" x14ac:dyDescent="0.2">
      <c r="A80" s="145" t="s">
        <v>1874</v>
      </c>
      <c r="M80" s="145">
        <v>-17.384190908396796</v>
      </c>
      <c r="AA80" s="145">
        <v>-16.783455217161052</v>
      </c>
      <c r="BM80" s="145">
        <v>-16.668165435665177</v>
      </c>
      <c r="CD80" s="145">
        <v>-19.864724402990859</v>
      </c>
      <c r="CX80" s="145">
        <v>-16.35878487541401</v>
      </c>
      <c r="DK80" s="145">
        <v>-17.899999999999999</v>
      </c>
      <c r="DS80" s="145">
        <v>-15.551326513367139</v>
      </c>
      <c r="EH80" s="145">
        <v>-20.152008672390402</v>
      </c>
      <c r="ER80" s="145">
        <v>-19.951979013302427</v>
      </c>
      <c r="FC80" s="145">
        <v>-17.851667592878769</v>
      </c>
      <c r="FK80" s="145">
        <v>-17.3</v>
      </c>
      <c r="FU80" s="145">
        <v>-19.515040555639235</v>
      </c>
      <c r="GF80" s="145">
        <v>-18.914329309300616</v>
      </c>
      <c r="GO80" s="145">
        <v>-18.093573626805533</v>
      </c>
      <c r="GV80" s="145">
        <v>-17.457937617281964</v>
      </c>
      <c r="HD80" s="145">
        <v>-17.958037445320706</v>
      </c>
      <c r="HM80" s="145">
        <v>-15.257498373911499</v>
      </c>
      <c r="HT80" s="145">
        <v>-17.203133294214801</v>
      </c>
      <c r="ID80" s="145">
        <v>-13.301976721858297</v>
      </c>
      <c r="IQ80" s="145">
        <v>-16.903044327110454</v>
      </c>
      <c r="IU80" s="145">
        <v>-18.953715469761914</v>
      </c>
      <c r="IX80" s="145">
        <v>-15.855692628990791</v>
      </c>
      <c r="JF80" s="145">
        <v>-14.256713098270209</v>
      </c>
      <c r="JL80" s="145">
        <v>-14.6</v>
      </c>
      <c r="JP80" s="145">
        <v>-15.3</v>
      </c>
      <c r="JY80" s="145">
        <v>-21.4</v>
      </c>
    </row>
    <row r="81" spans="1:285" x14ac:dyDescent="0.2">
      <c r="A81" s="133" t="s">
        <v>1870</v>
      </c>
      <c r="C81" s="145">
        <v>-23.191302590342353</v>
      </c>
      <c r="D81" s="145">
        <v>-22.991057359930437</v>
      </c>
      <c r="E81" s="145">
        <v>-22.991057359930437</v>
      </c>
      <c r="F81" s="145">
        <v>-22.991057359930437</v>
      </c>
      <c r="G81" s="145">
        <v>-22.991057359930437</v>
      </c>
      <c r="H81" s="145">
        <v>-22.991057359930437</v>
      </c>
      <c r="J81" s="145">
        <v>-22.991057359930437</v>
      </c>
      <c r="L81" s="145">
        <v>-23.391547820754266</v>
      </c>
      <c r="M81" s="145">
        <v>-23.066149321334905</v>
      </c>
      <c r="O81" s="145">
        <v>-24.092406127195975</v>
      </c>
      <c r="P81" s="145">
        <v>-24.092406127195975</v>
      </c>
      <c r="Q81" s="145">
        <v>-24.092406127195975</v>
      </c>
      <c r="U81" s="145">
        <v>-24.19252874240193</v>
      </c>
      <c r="V81" s="145">
        <v>-23.69191566637214</v>
      </c>
      <c r="W81" s="145">
        <v>-22.089953823076819</v>
      </c>
      <c r="X81" s="145">
        <v>-24.492896588019804</v>
      </c>
      <c r="Y81" s="145">
        <v>-24.492896588019804</v>
      </c>
      <c r="Z81" s="145">
        <v>-24.092406127195975</v>
      </c>
      <c r="AA81" s="145">
        <v>-23.925535101852709</v>
      </c>
      <c r="AB81" s="145">
        <v>-2.6832199536153203</v>
      </c>
      <c r="AC81" s="145">
        <v>-8.6015792663204138E-2</v>
      </c>
      <c r="AD81" s="145">
        <v>-19.165477128888366</v>
      </c>
      <c r="AE81" s="145">
        <v>-1.4845103408681897</v>
      </c>
      <c r="AG81" s="145">
        <v>-22.162251160756192</v>
      </c>
      <c r="AH81" s="145">
        <v>-22.162251160756192</v>
      </c>
      <c r="AK81" s="145">
        <v>-24.659562853979381</v>
      </c>
      <c r="AL81" s="145">
        <v>-24.160100515334744</v>
      </c>
      <c r="AM81" s="145">
        <v>-24.3598854507926</v>
      </c>
      <c r="AN81" s="145">
        <v>-24.259992983063668</v>
      </c>
      <c r="AO81" s="145">
        <v>-24.160100515334744</v>
      </c>
      <c r="AP81" s="145">
        <v>-23.360960773503322</v>
      </c>
      <c r="AQ81" s="145">
        <v>-23.46085324123225</v>
      </c>
      <c r="AR81" s="145">
        <v>-23.46085324123225</v>
      </c>
      <c r="AS81" s="145">
        <v>-23.46085324123225</v>
      </c>
      <c r="AT81" s="145">
        <v>-23.46085324123225</v>
      </c>
      <c r="AU81" s="145">
        <v>-24.459777918521524</v>
      </c>
      <c r="AV81" s="145">
        <v>-23.261068305774394</v>
      </c>
      <c r="AW81" s="145">
        <v>-23.16117583804547</v>
      </c>
      <c r="AX81" s="145">
        <v>-23.261068305774394</v>
      </c>
      <c r="AY81" s="145">
        <v>-23.560745708961178</v>
      </c>
      <c r="AZ81" s="145">
        <v>-23.560745708961178</v>
      </c>
      <c r="BA81" s="145">
        <v>-23.560745708961178</v>
      </c>
      <c r="BB81" s="145">
        <v>-22.96139090258761</v>
      </c>
      <c r="BC81" s="145">
        <v>-22.96139090258761</v>
      </c>
      <c r="BD81" s="145">
        <v>-23.261068305774394</v>
      </c>
      <c r="BE81" s="145">
        <v>-23.261068305774394</v>
      </c>
      <c r="BF81" s="145">
        <v>-23.261068305774394</v>
      </c>
      <c r="BG81" s="145">
        <v>-23.860423112147963</v>
      </c>
      <c r="BH81" s="145">
        <v>-22.96139090258761</v>
      </c>
      <c r="BI81" s="145">
        <v>-23.860423112147963</v>
      </c>
      <c r="BJ81" s="145">
        <v>-23.560745708961178</v>
      </c>
      <c r="BK81" s="145">
        <v>-23.46085324123225</v>
      </c>
      <c r="BL81" s="145">
        <v>-23.16117583804547</v>
      </c>
      <c r="BM81" s="145">
        <v>-23.484161483702334</v>
      </c>
      <c r="BN81" s="145">
        <v>-7.2782734691459874</v>
      </c>
      <c r="BO81" s="145">
        <v>-6.4791337273145677</v>
      </c>
      <c r="BP81" s="145">
        <v>-6.9785960659592057</v>
      </c>
      <c r="BR81" s="145">
        <v>-7.4780584046038427</v>
      </c>
      <c r="BS81" s="145">
        <v>-7.6778433400616972</v>
      </c>
      <c r="BU81" s="145">
        <v>-6.8787035982302775</v>
      </c>
      <c r="CA81" s="145">
        <v>-27.856121821305063</v>
      </c>
      <c r="CB81" s="145">
        <v>-28.455476627678625</v>
      </c>
      <c r="CC81" s="145">
        <v>-28.455476627678625</v>
      </c>
      <c r="CD81" s="145">
        <v>-28.255691692220768</v>
      </c>
      <c r="CH81" s="145">
        <v>-23.452520202148797</v>
      </c>
      <c r="CI81" s="145">
        <v>-22.853049611157122</v>
      </c>
      <c r="CJ81" s="145">
        <v>-22.952961376322403</v>
      </c>
      <c r="CK81" s="145">
        <v>-23.452520202148797</v>
      </c>
      <c r="CL81" s="145">
        <v>-23.552431967314075</v>
      </c>
      <c r="CM81" s="145">
        <v>-23.352608436983516</v>
      </c>
      <c r="CN81" s="145">
        <v>-23.152784906652958</v>
      </c>
      <c r="CO81" s="145">
        <v>-23.052873141487684</v>
      </c>
      <c r="CP81" s="145">
        <v>-23.052873141487684</v>
      </c>
      <c r="CQ81" s="145">
        <v>-22.952961376322403</v>
      </c>
      <c r="CR81" s="145">
        <v>-22.952961376322403</v>
      </c>
      <c r="CS81" s="145">
        <v>-24.451637853801582</v>
      </c>
      <c r="CT81" s="145">
        <v>-24.651461384132137</v>
      </c>
      <c r="CU81" s="145">
        <v>-24.651461384132137</v>
      </c>
      <c r="CV81" s="145">
        <v>-24.651461384132137</v>
      </c>
      <c r="CW81" s="145">
        <v>-23.352608436983516</v>
      </c>
      <c r="CX81" s="145">
        <v>-23.533698511345584</v>
      </c>
      <c r="CY81" s="145">
        <v>-23</v>
      </c>
      <c r="CZ81" s="145">
        <v>-22.9</v>
      </c>
      <c r="DA81" s="145">
        <v>-23</v>
      </c>
      <c r="DB81" s="145">
        <v>-23.1</v>
      </c>
      <c r="DC81" s="145">
        <v>-23.1</v>
      </c>
      <c r="DD81" s="145">
        <v>-23.2</v>
      </c>
      <c r="DE81" s="145">
        <v>-23.1</v>
      </c>
      <c r="DF81" s="145">
        <v>-22.9</v>
      </c>
      <c r="DG81" s="145">
        <v>-23</v>
      </c>
      <c r="DH81" s="145">
        <v>-22.8</v>
      </c>
      <c r="DI81" s="145">
        <v>-23.1</v>
      </c>
      <c r="DJ81" s="145">
        <v>-23</v>
      </c>
      <c r="DK81" s="145">
        <v>-23.016666666666666</v>
      </c>
      <c r="DL81" s="145">
        <v>-22.552364581446014</v>
      </c>
      <c r="DM81" s="145">
        <v>-22.652379410989997</v>
      </c>
      <c r="DN81" s="145">
        <v>-22.552364581446014</v>
      </c>
      <c r="DO81" s="145">
        <v>-22.652379410989997</v>
      </c>
      <c r="DP81" s="145">
        <v>-23.652527706429836</v>
      </c>
      <c r="DQ81" s="145">
        <v>-23.652527706429836</v>
      </c>
      <c r="DR81" s="145">
        <v>-22.652379410989997</v>
      </c>
      <c r="DS81" s="145">
        <v>-22.909560401245955</v>
      </c>
      <c r="DU81" s="145">
        <v>-24.252616683693738</v>
      </c>
      <c r="DV81" s="145">
        <v>-24.252616683693738</v>
      </c>
      <c r="DX81" s="145">
        <v>-25.252764979133577</v>
      </c>
      <c r="DY81" s="145">
        <v>-25.252764979133577</v>
      </c>
      <c r="DZ81" s="145">
        <v>-24.852705660957643</v>
      </c>
      <c r="EA81" s="145">
        <v>-22.25232009281406</v>
      </c>
      <c r="EB81" s="145">
        <v>-23.352483217797882</v>
      </c>
      <c r="EC81" s="145">
        <v>-24.452646342781705</v>
      </c>
      <c r="ED81" s="145">
        <v>-24.452646342781705</v>
      </c>
      <c r="EE81" s="145">
        <v>-24.452646342781705</v>
      </c>
      <c r="EF81" s="145">
        <v>-23.452498047341866</v>
      </c>
      <c r="EG81" s="145">
        <v>-24.452646342781705</v>
      </c>
      <c r="EH81" s="145">
        <v>-24.227612976307736</v>
      </c>
      <c r="EI81" s="145">
        <v>-23.252468388253899</v>
      </c>
      <c r="EJ81" s="145">
        <v>-22.952423899621948</v>
      </c>
      <c r="EK81" s="145">
        <v>-23.252468388253899</v>
      </c>
      <c r="EL81" s="145">
        <v>-23.152453558709915</v>
      </c>
      <c r="EM81" s="145">
        <v>-23.252468388253899</v>
      </c>
      <c r="EN81" s="145">
        <v>-23.252468388253899</v>
      </c>
      <c r="EO81" s="145">
        <v>-23.252468388253899</v>
      </c>
      <c r="EP81" s="145">
        <v>-23.052438729165932</v>
      </c>
      <c r="EQ81" s="145">
        <v>-23.152453558709915</v>
      </c>
      <c r="ER81" s="145">
        <v>-23.174679076386358</v>
      </c>
      <c r="ES81" s="145">
        <v>-25.35277980867756</v>
      </c>
      <c r="ET81" s="145">
        <v>-25.152750149589593</v>
      </c>
      <c r="EU81" s="145">
        <v>-24.952720490501626</v>
      </c>
      <c r="EV81" s="145">
        <v>-24.852705660957643</v>
      </c>
      <c r="EW81" s="145">
        <v>-24.852705660957643</v>
      </c>
      <c r="EX81" s="145">
        <v>-24.852705660957643</v>
      </c>
      <c r="EY81" s="145">
        <v>-24.752690831413659</v>
      </c>
      <c r="EZ81" s="145">
        <v>-25.152750149589593</v>
      </c>
      <c r="FA81" s="145">
        <v>-24.852705660957643</v>
      </c>
      <c r="FB81" s="145">
        <v>-24.752690831413659</v>
      </c>
      <c r="FC81" s="145">
        <v>-24.952720490501623</v>
      </c>
      <c r="FD81" s="145">
        <v>-23.3</v>
      </c>
      <c r="FE81" s="145">
        <v>-23.3</v>
      </c>
      <c r="FF81" s="145">
        <v>-22.7</v>
      </c>
      <c r="FG81" s="145">
        <v>-23.3</v>
      </c>
      <c r="FH81" s="145">
        <v>-23.3</v>
      </c>
      <c r="FI81" s="145">
        <v>-23.3</v>
      </c>
      <c r="FJ81" s="145">
        <v>-22.7</v>
      </c>
      <c r="FK81" s="145">
        <v>-23.128571428571426</v>
      </c>
      <c r="FL81" s="145">
        <v>-23.519782197896681</v>
      </c>
      <c r="FM81" s="145">
        <v>-23.619900738953117</v>
      </c>
      <c r="FN81" s="145">
        <v>-23.419663656840243</v>
      </c>
      <c r="FO81" s="145">
        <v>-22.818952410501627</v>
      </c>
      <c r="FP81" s="145">
        <v>-23.119308033670933</v>
      </c>
      <c r="FQ81" s="145">
        <v>-23.119308033670933</v>
      </c>
      <c r="FR81" s="145">
        <v>-23.219426574727372</v>
      </c>
      <c r="FS81" s="145">
        <v>-23.219426574727372</v>
      </c>
      <c r="FT81" s="145">
        <v>-23.119308033670933</v>
      </c>
      <c r="FU81" s="145">
        <v>-23.241675139406581</v>
      </c>
      <c r="FV81" s="145">
        <v>-23.019189492614501</v>
      </c>
      <c r="FW81" s="145">
        <v>-23.019189492614501</v>
      </c>
      <c r="FX81" s="145">
        <v>-23.119308033670933</v>
      </c>
      <c r="FY81" s="145">
        <v>-23.119308033670933</v>
      </c>
      <c r="FZ81" s="145">
        <v>-23.119308033670933</v>
      </c>
      <c r="GA81" s="145">
        <v>-22.518596787332321</v>
      </c>
      <c r="GB81" s="145">
        <v>-23.119308033670933</v>
      </c>
      <c r="GC81" s="145">
        <v>-22.919070951558062</v>
      </c>
      <c r="GD81" s="145">
        <v>-23.119308033670933</v>
      </c>
      <c r="GE81" s="145">
        <v>-23.019189492614501</v>
      </c>
      <c r="GF81" s="145">
        <v>-23.009177638508856</v>
      </c>
      <c r="GG81" s="145">
        <v>-23.193309102969437</v>
      </c>
      <c r="GH81" s="145">
        <v>-23.193309102969437</v>
      </c>
      <c r="GI81" s="145">
        <v>-23.193309102969437</v>
      </c>
      <c r="GJ81" s="145">
        <v>-23.193309102969437</v>
      </c>
      <c r="GK81" s="145">
        <v>-22.19336097038828</v>
      </c>
      <c r="GL81" s="145">
        <v>-23.293303916227554</v>
      </c>
      <c r="GM81" s="145">
        <v>-23.193309102969437</v>
      </c>
      <c r="GN81" s="145">
        <v>-23.193309102969437</v>
      </c>
      <c r="GO81" s="145">
        <v>-23.080814938054058</v>
      </c>
      <c r="GP81" s="145">
        <v>-24.759395106647599</v>
      </c>
      <c r="GQ81" s="145">
        <v>-24.859415072255349</v>
      </c>
      <c r="GR81" s="145">
        <v>-24.759395106647599</v>
      </c>
      <c r="GS81" s="145">
        <v>-24.659375141039853</v>
      </c>
      <c r="GT81" s="145">
        <v>-24.959435037863095</v>
      </c>
      <c r="GU81" s="145">
        <v>-24.959435037863095</v>
      </c>
      <c r="GV81" s="145">
        <v>-24.826075083719434</v>
      </c>
      <c r="GW81" s="145">
        <v>-23.259095622531373</v>
      </c>
      <c r="GX81" s="145">
        <v>-23.359115588139122</v>
      </c>
      <c r="GY81" s="145">
        <v>-23.359115588139122</v>
      </c>
      <c r="GZ81" s="145">
        <v>-23.159075656923626</v>
      </c>
      <c r="HA81" s="145">
        <v>-23.059055691315876</v>
      </c>
      <c r="HB81" s="145">
        <v>-23.259095622531373</v>
      </c>
      <c r="HC81" s="145">
        <v>-23.159075656923626</v>
      </c>
      <c r="HD81" s="145">
        <v>-23.230518489500586</v>
      </c>
      <c r="HE81" s="145">
        <v>-24.359315244216607</v>
      </c>
      <c r="HF81" s="145">
        <v>-24.559355175432103</v>
      </c>
      <c r="HG81" s="145">
        <v>-24.659375141039853</v>
      </c>
      <c r="HH81" s="145">
        <v>-24.359315244216607</v>
      </c>
      <c r="HI81" s="145">
        <v>-24.459335209824353</v>
      </c>
      <c r="HK81" s="145">
        <v>-23.959235381785611</v>
      </c>
      <c r="HL81" s="145">
        <v>-24.059255347393361</v>
      </c>
      <c r="HM81" s="145">
        <v>-24.345026677701213</v>
      </c>
      <c r="HN81" s="145">
        <v>-23.505001603406068</v>
      </c>
      <c r="HO81" s="145">
        <v>-23.505001603406068</v>
      </c>
      <c r="HP81" s="145">
        <v>-23.605031259107516</v>
      </c>
      <c r="HQ81" s="145">
        <v>-23.705060914808968</v>
      </c>
      <c r="HR81" s="145">
        <v>-24.005149881913312</v>
      </c>
      <c r="HS81" s="145">
        <v>-23.605031259107516</v>
      </c>
      <c r="HT81" s="145">
        <v>-23.65504608695824</v>
      </c>
      <c r="HU81" s="145">
        <v>-23.705060914808968</v>
      </c>
      <c r="HV81" s="145">
        <v>-24.10517953761476</v>
      </c>
      <c r="HW81" s="145">
        <v>-23.605031259107516</v>
      </c>
      <c r="HX81" s="145">
        <v>-23.905120226211864</v>
      </c>
      <c r="HY81" s="145">
        <v>-24.305238849017659</v>
      </c>
      <c r="HZ81" s="145">
        <v>-24.305238849017659</v>
      </c>
      <c r="IA81" s="145">
        <v>-24.005149881913312</v>
      </c>
      <c r="IB81" s="145">
        <v>-23.905120226211864</v>
      </c>
      <c r="IC81" s="145">
        <v>-24.005149881913312</v>
      </c>
      <c r="ID81" s="145">
        <v>-23.982921069535216</v>
      </c>
      <c r="IE81" s="145">
        <v>-24.805387127524902</v>
      </c>
      <c r="IF81" s="145">
        <v>-24.90541678322635</v>
      </c>
      <c r="IG81" s="145">
        <v>-25.005446438927798</v>
      </c>
      <c r="IH81" s="145">
        <v>-24.90541678322635</v>
      </c>
      <c r="II81" s="145">
        <v>-25.005446438927798</v>
      </c>
      <c r="IJ81" s="145">
        <v>-25.10547609462925</v>
      </c>
      <c r="IK81" s="145">
        <v>-25.005446438927798</v>
      </c>
      <c r="IL81" s="145">
        <v>-25.005446438927798</v>
      </c>
      <c r="IM81" s="145">
        <v>-24.805387127524902</v>
      </c>
      <c r="IN81" s="145">
        <v>-24.90541678322635</v>
      </c>
      <c r="IO81" s="145">
        <v>-25.005446438927798</v>
      </c>
      <c r="IP81" s="145">
        <v>-25.005446438927798</v>
      </c>
      <c r="IQ81" s="145">
        <v>-24.955431611077074</v>
      </c>
      <c r="IR81" s="145">
        <v>-22.451483193213182</v>
      </c>
      <c r="IS81" s="145">
        <v>-22.351546972543147</v>
      </c>
      <c r="IT81" s="145">
        <v>-22.55141941388322</v>
      </c>
      <c r="IU81" s="145">
        <v>-22.451483193213182</v>
      </c>
      <c r="IV81" s="145">
        <v>-24.250335165273835</v>
      </c>
      <c r="IW81" s="145">
        <v>-24.250335165273835</v>
      </c>
      <c r="IX81" s="145">
        <v>-24.250335165273835</v>
      </c>
      <c r="IY81" s="145">
        <v>-24.450207606613905</v>
      </c>
      <c r="IZ81" s="145">
        <v>-24.250335165273835</v>
      </c>
      <c r="JA81" s="145">
        <v>-24.35027138594387</v>
      </c>
      <c r="JB81" s="145">
        <v>-24.550143827283943</v>
      </c>
      <c r="JC81" s="145">
        <v>-24.250335165273835</v>
      </c>
      <c r="JD81" s="145">
        <v>-24.250335165273835</v>
      </c>
      <c r="JE81" s="145">
        <v>-24.35027138594387</v>
      </c>
      <c r="JF81" s="145">
        <v>-24.35027138594387</v>
      </c>
      <c r="JG81" s="145">
        <v>-25.1</v>
      </c>
      <c r="JH81" s="145">
        <v>-24.9</v>
      </c>
      <c r="JI81" s="145">
        <v>-25</v>
      </c>
      <c r="JJ81" s="145">
        <v>-24.9</v>
      </c>
      <c r="JK81" s="145">
        <v>-24.8</v>
      </c>
      <c r="JL81" s="145">
        <v>-24.94</v>
      </c>
      <c r="JM81" s="145">
        <v>-22.9</v>
      </c>
      <c r="JN81" s="145">
        <v>-22.8</v>
      </c>
      <c r="JO81" s="145">
        <v>-22.9</v>
      </c>
      <c r="JP81" s="145">
        <v>-22.866666666666664</v>
      </c>
      <c r="JQ81" s="145">
        <v>-23.4</v>
      </c>
      <c r="JR81" s="145">
        <v>-23.9</v>
      </c>
      <c r="JS81" s="145">
        <v>-24.1</v>
      </c>
      <c r="JT81" s="145">
        <v>-23.5</v>
      </c>
      <c r="JU81" s="145">
        <v>-23.5</v>
      </c>
      <c r="JV81" s="145">
        <v>-24.3</v>
      </c>
      <c r="JW81" s="145">
        <v>-24.2</v>
      </c>
      <c r="JX81" s="145">
        <v>-24.1</v>
      </c>
      <c r="JY81" s="145">
        <v>-23.875</v>
      </c>
    </row>
    <row r="82" spans="1:285" x14ac:dyDescent="0.2">
      <c r="A82" s="145" t="s">
        <v>1872</v>
      </c>
      <c r="M82" s="145">
        <v>0.14898721909375928</v>
      </c>
      <c r="AA82" s="145">
        <v>0.72890364110152095</v>
      </c>
      <c r="BM82" s="145">
        <v>0.57872464586570382</v>
      </c>
      <c r="CA82" s="145">
        <v>-8.6015792663204138E-2</v>
      </c>
      <c r="CB82" s="145">
        <v>-8.6015792663204138E-2</v>
      </c>
      <c r="CC82" s="145">
        <v>-8.6015792663204138E-2</v>
      </c>
      <c r="CD82" s="145">
        <v>0.34603765879987186</v>
      </c>
      <c r="CX82" s="145">
        <v>0.67094178565777729</v>
      </c>
      <c r="DK82" s="145">
        <v>0.11146408580454298</v>
      </c>
      <c r="DS82" s="145">
        <v>0.50951034103941517</v>
      </c>
      <c r="EH82" s="145">
        <v>0.85092793092904584</v>
      </c>
      <c r="ER82" s="145">
        <v>0.10930684937553595</v>
      </c>
      <c r="FC82" s="145">
        <v>0.2000296590879671</v>
      </c>
      <c r="FK82" s="145">
        <v>0.29277002188456064</v>
      </c>
      <c r="FU82" s="145">
        <v>0.24410133166483458</v>
      </c>
      <c r="GF82" s="145">
        <v>0.18551220922235112</v>
      </c>
      <c r="GO82" s="145">
        <v>0.36028872021735142</v>
      </c>
      <c r="GV82" s="145">
        <v>0.12113019371564655</v>
      </c>
      <c r="HD82" s="145">
        <v>0.11129194373028303</v>
      </c>
      <c r="HM82" s="145">
        <v>0.25453441331032234</v>
      </c>
      <c r="HT82" s="145">
        <v>0.18713835007588994</v>
      </c>
      <c r="ID82" s="145">
        <v>0.23870111855908074</v>
      </c>
      <c r="IQ82" s="145">
        <v>9.0480227964583521E-2</v>
      </c>
      <c r="IU82" s="145">
        <v>9.9936220670036491E-2</v>
      </c>
      <c r="IX82" s="145">
        <v>0</v>
      </c>
      <c r="JF82" s="145">
        <v>0.1153964078112778</v>
      </c>
      <c r="JL82" s="145">
        <v>0.11401754250991433</v>
      </c>
      <c r="JP82" s="145">
        <v>5.7735026918961339E-2</v>
      </c>
      <c r="JY82" s="145">
        <v>0.35757117173668135</v>
      </c>
    </row>
    <row r="83" spans="1:285" x14ac:dyDescent="0.2">
      <c r="A83" s="145" t="s">
        <v>1873</v>
      </c>
      <c r="M83" s="145">
        <v>-23.391547820754266</v>
      </c>
      <c r="AA83" s="145">
        <v>-24.492896588019804</v>
      </c>
      <c r="BM83" s="145">
        <v>-24.659562853979381</v>
      </c>
      <c r="CA83" s="145">
        <v>-8.6015792663204138E-2</v>
      </c>
      <c r="CB83" s="145">
        <v>-8.6015792663204138E-2</v>
      </c>
      <c r="CC83" s="145">
        <v>-8.6015792663204138E-2</v>
      </c>
      <c r="CD83" s="145">
        <v>-28.455476627678625</v>
      </c>
      <c r="CX83" s="145">
        <v>-24.651461384132137</v>
      </c>
      <c r="DK83" s="145">
        <v>-23.2</v>
      </c>
      <c r="DS83" s="145">
        <v>-23.652527706429836</v>
      </c>
      <c r="EH83" s="145">
        <v>-25.252764979133577</v>
      </c>
      <c r="ER83" s="145">
        <v>-23.252468388253899</v>
      </c>
      <c r="FC83" s="145">
        <v>-25.35277980867756</v>
      </c>
      <c r="FK83" s="145">
        <v>-23.3</v>
      </c>
      <c r="FU83" s="145">
        <v>-23.619900738953117</v>
      </c>
      <c r="GF83" s="145">
        <v>-23.119308033670933</v>
      </c>
      <c r="GO83" s="145">
        <v>-23.293303916227554</v>
      </c>
      <c r="GV83" s="145">
        <v>-24.959435037863095</v>
      </c>
      <c r="HD83" s="145">
        <v>-23.359115588139122</v>
      </c>
      <c r="HM83" s="145">
        <v>-24.659375141039853</v>
      </c>
      <c r="HT83" s="145">
        <v>-24.005149881913312</v>
      </c>
      <c r="ID83" s="145">
        <v>-24.305238849017659</v>
      </c>
      <c r="IQ83" s="145">
        <v>-25.10547609462925</v>
      </c>
      <c r="IU83" s="145">
        <v>-22.55141941388322</v>
      </c>
      <c r="IX83" s="145">
        <v>-24.250335165273835</v>
      </c>
      <c r="JF83" s="145">
        <v>-24.550143827283943</v>
      </c>
      <c r="JL83" s="145">
        <v>-25.1</v>
      </c>
      <c r="JP83" s="145">
        <v>-22.9</v>
      </c>
      <c r="JY83" s="145">
        <v>-24.3</v>
      </c>
    </row>
    <row r="84" spans="1:285" x14ac:dyDescent="0.2">
      <c r="A84" s="145" t="s">
        <v>1874</v>
      </c>
      <c r="M84" s="145">
        <v>-22.991057359930437</v>
      </c>
      <c r="AA84" s="145">
        <v>-22.089953823076819</v>
      </c>
      <c r="BM84" s="145">
        <v>-22.162251160756192</v>
      </c>
      <c r="CA84" s="145">
        <v>-8.6015792663204138E-2</v>
      </c>
      <c r="CB84" s="145">
        <v>-8.6015792663204138E-2</v>
      </c>
      <c r="CC84" s="145">
        <v>-8.6015792663204138E-2</v>
      </c>
      <c r="CD84" s="145">
        <v>-27.856121821305063</v>
      </c>
      <c r="CX84" s="145">
        <v>-22.853049611157122</v>
      </c>
      <c r="DK84" s="145">
        <v>-22.8</v>
      </c>
      <c r="DS84" s="145">
        <v>-22.552364581446014</v>
      </c>
      <c r="EH84" s="145">
        <v>-22.25232009281406</v>
      </c>
      <c r="ER84" s="145">
        <v>-22.952423899621948</v>
      </c>
      <c r="FC84" s="145">
        <v>-24.752690831413659</v>
      </c>
      <c r="FK84" s="145">
        <v>-22.7</v>
      </c>
      <c r="FU84" s="145">
        <v>-22.818952410501627</v>
      </c>
      <c r="GF84" s="145">
        <v>-22.518596787332321</v>
      </c>
      <c r="GO84" s="145">
        <v>-22.19336097038828</v>
      </c>
      <c r="GV84" s="145">
        <v>-24.659375141039853</v>
      </c>
      <c r="HD84" s="145">
        <v>-23.059055691315876</v>
      </c>
      <c r="HM84" s="145">
        <v>-23.959235381785611</v>
      </c>
      <c r="HT84" s="145">
        <v>-23.505001603406068</v>
      </c>
      <c r="ID84" s="145">
        <v>-23.605031259107516</v>
      </c>
      <c r="IQ84" s="145">
        <v>-24.805387127524902</v>
      </c>
      <c r="IU84" s="145">
        <v>-22.351546972543147</v>
      </c>
      <c r="IX84" s="145">
        <v>-24.250335165273835</v>
      </c>
      <c r="JF84" s="145">
        <v>-24.250335165273835</v>
      </c>
      <c r="JL84" s="145">
        <v>-24.8</v>
      </c>
      <c r="JP84" s="145">
        <v>-22.8</v>
      </c>
      <c r="JY84" s="145">
        <v>-23.4</v>
      </c>
    </row>
    <row r="86" spans="1:285" x14ac:dyDescent="0.2">
      <c r="A86" s="133" t="s">
        <v>1694</v>
      </c>
      <c r="C86" s="145">
        <v>118.18183008047012</v>
      </c>
      <c r="D86" s="145">
        <v>119.18305623252969</v>
      </c>
      <c r="E86" s="145">
        <v>119.18305623252969</v>
      </c>
      <c r="F86" s="145">
        <v>119.18305623252969</v>
      </c>
      <c r="G86" s="145">
        <v>120.18428238458928</v>
      </c>
      <c r="H86" s="145">
        <v>118.18183008047012</v>
      </c>
      <c r="J86" s="145">
        <v>119.18305623252969</v>
      </c>
      <c r="L86" s="145">
        <v>119.18305623252969</v>
      </c>
      <c r="M86" s="145">
        <v>119.05790296352225</v>
      </c>
      <c r="O86" s="145">
        <v>109.17079471193392</v>
      </c>
      <c r="P86" s="145">
        <v>110.1720208639935</v>
      </c>
      <c r="Q86" s="145">
        <v>110.1720208639935</v>
      </c>
      <c r="U86" s="145">
        <v>109.17079471193392</v>
      </c>
      <c r="V86" s="145">
        <v>108.16956855987434</v>
      </c>
      <c r="W86" s="145">
        <v>116.17937777635096</v>
      </c>
      <c r="X86" s="145">
        <v>95.153628583099817</v>
      </c>
      <c r="Y86" s="145">
        <v>115.17815162429139</v>
      </c>
      <c r="Z86" s="145">
        <v>94.152402431040244</v>
      </c>
      <c r="AA86" s="145">
        <v>107.5020844585013</v>
      </c>
      <c r="AB86" s="145">
        <v>99.806451936264338</v>
      </c>
      <c r="AC86" s="145">
        <v>99.806451936264338</v>
      </c>
      <c r="AD86" s="145">
        <v>109.79569870915709</v>
      </c>
      <c r="AE86" s="145">
        <v>109.79569870915709</v>
      </c>
      <c r="AG86" s="145">
        <v>125.77849354578551</v>
      </c>
      <c r="AK86" s="145">
        <v>125.77849354578551</v>
      </c>
      <c r="AL86" s="145">
        <v>125.77849354578551</v>
      </c>
      <c r="AM86" s="145">
        <v>126.77741822307478</v>
      </c>
      <c r="AN86" s="145">
        <v>125.77849354578551</v>
      </c>
      <c r="AO86" s="145">
        <v>125.77849354578551</v>
      </c>
      <c r="AP86" s="145">
        <v>127.77634290036406</v>
      </c>
      <c r="AQ86" s="145">
        <v>126.77741822307478</v>
      </c>
      <c r="AR86" s="145">
        <v>127.77634290036406</v>
      </c>
      <c r="AS86" s="145">
        <v>124.77956886849623</v>
      </c>
      <c r="AT86" s="145">
        <v>126.77741822307478</v>
      </c>
      <c r="AU86" s="145">
        <v>103.80215064542145</v>
      </c>
      <c r="AV86" s="145">
        <v>127.77634290036406</v>
      </c>
      <c r="AW86" s="145">
        <v>125.77849354578551</v>
      </c>
      <c r="AX86" s="145">
        <v>128.77526757765332</v>
      </c>
      <c r="AY86" s="145">
        <v>129.77419225494262</v>
      </c>
      <c r="AZ86" s="145">
        <v>129.77419225494262</v>
      </c>
      <c r="BA86" s="145">
        <v>131.77204160952115</v>
      </c>
      <c r="BB86" s="145">
        <v>128.77526757765332</v>
      </c>
      <c r="BC86" s="145">
        <v>128.77526757765332</v>
      </c>
      <c r="BD86" s="145">
        <v>139.76343902783537</v>
      </c>
      <c r="BE86" s="145">
        <v>129.77419225494262</v>
      </c>
      <c r="BF86" s="145">
        <v>131.77204160952115</v>
      </c>
      <c r="BG86" s="145">
        <v>124.77956886849623</v>
      </c>
      <c r="BH86" s="145">
        <v>124.77956886849623</v>
      </c>
      <c r="BI86" s="145">
        <v>124.77956886849623</v>
      </c>
      <c r="BJ86" s="145">
        <v>126.77741822307478</v>
      </c>
      <c r="BK86" s="145">
        <v>126.77741822307478</v>
      </c>
      <c r="BL86" s="145">
        <v>126.77741822307478</v>
      </c>
      <c r="BM86" s="145">
        <v>126.91520093718367</v>
      </c>
      <c r="BN86" s="145">
        <v>103.80215064542145</v>
      </c>
      <c r="BO86" s="145">
        <v>79.827958390478841</v>
      </c>
      <c r="CA86" s="145">
        <v>121.7827948366284</v>
      </c>
      <c r="CB86" s="145">
        <v>116.78817145018202</v>
      </c>
      <c r="CC86" s="145">
        <v>121.7827948366284</v>
      </c>
      <c r="CD86" s="145">
        <v>120.1179203744796</v>
      </c>
      <c r="CH86" s="145">
        <v>119.92086281002604</v>
      </c>
      <c r="CI86" s="145">
        <v>118.92174515837326</v>
      </c>
      <c r="CJ86" s="145">
        <v>119.92086281002604</v>
      </c>
      <c r="CK86" s="145">
        <v>125.91556871994275</v>
      </c>
      <c r="CL86" s="145">
        <v>126.91468637159555</v>
      </c>
      <c r="CM86" s="145">
        <v>119.92086281002604</v>
      </c>
      <c r="CN86" s="145">
        <v>117.92262750672047</v>
      </c>
      <c r="CO86" s="145">
        <v>116.92350985506768</v>
      </c>
      <c r="CP86" s="145">
        <v>118.92174515837326</v>
      </c>
      <c r="CQ86" s="145">
        <v>113.92615690010932</v>
      </c>
      <c r="CR86" s="145">
        <v>113.92615690010932</v>
      </c>
      <c r="CS86" s="145">
        <v>120.91998046167883</v>
      </c>
      <c r="CT86" s="145">
        <v>100.9376274286231</v>
      </c>
      <c r="CU86" s="145">
        <v>116.92350985506768</v>
      </c>
      <c r="CV86" s="145">
        <v>116.92350985506768</v>
      </c>
      <c r="CW86" s="145">
        <v>123.91733341663719</v>
      </c>
      <c r="CX86" s="145">
        <v>118.29729662609027</v>
      </c>
      <c r="CY86" s="145">
        <v>122</v>
      </c>
      <c r="CZ86" s="145">
        <v>122</v>
      </c>
      <c r="DA86" s="145">
        <v>119</v>
      </c>
      <c r="DB86" s="145">
        <v>122</v>
      </c>
      <c r="DC86" s="145">
        <v>122</v>
      </c>
      <c r="DD86" s="145">
        <v>120</v>
      </c>
      <c r="DE86" s="145">
        <v>120</v>
      </c>
      <c r="DF86" s="145">
        <v>120</v>
      </c>
      <c r="DG86" s="145">
        <v>121</v>
      </c>
      <c r="DH86" s="145">
        <v>122</v>
      </c>
      <c r="DI86" s="145">
        <v>123</v>
      </c>
      <c r="DJ86" s="145">
        <v>122</v>
      </c>
      <c r="DK86" s="145">
        <v>121.25</v>
      </c>
      <c r="DL86" s="145">
        <v>115.9681743369717</v>
      </c>
      <c r="DM86" s="145">
        <v>115.46810018925179</v>
      </c>
      <c r="DN86" s="145">
        <v>115.9681743369717</v>
      </c>
      <c r="DO86" s="145">
        <v>116.96832263241154</v>
      </c>
      <c r="DP86" s="145">
        <v>115.9681743369717</v>
      </c>
      <c r="DQ86" s="145">
        <v>116.96832263241154</v>
      </c>
      <c r="DR86" s="145">
        <v>116.46824848469161</v>
      </c>
      <c r="DS86" s="145">
        <v>116.25393099281165</v>
      </c>
      <c r="DU86" s="145">
        <v>105.96669138257332</v>
      </c>
      <c r="DV86" s="145">
        <v>105.96669138257332</v>
      </c>
      <c r="DX86" s="145">
        <v>105.96669138257332</v>
      </c>
      <c r="DY86" s="145">
        <v>106.46676553029323</v>
      </c>
      <c r="DZ86" s="145">
        <v>106.46676553029323</v>
      </c>
      <c r="EA86" s="145">
        <v>106.96683967801314</v>
      </c>
      <c r="EB86" s="145">
        <v>106.96683967801314</v>
      </c>
      <c r="EC86" s="145">
        <v>106.96683967801314</v>
      </c>
      <c r="ED86" s="145">
        <v>106.96683967801314</v>
      </c>
      <c r="EE86" s="145">
        <v>106.96683967801314</v>
      </c>
      <c r="EF86" s="145">
        <v>106.96683967801314</v>
      </c>
      <c r="EG86" s="145">
        <v>106.96683967801314</v>
      </c>
      <c r="EH86" s="145">
        <v>106.63345691286655</v>
      </c>
      <c r="EI86" s="145">
        <v>116.26821882560365</v>
      </c>
      <c r="EJ86" s="145">
        <v>116.96832263241154</v>
      </c>
      <c r="EK86" s="145">
        <v>117.96847092785137</v>
      </c>
      <c r="EL86" s="145">
        <v>116.96832263241154</v>
      </c>
      <c r="EM86" s="145">
        <v>115.46810018925179</v>
      </c>
      <c r="EN86" s="145">
        <v>113.96787774609203</v>
      </c>
      <c r="EO86" s="145">
        <v>118.4685450755713</v>
      </c>
      <c r="EP86" s="145">
        <v>116.96832263241154</v>
      </c>
      <c r="EQ86" s="145">
        <v>116.96832263241154</v>
      </c>
      <c r="ER86" s="145">
        <v>116.66827814377959</v>
      </c>
      <c r="ES86" s="145">
        <v>119.96876751873106</v>
      </c>
      <c r="ET86" s="145">
        <v>120.9689158141709</v>
      </c>
      <c r="EU86" s="145">
        <v>120.9689158141709</v>
      </c>
      <c r="EV86" s="145">
        <v>121.96906410961074</v>
      </c>
      <c r="EW86" s="145">
        <v>124.96950899593025</v>
      </c>
      <c r="EX86" s="145">
        <v>121.96906410961074</v>
      </c>
      <c r="EY86" s="145">
        <v>121.96906410961074</v>
      </c>
      <c r="EZ86" s="145">
        <v>123.96936070049041</v>
      </c>
      <c r="FA86" s="145">
        <v>121.96906410961074</v>
      </c>
      <c r="FB86" s="145">
        <v>124.96950899593025</v>
      </c>
      <c r="FC86" s="145">
        <v>122.36912342778666</v>
      </c>
      <c r="FD86" s="145">
        <v>105</v>
      </c>
      <c r="FE86" s="145">
        <v>107</v>
      </c>
      <c r="FF86" s="145">
        <v>105</v>
      </c>
      <c r="FG86" s="145">
        <v>104</v>
      </c>
      <c r="FH86" s="145">
        <v>106</v>
      </c>
      <c r="FI86" s="145">
        <v>104</v>
      </c>
      <c r="FJ86" s="145">
        <v>105</v>
      </c>
      <c r="FK86" s="145">
        <v>105.14285714285714</v>
      </c>
      <c r="FL86" s="145">
        <v>119.24925734858125</v>
      </c>
      <c r="FM86" s="145">
        <v>120.7510354644278</v>
      </c>
      <c r="FN86" s="145">
        <v>120.7510354644278</v>
      </c>
      <c r="FO86" s="145">
        <v>119.74985005386344</v>
      </c>
      <c r="FP86" s="145">
        <v>115.74510841160598</v>
      </c>
      <c r="FQ86" s="145">
        <v>114.74392300104162</v>
      </c>
      <c r="FR86" s="145">
        <v>115.74510841160598</v>
      </c>
      <c r="FS86" s="145">
        <v>116.74629382217034</v>
      </c>
      <c r="FT86" s="145">
        <v>115.74510841160598</v>
      </c>
      <c r="FU86" s="145">
        <v>117.69185782103669</v>
      </c>
      <c r="FV86" s="145">
        <v>113.24214488519509</v>
      </c>
      <c r="FW86" s="145">
        <v>114.74392300104162</v>
      </c>
      <c r="FX86" s="145">
        <v>115.24451570632381</v>
      </c>
      <c r="FY86" s="145">
        <v>114.24333029575945</v>
      </c>
      <c r="FZ86" s="145">
        <v>119.04902026646837</v>
      </c>
      <c r="GA86" s="145">
        <v>113.74273759047726</v>
      </c>
      <c r="GB86" s="145">
        <v>114.74392300104162</v>
      </c>
      <c r="GC86" s="145">
        <v>112.7415521799129</v>
      </c>
      <c r="GD86" s="145">
        <v>118.24807193801689</v>
      </c>
      <c r="GE86" s="145">
        <v>111.23977406406637</v>
      </c>
      <c r="GF86" s="145">
        <v>114.72389929283034</v>
      </c>
      <c r="GG86" s="145">
        <v>114.99952281974666</v>
      </c>
      <c r="GH86" s="145">
        <v>116.4994450186184</v>
      </c>
      <c r="GI86" s="145">
        <v>110.99973028942202</v>
      </c>
      <c r="GJ86" s="145">
        <v>111.99967842200319</v>
      </c>
      <c r="GK86" s="145">
        <v>116.4994450186184</v>
      </c>
      <c r="GL86" s="145">
        <v>120.2992479224268</v>
      </c>
      <c r="GM86" s="145">
        <v>118.9993153500713</v>
      </c>
      <c r="GN86" s="145">
        <v>115.99947095232781</v>
      </c>
      <c r="GO86" s="145">
        <v>115.78698197415432</v>
      </c>
      <c r="GP86" s="145">
        <v>122.46999426795807</v>
      </c>
      <c r="GQ86" s="145">
        <v>122.77005416478131</v>
      </c>
      <c r="GR86" s="145">
        <v>121.46979461188059</v>
      </c>
      <c r="GS86" s="145">
        <v>131.07171131022443</v>
      </c>
      <c r="GT86" s="145">
        <v>119.26935536851012</v>
      </c>
      <c r="GU86" s="145">
        <v>120.4695949558031</v>
      </c>
      <c r="GV86" s="145">
        <v>122.92008411319296</v>
      </c>
      <c r="GW86" s="145">
        <v>119.96949512776436</v>
      </c>
      <c r="GX86" s="145">
        <v>119.46939529972562</v>
      </c>
      <c r="GY86" s="145">
        <v>120.2695550245876</v>
      </c>
      <c r="GZ86" s="145">
        <v>119.96949512776436</v>
      </c>
      <c r="HA86" s="145">
        <v>118.96929547168688</v>
      </c>
      <c r="HB86" s="145">
        <v>119.76945519654886</v>
      </c>
      <c r="HC86" s="145">
        <v>120.36957499019536</v>
      </c>
      <c r="HD86" s="145">
        <v>119.82660946261043</v>
      </c>
      <c r="HE86" s="145">
        <v>132.47199082873291</v>
      </c>
      <c r="HF86" s="145">
        <v>98.465202522098451</v>
      </c>
      <c r="HG86" s="145">
        <v>103.96630063052461</v>
      </c>
      <c r="HH86" s="145">
        <v>115.16853677859244</v>
      </c>
      <c r="HI86" s="145">
        <v>95.764663450689241</v>
      </c>
      <c r="HK86" s="145">
        <v>103.96630063052461</v>
      </c>
      <c r="HL86" s="145">
        <v>101.96590131836965</v>
      </c>
      <c r="HM86" s="145">
        <v>107.39555659421886</v>
      </c>
      <c r="HN86" s="145">
        <v>118.23702052554677</v>
      </c>
      <c r="HO86" s="145">
        <v>117.03666465712939</v>
      </c>
      <c r="HP86" s="145">
        <v>114.43589360889173</v>
      </c>
      <c r="HQ86" s="145">
        <v>128.64010471849741</v>
      </c>
      <c r="HR86" s="145">
        <v>123.03844399921631</v>
      </c>
      <c r="HS86" s="145">
        <v>122.43826606500762</v>
      </c>
      <c r="HT86" s="145">
        <v>120.63773226238153</v>
      </c>
      <c r="HU86" s="145">
        <v>113.93574533038448</v>
      </c>
      <c r="HV86" s="145">
        <v>127.5397785057815</v>
      </c>
      <c r="HW86" s="145">
        <v>115.43619016590621</v>
      </c>
      <c r="HX86" s="145">
        <v>121.93811778650038</v>
      </c>
      <c r="HY86" s="145">
        <v>120.93782122948589</v>
      </c>
      <c r="HZ86" s="145">
        <v>127.73983781718441</v>
      </c>
      <c r="IA86" s="145">
        <v>123.53859227772355</v>
      </c>
      <c r="IB86" s="145">
        <v>125.43915573605109</v>
      </c>
      <c r="IC86" s="145">
        <v>124.73894814614094</v>
      </c>
      <c r="ID86" s="145">
        <v>122.36046522168425</v>
      </c>
      <c r="IE86" s="145">
        <v>115.93633844441345</v>
      </c>
      <c r="IF86" s="145">
        <v>112.93544877337</v>
      </c>
      <c r="IG86" s="145">
        <v>101.93218664621064</v>
      </c>
      <c r="IH86" s="145">
        <v>94.930110747109225</v>
      </c>
      <c r="II86" s="145">
        <v>100.73183077779325</v>
      </c>
      <c r="IJ86" s="145">
        <v>120.93782122948589</v>
      </c>
      <c r="IK86" s="145">
        <v>114.93604188739897</v>
      </c>
      <c r="IL86" s="145">
        <v>96.930703861138198</v>
      </c>
      <c r="IM86" s="145">
        <v>94.930110747109225</v>
      </c>
      <c r="IN86" s="145">
        <v>95.930407304123705</v>
      </c>
      <c r="IO86" s="145">
        <v>92.929517633080252</v>
      </c>
      <c r="IP86" s="145">
        <v>122.93841434351486</v>
      </c>
      <c r="IQ86" s="145">
        <v>105.49991103289562</v>
      </c>
      <c r="IR86" s="145">
        <v>102.16898398232202</v>
      </c>
      <c r="IS86" s="145">
        <v>116.16005487612709</v>
      </c>
      <c r="IT86" s="145">
        <v>112.16260604932565</v>
      </c>
      <c r="IU86" s="145">
        <v>110.16388163592491</v>
      </c>
      <c r="IV86" s="145">
        <v>126.15367694313072</v>
      </c>
      <c r="IW86" s="145">
        <v>124.15495252973</v>
      </c>
      <c r="IX86" s="145">
        <v>125.15431473643036</v>
      </c>
      <c r="IY86" s="145">
        <v>123.15559032302963</v>
      </c>
      <c r="IZ86" s="145">
        <v>108.66483832587437</v>
      </c>
      <c r="JA86" s="145">
        <v>114.16133046272637</v>
      </c>
      <c r="JB86" s="145">
        <v>124.65463363308017</v>
      </c>
      <c r="JC86" s="145">
        <v>121.15686590962891</v>
      </c>
      <c r="JD86" s="145">
        <v>124.15495252973</v>
      </c>
      <c r="JE86" s="145">
        <v>125.15431473643035</v>
      </c>
      <c r="JF86" s="145">
        <v>120.15750370292854</v>
      </c>
      <c r="JG86" s="145">
        <v>106.5</v>
      </c>
      <c r="JH86" s="145">
        <v>114</v>
      </c>
      <c r="JI86" s="145">
        <v>108</v>
      </c>
      <c r="JJ86" s="145">
        <v>98</v>
      </c>
      <c r="JK86" s="145">
        <v>95</v>
      </c>
      <c r="JL86" s="145">
        <v>104.3</v>
      </c>
      <c r="JM86" s="145">
        <v>97</v>
      </c>
      <c r="JN86" s="145">
        <v>102</v>
      </c>
      <c r="JO86" s="145">
        <v>95</v>
      </c>
      <c r="JP86" s="145">
        <v>98</v>
      </c>
      <c r="JQ86" s="145">
        <v>120</v>
      </c>
      <c r="JR86" s="145">
        <v>119.5</v>
      </c>
      <c r="JS86" s="145">
        <v>119</v>
      </c>
      <c r="JT86" s="145">
        <v>118</v>
      </c>
      <c r="JU86" s="145">
        <v>120.8</v>
      </c>
      <c r="JV86" s="145">
        <v>119</v>
      </c>
      <c r="JW86" s="145">
        <v>118.5</v>
      </c>
      <c r="JX86" s="145">
        <v>119</v>
      </c>
      <c r="JY86" s="145">
        <v>119.22499999999999</v>
      </c>
    </row>
    <row r="87" spans="1:285" x14ac:dyDescent="0.2">
      <c r="A87" s="145" t="s">
        <v>1872</v>
      </c>
      <c r="M87" s="145">
        <v>0.64165574846397933</v>
      </c>
      <c r="AA87" s="145">
        <v>7.7877118178490541</v>
      </c>
      <c r="BM87" s="145">
        <v>5.3775461631672261</v>
      </c>
      <c r="CD87" s="145">
        <v>2.8836471566656163</v>
      </c>
      <c r="CX87" s="145">
        <v>5.9150802757560674</v>
      </c>
      <c r="DK87" s="145">
        <v>1.2154310870109943</v>
      </c>
      <c r="DS87" s="145">
        <v>0.56703078512549343</v>
      </c>
      <c r="EH87" s="145">
        <v>0.44387849769622029</v>
      </c>
      <c r="ER87" s="145">
        <v>1.3315501291030025</v>
      </c>
      <c r="FC87" s="145">
        <v>1.7129516624106955</v>
      </c>
      <c r="FK87" s="145">
        <v>1.0690449676496976</v>
      </c>
      <c r="FU87" s="145">
        <v>2.4065502226908526</v>
      </c>
      <c r="GF87" s="145">
        <v>2.3771214449161682</v>
      </c>
      <c r="GO87" s="145">
        <v>3.1537172456877451</v>
      </c>
      <c r="GV87" s="145">
        <v>4.1978607153868932</v>
      </c>
      <c r="HD87" s="145">
        <v>0.48264908041654536</v>
      </c>
      <c r="HM87" s="145">
        <v>12.631154759679301</v>
      </c>
      <c r="HT87" s="145">
        <v>5.1036694871253232</v>
      </c>
      <c r="ID87" s="145">
        <v>4.916937802902293</v>
      </c>
      <c r="IQ87" s="145">
        <v>11.190919123990346</v>
      </c>
      <c r="IU87" s="145">
        <v>7.206503358037998</v>
      </c>
      <c r="IX87" s="145">
        <v>1.4133115864387553</v>
      </c>
      <c r="JF87" s="145">
        <v>6.3139342520248265</v>
      </c>
      <c r="JL87" s="145">
        <v>7.7265775088327437</v>
      </c>
      <c r="JP87" s="145">
        <v>3.6055512754639891</v>
      </c>
      <c r="JY87" s="145">
        <v>0.87300793647186048</v>
      </c>
    </row>
    <row r="88" spans="1:285" x14ac:dyDescent="0.2">
      <c r="A88" s="145" t="s">
        <v>1873</v>
      </c>
      <c r="M88" s="145">
        <v>118.18183008047012</v>
      </c>
      <c r="AA88" s="145">
        <v>94.152402431040244</v>
      </c>
      <c r="BM88" s="145">
        <v>103.80215064542145</v>
      </c>
      <c r="CD88" s="145">
        <v>116.78817145018202</v>
      </c>
      <c r="CX88" s="145">
        <v>100.9376274286231</v>
      </c>
      <c r="DK88" s="145">
        <v>119</v>
      </c>
      <c r="DS88" s="145">
        <v>115.46810018925179</v>
      </c>
      <c r="EH88" s="145">
        <v>105.96669138257332</v>
      </c>
      <c r="ER88" s="145">
        <v>113.96787774609203</v>
      </c>
      <c r="FC88" s="145">
        <v>119.96876751873106</v>
      </c>
      <c r="FK88" s="145">
        <v>104</v>
      </c>
      <c r="FU88" s="145">
        <v>114.74392300104162</v>
      </c>
      <c r="GF88" s="145">
        <v>111.23977406406637</v>
      </c>
      <c r="GO88" s="145">
        <v>110.99973028942202</v>
      </c>
      <c r="GV88" s="145">
        <v>119.26935536851012</v>
      </c>
      <c r="HD88" s="145">
        <v>118.96929547168688</v>
      </c>
      <c r="HM88" s="145">
        <v>95.764663450689241</v>
      </c>
      <c r="HT88" s="145">
        <v>114.43589360889173</v>
      </c>
      <c r="ID88" s="145">
        <v>113.93574533038448</v>
      </c>
      <c r="IQ88" s="145">
        <v>92.929517633080252</v>
      </c>
      <c r="IU88" s="145">
        <v>102.16898398232202</v>
      </c>
      <c r="IX88" s="145">
        <v>124.15495252973</v>
      </c>
      <c r="JF88" s="145">
        <v>108.66483832587437</v>
      </c>
      <c r="JL88" s="145">
        <v>95</v>
      </c>
      <c r="JP88" s="145">
        <v>95</v>
      </c>
      <c r="JY88" s="145">
        <v>118</v>
      </c>
    </row>
    <row r="89" spans="1:285" x14ac:dyDescent="0.2">
      <c r="A89" s="145" t="s">
        <v>1874</v>
      </c>
      <c r="M89" s="145">
        <v>120.18428238458928</v>
      </c>
      <c r="AA89" s="145">
        <v>116.17937777635096</v>
      </c>
      <c r="BM89" s="145">
        <v>139.76343902783537</v>
      </c>
      <c r="CD89" s="145">
        <v>121.7827948366284</v>
      </c>
      <c r="CX89" s="145">
        <v>126.91468637159555</v>
      </c>
      <c r="DK89" s="145">
        <v>123</v>
      </c>
      <c r="DS89" s="145">
        <v>116.96832263241154</v>
      </c>
      <c r="EH89" s="145">
        <v>106.96683967801314</v>
      </c>
      <c r="ER89" s="145">
        <v>118.4685450755713</v>
      </c>
      <c r="FC89" s="145">
        <v>124.96950899593025</v>
      </c>
      <c r="FK89" s="145">
        <v>107</v>
      </c>
      <c r="FU89" s="145">
        <v>120.7510354644278</v>
      </c>
      <c r="GF89" s="145">
        <v>119.04902026646837</v>
      </c>
      <c r="GO89" s="145">
        <v>120.2992479224268</v>
      </c>
      <c r="GV89" s="145">
        <v>131.07171131022443</v>
      </c>
      <c r="HD89" s="145">
        <v>120.36957499019536</v>
      </c>
      <c r="HM89" s="145">
        <v>132.47199082873291</v>
      </c>
      <c r="HT89" s="145">
        <v>128.64010471849741</v>
      </c>
      <c r="ID89" s="145">
        <v>127.73983781718441</v>
      </c>
      <c r="IQ89" s="145">
        <v>122.93841434351486</v>
      </c>
      <c r="IU89" s="145">
        <v>116.16005487612709</v>
      </c>
      <c r="IX89" s="145">
        <v>126.15367694313072</v>
      </c>
      <c r="JF89" s="145">
        <v>125.15431473643035</v>
      </c>
      <c r="JL89" s="145">
        <v>114</v>
      </c>
      <c r="JP89" s="145">
        <v>102</v>
      </c>
      <c r="JY89" s="145">
        <v>120.8</v>
      </c>
    </row>
    <row r="91" spans="1:285" s="147" customFormat="1" x14ac:dyDescent="0.2">
      <c r="A91" s="147" t="s">
        <v>1875</v>
      </c>
      <c r="C91" s="147">
        <v>0.746868294894385</v>
      </c>
      <c r="D91" s="147">
        <v>0.76876048141870235</v>
      </c>
      <c r="E91" s="147">
        <v>0.76876048141870235</v>
      </c>
      <c r="F91" s="147">
        <v>0.76876048141870235</v>
      </c>
      <c r="G91" s="147">
        <v>0.76876048141870235</v>
      </c>
      <c r="H91" s="147">
        <v>0.76876048141870235</v>
      </c>
      <c r="J91" s="147">
        <v>0.76876048141870235</v>
      </c>
      <c r="L91" s="147">
        <v>0.72565805322002974</v>
      </c>
      <c r="O91" s="147">
        <v>0.65655589689860461</v>
      </c>
      <c r="P91" s="147">
        <v>0.65655589689860461</v>
      </c>
      <c r="Q91" s="147">
        <v>0.65655589689860461</v>
      </c>
      <c r="U91" s="147">
        <v>0.6473083869125309</v>
      </c>
      <c r="V91" s="147">
        <v>0.6950853866323129</v>
      </c>
      <c r="W91" s="147">
        <v>0.87612868954572121</v>
      </c>
      <c r="X91" s="147">
        <v>0.62045612780490711</v>
      </c>
      <c r="Y91" s="147">
        <v>0.62045612780490711</v>
      </c>
      <c r="Z91" s="147">
        <v>0.65655589689860461</v>
      </c>
      <c r="AB91" s="147">
        <v>0.52596543563297005</v>
      </c>
      <c r="AD91" s="147">
        <v>0.46080650959665076</v>
      </c>
      <c r="AE91" s="147">
        <v>0.5067284568929562</v>
      </c>
      <c r="AG91" s="147">
        <v>0.86696047429946166</v>
      </c>
      <c r="AH91" s="147">
        <v>0.86696047429946166</v>
      </c>
      <c r="AK91" s="147">
        <v>0.60611703920172688</v>
      </c>
      <c r="AL91" s="147">
        <v>0.65028695248232571</v>
      </c>
      <c r="AM91" s="147">
        <v>0.6321843640527004</v>
      </c>
      <c r="AN91" s="147">
        <v>0.64116189778770005</v>
      </c>
      <c r="AO91" s="147">
        <v>0.65028695248232571</v>
      </c>
      <c r="AP91" s="147">
        <v>0.72885441381447436</v>
      </c>
      <c r="AQ91" s="147">
        <v>0.7184729806760547</v>
      </c>
      <c r="AR91" s="147">
        <v>0.7184729806760547</v>
      </c>
      <c r="AS91" s="147">
        <v>0.7184729806760547</v>
      </c>
      <c r="AT91" s="147">
        <v>0.7184729806760547</v>
      </c>
      <c r="AU91" s="147">
        <v>0.62335249621611877</v>
      </c>
      <c r="AV91" s="147">
        <v>0.73940222273413858</v>
      </c>
      <c r="AW91" s="147">
        <v>0.75011799816727609</v>
      </c>
      <c r="AX91" s="147">
        <v>0.73940222273413858</v>
      </c>
      <c r="AY91" s="147">
        <v>0.70825567541545387</v>
      </c>
      <c r="AZ91" s="147">
        <v>0.70825567541545387</v>
      </c>
      <c r="BA91" s="147">
        <v>0.70825567541545387</v>
      </c>
      <c r="BB91" s="147">
        <v>0.7720627588805713</v>
      </c>
      <c r="BC91" s="147">
        <v>0.7720627588805713</v>
      </c>
      <c r="BD91" s="147">
        <v>0.73940222273413858</v>
      </c>
      <c r="BE91" s="147">
        <v>0.73940222273413858</v>
      </c>
      <c r="BF91" s="147">
        <v>0.73940222273413858</v>
      </c>
      <c r="BG91" s="147">
        <v>0.67856932663705816</v>
      </c>
      <c r="BH91" s="147">
        <v>0.7720627588805713</v>
      </c>
      <c r="BI91" s="147">
        <v>0.67856932663705816</v>
      </c>
      <c r="BJ91" s="147">
        <v>0.70825567541545387</v>
      </c>
      <c r="BK91" s="147">
        <v>0.7184729806760547</v>
      </c>
      <c r="BL91" s="147">
        <v>0.75011799816727609</v>
      </c>
      <c r="BN91" s="147">
        <v>0.4297721147899668</v>
      </c>
      <c r="BO91" s="147">
        <v>0.43170395462106886</v>
      </c>
      <c r="BP91" s="147">
        <v>0.43049585572766502</v>
      </c>
      <c r="BR91" s="147">
        <v>0.4250719054784331</v>
      </c>
      <c r="BS91" s="147">
        <v>0.40839010509349194</v>
      </c>
      <c r="BU91" s="147">
        <v>0.40649248659116277</v>
      </c>
      <c r="CA91" s="147">
        <v>0.39513132661679939</v>
      </c>
      <c r="CB91" s="147">
        <v>0.36634581901123675</v>
      </c>
      <c r="CC91" s="147">
        <v>0.36634581901123675</v>
      </c>
      <c r="CH91" s="147">
        <v>0.71933269116197096</v>
      </c>
      <c r="CI91" s="147">
        <v>0.78425357004700114</v>
      </c>
      <c r="CJ91" s="147">
        <v>0.77300399631760441</v>
      </c>
      <c r="CK91" s="147">
        <v>0.71933269116197096</v>
      </c>
      <c r="CL91" s="147">
        <v>0.7090997608628552</v>
      </c>
      <c r="CM91" s="147">
        <v>0.72972992387950275</v>
      </c>
      <c r="CN91" s="147">
        <v>0.75102599573430817</v>
      </c>
      <c r="CO91" s="147">
        <v>0.76192875587954323</v>
      </c>
      <c r="CP91" s="147">
        <v>0.76192875587954323</v>
      </c>
      <c r="CQ91" s="147">
        <v>0.77300399631760441</v>
      </c>
      <c r="CR91" s="147">
        <v>0.77300399631760441</v>
      </c>
      <c r="CS91" s="147">
        <v>0.62406679307878821</v>
      </c>
      <c r="CT91" s="147">
        <v>0.60680493370223909</v>
      </c>
      <c r="CU91" s="147">
        <v>0.60680493370223909</v>
      </c>
      <c r="CV91" s="147">
        <v>0.60680493370223909</v>
      </c>
      <c r="CW91" s="147">
        <v>0.72972992387950275</v>
      </c>
      <c r="CY91" s="147">
        <v>0.76776811240513954</v>
      </c>
      <c r="CZ91" s="147">
        <v>0.77894531177625181</v>
      </c>
      <c r="DA91" s="147">
        <v>0.76776811240513954</v>
      </c>
      <c r="DB91" s="147">
        <v>0.75676457120882312</v>
      </c>
      <c r="DC91" s="147">
        <v>0.75676457120882312</v>
      </c>
      <c r="DD91" s="147">
        <v>0.7459331889137053</v>
      </c>
      <c r="DE91" s="147">
        <v>0.75676457120882312</v>
      </c>
      <c r="DF91" s="147">
        <v>0.77894531177625181</v>
      </c>
      <c r="DG91" s="147">
        <v>0.76776811240513954</v>
      </c>
      <c r="DH91" s="147">
        <v>0.79029840672069251</v>
      </c>
      <c r="DI91" s="147">
        <v>0.75676457120882312</v>
      </c>
      <c r="DJ91" s="147">
        <v>0.76776811240513954</v>
      </c>
      <c r="DL91" s="147">
        <v>0.8191811426071256</v>
      </c>
      <c r="DM91" s="147">
        <v>0.80738297356660649</v>
      </c>
      <c r="DN91" s="147">
        <v>0.8191811426071256</v>
      </c>
      <c r="DO91" s="147">
        <v>0.80738297356660649</v>
      </c>
      <c r="DP91" s="147">
        <v>0.69901113313701546</v>
      </c>
      <c r="DQ91" s="147">
        <v>0.69901113313701546</v>
      </c>
      <c r="DR91" s="147">
        <v>0.80738297356660649</v>
      </c>
      <c r="DU91" s="147">
        <v>0.64183057171740399</v>
      </c>
      <c r="DV91" s="147">
        <v>0.64183057171740399</v>
      </c>
      <c r="DX91" s="147">
        <v>0.5581579608491386</v>
      </c>
      <c r="DY91" s="147">
        <v>0.5581579608491386</v>
      </c>
      <c r="DZ91" s="147">
        <v>0.5899841073751968</v>
      </c>
      <c r="EA91" s="147">
        <v>0.85567725900873381</v>
      </c>
      <c r="EB91" s="147">
        <v>0.72974316692235675</v>
      </c>
      <c r="EC91" s="147">
        <v>0.62397831424911954</v>
      </c>
      <c r="ED91" s="147">
        <v>0.62397831424911954</v>
      </c>
      <c r="EE91" s="147">
        <v>0.62397831424911954</v>
      </c>
      <c r="EF91" s="147">
        <v>0.71933490181798243</v>
      </c>
      <c r="EG91" s="147">
        <v>0.62397831424911954</v>
      </c>
      <c r="EI91" s="147">
        <v>0.74031806564489422</v>
      </c>
      <c r="EJ91" s="147">
        <v>0.77306399222475164</v>
      </c>
      <c r="EK91" s="147">
        <v>0.74031806564489422</v>
      </c>
      <c r="EL91" s="147">
        <v>0.75106189759068265</v>
      </c>
      <c r="EM91" s="147">
        <v>0.74031806564489422</v>
      </c>
      <c r="EN91" s="147">
        <v>0.74031806564489422</v>
      </c>
      <c r="EO91" s="147">
        <v>0.74031806564489422</v>
      </c>
      <c r="EP91" s="147">
        <v>0.76197647492900178</v>
      </c>
      <c r="EQ91" s="147">
        <v>0.75106189759068265</v>
      </c>
      <c r="ES91" s="147">
        <v>0.55052457812064826</v>
      </c>
      <c r="ET91" s="147">
        <v>0.56591856671730323</v>
      </c>
      <c r="EU91" s="147">
        <v>0.58182948912733834</v>
      </c>
      <c r="EV91" s="147">
        <v>0.5899841073751968</v>
      </c>
      <c r="EW91" s="147">
        <v>0.5899841073751968</v>
      </c>
      <c r="EX91" s="147">
        <v>0.5899841073751968</v>
      </c>
      <c r="EY91" s="147">
        <v>0.59827411603099911</v>
      </c>
      <c r="EZ91" s="147">
        <v>0.56591856671730323</v>
      </c>
      <c r="FA91" s="147">
        <v>0.5899841073751968</v>
      </c>
      <c r="FB91" s="147">
        <v>0.59827411603099911</v>
      </c>
      <c r="FD91" s="147">
        <v>0.7352712609201888</v>
      </c>
      <c r="FE91" s="147">
        <v>0.7352712609201888</v>
      </c>
      <c r="FF91" s="147">
        <v>0.80182892993325716</v>
      </c>
      <c r="FG91" s="147">
        <v>0.7352712609201888</v>
      </c>
      <c r="FH91" s="147">
        <v>0.7352712609201888</v>
      </c>
      <c r="FI91" s="147">
        <v>0.7352712609201888</v>
      </c>
      <c r="FJ91" s="147">
        <v>0.80182892993325716</v>
      </c>
      <c r="FL91" s="147">
        <v>0.71242588555209418</v>
      </c>
      <c r="FM91" s="147">
        <v>0.70228178689628518</v>
      </c>
      <c r="FN91" s="147">
        <v>0.72273353721328415</v>
      </c>
      <c r="FO91" s="147">
        <v>0.78813302584207257</v>
      </c>
      <c r="FP91" s="147">
        <v>0.75465996676502878</v>
      </c>
      <c r="FQ91" s="147">
        <v>0.75465996676502878</v>
      </c>
      <c r="FR91" s="147">
        <v>0.7438487019890937</v>
      </c>
      <c r="FS91" s="147">
        <v>0.7438487019890937</v>
      </c>
      <c r="FT91" s="147">
        <v>0.75465996676502878</v>
      </c>
      <c r="FV91" s="147">
        <v>0.76564313738593082</v>
      </c>
      <c r="FW91" s="147">
        <v>0.76564313738593082</v>
      </c>
      <c r="FX91" s="147">
        <v>0.75465996676502878</v>
      </c>
      <c r="FY91" s="147">
        <v>0.75465996676502878</v>
      </c>
      <c r="FZ91" s="147">
        <v>0.75465996676502878</v>
      </c>
      <c r="GA91" s="147">
        <v>0.8232055277003858</v>
      </c>
      <c r="GB91" s="147">
        <v>0.75465996676502878</v>
      </c>
      <c r="GC91" s="147">
        <v>0.77680025518461915</v>
      </c>
      <c r="GD91" s="147">
        <v>0.75465996676502878</v>
      </c>
      <c r="GE91" s="147">
        <v>0.76564313738593082</v>
      </c>
      <c r="GG91" s="147">
        <v>0.74665247157839143</v>
      </c>
      <c r="GH91" s="147">
        <v>0.74665247157839143</v>
      </c>
      <c r="GI91" s="147">
        <v>0.74665247157839143</v>
      </c>
      <c r="GJ91" s="147">
        <v>0.74665247157839143</v>
      </c>
      <c r="GK91" s="147">
        <v>0.86304593725164358</v>
      </c>
      <c r="GL91" s="147">
        <v>0.73598006055947429</v>
      </c>
      <c r="GM91" s="147">
        <v>0.74665247157839143</v>
      </c>
      <c r="GN91" s="147">
        <v>0.74665247157839143</v>
      </c>
      <c r="GP91" s="147">
        <v>0.59771411553058496</v>
      </c>
      <c r="GQ91" s="147">
        <v>0.58943289685721867</v>
      </c>
      <c r="GR91" s="147">
        <v>0.59771411553058496</v>
      </c>
      <c r="GS91" s="147">
        <v>0.606132905181754</v>
      </c>
      <c r="GT91" s="147">
        <v>0.58128689002205847</v>
      </c>
      <c r="GU91" s="147">
        <v>0.58128689002205847</v>
      </c>
      <c r="GW91" s="147">
        <v>0.73961219362877739</v>
      </c>
      <c r="GX91" s="147">
        <v>0.7290477348525578</v>
      </c>
      <c r="GY91" s="147">
        <v>0.7290477348525578</v>
      </c>
      <c r="GZ91" s="147">
        <v>0.75034517837177306</v>
      </c>
      <c r="HA91" s="147">
        <v>0.76124920127302409</v>
      </c>
      <c r="HB91" s="147">
        <v>0.73961219362877739</v>
      </c>
      <c r="HC91" s="147">
        <v>0.75034517837177306</v>
      </c>
      <c r="HE91" s="147">
        <v>0.63223526909652605</v>
      </c>
      <c r="HF91" s="147">
        <v>0.61469123649932422</v>
      </c>
      <c r="HG91" s="147">
        <v>0.606132905181754</v>
      </c>
      <c r="HH91" s="147">
        <v>0.63223526909652605</v>
      </c>
      <c r="HI91" s="147">
        <v>0.62339143437987121</v>
      </c>
      <c r="HK91" s="147">
        <v>0.66909131028205027</v>
      </c>
      <c r="HL91" s="147">
        <v>0.65965101976602092</v>
      </c>
      <c r="HN91" s="147">
        <v>0.71393729211434698</v>
      </c>
      <c r="HO91" s="147">
        <v>0.71393729211434698</v>
      </c>
      <c r="HP91" s="147">
        <v>0.70377810028271504</v>
      </c>
      <c r="HQ91" s="147">
        <v>0.69378091399588848</v>
      </c>
      <c r="HR91" s="147">
        <v>0.66473861565252168</v>
      </c>
      <c r="HS91" s="147">
        <v>0.70377810028271504</v>
      </c>
      <c r="HU91" s="147">
        <v>0.69378091399588848</v>
      </c>
      <c r="HV91" s="147">
        <v>0.65536756252810535</v>
      </c>
      <c r="HW91" s="147">
        <v>0.70377810028271504</v>
      </c>
      <c r="HX91" s="147">
        <v>0.67426326910190126</v>
      </c>
      <c r="HY91" s="147">
        <v>0.63707738749320408</v>
      </c>
      <c r="HZ91" s="147">
        <v>0.63707738749320408</v>
      </c>
      <c r="IA91" s="147">
        <v>0.66473861565252168</v>
      </c>
      <c r="IB91" s="147">
        <v>0.67426326910190126</v>
      </c>
      <c r="IC91" s="147">
        <v>0.66473861565252168</v>
      </c>
      <c r="IE91" s="147">
        <v>0.59388919514503558</v>
      </c>
      <c r="IF91" s="147">
        <v>0.58566958941067271</v>
      </c>
      <c r="IG91" s="147">
        <v>0.57758438273511725</v>
      </c>
      <c r="IH91" s="147">
        <v>0.58566958941067271</v>
      </c>
      <c r="II91" s="147">
        <v>0.57758438273511725</v>
      </c>
      <c r="IJ91" s="147">
        <v>0.56963158711077255</v>
      </c>
      <c r="IK91" s="147">
        <v>0.57758438273511725</v>
      </c>
      <c r="IL91" s="147">
        <v>0.57758438273511725</v>
      </c>
      <c r="IM91" s="147">
        <v>0.59388919514503558</v>
      </c>
      <c r="IN91" s="147">
        <v>0.58566958941067271</v>
      </c>
      <c r="IO91" s="147">
        <v>0.57758438273511725</v>
      </c>
      <c r="IP91" s="147">
        <v>0.57758438273511725</v>
      </c>
      <c r="IR91" s="147">
        <v>0.83126614196891924</v>
      </c>
      <c r="IS91" s="147">
        <v>0.84342305686832442</v>
      </c>
      <c r="IT91" s="147">
        <v>0.81929347206528524</v>
      </c>
      <c r="IV91" s="147">
        <v>0.64203756016092084</v>
      </c>
      <c r="IW91" s="147">
        <v>0.64203756016092084</v>
      </c>
      <c r="IY91" s="147">
        <v>0.62419242100044892</v>
      </c>
      <c r="IZ91" s="147">
        <v>0.64203756016092084</v>
      </c>
      <c r="JA91" s="147">
        <v>0.63304212493657575</v>
      </c>
      <c r="JB91" s="147">
        <v>0.61548648109751269</v>
      </c>
      <c r="JC91" s="147">
        <v>0.64203756016092084</v>
      </c>
      <c r="JD91" s="147">
        <v>0.64203756016092084</v>
      </c>
      <c r="JE91" s="147">
        <v>0.63304212493657575</v>
      </c>
      <c r="JG91" s="147">
        <v>0.57006358618951825</v>
      </c>
      <c r="JH91" s="147">
        <v>0.58611118348735913</v>
      </c>
      <c r="JI91" s="147">
        <v>0.57802134629373936</v>
      </c>
      <c r="JJ91" s="147">
        <v>0.58611118348735913</v>
      </c>
      <c r="JK91" s="147">
        <v>0.59433581371997701</v>
      </c>
      <c r="JM91" s="147">
        <v>0.77894531177625181</v>
      </c>
      <c r="JN91" s="147">
        <v>0.79029840672069251</v>
      </c>
      <c r="JO91" s="147">
        <v>0.77894531177625181</v>
      </c>
      <c r="JQ91" s="147">
        <v>0.72477751338654828</v>
      </c>
      <c r="JR91" s="147">
        <v>0.67475490585968534</v>
      </c>
      <c r="JS91" s="147">
        <v>0.65584917003953291</v>
      </c>
      <c r="JT91" s="147">
        <v>0.71444948786138718</v>
      </c>
      <c r="JU91" s="147">
        <v>0.71444948786138718</v>
      </c>
      <c r="JV91" s="147">
        <v>0.63754876826623241</v>
      </c>
      <c r="JW91" s="147">
        <v>0.64662439682076511</v>
      </c>
      <c r="JX91" s="147">
        <v>0.65584917003953291</v>
      </c>
    </row>
    <row r="92" spans="1:285" s="147" customFormat="1" x14ac:dyDescent="0.2">
      <c r="A92" s="134" t="s">
        <v>1876</v>
      </c>
      <c r="C92" s="147">
        <v>20.861309797566967</v>
      </c>
      <c r="D92" s="147">
        <v>20.108036715487245</v>
      </c>
      <c r="E92" s="147">
        <v>20.108036715487245</v>
      </c>
      <c r="F92" s="147">
        <v>20.108036715487245</v>
      </c>
      <c r="G92" s="147">
        <v>20.754306904189153</v>
      </c>
      <c r="H92" s="147">
        <v>20.754306904189153</v>
      </c>
      <c r="J92" s="147">
        <v>20.108036715487245</v>
      </c>
      <c r="L92" s="147">
        <v>20.757909937694993</v>
      </c>
      <c r="M92" s="147">
        <v>20.444997550698652</v>
      </c>
      <c r="O92" s="147">
        <v>23.472113999413242</v>
      </c>
      <c r="P92" s="147">
        <v>23.726088178443849</v>
      </c>
      <c r="Q92" s="147">
        <v>23.789424044642871</v>
      </c>
      <c r="U92" s="147">
        <v>19.527817387938761</v>
      </c>
      <c r="V92" s="147">
        <v>20.432848270081625</v>
      </c>
      <c r="W92" s="147">
        <v>21.1445847698443</v>
      </c>
      <c r="X92" s="147">
        <v>23.687678806485724</v>
      </c>
      <c r="Y92" s="147">
        <v>23.687678806485724</v>
      </c>
      <c r="Z92" s="147">
        <v>23.789424044642871</v>
      </c>
      <c r="AA92" s="147">
        <v>22.584184256442111</v>
      </c>
      <c r="AB92" s="147">
        <v>27.317537542065786</v>
      </c>
      <c r="AD92" s="147">
        <v>26.125965910739261</v>
      </c>
      <c r="AE92" s="147">
        <v>27.477311497445207</v>
      </c>
      <c r="AG92" s="147">
        <v>20.674718435384882</v>
      </c>
      <c r="AH92" s="147">
        <v>20.674718435384882</v>
      </c>
      <c r="AK92" s="147">
        <v>20.763181751365842</v>
      </c>
      <c r="AL92" s="147">
        <v>20.967120601706071</v>
      </c>
      <c r="AM92" s="147">
        <v>20.870896391075419</v>
      </c>
      <c r="AN92" s="147">
        <v>20.952257546810525</v>
      </c>
      <c r="AO92" s="147">
        <v>20.89988525290558</v>
      </c>
      <c r="AP92" s="147">
        <v>19.538062481786202</v>
      </c>
      <c r="AQ92" s="147">
        <v>19.526142402074544</v>
      </c>
      <c r="AR92" s="147">
        <v>19.526142402074544</v>
      </c>
      <c r="AS92" s="147">
        <v>19.526142402074544</v>
      </c>
      <c r="AT92" s="147">
        <v>19.526142402074544</v>
      </c>
      <c r="AU92" s="147">
        <v>20.386520891891557</v>
      </c>
      <c r="AV92" s="147">
        <v>20.342532637098017</v>
      </c>
      <c r="AW92" s="147">
        <v>20.712174999252184</v>
      </c>
      <c r="AX92" s="147">
        <v>20.342532637098017</v>
      </c>
      <c r="AY92" s="147">
        <v>19.802369201240015</v>
      </c>
      <c r="AZ92" s="147">
        <v>19.802369201240015</v>
      </c>
      <c r="BA92" s="147">
        <v>19.802369201240015</v>
      </c>
      <c r="BB92" s="147">
        <v>20.958522987986903</v>
      </c>
      <c r="BC92" s="147">
        <v>21.02907411026316</v>
      </c>
      <c r="BD92" s="147">
        <v>20.905826338305872</v>
      </c>
      <c r="BE92" s="147">
        <v>20.905826338305872</v>
      </c>
      <c r="BF92" s="147">
        <v>20.905826338305872</v>
      </c>
      <c r="BG92" s="147">
        <v>19.552478320743326</v>
      </c>
      <c r="BH92" s="147">
        <v>20.958522987986903</v>
      </c>
      <c r="BI92" s="147">
        <v>19.552478320743326</v>
      </c>
      <c r="BJ92" s="147">
        <v>21.47191898918987</v>
      </c>
      <c r="BK92" s="147">
        <v>21.558539132208743</v>
      </c>
      <c r="BL92" s="147">
        <v>20.92305240859524</v>
      </c>
      <c r="BM92" s="147">
        <v>20.445278184880415</v>
      </c>
      <c r="BN92" s="147">
        <v>27.496059432178285</v>
      </c>
      <c r="BO92" s="147">
        <v>27.547886945251449</v>
      </c>
      <c r="BP92" s="147">
        <v>27.515753620638773</v>
      </c>
      <c r="BR92" s="147">
        <v>27.508796366450081</v>
      </c>
      <c r="BS92" s="147">
        <v>27.599151148375142</v>
      </c>
      <c r="BU92" s="147">
        <v>27.67673037961432</v>
      </c>
      <c r="CA92" s="147">
        <v>21.167799883001006</v>
      </c>
      <c r="CB92" s="147">
        <v>21.117638809578228</v>
      </c>
      <c r="CC92" s="147">
        <v>21.117638809578228</v>
      </c>
      <c r="CD92" s="147">
        <v>21.134359167385821</v>
      </c>
      <c r="CH92" s="147">
        <v>21.280841954342865</v>
      </c>
      <c r="CI92" s="147">
        <v>21.113376881603518</v>
      </c>
      <c r="CJ92" s="147">
        <v>21.444944848136181</v>
      </c>
      <c r="CK92" s="147">
        <v>20.936561930577934</v>
      </c>
      <c r="CL92" s="147">
        <v>20.851033701433487</v>
      </c>
      <c r="CM92" s="147">
        <v>21.913246072255806</v>
      </c>
      <c r="CN92" s="147">
        <v>21.057977053757241</v>
      </c>
      <c r="CO92" s="147">
        <v>21.005899891754645</v>
      </c>
      <c r="CP92" s="147">
        <v>21.005899891754645</v>
      </c>
      <c r="CQ92" s="147">
        <v>21.024088614730541</v>
      </c>
      <c r="CR92" s="147">
        <v>21.024088614730541</v>
      </c>
      <c r="CS92" s="147">
        <v>20.651057344814859</v>
      </c>
      <c r="CT92" s="147">
        <v>19.880622374803952</v>
      </c>
      <c r="CU92" s="147">
        <v>19.1833817108928</v>
      </c>
      <c r="CV92" s="147">
        <v>19.1833817108928</v>
      </c>
      <c r="CW92" s="147">
        <v>20.883867966208161</v>
      </c>
      <c r="CX92" s="147">
        <v>20.777516910168121</v>
      </c>
      <c r="CY92" s="147">
        <v>22.088322853121507</v>
      </c>
      <c r="CZ92" s="147">
        <v>21.695525021262256</v>
      </c>
      <c r="DA92" s="147">
        <v>22.225474286688666</v>
      </c>
      <c r="DB92" s="147">
        <v>22.202466895670572</v>
      </c>
      <c r="DC92" s="147">
        <v>21.722730155761909</v>
      </c>
      <c r="DD92" s="147">
        <v>20.446420821505999</v>
      </c>
      <c r="DE92" s="147">
        <v>22.134234392108986</v>
      </c>
      <c r="DF92" s="147">
        <v>22.111161275531565</v>
      </c>
      <c r="DG92" s="147">
        <v>22.156946314864804</v>
      </c>
      <c r="DH92" s="147">
        <v>21.786828211978378</v>
      </c>
      <c r="DI92" s="147">
        <v>22.134234392108986</v>
      </c>
      <c r="DJ92" s="147">
        <v>22.293908896895708</v>
      </c>
      <c r="DK92" s="147">
        <v>21.916521126458278</v>
      </c>
      <c r="DL92" s="147">
        <v>19.930172856130458</v>
      </c>
      <c r="DM92" s="147">
        <v>18.859855639752837</v>
      </c>
      <c r="DN92" s="147">
        <v>18.794091900611313</v>
      </c>
      <c r="DO92" s="147">
        <v>18.782837315196872</v>
      </c>
      <c r="DP92" s="147">
        <v>21.242521093450453</v>
      </c>
      <c r="DQ92" s="147">
        <v>20.204954280964746</v>
      </c>
      <c r="DR92" s="147">
        <v>20.062604921038989</v>
      </c>
      <c r="DS92" s="147">
        <v>19.696719715306521</v>
      </c>
      <c r="DU92" s="147">
        <v>21.934825234944917</v>
      </c>
      <c r="DV92" s="147">
        <v>21.804297382629706</v>
      </c>
      <c r="DX92" s="147">
        <v>21.831128551386065</v>
      </c>
      <c r="DY92" s="147">
        <v>21.831128551386065</v>
      </c>
      <c r="DZ92" s="147">
        <v>21.831183346494065</v>
      </c>
      <c r="EA92" s="147">
        <v>22.306702395443576</v>
      </c>
      <c r="EB92" s="147">
        <v>21.978649747672616</v>
      </c>
      <c r="EC92" s="147">
        <v>21.898974510467923</v>
      </c>
      <c r="ED92" s="147">
        <v>21.898974510467923</v>
      </c>
      <c r="EE92" s="147">
        <v>21.76940152714533</v>
      </c>
      <c r="EF92" s="147">
        <v>22.025177614384653</v>
      </c>
      <c r="EG92" s="147">
        <v>21.834244556615214</v>
      </c>
      <c r="EH92" s="147">
        <v>21.912057327419841</v>
      </c>
      <c r="EI92" s="147">
        <v>22.675144221355982</v>
      </c>
      <c r="EJ92" s="147">
        <v>22.477632461468946</v>
      </c>
      <c r="EK92" s="147">
        <v>22.675144221355982</v>
      </c>
      <c r="EL92" s="147">
        <v>23.102627369120128</v>
      </c>
      <c r="EM92" s="147">
        <v>22.675144221355982</v>
      </c>
      <c r="EN92" s="147">
        <v>21.863700117721386</v>
      </c>
      <c r="EO92" s="147">
        <v>22.675144221355982</v>
      </c>
      <c r="EP92" s="147">
        <v>22.724753173458879</v>
      </c>
      <c r="EQ92" s="147">
        <v>22.632299111160325</v>
      </c>
      <c r="ER92" s="147">
        <v>22.611287679817067</v>
      </c>
      <c r="ES92" s="147">
        <v>20.798012971670488</v>
      </c>
      <c r="ET92" s="147">
        <v>20.626153379840552</v>
      </c>
      <c r="EU92" s="147">
        <v>20.517841411406554</v>
      </c>
      <c r="EV92" s="147">
        <v>20.463188506034765</v>
      </c>
      <c r="EW92" s="147">
        <v>20.262261427610461</v>
      </c>
      <c r="EX92" s="147">
        <v>20.194931646448634</v>
      </c>
      <c r="EY92" s="147">
        <v>20.206143376025011</v>
      </c>
      <c r="EZ92" s="147">
        <v>20.229347866242676</v>
      </c>
      <c r="FA92" s="147">
        <v>20.329412053951234</v>
      </c>
      <c r="FB92" s="147">
        <v>20.408197267834602</v>
      </c>
      <c r="FC92" s="147">
        <v>20.403548990706497</v>
      </c>
      <c r="FD92" s="147">
        <v>20.074917002333766</v>
      </c>
      <c r="FE92" s="147">
        <v>20.074917002333766</v>
      </c>
      <c r="FF92" s="147">
        <v>20.310184391891909</v>
      </c>
      <c r="FG92" s="147">
        <v>20.003168227102929</v>
      </c>
      <c r="FH92" s="147">
        <v>20.146486244508132</v>
      </c>
      <c r="FI92" s="147">
        <v>20.074917002333766</v>
      </c>
      <c r="FJ92" s="147">
        <v>20.310184391891909</v>
      </c>
      <c r="FK92" s="147">
        <v>20.142110608913736</v>
      </c>
      <c r="FL92" s="147">
        <v>21.717008648573508</v>
      </c>
      <c r="FM92" s="147">
        <v>21.697674802246841</v>
      </c>
      <c r="FN92" s="147">
        <v>21.532307708416432</v>
      </c>
      <c r="FO92" s="147">
        <v>21.863054556841636</v>
      </c>
      <c r="FP92" s="147">
        <v>22.75173782344206</v>
      </c>
      <c r="FQ92" s="147">
        <v>22.75173782344206</v>
      </c>
      <c r="FR92" s="147">
        <v>22.726790459494136</v>
      </c>
      <c r="FS92" s="147">
        <v>22.726790459494136</v>
      </c>
      <c r="FT92" s="147">
        <v>22.75173782344206</v>
      </c>
      <c r="FU92" s="147">
        <v>22.279871122821429</v>
      </c>
      <c r="FV92" s="147">
        <v>21.611584496066442</v>
      </c>
      <c r="FW92" s="147">
        <v>21.611584496066442</v>
      </c>
      <c r="FX92" s="147">
        <v>21.591198120207611</v>
      </c>
      <c r="FY92" s="147">
        <v>21.591198120207611</v>
      </c>
      <c r="FZ92" s="147">
        <v>21.660277713069771</v>
      </c>
      <c r="GA92" s="147">
        <v>21.577449125821566</v>
      </c>
      <c r="GB92" s="147">
        <v>21.660277713069771</v>
      </c>
      <c r="GC92" s="147">
        <v>21.211974721628682</v>
      </c>
      <c r="GD92" s="147">
        <v>21.591198120207611</v>
      </c>
      <c r="GE92" s="147">
        <v>22.573369559900563</v>
      </c>
      <c r="GF92" s="147">
        <v>21.668011218624606</v>
      </c>
      <c r="GG92" s="147">
        <v>21.146138056937236</v>
      </c>
      <c r="GH92" s="147">
        <v>20.655431746909471</v>
      </c>
      <c r="GI92" s="147">
        <v>20.58474460026444</v>
      </c>
      <c r="GJ92" s="147">
        <v>20.725966394928818</v>
      </c>
      <c r="GK92" s="147">
        <v>20.762166815584074</v>
      </c>
      <c r="GL92" s="147">
        <v>20.639270676514105</v>
      </c>
      <c r="GM92" s="147">
        <v>20.655431746909471</v>
      </c>
      <c r="GN92" s="147">
        <v>20.655431746909471</v>
      </c>
      <c r="GO92" s="147">
        <v>20.728072723119638</v>
      </c>
      <c r="GP92" s="147">
        <v>20.209676689426978</v>
      </c>
      <c r="GQ92" s="147">
        <v>20.198466765516837</v>
      </c>
      <c r="GR92" s="147">
        <v>20.00605505625564</v>
      </c>
      <c r="GS92" s="147">
        <v>19.948440632107516</v>
      </c>
      <c r="GT92" s="147">
        <v>20.120179406877114</v>
      </c>
      <c r="GU92" s="147">
        <v>20.18747598657297</v>
      </c>
      <c r="GV92" s="147">
        <v>20.111715756126173</v>
      </c>
      <c r="GW92" s="147">
        <v>20.830606432831711</v>
      </c>
      <c r="GX92" s="147">
        <v>20.744089446726743</v>
      </c>
      <c r="GY92" s="147">
        <v>20.674064366006697</v>
      </c>
      <c r="GZ92" s="147">
        <v>20.494079998957208</v>
      </c>
      <c r="HA92" s="147">
        <v>20.794211541639211</v>
      </c>
      <c r="HB92" s="147">
        <v>20.76047150441498</v>
      </c>
      <c r="HC92" s="147">
        <v>20.77717658236898</v>
      </c>
      <c r="HD92" s="147">
        <v>20.724957124706503</v>
      </c>
      <c r="HE92" s="147">
        <v>20.865816885158939</v>
      </c>
      <c r="HF92" s="147">
        <v>20.97065667781904</v>
      </c>
      <c r="HG92" s="147">
        <v>20.956680703887386</v>
      </c>
      <c r="HH92" s="147">
        <v>20.932696977360052</v>
      </c>
      <c r="HI92" s="147">
        <v>20.784926438534626</v>
      </c>
      <c r="HK92" s="147">
        <v>18.437301250181111</v>
      </c>
      <c r="HL92" s="147">
        <v>19.092473000747916</v>
      </c>
      <c r="HM92" s="147">
        <v>20.291507419098441</v>
      </c>
      <c r="HN92" s="147">
        <v>20.543067889851159</v>
      </c>
      <c r="HO92" s="147">
        <v>20.61297062622495</v>
      </c>
      <c r="HP92" s="147">
        <v>20.52808413877408</v>
      </c>
      <c r="HQ92" s="147">
        <v>19.881005588177441</v>
      </c>
      <c r="HR92" s="147">
        <v>19.985253567347293</v>
      </c>
      <c r="HS92" s="147">
        <v>20.458267351007894</v>
      </c>
      <c r="HT92" s="147">
        <v>20.334774860230468</v>
      </c>
      <c r="HU92" s="147">
        <v>16.923585593275469</v>
      </c>
      <c r="HV92" s="147">
        <v>17.465098650058145</v>
      </c>
      <c r="HW92" s="147">
        <v>19.170320349211508</v>
      </c>
      <c r="HX92" s="147">
        <v>19.140023461512829</v>
      </c>
      <c r="HY92" s="147">
        <v>19.670830415883401</v>
      </c>
      <c r="HZ92" s="147">
        <v>18.070251759221719</v>
      </c>
      <c r="IA92" s="147">
        <v>20.812975473870271</v>
      </c>
      <c r="IB92" s="147">
        <v>20.964171028038209</v>
      </c>
      <c r="IC92" s="147">
        <v>19.274979647548683</v>
      </c>
      <c r="ID92" s="147">
        <v>19.054692930957806</v>
      </c>
      <c r="IE92" s="147">
        <v>20.43655927962055</v>
      </c>
      <c r="IF92" s="147">
        <v>20.424765062525523</v>
      </c>
      <c r="IG92" s="147">
        <v>19.943235639489018</v>
      </c>
      <c r="IH92" s="147">
        <v>20.491383356687397</v>
      </c>
      <c r="II92" s="147">
        <v>20.54587177068402</v>
      </c>
      <c r="IJ92" s="147">
        <v>21.570169096189652</v>
      </c>
      <c r="IK92" s="147">
        <v>21.83960100448444</v>
      </c>
      <c r="IL92" s="147">
        <v>19.532821552020099</v>
      </c>
      <c r="IM92" s="147">
        <v>20.099840344651824</v>
      </c>
      <c r="IN92" s="147">
        <v>20.156542375899072</v>
      </c>
      <c r="IO92" s="147">
        <v>20.743637600779323</v>
      </c>
      <c r="IP92" s="147">
        <v>21.521229527169041</v>
      </c>
      <c r="IQ92" s="147">
        <v>20.608804717516662</v>
      </c>
      <c r="IR92" s="147">
        <v>21.548600979089773</v>
      </c>
      <c r="IS92" s="147">
        <v>21.355575097464623</v>
      </c>
      <c r="IT92" s="147">
        <v>21.384586341205935</v>
      </c>
      <c r="IU92" s="147">
        <v>21.429587472586775</v>
      </c>
      <c r="IV92" s="147">
        <v>18.85598795272973</v>
      </c>
      <c r="IW92" s="147">
        <v>19.001144607255295</v>
      </c>
      <c r="IX92" s="147">
        <v>18.928566279992513</v>
      </c>
      <c r="IY92" s="147">
        <v>17.645237586436178</v>
      </c>
      <c r="IZ92" s="147">
        <v>17.886589885289325</v>
      </c>
      <c r="JA92" s="147">
        <v>17.727535747542856</v>
      </c>
      <c r="JB92" s="147">
        <v>17.869290381647453</v>
      </c>
      <c r="JC92" s="147">
        <v>17.80999482840447</v>
      </c>
      <c r="JD92" s="147">
        <v>17.655860702982327</v>
      </c>
      <c r="JE92" s="147">
        <v>17.650484283698606</v>
      </c>
      <c r="JF92" s="147">
        <v>17.749284773714457</v>
      </c>
      <c r="JG92" s="147">
        <v>18.170431673063998</v>
      </c>
      <c r="JH92" s="147">
        <v>18.475691770392572</v>
      </c>
      <c r="JI92" s="147">
        <v>18.323237561931709</v>
      </c>
      <c r="JJ92" s="147">
        <v>17.883340318847985</v>
      </c>
      <c r="JK92" s="147">
        <v>18.18779235225103</v>
      </c>
      <c r="JL92" s="147">
        <v>18.208098735297462</v>
      </c>
      <c r="JM92" s="147">
        <v>18.716706442225295</v>
      </c>
      <c r="JN92" s="147">
        <v>18.804009896721546</v>
      </c>
      <c r="JO92" s="147">
        <v>18.562893891904753</v>
      </c>
      <c r="JP92" s="147">
        <v>18.694536743617196</v>
      </c>
      <c r="JQ92" s="147">
        <v>23.201906236199402</v>
      </c>
      <c r="JR92" s="147">
        <v>22.817882426734897</v>
      </c>
      <c r="JS92" s="147">
        <v>22.837380717265209</v>
      </c>
      <c r="JT92" s="147">
        <v>22.978527674833813</v>
      </c>
      <c r="JU92" s="147">
        <v>22.978527674833813</v>
      </c>
      <c r="JV92" s="147">
        <v>22.602085798797081</v>
      </c>
      <c r="JW92" s="147">
        <v>22.879284383109805</v>
      </c>
      <c r="JX92" s="147">
        <v>22.837380717265209</v>
      </c>
      <c r="JY92" s="147">
        <v>22.891621953629901</v>
      </c>
    </row>
    <row r="93" spans="1:285" s="147" customFormat="1" x14ac:dyDescent="0.2">
      <c r="A93" s="147" t="s">
        <v>1872</v>
      </c>
      <c r="M93" s="147">
        <v>0.36188889751398123</v>
      </c>
      <c r="AA93" s="147">
        <v>1.7130032755558062</v>
      </c>
      <c r="BM93" s="147">
        <v>0.65076499210182537</v>
      </c>
      <c r="CD93" s="147">
        <v>2.8960509243481578E-2</v>
      </c>
      <c r="CX93" s="147">
        <v>0.74614591775745298</v>
      </c>
      <c r="DK93" s="147">
        <v>0.50488981418644552</v>
      </c>
      <c r="DS93" s="147">
        <v>0.92973438152874921</v>
      </c>
      <c r="EH93" s="147">
        <v>0.14506845469085139</v>
      </c>
      <c r="ER93" s="147">
        <v>0.32553649963560027</v>
      </c>
      <c r="FC93" s="147">
        <v>0.20002512278670945</v>
      </c>
      <c r="FK93" s="147">
        <v>0.12204279781766048</v>
      </c>
      <c r="FU93" s="147">
        <v>0.55405349079385713</v>
      </c>
      <c r="GF93" s="147">
        <v>0.3431929852109506</v>
      </c>
      <c r="GO93" s="147">
        <v>0.17736337021423587</v>
      </c>
      <c r="GV93" s="147">
        <v>0.11023273343729448</v>
      </c>
      <c r="HD93" s="147">
        <v>0.11269905303128064</v>
      </c>
      <c r="HM93" s="147">
        <v>1.0617502067207787</v>
      </c>
      <c r="HT93" s="147">
        <v>0.31669209945735849</v>
      </c>
      <c r="ID93" s="147">
        <v>1.3794935494718565</v>
      </c>
      <c r="IQ93" s="147">
        <v>0.70294026993660941</v>
      </c>
      <c r="IU93" s="147">
        <v>0.10408445663718707</v>
      </c>
      <c r="IX93" s="147">
        <v>0.10264125474937959</v>
      </c>
      <c r="JF93" s="147">
        <v>0.10545787585562919</v>
      </c>
      <c r="JL93" s="147">
        <v>0.21918152730934246</v>
      </c>
      <c r="JP93" s="147">
        <v>0.1220772443864262</v>
      </c>
      <c r="JY93" s="147">
        <v>0.17183326080774916</v>
      </c>
    </row>
    <row r="94" spans="1:285" s="147" customFormat="1" x14ac:dyDescent="0.2">
      <c r="A94" s="147" t="s">
        <v>1873</v>
      </c>
      <c r="M94" s="147">
        <v>20.108036715487245</v>
      </c>
      <c r="AA94" s="147">
        <v>19.527817387938761</v>
      </c>
      <c r="BM94" s="147">
        <v>19.526142402074544</v>
      </c>
      <c r="CD94" s="147">
        <v>21.117638809578228</v>
      </c>
      <c r="CX94" s="147">
        <v>19.1833817108928</v>
      </c>
      <c r="DK94" s="147">
        <v>20.446420821505999</v>
      </c>
      <c r="DS94" s="147">
        <v>18.782837315196872</v>
      </c>
      <c r="EH94" s="147">
        <v>21.76940152714533</v>
      </c>
      <c r="ER94" s="147">
        <v>21.863700117721386</v>
      </c>
      <c r="FC94" s="147">
        <v>20.194931646448634</v>
      </c>
      <c r="FK94" s="147">
        <v>20.003168227102929</v>
      </c>
      <c r="FU94" s="147">
        <v>21.532307708416432</v>
      </c>
      <c r="GF94" s="147">
        <v>21.211974721628682</v>
      </c>
      <c r="GO94" s="147">
        <v>20.58474460026444</v>
      </c>
      <c r="GV94" s="147">
        <v>19.948440632107516</v>
      </c>
      <c r="HD94" s="147">
        <v>20.494079998957208</v>
      </c>
      <c r="HM94" s="147">
        <v>18.437301250181111</v>
      </c>
      <c r="HT94" s="147">
        <v>19.881005588177441</v>
      </c>
      <c r="ID94" s="147">
        <v>16.923585593275469</v>
      </c>
      <c r="IQ94" s="147">
        <v>19.532821552020099</v>
      </c>
      <c r="IU94" s="147">
        <v>21.355575097464623</v>
      </c>
      <c r="IX94" s="147">
        <v>18.85598795272973</v>
      </c>
      <c r="JF94" s="147">
        <v>17.645237586436178</v>
      </c>
      <c r="JL94" s="147">
        <v>17.883340318847985</v>
      </c>
      <c r="JP94" s="147">
        <v>18.562893891904753</v>
      </c>
      <c r="JY94" s="147">
        <v>22.602085798797081</v>
      </c>
    </row>
    <row r="95" spans="1:285" s="147" customFormat="1" x14ac:dyDescent="0.2">
      <c r="A95" s="147" t="s">
        <v>1874</v>
      </c>
      <c r="M95" s="147">
        <v>20.861309797566967</v>
      </c>
      <c r="AA95" s="147">
        <v>23.789424044642871</v>
      </c>
      <c r="BM95" s="147">
        <v>21.558539132208743</v>
      </c>
      <c r="CD95" s="147">
        <v>21.167799883001006</v>
      </c>
      <c r="CX95" s="147">
        <v>21.913246072255806</v>
      </c>
      <c r="DK95" s="147">
        <v>22.293908896895708</v>
      </c>
      <c r="DS95" s="147">
        <v>21.242521093450453</v>
      </c>
      <c r="EH95" s="147">
        <v>22.306702395443576</v>
      </c>
      <c r="ER95" s="147">
        <v>23.102627369120128</v>
      </c>
      <c r="FC95" s="147">
        <v>20.798012971670488</v>
      </c>
      <c r="FK95" s="147">
        <v>20.310184391891909</v>
      </c>
      <c r="FU95" s="147">
        <v>22.75173782344206</v>
      </c>
      <c r="GF95" s="147">
        <v>22.573369559900563</v>
      </c>
      <c r="GO95" s="147">
        <v>21.146138056937236</v>
      </c>
      <c r="GV95" s="147">
        <v>20.209676689426978</v>
      </c>
      <c r="HD95" s="147">
        <v>20.830606432831711</v>
      </c>
      <c r="HM95" s="147">
        <v>20.97065667781904</v>
      </c>
      <c r="HT95" s="147">
        <v>20.61297062622495</v>
      </c>
      <c r="ID95" s="147">
        <v>20.964171028038209</v>
      </c>
      <c r="IQ95" s="147">
        <v>21.83960100448444</v>
      </c>
      <c r="IU95" s="147">
        <v>21.548600979089773</v>
      </c>
      <c r="IX95" s="147">
        <v>19.001144607255295</v>
      </c>
      <c r="JF95" s="147">
        <v>17.886589885289325</v>
      </c>
      <c r="JL95" s="147">
        <v>18.475691770392572</v>
      </c>
      <c r="JP95" s="147">
        <v>18.804009896721546</v>
      </c>
      <c r="JY95" s="147">
        <v>23.201906236199402</v>
      </c>
    </row>
    <row r="96" spans="1:285" s="147" customFormat="1" x14ac:dyDescent="0.2"/>
    <row r="97" spans="1:285" s="147" customFormat="1" x14ac:dyDescent="0.2">
      <c r="A97" s="147" t="s">
        <v>1877</v>
      </c>
      <c r="C97" s="147">
        <v>15.580650877772369</v>
      </c>
      <c r="D97" s="147">
        <v>15.458263985782899</v>
      </c>
      <c r="E97" s="147">
        <v>15.458263985782917</v>
      </c>
      <c r="F97" s="147">
        <v>15.458263985782917</v>
      </c>
      <c r="G97" s="147">
        <v>15.955090967175952</v>
      </c>
      <c r="H97" s="147">
        <v>15.955090967175952</v>
      </c>
      <c r="J97" s="147">
        <v>15.458263985782917</v>
      </c>
      <c r="L97" s="147">
        <v>15.063144514304458</v>
      </c>
      <c r="O97" s="147">
        <v>15.410754858991055</v>
      </c>
      <c r="P97" s="147">
        <v>15.577503103893582</v>
      </c>
      <c r="Q97" s="147">
        <v>15.61908664033173</v>
      </c>
      <c r="U97" s="147">
        <v>12.640519973309113</v>
      </c>
      <c r="V97" s="147">
        <v>14.202574239809072</v>
      </c>
      <c r="W97" s="147">
        <v>18.525377345392101</v>
      </c>
      <c r="X97" s="147">
        <v>14.697165468958497</v>
      </c>
      <c r="Y97" s="147">
        <v>14.697165468958497</v>
      </c>
      <c r="Z97" s="147">
        <v>15.61908664033173</v>
      </c>
      <c r="AB97" s="147">
        <v>14.368080533732645</v>
      </c>
      <c r="AD97" s="147">
        <v>12.039015161168841</v>
      </c>
      <c r="AE97" s="147">
        <v>13.923535654667493</v>
      </c>
      <c r="AG97" s="147">
        <v>17.924163700749101</v>
      </c>
      <c r="AH97" s="147">
        <v>17.924163700749101</v>
      </c>
      <c r="AK97" s="147">
        <v>12.58491824754519</v>
      </c>
      <c r="AL97" s="147">
        <v>13.634644958412828</v>
      </c>
      <c r="AM97" s="147">
        <v>13.194254362201814</v>
      </c>
      <c r="AN97" s="147">
        <v>13.433789211649698</v>
      </c>
      <c r="AO97" s="147">
        <v>13.590922688342271</v>
      </c>
      <c r="AP97" s="147">
        <v>14.240403077232857</v>
      </c>
      <c r="AQ97" s="147">
        <v>14.029005732723597</v>
      </c>
      <c r="AR97" s="147">
        <v>14.029005732723597</v>
      </c>
      <c r="AS97" s="147">
        <v>14.029005732723597</v>
      </c>
      <c r="AT97" s="147">
        <v>14.029005732723597</v>
      </c>
      <c r="AU97" s="147">
        <v>12.707988687122658</v>
      </c>
      <c r="AV97" s="147">
        <v>15.041313847912031</v>
      </c>
      <c r="AW97" s="147">
        <v>15.536575248129351</v>
      </c>
      <c r="AX97" s="147">
        <v>15.041313847912031</v>
      </c>
      <c r="AY97" s="147">
        <v>14.025140373450428</v>
      </c>
      <c r="AZ97" s="147">
        <v>14.025140373450428</v>
      </c>
      <c r="BA97" s="147">
        <v>14.025140373450428</v>
      </c>
      <c r="BB97" s="147">
        <v>16.181295080167043</v>
      </c>
      <c r="BC97" s="147">
        <v>16.235764974273771</v>
      </c>
      <c r="BD97" s="147">
        <v>15.457814462637259</v>
      </c>
      <c r="BE97" s="147">
        <v>15.457814462637259</v>
      </c>
      <c r="BF97" s="147">
        <v>15.457814462637259</v>
      </c>
      <c r="BG97" s="147">
        <v>13.267712048192477</v>
      </c>
      <c r="BH97" s="147">
        <v>16.181295080167043</v>
      </c>
      <c r="BI97" s="147">
        <v>13.267712048192477</v>
      </c>
      <c r="BJ97" s="147">
        <v>15.20760848615458</v>
      </c>
      <c r="BK97" s="147">
        <v>15.489227869339381</v>
      </c>
      <c r="BL97" s="147">
        <v>15.694758188284466</v>
      </c>
      <c r="BN97" s="147">
        <v>11.817039610557876</v>
      </c>
      <c r="BO97" s="147">
        <v>11.892531735719167</v>
      </c>
      <c r="BP97" s="147">
        <v>11.845417900908485</v>
      </c>
      <c r="BR97" s="147">
        <v>11.693216488905133</v>
      </c>
      <c r="BS97" s="147">
        <v>11.271220237976094</v>
      </c>
      <c r="BU97" s="147">
        <v>11.250382952722601</v>
      </c>
      <c r="CA97" s="147">
        <v>8.3640608493291193</v>
      </c>
      <c r="CB97" s="147">
        <v>7.7363586852784145</v>
      </c>
      <c r="CC97" s="147">
        <v>7.7363586852784145</v>
      </c>
      <c r="CH97" s="147">
        <v>15.30800531321003</v>
      </c>
      <c r="CI97" s="147">
        <v>16.558241195145378</v>
      </c>
      <c r="CJ97" s="147">
        <v>16.577028068419889</v>
      </c>
      <c r="CK97" s="147">
        <v>15.060353437201895</v>
      </c>
      <c r="CL97" s="147">
        <v>14.785463011429821</v>
      </c>
      <c r="CM97" s="147">
        <v>15.990751388260042</v>
      </c>
      <c r="CN97" s="147">
        <v>15.815088184948245</v>
      </c>
      <c r="CO97" s="147">
        <v>16.004999170654848</v>
      </c>
      <c r="CP97" s="147">
        <v>16.004999170654848</v>
      </c>
      <c r="CQ97" s="147">
        <v>16.251704518122157</v>
      </c>
      <c r="CR97" s="147">
        <v>16.251704518122157</v>
      </c>
      <c r="CS97" s="147">
        <v>12.887639130864764</v>
      </c>
      <c r="CT97" s="147">
        <v>12.063659742102164</v>
      </c>
      <c r="CU97" s="147">
        <v>11.64057066726305</v>
      </c>
      <c r="CV97" s="147">
        <v>11.64057066726305</v>
      </c>
      <c r="CW97" s="147">
        <v>15.239583381290668</v>
      </c>
      <c r="CY97" s="147">
        <v>16.958709943136405</v>
      </c>
      <c r="CZ97" s="147">
        <v>16.899627501836601</v>
      </c>
      <c r="DA97" s="147">
        <v>17.064010440399922</v>
      </c>
      <c r="DB97" s="147">
        <v>16.802040340080229</v>
      </c>
      <c r="DC97" s="147">
        <v>16.438992571810132</v>
      </c>
      <c r="DD97" s="147">
        <v>15.251663885257551</v>
      </c>
      <c r="DE97" s="147">
        <v>16.750404398779942</v>
      </c>
      <c r="DF97" s="147">
        <v>17.223385413503919</v>
      </c>
      <c r="DG97" s="147">
        <v>17.011396848825765</v>
      </c>
      <c r="DH97" s="147">
        <v>17.218095623423945</v>
      </c>
      <c r="DI97" s="147">
        <v>16.750404398779942</v>
      </c>
      <c r="DJ97" s="147">
        <v>17.116552351901763</v>
      </c>
      <c r="DL97" s="147">
        <v>16.326421772642469</v>
      </c>
      <c r="DM97" s="147">
        <v>15.22712632746058</v>
      </c>
      <c r="DN97" s="147">
        <v>15.3957656774061</v>
      </c>
      <c r="DO97" s="147">
        <v>15.164943043561466</v>
      </c>
      <c r="DP97" s="147">
        <v>14.848758740219754</v>
      </c>
      <c r="DQ97" s="147">
        <v>14.123487986918759</v>
      </c>
      <c r="DR97" s="147">
        <v>16.198205618640493</v>
      </c>
      <c r="DU97" s="147">
        <v>14.078441421066037</v>
      </c>
      <c r="DV97" s="147">
        <v>13.994664654989519</v>
      </c>
      <c r="DX97" s="147">
        <v>12.185218195277056</v>
      </c>
      <c r="DY97" s="147">
        <v>12.185218195277056</v>
      </c>
      <c r="DZ97" s="147">
        <v>12.880051219625562</v>
      </c>
      <c r="EA97" s="147">
        <v>19.087337963256715</v>
      </c>
      <c r="EB97" s="147">
        <v>16.038769471543873</v>
      </c>
      <c r="EC97" s="147">
        <v>13.664485198826211</v>
      </c>
      <c r="ED97" s="147">
        <v>13.664485198826211</v>
      </c>
      <c r="EE97" s="147">
        <v>13.583634467120351</v>
      </c>
      <c r="EF97" s="147">
        <v>15.843478976767008</v>
      </c>
      <c r="EG97" s="147">
        <v>13.624095111339775</v>
      </c>
      <c r="EI97" s="147">
        <v>16.786818908173263</v>
      </c>
      <c r="EJ97" s="147">
        <v>17.376648286423855</v>
      </c>
      <c r="EK97" s="147">
        <v>16.786818908173263</v>
      </c>
      <c r="EL97" s="147">
        <v>17.351503151181802</v>
      </c>
      <c r="EM97" s="147">
        <v>16.786818908173263</v>
      </c>
      <c r="EN97" s="147">
        <v>16.186092178991544</v>
      </c>
      <c r="EO97" s="147">
        <v>16.786818908173263</v>
      </c>
      <c r="EP97" s="147">
        <v>17.315727316743843</v>
      </c>
      <c r="EQ97" s="147">
        <v>16.998257517267994</v>
      </c>
      <c r="ES97" s="147">
        <v>11.449817316976665</v>
      </c>
      <c r="ET97" s="147">
        <v>11.672723157610625</v>
      </c>
      <c r="EU97" s="147">
        <v>11.937885186394421</v>
      </c>
      <c r="EV97" s="147">
        <v>12.072956004783308</v>
      </c>
      <c r="EW97" s="147">
        <v>11.954412221771639</v>
      </c>
      <c r="EX97" s="147">
        <v>11.91468872093311</v>
      </c>
      <c r="EY97" s="147">
        <v>12.088812566686991</v>
      </c>
      <c r="EZ97" s="147">
        <v>11.448163550089792</v>
      </c>
      <c r="FA97" s="147">
        <v>11.994030024112986</v>
      </c>
      <c r="FB97" s="147">
        <v>12.209696180199998</v>
      </c>
      <c r="FD97" s="147">
        <v>14.760509537174086</v>
      </c>
      <c r="FE97" s="147">
        <v>14.760509537174086</v>
      </c>
      <c r="FF97" s="147">
        <v>16.285293417697829</v>
      </c>
      <c r="FG97" s="147">
        <v>14.707754724740628</v>
      </c>
      <c r="FH97" s="147">
        <v>14.813132344110734</v>
      </c>
      <c r="FI97" s="147">
        <v>14.760509537174086</v>
      </c>
      <c r="FJ97" s="147">
        <v>16.285293417697829</v>
      </c>
      <c r="FL97" s="147">
        <v>15.471759118002469</v>
      </c>
      <c r="FM97" s="147">
        <v>15.237881831616413</v>
      </c>
      <c r="FN97" s="147">
        <v>15.562120914468673</v>
      </c>
      <c r="FO97" s="147">
        <v>17.230995342033911</v>
      </c>
      <c r="FP97" s="147">
        <v>17.169825709685433</v>
      </c>
      <c r="FQ97" s="147">
        <v>17.169825709685433</v>
      </c>
      <c r="FR97" s="147">
        <v>16.905293583672833</v>
      </c>
      <c r="FS97" s="147">
        <v>16.905293583672833</v>
      </c>
      <c r="FT97" s="147">
        <v>17.169825709685433</v>
      </c>
      <c r="FV97" s="147">
        <v>16.546761357449451</v>
      </c>
      <c r="FW97" s="147">
        <v>16.546761357449451</v>
      </c>
      <c r="FX97" s="147">
        <v>16.294012855813026</v>
      </c>
      <c r="FY97" s="147">
        <v>16.294012855813026</v>
      </c>
      <c r="FZ97" s="147">
        <v>16.346144459066526</v>
      </c>
      <c r="GA97" s="147">
        <v>17.76267539405017</v>
      </c>
      <c r="GB97" s="147">
        <v>16.346144459066526</v>
      </c>
      <c r="GC97" s="147">
        <v>16.47746737673085</v>
      </c>
      <c r="GD97" s="147">
        <v>16.294012855813026</v>
      </c>
      <c r="GE97" s="147">
        <v>17.283145491214334</v>
      </c>
      <c r="GG97" s="147">
        <v>15.788816244550071</v>
      </c>
      <c r="GH97" s="147">
        <v>15.422429165348728</v>
      </c>
      <c r="GI97" s="147">
        <v>15.369650432597391</v>
      </c>
      <c r="GJ97" s="147">
        <v>15.475094034624286</v>
      </c>
      <c r="GK97" s="147">
        <v>17.918703718730729</v>
      </c>
      <c r="GL97" s="147">
        <v>15.190091682404233</v>
      </c>
      <c r="GM97" s="147">
        <v>15.422429165348728</v>
      </c>
      <c r="GN97" s="147">
        <v>15.422429165348728</v>
      </c>
      <c r="GP97" s="147">
        <v>12.079609027579925</v>
      </c>
      <c r="GQ97" s="147">
        <v>11.905640777672845</v>
      </c>
      <c r="GR97" s="147">
        <v>11.957901503206028</v>
      </c>
      <c r="GS97" s="147">
        <v>12.091406274185074</v>
      </c>
      <c r="GT97" s="147">
        <v>11.695596514109463</v>
      </c>
      <c r="GU97" s="147">
        <v>11.734715133629988</v>
      </c>
      <c r="GW97" s="147">
        <v>15.406570518404383</v>
      </c>
      <c r="GX97" s="147">
        <v>15.123431422714981</v>
      </c>
      <c r="GY97" s="147">
        <v>15.072379796233164</v>
      </c>
      <c r="GZ97" s="147">
        <v>15.377634112382932</v>
      </c>
      <c r="HA97" s="147">
        <v>15.829576927175149</v>
      </c>
      <c r="HB97" s="147">
        <v>15.354697870148087</v>
      </c>
      <c r="HC97" s="147">
        <v>15.590054268759479</v>
      </c>
      <c r="HE97" s="147">
        <v>13.192105353307298</v>
      </c>
      <c r="HF97" s="147">
        <v>12.890478883491395</v>
      </c>
      <c r="HG97" s="147">
        <v>12.702533758013667</v>
      </c>
      <c r="HH97" s="147">
        <v>13.23438930639727</v>
      </c>
      <c r="HI97" s="147">
        <v>12.957145105998208</v>
      </c>
      <c r="HK97" s="147">
        <v>12.336238051548563</v>
      </c>
      <c r="HL97" s="147">
        <v>12.594369284798583</v>
      </c>
      <c r="HN97" s="147">
        <v>14.666462261001529</v>
      </c>
      <c r="HO97" s="147">
        <v>14.716368431319616</v>
      </c>
      <c r="HP97" s="147">
        <v>14.447216057630156</v>
      </c>
      <c r="HQ97" s="147">
        <v>13.793062228123112</v>
      </c>
      <c r="HR97" s="147">
        <v>13.284969789823061</v>
      </c>
      <c r="HS97" s="147">
        <v>14.398080531368228</v>
      </c>
      <c r="HU97" s="147">
        <v>11.741260680990305</v>
      </c>
      <c r="HV97" s="147">
        <v>11.44605913160151</v>
      </c>
      <c r="HW97" s="147">
        <v>13.49165163717915</v>
      </c>
      <c r="HX97" s="147">
        <v>12.905414789846729</v>
      </c>
      <c r="HY97" s="147">
        <v>12.531841251172855</v>
      </c>
      <c r="HZ97" s="147">
        <v>11.512148782109447</v>
      </c>
      <c r="IA97" s="147">
        <v>13.835188504110411</v>
      </c>
      <c r="IB97" s="147">
        <v>14.135370491376408</v>
      </c>
      <c r="IC97" s="147">
        <v>12.812823287642042</v>
      </c>
      <c r="IE97" s="147">
        <v>12.137051742107657</v>
      </c>
      <c r="IF97" s="147">
        <v>11.962163767978776</v>
      </c>
      <c r="IG97" s="147">
        <v>11.518901446575256</v>
      </c>
      <c r="IH97" s="147">
        <v>12.001180076967801</v>
      </c>
      <c r="II97" s="147">
        <v>11.866974664425401</v>
      </c>
      <c r="IJ97" s="147">
        <v>12.28704965651025</v>
      </c>
      <c r="IK97" s="147">
        <v>12.614212465356392</v>
      </c>
      <c r="IL97" s="147">
        <v>11.281852679198725</v>
      </c>
      <c r="IM97" s="147">
        <v>11.937078004828987</v>
      </c>
      <c r="IN97" s="147">
        <v>11.805073897231635</v>
      </c>
      <c r="IO97" s="147">
        <v>11.981201119327094</v>
      </c>
      <c r="IP97" s="147">
        <v>12.430326072150709</v>
      </c>
      <c r="IR97" s="147">
        <v>17.91262240071563</v>
      </c>
      <c r="IS97" s="147">
        <v>18.011784429884678</v>
      </c>
      <c r="IT97" s="147">
        <v>17.520251992166486</v>
      </c>
      <c r="IV97" s="147">
        <v>12.106252499594312</v>
      </c>
      <c r="IW97" s="147">
        <v>12.199448523907028</v>
      </c>
      <c r="IY97" s="147">
        <v>11.014023568205715</v>
      </c>
      <c r="IZ97" s="147">
        <v>11.483862529550164</v>
      </c>
      <c r="JA97" s="147">
        <v>11.222276899513638</v>
      </c>
      <c r="JB97" s="147">
        <v>10.99830665670982</v>
      </c>
      <c r="JC97" s="147">
        <v>11.434685626107424</v>
      </c>
      <c r="JD97" s="147">
        <v>11.335725728283855</v>
      </c>
      <c r="JE97" s="147">
        <v>11.1735000771122</v>
      </c>
      <c r="JG97" s="147">
        <v>10.358301442158471</v>
      </c>
      <c r="JH97" s="147">
        <v>10.828809569292453</v>
      </c>
      <c r="JI97" s="147">
        <v>10.59122244400778</v>
      </c>
      <c r="JJ97" s="147">
        <v>10.4816257589872</v>
      </c>
      <c r="JK97" s="147">
        <v>10.809656367445092</v>
      </c>
      <c r="JM97" s="147">
        <v>14.579290735063763</v>
      </c>
      <c r="JN97" s="147">
        <v>14.860779061339171</v>
      </c>
      <c r="JO97" s="147">
        <v>14.459479170099229</v>
      </c>
      <c r="JQ97" s="147">
        <v>16.81621990770045</v>
      </c>
      <c r="JR97" s="147">
        <v>15.396478108768873</v>
      </c>
      <c r="JS97" s="147">
        <v>14.977877189295221</v>
      </c>
      <c r="JT97" s="147">
        <v>16.416997329093729</v>
      </c>
      <c r="JU97" s="147">
        <v>16.416997329093729</v>
      </c>
      <c r="JV97" s="147">
        <v>14.409931961270782</v>
      </c>
      <c r="JW97" s="147">
        <v>14.794303463919128</v>
      </c>
      <c r="JX97" s="147">
        <v>14.977877189295221</v>
      </c>
    </row>
    <row r="98" spans="1:285" s="147" customFormat="1" x14ac:dyDescent="0.2">
      <c r="A98" s="147" t="s">
        <v>1878</v>
      </c>
      <c r="C98" s="147">
        <v>5.2806589197945986</v>
      </c>
      <c r="D98" s="147">
        <v>4.6497727297043276</v>
      </c>
      <c r="E98" s="147">
        <v>4.6497727297043276</v>
      </c>
      <c r="F98" s="147">
        <v>4.6497727297043276</v>
      </c>
      <c r="G98" s="147">
        <v>4.7992159370132015</v>
      </c>
      <c r="H98" s="147">
        <v>4.7992159370132015</v>
      </c>
      <c r="J98" s="147">
        <v>4.6497727297043276</v>
      </c>
      <c r="L98" s="147">
        <v>5.6947654233905354</v>
      </c>
      <c r="O98" s="147">
        <v>8.0613591404221872</v>
      </c>
      <c r="P98" s="147">
        <v>8.148585074550267</v>
      </c>
      <c r="Q98" s="147">
        <v>8.170337404311141</v>
      </c>
      <c r="U98" s="147">
        <v>6.8872974146296482</v>
      </c>
      <c r="V98" s="147">
        <v>6.2302740302725521</v>
      </c>
      <c r="W98" s="147">
        <v>2.619207424452199</v>
      </c>
      <c r="X98" s="147">
        <v>8.9905133375272275</v>
      </c>
      <c r="Y98" s="147">
        <v>8.9905133375272275</v>
      </c>
      <c r="Z98" s="147">
        <v>8.170337404311141</v>
      </c>
      <c r="AB98" s="147">
        <v>12.949457008333141</v>
      </c>
      <c r="AD98" s="147">
        <v>14.08695074957042</v>
      </c>
      <c r="AE98" s="147">
        <v>13.553775842777714</v>
      </c>
      <c r="AG98" s="147">
        <v>2.7505547346357808</v>
      </c>
      <c r="AH98" s="147">
        <v>2.7505547346357808</v>
      </c>
      <c r="AK98" s="147">
        <v>8.1782635038206521</v>
      </c>
      <c r="AL98" s="147">
        <v>7.3324756432932432</v>
      </c>
      <c r="AM98" s="147">
        <v>7.676642028873605</v>
      </c>
      <c r="AN98" s="147">
        <v>7.5184683351608275</v>
      </c>
      <c r="AO98" s="147">
        <v>7.3089625645633092</v>
      </c>
      <c r="AP98" s="147">
        <v>5.2976594045533449</v>
      </c>
      <c r="AQ98" s="147">
        <v>5.4971366693509474</v>
      </c>
      <c r="AR98" s="147">
        <v>5.4971366693509474</v>
      </c>
      <c r="AS98" s="147">
        <v>5.4971366693509474</v>
      </c>
      <c r="AT98" s="147">
        <v>5.4971366693509474</v>
      </c>
      <c r="AU98" s="147">
        <v>7.6785322047688993</v>
      </c>
      <c r="AV98" s="147">
        <v>5.3012187891859863</v>
      </c>
      <c r="AW98" s="147">
        <v>5.1755997511228333</v>
      </c>
      <c r="AX98" s="147">
        <v>5.3012187891859863</v>
      </c>
      <c r="AY98" s="147">
        <v>5.7772288277895871</v>
      </c>
      <c r="AZ98" s="147">
        <v>5.7772288277895871</v>
      </c>
      <c r="BA98" s="147">
        <v>5.7772288277895871</v>
      </c>
      <c r="BB98" s="147">
        <v>4.7772279078198601</v>
      </c>
      <c r="BC98" s="147">
        <v>4.7933091359893893</v>
      </c>
      <c r="BD98" s="147">
        <v>5.4480118756686124</v>
      </c>
      <c r="BE98" s="147">
        <v>5.4480118756686124</v>
      </c>
      <c r="BF98" s="147">
        <v>5.4480118756686124</v>
      </c>
      <c r="BG98" s="147">
        <v>6.2847662725508489</v>
      </c>
      <c r="BH98" s="147">
        <v>4.7772279078198601</v>
      </c>
      <c r="BI98" s="147">
        <v>6.2847662725508489</v>
      </c>
      <c r="BJ98" s="147">
        <v>6.2643105030352899</v>
      </c>
      <c r="BK98" s="147">
        <v>6.0693112628693626</v>
      </c>
      <c r="BL98" s="147">
        <v>5.2282942203107741</v>
      </c>
      <c r="BN98" s="147">
        <v>15.679019821620409</v>
      </c>
      <c r="BO98" s="147">
        <v>15.655355209532281</v>
      </c>
      <c r="BP98" s="147">
        <v>15.670335719730287</v>
      </c>
      <c r="BR98" s="147">
        <v>15.815579877544948</v>
      </c>
      <c r="BS98" s="147">
        <v>16.327930910399047</v>
      </c>
      <c r="BU98" s="147">
        <v>16.426347426891716</v>
      </c>
      <c r="CA98" s="147">
        <v>12.803739033671887</v>
      </c>
      <c r="CB98" s="147">
        <v>13.381280124299813</v>
      </c>
      <c r="CC98" s="147">
        <v>13.381280124299813</v>
      </c>
      <c r="CH98" s="147">
        <v>5.9728366411328349</v>
      </c>
      <c r="CI98" s="147">
        <v>4.55513568645814</v>
      </c>
      <c r="CJ98" s="147">
        <v>4.8679167797162926</v>
      </c>
      <c r="CK98" s="147">
        <v>5.8762084933760388</v>
      </c>
      <c r="CL98" s="147">
        <v>6.0655706900036659</v>
      </c>
      <c r="CM98" s="147">
        <v>5.9224946839957635</v>
      </c>
      <c r="CN98" s="147">
        <v>5.242888868808997</v>
      </c>
      <c r="CO98" s="147">
        <v>5.0009007210997964</v>
      </c>
      <c r="CP98" s="147">
        <v>5.0009007210997964</v>
      </c>
      <c r="CQ98" s="147">
        <v>4.7723840966083841</v>
      </c>
      <c r="CR98" s="147">
        <v>4.7723840966083841</v>
      </c>
      <c r="CS98" s="147">
        <v>7.7634182139500947</v>
      </c>
      <c r="CT98" s="147">
        <v>7.816962632701788</v>
      </c>
      <c r="CU98" s="147">
        <v>7.5428110436297491</v>
      </c>
      <c r="CV98" s="147">
        <v>7.5428110436297491</v>
      </c>
      <c r="CW98" s="147">
        <v>5.644284584917493</v>
      </c>
      <c r="CY98" s="147">
        <v>5.1296129099851022</v>
      </c>
      <c r="CZ98" s="147">
        <v>4.7958975194256546</v>
      </c>
      <c r="DA98" s="147">
        <v>5.1614638462887434</v>
      </c>
      <c r="DB98" s="147">
        <v>5.400426555590343</v>
      </c>
      <c r="DC98" s="147">
        <v>5.2837375839517762</v>
      </c>
      <c r="DD98" s="147">
        <v>5.1947569362484476</v>
      </c>
      <c r="DE98" s="147">
        <v>5.3838299933290443</v>
      </c>
      <c r="DF98" s="147">
        <v>4.8877758620276452</v>
      </c>
      <c r="DG98" s="147">
        <v>5.1455494660390393</v>
      </c>
      <c r="DH98" s="147">
        <v>4.5687325885544325</v>
      </c>
      <c r="DI98" s="147">
        <v>5.3838299933290443</v>
      </c>
      <c r="DJ98" s="147">
        <v>5.1773565449939447</v>
      </c>
      <c r="DL98" s="147">
        <v>3.6037510834879889</v>
      </c>
      <c r="DM98" s="147">
        <v>3.6327293122922573</v>
      </c>
      <c r="DN98" s="147">
        <v>3.3983262232052134</v>
      </c>
      <c r="DO98" s="147">
        <v>3.6178942716354054</v>
      </c>
      <c r="DP98" s="147">
        <v>6.3937623532306986</v>
      </c>
      <c r="DQ98" s="147">
        <v>6.0814662940459865</v>
      </c>
      <c r="DR98" s="147">
        <v>3.8643993023984962</v>
      </c>
      <c r="DU98" s="147">
        <v>7.85638381387888</v>
      </c>
      <c r="DV98" s="147">
        <v>7.8096327276401869</v>
      </c>
      <c r="DX98" s="147">
        <v>9.6459103561090096</v>
      </c>
      <c r="DY98" s="147">
        <v>9.6459103561090096</v>
      </c>
      <c r="DZ98" s="147">
        <v>8.9511321268685027</v>
      </c>
      <c r="EA98" s="147">
        <v>3.2193644321868611</v>
      </c>
      <c r="EB98" s="147">
        <v>5.9398802761287435</v>
      </c>
      <c r="EC98" s="147">
        <v>8.2344893116417115</v>
      </c>
      <c r="ED98" s="147">
        <v>8.2344893116417115</v>
      </c>
      <c r="EE98" s="147">
        <v>8.185767060024979</v>
      </c>
      <c r="EF98" s="147">
        <v>6.1816986376176448</v>
      </c>
      <c r="EG98" s="147">
        <v>8.2101494452754391</v>
      </c>
      <c r="EI98" s="147">
        <v>5.8883253131827189</v>
      </c>
      <c r="EJ98" s="147">
        <v>5.1009841750450917</v>
      </c>
      <c r="EK98" s="147">
        <v>5.8883253131827189</v>
      </c>
      <c r="EL98" s="147">
        <v>5.751124217938326</v>
      </c>
      <c r="EM98" s="147">
        <v>5.8883253131827189</v>
      </c>
      <c r="EN98" s="147">
        <v>5.6776079387298424</v>
      </c>
      <c r="EO98" s="147">
        <v>5.8883253131827189</v>
      </c>
      <c r="EP98" s="147">
        <v>5.4090258567150364</v>
      </c>
      <c r="EQ98" s="147">
        <v>5.6340415938923307</v>
      </c>
      <c r="ES98" s="147">
        <v>9.3481956546938232</v>
      </c>
      <c r="ET98" s="147">
        <v>8.9534302222299278</v>
      </c>
      <c r="EU98" s="147">
        <v>8.5799562250121326</v>
      </c>
      <c r="EV98" s="147">
        <v>8.3902325012514574</v>
      </c>
      <c r="EW98" s="147">
        <v>8.3078492058388225</v>
      </c>
      <c r="EX98" s="147">
        <v>8.2802429255155232</v>
      </c>
      <c r="EY98" s="147">
        <v>8.1173308093380196</v>
      </c>
      <c r="EZ98" s="147">
        <v>8.7811843161528849</v>
      </c>
      <c r="FA98" s="147">
        <v>8.3353820298382484</v>
      </c>
      <c r="FB98" s="147">
        <v>8.1985010876346038</v>
      </c>
      <c r="FD98" s="147">
        <v>5.3144074651596807</v>
      </c>
      <c r="FE98" s="147">
        <v>5.3144074651596807</v>
      </c>
      <c r="FF98" s="147">
        <v>4.0248909741940793</v>
      </c>
      <c r="FG98" s="147">
        <v>5.295413502362301</v>
      </c>
      <c r="FH98" s="147">
        <v>5.3333539003973982</v>
      </c>
      <c r="FI98" s="147">
        <v>5.3144074651596807</v>
      </c>
      <c r="FJ98" s="147">
        <v>4.0248909741940793</v>
      </c>
      <c r="FL98" s="147">
        <v>6.2452495305710389</v>
      </c>
      <c r="FM98" s="147">
        <v>6.4597929706304278</v>
      </c>
      <c r="FN98" s="147">
        <v>5.9701867939477591</v>
      </c>
      <c r="FO98" s="147">
        <v>4.6320592148077253</v>
      </c>
      <c r="FP98" s="147">
        <v>5.5819121137566263</v>
      </c>
      <c r="FQ98" s="147">
        <v>5.5819121137566263</v>
      </c>
      <c r="FR98" s="147">
        <v>5.8214968758213033</v>
      </c>
      <c r="FS98" s="147">
        <v>5.8214968758213033</v>
      </c>
      <c r="FT98" s="147">
        <v>5.5819121137566263</v>
      </c>
      <c r="FV98" s="147">
        <v>5.0648231386169904</v>
      </c>
      <c r="FW98" s="147">
        <v>5.0648231386169904</v>
      </c>
      <c r="FX98" s="147">
        <v>5.2971852643945851</v>
      </c>
      <c r="FY98" s="147">
        <v>5.2971852643945851</v>
      </c>
      <c r="FZ98" s="147">
        <v>5.3141332540032451</v>
      </c>
      <c r="GA98" s="147">
        <v>3.8147737317713961</v>
      </c>
      <c r="GB98" s="147">
        <v>5.3141332540032451</v>
      </c>
      <c r="GC98" s="147">
        <v>4.7345073448978319</v>
      </c>
      <c r="GD98" s="147">
        <v>5.2971852643945851</v>
      </c>
      <c r="GE98" s="147">
        <v>5.2902240686862285</v>
      </c>
      <c r="GG98" s="147">
        <v>5.3573218123871644</v>
      </c>
      <c r="GH98" s="147">
        <v>5.2330025815607435</v>
      </c>
      <c r="GI98" s="147">
        <v>5.2150941676670488</v>
      </c>
      <c r="GJ98" s="147">
        <v>5.2508723603045322</v>
      </c>
      <c r="GK98" s="147">
        <v>2.8434630968533448</v>
      </c>
      <c r="GL98" s="147">
        <v>5.4491789941098716</v>
      </c>
      <c r="GM98" s="147">
        <v>5.2330025815607435</v>
      </c>
      <c r="GN98" s="147">
        <v>5.2330025815607435</v>
      </c>
      <c r="GP98" s="147">
        <v>8.1300676618470522</v>
      </c>
      <c r="GQ98" s="147">
        <v>8.2928259878439921</v>
      </c>
      <c r="GR98" s="147">
        <v>8.0481535530496124</v>
      </c>
      <c r="GS98" s="147">
        <v>7.8570343579224424</v>
      </c>
      <c r="GT98" s="147">
        <v>8.4245828927676509</v>
      </c>
      <c r="GU98" s="147">
        <v>8.4527608529429816</v>
      </c>
      <c r="GW98" s="147">
        <v>5.4240359144273285</v>
      </c>
      <c r="GX98" s="147">
        <v>5.6206580240117621</v>
      </c>
      <c r="GY98" s="147">
        <v>5.601684569773532</v>
      </c>
      <c r="GZ98" s="147">
        <v>5.1164458865742759</v>
      </c>
      <c r="HA98" s="147">
        <v>4.9646346144640621</v>
      </c>
      <c r="HB98" s="147">
        <v>5.4057736342668932</v>
      </c>
      <c r="HC98" s="147">
        <v>5.1871223136095015</v>
      </c>
      <c r="HE98" s="147">
        <v>7.6737115318516409</v>
      </c>
      <c r="HF98" s="147">
        <v>8.0801777943276445</v>
      </c>
      <c r="HG98" s="147">
        <v>8.2541469458737193</v>
      </c>
      <c r="HH98" s="147">
        <v>7.698307670962782</v>
      </c>
      <c r="HI98" s="147">
        <v>7.8277813325364178</v>
      </c>
      <c r="HK98" s="147">
        <v>6.1010631986325485</v>
      </c>
      <c r="HL98" s="147">
        <v>6.4981037159493322</v>
      </c>
      <c r="HN98" s="147">
        <v>5.8766056288496298</v>
      </c>
      <c r="HO98" s="147">
        <v>5.8966021949053342</v>
      </c>
      <c r="HP98" s="147">
        <v>6.0808680811439242</v>
      </c>
      <c r="HQ98" s="147">
        <v>6.0879433600543287</v>
      </c>
      <c r="HR98" s="147">
        <v>6.7002837775242323</v>
      </c>
      <c r="HS98" s="147">
        <v>6.0601868196396662</v>
      </c>
      <c r="HU98" s="147">
        <v>5.1823249122851642</v>
      </c>
      <c r="HV98" s="147">
        <v>6.0190395184566352</v>
      </c>
      <c r="HW98" s="147">
        <v>5.6786687120323585</v>
      </c>
      <c r="HX98" s="147">
        <v>6.2346086716661002</v>
      </c>
      <c r="HY98" s="147">
        <v>7.1389891647105461</v>
      </c>
      <c r="HZ98" s="147">
        <v>6.5581029771122719</v>
      </c>
      <c r="IA98" s="147">
        <v>6.97778696975986</v>
      </c>
      <c r="IB98" s="147">
        <v>6.8288005366618005</v>
      </c>
      <c r="IC98" s="147">
        <v>6.4621563599066416</v>
      </c>
      <c r="IE98" s="147">
        <v>8.2995075375128931</v>
      </c>
      <c r="IF98" s="147">
        <v>8.4626012945467473</v>
      </c>
      <c r="IG98" s="147">
        <v>8.4243341929137614</v>
      </c>
      <c r="IH98" s="147">
        <v>8.4902032797195961</v>
      </c>
      <c r="II98" s="147">
        <v>8.6788971062586189</v>
      </c>
      <c r="IJ98" s="147">
        <v>9.2831194396794015</v>
      </c>
      <c r="IK98" s="147">
        <v>9.2253885391280477</v>
      </c>
      <c r="IL98" s="147">
        <v>8.2509688728213746</v>
      </c>
      <c r="IM98" s="147">
        <v>8.1627623398228373</v>
      </c>
      <c r="IN98" s="147">
        <v>8.3514684786674369</v>
      </c>
      <c r="IO98" s="147">
        <v>8.7624364814522284</v>
      </c>
      <c r="IP98" s="147">
        <v>9.0909034550183314</v>
      </c>
      <c r="IR98" s="147">
        <v>3.635978578374143</v>
      </c>
      <c r="IS98" s="147">
        <v>3.3437906675799454</v>
      </c>
      <c r="IT98" s="147">
        <v>3.8643343490394493</v>
      </c>
      <c r="IV98" s="147">
        <v>6.7497354531354183</v>
      </c>
      <c r="IW98" s="147">
        <v>6.8016960833482667</v>
      </c>
      <c r="IY98" s="147">
        <v>6.6312140182304624</v>
      </c>
      <c r="IZ98" s="147">
        <v>6.4027273557391613</v>
      </c>
      <c r="JA98" s="147">
        <v>6.5052588480292179</v>
      </c>
      <c r="JB98" s="147">
        <v>6.8709837249376324</v>
      </c>
      <c r="JC98" s="147">
        <v>6.3753092022970463</v>
      </c>
      <c r="JD98" s="147">
        <v>6.3201349746984725</v>
      </c>
      <c r="JE98" s="147">
        <v>6.4769842065864065</v>
      </c>
      <c r="JG98" s="147">
        <v>7.8121302309055274</v>
      </c>
      <c r="JH98" s="147">
        <v>7.6468822011001194</v>
      </c>
      <c r="JI98" s="147">
        <v>7.7320151179239289</v>
      </c>
      <c r="JJ98" s="147">
        <v>7.4017145598607854</v>
      </c>
      <c r="JK98" s="147">
        <v>7.3781359848059385</v>
      </c>
      <c r="JM98" s="147">
        <v>4.1374157071615318</v>
      </c>
      <c r="JN98" s="147">
        <v>3.9432308353823746</v>
      </c>
      <c r="JO98" s="147">
        <v>4.1034147218055246</v>
      </c>
      <c r="JQ98" s="147">
        <v>6.3856863284989522</v>
      </c>
      <c r="JR98" s="147">
        <v>7.4214043179660241</v>
      </c>
      <c r="JS98" s="147">
        <v>7.8595035279699879</v>
      </c>
      <c r="JT98" s="147">
        <v>6.5615303457400849</v>
      </c>
      <c r="JU98" s="147">
        <v>6.5615303457400849</v>
      </c>
      <c r="JV98" s="147">
        <v>8.1921538375262983</v>
      </c>
      <c r="JW98" s="147">
        <v>8.0849809191906772</v>
      </c>
      <c r="JX98" s="147">
        <v>7.8595035279699879</v>
      </c>
    </row>
    <row r="99" spans="1:285" s="147" customFormat="1" x14ac:dyDescent="0.2">
      <c r="AB99" s="147" t="s">
        <v>1871</v>
      </c>
      <c r="AC99" s="147" t="s">
        <v>1871</v>
      </c>
      <c r="AE99" s="147" t="s">
        <v>1871</v>
      </c>
      <c r="BO99" s="147" t="s">
        <v>1871</v>
      </c>
      <c r="BP99" s="147" t="s">
        <v>1871</v>
      </c>
      <c r="BQ99" s="147" t="s">
        <v>1871</v>
      </c>
      <c r="BT99" s="147" t="s">
        <v>1871</v>
      </c>
      <c r="BU99" s="147" t="s">
        <v>1871</v>
      </c>
    </row>
    <row r="100" spans="1:285" s="147" customFormat="1" x14ac:dyDescent="0.2">
      <c r="A100" s="147" t="s">
        <v>1879</v>
      </c>
      <c r="C100" s="147">
        <v>0.84855790853500368</v>
      </c>
      <c r="D100" s="147">
        <v>0.86326553344726553</v>
      </c>
      <c r="E100" s="147">
        <v>0.86326553344726553</v>
      </c>
      <c r="F100" s="147">
        <v>0.86326553344726553</v>
      </c>
      <c r="G100" s="147">
        <v>0.86326553344726553</v>
      </c>
      <c r="H100" s="147">
        <v>0.86326553344726553</v>
      </c>
      <c r="J100" s="147">
        <v>0.86326553344726553</v>
      </c>
      <c r="L100" s="147">
        <v>0.83397425639629352</v>
      </c>
      <c r="O100" s="147">
        <v>0.78403537940979007</v>
      </c>
      <c r="P100" s="147">
        <v>0.78403537940979007</v>
      </c>
      <c r="Q100" s="147">
        <v>0.78403537940979007</v>
      </c>
      <c r="U100" s="147">
        <v>0.77705479526519761</v>
      </c>
      <c r="V100" s="147">
        <v>0.81235095143318192</v>
      </c>
      <c r="W100" s="147">
        <v>0.93070862770080554</v>
      </c>
      <c r="X100" s="147">
        <v>0.75636277472972857</v>
      </c>
      <c r="Y100" s="147">
        <v>0.75636277472972857</v>
      </c>
      <c r="Z100" s="147">
        <v>0.78403537940979007</v>
      </c>
      <c r="AB100" s="147">
        <v>0.67815620686140277</v>
      </c>
      <c r="AD100" s="147">
        <v>0.61875326616159876</v>
      </c>
      <c r="AE100" s="147">
        <v>0.66111601894759764</v>
      </c>
      <c r="AG100" s="147">
        <v>0.92523536670207984</v>
      </c>
      <c r="AH100" s="147">
        <v>0.92523536670207984</v>
      </c>
      <c r="AK100" s="147">
        <v>0.74504838347434998</v>
      </c>
      <c r="AL100" s="147">
        <v>0.77931119501590707</v>
      </c>
      <c r="AM100" s="147">
        <v>0.76547876310348528</v>
      </c>
      <c r="AN100" s="147">
        <v>0.77237431693077085</v>
      </c>
      <c r="AO100" s="147">
        <v>0.77931119501590707</v>
      </c>
      <c r="AP100" s="147">
        <v>0.83619350004196158</v>
      </c>
      <c r="AQ100" s="147">
        <v>0.82895734858512893</v>
      </c>
      <c r="AR100" s="147">
        <v>0.82895734858512893</v>
      </c>
      <c r="AS100" s="147">
        <v>0.82895734858512893</v>
      </c>
      <c r="AT100" s="147">
        <v>0.82895734858512893</v>
      </c>
      <c r="AU100" s="147">
        <v>0.75862548625469217</v>
      </c>
      <c r="AV100" s="147">
        <v>0.84346252036094671</v>
      </c>
      <c r="AW100" s="147">
        <v>0.85076298046112064</v>
      </c>
      <c r="AX100" s="147">
        <v>0.84346252036094671</v>
      </c>
      <c r="AY100" s="147">
        <v>0.82175501871109002</v>
      </c>
      <c r="AZ100" s="147">
        <v>0.82175501871109002</v>
      </c>
      <c r="BA100" s="147">
        <v>0.82175501871109002</v>
      </c>
      <c r="BB100" s="147">
        <v>0.86545440912246696</v>
      </c>
      <c r="BC100" s="147">
        <v>0.86545440912246696</v>
      </c>
      <c r="BD100" s="147">
        <v>0.84346252036094671</v>
      </c>
      <c r="BE100" s="147">
        <v>0.84346252036094671</v>
      </c>
      <c r="BF100" s="147">
        <v>0.84346252036094671</v>
      </c>
      <c r="BG100" s="147">
        <v>0.8003623912334441</v>
      </c>
      <c r="BH100" s="147">
        <v>0.86545440912246696</v>
      </c>
      <c r="BI100" s="147">
        <v>0.8003623912334441</v>
      </c>
      <c r="BJ100" s="147">
        <v>0.82175501871109002</v>
      </c>
      <c r="BK100" s="147">
        <v>0.82895734858512893</v>
      </c>
      <c r="BL100" s="147">
        <v>0.85076298046112064</v>
      </c>
      <c r="BN100" s="147">
        <v>0.58869546356852531</v>
      </c>
      <c r="BO100" s="147">
        <v>0.59060177954932636</v>
      </c>
      <c r="BP100" s="147">
        <v>0.58941020154850476</v>
      </c>
      <c r="BR100" s="147">
        <v>0.58403734580874744</v>
      </c>
      <c r="BS100" s="147">
        <v>0.56727247430012828</v>
      </c>
      <c r="BU100" s="147">
        <v>0.56534207662599367</v>
      </c>
      <c r="CA100" s="147">
        <v>0.55368300986289976</v>
      </c>
      <c r="CB100" s="147">
        <v>0.52334064376354217</v>
      </c>
      <c r="CC100" s="147">
        <v>0.52334064376354217</v>
      </c>
      <c r="CH100" s="147">
        <v>0.82955970621108999</v>
      </c>
      <c r="CI100" s="147">
        <v>0.8734689333438872</v>
      </c>
      <c r="CJ100" s="147">
        <v>0.86607689297199242</v>
      </c>
      <c r="CK100" s="147">
        <v>0.82955970621108999</v>
      </c>
      <c r="CL100" s="147">
        <v>0.82235308909416194</v>
      </c>
      <c r="CM100" s="147">
        <v>0.83680002582073221</v>
      </c>
      <c r="CN100" s="147">
        <v>0.85137772345542917</v>
      </c>
      <c r="CO100" s="147">
        <v>0.85871271967887886</v>
      </c>
      <c r="CP100" s="147">
        <v>0.85871271967887886</v>
      </c>
      <c r="CQ100" s="147">
        <v>0.86607689297199242</v>
      </c>
      <c r="CR100" s="147">
        <v>0.86607689297199242</v>
      </c>
      <c r="CS100" s="147">
        <v>0.75918235146999358</v>
      </c>
      <c r="CT100" s="147">
        <v>0.74559548330307002</v>
      </c>
      <c r="CU100" s="147">
        <v>0.74559548330307002</v>
      </c>
      <c r="CV100" s="147">
        <v>0.74559548330307002</v>
      </c>
      <c r="CW100" s="147">
        <v>0.83680002582073221</v>
      </c>
      <c r="CY100" s="147">
        <v>0.86260625076293951</v>
      </c>
      <c r="CZ100" s="147">
        <v>0.86999186027050035</v>
      </c>
      <c r="DA100" s="147">
        <v>0.86260625076293951</v>
      </c>
      <c r="DB100" s="147">
        <v>0.85524910378456109</v>
      </c>
      <c r="DC100" s="147">
        <v>0.85524910378456109</v>
      </c>
      <c r="DD100" s="147">
        <v>0.84792196750640869</v>
      </c>
      <c r="DE100" s="147">
        <v>0.85524910378456109</v>
      </c>
      <c r="DF100" s="147">
        <v>0.86999186027050035</v>
      </c>
      <c r="DG100" s="147">
        <v>0.86260625076293951</v>
      </c>
      <c r="DH100" s="147">
        <v>0.877404860496521</v>
      </c>
      <c r="DI100" s="147">
        <v>0.85524910378456109</v>
      </c>
      <c r="DJ100" s="147">
        <v>0.86260625076293951</v>
      </c>
      <c r="DL100" s="147">
        <v>0.89587096834182722</v>
      </c>
      <c r="DM100" s="147">
        <v>0.88839496946334851</v>
      </c>
      <c r="DN100" s="147">
        <v>0.89587096834182722</v>
      </c>
      <c r="DO100" s="147">
        <v>0.88839496946334851</v>
      </c>
      <c r="DP100" s="147">
        <v>0.81516838455200213</v>
      </c>
      <c r="DQ100" s="147">
        <v>0.81516838455200213</v>
      </c>
      <c r="DR100" s="147">
        <v>0.88839496946334851</v>
      </c>
      <c r="DU100" s="147">
        <v>0.77288509428501118</v>
      </c>
      <c r="DV100" s="147">
        <v>0.77288509428501118</v>
      </c>
      <c r="DX100" s="147">
        <v>0.70579450666904431</v>
      </c>
      <c r="DY100" s="147">
        <v>0.70579450666904431</v>
      </c>
      <c r="DZ100" s="147">
        <v>0.7320906682014463</v>
      </c>
      <c r="EA100" s="147">
        <v>0.91842948770523058</v>
      </c>
      <c r="EB100" s="147">
        <v>0.83680919575691215</v>
      </c>
      <c r="EC100" s="147">
        <v>0.75911339831352231</v>
      </c>
      <c r="ED100" s="147">
        <v>0.75911339831352231</v>
      </c>
      <c r="EE100" s="147">
        <v>0.75911339831352231</v>
      </c>
      <c r="EF100" s="147">
        <v>0.82956125438213335</v>
      </c>
      <c r="EG100" s="147">
        <v>0.75911339831352231</v>
      </c>
      <c r="EI100" s="147">
        <v>0.84408976781368272</v>
      </c>
      <c r="EJ100" s="147">
        <v>0.86611654996871945</v>
      </c>
      <c r="EK100" s="147">
        <v>0.84408976781368272</v>
      </c>
      <c r="EL100" s="147">
        <v>0.85140201783180247</v>
      </c>
      <c r="EM100" s="147">
        <v>0.84408976781368272</v>
      </c>
      <c r="EN100" s="147">
        <v>0.84408976781368272</v>
      </c>
      <c r="EO100" s="147">
        <v>0.84408976781368272</v>
      </c>
      <c r="EP100" s="147">
        <v>0.85874463582038874</v>
      </c>
      <c r="EQ100" s="147">
        <v>0.85140201783180247</v>
      </c>
      <c r="ES100" s="147">
        <v>0.69933779978752142</v>
      </c>
      <c r="ET100" s="147">
        <v>0.71229861140251161</v>
      </c>
      <c r="EU100" s="147">
        <v>0.72544710898399356</v>
      </c>
      <c r="EV100" s="147">
        <v>0.7320906682014463</v>
      </c>
      <c r="EW100" s="147">
        <v>0.7320906682014463</v>
      </c>
      <c r="EX100" s="147">
        <v>0.7320906682014463</v>
      </c>
      <c r="EY100" s="147">
        <v>0.73877960073947913</v>
      </c>
      <c r="EZ100" s="147">
        <v>0.71229861140251161</v>
      </c>
      <c r="FA100" s="147">
        <v>0.7320906682014463</v>
      </c>
      <c r="FB100" s="147">
        <v>0.73877960073947913</v>
      </c>
      <c r="FD100" s="147">
        <v>0.84062555646896364</v>
      </c>
      <c r="FE100" s="147">
        <v>0.84062555646896364</v>
      </c>
      <c r="FF100" s="147">
        <v>0.88484370326995854</v>
      </c>
      <c r="FG100" s="147">
        <v>0.84062555646896364</v>
      </c>
      <c r="FH100" s="147">
        <v>0.84062555646896364</v>
      </c>
      <c r="FI100" s="147">
        <v>0.84062555646896364</v>
      </c>
      <c r="FJ100" s="147">
        <v>0.88484370326995854</v>
      </c>
      <c r="FL100" s="147">
        <v>0.82470440363883979</v>
      </c>
      <c r="FM100" s="147">
        <v>0.81750636100769036</v>
      </c>
      <c r="FN100" s="147">
        <v>0.83193698239326475</v>
      </c>
      <c r="FO100" s="147">
        <v>0.8759978111982345</v>
      </c>
      <c r="FP100" s="147">
        <v>0.85383205091953296</v>
      </c>
      <c r="FQ100" s="147">
        <v>0.85383205091953296</v>
      </c>
      <c r="FR100" s="147">
        <v>0.84650205647945409</v>
      </c>
      <c r="FS100" s="147">
        <v>0.84650205647945409</v>
      </c>
      <c r="FT100" s="147">
        <v>0.85383205091953296</v>
      </c>
      <c r="FV100" s="147">
        <v>0.86119217514991764</v>
      </c>
      <c r="FW100" s="147">
        <v>0.86119217514991764</v>
      </c>
      <c r="FX100" s="147">
        <v>0.85383205091953296</v>
      </c>
      <c r="FY100" s="147">
        <v>0.85383205091953296</v>
      </c>
      <c r="FZ100" s="147">
        <v>0.85383205091953296</v>
      </c>
      <c r="GA100" s="147">
        <v>0.89840020346641558</v>
      </c>
      <c r="GB100" s="147">
        <v>0.85383205091953296</v>
      </c>
      <c r="GC100" s="147">
        <v>0.86858123826980582</v>
      </c>
      <c r="GD100" s="147">
        <v>0.85383205091953296</v>
      </c>
      <c r="GE100" s="147">
        <v>0.86119217514991764</v>
      </c>
      <c r="GG100" s="147">
        <v>0.84841118955612194</v>
      </c>
      <c r="GH100" s="147">
        <v>0.84841118955612194</v>
      </c>
      <c r="GI100" s="147">
        <v>0.84841118955612194</v>
      </c>
      <c r="GJ100" s="147">
        <v>0.84841118955612194</v>
      </c>
      <c r="GK100" s="147">
        <v>0.92288298034667959</v>
      </c>
      <c r="GL100" s="147">
        <v>0.84111323034763319</v>
      </c>
      <c r="GM100" s="147">
        <v>0.84841118955612194</v>
      </c>
      <c r="GN100" s="147">
        <v>0.84841118955612194</v>
      </c>
      <c r="GP100" s="147">
        <v>0.73832979750633232</v>
      </c>
      <c r="GQ100" s="147">
        <v>0.73164360404014572</v>
      </c>
      <c r="GR100" s="147">
        <v>0.73832979750633232</v>
      </c>
      <c r="GS100" s="147">
        <v>0.74506100702285771</v>
      </c>
      <c r="GT100" s="147">
        <v>0.72500278389453876</v>
      </c>
      <c r="GU100" s="147">
        <v>0.72500278389453876</v>
      </c>
      <c r="GW100" s="147">
        <v>0.84360638117790221</v>
      </c>
      <c r="GX100" s="147">
        <v>0.83632747638225546</v>
      </c>
      <c r="GY100" s="147">
        <v>0.83632747638225546</v>
      </c>
      <c r="GZ100" s="147">
        <v>0.85091684484481811</v>
      </c>
      <c r="HA100" s="147">
        <v>0.85825803375244147</v>
      </c>
      <c r="HB100" s="147">
        <v>0.84360638117790221</v>
      </c>
      <c r="HC100" s="147">
        <v>0.85091684484481811</v>
      </c>
      <c r="HE100" s="147">
        <v>0.76551806282997137</v>
      </c>
      <c r="HF100" s="147">
        <v>0.75183651804924012</v>
      </c>
      <c r="HG100" s="147">
        <v>0.74506100702285771</v>
      </c>
      <c r="HH100" s="147">
        <v>0.76551806282997137</v>
      </c>
      <c r="HI100" s="147">
        <v>0.75865585422515891</v>
      </c>
      <c r="HK100" s="147">
        <v>0.79338216435909281</v>
      </c>
      <c r="HL100" s="147">
        <v>0.78635549235343905</v>
      </c>
      <c r="HN100" s="147">
        <v>0.82577002167701696</v>
      </c>
      <c r="HO100" s="147">
        <v>0.82577002167701696</v>
      </c>
      <c r="HP100" s="147">
        <v>0.81857316994667051</v>
      </c>
      <c r="HQ100" s="147">
        <v>0.81141204524040234</v>
      </c>
      <c r="HR100" s="147">
        <v>0.79015160775184623</v>
      </c>
      <c r="HS100" s="147">
        <v>0.81857316994667051</v>
      </c>
      <c r="HU100" s="147">
        <v>0.81141204524040234</v>
      </c>
      <c r="HV100" s="147">
        <v>0.78314244198799132</v>
      </c>
      <c r="HW100" s="147">
        <v>0.81857316994667051</v>
      </c>
      <c r="HX100" s="147">
        <v>0.79720031142234804</v>
      </c>
      <c r="HY100" s="147">
        <v>0.76924582052230828</v>
      </c>
      <c r="HZ100" s="147">
        <v>0.76924582052230828</v>
      </c>
      <c r="IA100" s="147">
        <v>0.79015160775184623</v>
      </c>
      <c r="IB100" s="147">
        <v>0.79720031142234804</v>
      </c>
      <c r="IC100" s="147">
        <v>0.79015160775184623</v>
      </c>
      <c r="IE100" s="147">
        <v>0.73524965167045586</v>
      </c>
      <c r="IF100" s="147">
        <v>0.72858358442783366</v>
      </c>
      <c r="IG100" s="147">
        <v>0.7219632477760316</v>
      </c>
      <c r="IH100" s="147">
        <v>0.72858358442783366</v>
      </c>
      <c r="II100" s="147">
        <v>0.7219632477760316</v>
      </c>
      <c r="IJ100" s="147">
        <v>0.71538923716545111</v>
      </c>
      <c r="IK100" s="147">
        <v>0.7219632477760316</v>
      </c>
      <c r="IL100" s="147">
        <v>0.7219632477760316</v>
      </c>
      <c r="IM100" s="147">
        <v>0.73524965167045586</v>
      </c>
      <c r="IN100" s="147">
        <v>0.72858358442783366</v>
      </c>
      <c r="IO100" s="147">
        <v>0.7219632477760316</v>
      </c>
      <c r="IP100" s="147">
        <v>0.7219632477760316</v>
      </c>
      <c r="IR100" s="147">
        <v>0.90343461751937859</v>
      </c>
      <c r="IS100" s="147">
        <v>0.91094896340370179</v>
      </c>
      <c r="IT100" s="147">
        <v>0.89594170784950244</v>
      </c>
      <c r="IV100" s="147">
        <v>0.77304312682151788</v>
      </c>
      <c r="IW100" s="147">
        <v>0.77304312682151788</v>
      </c>
      <c r="IY100" s="147">
        <v>0.75928024351596823</v>
      </c>
      <c r="IZ100" s="147">
        <v>0.77304312682151788</v>
      </c>
      <c r="JA100" s="147">
        <v>0.76614066576957685</v>
      </c>
      <c r="JB100" s="147">
        <v>0.75246269369125351</v>
      </c>
      <c r="JC100" s="147">
        <v>0.77304312682151788</v>
      </c>
      <c r="JD100" s="147">
        <v>0.77304312682151788</v>
      </c>
      <c r="JE100" s="147">
        <v>0.76614066576957685</v>
      </c>
      <c r="JG100" s="147">
        <v>0.71574793648719792</v>
      </c>
      <c r="JH100" s="147">
        <v>0.72894335556030265</v>
      </c>
      <c r="JI100" s="147">
        <v>0.72232266163825987</v>
      </c>
      <c r="JJ100" s="147">
        <v>0.72894335556030265</v>
      </c>
      <c r="JK100" s="147">
        <v>0.73561001825332639</v>
      </c>
      <c r="JM100" s="147">
        <v>0.86999186027050035</v>
      </c>
      <c r="JN100" s="147">
        <v>0.877404860496521</v>
      </c>
      <c r="JO100" s="147">
        <v>0.86999186027050035</v>
      </c>
      <c r="JQ100" s="147">
        <v>0.83336153793334944</v>
      </c>
      <c r="JR100" s="147">
        <v>0.79756210708618158</v>
      </c>
      <c r="JS100" s="147">
        <v>0.78350447583198557</v>
      </c>
      <c r="JT100" s="147">
        <v>0.82613074553012833</v>
      </c>
      <c r="JU100" s="147">
        <v>0.82613074553012833</v>
      </c>
      <c r="JV100" s="147">
        <v>0.76960761618614182</v>
      </c>
      <c r="JW100" s="147">
        <v>0.77653556251525879</v>
      </c>
      <c r="JX100" s="147">
        <v>0.78350447583198557</v>
      </c>
    </row>
    <row r="101" spans="1:285" s="147" customFormat="1" x14ac:dyDescent="0.2">
      <c r="A101" s="147" t="s">
        <v>1880</v>
      </c>
      <c r="C101" s="147">
        <v>6.6745736748157536E-2</v>
      </c>
      <c r="D101" s="147">
        <v>6.4625935666861103E-2</v>
      </c>
      <c r="E101" s="147">
        <v>6.4625935666861103E-2</v>
      </c>
      <c r="F101" s="147">
        <v>6.4625935666861103E-2</v>
      </c>
      <c r="G101" s="147">
        <v>6.7071190544993969E-2</v>
      </c>
      <c r="H101" s="147">
        <v>6.7071190544993969E-2</v>
      </c>
      <c r="J101" s="147">
        <v>6.4625935666861103E-2</v>
      </c>
      <c r="L101" s="147">
        <v>6.5648620314230341E-2</v>
      </c>
      <c r="O101" s="147">
        <v>7.3364469194347498E-2</v>
      </c>
      <c r="P101" s="147">
        <v>7.4327864020645854E-2</v>
      </c>
      <c r="Q101" s="147">
        <v>7.4568801365273218E-2</v>
      </c>
      <c r="U101" s="147">
        <v>5.8657490741653689E-2</v>
      </c>
      <c r="V101" s="147">
        <v>6.343593550062733E-2</v>
      </c>
      <c r="W101" s="147">
        <v>7.219186665109599E-2</v>
      </c>
      <c r="X101" s="147">
        <v>7.2778105734800716E-2</v>
      </c>
      <c r="Y101" s="147">
        <v>7.2778105734800716E-2</v>
      </c>
      <c r="Z101" s="147">
        <v>7.4568801365273218E-2</v>
      </c>
      <c r="AB101" s="147">
        <v>8.2447692898593009E-2</v>
      </c>
      <c r="AD101" s="147">
        <v>7.5091168711525741E-2</v>
      </c>
      <c r="AE101" s="147">
        <v>8.2162222829107498E-2</v>
      </c>
      <c r="AG101" s="147">
        <v>7.0010232562915262E-2</v>
      </c>
      <c r="AH101" s="147">
        <v>7.0010232562915262E-2</v>
      </c>
      <c r="AK101" s="147">
        <v>6.1660519493986814E-2</v>
      </c>
      <c r="AL101" s="147">
        <v>6.3880003598257337E-2</v>
      </c>
      <c r="AM101" s="147">
        <v>6.2921589905354167E-2</v>
      </c>
      <c r="AN101" s="147">
        <v>6.3516924746912035E-2</v>
      </c>
      <c r="AO101" s="147">
        <v>6.3637515351893242E-2</v>
      </c>
      <c r="AP101" s="147">
        <v>6.1246976397848318E-2</v>
      </c>
      <c r="AQ101" s="147">
        <v>6.0879292860034642E-2</v>
      </c>
      <c r="AR101" s="147">
        <v>6.0879292860034642E-2</v>
      </c>
      <c r="AS101" s="147">
        <v>6.0879292860034642E-2</v>
      </c>
      <c r="AT101" s="147">
        <v>6.0879292860034642E-2</v>
      </c>
      <c r="AU101" s="147">
        <v>6.0908643437477046E-2</v>
      </c>
      <c r="AV101" s="147">
        <v>6.4553631531465205E-2</v>
      </c>
      <c r="AW101" s="147">
        <v>6.6291780275901352E-2</v>
      </c>
      <c r="AX101" s="147">
        <v>6.4553631531465205E-2</v>
      </c>
      <c r="AY101" s="147">
        <v>6.1562595119163198E-2</v>
      </c>
      <c r="AZ101" s="147">
        <v>6.1562595119163198E-2</v>
      </c>
      <c r="BA101" s="147">
        <v>6.1562595119163198E-2</v>
      </c>
      <c r="BB101" s="147">
        <v>6.7960512335297624E-2</v>
      </c>
      <c r="BC101" s="147">
        <v>6.8230436140560541E-2</v>
      </c>
      <c r="BD101" s="147">
        <v>6.6662961679697486E-2</v>
      </c>
      <c r="BE101" s="147">
        <v>6.6662961679697486E-2</v>
      </c>
      <c r="BF101" s="147">
        <v>6.6662961679697486E-2</v>
      </c>
      <c r="BG101" s="147">
        <v>5.9725481240403243E-2</v>
      </c>
      <c r="BH101" s="147">
        <v>6.7960512335297624E-2</v>
      </c>
      <c r="BI101" s="147">
        <v>5.9725481240403243E-2</v>
      </c>
      <c r="BJ101" s="147">
        <v>6.7724548441583043E-2</v>
      </c>
      <c r="BK101" s="147">
        <v>6.840492774075721E-2</v>
      </c>
      <c r="BL101" s="147">
        <v>6.7088040087374443E-2</v>
      </c>
      <c r="BN101" s="147">
        <v>7.863174805906778E-2</v>
      </c>
      <c r="BO101" s="147">
        <v>7.891114334371109E-2</v>
      </c>
      <c r="BP101" s="147">
        <v>7.8737362866610816E-2</v>
      </c>
      <c r="BR101" s="147">
        <v>7.8457043904279988E-2</v>
      </c>
      <c r="BS101" s="147">
        <v>7.7996718243887375E-2</v>
      </c>
      <c r="BU101" s="147">
        <v>7.8186090389175428E-2</v>
      </c>
      <c r="CA101" s="147">
        <v>5.5774581785072538E-2</v>
      </c>
      <c r="CB101" s="147">
        <v>5.4612300848456891E-2</v>
      </c>
      <c r="CC101" s="147">
        <v>5.4612300848456891E-2</v>
      </c>
      <c r="CH101" s="147">
        <v>6.7390495259598365E-2</v>
      </c>
      <c r="CI101" s="147">
        <v>6.8966321559561894E-2</v>
      </c>
      <c r="CJ101" s="147">
        <v>6.9860616323965938E-2</v>
      </c>
      <c r="CK101" s="147">
        <v>6.6102705143007021E-2</v>
      </c>
      <c r="CL101" s="147">
        <v>6.5440499627156076E-2</v>
      </c>
      <c r="CM101" s="147">
        <v>7.0144492962562727E-2</v>
      </c>
      <c r="CN101" s="147">
        <v>6.7629750817999282E-2</v>
      </c>
      <c r="CO101" s="147">
        <v>6.7800117114729608E-2</v>
      </c>
      <c r="CP101" s="147">
        <v>6.7800117114729608E-2</v>
      </c>
      <c r="CQ101" s="147">
        <v>6.8243097977853051E-2</v>
      </c>
      <c r="CR101" s="147">
        <v>6.8243097977853051E-2</v>
      </c>
      <c r="CS101" s="147">
        <v>6.1866969416074648E-2</v>
      </c>
      <c r="CT101" s="147">
        <v>5.8602936598347914E-2</v>
      </c>
      <c r="CU101" s="147">
        <v>5.6202721531315038E-2</v>
      </c>
      <c r="CV101" s="147">
        <v>5.6202721531315038E-2</v>
      </c>
      <c r="CW101" s="147">
        <v>6.6255611101235914E-2</v>
      </c>
      <c r="CY101" s="147">
        <v>7.2169639131999502E-2</v>
      </c>
      <c r="CZ101" s="147">
        <v>7.1036614223999678E-2</v>
      </c>
      <c r="DA101" s="147">
        <v>7.2703924393379069E-2</v>
      </c>
      <c r="DB101" s="147">
        <v>7.2219905485508495E-2</v>
      </c>
      <c r="DC101" s="147">
        <v>7.0366652585910947E-2</v>
      </c>
      <c r="DD101" s="147">
        <v>6.5155248473795238E-2</v>
      </c>
      <c r="DE101" s="147">
        <v>7.195537892146156E-2</v>
      </c>
      <c r="DF101" s="147">
        <v>7.2656896679097555E-2</v>
      </c>
      <c r="DG101" s="147">
        <v>7.2436809356889009E-2</v>
      </c>
      <c r="DH101" s="147">
        <v>7.1789350490381057E-2</v>
      </c>
      <c r="DI101" s="147">
        <v>7.195537892146156E-2</v>
      </c>
      <c r="DJ101" s="147">
        <v>7.2970991791491788E-2</v>
      </c>
      <c r="DL101" s="147">
        <v>6.5559637420172345E-2</v>
      </c>
      <c r="DM101" s="147">
        <v>6.113468449403095E-2</v>
      </c>
      <c r="DN101" s="147">
        <v>6.1239456267976E-2</v>
      </c>
      <c r="DO101" s="147">
        <v>6.0845994069063727E-2</v>
      </c>
      <c r="DP101" s="147">
        <v>6.6550330988694992E-2</v>
      </c>
      <c r="DQ101" s="147">
        <v>6.2732224901785733E-2</v>
      </c>
      <c r="DR101" s="147">
        <v>6.5691534246264907E-2</v>
      </c>
      <c r="DU101" s="147">
        <v>6.7100458219114478E-2</v>
      </c>
      <c r="DV101" s="147">
        <v>6.6623842549758241E-2</v>
      </c>
      <c r="DX101" s="147">
        <v>6.3741910150684991E-2</v>
      </c>
      <c r="DY101" s="147">
        <v>6.3741910150684991E-2</v>
      </c>
      <c r="DZ101" s="147">
        <v>6.4877762326508909E-2</v>
      </c>
      <c r="EA101" s="147">
        <v>7.6175248411038274E-2</v>
      </c>
      <c r="EB101" s="147">
        <v>7.03944082587422E-2</v>
      </c>
      <c r="EC101" s="147">
        <v>6.6333078048557301E-2</v>
      </c>
      <c r="ED101" s="147">
        <v>6.6333078048557301E-2</v>
      </c>
      <c r="EE101" s="147">
        <v>6.5864422146362844E-2</v>
      </c>
      <c r="EF101" s="147">
        <v>7.020126606093792E-2</v>
      </c>
      <c r="EG101" s="147">
        <v>6.6098819167466655E-2</v>
      </c>
      <c r="EI101" s="147">
        <v>7.3457209788975172E-2</v>
      </c>
      <c r="EJ101" s="147">
        <v>7.3881783172810897E-2</v>
      </c>
      <c r="EK101" s="147">
        <v>7.3457209788975172E-2</v>
      </c>
      <c r="EL101" s="147">
        <v>7.5525588455559067E-2</v>
      </c>
      <c r="EM101" s="147">
        <v>7.3457209788975172E-2</v>
      </c>
      <c r="EN101" s="147">
        <v>7.0329552473963733E-2</v>
      </c>
      <c r="EO101" s="147">
        <v>7.3457209788975172E-2</v>
      </c>
      <c r="EP101" s="147">
        <v>7.4446791694300615E-2</v>
      </c>
      <c r="EQ101" s="147">
        <v>7.3684676687101949E-2</v>
      </c>
      <c r="ES101" s="147">
        <v>5.990402015027825E-2</v>
      </c>
      <c r="ET101" s="147">
        <v>5.9833671049993986E-2</v>
      </c>
      <c r="EU101" s="147">
        <v>5.9991804611750743E-2</v>
      </c>
      <c r="EV101" s="147">
        <v>6.0073477217264228E-2</v>
      </c>
      <c r="EW101" s="147">
        <v>5.9377653363376137E-2</v>
      </c>
      <c r="EX101" s="147">
        <v>5.9145040073628079E-2</v>
      </c>
      <c r="EY101" s="147">
        <v>5.9454843479462297E-2</v>
      </c>
      <c r="EZ101" s="147">
        <v>5.8475064235272239E-2</v>
      </c>
      <c r="FA101" s="147">
        <v>5.9609924475028123E-2</v>
      </c>
      <c r="FB101" s="147">
        <v>6.0156877334436906E-2</v>
      </c>
      <c r="FD101" s="147">
        <v>6.3425826926836029E-2</v>
      </c>
      <c r="FE101" s="147">
        <v>6.3425826926836029E-2</v>
      </c>
      <c r="FF101" s="147">
        <v>6.6461013081218295E-2</v>
      </c>
      <c r="FG101" s="147">
        <v>6.3160354545600761E-2</v>
      </c>
      <c r="FH101" s="147">
        <v>6.3690960047679226E-2</v>
      </c>
      <c r="FI101" s="147">
        <v>6.3425826926836029E-2</v>
      </c>
      <c r="FJ101" s="147">
        <v>6.6461013081218295E-2</v>
      </c>
      <c r="FL101" s="147">
        <v>6.8790676537669709E-2</v>
      </c>
      <c r="FM101" s="147">
        <v>6.8361931440177839E-2</v>
      </c>
      <c r="FN101" s="147">
        <v>6.8454182845455555E-2</v>
      </c>
      <c r="FO101" s="147">
        <v>7.2011491891184776E-2</v>
      </c>
      <c r="FP101" s="147">
        <v>7.4283287505665749E-2</v>
      </c>
      <c r="FQ101" s="147">
        <v>7.4283287505665749E-2</v>
      </c>
      <c r="FR101" s="147">
        <v>7.3787796849250006E-2</v>
      </c>
      <c r="FS101" s="147">
        <v>7.3787796849250006E-2</v>
      </c>
      <c r="FT101" s="147">
        <v>7.4283287505665749E-2</v>
      </c>
      <c r="FV101" s="147">
        <v>7.0248375282117664E-2</v>
      </c>
      <c r="FW101" s="147">
        <v>7.0248375282117664E-2</v>
      </c>
      <c r="FX101" s="147">
        <v>6.9788039619736064E-2</v>
      </c>
      <c r="FY101" s="147">
        <v>6.9788039619736064E-2</v>
      </c>
      <c r="FZ101" s="147">
        <v>7.0053091050731861E-2</v>
      </c>
      <c r="GA101" s="147">
        <v>7.2111058104541742E-2</v>
      </c>
      <c r="GB101" s="147">
        <v>7.0053091050731861E-2</v>
      </c>
      <c r="GC101" s="147">
        <v>6.9093050749482895E-2</v>
      </c>
      <c r="GD101" s="147">
        <v>6.9788039619736064E-2</v>
      </c>
      <c r="GE101" s="147">
        <v>7.3987364876159603E-2</v>
      </c>
      <c r="GG101" s="147">
        <v>6.7815706646445442E-2</v>
      </c>
      <c r="GH101" s="147">
        <v>6.5963166311611171E-2</v>
      </c>
      <c r="GI101" s="147">
        <v>6.5697588858960376E-2</v>
      </c>
      <c r="GJ101" s="147">
        <v>6.6228492050422805E-2</v>
      </c>
      <c r="GK101" s="147">
        <v>7.0228273576788139E-2</v>
      </c>
      <c r="GL101" s="147">
        <v>6.5548864468262413E-2</v>
      </c>
      <c r="GM101" s="147">
        <v>6.5963166311611171E-2</v>
      </c>
      <c r="GN101" s="147">
        <v>6.5963166311611171E-2</v>
      </c>
      <c r="GP101" s="147">
        <v>5.944878742924168E-2</v>
      </c>
      <c r="GQ101" s="147">
        <v>5.9139223553638084E-2</v>
      </c>
      <c r="GR101" s="147">
        <v>5.8743999927000058E-2</v>
      </c>
      <c r="GS101" s="147">
        <v>5.8816322329152168E-2</v>
      </c>
      <c r="GT101" s="147">
        <v>5.8603873874759883E-2</v>
      </c>
      <c r="GU101" s="147">
        <v>5.8835017639757639E-2</v>
      </c>
      <c r="GW101" s="147">
        <v>6.6387134797546613E-2</v>
      </c>
      <c r="GX101" s="147">
        <v>6.5710119538478995E-2</v>
      </c>
      <c r="GY101" s="147">
        <v>6.5448795478217303E-2</v>
      </c>
      <c r="GZ101" s="147">
        <v>6.5478754507032957E-2</v>
      </c>
      <c r="HA101" s="147">
        <v>6.6972606221563619E-2</v>
      </c>
      <c r="HB101" s="147">
        <v>6.6123705642710973E-2</v>
      </c>
      <c r="HC101" s="147">
        <v>6.6544491197837258E-2</v>
      </c>
      <c r="HE101" s="147">
        <v>6.2905175739745842E-2</v>
      </c>
      <c r="HF101" s="147">
        <v>6.2683308236118826E-2</v>
      </c>
      <c r="HG101" s="147">
        <v>6.2342724379695749E-2</v>
      </c>
      <c r="HH101" s="147">
        <v>6.3144079910433748E-2</v>
      </c>
      <c r="HI101" s="147">
        <v>6.2318948251318361E-2</v>
      </c>
      <c r="HK101" s="147">
        <v>5.5503137835256747E-2</v>
      </c>
      <c r="HL101" s="147">
        <v>5.7511279439140937E-2</v>
      </c>
      <c r="HN101" s="147">
        <v>6.4462057865568981E-2</v>
      </c>
      <c r="HO101" s="147">
        <v>6.4720477147755792E-2</v>
      </c>
      <c r="HP101" s="147">
        <v>6.4071369607959186E-2</v>
      </c>
      <c r="HQ101" s="147">
        <v>6.1387292749365545E-2</v>
      </c>
      <c r="HR101" s="147">
        <v>6.0831947000760778E-2</v>
      </c>
      <c r="HS101" s="147">
        <v>6.3814896324742243E-2</v>
      </c>
      <c r="HU101" s="147">
        <v>5.0955426636441238E-2</v>
      </c>
      <c r="HV101" s="147">
        <v>5.1761117418005417E-2</v>
      </c>
      <c r="HW101" s="147">
        <v>5.9138556918753422E-2</v>
      </c>
      <c r="HX101" s="147">
        <v>5.8126197155872639E-2</v>
      </c>
      <c r="HY101" s="147">
        <v>5.8836883046947029E-2</v>
      </c>
      <c r="HZ101" s="147">
        <v>5.33050069483356E-2</v>
      </c>
      <c r="IA101" s="147">
        <v>6.3810574606077128E-2</v>
      </c>
      <c r="IB101" s="147">
        <v>6.4681982135027155E-2</v>
      </c>
      <c r="IC101" s="147">
        <v>5.8309931512918592E-2</v>
      </c>
      <c r="IE101" s="147">
        <v>6.0110444516217644E-2</v>
      </c>
      <c r="IF101" s="147">
        <v>5.9797383808409044E-2</v>
      </c>
      <c r="IG101" s="147">
        <v>5.7877983069327295E-2</v>
      </c>
      <c r="IH101" s="147">
        <v>6.0027962599947873E-2</v>
      </c>
      <c r="II101" s="147">
        <v>5.9947212794464452E-2</v>
      </c>
      <c r="IJ101" s="147">
        <v>6.3235731338427123E-2</v>
      </c>
      <c r="IK101" s="147">
        <v>6.4465365618400911E-2</v>
      </c>
      <c r="IL101" s="147">
        <v>5.6481384067216048E-2</v>
      </c>
      <c r="IM101" s="147">
        <v>5.8943963871731619E-2</v>
      </c>
      <c r="IN101" s="147">
        <v>5.887176944072145E-2</v>
      </c>
      <c r="IO101" s="147">
        <v>6.0631120837435229E-2</v>
      </c>
      <c r="IP101" s="147">
        <v>6.3343750259017714E-2</v>
      </c>
      <c r="IR101" s="147">
        <v>7.2275186227964666E-2</v>
      </c>
      <c r="IS101" s="147">
        <v>7.1925961117186812E-2</v>
      </c>
      <c r="IT101" s="147">
        <v>7.1215746319757176E-2</v>
      </c>
      <c r="IV101" s="147">
        <v>5.6151347616400976E-2</v>
      </c>
      <c r="IW101" s="147">
        <v>5.6654778221486228E-2</v>
      </c>
      <c r="IY101" s="147">
        <v>5.1499278508714066E-2</v>
      </c>
      <c r="IZ101" s="147">
        <v>5.2821450565037321E-2</v>
      </c>
      <c r="JA101" s="147">
        <v>5.2026255000109822E-2</v>
      </c>
      <c r="JB101" s="147">
        <v>5.2005512934420559E-2</v>
      </c>
      <c r="JC101" s="147">
        <v>5.2560705617259472E-2</v>
      </c>
      <c r="JD101" s="147">
        <v>5.2037039022780944E-2</v>
      </c>
      <c r="JE101" s="147">
        <v>5.1765873801947561E-2</v>
      </c>
      <c r="JG101" s="147">
        <v>5.1697932381266985E-2</v>
      </c>
      <c r="JH101" s="147">
        <v>5.3183153481769996E-2</v>
      </c>
      <c r="JI101" s="147">
        <v>5.2436415116333172E-2</v>
      </c>
      <c r="JJ101" s="147">
        <v>5.121304444064969E-2</v>
      </c>
      <c r="JK101" s="147">
        <v>5.2462713071285284E-2</v>
      </c>
      <c r="JM101" s="147">
        <v>5.9754352180596555E-2</v>
      </c>
      <c r="JN101" s="147">
        <v>6.0415856215989876E-2</v>
      </c>
      <c r="JO101" s="147">
        <v>5.9187052106914224E-2</v>
      </c>
      <c r="JQ101" s="147">
        <v>7.4925474604892281E-2</v>
      </c>
      <c r="JR101" s="147">
        <v>7.1580195320643594E-2</v>
      </c>
      <c r="JS101" s="147">
        <v>7.0949515232406724E-2</v>
      </c>
      <c r="JT101" s="147">
        <v>7.3672589843317718E-2</v>
      </c>
      <c r="JU101" s="147">
        <v>7.3672589843317718E-2</v>
      </c>
      <c r="JV101" s="147">
        <v>6.939631061614325E-2</v>
      </c>
      <c r="JW101" s="147">
        <v>7.0761588260489422E-2</v>
      </c>
      <c r="JX101" s="147">
        <v>7.0949515232406724E-2</v>
      </c>
    </row>
    <row r="102" spans="1:285" s="147" customFormat="1" x14ac:dyDescent="0.2">
      <c r="A102" s="147" t="s">
        <v>1881</v>
      </c>
      <c r="C102" s="147">
        <v>5.6637622778644495E-2</v>
      </c>
      <c r="D102" s="147">
        <v>5.5789342827981515E-2</v>
      </c>
      <c r="E102" s="147">
        <v>5.5789342827981515E-2</v>
      </c>
      <c r="F102" s="147">
        <v>5.5789342827981515E-2</v>
      </c>
      <c r="G102" s="147">
        <v>5.790024708476741E-2</v>
      </c>
      <c r="H102" s="147">
        <v>5.790024708476741E-2</v>
      </c>
      <c r="J102" s="147">
        <v>5.5789342827981515E-2</v>
      </c>
      <c r="L102" s="147">
        <v>5.4749259310002858E-2</v>
      </c>
      <c r="O102" s="147">
        <v>5.7520339439988098E-2</v>
      </c>
      <c r="P102" s="147">
        <v>5.8275675068146356E-2</v>
      </c>
      <c r="Q102" s="147">
        <v>5.8464578470555258E-2</v>
      </c>
      <c r="U102" s="147">
        <v>4.5580084459025935E-2</v>
      </c>
      <c r="V102" s="147">
        <v>5.1532242558988577E-2</v>
      </c>
      <c r="W102" s="147">
        <v>6.7189593142001097E-2</v>
      </c>
      <c r="X102" s="147">
        <v>5.5046649993147442E-2</v>
      </c>
      <c r="Y102" s="147">
        <v>5.5046649993147442E-2</v>
      </c>
      <c r="Z102" s="147">
        <v>5.8464578470555258E-2</v>
      </c>
      <c r="AB102" s="147">
        <v>5.5912414680583646E-2</v>
      </c>
      <c r="AD102" s="147">
        <v>4.6462905900148205E-2</v>
      </c>
      <c r="AE102" s="147">
        <v>5.4318761664664969E-2</v>
      </c>
      <c r="AG102" s="147">
        <v>6.4775943198246796E-2</v>
      </c>
      <c r="AH102" s="147">
        <v>6.4775943198246796E-2</v>
      </c>
      <c r="AK102" s="147">
        <v>4.5940070373183518E-2</v>
      </c>
      <c r="AL102" s="147">
        <v>4.9782401941778368E-2</v>
      </c>
      <c r="AM102" s="147">
        <v>4.816514081325525E-2</v>
      </c>
      <c r="AN102" s="147">
        <v>4.9058841364939355E-2</v>
      </c>
      <c r="AO102" s="147">
        <v>4.9593428136727055E-2</v>
      </c>
      <c r="AP102" s="147">
        <v>5.1214323561104197E-2</v>
      </c>
      <c r="AQ102" s="147">
        <v>5.0466337192991886E-2</v>
      </c>
      <c r="AR102" s="147">
        <v>5.0466337192991886E-2</v>
      </c>
      <c r="AS102" s="147">
        <v>5.0466337192991886E-2</v>
      </c>
      <c r="AT102" s="147">
        <v>5.0466337192991886E-2</v>
      </c>
      <c r="AU102" s="147">
        <v>4.6206849244869688E-2</v>
      </c>
      <c r="AV102" s="147">
        <v>5.4448568749981524E-2</v>
      </c>
      <c r="AW102" s="147">
        <v>5.6398592567599562E-2</v>
      </c>
      <c r="AX102" s="147">
        <v>5.4448568749981524E-2</v>
      </c>
      <c r="AY102" s="147">
        <v>5.0589371504051212E-2</v>
      </c>
      <c r="AZ102" s="147">
        <v>5.0589371504051212E-2</v>
      </c>
      <c r="BA102" s="147">
        <v>5.0589371504051212E-2</v>
      </c>
      <c r="BB102" s="147">
        <v>5.8816725046805129E-2</v>
      </c>
      <c r="BC102" s="147">
        <v>5.9050331794197039E-2</v>
      </c>
      <c r="BD102" s="147">
        <v>5.6227709673082854E-2</v>
      </c>
      <c r="BE102" s="147">
        <v>5.6227709673082854E-2</v>
      </c>
      <c r="BF102" s="147">
        <v>5.6227709673082854E-2</v>
      </c>
      <c r="BG102" s="147">
        <v>4.7802028983137346E-2</v>
      </c>
      <c r="BH102" s="147">
        <v>5.8816725046805129E-2</v>
      </c>
      <c r="BI102" s="147">
        <v>4.7802028983137346E-2</v>
      </c>
      <c r="BJ102" s="147">
        <v>5.5652987571813195E-2</v>
      </c>
      <c r="BK102" s="147">
        <v>5.6704767530135432E-2</v>
      </c>
      <c r="BL102" s="147">
        <v>5.7076020938029819E-2</v>
      </c>
      <c r="BN102" s="147">
        <v>4.6290153374836399E-2</v>
      </c>
      <c r="BO102" s="147">
        <v>4.6605061685067749E-2</v>
      </c>
      <c r="BP102" s="147">
        <v>4.6408604916606838E-2</v>
      </c>
      <c r="BR102" s="147">
        <v>4.5821843681856052E-2</v>
      </c>
      <c r="BS102" s="147">
        <v>4.424539134549995E-2</v>
      </c>
      <c r="BU102" s="147">
        <v>4.4201886703884079E-2</v>
      </c>
      <c r="CA102" s="147">
        <v>3.0881438316603428E-2</v>
      </c>
      <c r="CB102" s="147">
        <v>2.8580836683439668E-2</v>
      </c>
      <c r="CC102" s="147">
        <v>2.8580836683439668E-2</v>
      </c>
      <c r="CH102" s="147">
        <v>5.5904439448972269E-2</v>
      </c>
      <c r="CI102" s="147">
        <v>6.0239939329282059E-2</v>
      </c>
      <c r="CJ102" s="147">
        <v>6.050466552696887E-2</v>
      </c>
      <c r="CK102" s="147">
        <v>5.4836140658191208E-2</v>
      </c>
      <c r="CL102" s="147">
        <v>5.3815197020257152E-2</v>
      </c>
      <c r="CM102" s="147">
        <v>5.869691352225466E-2</v>
      </c>
      <c r="CN102" s="147">
        <v>5.7578463289286175E-2</v>
      </c>
      <c r="CO102" s="147">
        <v>5.822082296213596E-2</v>
      </c>
      <c r="CP102" s="147">
        <v>5.822082296213596E-2</v>
      </c>
      <c r="CQ102" s="147">
        <v>5.9103770263442226E-2</v>
      </c>
      <c r="CR102" s="147">
        <v>5.9103770263442226E-2</v>
      </c>
      <c r="CS102" s="147">
        <v>4.6968311319617727E-2</v>
      </c>
      <c r="CT102" s="147">
        <v>4.3694084836024383E-2</v>
      </c>
      <c r="CU102" s="147">
        <v>4.1904495323088695E-2</v>
      </c>
      <c r="CV102" s="147">
        <v>4.1904495323088695E-2</v>
      </c>
      <c r="CW102" s="147">
        <v>5.5442697080282606E-2</v>
      </c>
      <c r="CY102" s="147">
        <v>6.2253981830568413E-2</v>
      </c>
      <c r="CZ102" s="147">
        <v>6.1801276156055365E-2</v>
      </c>
      <c r="DA102" s="147">
        <v>6.2714859636724934E-2</v>
      </c>
      <c r="DB102" s="147">
        <v>6.176600944188685E-2</v>
      </c>
      <c r="DC102" s="147">
        <v>6.0181016560419909E-2</v>
      </c>
      <c r="DD102" s="147">
        <v>5.5246566479269392E-2</v>
      </c>
      <c r="DE102" s="147">
        <v>6.1539773335058501E-2</v>
      </c>
      <c r="DF102" s="147">
        <v>6.3210908703329627E-2</v>
      </c>
      <c r="DG102" s="147">
        <v>6.2484444536575846E-2</v>
      </c>
      <c r="DH102" s="147">
        <v>6.2988325052148644E-2</v>
      </c>
      <c r="DI102" s="147">
        <v>6.1539773335058501E-2</v>
      </c>
      <c r="DJ102" s="147">
        <v>6.2945233643711962E-2</v>
      </c>
      <c r="DL102" s="147">
        <v>5.873297585974889E-2</v>
      </c>
      <c r="DM102" s="147">
        <v>5.4311746164226071E-2</v>
      </c>
      <c r="DN102" s="147">
        <v>5.4862650987518642E-2</v>
      </c>
      <c r="DO102" s="147">
        <v>5.4055275042952954E-2</v>
      </c>
      <c r="DP102" s="147">
        <v>5.4249725803455544E-2</v>
      </c>
      <c r="DQ102" s="147">
        <v>5.1137326432541555E-2</v>
      </c>
      <c r="DR102" s="147">
        <v>5.8360028560711028E-2</v>
      </c>
      <c r="DU102" s="147">
        <v>5.1860943977247748E-2</v>
      </c>
      <c r="DV102" s="147">
        <v>5.149257483069964E-2</v>
      </c>
      <c r="DX102" s="147">
        <v>4.4988690028945261E-2</v>
      </c>
      <c r="DY102" s="147">
        <v>4.4988690028945261E-2</v>
      </c>
      <c r="DZ102" s="147">
        <v>4.7496404373028524E-2</v>
      </c>
      <c r="EA102" s="147">
        <v>6.9961594373968566E-2</v>
      </c>
      <c r="EB102" s="147">
        <v>5.8906688160781796E-2</v>
      </c>
      <c r="EC102" s="147">
        <v>5.035432829803644E-2</v>
      </c>
      <c r="ED102" s="147">
        <v>5.035432829803644E-2</v>
      </c>
      <c r="EE102" s="147">
        <v>4.9998565323481917E-2</v>
      </c>
      <c r="EF102" s="147">
        <v>5.8236250332725545E-2</v>
      </c>
      <c r="EG102" s="147">
        <v>5.0176499242726595E-2</v>
      </c>
      <c r="EI102" s="147">
        <v>6.2004479155017035E-2</v>
      </c>
      <c r="EJ102" s="147">
        <v>6.3990235147171962E-2</v>
      </c>
      <c r="EK102" s="147">
        <v>6.2004479155017035E-2</v>
      </c>
      <c r="EL102" s="147">
        <v>6.4302638408997276E-2</v>
      </c>
      <c r="EM102" s="147">
        <v>6.2004479155017035E-2</v>
      </c>
      <c r="EN102" s="147">
        <v>5.9364455618188261E-2</v>
      </c>
      <c r="EO102" s="147">
        <v>6.2004479155017035E-2</v>
      </c>
      <c r="EP102" s="147">
        <v>6.3930783021518528E-2</v>
      </c>
      <c r="EQ102" s="147">
        <v>6.2735282414682569E-2</v>
      </c>
      <c r="ES102" s="147">
        <v>4.1893145650322941E-2</v>
      </c>
      <c r="ET102" s="147">
        <v>4.2619440804025376E-2</v>
      </c>
      <c r="EU102" s="147">
        <v>4.3520881218327187E-2</v>
      </c>
      <c r="EV102" s="147">
        <v>4.3979232077171332E-2</v>
      </c>
      <c r="EW102" s="147">
        <v>4.3469825927027889E-2</v>
      </c>
      <c r="EX102" s="147">
        <v>4.3299531908303698E-2</v>
      </c>
      <c r="EY102" s="147">
        <v>4.3924025527785376E-2</v>
      </c>
      <c r="EZ102" s="147">
        <v>4.1651707056457085E-2</v>
      </c>
      <c r="FA102" s="147">
        <v>4.3639869440361086E-2</v>
      </c>
      <c r="FB102" s="147">
        <v>4.444267381886912E-2</v>
      </c>
      <c r="FD102" s="147">
        <v>5.3317371054875717E-2</v>
      </c>
      <c r="FE102" s="147">
        <v>5.3317371054875717E-2</v>
      </c>
      <c r="FF102" s="147">
        <v>5.8807608937858351E-2</v>
      </c>
      <c r="FG102" s="147">
        <v>5.3094208186672674E-2</v>
      </c>
      <c r="FH102" s="147">
        <v>5.3540248732122882E-2</v>
      </c>
      <c r="FI102" s="147">
        <v>5.3317371054875717E-2</v>
      </c>
      <c r="FJ102" s="147">
        <v>5.8807608937858351E-2</v>
      </c>
      <c r="FL102" s="147">
        <v>5.6731973869911224E-2</v>
      </c>
      <c r="FM102" s="147">
        <v>5.5886313803117003E-2</v>
      </c>
      <c r="FN102" s="147">
        <v>5.6949566308645082E-2</v>
      </c>
      <c r="FO102" s="147">
        <v>6.3081909277797277E-2</v>
      </c>
      <c r="FP102" s="147">
        <v>6.3425451720007908E-2</v>
      </c>
      <c r="FQ102" s="147">
        <v>6.3425451720007908E-2</v>
      </c>
      <c r="FR102" s="147">
        <v>6.2461521775978315E-2</v>
      </c>
      <c r="FS102" s="147">
        <v>6.2461521775978315E-2</v>
      </c>
      <c r="FT102" s="147">
        <v>6.3425451720007908E-2</v>
      </c>
      <c r="FV102" s="147">
        <v>6.049735110995462E-2</v>
      </c>
      <c r="FW102" s="147">
        <v>6.049735110995462E-2</v>
      </c>
      <c r="FX102" s="147">
        <v>5.9587264998172865E-2</v>
      </c>
      <c r="FY102" s="147">
        <v>5.9587264998172865E-2</v>
      </c>
      <c r="FZ102" s="147">
        <v>5.9813574405099164E-2</v>
      </c>
      <c r="GA102" s="147">
        <v>6.4784589273298818E-2</v>
      </c>
      <c r="GB102" s="147">
        <v>5.9813574405099164E-2</v>
      </c>
      <c r="GC102" s="147">
        <v>6.0012927575824389E-2</v>
      </c>
      <c r="GD102" s="147">
        <v>5.9587264998172865E-2</v>
      </c>
      <c r="GE102" s="147">
        <v>6.3717339691310507E-2</v>
      </c>
      <c r="GG102" s="147">
        <v>5.7535604346499784E-2</v>
      </c>
      <c r="GH102" s="147">
        <v>5.5963888397322345E-2</v>
      </c>
      <c r="GI102" s="147">
        <v>5.5738569514799594E-2</v>
      </c>
      <c r="GJ102" s="147">
        <v>5.6188993723007376E-2</v>
      </c>
      <c r="GK102" s="147">
        <v>6.4812478423148204E-2</v>
      </c>
      <c r="GL102" s="147">
        <v>5.5134017138519391E-2</v>
      </c>
      <c r="GM102" s="147">
        <v>5.5963888397322345E-2</v>
      </c>
      <c r="GN102" s="147">
        <v>5.5963888397322345E-2</v>
      </c>
      <c r="GP102" s="147">
        <v>4.3892811184629003E-2</v>
      </c>
      <c r="GQ102" s="147">
        <v>4.3268834660919644E-2</v>
      </c>
      <c r="GR102" s="147">
        <v>4.3372445570813954E-2</v>
      </c>
      <c r="GS102" s="147">
        <v>4.3821748343939107E-2</v>
      </c>
      <c r="GT102" s="147">
        <v>4.2487971706205344E-2</v>
      </c>
      <c r="GU102" s="147">
        <v>4.265555157930858E-2</v>
      </c>
      <c r="GW102" s="147">
        <v>5.6004610543327886E-2</v>
      </c>
      <c r="GX102" s="147">
        <v>5.4955178446392472E-2</v>
      </c>
      <c r="GY102" s="147">
        <v>5.4736625954555848E-2</v>
      </c>
      <c r="GZ102" s="147">
        <v>5.5716975189492896E-2</v>
      </c>
      <c r="HA102" s="147">
        <v>5.747977733099572E-2</v>
      </c>
      <c r="HB102" s="147">
        <v>5.5782380027320236E-2</v>
      </c>
      <c r="HC102" s="147">
        <v>5.6623828491867451E-2</v>
      </c>
      <c r="HE102" s="147">
        <v>4.8155048274269148E-2</v>
      </c>
      <c r="HF102" s="147">
        <v>4.712760020405083E-2</v>
      </c>
      <c r="HG102" s="147">
        <v>4.644913300688458E-2</v>
      </c>
      <c r="HH102" s="147">
        <v>4.8337933732216155E-2</v>
      </c>
      <c r="HI102" s="147">
        <v>4.7278634920017402E-2</v>
      </c>
      <c r="HK102" s="147">
        <v>4.4035199624457053E-2</v>
      </c>
      <c r="HL102" s="147">
        <v>4.5224310459241884E-2</v>
      </c>
      <c r="HN102" s="147">
        <v>5.323083492099602E-2</v>
      </c>
      <c r="HO102" s="147">
        <v>5.3444229817249181E-2</v>
      </c>
      <c r="HP102" s="147">
        <v>5.2447104122811915E-2</v>
      </c>
      <c r="HQ102" s="147">
        <v>4.981038876153402E-2</v>
      </c>
      <c r="HR102" s="147">
        <v>4.8066460725326228E-2</v>
      </c>
      <c r="HS102" s="147">
        <v>5.2237161974362394E-2</v>
      </c>
      <c r="HU102" s="147">
        <v>4.134584694317206E-2</v>
      </c>
      <c r="HV102" s="147">
        <v>4.0536327894763913E-2</v>
      </c>
      <c r="HW102" s="147">
        <v>4.8409236003055592E-2</v>
      </c>
      <c r="HX102" s="147">
        <v>4.6338222474458471E-2</v>
      </c>
      <c r="HY102" s="147">
        <v>4.5260026376423859E-2</v>
      </c>
      <c r="HZ102" s="147">
        <v>4.1004653807919761E-2</v>
      </c>
      <c r="IA102" s="147">
        <v>5.0420028116560975E-2</v>
      </c>
      <c r="IB102" s="147">
        <v>5.1564496301458401E-2</v>
      </c>
      <c r="IC102" s="147">
        <v>4.6073686132832671E-2</v>
      </c>
      <c r="IE102" s="147">
        <v>4.4196183392305285E-2</v>
      </c>
      <c r="IF102" s="147">
        <v>4.3567392234537566E-2</v>
      </c>
      <c r="IG102" s="147">
        <v>4.1785776631457702E-2</v>
      </c>
      <c r="IH102" s="147">
        <v>4.3735388156969965E-2</v>
      </c>
      <c r="II102" s="147">
        <v>4.327968444421243E-2</v>
      </c>
      <c r="IJ102" s="147">
        <v>4.5238161603796789E-2</v>
      </c>
      <c r="IK102" s="147">
        <v>4.6541624730930042E-2</v>
      </c>
      <c r="IL102" s="147">
        <v>4.0777483480052702E-2</v>
      </c>
      <c r="IM102" s="147">
        <v>4.333852890476661E-2</v>
      </c>
      <c r="IN102" s="147">
        <v>4.2893004800729835E-2</v>
      </c>
      <c r="IO102" s="147">
        <v>4.3773440916095765E-2</v>
      </c>
      <c r="IP102" s="147">
        <v>4.5731859663314271E-2</v>
      </c>
      <c r="IR102" s="147">
        <v>6.529590522600312E-2</v>
      </c>
      <c r="IS102" s="147">
        <v>6.5520879721516281E-2</v>
      </c>
      <c r="IT102" s="147">
        <v>6.3805157383500163E-2</v>
      </c>
      <c r="IV102" s="147">
        <v>4.3407413336624595E-2</v>
      </c>
      <c r="IW102" s="147">
        <v>4.3796586905717347E-2</v>
      </c>
      <c r="IY102" s="147">
        <v>3.9102384726993088E-2</v>
      </c>
      <c r="IZ102" s="147">
        <v>4.0833259308044684E-2</v>
      </c>
      <c r="JA102" s="147">
        <v>3.9859429643281916E-2</v>
      </c>
      <c r="JB102" s="147">
        <v>3.9132208349429418E-2</v>
      </c>
      <c r="JC102" s="147">
        <v>4.0631692218311581E-2</v>
      </c>
      <c r="JD102" s="147">
        <v>4.0226875356703926E-2</v>
      </c>
      <c r="JE102" s="147">
        <v>3.9659941018767998E-2</v>
      </c>
      <c r="JG102" s="147">
        <v>3.7002688422546538E-2</v>
      </c>
      <c r="JH102" s="147">
        <v>3.8767506358280017E-2</v>
      </c>
      <c r="JI102" s="147">
        <v>3.7876010933598464E-2</v>
      </c>
      <c r="JJ102" s="147">
        <v>3.7331408463026086E-2</v>
      </c>
      <c r="JK102" s="147">
        <v>3.8592097319987195E-2</v>
      </c>
      <c r="JM102" s="147">
        <v>5.1985800012855826E-2</v>
      </c>
      <c r="JN102" s="147">
        <v>5.3009165894968471E-2</v>
      </c>
      <c r="JO102" s="147">
        <v>5.1492253566421342E-2</v>
      </c>
      <c r="JQ102" s="147">
        <v>6.244000874711915E-2</v>
      </c>
      <c r="JR102" s="147">
        <v>5.7089651405572941E-2</v>
      </c>
      <c r="JS102" s="147">
        <v>5.5589262742700304E-2</v>
      </c>
      <c r="JT102" s="147">
        <v>6.0863191572395427E-2</v>
      </c>
      <c r="JU102" s="147">
        <v>6.0863191572395427E-2</v>
      </c>
      <c r="JV102" s="147">
        <v>5.3407929185403054E-2</v>
      </c>
      <c r="JW102" s="147">
        <v>5.4948889744332284E-2</v>
      </c>
      <c r="JX102" s="147">
        <v>5.5589262742700304E-2</v>
      </c>
    </row>
    <row r="103" spans="1:285" s="147" customFormat="1" x14ac:dyDescent="0.2">
      <c r="A103" s="147" t="s">
        <v>1882</v>
      </c>
      <c r="C103" s="147">
        <v>1.0108113969513041E-2</v>
      </c>
      <c r="D103" s="147">
        <v>8.8365928388795881E-3</v>
      </c>
      <c r="E103" s="147">
        <v>8.8365928388795881E-3</v>
      </c>
      <c r="F103" s="147">
        <v>8.8365928388795881E-3</v>
      </c>
      <c r="G103" s="147">
        <v>9.1709434602265591E-3</v>
      </c>
      <c r="H103" s="147">
        <v>9.1709434602265591E-3</v>
      </c>
      <c r="J103" s="147">
        <v>8.8365928388795881E-3</v>
      </c>
      <c r="L103" s="147">
        <v>1.0899361004227483E-2</v>
      </c>
      <c r="O103" s="147">
        <v>1.58441297543594E-2</v>
      </c>
      <c r="P103" s="147">
        <v>1.6052188952499498E-2</v>
      </c>
      <c r="Q103" s="147">
        <v>1.6104222894717961E-2</v>
      </c>
      <c r="U103" s="147">
        <v>1.3077406282627754E-2</v>
      </c>
      <c r="V103" s="147">
        <v>1.1903692941638754E-2</v>
      </c>
      <c r="W103" s="147">
        <v>5.0022735090948928E-3</v>
      </c>
      <c r="X103" s="147">
        <v>1.7731455741653274E-2</v>
      </c>
      <c r="Y103" s="147">
        <v>1.7731455741653274E-2</v>
      </c>
      <c r="Z103" s="147">
        <v>1.6104222894717961E-2</v>
      </c>
      <c r="AB103" s="147">
        <v>2.6535278218009363E-2</v>
      </c>
      <c r="AD103" s="147">
        <v>2.8628262811377536E-2</v>
      </c>
      <c r="AE103" s="147">
        <v>2.7843461164442529E-2</v>
      </c>
      <c r="AG103" s="147">
        <v>5.2342893646684652E-3</v>
      </c>
      <c r="AH103" s="147">
        <v>5.2342893646684652E-3</v>
      </c>
      <c r="AK103" s="147">
        <v>1.5720449120803295E-2</v>
      </c>
      <c r="AL103" s="147">
        <v>1.409760165647897E-2</v>
      </c>
      <c r="AM103" s="147">
        <v>1.4756449092098917E-2</v>
      </c>
      <c r="AN103" s="147">
        <v>1.4458083381972679E-2</v>
      </c>
      <c r="AO103" s="147">
        <v>1.4044087215166187E-2</v>
      </c>
      <c r="AP103" s="147">
        <v>1.0032652836744121E-2</v>
      </c>
      <c r="AQ103" s="147">
        <v>1.0412955667042756E-2</v>
      </c>
      <c r="AR103" s="147">
        <v>1.0412955667042756E-2</v>
      </c>
      <c r="AS103" s="147">
        <v>1.0412955667042756E-2</v>
      </c>
      <c r="AT103" s="147">
        <v>1.0412955667042756E-2</v>
      </c>
      <c r="AU103" s="147">
        <v>1.4701794192607358E-2</v>
      </c>
      <c r="AV103" s="147">
        <v>1.0105062781483681E-2</v>
      </c>
      <c r="AW103" s="147">
        <v>9.89318770830179E-3</v>
      </c>
      <c r="AX103" s="147">
        <v>1.0105062781483681E-2</v>
      </c>
      <c r="AY103" s="147">
        <v>1.0973223615111986E-2</v>
      </c>
      <c r="AZ103" s="147">
        <v>1.0973223615111986E-2</v>
      </c>
      <c r="BA103" s="147">
        <v>1.0973223615111986E-2</v>
      </c>
      <c r="BB103" s="147">
        <v>9.1437872884924942E-3</v>
      </c>
      <c r="BC103" s="147">
        <v>9.1801043463635018E-3</v>
      </c>
      <c r="BD103" s="147">
        <v>1.0435252006614631E-2</v>
      </c>
      <c r="BE103" s="147">
        <v>1.0435252006614631E-2</v>
      </c>
      <c r="BF103" s="147">
        <v>1.0435252006614631E-2</v>
      </c>
      <c r="BG103" s="147">
        <v>1.1923452257265897E-2</v>
      </c>
      <c r="BH103" s="147">
        <v>9.1437872884924942E-3</v>
      </c>
      <c r="BI103" s="147">
        <v>1.1923452257265897E-2</v>
      </c>
      <c r="BJ103" s="147">
        <v>1.2071560869769848E-2</v>
      </c>
      <c r="BK103" s="147">
        <v>1.1700160210621778E-2</v>
      </c>
      <c r="BL103" s="147">
        <v>1.0012019149344624E-2</v>
      </c>
      <c r="BN103" s="147">
        <v>3.2341594684231381E-2</v>
      </c>
      <c r="BO103" s="147">
        <v>3.2306081658643342E-2</v>
      </c>
      <c r="BP103" s="147">
        <v>3.2328757950003978E-2</v>
      </c>
      <c r="BR103" s="147">
        <v>3.2635200222423937E-2</v>
      </c>
      <c r="BS103" s="147">
        <v>3.3751326898387425E-2</v>
      </c>
      <c r="BU103" s="147">
        <v>3.3984203685291349E-2</v>
      </c>
      <c r="CA103" s="147">
        <v>2.489314346846911E-2</v>
      </c>
      <c r="CB103" s="147">
        <v>2.6031464165017223E-2</v>
      </c>
      <c r="CC103" s="147">
        <v>2.6031464165017223E-2</v>
      </c>
      <c r="CH103" s="147">
        <v>1.1486055810626096E-2</v>
      </c>
      <c r="CI103" s="147">
        <v>8.7263822302798347E-3</v>
      </c>
      <c r="CJ103" s="147">
        <v>9.3559507969970673E-3</v>
      </c>
      <c r="CK103" s="147">
        <v>1.1266564484815812E-2</v>
      </c>
      <c r="CL103" s="147">
        <v>1.1625302606898924E-2</v>
      </c>
      <c r="CM103" s="147">
        <v>1.1447579440308067E-2</v>
      </c>
      <c r="CN103" s="147">
        <v>1.0051287528713107E-2</v>
      </c>
      <c r="CO103" s="147">
        <v>9.5792941525936481E-3</v>
      </c>
      <c r="CP103" s="147">
        <v>9.5792941525936481E-3</v>
      </c>
      <c r="CQ103" s="147">
        <v>9.1393277144108248E-3</v>
      </c>
      <c r="CR103" s="147">
        <v>9.1393277144108248E-3</v>
      </c>
      <c r="CS103" s="147">
        <v>1.4898658096456921E-2</v>
      </c>
      <c r="CT103" s="147">
        <v>1.4908851762323531E-2</v>
      </c>
      <c r="CU103" s="147">
        <v>1.4298226208226343E-2</v>
      </c>
      <c r="CV103" s="147">
        <v>1.4298226208226343E-2</v>
      </c>
      <c r="CW103" s="147">
        <v>1.0812914020953308E-2</v>
      </c>
      <c r="CY103" s="147">
        <v>9.9156573014310898E-3</v>
      </c>
      <c r="CZ103" s="147">
        <v>9.2353380679443126E-3</v>
      </c>
      <c r="DA103" s="147">
        <v>9.9890647566541341E-3</v>
      </c>
      <c r="DB103" s="147">
        <v>1.0453896043621645E-2</v>
      </c>
      <c r="DC103" s="147">
        <v>1.0185636025491038E-2</v>
      </c>
      <c r="DD103" s="147">
        <v>9.9086819945258461E-3</v>
      </c>
      <c r="DE103" s="147">
        <v>1.0415605586403059E-2</v>
      </c>
      <c r="DF103" s="147">
        <v>9.4459879757679277E-3</v>
      </c>
      <c r="DG103" s="147">
        <v>9.9523648203131629E-3</v>
      </c>
      <c r="DH103" s="147">
        <v>8.8010254382324127E-3</v>
      </c>
      <c r="DI103" s="147">
        <v>1.0415605586403059E-2</v>
      </c>
      <c r="DJ103" s="147">
        <v>1.0025758147779826E-2</v>
      </c>
      <c r="DL103" s="147">
        <v>6.8266615604234554E-3</v>
      </c>
      <c r="DM103" s="147">
        <v>6.8229383298048785E-3</v>
      </c>
      <c r="DN103" s="147">
        <v>6.376805280457358E-3</v>
      </c>
      <c r="DO103" s="147">
        <v>6.7907190261107739E-3</v>
      </c>
      <c r="DP103" s="147">
        <v>1.2300605185239448E-2</v>
      </c>
      <c r="DQ103" s="147">
        <v>1.1594898469244178E-2</v>
      </c>
      <c r="DR103" s="147">
        <v>7.3315056855538796E-3</v>
      </c>
      <c r="DU103" s="147">
        <v>1.5239514241866731E-2</v>
      </c>
      <c r="DV103" s="147">
        <v>1.5131267719058601E-2</v>
      </c>
      <c r="DX103" s="147">
        <v>1.875322012173973E-2</v>
      </c>
      <c r="DY103" s="147">
        <v>1.875322012173973E-2</v>
      </c>
      <c r="DZ103" s="147">
        <v>1.7381357953480385E-2</v>
      </c>
      <c r="EA103" s="147">
        <v>6.2136540370697074E-3</v>
      </c>
      <c r="EB103" s="147">
        <v>1.1487720097960404E-2</v>
      </c>
      <c r="EC103" s="147">
        <v>1.5978749750520861E-2</v>
      </c>
      <c r="ED103" s="147">
        <v>1.5978749750520861E-2</v>
      </c>
      <c r="EE103" s="147">
        <v>1.5865856822880928E-2</v>
      </c>
      <c r="EF103" s="147">
        <v>1.1965015728212375E-2</v>
      </c>
      <c r="EG103" s="147">
        <v>1.592231992474006E-2</v>
      </c>
      <c r="EI103" s="147">
        <v>1.1452730633958137E-2</v>
      </c>
      <c r="EJ103" s="147">
        <v>9.8915480256389354E-3</v>
      </c>
      <c r="EK103" s="147">
        <v>1.1452730633958137E-2</v>
      </c>
      <c r="EL103" s="147">
        <v>1.1222950046561792E-2</v>
      </c>
      <c r="EM103" s="147">
        <v>1.1452730633958137E-2</v>
      </c>
      <c r="EN103" s="147">
        <v>1.0965096855775472E-2</v>
      </c>
      <c r="EO103" s="147">
        <v>1.1452730633958137E-2</v>
      </c>
      <c r="EP103" s="147">
        <v>1.0516008672782087E-2</v>
      </c>
      <c r="EQ103" s="147">
        <v>1.094939427241938E-2</v>
      </c>
      <c r="ES103" s="147">
        <v>1.8010874499955309E-2</v>
      </c>
      <c r="ET103" s="147">
        <v>1.7214230245968611E-2</v>
      </c>
      <c r="EU103" s="147">
        <v>1.6470923393423556E-2</v>
      </c>
      <c r="EV103" s="147">
        <v>1.6094245140092896E-2</v>
      </c>
      <c r="EW103" s="147">
        <v>1.5907827436348249E-2</v>
      </c>
      <c r="EX103" s="147">
        <v>1.584550816532438E-2</v>
      </c>
      <c r="EY103" s="147">
        <v>1.553081795167692E-2</v>
      </c>
      <c r="EZ103" s="147">
        <v>1.6823357178815154E-2</v>
      </c>
      <c r="FA103" s="147">
        <v>1.5970055034667037E-2</v>
      </c>
      <c r="FB103" s="147">
        <v>1.5714203515567786E-2</v>
      </c>
      <c r="FD103" s="147">
        <v>1.0108455871960312E-2</v>
      </c>
      <c r="FE103" s="147">
        <v>1.0108455871960312E-2</v>
      </c>
      <c r="FF103" s="147">
        <v>7.6534041433599445E-3</v>
      </c>
      <c r="FG103" s="147">
        <v>1.0066146358928087E-2</v>
      </c>
      <c r="FH103" s="147">
        <v>1.0150711315556345E-2</v>
      </c>
      <c r="FI103" s="147">
        <v>1.0108455871960312E-2</v>
      </c>
      <c r="FJ103" s="147">
        <v>7.6534041433599445E-3</v>
      </c>
      <c r="FL103" s="147">
        <v>1.2058702667758485E-2</v>
      </c>
      <c r="FM103" s="147">
        <v>1.2475617637060836E-2</v>
      </c>
      <c r="FN103" s="147">
        <v>1.1504616536810473E-2</v>
      </c>
      <c r="FO103" s="147">
        <v>8.9295826133874989E-3</v>
      </c>
      <c r="FP103" s="147">
        <v>1.0857835785657841E-2</v>
      </c>
      <c r="FQ103" s="147">
        <v>1.0857835785657841E-2</v>
      </c>
      <c r="FR103" s="147">
        <v>1.1326275073271691E-2</v>
      </c>
      <c r="FS103" s="147">
        <v>1.1326275073271691E-2</v>
      </c>
      <c r="FT103" s="147">
        <v>1.0857835785657841E-2</v>
      </c>
      <c r="FV103" s="147">
        <v>9.7510241721630447E-3</v>
      </c>
      <c r="FW103" s="147">
        <v>9.7510241721630447E-3</v>
      </c>
      <c r="FX103" s="147">
        <v>1.0200774621563199E-2</v>
      </c>
      <c r="FY103" s="147">
        <v>1.0200774621563199E-2</v>
      </c>
      <c r="FZ103" s="147">
        <v>1.0239516645632697E-2</v>
      </c>
      <c r="GA103" s="147">
        <v>7.3264688312429244E-3</v>
      </c>
      <c r="GB103" s="147">
        <v>1.0239516645632697E-2</v>
      </c>
      <c r="GC103" s="147">
        <v>9.0801231736585067E-3</v>
      </c>
      <c r="GD103" s="147">
        <v>1.0200774621563199E-2</v>
      </c>
      <c r="GE103" s="147">
        <v>1.0270025184849096E-2</v>
      </c>
      <c r="GG103" s="147">
        <v>1.0280102299945658E-2</v>
      </c>
      <c r="GH103" s="147">
        <v>9.9992779142888261E-3</v>
      </c>
      <c r="GI103" s="147">
        <v>9.9590193441607827E-3</v>
      </c>
      <c r="GJ103" s="147">
        <v>1.0039498327415429E-2</v>
      </c>
      <c r="GK103" s="147">
        <v>5.4157951536399351E-3</v>
      </c>
      <c r="GL103" s="147">
        <v>1.0414847329743022E-2</v>
      </c>
      <c r="GM103" s="147">
        <v>9.9992779142888261E-3</v>
      </c>
      <c r="GN103" s="147">
        <v>9.9992779142888261E-3</v>
      </c>
      <c r="GP103" s="147">
        <v>1.5555976244612676E-2</v>
      </c>
      <c r="GQ103" s="147">
        <v>1.587038889271844E-2</v>
      </c>
      <c r="GR103" s="147">
        <v>1.5371554356186104E-2</v>
      </c>
      <c r="GS103" s="147">
        <v>1.4994573985213061E-2</v>
      </c>
      <c r="GT103" s="147">
        <v>1.611590216855454E-2</v>
      </c>
      <c r="GU103" s="147">
        <v>1.6179466060449059E-2</v>
      </c>
      <c r="GW103" s="147">
        <v>1.0382524254218727E-2</v>
      </c>
      <c r="GX103" s="147">
        <v>1.0754941092086523E-2</v>
      </c>
      <c r="GY103" s="147">
        <v>1.0712169523661455E-2</v>
      </c>
      <c r="GZ103" s="147">
        <v>9.7617793175400619E-3</v>
      </c>
      <c r="HA103" s="147">
        <v>9.492828890567899E-3</v>
      </c>
      <c r="HB103" s="147">
        <v>1.0341325615390737E-2</v>
      </c>
      <c r="HC103" s="147">
        <v>9.9206627059698071E-3</v>
      </c>
      <c r="HE103" s="147">
        <v>1.4750127465476694E-2</v>
      </c>
      <c r="HF103" s="147">
        <v>1.5555708032067996E-2</v>
      </c>
      <c r="HG103" s="147">
        <v>1.5893591372811169E-2</v>
      </c>
      <c r="HH103" s="147">
        <v>1.4806146178217593E-2</v>
      </c>
      <c r="HI103" s="147">
        <v>1.5040313331300958E-2</v>
      </c>
      <c r="HK103" s="147">
        <v>1.1467938210799694E-2</v>
      </c>
      <c r="HL103" s="147">
        <v>1.2286968979899053E-2</v>
      </c>
      <c r="HN103" s="147">
        <v>1.1231222944572961E-2</v>
      </c>
      <c r="HO103" s="147">
        <v>1.1276247330506611E-2</v>
      </c>
      <c r="HP103" s="147">
        <v>1.1624265485147271E-2</v>
      </c>
      <c r="HQ103" s="147">
        <v>1.1576903987831524E-2</v>
      </c>
      <c r="HR103" s="147">
        <v>1.276548627543455E-2</v>
      </c>
      <c r="HS103" s="147">
        <v>1.1577734350379849E-2</v>
      </c>
      <c r="HU103" s="147">
        <v>9.6095796932691782E-3</v>
      </c>
      <c r="HV103" s="147">
        <v>1.1224789523241505E-2</v>
      </c>
      <c r="HW103" s="147">
        <v>1.0729320915697831E-2</v>
      </c>
      <c r="HX103" s="147">
        <v>1.1787974681414168E-2</v>
      </c>
      <c r="HY103" s="147">
        <v>1.357685667052317E-2</v>
      </c>
      <c r="HZ103" s="147">
        <v>1.2300353140415839E-2</v>
      </c>
      <c r="IA103" s="147">
        <v>1.3390546489516153E-2</v>
      </c>
      <c r="IB103" s="147">
        <v>1.3117485833568754E-2</v>
      </c>
      <c r="IC103" s="147">
        <v>1.2236245380085921E-2</v>
      </c>
      <c r="IE103" s="147">
        <v>1.5914261123912359E-2</v>
      </c>
      <c r="IF103" s="147">
        <v>1.6229991573871477E-2</v>
      </c>
      <c r="IG103" s="147">
        <v>1.6092206437869593E-2</v>
      </c>
      <c r="IH103" s="147">
        <v>1.6292574442977908E-2</v>
      </c>
      <c r="II103" s="147">
        <v>1.6667528350252023E-2</v>
      </c>
      <c r="IJ103" s="147">
        <v>1.7997569734630334E-2</v>
      </c>
      <c r="IK103" s="147">
        <v>1.7923740887470868E-2</v>
      </c>
      <c r="IL103" s="147">
        <v>1.5703900587163346E-2</v>
      </c>
      <c r="IM103" s="147">
        <v>1.5605434966965009E-2</v>
      </c>
      <c r="IN103" s="147">
        <v>1.5978764639991615E-2</v>
      </c>
      <c r="IO103" s="147">
        <v>1.6857679921339463E-2</v>
      </c>
      <c r="IP103" s="147">
        <v>1.7611890595703443E-2</v>
      </c>
      <c r="IR103" s="147">
        <v>6.9792810019615459E-3</v>
      </c>
      <c r="IS103" s="147">
        <v>6.405081395670531E-3</v>
      </c>
      <c r="IT103" s="147">
        <v>7.4105889362570121E-3</v>
      </c>
      <c r="IV103" s="147">
        <v>1.2743934279776381E-2</v>
      </c>
      <c r="IW103" s="147">
        <v>1.2858191315768881E-2</v>
      </c>
      <c r="IY103" s="147">
        <v>1.2396893781720979E-2</v>
      </c>
      <c r="IZ103" s="147">
        <v>1.1988191256992638E-2</v>
      </c>
      <c r="JA103" s="147">
        <v>1.2166825356827907E-2</v>
      </c>
      <c r="JB103" s="147">
        <v>1.2873304584991141E-2</v>
      </c>
      <c r="JC103" s="147">
        <v>1.1929013398947891E-2</v>
      </c>
      <c r="JD103" s="147">
        <v>1.1810163666077018E-2</v>
      </c>
      <c r="JE103" s="147">
        <v>1.2105932783179563E-2</v>
      </c>
      <c r="JG103" s="147">
        <v>1.4695243958720447E-2</v>
      </c>
      <c r="JH103" s="147">
        <v>1.4415647123489979E-2</v>
      </c>
      <c r="JI103" s="147">
        <v>1.4560404182734708E-2</v>
      </c>
      <c r="JJ103" s="147">
        <v>1.3881635977623603E-2</v>
      </c>
      <c r="JK103" s="147">
        <v>1.3870615751298089E-2</v>
      </c>
      <c r="JM103" s="147">
        <v>7.768552167740729E-3</v>
      </c>
      <c r="JN103" s="147">
        <v>7.4066903210214044E-3</v>
      </c>
      <c r="JO103" s="147">
        <v>7.6947985404928823E-3</v>
      </c>
      <c r="JQ103" s="147">
        <v>1.2485465857773131E-2</v>
      </c>
      <c r="JR103" s="147">
        <v>1.4490543915070653E-2</v>
      </c>
      <c r="JS103" s="147">
        <v>1.5360252489706419E-2</v>
      </c>
      <c r="JT103" s="147">
        <v>1.2809398270922291E-2</v>
      </c>
      <c r="JU103" s="147">
        <v>1.2809398270922291E-2</v>
      </c>
      <c r="JV103" s="147">
        <v>1.5988381430740196E-2</v>
      </c>
      <c r="JW103" s="147">
        <v>1.5812698516157138E-2</v>
      </c>
      <c r="JX103" s="147">
        <v>1.5360252489706419E-2</v>
      </c>
    </row>
    <row r="104" spans="1:285" s="147" customFormat="1" x14ac:dyDescent="0.2"/>
    <row r="105" spans="1:285" s="147" customFormat="1" x14ac:dyDescent="0.2">
      <c r="AB105" s="147" t="s">
        <v>1871</v>
      </c>
      <c r="AC105" s="147" t="s">
        <v>1871</v>
      </c>
      <c r="AE105" s="147" t="s">
        <v>1871</v>
      </c>
      <c r="BO105" s="147" t="s">
        <v>1871</v>
      </c>
      <c r="BP105" s="147" t="s">
        <v>1871</v>
      </c>
      <c r="BQ105" s="147" t="s">
        <v>1871</v>
      </c>
      <c r="BT105" s="147" t="s">
        <v>1871</v>
      </c>
      <c r="BU105" s="147" t="s">
        <v>1871</v>
      </c>
    </row>
    <row r="106" spans="1:285" s="147" customFormat="1" x14ac:dyDescent="0.2">
      <c r="A106" s="147" t="s">
        <v>1883</v>
      </c>
      <c r="C106" s="147">
        <v>2.2280777560360562E-2</v>
      </c>
      <c r="D106" s="147">
        <v>2.1947071165876048E-2</v>
      </c>
      <c r="E106" s="147">
        <v>2.1947071165876048E-2</v>
      </c>
      <c r="F106" s="147">
        <v>2.1947071165876048E-2</v>
      </c>
      <c r="G106" s="147">
        <v>2.2777483635348525E-2</v>
      </c>
      <c r="H106" s="147">
        <v>2.2777483635348525E-2</v>
      </c>
      <c r="J106" s="147">
        <v>2.1947071165876048E-2</v>
      </c>
      <c r="L106" s="147">
        <v>2.153791081677648E-2</v>
      </c>
      <c r="O106" s="147">
        <v>2.2628031075167979E-2</v>
      </c>
      <c r="P106" s="147">
        <v>2.2925173933373445E-2</v>
      </c>
      <c r="Q106" s="147">
        <v>2.2999486986834704E-2</v>
      </c>
      <c r="U106" s="147">
        <v>1.7930832425349007E-2</v>
      </c>
      <c r="V106" s="147">
        <v>2.0272362739000706E-2</v>
      </c>
      <c r="W106" s="147">
        <v>2.6431836396433629E-2</v>
      </c>
      <c r="X106" s="147">
        <v>2.1654901879158545E-2</v>
      </c>
      <c r="Y106" s="147">
        <v>2.1654901879158545E-2</v>
      </c>
      <c r="Z106" s="147">
        <v>2.2999486986834704E-2</v>
      </c>
      <c r="AB106" s="147">
        <v>2.1995486626081476E-2</v>
      </c>
      <c r="AD106" s="147">
        <v>1.8278127159664356E-2</v>
      </c>
      <c r="AE106" s="147">
        <v>2.1368556564153273E-2</v>
      </c>
      <c r="AG106" s="147">
        <v>2.5482326249873531E-2</v>
      </c>
      <c r="AH106" s="147">
        <v>2.5482326249873531E-2</v>
      </c>
      <c r="AK106" s="147">
        <v>1.8072447939643375E-2</v>
      </c>
      <c r="AL106" s="147">
        <v>1.9583989752187333E-2</v>
      </c>
      <c r="AM106" s="147">
        <v>1.8947772451851978E-2</v>
      </c>
      <c r="AN106" s="147">
        <v>1.9299346939281793E-2</v>
      </c>
      <c r="AO106" s="147">
        <v>1.9509649002902373E-2</v>
      </c>
      <c r="AP106" s="147">
        <v>2.0147296005501688E-2</v>
      </c>
      <c r="AQ106" s="147">
        <v>1.9853044286088486E-2</v>
      </c>
      <c r="AR106" s="147">
        <v>1.9853044286088486E-2</v>
      </c>
      <c r="AS106" s="147">
        <v>1.9853044286088486E-2</v>
      </c>
      <c r="AT106" s="147">
        <v>1.9853044286088486E-2</v>
      </c>
      <c r="AU106" s="147">
        <v>1.817739656577259E-2</v>
      </c>
      <c r="AV106" s="147">
        <v>2.1419621609820895E-2</v>
      </c>
      <c r="AW106" s="147">
        <v>2.2186745030370509E-2</v>
      </c>
      <c r="AX106" s="147">
        <v>2.1419621609820895E-2</v>
      </c>
      <c r="AY106" s="147">
        <v>1.9901444977758032E-2</v>
      </c>
      <c r="AZ106" s="147">
        <v>1.9901444977758032E-2</v>
      </c>
      <c r="BA106" s="147">
        <v>1.9901444977758032E-2</v>
      </c>
      <c r="BB106" s="147">
        <v>2.3138018569714348E-2</v>
      </c>
      <c r="BC106" s="147">
        <v>2.322991755346197E-2</v>
      </c>
      <c r="BD106" s="147">
        <v>2.2119521097323784E-2</v>
      </c>
      <c r="BE106" s="147">
        <v>2.2119521097323784E-2</v>
      </c>
      <c r="BF106" s="147">
        <v>2.2119521097323784E-2</v>
      </c>
      <c r="BG106" s="147">
        <v>1.8804927227785779E-2</v>
      </c>
      <c r="BH106" s="147">
        <v>2.3138018569714348E-2</v>
      </c>
      <c r="BI106" s="147">
        <v>1.8804927227785779E-2</v>
      </c>
      <c r="BJ106" s="147">
        <v>2.1893430123353024E-2</v>
      </c>
      <c r="BK106" s="147">
        <v>2.2307191756418227E-2</v>
      </c>
      <c r="BL106" s="147">
        <v>2.2453239810591497E-2</v>
      </c>
      <c r="BN106" s="147">
        <v>1.8210167729154601E-2</v>
      </c>
      <c r="BO106" s="147">
        <v>1.8334050082755418E-2</v>
      </c>
      <c r="BP106" s="147">
        <v>1.82567655968685E-2</v>
      </c>
      <c r="BR106" s="147">
        <v>1.8025938526254684E-2</v>
      </c>
      <c r="BS106" s="147">
        <v>1.7405775070981542E-2</v>
      </c>
      <c r="BU106" s="147">
        <v>1.7388660700795585E-2</v>
      </c>
      <c r="CA106" s="147">
        <v>1.214850525357279E-2</v>
      </c>
      <c r="CB106" s="147">
        <v>1.12434673877736E-2</v>
      </c>
      <c r="CC106" s="147">
        <v>1.12434673877736E-2</v>
      </c>
      <c r="CH106" s="147">
        <v>2.1992349235195212E-2</v>
      </c>
      <c r="CI106" s="147">
        <v>2.3697899427929912E-2</v>
      </c>
      <c r="CJ106" s="147">
        <v>2.3802040548896657E-2</v>
      </c>
      <c r="CK106" s="147">
        <v>2.1572089228548714E-2</v>
      </c>
      <c r="CL106" s="147">
        <v>2.1170458351713061E-2</v>
      </c>
      <c r="CM106" s="147">
        <v>2.3090885695898126E-2</v>
      </c>
      <c r="CN106" s="147">
        <v>2.2650896522085195E-2</v>
      </c>
      <c r="CO106" s="147">
        <v>2.2903595563505921E-2</v>
      </c>
      <c r="CP106" s="147">
        <v>2.2903595563505921E-2</v>
      </c>
      <c r="CQ106" s="147">
        <v>2.3250939810188238E-2</v>
      </c>
      <c r="CR106" s="147">
        <v>2.3250939810188238E-2</v>
      </c>
      <c r="CS106" s="147">
        <v>1.8476949517958093E-2</v>
      </c>
      <c r="CT106" s="147">
        <v>1.7188895599305774E-2</v>
      </c>
      <c r="CU106" s="147">
        <v>1.6484885722021368E-2</v>
      </c>
      <c r="CV106" s="147">
        <v>1.6484885722021368E-2</v>
      </c>
      <c r="CW106" s="147">
        <v>2.1810703563956913E-2</v>
      </c>
      <c r="CY106" s="147">
        <v>2.4490207275023972E-2</v>
      </c>
      <c r="CZ106" s="147">
        <v>2.4312116565363372E-2</v>
      </c>
      <c r="DA106" s="147">
        <v>2.4671512834433015E-2</v>
      </c>
      <c r="DB106" s="147">
        <v>2.4298242928456955E-2</v>
      </c>
      <c r="DC106" s="147">
        <v>2.3674719692590575E-2</v>
      </c>
      <c r="DD106" s="147">
        <v>2.1733547389676186E-2</v>
      </c>
      <c r="DE106" s="147">
        <v>2.4209243494422356E-2</v>
      </c>
      <c r="DF106" s="147">
        <v>2.4866654480035607E-2</v>
      </c>
      <c r="DG106" s="147">
        <v>2.4580869418606145E-2</v>
      </c>
      <c r="DH106" s="147">
        <v>2.4779091892179143E-2</v>
      </c>
      <c r="DI106" s="147">
        <v>2.4209243494422356E-2</v>
      </c>
      <c r="DJ106" s="147">
        <v>2.4762140084546032E-2</v>
      </c>
      <c r="DL106" s="147">
        <v>2.3105072324513455E-2</v>
      </c>
      <c r="DM106" s="147">
        <v>2.1365796723660593E-2</v>
      </c>
      <c r="DN106" s="147">
        <v>2.1582518175277374E-2</v>
      </c>
      <c r="DO106" s="147">
        <v>2.1264903082236483E-2</v>
      </c>
      <c r="DP106" s="147">
        <v>2.1341398420999795E-2</v>
      </c>
      <c r="DQ106" s="147">
        <v>2.0117005964886889E-2</v>
      </c>
      <c r="DR106" s="147">
        <v>2.2958357907418726E-2</v>
      </c>
      <c r="DU106" s="147">
        <v>2.0401671188485435E-2</v>
      </c>
      <c r="DV106" s="147">
        <v>2.0256757779135336E-2</v>
      </c>
      <c r="DX106" s="147">
        <v>1.7698182693587455E-2</v>
      </c>
      <c r="DY106" s="147">
        <v>1.7698182693587455E-2</v>
      </c>
      <c r="DZ106" s="147">
        <v>1.8684697005881511E-2</v>
      </c>
      <c r="EA106" s="147">
        <v>2.7522319008811219E-2</v>
      </c>
      <c r="EB106" s="147">
        <v>2.3173409322941853E-2</v>
      </c>
      <c r="EC106" s="147">
        <v>1.9808980902937014E-2</v>
      </c>
      <c r="ED106" s="147">
        <v>1.9808980902937014E-2</v>
      </c>
      <c r="EE106" s="147">
        <v>1.9669026658542945E-2</v>
      </c>
      <c r="EF106" s="147">
        <v>2.2909664564914951E-2</v>
      </c>
      <c r="EG106" s="147">
        <v>1.9739024407047119E-2</v>
      </c>
      <c r="EI106" s="147">
        <v>2.4392054963151676E-2</v>
      </c>
      <c r="EJ106" s="147">
        <v>2.5173235128909611E-2</v>
      </c>
      <c r="EK106" s="147">
        <v>2.4392054963151676E-2</v>
      </c>
      <c r="EL106" s="147">
        <v>2.5296132016956359E-2</v>
      </c>
      <c r="EM106" s="147">
        <v>2.4392054963151676E-2</v>
      </c>
      <c r="EN106" s="147">
        <v>2.3353491296592255E-2</v>
      </c>
      <c r="EO106" s="147">
        <v>2.4392054963151676E-2</v>
      </c>
      <c r="EP106" s="147">
        <v>2.5149847148938208E-2</v>
      </c>
      <c r="EQ106" s="147">
        <v>2.4679546988243053E-2</v>
      </c>
      <c r="ES106" s="147">
        <v>1.6480420853584622E-2</v>
      </c>
      <c r="ET106" s="147">
        <v>1.6766139426662049E-2</v>
      </c>
      <c r="EU106" s="147">
        <v>1.7120758712741106E-2</v>
      </c>
      <c r="EV106" s="147">
        <v>1.7301070191745434E-2</v>
      </c>
      <c r="EW106" s="147">
        <v>1.7100673978726669E-2</v>
      </c>
      <c r="EX106" s="147">
        <v>1.7033681704600286E-2</v>
      </c>
      <c r="EY106" s="147">
        <v>1.7279352386752968E-2</v>
      </c>
      <c r="EZ106" s="147">
        <v>1.638544088549105E-2</v>
      </c>
      <c r="FA106" s="147">
        <v>1.7167567706081126E-2</v>
      </c>
      <c r="FB106" s="147">
        <v>1.7483384382425908E-2</v>
      </c>
      <c r="FD106" s="147">
        <v>2.0974617688665001E-2</v>
      </c>
      <c r="FE106" s="147">
        <v>2.0974617688665001E-2</v>
      </c>
      <c r="FF106" s="147">
        <v>2.3134432367015605E-2</v>
      </c>
      <c r="FG106" s="147">
        <v>2.088682724156949E-2</v>
      </c>
      <c r="FH106" s="147">
        <v>2.1062295943971056E-2</v>
      </c>
      <c r="FI106" s="147">
        <v>2.0974617688665001E-2</v>
      </c>
      <c r="FJ106" s="147">
        <v>2.3134432367015605E-2</v>
      </c>
      <c r="FL106" s="147">
        <v>2.2317894507964585E-2</v>
      </c>
      <c r="FM106" s="147">
        <v>2.1985218754365932E-2</v>
      </c>
      <c r="FN106" s="147">
        <v>2.2403493593667622E-2</v>
      </c>
      <c r="FO106" s="147">
        <v>2.4815907161121222E-2</v>
      </c>
      <c r="FP106" s="147">
        <v>2.4951053948043294E-2</v>
      </c>
      <c r="FQ106" s="147">
        <v>2.4951053948043294E-2</v>
      </c>
      <c r="FR106" s="147">
        <v>2.4571851792073E-2</v>
      </c>
      <c r="FS106" s="147">
        <v>2.4571851792073E-2</v>
      </c>
      <c r="FT106" s="147">
        <v>2.4951053948043294E-2</v>
      </c>
      <c r="FV106" s="147">
        <v>2.3799163117068083E-2</v>
      </c>
      <c r="FW106" s="147">
        <v>2.3799163117068083E-2</v>
      </c>
      <c r="FX106" s="147">
        <v>2.3441142684313823E-2</v>
      </c>
      <c r="FY106" s="147">
        <v>2.3441142684313823E-2</v>
      </c>
      <c r="FZ106" s="147">
        <v>2.3530170954007432E-2</v>
      </c>
      <c r="GA106" s="147">
        <v>2.5485727545082496E-2</v>
      </c>
      <c r="GB106" s="147">
        <v>2.3530170954007432E-2</v>
      </c>
      <c r="GC106" s="147">
        <v>2.3608594860855373E-2</v>
      </c>
      <c r="GD106" s="147">
        <v>2.3441142684313823E-2</v>
      </c>
      <c r="GE106" s="147">
        <v>2.5065880288593557E-2</v>
      </c>
      <c r="GG106" s="147">
        <v>2.2634036164537564E-2</v>
      </c>
      <c r="GH106" s="147">
        <v>2.2015735965241461E-2</v>
      </c>
      <c r="GI106" s="147">
        <v>2.192709735974668E-2</v>
      </c>
      <c r="GJ106" s="147">
        <v>2.2104290559222969E-2</v>
      </c>
      <c r="GK106" s="147">
        <v>2.5496698908527082E-2</v>
      </c>
      <c r="GL106" s="147">
        <v>2.1689271399569453E-2</v>
      </c>
      <c r="GM106" s="147">
        <v>2.2015735965241461E-2</v>
      </c>
      <c r="GN106" s="147">
        <v>2.2015735965241461E-2</v>
      </c>
      <c r="GP106" s="147">
        <v>1.7267072919458268E-2</v>
      </c>
      <c r="GQ106" s="147">
        <v>1.7021605658553075E-2</v>
      </c>
      <c r="GR106" s="147">
        <v>1.7062365343068864E-2</v>
      </c>
      <c r="GS106" s="147">
        <v>1.7239117379155896E-2</v>
      </c>
      <c r="GT106" s="147">
        <v>1.6714420558869209E-2</v>
      </c>
      <c r="GU106" s="147">
        <v>1.6780345110307383E-2</v>
      </c>
      <c r="GW106" s="147">
        <v>2.2031755724412426E-2</v>
      </c>
      <c r="GX106" s="147">
        <v>2.161891772081357E-2</v>
      </c>
      <c r="GY106" s="147">
        <v>2.1532940958072209E-2</v>
      </c>
      <c r="GZ106" s="147">
        <v>2.1918602328791639E-2</v>
      </c>
      <c r="HA106" s="147">
        <v>2.2612074273249044E-2</v>
      </c>
      <c r="HB106" s="147">
        <v>2.1944332057044848E-2</v>
      </c>
      <c r="HC106" s="147">
        <v>2.2275351000766344E-2</v>
      </c>
      <c r="HE106" s="147">
        <v>1.8943802129562017E-2</v>
      </c>
      <c r="HF106" s="147">
        <v>1.8539612462265674E-2</v>
      </c>
      <c r="HG106" s="147">
        <v>1.8272709016103339E-2</v>
      </c>
      <c r="HH106" s="147">
        <v>1.9015747772892905E-2</v>
      </c>
      <c r="HI106" s="147">
        <v>1.8599028284209604E-2</v>
      </c>
      <c r="HK106" s="147">
        <v>1.7323087367087445E-2</v>
      </c>
      <c r="HL106" s="147">
        <v>1.7790873843719818E-2</v>
      </c>
      <c r="HN106" s="147">
        <v>2.0940575081378275E-2</v>
      </c>
      <c r="HO106" s="147">
        <v>2.1024522888201228E-2</v>
      </c>
      <c r="HP106" s="147">
        <v>2.0632261795529561E-2</v>
      </c>
      <c r="HQ106" s="147">
        <v>1.9594999538174195E-2</v>
      </c>
      <c r="HR106" s="147">
        <v>1.8908952512368002E-2</v>
      </c>
      <c r="HS106" s="147">
        <v>2.0549672271452435E-2</v>
      </c>
      <c r="HU106" s="147">
        <v>1.6265118018563451E-2</v>
      </c>
      <c r="HV106" s="147">
        <v>1.5946659845999446E-2</v>
      </c>
      <c r="HW106" s="147">
        <v>1.9043797503057801E-2</v>
      </c>
      <c r="HX106" s="147">
        <v>1.8229077719787365E-2</v>
      </c>
      <c r="HY106" s="147">
        <v>1.7804924193417684E-2</v>
      </c>
      <c r="HZ106" s="147">
        <v>1.6130895429783739E-2</v>
      </c>
      <c r="IA106" s="147">
        <v>1.9834826674183844E-2</v>
      </c>
      <c r="IB106" s="147">
        <v>2.028505109748404E-2</v>
      </c>
      <c r="IC106" s="147">
        <v>1.8125011286642182E-2</v>
      </c>
      <c r="IE106" s="147">
        <v>1.7386417064668036E-2</v>
      </c>
      <c r="IF106" s="147">
        <v>1.713905576610332E-2</v>
      </c>
      <c r="IG106" s="147">
        <v>1.6438182759737352E-2</v>
      </c>
      <c r="IH106" s="147">
        <v>1.7205143987944708E-2</v>
      </c>
      <c r="II106" s="147">
        <v>1.7025873874559765E-2</v>
      </c>
      <c r="IJ106" s="147">
        <v>1.7796322770698803E-2</v>
      </c>
      <c r="IK106" s="147">
        <v>1.8309094503850331E-2</v>
      </c>
      <c r="IL106" s="147">
        <v>1.6041528480833536E-2</v>
      </c>
      <c r="IM106" s="147">
        <v>1.7049022804051232E-2</v>
      </c>
      <c r="IN106" s="147">
        <v>1.6873757265477723E-2</v>
      </c>
      <c r="IO106" s="147">
        <v>1.7220113632150178E-2</v>
      </c>
      <c r="IP106" s="147">
        <v>1.7990539549342245E-2</v>
      </c>
      <c r="IR106" s="147">
        <v>2.5686875058808373E-2</v>
      </c>
      <c r="IS106" s="147">
        <v>2.5775378185270332E-2</v>
      </c>
      <c r="IT106" s="147">
        <v>2.510042705043752E-2</v>
      </c>
      <c r="IV106" s="147">
        <v>1.7076121376136399E-2</v>
      </c>
      <c r="IW106" s="147">
        <v>1.7229219075155587E-2</v>
      </c>
      <c r="IY106" s="147">
        <v>1.5382558332061131E-2</v>
      </c>
      <c r="IZ106" s="147">
        <v>1.6063470235373467E-2</v>
      </c>
      <c r="JA106" s="147">
        <v>1.5680373610236845E-2</v>
      </c>
      <c r="JB106" s="147">
        <v>1.539429070119931E-2</v>
      </c>
      <c r="JC106" s="147">
        <v>1.5984175390895531E-2</v>
      </c>
      <c r="JD106" s="147">
        <v>1.5824923748547923E-2</v>
      </c>
      <c r="JE106" s="147">
        <v>1.5601896416976312E-2</v>
      </c>
      <c r="JG106" s="147">
        <v>1.4556554979368785E-2</v>
      </c>
      <c r="JH106" s="147">
        <v>1.5250819920789293E-2</v>
      </c>
      <c r="JI106" s="147">
        <v>1.4900112912286484E-2</v>
      </c>
      <c r="JJ106" s="147">
        <v>1.4685870754682702E-2</v>
      </c>
      <c r="JK106" s="147">
        <v>1.5181815439800505E-2</v>
      </c>
      <c r="JM106" s="147">
        <v>2.0450788531692521E-2</v>
      </c>
      <c r="JN106" s="147">
        <v>2.0853372299576428E-2</v>
      </c>
      <c r="JO106" s="147">
        <v>2.0256631396395886E-2</v>
      </c>
      <c r="JQ106" s="147">
        <v>2.4563388742475489E-2</v>
      </c>
      <c r="JR106" s="147">
        <v>2.2458601925038974E-2</v>
      </c>
      <c r="JS106" s="147">
        <v>2.1868361296787237E-2</v>
      </c>
      <c r="JT106" s="147">
        <v>2.3943081762772548E-2</v>
      </c>
      <c r="JU106" s="147">
        <v>2.3943081762772548E-2</v>
      </c>
      <c r="JV106" s="147">
        <v>2.1010242516536881E-2</v>
      </c>
      <c r="JW106" s="147">
        <v>2.1616443796858568E-2</v>
      </c>
      <c r="JX106" s="147">
        <v>2.1868361296787237E-2</v>
      </c>
    </row>
    <row r="107" spans="1:285" s="147" customFormat="1" x14ac:dyDescent="0.2">
      <c r="A107" s="147" t="s">
        <v>1884</v>
      </c>
      <c r="C107" s="147">
        <v>3.6503900923619426E-3</v>
      </c>
      <c r="D107" s="147">
        <v>3.1911997674909996E-3</v>
      </c>
      <c r="E107" s="147">
        <v>3.1911997674909996E-3</v>
      </c>
      <c r="F107" s="147">
        <v>3.1911997674909996E-3</v>
      </c>
      <c r="G107" s="147">
        <v>3.3119453585301597E-3</v>
      </c>
      <c r="H107" s="147">
        <v>3.3119453585301597E-3</v>
      </c>
      <c r="J107" s="147">
        <v>3.1911997674909996E-3</v>
      </c>
      <c r="L107" s="147">
        <v>3.9361368048390589E-3</v>
      </c>
      <c r="O107" s="147">
        <v>5.7218640838293724E-3</v>
      </c>
      <c r="P107" s="147">
        <v>5.7970014673023023E-3</v>
      </c>
      <c r="Q107" s="147">
        <v>5.8157927262566132E-3</v>
      </c>
      <c r="U107" s="147">
        <v>4.7227044008285894E-3</v>
      </c>
      <c r="V107" s="147">
        <v>4.2988358567914182E-3</v>
      </c>
      <c r="W107" s="147">
        <v>1.806494239376319E-3</v>
      </c>
      <c r="X107" s="147">
        <v>6.4034428734882579E-3</v>
      </c>
      <c r="Y107" s="147">
        <v>6.4034428734882579E-3</v>
      </c>
      <c r="Z107" s="147">
        <v>5.8157927262566132E-3</v>
      </c>
      <c r="AB107" s="147">
        <v>9.5828081279296737E-3</v>
      </c>
      <c r="AD107" s="147">
        <v>1.0338657364111705E-2</v>
      </c>
      <c r="AE107" s="147">
        <v>1.0055238304425451E-2</v>
      </c>
      <c r="AG107" s="147">
        <v>1.8902832016902697E-3</v>
      </c>
      <c r="AH107" s="147">
        <v>1.8902832016902697E-3</v>
      </c>
      <c r="AK107" s="147">
        <v>5.6771987228419552E-3</v>
      </c>
      <c r="AL107" s="147">
        <v>5.0911322891777121E-3</v>
      </c>
      <c r="AM107" s="147">
        <v>5.3290649201926544E-3</v>
      </c>
      <c r="AN107" s="147">
        <v>5.2213147270873603E-3</v>
      </c>
      <c r="AO107" s="147">
        <v>5.0718063707169934E-3</v>
      </c>
      <c r="AP107" s="147">
        <v>3.6231384633984296E-3</v>
      </c>
      <c r="AQ107" s="147">
        <v>3.7604789888422891E-3</v>
      </c>
      <c r="AR107" s="147">
        <v>3.7604789888422891E-3</v>
      </c>
      <c r="AS107" s="147">
        <v>3.7604789888422891E-3</v>
      </c>
      <c r="AT107" s="147">
        <v>3.7604789888422891E-3</v>
      </c>
      <c r="AU107" s="147">
        <v>5.3093271427789085E-3</v>
      </c>
      <c r="AV107" s="147">
        <v>3.64928820267353E-3</v>
      </c>
      <c r="AW107" s="147">
        <v>3.5727727745437756E-3</v>
      </c>
      <c r="AX107" s="147">
        <v>3.64928820267353E-3</v>
      </c>
      <c r="AY107" s="147">
        <v>3.9628111521784332E-3</v>
      </c>
      <c r="AZ107" s="147">
        <v>3.9628111521784332E-3</v>
      </c>
      <c r="BA107" s="147">
        <v>3.9628111521784332E-3</v>
      </c>
      <c r="BB107" s="147">
        <v>3.3021383242462666E-3</v>
      </c>
      <c r="BC107" s="147">
        <v>3.3152536718408731E-3</v>
      </c>
      <c r="BD107" s="147">
        <v>3.7685309693912417E-3</v>
      </c>
      <c r="BE107" s="147">
        <v>3.7685309693912417E-3</v>
      </c>
      <c r="BF107" s="147">
        <v>3.7685309693912417E-3</v>
      </c>
      <c r="BG107" s="147">
        <v>4.305971630113199E-3</v>
      </c>
      <c r="BH107" s="147">
        <v>3.3021383242462666E-3</v>
      </c>
      <c r="BI107" s="147">
        <v>4.305971630113199E-3</v>
      </c>
      <c r="BJ107" s="147">
        <v>4.3594587804667235E-3</v>
      </c>
      <c r="BK107" s="147">
        <v>4.2253331373902905E-3</v>
      </c>
      <c r="BL107" s="147">
        <v>3.6156869241420267E-3</v>
      </c>
      <c r="BN107" s="147">
        <v>1.1679670130608097E-2</v>
      </c>
      <c r="BO107" s="147">
        <v>1.1666845146921984E-2</v>
      </c>
      <c r="BP107" s="147">
        <v>1.167503434122312E-2</v>
      </c>
      <c r="BR107" s="147">
        <v>1.1785701260739124E-2</v>
      </c>
      <c r="BS107" s="147">
        <v>1.218877326527394E-2</v>
      </c>
      <c r="BU107" s="147">
        <v>1.2272873139713337E-2</v>
      </c>
      <c r="CA107" s="147">
        <v>8.9897763874759416E-3</v>
      </c>
      <c r="CB107" s="147">
        <v>9.4008634216291541E-3</v>
      </c>
      <c r="CC107" s="147">
        <v>9.4008634216291541E-3</v>
      </c>
      <c r="CH107" s="147">
        <v>4.148012622125761E-3</v>
      </c>
      <c r="CI107" s="147">
        <v>3.1513988991075277E-3</v>
      </c>
      <c r="CJ107" s="147">
        <v>3.3787579163622383E-3</v>
      </c>
      <c r="CK107" s="147">
        <v>4.0687467013502511E-3</v>
      </c>
      <c r="CL107" s="147">
        <v>4.1982994636711336E-3</v>
      </c>
      <c r="CM107" s="147">
        <v>4.1341174720094676E-3</v>
      </c>
      <c r="CN107" s="147">
        <v>3.6298680961610761E-3</v>
      </c>
      <c r="CO107" s="147">
        <v>3.4594149385251873E-3</v>
      </c>
      <c r="CP107" s="147">
        <v>3.4594149385251873E-3</v>
      </c>
      <c r="CQ107" s="147">
        <v>3.3005278175688608E-3</v>
      </c>
      <c r="CR107" s="147">
        <v>3.3005278175688608E-3</v>
      </c>
      <c r="CS107" s="147">
        <v>5.3804215176863927E-3</v>
      </c>
      <c r="CT107" s="147">
        <v>5.3841028035322546E-3</v>
      </c>
      <c r="CU107" s="147">
        <v>5.1635847643072986E-3</v>
      </c>
      <c r="CV107" s="147">
        <v>5.1635847643072986E-3</v>
      </c>
      <c r="CW107" s="147">
        <v>3.9049178047159501E-3</v>
      </c>
      <c r="CY107" s="147">
        <v>3.5808873229536955E-3</v>
      </c>
      <c r="CZ107" s="147">
        <v>3.3352004819610388E-3</v>
      </c>
      <c r="DA107" s="147">
        <v>3.6073972978174448E-3</v>
      </c>
      <c r="DB107" s="147">
        <v>3.7752639769708259E-3</v>
      </c>
      <c r="DC107" s="147">
        <v>3.6783859920851863E-3</v>
      </c>
      <c r="DD107" s="147">
        <v>3.5783682980104784E-3</v>
      </c>
      <c r="DE107" s="147">
        <v>3.7614359665146409E-3</v>
      </c>
      <c r="DF107" s="147">
        <v>3.4112734604410514E-3</v>
      </c>
      <c r="DG107" s="147">
        <v>3.5941436795446932E-3</v>
      </c>
      <c r="DH107" s="147">
        <v>3.1783551470875187E-3</v>
      </c>
      <c r="DI107" s="147">
        <v>3.7614359665146409E-3</v>
      </c>
      <c r="DJ107" s="147">
        <v>3.6206485523862376E-3</v>
      </c>
      <c r="DL107" s="147">
        <v>2.4653439602322193E-3</v>
      </c>
      <c r="DM107" s="147">
        <v>2.463999372685757E-3</v>
      </c>
      <c r="DN107" s="147">
        <v>2.3028852748307772E-3</v>
      </c>
      <c r="DO107" s="147">
        <v>2.4523638660677574E-3</v>
      </c>
      <c r="DP107" s="147">
        <v>4.4421746167170664E-3</v>
      </c>
      <c r="DQ107" s="147">
        <v>4.1873194763860236E-3</v>
      </c>
      <c r="DR107" s="147">
        <v>2.6476606612628483E-3</v>
      </c>
      <c r="DU107" s="147">
        <v>5.5035164788114297E-3</v>
      </c>
      <c r="DV107" s="147">
        <v>5.4644249098418666E-3</v>
      </c>
      <c r="DX107" s="147">
        <v>6.772437384338202E-3</v>
      </c>
      <c r="DY107" s="147">
        <v>6.772437384338202E-3</v>
      </c>
      <c r="DZ107" s="147">
        <v>6.277010435037457E-3</v>
      </c>
      <c r="EA107" s="147">
        <v>2.2439657093989776E-3</v>
      </c>
      <c r="EB107" s="147">
        <v>4.148613653931924E-3</v>
      </c>
      <c r="EC107" s="147">
        <v>5.7704800275854232E-3</v>
      </c>
      <c r="ED107" s="147">
        <v>5.7704800275854232E-3</v>
      </c>
      <c r="EE107" s="147">
        <v>5.7297104808828941E-3</v>
      </c>
      <c r="EF107" s="147">
        <v>4.3209816392014233E-3</v>
      </c>
      <c r="EG107" s="147">
        <v>5.7501012628064316E-3</v>
      </c>
      <c r="EI107" s="147">
        <v>4.1359777464702397E-3</v>
      </c>
      <c r="EJ107" s="147">
        <v>3.5721806283367627E-3</v>
      </c>
      <c r="EK107" s="147">
        <v>4.1359777464702397E-3</v>
      </c>
      <c r="EL107" s="147">
        <v>4.0529960169232056E-3</v>
      </c>
      <c r="EM107" s="147">
        <v>4.1359777464702397E-3</v>
      </c>
      <c r="EN107" s="147">
        <v>3.9598762978767807E-3</v>
      </c>
      <c r="EO107" s="147">
        <v>4.1359777464702397E-3</v>
      </c>
      <c r="EP107" s="147">
        <v>3.797694998898525E-3</v>
      </c>
      <c r="EQ107" s="147">
        <v>3.9542055511004332E-3</v>
      </c>
      <c r="ES107" s="147">
        <v>6.5043506659807253E-3</v>
      </c>
      <c r="ET107" s="147">
        <v>6.2166548306685108E-3</v>
      </c>
      <c r="EU107" s="147">
        <v>5.9482209785870106E-3</v>
      </c>
      <c r="EV107" s="147">
        <v>5.8121894134390882E-3</v>
      </c>
      <c r="EW107" s="147">
        <v>5.7448675232385261E-3</v>
      </c>
      <c r="EX107" s="147">
        <v>5.7223618757760147E-3</v>
      </c>
      <c r="EY107" s="147">
        <v>5.6087163389798664E-3</v>
      </c>
      <c r="EZ107" s="147">
        <v>6.075497026550792E-3</v>
      </c>
      <c r="FA107" s="147">
        <v>5.7673400645117546E-3</v>
      </c>
      <c r="FB107" s="147">
        <v>5.6749432184480322E-3</v>
      </c>
      <c r="FD107" s="147">
        <v>3.650513565178913E-3</v>
      </c>
      <c r="FE107" s="147">
        <v>3.650513565178913E-3</v>
      </c>
      <c r="FF107" s="147">
        <v>2.7639093447131852E-3</v>
      </c>
      <c r="FG107" s="147">
        <v>3.6352341344511514E-3</v>
      </c>
      <c r="FH107" s="147">
        <v>3.6657734695603379E-3</v>
      </c>
      <c r="FI107" s="147">
        <v>3.650513565178913E-3</v>
      </c>
      <c r="FJ107" s="147">
        <v>2.7639093447131852E-3</v>
      </c>
      <c r="FL107" s="147">
        <v>4.3548152383213303E-3</v>
      </c>
      <c r="FM107" s="147">
        <v>4.5053776753782209E-3</v>
      </c>
      <c r="FN107" s="147">
        <v>4.154715543281463E-3</v>
      </c>
      <c r="FO107" s="147">
        <v>3.224781596166305E-3</v>
      </c>
      <c r="FP107" s="147">
        <v>3.9211406100091457E-3</v>
      </c>
      <c r="FQ107" s="147">
        <v>3.9211406100091457E-3</v>
      </c>
      <c r="FR107" s="147">
        <v>4.0903102631745288E-3</v>
      </c>
      <c r="FS107" s="147">
        <v>4.0903102631745288E-3</v>
      </c>
      <c r="FT107" s="147">
        <v>3.9211406100091457E-3</v>
      </c>
      <c r="FV107" s="147">
        <v>3.5214325971989991E-3</v>
      </c>
      <c r="FW107" s="147">
        <v>3.5214325971989991E-3</v>
      </c>
      <c r="FX107" s="147">
        <v>3.6838530635171828E-3</v>
      </c>
      <c r="FY107" s="147">
        <v>3.6838530635171828E-3</v>
      </c>
      <c r="FZ107" s="147">
        <v>3.6978441504051905E-3</v>
      </c>
      <c r="GA107" s="147">
        <v>2.6458416786980655E-3</v>
      </c>
      <c r="GB107" s="147">
        <v>3.6978441504051905E-3</v>
      </c>
      <c r="GC107" s="147">
        <v>3.279147007099476E-3</v>
      </c>
      <c r="GD107" s="147">
        <v>3.6838530635171828E-3</v>
      </c>
      <c r="GE107" s="147">
        <v>3.70886184071061E-3</v>
      </c>
      <c r="GG107" s="147">
        <v>3.7125010360361701E-3</v>
      </c>
      <c r="GH107" s="147">
        <v>3.6110856228159416E-3</v>
      </c>
      <c r="GI107" s="147">
        <v>3.5965468586141025E-3</v>
      </c>
      <c r="GJ107" s="147">
        <v>3.6256106072028293E-3</v>
      </c>
      <c r="GK107" s="147">
        <v>1.9558312293209584E-3</v>
      </c>
      <c r="GL107" s="147">
        <v>3.7611621337692233E-3</v>
      </c>
      <c r="GM107" s="147">
        <v>3.6110856228159416E-3</v>
      </c>
      <c r="GN107" s="147">
        <v>3.6110856228159416E-3</v>
      </c>
      <c r="GP107" s="147">
        <v>5.617801870024571E-3</v>
      </c>
      <c r="GQ107" s="147">
        <v>5.731347168288937E-3</v>
      </c>
      <c r="GR107" s="147">
        <v>5.5512007378690073E-3</v>
      </c>
      <c r="GS107" s="147">
        <v>5.4150600675752772E-3</v>
      </c>
      <c r="GT107" s="147">
        <v>5.8200105166008476E-3</v>
      </c>
      <c r="GU107" s="147">
        <v>5.8429656397725443E-3</v>
      </c>
      <c r="GW107" s="147">
        <v>3.7494891515487587E-3</v>
      </c>
      <c r="GX107" s="147">
        <v>3.8839817719606021E-3</v>
      </c>
      <c r="GY107" s="147">
        <v>3.8685354770252103E-3</v>
      </c>
      <c r="GZ107" s="147">
        <v>3.5253166527453245E-3</v>
      </c>
      <c r="HA107" s="147">
        <v>3.4281893373117218E-3</v>
      </c>
      <c r="HB107" s="147">
        <v>3.7346108959760487E-3</v>
      </c>
      <c r="HC107" s="147">
        <v>3.5826949479163253E-3</v>
      </c>
      <c r="HE107" s="147">
        <v>5.326781961842662E-3</v>
      </c>
      <c r="HF107" s="147">
        <v>5.6177050091839927E-3</v>
      </c>
      <c r="HG107" s="147">
        <v>5.7397263875680407E-3</v>
      </c>
      <c r="HH107" s="147">
        <v>5.347012259462278E-3</v>
      </c>
      <c r="HI107" s="147">
        <v>5.4315781298264502E-3</v>
      </c>
      <c r="HK107" s="147">
        <v>4.1414697292475097E-3</v>
      </c>
      <c r="HL107" s="147">
        <v>4.4372501106200715E-3</v>
      </c>
      <c r="HN107" s="147">
        <v>4.0559836469624168E-3</v>
      </c>
      <c r="HO107" s="147">
        <v>4.0722435123361749E-3</v>
      </c>
      <c r="HP107" s="147">
        <v>4.1979249230814425E-3</v>
      </c>
      <c r="HQ107" s="147">
        <v>4.1808210458317129E-3</v>
      </c>
      <c r="HR107" s="147">
        <v>4.6100592815410792E-3</v>
      </c>
      <c r="HS107" s="147">
        <v>4.1811209185110892E-3</v>
      </c>
      <c r="HU107" s="147">
        <v>3.4703520963329862E-3</v>
      </c>
      <c r="HV107" s="147">
        <v>4.0536603156704305E-3</v>
      </c>
      <c r="HW107" s="147">
        <v>3.8747294388017236E-3</v>
      </c>
      <c r="HX107" s="147">
        <v>4.2570459846250344E-3</v>
      </c>
      <c r="HY107" s="147">
        <v>4.9030732365083858E-3</v>
      </c>
      <c r="HZ107" s="147">
        <v>4.4420835946006052E-3</v>
      </c>
      <c r="IA107" s="147">
        <v>4.8357901764928936E-3</v>
      </c>
      <c r="IB107" s="147">
        <v>4.7371785150008882E-3</v>
      </c>
      <c r="IC107" s="147">
        <v>4.4189320616976656E-3</v>
      </c>
      <c r="IE107" s="147">
        <v>5.7471909506763459E-3</v>
      </c>
      <c r="IF107" s="147">
        <v>5.8612121528376889E-3</v>
      </c>
      <c r="IG107" s="147">
        <v>5.8114531674470392E-3</v>
      </c>
      <c r="IH107" s="147">
        <v>5.8838129946986667E-3</v>
      </c>
      <c r="II107" s="147">
        <v>6.019221838755434E-3</v>
      </c>
      <c r="IJ107" s="147">
        <v>6.4995458543541471E-3</v>
      </c>
      <c r="IK107" s="147">
        <v>6.4728837002654355E-3</v>
      </c>
      <c r="IL107" s="147">
        <v>5.6712224741149826E-3</v>
      </c>
      <c r="IM107" s="147">
        <v>5.6356631278814146E-3</v>
      </c>
      <c r="IN107" s="147">
        <v>5.7704854046890727E-3</v>
      </c>
      <c r="IO107" s="147">
        <v>6.0878921577920218E-3</v>
      </c>
      <c r="IP107" s="147">
        <v>6.3602637576330679E-3</v>
      </c>
      <c r="IR107" s="147">
        <v>2.5204601272019213E-3</v>
      </c>
      <c r="IS107" s="147">
        <v>2.313096759499032E-3</v>
      </c>
      <c r="IT107" s="147">
        <v>2.6762203624800278E-3</v>
      </c>
      <c r="IV107" s="147">
        <v>4.6022761093629169E-3</v>
      </c>
      <c r="IW107" s="147">
        <v>4.643538282843313E-3</v>
      </c>
      <c r="IY107" s="147">
        <v>4.4769477642759231E-3</v>
      </c>
      <c r="IZ107" s="147">
        <v>4.3293511254280216E-3</v>
      </c>
      <c r="JA107" s="147">
        <v>4.393862086638332E-3</v>
      </c>
      <c r="JB107" s="147">
        <v>4.6489962078725055E-3</v>
      </c>
      <c r="JC107" s="147">
        <v>4.3079799510086104E-3</v>
      </c>
      <c r="JD107" s="147">
        <v>4.2650591955976386E-3</v>
      </c>
      <c r="JE107" s="147">
        <v>4.3718716690179186E-3</v>
      </c>
      <c r="JG107" s="147">
        <v>5.3069616264268425E-3</v>
      </c>
      <c r="JH107" s="147">
        <v>5.2059895241870586E-3</v>
      </c>
      <c r="JI107" s="147">
        <v>5.2582663125632255E-3</v>
      </c>
      <c r="JJ107" s="147">
        <v>5.0131396016435577E-3</v>
      </c>
      <c r="JK107" s="147">
        <v>5.0091598161845123E-3</v>
      </c>
      <c r="JM107" s="147">
        <v>2.805493284963803E-3</v>
      </c>
      <c r="JN107" s="147">
        <v>2.6748124374731557E-3</v>
      </c>
      <c r="JO107" s="147">
        <v>2.7788582953907418E-3</v>
      </c>
      <c r="JQ107" s="147">
        <v>4.5089342090128817E-3</v>
      </c>
      <c r="JR107" s="147">
        <v>5.2330373499991133E-3</v>
      </c>
      <c r="JS107" s="147">
        <v>5.5471192423944731E-3</v>
      </c>
      <c r="JT107" s="147">
        <v>4.625917424192395E-3</v>
      </c>
      <c r="JU107" s="147">
        <v>4.625917424192395E-3</v>
      </c>
      <c r="JV107" s="147">
        <v>5.7739583609472652E-3</v>
      </c>
      <c r="JW107" s="147">
        <v>5.7105131749585125E-3</v>
      </c>
      <c r="JX107" s="147">
        <v>5.5471192423944731E-3</v>
      </c>
    </row>
    <row r="108" spans="1:285" s="147" customFormat="1" x14ac:dyDescent="0.2">
      <c r="A108" s="147" t="s">
        <v>1885</v>
      </c>
      <c r="C108" s="147">
        <v>0.85922770076345978</v>
      </c>
      <c r="D108" s="147">
        <v>0.87305412627822421</v>
      </c>
      <c r="E108" s="147">
        <v>0.87305412627822421</v>
      </c>
      <c r="F108" s="147">
        <v>0.87305412627822421</v>
      </c>
      <c r="G108" s="147">
        <v>0.87305412627822421</v>
      </c>
      <c r="H108" s="147">
        <v>0.87305412627822421</v>
      </c>
      <c r="J108" s="147">
        <v>0.87305412627822421</v>
      </c>
      <c r="L108" s="147">
        <v>0.84548443720819921</v>
      </c>
      <c r="M108" s="147">
        <v>0.86787961195512553</v>
      </c>
      <c r="O108" s="147">
        <v>0.79816983266643815</v>
      </c>
      <c r="P108" s="147">
        <v>0.79816983266643815</v>
      </c>
      <c r="Q108" s="147">
        <v>0.79816983266643804</v>
      </c>
      <c r="U108" s="147">
        <v>0.79152463312610832</v>
      </c>
      <c r="V108" s="147">
        <v>0.82504574044151002</v>
      </c>
      <c r="W108" s="147">
        <v>0.93602687557296871</v>
      </c>
      <c r="X108" s="147">
        <v>0.77178116065153102</v>
      </c>
      <c r="Y108" s="147">
        <v>0.77178116065153102</v>
      </c>
      <c r="Z108" s="147">
        <v>0.79816983266643804</v>
      </c>
      <c r="AA108" s="147">
        <v>0.80987098901215571</v>
      </c>
      <c r="AB108" s="147">
        <v>0.69653813790206498</v>
      </c>
      <c r="AD108" s="147">
        <v>0.6387205083952775</v>
      </c>
      <c r="AE108" s="147">
        <v>0.68001196715805046</v>
      </c>
      <c r="AG108" s="147">
        <v>0.9309425283316467</v>
      </c>
      <c r="AH108" s="147">
        <v>0.9309425283316467</v>
      </c>
      <c r="AK108" s="147">
        <v>0.76095649743667171</v>
      </c>
      <c r="AL108" s="147">
        <v>0.79367347076772288</v>
      </c>
      <c r="AM108" s="147">
        <v>0.78048767891285531</v>
      </c>
      <c r="AN108" s="147">
        <v>0.78706468862344958</v>
      </c>
      <c r="AO108" s="147">
        <v>0.79367347076772277</v>
      </c>
      <c r="AP108" s="147">
        <v>0.84757794527741015</v>
      </c>
      <c r="AQ108" s="147">
        <v>0.8407489240356355</v>
      </c>
      <c r="AR108" s="147">
        <v>0.8407489240356355</v>
      </c>
      <c r="AS108" s="147">
        <v>0.8407489240356355</v>
      </c>
      <c r="AT108" s="147">
        <v>0.8407489240356355</v>
      </c>
      <c r="AU108" s="147">
        <v>0.77394347510266892</v>
      </c>
      <c r="AV108" s="147">
        <v>0.8544297207190592</v>
      </c>
      <c r="AW108" s="147">
        <v>0.86130280847640028</v>
      </c>
      <c r="AX108" s="147">
        <v>0.8544297207190592</v>
      </c>
      <c r="AY108" s="147">
        <v>0.83394365487021016</v>
      </c>
      <c r="AZ108" s="147">
        <v>0.83394365487021016</v>
      </c>
      <c r="BA108" s="147">
        <v>0.83394365487021016</v>
      </c>
      <c r="BB108" s="147">
        <v>0.87510897391836084</v>
      </c>
      <c r="BC108" s="147">
        <v>0.87510897391836096</v>
      </c>
      <c r="BD108" s="147">
        <v>0.85442972071905932</v>
      </c>
      <c r="BE108" s="147">
        <v>0.85442972071905932</v>
      </c>
      <c r="BF108" s="147">
        <v>0.85442972071905932</v>
      </c>
      <c r="BG108" s="147">
        <v>0.81368220870208696</v>
      </c>
      <c r="BH108" s="147">
        <v>0.87510897391836084</v>
      </c>
      <c r="BI108" s="147">
        <v>0.81368220870208696</v>
      </c>
      <c r="BJ108" s="147">
        <v>0.83394365487021016</v>
      </c>
      <c r="BK108" s="147">
        <v>0.8407489240356355</v>
      </c>
      <c r="BL108" s="147">
        <v>0.86130280847640017</v>
      </c>
      <c r="BM108" s="147">
        <v>0.83954090276393922</v>
      </c>
      <c r="BN108" s="147">
        <v>0.60924277390172421</v>
      </c>
      <c r="BO108" s="147">
        <v>0.6111167664296584</v>
      </c>
      <c r="BP108" s="147">
        <v>0.6099454638421089</v>
      </c>
      <c r="BR108" s="147">
        <v>0.60466108724817691</v>
      </c>
      <c r="BS108" s="147">
        <v>0.58814126416851575</v>
      </c>
      <c r="BU108" s="147">
        <v>0.58623605894068076</v>
      </c>
      <c r="CA108" s="147">
        <v>0.57471583830075545</v>
      </c>
      <c r="CB108" s="147">
        <v>0.54462736000396783</v>
      </c>
      <c r="CC108" s="147">
        <v>0.54462736000396783</v>
      </c>
      <c r="CD108" s="147">
        <v>0.55465685276956378</v>
      </c>
      <c r="CH108" s="147">
        <v>0.84131770459925548</v>
      </c>
      <c r="CI108" s="147">
        <v>0.88262639638764617</v>
      </c>
      <c r="CJ108" s="147">
        <v>0.87569320597109046</v>
      </c>
      <c r="CK108" s="147">
        <v>0.84131770459925548</v>
      </c>
      <c r="CL108" s="147">
        <v>0.83450906448698126</v>
      </c>
      <c r="CM108" s="147">
        <v>0.84814997278374238</v>
      </c>
      <c r="CN108" s="147">
        <v>0.8618811838662821</v>
      </c>
      <c r="CO108" s="147">
        <v>0.86877769751452849</v>
      </c>
      <c r="CP108" s="147">
        <v>0.86877769751452849</v>
      </c>
      <c r="CQ108" s="147">
        <v>0.87569320597109046</v>
      </c>
      <c r="CR108" s="147">
        <v>0.87569320597109046</v>
      </c>
      <c r="CS108" s="147">
        <v>0.77447550655737851</v>
      </c>
      <c r="CT108" s="147">
        <v>0.76148038876149793</v>
      </c>
      <c r="CU108" s="147">
        <v>0.76148038876149793</v>
      </c>
      <c r="CV108" s="147">
        <v>0.76148038876149793</v>
      </c>
      <c r="CW108" s="147">
        <v>0.84814997278374238</v>
      </c>
      <c r="CX108" s="147">
        <v>0.83634398033069424</v>
      </c>
      <c r="CY108" s="147">
        <v>0.87243506624028566</v>
      </c>
      <c r="CZ108" s="147">
        <v>0.87936621567104989</v>
      </c>
      <c r="DA108" s="147">
        <v>0.87243506624028566</v>
      </c>
      <c r="DB108" s="147">
        <v>0.86552218111942014</v>
      </c>
      <c r="DC108" s="147">
        <v>0.86552218111942014</v>
      </c>
      <c r="DD108" s="147">
        <v>0.85862910013755989</v>
      </c>
      <c r="DE108" s="147">
        <v>0.86552218111942014</v>
      </c>
      <c r="DF108" s="147">
        <v>0.87936621567104989</v>
      </c>
      <c r="DG108" s="147">
        <v>0.87243506624028577</v>
      </c>
      <c r="DH108" s="147">
        <v>0.88631454286138966</v>
      </c>
      <c r="DI108" s="147">
        <v>0.86552218111942014</v>
      </c>
      <c r="DJ108" s="147">
        <v>0.87243506624028566</v>
      </c>
      <c r="DK108" s="147">
        <v>0.87129208864832275</v>
      </c>
      <c r="DL108" s="147">
        <v>0.90358608429449205</v>
      </c>
      <c r="DM108" s="147">
        <v>0.8966000647792558</v>
      </c>
      <c r="DN108" s="147">
        <v>0.90358608429449205</v>
      </c>
      <c r="DO108" s="147">
        <v>0.89660006477925569</v>
      </c>
      <c r="DP108" s="147">
        <v>0.82771299345443938</v>
      </c>
      <c r="DQ108" s="147">
        <v>0.82771299345443938</v>
      </c>
      <c r="DR108" s="147">
        <v>0.89660006477925569</v>
      </c>
      <c r="DS108" s="147">
        <v>0.87891404997651867</v>
      </c>
      <c r="DU108" s="147">
        <v>0.78755156884043109</v>
      </c>
      <c r="DV108" s="147">
        <v>0.7875515688404312</v>
      </c>
      <c r="DX108" s="147">
        <v>0.72324210163977609</v>
      </c>
      <c r="DY108" s="147">
        <v>0.72324210163977609</v>
      </c>
      <c r="DZ108" s="147">
        <v>0.74853441216333849</v>
      </c>
      <c r="EA108" s="147">
        <v>0.92461384648295797</v>
      </c>
      <c r="EB108" s="147">
        <v>0.84815862070522952</v>
      </c>
      <c r="EC108" s="147">
        <v>0.77440963109977612</v>
      </c>
      <c r="ED108" s="147">
        <v>0.77440963109977612</v>
      </c>
      <c r="EE108" s="147">
        <v>0.77440963109977601</v>
      </c>
      <c r="EF108" s="147">
        <v>0.84131916639759241</v>
      </c>
      <c r="EG108" s="147">
        <v>0.77440963109977601</v>
      </c>
      <c r="EH108" s="147">
        <v>0.79015432592571966</v>
      </c>
      <c r="EI108" s="147">
        <v>0.85502057612702964</v>
      </c>
      <c r="EJ108" s="147">
        <v>0.87573042399164958</v>
      </c>
      <c r="EK108" s="147">
        <v>0.85502057612702964</v>
      </c>
      <c r="EL108" s="147">
        <v>0.86190403979823271</v>
      </c>
      <c r="EM108" s="147">
        <v>0.85502057612702964</v>
      </c>
      <c r="EN108" s="147">
        <v>0.85502057612702964</v>
      </c>
      <c r="EO108" s="147">
        <v>0.85502057612702964</v>
      </c>
      <c r="EP108" s="147">
        <v>0.86880768738487435</v>
      </c>
      <c r="EQ108" s="147">
        <v>0.86190403979823271</v>
      </c>
      <c r="ER108" s="147">
        <v>0.86038323017868179</v>
      </c>
      <c r="ES108" s="147">
        <v>0.71701477822200577</v>
      </c>
      <c r="ET108" s="147">
        <v>0.72950831125829463</v>
      </c>
      <c r="EU108" s="147">
        <v>0.74215500389802624</v>
      </c>
      <c r="EV108" s="147">
        <v>0.74853441216333849</v>
      </c>
      <c r="EW108" s="147">
        <v>0.74853441216333838</v>
      </c>
      <c r="EX108" s="147">
        <v>0.74853441216333849</v>
      </c>
      <c r="EY108" s="147">
        <v>0.75495021418412467</v>
      </c>
      <c r="EZ108" s="147">
        <v>0.72950831125829463</v>
      </c>
      <c r="FA108" s="147">
        <v>0.74853441216333849</v>
      </c>
      <c r="FB108" s="147">
        <v>0.75495021418412467</v>
      </c>
      <c r="FC108" s="147">
        <v>0.74222244816582239</v>
      </c>
      <c r="FD108" s="147">
        <v>0.85175658446047564</v>
      </c>
      <c r="FE108" s="147">
        <v>0.85175658446047564</v>
      </c>
      <c r="FF108" s="147">
        <v>0.89327852047525214</v>
      </c>
      <c r="FG108" s="147">
        <v>0.85175658446047553</v>
      </c>
      <c r="FH108" s="147">
        <v>0.85175658446047553</v>
      </c>
      <c r="FI108" s="147">
        <v>0.85175658446047564</v>
      </c>
      <c r="FJ108" s="147">
        <v>0.89327852047525214</v>
      </c>
      <c r="FK108" s="147">
        <v>0.86361999475041173</v>
      </c>
      <c r="FL108" s="147">
        <v>0.83673142774975373</v>
      </c>
      <c r="FM108" s="147">
        <v>0.82992539683555422</v>
      </c>
      <c r="FN108" s="147">
        <v>0.84356190879221526</v>
      </c>
      <c r="FO108" s="147">
        <v>0.88499634855337816</v>
      </c>
      <c r="FP108" s="147">
        <v>0.8641897275205378</v>
      </c>
      <c r="FQ108" s="147">
        <v>0.8641897275205378</v>
      </c>
      <c r="FR108" s="147">
        <v>0.85729233352005052</v>
      </c>
      <c r="FS108" s="147">
        <v>0.85729233352005052</v>
      </c>
      <c r="FT108" s="147">
        <v>0.8641897275205378</v>
      </c>
      <c r="FU108" s="147">
        <v>0.85581877017029073</v>
      </c>
      <c r="FV108" s="147">
        <v>0.87110703463321359</v>
      </c>
      <c r="FW108" s="147">
        <v>0.87110703463321359</v>
      </c>
      <c r="FX108" s="147">
        <v>0.8641897275205378</v>
      </c>
      <c r="FY108" s="147">
        <v>0.8641897275205378</v>
      </c>
      <c r="FZ108" s="147">
        <v>0.8641897275205378</v>
      </c>
      <c r="GA108" s="147">
        <v>0.90594759724738549</v>
      </c>
      <c r="GB108" s="147">
        <v>0.8641897275205378</v>
      </c>
      <c r="GC108" s="147">
        <v>0.87804304938647137</v>
      </c>
      <c r="GD108" s="147">
        <v>0.8641897275205378</v>
      </c>
      <c r="GE108" s="147">
        <v>0.87110703463321371</v>
      </c>
      <c r="GF108" s="147">
        <v>0.87182603881361875</v>
      </c>
      <c r="GG108" s="147">
        <v>0.85908960225879982</v>
      </c>
      <c r="GH108" s="147">
        <v>0.85908960225879993</v>
      </c>
      <c r="GI108" s="147">
        <v>0.85908960225879982</v>
      </c>
      <c r="GJ108" s="147">
        <v>0.85908960225879993</v>
      </c>
      <c r="GK108" s="147">
        <v>0.92875588444853363</v>
      </c>
      <c r="GL108" s="147">
        <v>0.85221618606840999</v>
      </c>
      <c r="GM108" s="147">
        <v>0.85908960225879993</v>
      </c>
      <c r="GN108" s="147">
        <v>0.85908960225879993</v>
      </c>
      <c r="GO108" s="147">
        <v>0.86693871050871796</v>
      </c>
      <c r="GP108" s="147">
        <v>0.75451900341590095</v>
      </c>
      <c r="GQ108" s="147">
        <v>0.7481053465057258</v>
      </c>
      <c r="GR108" s="147">
        <v>0.75451900341590095</v>
      </c>
      <c r="GS108" s="147">
        <v>0.7609685860231209</v>
      </c>
      <c r="GT108" s="147">
        <v>0.74172809168738052</v>
      </c>
      <c r="GU108" s="147">
        <v>0.7417280916873803</v>
      </c>
      <c r="GV108" s="147">
        <v>0.75026135378923486</v>
      </c>
      <c r="GW108" s="147">
        <v>0.85456524036801507</v>
      </c>
      <c r="GX108" s="147">
        <v>0.84770430620796411</v>
      </c>
      <c r="GY108" s="147">
        <v>0.84770430620796422</v>
      </c>
      <c r="GZ108" s="147">
        <v>0.86144757592950116</v>
      </c>
      <c r="HA108" s="147">
        <v>0.8683504365170327</v>
      </c>
      <c r="HB108" s="147">
        <v>0.85456524036801496</v>
      </c>
      <c r="HC108" s="147">
        <v>0.86144757592950116</v>
      </c>
      <c r="HD108" s="147">
        <v>0.85654066878971347</v>
      </c>
      <c r="HE108" s="147">
        <v>0.78052518465226717</v>
      </c>
      <c r="HF108" s="147">
        <v>0.76745327721824741</v>
      </c>
      <c r="HG108" s="147">
        <v>0.7609685860231209</v>
      </c>
      <c r="HH108" s="147">
        <v>0.78052518465226717</v>
      </c>
      <c r="HI108" s="147">
        <v>0.77397249007191449</v>
      </c>
      <c r="HK108" s="147">
        <v>0.80705543046333517</v>
      </c>
      <c r="HL108" s="147">
        <v>0.80037676055186258</v>
      </c>
      <c r="HM108" s="147">
        <v>0.78155384480471646</v>
      </c>
      <c r="HN108" s="147">
        <v>0.83773831866048787</v>
      </c>
      <c r="HO108" s="147">
        <v>0.83773831866048798</v>
      </c>
      <c r="HP108" s="147">
        <v>0.83093462120705819</v>
      </c>
      <c r="HQ108" s="147">
        <v>0.82415660350986286</v>
      </c>
      <c r="HR108" s="147">
        <v>0.80398584252017835</v>
      </c>
      <c r="HS108" s="147">
        <v>0.83093462120705819</v>
      </c>
      <c r="HT108" s="147">
        <v>0.82758138762752231</v>
      </c>
      <c r="HU108" s="147">
        <v>0.82415660350986286</v>
      </c>
      <c r="HV108" s="147">
        <v>0.79732022873117947</v>
      </c>
      <c r="HW108" s="147">
        <v>0.83093462120705808</v>
      </c>
      <c r="HX108" s="147">
        <v>0.81068119874348621</v>
      </c>
      <c r="HY108" s="147">
        <v>0.78408165441983013</v>
      </c>
      <c r="HZ108" s="147">
        <v>0.78408165441983013</v>
      </c>
      <c r="IA108" s="147">
        <v>0.80398584252017835</v>
      </c>
      <c r="IB108" s="147">
        <v>0.81068119874348621</v>
      </c>
      <c r="IC108" s="147">
        <v>0.80398584252017835</v>
      </c>
      <c r="ID108" s="147">
        <v>0.80554542720167654</v>
      </c>
      <c r="IE108" s="147">
        <v>0.75156530071468886</v>
      </c>
      <c r="IF108" s="147">
        <v>0.74516765745972435</v>
      </c>
      <c r="IG108" s="147">
        <v>0.73880681974006313</v>
      </c>
      <c r="IH108" s="147">
        <v>0.74516765745972435</v>
      </c>
      <c r="II108" s="147">
        <v>0.73880681974006313</v>
      </c>
      <c r="IJ108" s="147">
        <v>0.73248349525350698</v>
      </c>
      <c r="IK108" s="147">
        <v>0.73880681974006313</v>
      </c>
      <c r="IL108" s="147">
        <v>0.73880681974006324</v>
      </c>
      <c r="IM108" s="147">
        <v>0.75156530071468897</v>
      </c>
      <c r="IN108" s="147">
        <v>0.74516765745972424</v>
      </c>
      <c r="IO108" s="147">
        <v>0.73880681974006324</v>
      </c>
      <c r="IP108" s="147">
        <v>0.73880681974006313</v>
      </c>
      <c r="IQ108" s="147">
        <v>0.74199649895853648</v>
      </c>
      <c r="IR108" s="147">
        <v>0.91064522364197065</v>
      </c>
      <c r="IS108" s="147">
        <v>0.91764961379899423</v>
      </c>
      <c r="IT108" s="147">
        <v>0.90365214625450263</v>
      </c>
      <c r="IU108" s="147">
        <v>0.9106489945651558</v>
      </c>
      <c r="IV108" s="147">
        <v>0.78770219927735063</v>
      </c>
      <c r="IW108" s="147">
        <v>0.78770219927735063</v>
      </c>
      <c r="IX108" s="147">
        <v>0.78770219927735063</v>
      </c>
      <c r="IY108" s="147">
        <v>0.77456902792251892</v>
      </c>
      <c r="IZ108" s="147">
        <v>0.78770219927735063</v>
      </c>
      <c r="JA108" s="147">
        <v>0.7811193336081883</v>
      </c>
      <c r="JB108" s="147">
        <v>0.76805220476246749</v>
      </c>
      <c r="JC108" s="147">
        <v>0.78770219927735052</v>
      </c>
      <c r="JD108" s="147">
        <v>0.78770219927735075</v>
      </c>
      <c r="JE108" s="147">
        <v>0.7811193336081883</v>
      </c>
      <c r="JF108" s="147">
        <v>0.78113807110477362</v>
      </c>
      <c r="JG108" s="147">
        <v>0.73282869636092451</v>
      </c>
      <c r="JH108" s="147">
        <v>0.74551312421470928</v>
      </c>
      <c r="JI108" s="147">
        <v>0.73915232698463995</v>
      </c>
      <c r="JJ108" s="147">
        <v>0.74551312421470917</v>
      </c>
      <c r="JK108" s="147">
        <v>0.7519109526569453</v>
      </c>
      <c r="JL108" s="147">
        <v>0.74298364488638557</v>
      </c>
      <c r="JM108" s="147">
        <v>0.87936621567104989</v>
      </c>
      <c r="JN108" s="147">
        <v>0.88631454286138966</v>
      </c>
      <c r="JO108" s="147">
        <v>0.87936621567104989</v>
      </c>
      <c r="JP108" s="147">
        <v>0.88168232473449659</v>
      </c>
      <c r="JQ108" s="147">
        <v>0.84490629742464229</v>
      </c>
      <c r="JR108" s="147">
        <v>0.811024645452597</v>
      </c>
      <c r="JS108" s="147">
        <v>0.79766470865004058</v>
      </c>
      <c r="JT108" s="147">
        <v>0.83807912227100201</v>
      </c>
      <c r="JU108" s="147">
        <v>0.83807912227100201</v>
      </c>
      <c r="JV108" s="147">
        <v>0.78442670784323898</v>
      </c>
      <c r="JW108" s="147">
        <v>0.7910300374517405</v>
      </c>
      <c r="JX108" s="147">
        <v>0.79766470865004058</v>
      </c>
      <c r="JY108" s="147">
        <v>0.81285941875178791</v>
      </c>
    </row>
    <row r="109" spans="1:285" s="147" customFormat="1" x14ac:dyDescent="0.2">
      <c r="A109" s="147" t="s">
        <v>1872</v>
      </c>
      <c r="M109" s="147">
        <v>1.0261251734375417E-2</v>
      </c>
      <c r="AA109" s="147">
        <v>4.9914311396602885E-2</v>
      </c>
      <c r="BM109" s="147">
        <v>3.940115727478772E-2</v>
      </c>
      <c r="CD109" s="147">
        <v>1.7371591044156549E-2</v>
      </c>
      <c r="CX109" s="147">
        <v>4.5104451568641332E-2</v>
      </c>
      <c r="DK109" s="147">
        <v>7.7154000994288565E-3</v>
      </c>
      <c r="DS109" s="147">
        <v>3.5116236253184295E-2</v>
      </c>
      <c r="EH109" s="147">
        <v>5.701159441151514E-2</v>
      </c>
      <c r="ER109" s="147">
        <v>7.5409204787786838E-3</v>
      </c>
      <c r="FC109" s="147">
        <v>1.2658266253890427E-2</v>
      </c>
      <c r="FK109" s="147">
        <v>2.0260630192892377E-2</v>
      </c>
      <c r="FU109" s="147">
        <v>1.6773925871884917E-2</v>
      </c>
      <c r="GF109" s="147">
        <v>1.2892931406482729E-2</v>
      </c>
      <c r="GO109" s="147">
        <v>2.5093444567155902E-2</v>
      </c>
      <c r="GV109" s="147">
        <v>7.7612044735556728E-3</v>
      </c>
      <c r="HD109" s="147">
        <v>7.6549910884012601E-3</v>
      </c>
      <c r="HM109" s="147">
        <v>1.6767056672221475E-2</v>
      </c>
      <c r="HT109" s="147">
        <v>1.2627697668696139E-2</v>
      </c>
      <c r="ID109" s="147">
        <v>1.5959499276193934E-2</v>
      </c>
      <c r="IQ109" s="147">
        <v>5.7590579517560279E-3</v>
      </c>
      <c r="IU109" s="147">
        <v>6.998734534161887E-3</v>
      </c>
      <c r="IX109" s="147">
        <v>0</v>
      </c>
      <c r="JF109" s="147">
        <v>7.5680938203821803E-3</v>
      </c>
      <c r="JL109" s="147">
        <v>7.2507815405328819E-3</v>
      </c>
      <c r="JP109" s="147">
        <v>4.0116185737602656E-3</v>
      </c>
      <c r="JY109" s="147">
        <v>2.4050943208799986E-2</v>
      </c>
    </row>
    <row r="110" spans="1:285" s="147" customFormat="1" x14ac:dyDescent="0.2">
      <c r="A110" s="147" t="s">
        <v>1873</v>
      </c>
      <c r="M110" s="147">
        <v>0.84548443720819921</v>
      </c>
      <c r="AA110" s="147">
        <v>0.77178116065153102</v>
      </c>
      <c r="BM110" s="147">
        <v>0.76095649743667171</v>
      </c>
      <c r="CD110" s="147">
        <v>0.54462736000396783</v>
      </c>
      <c r="CX110" s="147">
        <v>0.76148038876149793</v>
      </c>
      <c r="DK110" s="147">
        <v>0.85862910013755989</v>
      </c>
      <c r="DS110" s="147">
        <v>0.82771299345443938</v>
      </c>
      <c r="EH110" s="147">
        <v>0.72324210163977609</v>
      </c>
      <c r="ER110" s="147">
        <v>0.85502057612702964</v>
      </c>
      <c r="FC110" s="147">
        <v>0.71701477822200577</v>
      </c>
      <c r="FK110" s="147">
        <v>0.85175658446047553</v>
      </c>
      <c r="FU110" s="147">
        <v>0.82992539683555422</v>
      </c>
      <c r="GF110" s="147">
        <v>0.8641897275205378</v>
      </c>
      <c r="GO110" s="147">
        <v>0.85221618606840999</v>
      </c>
      <c r="GV110" s="147">
        <v>0.7417280916873803</v>
      </c>
      <c r="HD110" s="147">
        <v>0.84770430620796411</v>
      </c>
      <c r="HM110" s="147">
        <v>0.7609685860231209</v>
      </c>
      <c r="HT110" s="147">
        <v>0.80398584252017835</v>
      </c>
      <c r="ID110" s="147">
        <v>0.78408165441983013</v>
      </c>
      <c r="IQ110" s="147">
        <v>0.73248349525350698</v>
      </c>
      <c r="IU110" s="147">
        <v>0.90365214625450263</v>
      </c>
      <c r="IX110" s="147">
        <v>0.78770219927735063</v>
      </c>
      <c r="JF110" s="147">
        <v>0.76805220476246749</v>
      </c>
      <c r="JL110" s="147">
        <v>0.73282869636092451</v>
      </c>
      <c r="JP110" s="147">
        <v>0.87936621567104989</v>
      </c>
      <c r="JY110" s="147">
        <v>0.78442670784323898</v>
      </c>
    </row>
    <row r="111" spans="1:285" s="147" customFormat="1" x14ac:dyDescent="0.2">
      <c r="A111" s="147" t="s">
        <v>1874</v>
      </c>
      <c r="M111" s="147">
        <v>0.87305412627822421</v>
      </c>
      <c r="AA111" s="147">
        <v>0.93602687557296871</v>
      </c>
      <c r="BM111" s="147">
        <v>0.9309425283316467</v>
      </c>
      <c r="CD111" s="147">
        <v>0.57471583830075545</v>
      </c>
      <c r="CX111" s="147">
        <v>0.88262639638764617</v>
      </c>
      <c r="DK111" s="147">
        <v>0.88631454286138966</v>
      </c>
      <c r="DS111" s="147">
        <v>0.90358608429449205</v>
      </c>
      <c r="EH111" s="147">
        <v>0.92461384648295797</v>
      </c>
      <c r="ER111" s="147">
        <v>0.87573042399164958</v>
      </c>
      <c r="FC111" s="147">
        <v>0.75495021418412467</v>
      </c>
      <c r="FK111" s="147">
        <v>0.89327852047525214</v>
      </c>
      <c r="FU111" s="147">
        <v>0.88499634855337816</v>
      </c>
      <c r="GF111" s="147">
        <v>0.90594759724738549</v>
      </c>
      <c r="GO111" s="147">
        <v>0.92875588444853363</v>
      </c>
      <c r="GV111" s="147">
        <v>0.7609685860231209</v>
      </c>
      <c r="HD111" s="147">
        <v>0.8683504365170327</v>
      </c>
      <c r="HM111" s="147">
        <v>0.80705543046333517</v>
      </c>
      <c r="HT111" s="147">
        <v>0.83773831866048798</v>
      </c>
      <c r="ID111" s="147">
        <v>0.83093462120705808</v>
      </c>
      <c r="IQ111" s="147">
        <v>0.75156530071468897</v>
      </c>
      <c r="IU111" s="147">
        <v>0.91764961379899423</v>
      </c>
      <c r="IX111" s="147">
        <v>0.78770219927735063</v>
      </c>
      <c r="JF111" s="147">
        <v>0.78770219927735075</v>
      </c>
      <c r="JL111" s="147">
        <v>0.7519109526569453</v>
      </c>
      <c r="JP111" s="147">
        <v>0.88631454286138966</v>
      </c>
      <c r="JY111" s="147">
        <v>0.84490629742464229</v>
      </c>
    </row>
    <row r="112" spans="1:285" s="147" customFormat="1" x14ac:dyDescent="0.2">
      <c r="A112" s="147" t="s">
        <v>1886</v>
      </c>
      <c r="C112" s="147">
        <v>0.14077229923654014</v>
      </c>
      <c r="D112" s="147">
        <v>0.12694587372177576</v>
      </c>
      <c r="E112" s="147">
        <v>0.12694587372177576</v>
      </c>
      <c r="F112" s="147">
        <v>0.12694587372177576</v>
      </c>
      <c r="G112" s="147">
        <v>0.12694587372177579</v>
      </c>
      <c r="H112" s="147">
        <v>0.12694587372177579</v>
      </c>
      <c r="J112" s="147">
        <v>0.12694587372177576</v>
      </c>
      <c r="L112" s="147">
        <v>0.15451556279180076</v>
      </c>
      <c r="O112" s="147">
        <v>0.20183016733356193</v>
      </c>
      <c r="P112" s="147">
        <v>0.20183016733356196</v>
      </c>
      <c r="Q112" s="147">
        <v>0.20183016733356193</v>
      </c>
      <c r="U112" s="147">
        <v>0.20847536687389165</v>
      </c>
      <c r="V112" s="147">
        <v>0.17495425955848989</v>
      </c>
      <c r="W112" s="147">
        <v>6.3973124427031278E-2</v>
      </c>
      <c r="X112" s="147">
        <v>0.22821883934846895</v>
      </c>
      <c r="Y112" s="147">
        <v>0.22821883934846895</v>
      </c>
      <c r="Z112" s="147">
        <v>0.20183016733356193</v>
      </c>
      <c r="AB112" s="147">
        <v>0.30346186209793491</v>
      </c>
      <c r="AD112" s="147">
        <v>0.36127949160472245</v>
      </c>
      <c r="AE112" s="147">
        <v>0.31998803284194943</v>
      </c>
      <c r="AG112" s="147">
        <v>6.905747166835341E-2</v>
      </c>
      <c r="AH112" s="147">
        <v>6.905747166835341E-2</v>
      </c>
      <c r="AK112" s="147">
        <v>0.23904350256332837</v>
      </c>
      <c r="AL112" s="147">
        <v>0.20632652923227721</v>
      </c>
      <c r="AM112" s="147">
        <v>0.21951232108714464</v>
      </c>
      <c r="AN112" s="147">
        <v>0.21293531137655045</v>
      </c>
      <c r="AO112" s="147">
        <v>0.20632652923227718</v>
      </c>
      <c r="AP112" s="147">
        <v>0.15242205472258985</v>
      </c>
      <c r="AQ112" s="147">
        <v>0.15925107596436444</v>
      </c>
      <c r="AR112" s="147">
        <v>0.15925107596436444</v>
      </c>
      <c r="AS112" s="147">
        <v>0.15925107596436444</v>
      </c>
      <c r="AT112" s="147">
        <v>0.15925107596436444</v>
      </c>
      <c r="AU112" s="147">
        <v>0.22605652489733108</v>
      </c>
      <c r="AV112" s="147">
        <v>0.14557027928094077</v>
      </c>
      <c r="AW112" s="147">
        <v>0.1386971915235998</v>
      </c>
      <c r="AX112" s="147">
        <v>0.14557027928094077</v>
      </c>
      <c r="AY112" s="147">
        <v>0.16605634512978987</v>
      </c>
      <c r="AZ112" s="147">
        <v>0.16605634512978987</v>
      </c>
      <c r="BA112" s="147">
        <v>0.16605634512978987</v>
      </c>
      <c r="BB112" s="147">
        <v>0.12489102608163917</v>
      </c>
      <c r="BC112" s="147">
        <v>0.1248910260816391</v>
      </c>
      <c r="BD112" s="147">
        <v>0.14557027928094077</v>
      </c>
      <c r="BE112" s="147">
        <v>0.14557027928094077</v>
      </c>
      <c r="BF112" s="147">
        <v>0.14557027928094077</v>
      </c>
      <c r="BG112" s="147">
        <v>0.18631779129791307</v>
      </c>
      <c r="BH112" s="147">
        <v>0.12489102608163917</v>
      </c>
      <c r="BI112" s="147">
        <v>0.18631779129791307</v>
      </c>
      <c r="BJ112" s="147">
        <v>0.1660563451297899</v>
      </c>
      <c r="BK112" s="147">
        <v>0.15925107596436441</v>
      </c>
      <c r="BL112" s="147">
        <v>0.1386971915235998</v>
      </c>
      <c r="BN112" s="147">
        <v>0.39075722609827579</v>
      </c>
      <c r="BO112" s="147">
        <v>0.3888832335703416</v>
      </c>
      <c r="BP112" s="147">
        <v>0.3900545361578911</v>
      </c>
      <c r="BR112" s="147">
        <v>0.39533891275182315</v>
      </c>
      <c r="BS112" s="147">
        <v>0.41185873583148436</v>
      </c>
      <c r="BU112" s="147">
        <v>0.41376394105931924</v>
      </c>
      <c r="CA112" s="147">
        <v>0.4252841616992446</v>
      </c>
      <c r="CB112" s="147">
        <v>0.45537263999603206</v>
      </c>
      <c r="CC112" s="147">
        <v>0.45537263999603206</v>
      </c>
      <c r="CH112" s="147">
        <v>0.15868229540074452</v>
      </c>
      <c r="CI112" s="147">
        <v>0.11737360361235384</v>
      </c>
      <c r="CJ112" s="147">
        <v>0.12430679402890954</v>
      </c>
      <c r="CK112" s="147">
        <v>0.15868229540074452</v>
      </c>
      <c r="CL112" s="147">
        <v>0.16549093551301863</v>
      </c>
      <c r="CM112" s="147">
        <v>0.15185002721625759</v>
      </c>
      <c r="CN112" s="147">
        <v>0.1381188161337179</v>
      </c>
      <c r="CO112" s="147">
        <v>0.13122230248547145</v>
      </c>
      <c r="CP112" s="147">
        <v>0.13122230248547145</v>
      </c>
      <c r="CQ112" s="147">
        <v>0.12430679402890954</v>
      </c>
      <c r="CR112" s="147">
        <v>0.12430679402890954</v>
      </c>
      <c r="CS112" s="147">
        <v>0.22552449344262149</v>
      </c>
      <c r="CT112" s="147">
        <v>0.23851961123850204</v>
      </c>
      <c r="CU112" s="147">
        <v>0.23851961123850202</v>
      </c>
      <c r="CV112" s="147">
        <v>0.23851961123850202</v>
      </c>
      <c r="CW112" s="147">
        <v>0.15185002721625759</v>
      </c>
      <c r="CY112" s="147">
        <v>0.12756493375971431</v>
      </c>
      <c r="CZ112" s="147">
        <v>0.1206337843289501</v>
      </c>
      <c r="DA112" s="147">
        <v>0.12756493375971434</v>
      </c>
      <c r="DB112" s="147">
        <v>0.13447781888057989</v>
      </c>
      <c r="DC112" s="147">
        <v>0.13447781888057986</v>
      </c>
      <c r="DD112" s="147">
        <v>0.14137089986244011</v>
      </c>
      <c r="DE112" s="147">
        <v>0.13447781888057989</v>
      </c>
      <c r="DF112" s="147">
        <v>0.12063378432895003</v>
      </c>
      <c r="DG112" s="147">
        <v>0.12756493375971426</v>
      </c>
      <c r="DH112" s="147">
        <v>0.11368545713861034</v>
      </c>
      <c r="DI112" s="147">
        <v>0.13447781888057989</v>
      </c>
      <c r="DJ112" s="147">
        <v>0.12756493375971434</v>
      </c>
      <c r="DL112" s="147">
        <v>9.641391570550803E-2</v>
      </c>
      <c r="DM112" s="147">
        <v>0.10339993522074427</v>
      </c>
      <c r="DN112" s="147">
        <v>9.6413915705508002E-2</v>
      </c>
      <c r="DO112" s="147">
        <v>0.10339993522074425</v>
      </c>
      <c r="DP112" s="147">
        <v>0.17228700654556067</v>
      </c>
      <c r="DQ112" s="147">
        <v>0.1722870065455607</v>
      </c>
      <c r="DR112" s="147">
        <v>0.10339993522074421</v>
      </c>
      <c r="DU112" s="147">
        <v>0.21244843115956882</v>
      </c>
      <c r="DV112" s="147">
        <v>0.21244843115956882</v>
      </c>
      <c r="DX112" s="147">
        <v>0.27675789836022385</v>
      </c>
      <c r="DY112" s="147">
        <v>0.27675789836022385</v>
      </c>
      <c r="DZ112" s="147">
        <v>0.25146558783666156</v>
      </c>
      <c r="EA112" s="147">
        <v>7.5386153517042087E-2</v>
      </c>
      <c r="EB112" s="147">
        <v>0.15184137929477043</v>
      </c>
      <c r="EC112" s="147">
        <v>0.22559036890022399</v>
      </c>
      <c r="ED112" s="147">
        <v>0.22559036890022399</v>
      </c>
      <c r="EE112" s="147">
        <v>0.22559036890022396</v>
      </c>
      <c r="EF112" s="147">
        <v>0.15868083360240764</v>
      </c>
      <c r="EG112" s="147">
        <v>0.22559036890022402</v>
      </c>
      <c r="EI112" s="147">
        <v>0.14497942387297039</v>
      </c>
      <c r="EJ112" s="147">
        <v>0.12426957600835044</v>
      </c>
      <c r="EK112" s="147">
        <v>0.14497942387297039</v>
      </c>
      <c r="EL112" s="147">
        <v>0.13809596020176731</v>
      </c>
      <c r="EM112" s="147">
        <v>0.14497942387297039</v>
      </c>
      <c r="EN112" s="147">
        <v>0.14497942387297041</v>
      </c>
      <c r="EO112" s="147">
        <v>0.14497942387297039</v>
      </c>
      <c r="EP112" s="147">
        <v>0.13119231261512573</v>
      </c>
      <c r="EQ112" s="147">
        <v>0.13809596020176737</v>
      </c>
      <c r="ES112" s="147">
        <v>0.28298522177799423</v>
      </c>
      <c r="ET112" s="147">
        <v>0.27049168874170532</v>
      </c>
      <c r="EU112" s="147">
        <v>0.25784499610197381</v>
      </c>
      <c r="EV112" s="147">
        <v>0.25146558783666151</v>
      </c>
      <c r="EW112" s="147">
        <v>0.25146558783666156</v>
      </c>
      <c r="EX112" s="147">
        <v>0.25146558783666156</v>
      </c>
      <c r="EY112" s="147">
        <v>0.24504978581587539</v>
      </c>
      <c r="EZ112" s="147">
        <v>0.27049168874170537</v>
      </c>
      <c r="FA112" s="147">
        <v>0.25146558783666151</v>
      </c>
      <c r="FB112" s="147">
        <v>0.2450497858158753</v>
      </c>
      <c r="FD112" s="147">
        <v>0.14824341553952441</v>
      </c>
      <c r="FE112" s="147">
        <v>0.14824341553952441</v>
      </c>
      <c r="FF112" s="147">
        <v>0.10672147952474777</v>
      </c>
      <c r="FG112" s="147">
        <v>0.14824341553952447</v>
      </c>
      <c r="FH112" s="147">
        <v>0.14824341553952439</v>
      </c>
      <c r="FI112" s="147">
        <v>0.14824341553952441</v>
      </c>
      <c r="FJ112" s="147">
        <v>0.10672147952474777</v>
      </c>
      <c r="FL112" s="147">
        <v>0.1632685722502463</v>
      </c>
      <c r="FM112" s="147">
        <v>0.17007460316444578</v>
      </c>
      <c r="FN112" s="147">
        <v>0.15643809120778476</v>
      </c>
      <c r="FO112" s="147">
        <v>0.11500365144662193</v>
      </c>
      <c r="FP112" s="147">
        <v>0.13581027247946212</v>
      </c>
      <c r="FQ112" s="147">
        <v>0.13581027247946212</v>
      </c>
      <c r="FR112" s="147">
        <v>0.14270766647994954</v>
      </c>
      <c r="FS112" s="147">
        <v>0.14270766647994954</v>
      </c>
      <c r="FT112" s="147">
        <v>0.13581027247946212</v>
      </c>
      <c r="FV112" s="147">
        <v>0.12889296536678638</v>
      </c>
      <c r="FW112" s="147">
        <v>0.12889296536678638</v>
      </c>
      <c r="FX112" s="147">
        <v>0.13581027247946223</v>
      </c>
      <c r="FY112" s="147">
        <v>0.13581027247946223</v>
      </c>
      <c r="FZ112" s="147">
        <v>0.1358102724794622</v>
      </c>
      <c r="GA112" s="147">
        <v>9.4052402752614547E-2</v>
      </c>
      <c r="GB112" s="147">
        <v>0.1358102724794622</v>
      </c>
      <c r="GC112" s="147">
        <v>0.12195695061352864</v>
      </c>
      <c r="GD112" s="147">
        <v>0.13581027247946223</v>
      </c>
      <c r="GE112" s="147">
        <v>0.12889296536678635</v>
      </c>
      <c r="GG112" s="147">
        <v>0.14091039774120012</v>
      </c>
      <c r="GH112" s="147">
        <v>0.14091039774120009</v>
      </c>
      <c r="GI112" s="147">
        <v>0.14091039774120018</v>
      </c>
      <c r="GJ112" s="147">
        <v>0.14091039774120018</v>
      </c>
      <c r="GK112" s="147">
        <v>7.1244115551466355E-2</v>
      </c>
      <c r="GL112" s="147">
        <v>0.14778381393159007</v>
      </c>
      <c r="GM112" s="147">
        <v>0.14091039774120009</v>
      </c>
      <c r="GN112" s="147">
        <v>0.14091039774120009</v>
      </c>
      <c r="GP112" s="147">
        <v>0.24548099658409903</v>
      </c>
      <c r="GQ112" s="147">
        <v>0.25189465349427426</v>
      </c>
      <c r="GR112" s="147">
        <v>0.24548099658409903</v>
      </c>
      <c r="GS112" s="147">
        <v>0.2390314139768791</v>
      </c>
      <c r="GT112" s="147">
        <v>0.25827190831261959</v>
      </c>
      <c r="GU112" s="147">
        <v>0.25827190831261959</v>
      </c>
      <c r="GW112" s="147">
        <v>0.14543475963198496</v>
      </c>
      <c r="GX112" s="147">
        <v>0.15229569379203586</v>
      </c>
      <c r="GY112" s="147">
        <v>0.15229569379203584</v>
      </c>
      <c r="GZ112" s="147">
        <v>0.13855242407049886</v>
      </c>
      <c r="HA112" s="147">
        <v>0.13164956348296727</v>
      </c>
      <c r="HB112" s="147">
        <v>0.14543475963198496</v>
      </c>
      <c r="HC112" s="147">
        <v>0.13855242407049881</v>
      </c>
      <c r="HE112" s="147">
        <v>0.21947481534773275</v>
      </c>
      <c r="HF112" s="147">
        <v>0.23254672278175251</v>
      </c>
      <c r="HG112" s="147">
        <v>0.23903141397687908</v>
      </c>
      <c r="HH112" s="147">
        <v>0.21947481534773275</v>
      </c>
      <c r="HI112" s="147">
        <v>0.22602750992808554</v>
      </c>
      <c r="HK112" s="147">
        <v>0.1929445695366647</v>
      </c>
      <c r="HL112" s="147">
        <v>0.19962323944813742</v>
      </c>
      <c r="HN112" s="147">
        <v>0.16226168133951208</v>
      </c>
      <c r="HO112" s="147">
        <v>0.16226168133951213</v>
      </c>
      <c r="HP112" s="147">
        <v>0.16906537879294181</v>
      </c>
      <c r="HQ112" s="147">
        <v>0.17584339649013705</v>
      </c>
      <c r="HR112" s="147">
        <v>0.19601415747982173</v>
      </c>
      <c r="HS112" s="147">
        <v>0.16906537879294181</v>
      </c>
      <c r="HU112" s="147">
        <v>0.17584339649013711</v>
      </c>
      <c r="HV112" s="147">
        <v>0.20267977126882053</v>
      </c>
      <c r="HW112" s="147">
        <v>0.16906537879294184</v>
      </c>
      <c r="HX112" s="147">
        <v>0.18931880125651376</v>
      </c>
      <c r="HY112" s="147">
        <v>0.21591834558016984</v>
      </c>
      <c r="HZ112" s="147">
        <v>0.2159183455801699</v>
      </c>
      <c r="IA112" s="147">
        <v>0.19601415747982173</v>
      </c>
      <c r="IB112" s="147">
        <v>0.18931880125651379</v>
      </c>
      <c r="IC112" s="147">
        <v>0.1960141574798217</v>
      </c>
      <c r="IE112" s="147">
        <v>0.24843469928531117</v>
      </c>
      <c r="IF112" s="147">
        <v>0.2548323425402757</v>
      </c>
      <c r="IG112" s="147">
        <v>0.26119318025993682</v>
      </c>
      <c r="IH112" s="147">
        <v>0.2548323425402757</v>
      </c>
      <c r="II112" s="147">
        <v>0.26119318025993682</v>
      </c>
      <c r="IJ112" s="147">
        <v>0.26751650474649297</v>
      </c>
      <c r="IK112" s="147">
        <v>0.26119318025993687</v>
      </c>
      <c r="IL112" s="147">
        <v>0.26119318025993676</v>
      </c>
      <c r="IM112" s="147">
        <v>0.24843469928531114</v>
      </c>
      <c r="IN112" s="147">
        <v>0.2548323425402757</v>
      </c>
      <c r="IO112" s="147">
        <v>0.26119318025993671</v>
      </c>
      <c r="IP112" s="147">
        <v>0.26119318025993676</v>
      </c>
      <c r="IR112" s="147">
        <v>8.9354776358029325E-2</v>
      </c>
      <c r="IS112" s="147">
        <v>8.2350386201005793E-2</v>
      </c>
      <c r="IT112" s="147">
        <v>9.6347853745497369E-2</v>
      </c>
      <c r="IV112" s="147">
        <v>0.21229780072264937</v>
      </c>
      <c r="IW112" s="147">
        <v>0.21229780072264937</v>
      </c>
      <c r="IY112" s="147">
        <v>0.22543097207748103</v>
      </c>
      <c r="IZ112" s="147">
        <v>0.21229780072264937</v>
      </c>
      <c r="JA112" s="147">
        <v>0.21888066639181161</v>
      </c>
      <c r="JB112" s="147">
        <v>0.23194779523753253</v>
      </c>
      <c r="JC112" s="147">
        <v>0.21229780072264937</v>
      </c>
      <c r="JD112" s="147">
        <v>0.21229780072264937</v>
      </c>
      <c r="JE112" s="147">
        <v>0.21888066639181172</v>
      </c>
      <c r="JG112" s="147">
        <v>0.26717130363907554</v>
      </c>
      <c r="JH112" s="147">
        <v>0.25448687578529072</v>
      </c>
      <c r="JI112" s="147">
        <v>0.2608476730153601</v>
      </c>
      <c r="JJ112" s="147">
        <v>0.25448687578529078</v>
      </c>
      <c r="JK112" s="147">
        <v>0.24808904734305467</v>
      </c>
      <c r="JM112" s="147">
        <v>0.12063378432895011</v>
      </c>
      <c r="JN112" s="147">
        <v>0.11368545713861031</v>
      </c>
      <c r="JO112" s="147">
        <v>0.12063378432895012</v>
      </c>
      <c r="JQ112" s="147">
        <v>0.15509370257535765</v>
      </c>
      <c r="JR112" s="147">
        <v>0.18897535454740305</v>
      </c>
      <c r="JS112" s="147">
        <v>0.2023352913499594</v>
      </c>
      <c r="JT112" s="147">
        <v>0.16192087772899805</v>
      </c>
      <c r="JU112" s="147">
        <v>0.16192087772899805</v>
      </c>
      <c r="JV112" s="147">
        <v>0.21557329215676105</v>
      </c>
      <c r="JW112" s="147">
        <v>0.20896996254825945</v>
      </c>
      <c r="JX112" s="147">
        <v>0.2023352913499594</v>
      </c>
    </row>
    <row r="113" spans="1:285" s="147" customFormat="1" x14ac:dyDescent="0.2">
      <c r="A113" s="147" t="s">
        <v>1887</v>
      </c>
      <c r="C113" s="147">
        <v>79.138690202433025</v>
      </c>
      <c r="D113" s="147">
        <v>79.891963284512755</v>
      </c>
      <c r="E113" s="147">
        <v>79.891963284512798</v>
      </c>
      <c r="F113" s="147">
        <v>79.891963284512798</v>
      </c>
      <c r="G113" s="147">
        <v>79.24569309581085</v>
      </c>
      <c r="H113" s="147">
        <v>79.24569309581085</v>
      </c>
      <c r="J113" s="147">
        <v>79.891963284512755</v>
      </c>
      <c r="L113" s="147">
        <v>79.24209006230501</v>
      </c>
      <c r="O113" s="147">
        <v>76.527886000586761</v>
      </c>
      <c r="P113" s="147">
        <v>76.273911821556155</v>
      </c>
      <c r="Q113" s="147">
        <v>76.210575955357129</v>
      </c>
      <c r="U113" s="147">
        <v>80.472182612061232</v>
      </c>
      <c r="V113" s="147">
        <v>79.567151729918379</v>
      </c>
      <c r="W113" s="147">
        <v>78.8554152301557</v>
      </c>
      <c r="X113" s="147">
        <v>76.312321193514279</v>
      </c>
      <c r="Y113" s="147">
        <v>76.312321193514279</v>
      </c>
      <c r="Z113" s="147">
        <v>76.210575955357129</v>
      </c>
      <c r="AB113" s="147">
        <v>72.682462457934207</v>
      </c>
      <c r="AD113" s="147">
        <v>73.874034089260732</v>
      </c>
      <c r="AE113" s="147">
        <v>72.522688502554786</v>
      </c>
      <c r="AG113" s="147">
        <v>79.325281564615125</v>
      </c>
      <c r="AH113" s="147">
        <v>79.325281564615125</v>
      </c>
      <c r="AK113" s="147">
        <v>79.236818248634165</v>
      </c>
      <c r="AL113" s="147">
        <v>79.032879398293929</v>
      </c>
      <c r="AM113" s="147">
        <v>79.129103608924581</v>
      </c>
      <c r="AN113" s="147">
        <v>79.047742453189471</v>
      </c>
      <c r="AO113" s="147">
        <v>79.100114747094423</v>
      </c>
      <c r="AP113" s="147">
        <v>80.461937518213801</v>
      </c>
      <c r="AQ113" s="147">
        <v>80.473857597925459</v>
      </c>
      <c r="AR113" s="147">
        <v>80.473857597925459</v>
      </c>
      <c r="AS113" s="147">
        <v>80.473857597925459</v>
      </c>
      <c r="AT113" s="147">
        <v>80.473857597925459</v>
      </c>
      <c r="AU113" s="147">
        <v>79.613479108108436</v>
      </c>
      <c r="AV113" s="147">
        <v>79.657467362901983</v>
      </c>
      <c r="AW113" s="147">
        <v>79.287825000747816</v>
      </c>
      <c r="AX113" s="147">
        <v>79.657467362901983</v>
      </c>
      <c r="AY113" s="147">
        <v>80.197630798759988</v>
      </c>
      <c r="AZ113" s="147">
        <v>80.197630798759988</v>
      </c>
      <c r="BA113" s="147">
        <v>80.197630798759988</v>
      </c>
      <c r="BB113" s="147">
        <v>79.041477012013104</v>
      </c>
      <c r="BC113" s="147">
        <v>78.970925889736833</v>
      </c>
      <c r="BD113" s="147">
        <v>79.094173661694128</v>
      </c>
      <c r="BE113" s="147">
        <v>79.094173661694128</v>
      </c>
      <c r="BF113" s="147">
        <v>79.094173661694128</v>
      </c>
      <c r="BG113" s="147">
        <v>80.447521679256681</v>
      </c>
      <c r="BH113" s="147">
        <v>79.041477012013104</v>
      </c>
      <c r="BI113" s="147">
        <v>80.447521679256681</v>
      </c>
      <c r="BJ113" s="147">
        <v>78.528081010810126</v>
      </c>
      <c r="BK113" s="147">
        <v>78.44146086779125</v>
      </c>
      <c r="BL113" s="147">
        <v>79.07694759140476</v>
      </c>
      <c r="BN113" s="147">
        <v>72.503940567821715</v>
      </c>
      <c r="BO113" s="147">
        <v>72.452113054748551</v>
      </c>
      <c r="BP113" s="147">
        <v>72.484246379361224</v>
      </c>
      <c r="BR113" s="147">
        <v>72.491203633549915</v>
      </c>
      <c r="BS113" s="147">
        <v>72.400848851624858</v>
      </c>
      <c r="BU113" s="147">
        <v>72.323269620385673</v>
      </c>
      <c r="CA113" s="147">
        <v>78.83220011699899</v>
      </c>
      <c r="CB113" s="147">
        <v>78.882361190421776</v>
      </c>
      <c r="CC113" s="147">
        <v>78.882361190421776</v>
      </c>
      <c r="CH113" s="147">
        <v>78.719158045657139</v>
      </c>
      <c r="CI113" s="147">
        <v>78.886623118396486</v>
      </c>
      <c r="CJ113" s="147">
        <v>78.555055151863826</v>
      </c>
      <c r="CK113" s="147">
        <v>79.063438069422062</v>
      </c>
      <c r="CL113" s="147">
        <v>79.148966298566506</v>
      </c>
      <c r="CM113" s="147">
        <v>78.086753927744198</v>
      </c>
      <c r="CN113" s="147">
        <v>78.942022946242759</v>
      </c>
      <c r="CO113" s="147">
        <v>78.994100108245362</v>
      </c>
      <c r="CP113" s="147">
        <v>78.994100108245362</v>
      </c>
      <c r="CQ113" s="147">
        <v>78.975911385269455</v>
      </c>
      <c r="CR113" s="147">
        <v>78.975911385269455</v>
      </c>
      <c r="CS113" s="147">
        <v>79.348942655185141</v>
      </c>
      <c r="CT113" s="147">
        <v>80.119377625196051</v>
      </c>
      <c r="CU113" s="147">
        <v>80.816618289107197</v>
      </c>
      <c r="CV113" s="147">
        <v>80.816618289107197</v>
      </c>
      <c r="CW113" s="147">
        <v>79.116132033791843</v>
      </c>
      <c r="CY113" s="147">
        <v>77.911677146878489</v>
      </c>
      <c r="CZ113" s="147">
        <v>78.304474978737744</v>
      </c>
      <c r="DA113" s="147">
        <v>77.774525713311334</v>
      </c>
      <c r="DB113" s="147">
        <v>77.797533104329432</v>
      </c>
      <c r="DC113" s="147">
        <v>78.277269844238091</v>
      </c>
      <c r="DD113" s="147">
        <v>79.553579178494005</v>
      </c>
      <c r="DE113" s="147">
        <v>77.865765607891007</v>
      </c>
      <c r="DF113" s="147">
        <v>77.888838724468428</v>
      </c>
      <c r="DG113" s="147">
        <v>77.843053685135203</v>
      </c>
      <c r="DH113" s="147">
        <v>78.213171788021626</v>
      </c>
      <c r="DI113" s="147">
        <v>77.865765607891007</v>
      </c>
      <c r="DJ113" s="147">
        <v>77.706091103104285</v>
      </c>
      <c r="DL113" s="147">
        <v>80.069827143869546</v>
      </c>
      <c r="DM113" s="147">
        <v>81.140144360247163</v>
      </c>
      <c r="DN113" s="147">
        <v>81.205908099388694</v>
      </c>
      <c r="DO113" s="147">
        <v>81.217162684803128</v>
      </c>
      <c r="DP113" s="147">
        <v>78.757478906549551</v>
      </c>
      <c r="DQ113" s="147">
        <v>79.795045719035258</v>
      </c>
      <c r="DR113" s="147">
        <v>79.937395078961003</v>
      </c>
      <c r="DU113" s="147">
        <v>78.065174765055076</v>
      </c>
      <c r="DV113" s="147">
        <v>78.195702617370301</v>
      </c>
      <c r="DX113" s="147">
        <v>78.168871448613942</v>
      </c>
      <c r="DY113" s="147">
        <v>78.168871448613942</v>
      </c>
      <c r="DZ113" s="147">
        <v>78.168816653505928</v>
      </c>
      <c r="EA113" s="147">
        <v>77.69329760455642</v>
      </c>
      <c r="EB113" s="147">
        <v>78.02135025232738</v>
      </c>
      <c r="EC113" s="147">
        <v>78.101025489532077</v>
      </c>
      <c r="ED113" s="147">
        <v>78.101025489532077</v>
      </c>
      <c r="EE113" s="147">
        <v>78.230598472854666</v>
      </c>
      <c r="EF113" s="147">
        <v>77.97482238561534</v>
      </c>
      <c r="EG113" s="147">
        <v>78.165755443384782</v>
      </c>
      <c r="EI113" s="147">
        <v>77.324855778644022</v>
      </c>
      <c r="EJ113" s="147">
        <v>77.522367538531057</v>
      </c>
      <c r="EK113" s="147">
        <v>77.324855778644022</v>
      </c>
      <c r="EL113" s="147">
        <v>76.897372630879872</v>
      </c>
      <c r="EM113" s="147">
        <v>77.324855778644022</v>
      </c>
      <c r="EN113" s="147">
        <v>78.136299882278621</v>
      </c>
      <c r="EO113" s="147">
        <v>77.324855778644022</v>
      </c>
      <c r="EP113" s="147">
        <v>77.275246826541121</v>
      </c>
      <c r="EQ113" s="147">
        <v>77.367700888839678</v>
      </c>
      <c r="ES113" s="147">
        <v>79.201987028329512</v>
      </c>
      <c r="ET113" s="147">
        <v>79.373846620159441</v>
      </c>
      <c r="EU113" s="147">
        <v>79.48215858859345</v>
      </c>
      <c r="EV113" s="147">
        <v>79.536811493965232</v>
      </c>
      <c r="EW113" s="147">
        <v>79.737738572389532</v>
      </c>
      <c r="EX113" s="147">
        <v>79.805068353551363</v>
      </c>
      <c r="EY113" s="147">
        <v>79.793856623974989</v>
      </c>
      <c r="EZ113" s="147">
        <v>79.770652133757324</v>
      </c>
      <c r="FA113" s="147">
        <v>79.670587946048769</v>
      </c>
      <c r="FB113" s="147">
        <v>79.591802732165405</v>
      </c>
      <c r="FD113" s="147">
        <v>79.925082997666237</v>
      </c>
      <c r="FE113" s="147">
        <v>79.925082997666237</v>
      </c>
      <c r="FF113" s="147">
        <v>79.689815608108091</v>
      </c>
      <c r="FG113" s="147">
        <v>79.996831772897067</v>
      </c>
      <c r="FH113" s="147">
        <v>79.853513755491861</v>
      </c>
      <c r="FI113" s="147">
        <v>79.925082997666237</v>
      </c>
      <c r="FJ113" s="147">
        <v>79.689815608108091</v>
      </c>
      <c r="FL113" s="147">
        <v>78.282991351426489</v>
      </c>
      <c r="FM113" s="147">
        <v>78.302325197753163</v>
      </c>
      <c r="FN113" s="147">
        <v>78.467692291583575</v>
      </c>
      <c r="FO113" s="147">
        <v>78.136945443158368</v>
      </c>
      <c r="FP113" s="147">
        <v>77.248262176557944</v>
      </c>
      <c r="FQ113" s="147">
        <v>77.248262176557944</v>
      </c>
      <c r="FR113" s="147">
        <v>77.27320954050586</v>
      </c>
      <c r="FS113" s="147">
        <v>77.27320954050586</v>
      </c>
      <c r="FT113" s="147">
        <v>77.248262176557944</v>
      </c>
      <c r="FV113" s="147">
        <v>78.388415503933558</v>
      </c>
      <c r="FW113" s="147">
        <v>78.388415503933558</v>
      </c>
      <c r="FX113" s="147">
        <v>78.408801879792392</v>
      </c>
      <c r="FY113" s="147">
        <v>78.408801879792392</v>
      </c>
      <c r="FZ113" s="147">
        <v>78.339722286930225</v>
      </c>
      <c r="GA113" s="147">
        <v>78.422550874178427</v>
      </c>
      <c r="GB113" s="147">
        <v>78.339722286930225</v>
      </c>
      <c r="GC113" s="147">
        <v>78.788025278371322</v>
      </c>
      <c r="GD113" s="147">
        <v>78.408801879792392</v>
      </c>
      <c r="GE113" s="147">
        <v>77.426630440099444</v>
      </c>
      <c r="GG113" s="147">
        <v>78.853861943062768</v>
      </c>
      <c r="GH113" s="147">
        <v>79.344568253090529</v>
      </c>
      <c r="GI113" s="147">
        <v>79.415255399735557</v>
      </c>
      <c r="GJ113" s="147">
        <v>79.274033605071182</v>
      </c>
      <c r="GK113" s="147">
        <v>79.237833184415933</v>
      </c>
      <c r="GL113" s="147">
        <v>79.360729323485899</v>
      </c>
      <c r="GM113" s="147">
        <v>79.344568253090529</v>
      </c>
      <c r="GN113" s="147">
        <v>79.344568253090529</v>
      </c>
      <c r="GP113" s="147">
        <v>79.790323310573029</v>
      </c>
      <c r="GQ113" s="147">
        <v>79.801533234483159</v>
      </c>
      <c r="GR113" s="147">
        <v>79.993944943744367</v>
      </c>
      <c r="GS113" s="147">
        <v>80.05155936789248</v>
      </c>
      <c r="GT113" s="147">
        <v>79.879820593122886</v>
      </c>
      <c r="GU113" s="147">
        <v>79.812524013427037</v>
      </c>
      <c r="GW113" s="147">
        <v>79.169393567168285</v>
      </c>
      <c r="GX113" s="147">
        <v>79.255910553273253</v>
      </c>
      <c r="GY113" s="147">
        <v>79.325935633993311</v>
      </c>
      <c r="GZ113" s="147">
        <v>79.505920001042796</v>
      </c>
      <c r="HA113" s="147">
        <v>79.205788458360786</v>
      </c>
      <c r="HB113" s="147">
        <v>79.23952849558502</v>
      </c>
      <c r="HC113" s="147">
        <v>79.22282341763102</v>
      </c>
      <c r="HE113" s="147">
        <v>79.134183114841065</v>
      </c>
      <c r="HF113" s="147">
        <v>79.029343322180964</v>
      </c>
      <c r="HG113" s="147">
        <v>79.043319296112614</v>
      </c>
      <c r="HH113" s="147">
        <v>79.067303022639948</v>
      </c>
      <c r="HI113" s="147">
        <v>79.215073561465374</v>
      </c>
      <c r="HK113" s="147">
        <v>81.562698749818892</v>
      </c>
      <c r="HL113" s="147">
        <v>80.907526999252084</v>
      </c>
      <c r="HN113" s="147">
        <v>79.456932110148841</v>
      </c>
      <c r="HO113" s="147">
        <v>79.38702937377505</v>
      </c>
      <c r="HP113" s="147">
        <v>79.471915861225924</v>
      </c>
      <c r="HQ113" s="147">
        <v>80.118994411822555</v>
      </c>
      <c r="HR113" s="147">
        <v>80.014746432652714</v>
      </c>
      <c r="HS113" s="147">
        <v>79.541732648992109</v>
      </c>
      <c r="HU113" s="147">
        <v>83.076414406724524</v>
      </c>
      <c r="HV113" s="147">
        <v>82.534901349941862</v>
      </c>
      <c r="HW113" s="147">
        <v>80.829679650788492</v>
      </c>
      <c r="HX113" s="147">
        <v>80.859976538487174</v>
      </c>
      <c r="HY113" s="147">
        <v>80.329169584116599</v>
      </c>
      <c r="HZ113" s="147">
        <v>81.929748240778281</v>
      </c>
      <c r="IA113" s="147">
        <v>79.187024526129733</v>
      </c>
      <c r="IB113" s="147">
        <v>79.035828971961791</v>
      </c>
      <c r="IC113" s="147">
        <v>80.72502035245131</v>
      </c>
      <c r="IE113" s="147">
        <v>79.563440720379447</v>
      </c>
      <c r="IF113" s="147">
        <v>79.575234937474477</v>
      </c>
      <c r="IG113" s="147">
        <v>80.056764360510982</v>
      </c>
      <c r="IH113" s="147">
        <v>79.508616643312607</v>
      </c>
      <c r="II113" s="147">
        <v>79.454128229315984</v>
      </c>
      <c r="IJ113" s="147">
        <v>78.429830903810341</v>
      </c>
      <c r="IK113" s="147">
        <v>78.160398995515564</v>
      </c>
      <c r="IL113" s="147">
        <v>80.467178447979904</v>
      </c>
      <c r="IM113" s="147">
        <v>79.900159655348176</v>
      </c>
      <c r="IN113" s="147">
        <v>79.843457624100921</v>
      </c>
      <c r="IO113" s="147">
        <v>79.256362399220677</v>
      </c>
      <c r="IP113" s="147">
        <v>78.478770472830959</v>
      </c>
      <c r="IR113" s="147">
        <v>78.45139902091023</v>
      </c>
      <c r="IS113" s="147">
        <v>78.644424902535377</v>
      </c>
      <c r="IT113" s="147">
        <v>78.615413658794068</v>
      </c>
      <c r="IV113" s="147">
        <v>81.144012047270266</v>
      </c>
      <c r="IW113" s="147">
        <v>80.998855392744701</v>
      </c>
      <c r="IY113" s="147">
        <v>82.354762413563819</v>
      </c>
      <c r="IZ113" s="147">
        <v>82.113410114710675</v>
      </c>
      <c r="JA113" s="147">
        <v>82.272464252457141</v>
      </c>
      <c r="JB113" s="147">
        <v>82.13070961835254</v>
      </c>
      <c r="JC113" s="147">
        <v>82.19000517159553</v>
      </c>
      <c r="JD113" s="147">
        <v>82.344139297017676</v>
      </c>
      <c r="JE113" s="147">
        <v>82.349515716301397</v>
      </c>
      <c r="JG113" s="147">
        <v>81.829568326935998</v>
      </c>
      <c r="JH113" s="147">
        <v>81.524308229607428</v>
      </c>
      <c r="JI113" s="147">
        <v>81.676762438068295</v>
      </c>
      <c r="JJ113" s="147">
        <v>82.116659681152015</v>
      </c>
      <c r="JK113" s="147">
        <v>81.812207647748977</v>
      </c>
      <c r="JM113" s="147">
        <v>81.283293557774698</v>
      </c>
      <c r="JN113" s="147">
        <v>81.195990103278461</v>
      </c>
      <c r="JO113" s="147">
        <v>81.43710610809525</v>
      </c>
      <c r="JQ113" s="147">
        <v>76.798093763800594</v>
      </c>
      <c r="JR113" s="147">
        <v>77.182117573265103</v>
      </c>
      <c r="JS113" s="147">
        <v>77.162619282734795</v>
      </c>
      <c r="JT113" s="147">
        <v>77.021472325166187</v>
      </c>
      <c r="JU113" s="147">
        <v>77.021472325166187</v>
      </c>
      <c r="JV113" s="147">
        <v>77.397914201202923</v>
      </c>
      <c r="JW113" s="147">
        <v>77.120715616890195</v>
      </c>
      <c r="JX113" s="147">
        <v>77.162619282734795</v>
      </c>
    </row>
    <row r="114" spans="1:285" s="147" customFormat="1" x14ac:dyDescent="0.2">
      <c r="A114" s="147" t="s">
        <v>1888</v>
      </c>
      <c r="C114" s="147">
        <v>0.93325426325184246</v>
      </c>
      <c r="D114" s="147">
        <v>0.93537406433313885</v>
      </c>
      <c r="E114" s="147">
        <v>0.93537406433313885</v>
      </c>
      <c r="F114" s="147">
        <v>0.93537406433313885</v>
      </c>
      <c r="G114" s="147">
        <v>0.932928809455006</v>
      </c>
      <c r="H114" s="147">
        <v>0.932928809455006</v>
      </c>
      <c r="J114" s="147">
        <v>0.93537406433313885</v>
      </c>
      <c r="L114" s="147">
        <v>0.93435137968576965</v>
      </c>
      <c r="M114" s="147">
        <v>8</v>
      </c>
      <c r="O114" s="147">
        <v>0.92663553080565253</v>
      </c>
      <c r="P114" s="147">
        <v>0.92567213597935416</v>
      </c>
      <c r="Q114" s="147">
        <v>0.92543119863472678</v>
      </c>
      <c r="U114" s="147">
        <v>0.94134250925834628</v>
      </c>
      <c r="V114" s="147">
        <v>0.93656406449937268</v>
      </c>
      <c r="W114" s="147">
        <v>0.927808133348904</v>
      </c>
      <c r="X114" s="147">
        <v>0.9272218942651993</v>
      </c>
      <c r="Y114" s="147">
        <v>0.9272218942651993</v>
      </c>
      <c r="Z114" s="147">
        <v>0.92543119863472678</v>
      </c>
      <c r="AA114" s="147">
        <v>9</v>
      </c>
      <c r="AB114" s="147">
        <v>0.91755230710140701</v>
      </c>
      <c r="AD114" s="147">
        <v>0.92490883128847423</v>
      </c>
      <c r="AE114" s="147">
        <v>0.91783777717089254</v>
      </c>
      <c r="AG114" s="147">
        <v>0.92998976743708472</v>
      </c>
      <c r="AH114" s="147">
        <v>0.92998976743708472</v>
      </c>
      <c r="AK114" s="147">
        <v>0.93833948050601323</v>
      </c>
      <c r="AL114" s="147">
        <v>0.9361199964017427</v>
      </c>
      <c r="AM114" s="147">
        <v>0.93707841009464588</v>
      </c>
      <c r="AN114" s="147">
        <v>0.93648307525308794</v>
      </c>
      <c r="AO114" s="147">
        <v>0.93636248464810679</v>
      </c>
      <c r="AP114" s="147">
        <v>0.93875302360215174</v>
      </c>
      <c r="AQ114" s="147">
        <v>0.93912070713996532</v>
      </c>
      <c r="AR114" s="147">
        <v>0.93912070713996532</v>
      </c>
      <c r="AS114" s="147">
        <v>0.93912070713996532</v>
      </c>
      <c r="AT114" s="147">
        <v>0.93912070713996532</v>
      </c>
      <c r="AU114" s="147">
        <v>0.93909135656252296</v>
      </c>
      <c r="AV114" s="147">
        <v>0.93544636846853479</v>
      </c>
      <c r="AW114" s="147">
        <v>0.93370821972409868</v>
      </c>
      <c r="AX114" s="147">
        <v>0.93544636846853479</v>
      </c>
      <c r="AY114" s="147">
        <v>0.93843740488083682</v>
      </c>
      <c r="AZ114" s="147">
        <v>0.93843740488083682</v>
      </c>
      <c r="BA114" s="147">
        <v>0.93843740488083682</v>
      </c>
      <c r="BB114" s="147">
        <v>0.93203948766470235</v>
      </c>
      <c r="BC114" s="147">
        <v>0.93176956385943943</v>
      </c>
      <c r="BD114" s="147">
        <v>0.93333703832030257</v>
      </c>
      <c r="BE114" s="147">
        <v>0.93333703832030257</v>
      </c>
      <c r="BF114" s="147">
        <v>0.93333703832030257</v>
      </c>
      <c r="BG114" s="147">
        <v>0.94027451875959678</v>
      </c>
      <c r="BH114" s="147">
        <v>0.93203948766470235</v>
      </c>
      <c r="BI114" s="147">
        <v>0.94027451875959678</v>
      </c>
      <c r="BJ114" s="147">
        <v>0.93227545155841696</v>
      </c>
      <c r="BK114" s="147">
        <v>0.93159507225924276</v>
      </c>
      <c r="BL114" s="147">
        <v>0.93291195991262554</v>
      </c>
      <c r="BM114" s="147">
        <v>30</v>
      </c>
      <c r="BN114" s="147">
        <v>0.92136825194093219</v>
      </c>
      <c r="BO114" s="147">
        <v>0.92108885665628892</v>
      </c>
      <c r="BP114" s="147">
        <v>0.92126263713338918</v>
      </c>
      <c r="BR114" s="147">
        <v>0.92154295609572001</v>
      </c>
      <c r="BS114" s="147">
        <v>0.92200328175611257</v>
      </c>
      <c r="BU114" s="147">
        <v>0.92181390961082454</v>
      </c>
      <c r="CA114" s="147">
        <v>0.94422541821492745</v>
      </c>
      <c r="CB114" s="147">
        <v>0.94538769915154308</v>
      </c>
      <c r="CC114" s="147">
        <v>0.94538769915154308</v>
      </c>
      <c r="CD114" s="147">
        <v>3</v>
      </c>
      <c r="CH114" s="147">
        <v>0.93260950474040161</v>
      </c>
      <c r="CI114" s="147">
        <v>0.93103367844043805</v>
      </c>
      <c r="CJ114" s="147">
        <v>0.9301393836760341</v>
      </c>
      <c r="CK114" s="147">
        <v>0.93389729485699302</v>
      </c>
      <c r="CL114" s="147">
        <v>0.93455950037284397</v>
      </c>
      <c r="CM114" s="147">
        <v>0.92985550703743725</v>
      </c>
      <c r="CN114" s="147">
        <v>0.93237024918200073</v>
      </c>
      <c r="CO114" s="147">
        <v>0.93219988288527045</v>
      </c>
      <c r="CP114" s="147">
        <v>0.93219988288527045</v>
      </c>
      <c r="CQ114" s="147">
        <v>0.931756902022147</v>
      </c>
      <c r="CR114" s="147">
        <v>0.931756902022147</v>
      </c>
      <c r="CS114" s="147">
        <v>0.93813303058392539</v>
      </c>
      <c r="CT114" s="147">
        <v>0.94139706340165208</v>
      </c>
      <c r="CU114" s="147">
        <v>0.943797278468685</v>
      </c>
      <c r="CV114" s="147">
        <v>0.943797278468685</v>
      </c>
      <c r="CW114" s="147">
        <v>0.9337443888987641</v>
      </c>
      <c r="CX114" s="147">
        <v>16</v>
      </c>
      <c r="CY114" s="147">
        <v>0.92783036086800053</v>
      </c>
      <c r="CZ114" s="147">
        <v>0.92896338577600035</v>
      </c>
      <c r="DA114" s="147">
        <v>0.92729607560662097</v>
      </c>
      <c r="DB114" s="147">
        <v>0.9277800945144915</v>
      </c>
      <c r="DC114" s="147">
        <v>0.9296333474140891</v>
      </c>
      <c r="DD114" s="147">
        <v>0.93484475152620472</v>
      </c>
      <c r="DE114" s="147">
        <v>0.92804462107853847</v>
      </c>
      <c r="DF114" s="147">
        <v>0.92734310332090242</v>
      </c>
      <c r="DG114" s="147">
        <v>0.92756319064311099</v>
      </c>
      <c r="DH114" s="147">
        <v>0.92821064950961896</v>
      </c>
      <c r="DI114" s="147">
        <v>0.92804462107853847</v>
      </c>
      <c r="DJ114" s="147">
        <v>0.9270290082085082</v>
      </c>
      <c r="DK114" s="147">
        <v>12</v>
      </c>
      <c r="DL114" s="147">
        <v>0.93444036257982765</v>
      </c>
      <c r="DM114" s="147">
        <v>0.93886531550596908</v>
      </c>
      <c r="DN114" s="147">
        <v>0.938760543732024</v>
      </c>
      <c r="DO114" s="147">
        <v>0.93915400593093623</v>
      </c>
      <c r="DP114" s="147">
        <v>0.93344966901130499</v>
      </c>
      <c r="DQ114" s="147">
        <v>0.93726777509821424</v>
      </c>
      <c r="DR114" s="147">
        <v>0.93430846575373505</v>
      </c>
      <c r="DS114" s="147">
        <v>7</v>
      </c>
      <c r="DU114" s="147">
        <v>0.93289954178088552</v>
      </c>
      <c r="DV114" s="147">
        <v>0.93337615745024172</v>
      </c>
      <c r="DX114" s="147">
        <v>0.93625808984931502</v>
      </c>
      <c r="DY114" s="147">
        <v>0.93625808984931502</v>
      </c>
      <c r="DZ114" s="147">
        <v>0.93512223767349112</v>
      </c>
      <c r="EA114" s="147">
        <v>0.92382475158896171</v>
      </c>
      <c r="EB114" s="147">
        <v>0.92960559174125779</v>
      </c>
      <c r="EC114" s="147">
        <v>0.93366692195144274</v>
      </c>
      <c r="ED114" s="147">
        <v>0.93366692195144274</v>
      </c>
      <c r="EE114" s="147">
        <v>0.9341355778536371</v>
      </c>
      <c r="EF114" s="147">
        <v>0.92979873393906209</v>
      </c>
      <c r="EG114" s="147">
        <v>0.93390118083253337</v>
      </c>
      <c r="EH114" s="147">
        <v>12</v>
      </c>
      <c r="EI114" s="147">
        <v>0.92654279021102481</v>
      </c>
      <c r="EJ114" s="147">
        <v>0.92611821682718909</v>
      </c>
      <c r="EK114" s="147">
        <v>0.92654279021102481</v>
      </c>
      <c r="EL114" s="147">
        <v>0.92447441154444099</v>
      </c>
      <c r="EM114" s="147">
        <v>0.92654279021102481</v>
      </c>
      <c r="EN114" s="147">
        <v>0.92967044752603623</v>
      </c>
      <c r="EO114" s="147">
        <v>0.92654279021102481</v>
      </c>
      <c r="EP114" s="147">
        <v>0.92555320830569943</v>
      </c>
      <c r="EQ114" s="147">
        <v>0.92631532331289801</v>
      </c>
      <c r="ER114" s="147">
        <v>9</v>
      </c>
      <c r="ES114" s="147">
        <v>0.94009597984972171</v>
      </c>
      <c r="ET114" s="147">
        <v>0.94016632895000596</v>
      </c>
      <c r="EU114" s="147">
        <v>0.94000819538824931</v>
      </c>
      <c r="EV114" s="147">
        <v>0.93992652278273581</v>
      </c>
      <c r="EW114" s="147">
        <v>0.94062234663662392</v>
      </c>
      <c r="EX114" s="147">
        <v>0.94085495992637191</v>
      </c>
      <c r="EY114" s="147">
        <v>0.94054515652053772</v>
      </c>
      <c r="EZ114" s="147">
        <v>0.94152493576472773</v>
      </c>
      <c r="FA114" s="147">
        <v>0.94039007552497189</v>
      </c>
      <c r="FB114" s="147">
        <v>0.93984312266556314</v>
      </c>
      <c r="FC114" s="147">
        <v>10</v>
      </c>
      <c r="FD114" s="147">
        <v>0.93657417307316393</v>
      </c>
      <c r="FE114" s="147">
        <v>0.93657417307316393</v>
      </c>
      <c r="FF114" s="147">
        <v>0.93353898691878168</v>
      </c>
      <c r="FG114" s="147">
        <v>0.93683964545439924</v>
      </c>
      <c r="FH114" s="147">
        <v>0.93630903995232073</v>
      </c>
      <c r="FI114" s="147">
        <v>0.93657417307316393</v>
      </c>
      <c r="FJ114" s="147">
        <v>0.93353898691878168</v>
      </c>
      <c r="FK114" s="147">
        <v>7</v>
      </c>
      <c r="FL114" s="147">
        <v>0.93120932346233032</v>
      </c>
      <c r="FM114" s="147">
        <v>0.93163806855982212</v>
      </c>
      <c r="FN114" s="147">
        <v>0.93154581715454443</v>
      </c>
      <c r="FO114" s="147">
        <v>0.92798850810881528</v>
      </c>
      <c r="FP114" s="147">
        <v>0.92571671249433429</v>
      </c>
      <c r="FQ114" s="147">
        <v>0.92571671249433429</v>
      </c>
      <c r="FR114" s="147">
        <v>0.92621220315075004</v>
      </c>
      <c r="FS114" s="147">
        <v>0.92621220315075004</v>
      </c>
      <c r="FT114" s="147">
        <v>0.92571671249433429</v>
      </c>
      <c r="FU114" s="147">
        <v>9</v>
      </c>
      <c r="FV114" s="147">
        <v>0.92975162471788231</v>
      </c>
      <c r="FW114" s="147">
        <v>0.92975162471788231</v>
      </c>
      <c r="FX114" s="147">
        <v>0.93021196038026388</v>
      </c>
      <c r="FY114" s="147">
        <v>0.93021196038026388</v>
      </c>
      <c r="FZ114" s="147">
        <v>0.92994690894926813</v>
      </c>
      <c r="GA114" s="147">
        <v>0.92788894189545823</v>
      </c>
      <c r="GB114" s="147">
        <v>0.92994690894926813</v>
      </c>
      <c r="GC114" s="147">
        <v>0.93090694925051709</v>
      </c>
      <c r="GD114" s="147">
        <v>0.93021196038026388</v>
      </c>
      <c r="GE114" s="147">
        <v>0.92601263512384036</v>
      </c>
      <c r="GF114" s="147">
        <v>10</v>
      </c>
      <c r="GG114" s="147">
        <v>0.93218429335355457</v>
      </c>
      <c r="GH114" s="147">
        <v>0.93403683368838886</v>
      </c>
      <c r="GI114" s="147">
        <v>0.93430241114103962</v>
      </c>
      <c r="GJ114" s="147">
        <v>0.9337715079495772</v>
      </c>
      <c r="GK114" s="147">
        <v>0.92977172642321182</v>
      </c>
      <c r="GL114" s="147">
        <v>0.93445113553173753</v>
      </c>
      <c r="GM114" s="147">
        <v>0.93403683368838886</v>
      </c>
      <c r="GN114" s="147">
        <v>0.93403683368838886</v>
      </c>
      <c r="GO114" s="147">
        <v>8</v>
      </c>
      <c r="GP114" s="147">
        <v>0.94055121257075835</v>
      </c>
      <c r="GQ114" s="147">
        <v>0.9408607764463619</v>
      </c>
      <c r="GR114" s="147">
        <v>0.94125600007299992</v>
      </c>
      <c r="GS114" s="147">
        <v>0.94118367767084787</v>
      </c>
      <c r="GT114" s="147">
        <v>0.94139612612524015</v>
      </c>
      <c r="GU114" s="147">
        <v>0.94116498236024237</v>
      </c>
      <c r="GV114" s="147">
        <v>6</v>
      </c>
      <c r="GW114" s="147">
        <v>0.93361286520245335</v>
      </c>
      <c r="GX114" s="147">
        <v>0.93428988046152095</v>
      </c>
      <c r="GY114" s="147">
        <v>0.93455120452178275</v>
      </c>
      <c r="GZ114" s="147">
        <v>0.934521245492967</v>
      </c>
      <c r="HA114" s="147">
        <v>0.93302739377843635</v>
      </c>
      <c r="HB114" s="147">
        <v>0.93387629435728903</v>
      </c>
      <c r="HC114" s="147">
        <v>0.93345550880216277</v>
      </c>
      <c r="HD114" s="147">
        <v>7</v>
      </c>
      <c r="HE114" s="147">
        <v>0.93709482426025414</v>
      </c>
      <c r="HF114" s="147">
        <v>0.93731669176388122</v>
      </c>
      <c r="HG114" s="147">
        <v>0.93765727562030421</v>
      </c>
      <c r="HH114" s="147">
        <v>0.93685592008956631</v>
      </c>
      <c r="HI114" s="147">
        <v>0.93768105174868166</v>
      </c>
      <c r="HK114" s="147">
        <v>0.94449686216474327</v>
      </c>
      <c r="HL114" s="147">
        <v>0.94248872056085908</v>
      </c>
      <c r="HM114" s="147">
        <v>7</v>
      </c>
      <c r="HN114" s="147">
        <v>0.93553794213443098</v>
      </c>
      <c r="HO114" s="147">
        <v>0.93527952285224425</v>
      </c>
      <c r="HP114" s="147">
        <v>0.93592863039204077</v>
      </c>
      <c r="HQ114" s="147">
        <v>0.9386127072506345</v>
      </c>
      <c r="HR114" s="147">
        <v>0.93916805299923922</v>
      </c>
      <c r="HS114" s="147">
        <v>0.93618510367525776</v>
      </c>
      <c r="HT114" s="147">
        <v>6</v>
      </c>
      <c r="HU114" s="147">
        <v>0.94904457336355874</v>
      </c>
      <c r="HV114" s="147">
        <v>0.94823888258199462</v>
      </c>
      <c r="HW114" s="147">
        <v>0.94086144308124653</v>
      </c>
      <c r="HX114" s="147">
        <v>0.94187380284412736</v>
      </c>
      <c r="HY114" s="147">
        <v>0.94116311695305299</v>
      </c>
      <c r="HZ114" s="147">
        <v>0.94669499305166438</v>
      </c>
      <c r="IA114" s="147">
        <v>0.93618942539392291</v>
      </c>
      <c r="IB114" s="147">
        <v>0.93531801786497282</v>
      </c>
      <c r="IC114" s="147">
        <v>0.94169006848708137</v>
      </c>
      <c r="ID114" s="147">
        <v>9</v>
      </c>
      <c r="IE114" s="147">
        <v>0.93988955548378239</v>
      </c>
      <c r="IF114" s="147">
        <v>0.94020261619159096</v>
      </c>
      <c r="IG114" s="147">
        <v>0.94212201693067266</v>
      </c>
      <c r="IH114" s="147">
        <v>0.93997203740005209</v>
      </c>
      <c r="II114" s="147">
        <v>0.94005278720553553</v>
      </c>
      <c r="IJ114" s="147">
        <v>0.93676426866157292</v>
      </c>
      <c r="IK114" s="147">
        <v>0.93553463438159912</v>
      </c>
      <c r="IL114" s="147">
        <v>0.94351861593278397</v>
      </c>
      <c r="IM114" s="147">
        <v>0.94105603612826838</v>
      </c>
      <c r="IN114" s="147">
        <v>0.94112823055927852</v>
      </c>
      <c r="IO114" s="147">
        <v>0.93936887916256473</v>
      </c>
      <c r="IP114" s="147">
        <v>0.93665624974098227</v>
      </c>
      <c r="IQ114" s="147">
        <v>12</v>
      </c>
      <c r="IR114" s="147">
        <v>0.92772481377203531</v>
      </c>
      <c r="IS114" s="147">
        <v>0.92807403888281315</v>
      </c>
      <c r="IT114" s="147">
        <v>0.92878425368024287</v>
      </c>
      <c r="IU114" s="147">
        <v>3</v>
      </c>
      <c r="IV114" s="147">
        <v>0.94384865238359905</v>
      </c>
      <c r="IW114" s="147">
        <v>0.94334522177851377</v>
      </c>
      <c r="IX114" s="147">
        <v>2</v>
      </c>
      <c r="IY114" s="147">
        <v>0.94850072149128595</v>
      </c>
      <c r="IZ114" s="147">
        <v>0.94717854943496271</v>
      </c>
      <c r="JA114" s="147">
        <v>0.94797374499989018</v>
      </c>
      <c r="JB114" s="147">
        <v>0.94799448706557943</v>
      </c>
      <c r="JC114" s="147">
        <v>0.94743929438274055</v>
      </c>
      <c r="JD114" s="147">
        <v>0.9479629609772191</v>
      </c>
      <c r="JE114" s="147">
        <v>0.94823412619805247</v>
      </c>
      <c r="JF114" s="147">
        <v>7</v>
      </c>
      <c r="JG114" s="147">
        <v>0.94830206761873304</v>
      </c>
      <c r="JH114" s="147">
        <v>0.94681684651823006</v>
      </c>
      <c r="JI114" s="147">
        <v>0.94756358488366688</v>
      </c>
      <c r="JJ114" s="147">
        <v>0.94878695555935033</v>
      </c>
      <c r="JK114" s="147">
        <v>0.94753728692871475</v>
      </c>
      <c r="JL114" s="147">
        <v>5</v>
      </c>
      <c r="JM114" s="147">
        <v>0.94024564781940345</v>
      </c>
      <c r="JN114" s="147">
        <v>0.93958414378401012</v>
      </c>
      <c r="JO114" s="147">
        <v>0.94081294789308578</v>
      </c>
      <c r="JP114" s="147">
        <v>3</v>
      </c>
      <c r="JQ114" s="147">
        <v>0.92507452539510771</v>
      </c>
      <c r="JR114" s="147">
        <v>0.92841980467935636</v>
      </c>
      <c r="JS114" s="147">
        <v>0.92905048476759333</v>
      </c>
      <c r="JT114" s="147">
        <v>0.9263274101566823</v>
      </c>
      <c r="JU114" s="147">
        <v>0.9263274101566823</v>
      </c>
      <c r="JV114" s="147">
        <v>0.93060368938385674</v>
      </c>
      <c r="JW114" s="147">
        <v>0.92923841173951061</v>
      </c>
      <c r="JX114" s="147">
        <v>0.92905048476759333</v>
      </c>
      <c r="JY114" s="147">
        <v>8</v>
      </c>
    </row>
    <row r="116" spans="1:285" x14ac:dyDescent="0.2">
      <c r="A116" s="145" t="s">
        <v>1702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70CA4D-D2CE-473F-B940-039ACCCF99C7}"/>
</file>

<file path=customXml/itemProps2.xml><?xml version="1.0" encoding="utf-8"?>
<ds:datastoreItem xmlns:ds="http://schemas.openxmlformats.org/officeDocument/2006/customXml" ds:itemID="{854E7592-3508-4968-82A1-55216BD39C87}"/>
</file>

<file path=customXml/itemProps3.xml><?xml version="1.0" encoding="utf-8"?>
<ds:datastoreItem xmlns:ds="http://schemas.openxmlformats.org/officeDocument/2006/customXml" ds:itemID="{6C7304D0-A7E4-4050-ABFF-A1C8990162A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</dc:creator>
  <cp:lastModifiedBy>Matthias</cp:lastModifiedBy>
  <dcterms:created xsi:type="dcterms:W3CDTF">2017-01-23T13:30:03Z</dcterms:created>
  <dcterms:modified xsi:type="dcterms:W3CDTF">2018-09-30T14:22:12Z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