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D88" i="1" l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C90" i="1"/>
  <c r="C89" i="1"/>
  <c r="C88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C87" i="1"/>
</calcChain>
</file>

<file path=xl/sharedStrings.xml><?xml version="1.0" encoding="utf-8"?>
<sst xmlns="http://schemas.openxmlformats.org/spreadsheetml/2006/main" count="585" uniqueCount="156">
  <si>
    <t>μg/g</t>
  </si>
  <si>
    <t>Mn</t>
  </si>
  <si>
    <t>Fe</t>
  </si>
  <si>
    <t>Co</t>
  </si>
  <si>
    <t>Ni</t>
  </si>
  <si>
    <t>Cu</t>
  </si>
  <si>
    <t>Ga</t>
  </si>
  <si>
    <t>Ge</t>
  </si>
  <si>
    <t>As</t>
  </si>
  <si>
    <t>Ag</t>
  </si>
  <si>
    <t>Cd</t>
  </si>
  <si>
    <t>In</t>
  </si>
  <si>
    <t>Sn</t>
  </si>
  <si>
    <t>Sb</t>
  </si>
  <si>
    <t>Tl</t>
  </si>
  <si>
    <t>Pb</t>
  </si>
  <si>
    <t>Bi</t>
  </si>
  <si>
    <t>U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</si>
  <si>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</si>
  <si>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</si>
  <si>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</si>
  <si>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</si>
  <si>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</si>
  <si>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</si>
  <si>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</si>
  <si>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</si>
  <si>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</si>
  <si>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</si>
  <si>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</si>
  <si>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</si>
  <si>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</si>
  <si>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</si>
  <si>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</si>
  <si>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</si>
  <si>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</si>
  <si>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</si>
  <si>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</si>
  <si>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</si>
  <si>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</si>
  <si>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</si>
  <si>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</si>
  <si>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</si>
  <si>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</si>
  <si>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</si>
  <si>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</si>
  <si>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</si>
  <si>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</si>
  <si>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</si>
  <si>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</si>
  <si>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</si>
  <si>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</si>
  <si>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</si>
  <si>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</si>
  <si>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</si>
  <si>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</si>
  <si>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</si>
  <si>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</si>
  <si>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</si>
  <si>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</si>
  <si>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</si>
  <si>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</si>
  <si>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</si>
  <si>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</si>
  <si>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</si>
  <si>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</si>
  <si>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</si>
  <si>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</si>
  <si>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</si>
  <si>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</si>
  <si>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</si>
  <si>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</si>
  <si>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</si>
  <si>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</si>
  <si>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</si>
  <si>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</si>
  <si>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</si>
  <si>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</si>
  <si>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</si>
  <si>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</si>
  <si>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</si>
  <si>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</si>
  <si>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</si>
  <si>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</si>
  <si>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</si>
  <si>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</si>
  <si>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</si>
  <si>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</si>
  <si>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</si>
  <si>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</si>
  <si>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</si>
  <si>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</si>
  <si>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</si>
  <si>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</si>
  <si>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</si>
  <si>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</si>
  <si>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</si>
  <si>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</si>
  <si>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</si>
  <si>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</si>
  <si>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</si>
  <si>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</si>
  <si>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</si>
  <si>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</si>
  <si>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MEAN</t>
    <phoneticPr fontId="2" type="noConversion"/>
  </si>
  <si>
    <t>STD</t>
    <phoneticPr fontId="2" type="noConversion"/>
  </si>
  <si>
    <t>MAXIMA</t>
    <phoneticPr fontId="2" type="noConversion"/>
  </si>
  <si>
    <t>MINIMA</t>
    <phoneticPr fontId="2" type="noConversion"/>
  </si>
  <si>
    <t>Skar</t>
  </si>
  <si>
    <t>Hetaoping</t>
  </si>
  <si>
    <t>Luziyuan</t>
  </si>
  <si>
    <t>VHMS+SEDEX</t>
  </si>
  <si>
    <t>Dabaoshan</t>
  </si>
  <si>
    <t>Bainiuchang</t>
  </si>
  <si>
    <t>Laochang</t>
  </si>
  <si>
    <t>MVT</t>
  </si>
  <si>
    <t>Huize</t>
  </si>
  <si>
    <t>Niujiaotang</t>
  </si>
  <si>
    <t>mengxing</t>
  </si>
  <si>
    <t>Special Jinding type</t>
  </si>
  <si>
    <t>Jinding</t>
  </si>
  <si>
    <t>Ore Diposit</t>
    <phoneticPr fontId="2" type="noConversion"/>
  </si>
  <si>
    <t>Daliangzi</t>
    <phoneticPr fontId="2" type="noConversion"/>
  </si>
  <si>
    <t>HTP-27(8)</t>
    <phoneticPr fontId="2" type="noConversion"/>
  </si>
  <si>
    <t>HTP-174(8)</t>
    <phoneticPr fontId="2" type="noConversion"/>
  </si>
  <si>
    <t>HTP-163(8)</t>
    <phoneticPr fontId="2" type="noConversion"/>
  </si>
  <si>
    <t>LZY-47(8)</t>
    <phoneticPr fontId="2" type="noConversion"/>
  </si>
  <si>
    <t>LZY-29(8)</t>
    <phoneticPr fontId="2" type="noConversion"/>
  </si>
  <si>
    <t>LZY-61(8)</t>
    <phoneticPr fontId="2" type="noConversion"/>
  </si>
  <si>
    <t>DBS-1(10)</t>
    <phoneticPr fontId="2" type="noConversion"/>
  </si>
  <si>
    <t>DBS-2(8)</t>
    <phoneticPr fontId="2" type="noConversion"/>
  </si>
  <si>
    <t>DBS-6(8)</t>
    <phoneticPr fontId="2" type="noConversion"/>
  </si>
  <si>
    <t>BNC-3(10)</t>
    <phoneticPr fontId="2" type="noConversion"/>
  </si>
  <si>
    <t>BNC-10(8)</t>
    <phoneticPr fontId="2" type="noConversion"/>
  </si>
  <si>
    <t>LC-9(14)</t>
    <phoneticPr fontId="2" type="noConversion"/>
  </si>
  <si>
    <t>LC-19(8)</t>
    <phoneticPr fontId="2" type="noConversion"/>
  </si>
  <si>
    <t>LC-18(8)</t>
    <phoneticPr fontId="2" type="noConversion"/>
  </si>
  <si>
    <t>HZF-1086</t>
    <phoneticPr fontId="2" type="noConversion"/>
  </si>
  <si>
    <t>HZF-1062</t>
    <phoneticPr fontId="2" type="noConversion"/>
  </si>
  <si>
    <t>HZF-1065</t>
    <phoneticPr fontId="2" type="noConversion"/>
  </si>
  <si>
    <t>B-10</t>
    <phoneticPr fontId="2" type="noConversion"/>
  </si>
  <si>
    <t>B-6</t>
    <phoneticPr fontId="2" type="noConversion"/>
  </si>
  <si>
    <t>H-22</t>
    <phoneticPr fontId="2" type="noConversion"/>
  </si>
  <si>
    <t>M-1</t>
    <phoneticPr fontId="2" type="noConversion"/>
  </si>
  <si>
    <t>M-11</t>
    <phoneticPr fontId="2" type="noConversion"/>
  </si>
  <si>
    <t>M(8)</t>
    <phoneticPr fontId="2" type="noConversion"/>
  </si>
  <si>
    <t>Jind-150(8))</t>
    <phoneticPr fontId="2" type="noConversion"/>
  </si>
  <si>
    <t>Jind-148(8))</t>
    <phoneticPr fontId="2" type="noConversion"/>
  </si>
  <si>
    <t>Jind-155-26(8)</t>
    <phoneticPr fontId="2" type="noConversion"/>
  </si>
  <si>
    <t>Method</t>
    <phoneticPr fontId="2" type="noConversion"/>
  </si>
  <si>
    <t>LA-ICP-MS</t>
    <phoneticPr fontId="2" type="noConversion"/>
  </si>
  <si>
    <t>MVT</t>
    <phoneticPr fontId="2" type="noConversion"/>
  </si>
  <si>
    <t>Reference</t>
    <phoneticPr fontId="2" type="noConversion"/>
  </si>
  <si>
    <t>Ye et al., 2011</t>
  </si>
  <si>
    <t>Ye et al., 2011</t>
    <phoneticPr fontId="2" type="noConversion"/>
  </si>
  <si>
    <t>this paper</t>
  </si>
  <si>
    <t>Mineralization 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</si>
</sst>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118" sqref="W118"/>
    </sheetView>
  </sheetViews>
  <sheetFormatPr defaultRowHeight="13.5" x14ac:dyDescent="0.15"/>
  <cols>
    <col min="1" max="1" width="18.25" style="1" bestFit="1" customWidth="1"/>
    <col min="2" max="2" width="14.5" bestFit="1" customWidth="1"/>
    <col min="21" max="21" width="22.75" bestFit="1" customWidth="1"/>
    <col min="22" max="22" width="10.5" bestFit="1" customWidth="1"/>
    <col min="23" max="23" width="17.25" bestFit="1" customWidth="1"/>
  </cols>
  <sheetData>
    <row r="1" spans="1:23" s="1" customFormat="1" x14ac:dyDescent="0.15">
      <c r="A1" s="1" t="s">
        <v>0</v>
      </c>
      <c r="B1" s="1" t="s">
        <v>120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U1" s="1" t="s">
        <v>155</v>
      </c>
      <c r="V1" s="1" t="s">
        <v>148</v>
      </c>
      <c r="W1" s="1" t="s">
        <v>151</v>
      </c>
    </row>
    <row r="2" spans="1:23" x14ac:dyDescent="0.15">
      <c r="A2" s="1" t="s">
        <v>18</v>
      </c>
      <c r="B2" t="s">
        <v>121</v>
      </c>
      <c r="C2">
        <v>15.520799850968702</v>
      </c>
      <c r="D2">
        <v>32998.277627421761</v>
      </c>
      <c r="E2">
        <v>2.2248081520119225</v>
      </c>
      <c r="F2">
        <v>1.1301833204172875</v>
      </c>
      <c r="G2">
        <v>841.00631266766015</v>
      </c>
      <c r="H2">
        <v>1.765430918032787</v>
      </c>
      <c r="I2">
        <v>268.80295469448583</v>
      </c>
      <c r="J2">
        <v>13.93508345752608</v>
      </c>
      <c r="K2">
        <v>43.69849964232489</v>
      </c>
      <c r="L2">
        <v>1479.0409269746649</v>
      </c>
      <c r="M2">
        <v>3.0753287630402382E-3</v>
      </c>
      <c r="N2">
        <v>0.90683756900149026</v>
      </c>
      <c r="O2">
        <v>10.98468992548435</v>
      </c>
      <c r="P2">
        <v>0.42929667451564829</v>
      </c>
      <c r="Q2">
        <v>35.42394318926975</v>
      </c>
      <c r="R2">
        <v>1.9605220864381521E-2</v>
      </c>
      <c r="S2">
        <v>5.6701374068554395E-3</v>
      </c>
      <c r="U2" t="s">
        <v>150</v>
      </c>
      <c r="V2" t="s">
        <v>149</v>
      </c>
      <c r="W2" t="s">
        <v>154</v>
      </c>
    </row>
    <row r="3" spans="1:23" x14ac:dyDescent="0.15">
      <c r="A3" s="1" t="s">
        <v>19</v>
      </c>
      <c r="B3" t="s">
        <v>121</v>
      </c>
      <c r="C3">
        <v>18.724099883855981</v>
      </c>
      <c r="D3">
        <v>57285.183331844302</v>
      </c>
      <c r="E3">
        <v>7.1276406891211774</v>
      </c>
      <c r="G3">
        <v>3998.3154828910929</v>
      </c>
      <c r="H3">
        <v>0.32215053902736834</v>
      </c>
      <c r="I3">
        <v>264.2498609249829</v>
      </c>
      <c r="J3">
        <v>8.7984065249114032</v>
      </c>
      <c r="K3">
        <v>53.387689925250903</v>
      </c>
      <c r="L3">
        <v>1631.3972155216059</v>
      </c>
      <c r="N3">
        <v>0.5443431909824592</v>
      </c>
      <c r="O3">
        <v>3.7371382947675631</v>
      </c>
      <c r="P3">
        <v>1.2722785818517526</v>
      </c>
      <c r="Q3">
        <v>12.213874385776826</v>
      </c>
      <c r="U3" t="s">
        <v>150</v>
      </c>
      <c r="V3" t="s">
        <v>149</v>
      </c>
      <c r="W3" t="s">
        <v>154</v>
      </c>
    </row>
    <row r="4" spans="1:23" x14ac:dyDescent="0.15">
      <c r="A4" s="1" t="s">
        <v>20</v>
      </c>
      <c r="B4" t="s">
        <v>121</v>
      </c>
      <c r="C4">
        <v>17.269893084947839</v>
      </c>
      <c r="D4">
        <v>38930.779019374066</v>
      </c>
      <c r="E4">
        <v>2.9830689001490311</v>
      </c>
      <c r="G4">
        <v>1538.6254217585692</v>
      </c>
      <c r="H4">
        <v>0.65158528166915053</v>
      </c>
      <c r="I4">
        <v>271.58997138599108</v>
      </c>
      <c r="J4">
        <v>1.0859754694485841</v>
      </c>
      <c r="K4">
        <v>32.502380864381522</v>
      </c>
      <c r="L4">
        <v>528.57213114754097</v>
      </c>
      <c r="N4">
        <v>0.36375373025335317</v>
      </c>
      <c r="O4">
        <v>6.8022428077496278</v>
      </c>
      <c r="P4">
        <v>0.89444014992548437</v>
      </c>
      <c r="Q4">
        <v>50.541106140089418</v>
      </c>
      <c r="R4">
        <v>1.3646771385991059E-2</v>
      </c>
      <c r="S4">
        <v>2.7870166915052162E-3</v>
      </c>
      <c r="U4" t="s">
        <v>150</v>
      </c>
      <c r="V4" t="s">
        <v>149</v>
      </c>
      <c r="W4" t="s">
        <v>154</v>
      </c>
    </row>
    <row r="5" spans="1:23" x14ac:dyDescent="0.15">
      <c r="A5" s="1" t="s">
        <v>21</v>
      </c>
      <c r="B5" t="s">
        <v>121</v>
      </c>
      <c r="C5">
        <v>24.516750244248914</v>
      </c>
      <c r="D5">
        <v>57682.781911875878</v>
      </c>
      <c r="E5">
        <v>3.7430805896161425</v>
      </c>
      <c r="G5">
        <v>683.80827425432255</v>
      </c>
      <c r="H5">
        <v>4.3217899267769013</v>
      </c>
      <c r="I5">
        <v>309.40518912897085</v>
      </c>
      <c r="J5">
        <v>2.5257954321400624</v>
      </c>
      <c r="K5">
        <v>37.098214323080526</v>
      </c>
      <c r="L5">
        <v>1054.7904174851276</v>
      </c>
      <c r="M5">
        <v>2.7842665975057877E-2</v>
      </c>
      <c r="N5">
        <v>0.59971011934672436</v>
      </c>
      <c r="O5">
        <v>3.4779575927887993</v>
      </c>
      <c r="P5">
        <v>0.11308113484750468</v>
      </c>
      <c r="Q5">
        <v>7.2618994328120241</v>
      </c>
      <c r="R5">
        <v>9.9777471924268855E-3</v>
      </c>
      <c r="U5" t="s">
        <v>150</v>
      </c>
      <c r="V5" t="s">
        <v>149</v>
      </c>
      <c r="W5" t="s">
        <v>154</v>
      </c>
    </row>
    <row r="6" spans="1:23" x14ac:dyDescent="0.15">
      <c r="A6" s="1" t="s">
        <v>22</v>
      </c>
      <c r="B6" t="s">
        <v>121</v>
      </c>
      <c r="C6">
        <v>48.942222019019752</v>
      </c>
      <c r="D6">
        <v>30595.206604660885</v>
      </c>
      <c r="E6">
        <v>2.7770428902358311</v>
      </c>
      <c r="F6">
        <v>0.94908038109171977</v>
      </c>
      <c r="G6">
        <v>2158.3622867825502</v>
      </c>
      <c r="H6">
        <v>0.52648689779496283</v>
      </c>
      <c r="I6">
        <v>43.476118049024052</v>
      </c>
      <c r="J6">
        <v>1862.5936473101799</v>
      </c>
      <c r="K6">
        <v>1012.7267971807108</v>
      </c>
      <c r="L6">
        <v>9594.6972254154043</v>
      </c>
      <c r="M6">
        <v>5.0729937529754646E-2</v>
      </c>
      <c r="N6">
        <v>0.79820093589252339</v>
      </c>
      <c r="O6">
        <v>492.04295497033252</v>
      </c>
      <c r="P6">
        <v>10.941567707063317</v>
      </c>
      <c r="Q6">
        <v>2982.9577658178609</v>
      </c>
      <c r="R6">
        <v>0.13974132238362302</v>
      </c>
      <c r="S6">
        <v>1.0670134461977914E-2</v>
      </c>
      <c r="U6" t="s">
        <v>150</v>
      </c>
      <c r="V6" t="s">
        <v>149</v>
      </c>
      <c r="W6" t="s">
        <v>154</v>
      </c>
    </row>
    <row r="7" spans="1:23" x14ac:dyDescent="0.15">
      <c r="A7" s="1" t="s">
        <v>23</v>
      </c>
      <c r="B7" t="s">
        <v>121</v>
      </c>
      <c r="C7">
        <v>7.6165075431129319</v>
      </c>
      <c r="D7">
        <v>17278.775152754271</v>
      </c>
      <c r="E7">
        <v>5.5612895012422747</v>
      </c>
      <c r="F7">
        <v>1.0914503544955076</v>
      </c>
      <c r="G7">
        <v>1765.8039963978445</v>
      </c>
      <c r="H7">
        <v>33.102913697870683</v>
      </c>
      <c r="I7">
        <v>55.177828146679303</v>
      </c>
      <c r="J7">
        <v>210.34537161161253</v>
      </c>
      <c r="K7">
        <v>101.67323492917423</v>
      </c>
      <c r="L7">
        <v>19162.803840930224</v>
      </c>
      <c r="M7">
        <v>0.35467407533432871</v>
      </c>
      <c r="N7">
        <v>3.0539802380121266</v>
      </c>
      <c r="O7">
        <v>267.18780341852766</v>
      </c>
      <c r="P7">
        <v>0.31476141939003893</v>
      </c>
      <c r="Q7">
        <v>74.699089253080757</v>
      </c>
      <c r="R7">
        <v>3.2251695917068293E-2</v>
      </c>
      <c r="S7">
        <v>1.3714064246260711E-2</v>
      </c>
      <c r="U7" t="s">
        <v>150</v>
      </c>
      <c r="V7" t="s">
        <v>149</v>
      </c>
      <c r="W7" t="s">
        <v>154</v>
      </c>
    </row>
    <row r="8" spans="1:23" x14ac:dyDescent="0.15">
      <c r="A8" s="1" t="s">
        <v>24</v>
      </c>
      <c r="B8" t="s">
        <v>121</v>
      </c>
      <c r="C8">
        <v>7.6197301503630985</v>
      </c>
      <c r="D8">
        <v>21493.810768070962</v>
      </c>
      <c r="E8">
        <v>6.4527957759336596</v>
      </c>
      <c r="F8">
        <v>0.28503962506405012</v>
      </c>
      <c r="G8">
        <v>2593.0819988338467</v>
      </c>
      <c r="H8">
        <v>40.078356342283655</v>
      </c>
      <c r="I8">
        <v>115.55403854195501</v>
      </c>
      <c r="J8">
        <v>349.51061287833721</v>
      </c>
      <c r="K8">
        <v>339.63582240310029</v>
      </c>
      <c r="L8">
        <v>19175.1340045586</v>
      </c>
      <c r="M8">
        <v>0.37894508448721653</v>
      </c>
      <c r="N8">
        <v>1.0862269522760601</v>
      </c>
      <c r="O8">
        <v>831.09654836296806</v>
      </c>
      <c r="P8">
        <v>0.18933011738098465</v>
      </c>
      <c r="Q8">
        <v>182.39877406663564</v>
      </c>
      <c r="R8">
        <v>7.9568023252389736E-2</v>
      </c>
      <c r="S8">
        <v>2.7440523532148722E-2</v>
      </c>
      <c r="U8" t="s">
        <v>150</v>
      </c>
      <c r="V8" t="s">
        <v>149</v>
      </c>
      <c r="W8" t="s">
        <v>154</v>
      </c>
    </row>
    <row r="9" spans="1:23" x14ac:dyDescent="0.15">
      <c r="A9" s="1" t="s">
        <v>25</v>
      </c>
      <c r="B9" t="s">
        <v>121</v>
      </c>
      <c r="C9">
        <v>7.3004409168419881</v>
      </c>
      <c r="D9">
        <v>23378.928945484073</v>
      </c>
      <c r="E9">
        <v>6.1989007315542759</v>
      </c>
      <c r="G9">
        <v>4825.0697139482527</v>
      </c>
      <c r="H9">
        <v>31.065908596316394</v>
      </c>
      <c r="I9">
        <v>60.418098667552506</v>
      </c>
      <c r="J9">
        <v>133.67004495626176</v>
      </c>
      <c r="K9">
        <v>134.43169763407522</v>
      </c>
      <c r="L9">
        <v>19479.267235079173</v>
      </c>
      <c r="M9">
        <v>9.7777162514302587E-2</v>
      </c>
      <c r="N9">
        <v>1.5147367630015132</v>
      </c>
      <c r="O9">
        <v>303.61379869338941</v>
      </c>
      <c r="P9">
        <v>9.8443608607389363E-2</v>
      </c>
      <c r="Q9">
        <v>91.817230310412285</v>
      </c>
      <c r="R9">
        <v>1.0758344074115083E-2</v>
      </c>
      <c r="S9">
        <v>4.3795028974273793E-3</v>
      </c>
      <c r="U9" t="s">
        <v>150</v>
      </c>
      <c r="V9" t="s">
        <v>149</v>
      </c>
      <c r="W9" t="s">
        <v>154</v>
      </c>
    </row>
    <row r="10" spans="1:23" x14ac:dyDescent="0.15">
      <c r="A10" s="1" t="s">
        <v>26</v>
      </c>
      <c r="B10" t="s">
        <v>121</v>
      </c>
      <c r="C10">
        <v>3.7103328396009529</v>
      </c>
      <c r="D10">
        <v>2095.0779582566656</v>
      </c>
      <c r="E10">
        <v>2.6914935585309308</v>
      </c>
      <c r="F10">
        <v>6.7812005318401756</v>
      </c>
      <c r="G10">
        <v>212.7365118572265</v>
      </c>
      <c r="H10">
        <v>16.331921926307313</v>
      </c>
      <c r="I10">
        <v>24.852144787368239</v>
      </c>
      <c r="J10">
        <v>93.632764915237971</v>
      </c>
      <c r="K10">
        <v>31.435138029493206</v>
      </c>
      <c r="L10">
        <v>4420.6503665441378</v>
      </c>
      <c r="M10">
        <v>2.4296088137488474</v>
      </c>
      <c r="N10">
        <v>18.547179870183154</v>
      </c>
      <c r="O10">
        <v>34.879101796490467</v>
      </c>
      <c r="P10">
        <v>1.0645794248504548</v>
      </c>
      <c r="Q10">
        <v>58.466666138164399</v>
      </c>
      <c r="R10">
        <v>4.3139233643897948E-2</v>
      </c>
      <c r="S10">
        <v>1.3452983464833041E-3</v>
      </c>
      <c r="U10" t="s">
        <v>150</v>
      </c>
      <c r="V10" t="s">
        <v>149</v>
      </c>
      <c r="W10" t="s">
        <v>154</v>
      </c>
    </row>
    <row r="11" spans="1:23" x14ac:dyDescent="0.15">
      <c r="A11" s="1" t="s">
        <v>27</v>
      </c>
      <c r="B11" t="s">
        <v>121</v>
      </c>
      <c r="C11">
        <v>5.6777558079241945</v>
      </c>
      <c r="D11">
        <v>19800.026027634027</v>
      </c>
      <c r="E11">
        <v>5.6758825793501515</v>
      </c>
      <c r="G11">
        <v>2630.949532243329</v>
      </c>
      <c r="H11">
        <v>29.409688612474383</v>
      </c>
      <c r="I11">
        <v>132.62458304224117</v>
      </c>
      <c r="J11">
        <v>257.28794464479978</v>
      </c>
      <c r="K11">
        <v>270.4942060918026</v>
      </c>
      <c r="L11">
        <v>15173.151449747929</v>
      </c>
      <c r="M11">
        <v>3.9618784341008483E-2</v>
      </c>
      <c r="N11">
        <v>0.74470201961077653</v>
      </c>
      <c r="O11">
        <v>621.81822515355861</v>
      </c>
      <c r="P11">
        <v>3.3811775761475323E-2</v>
      </c>
      <c r="Q11">
        <v>155.38431021686307</v>
      </c>
      <c r="R11">
        <v>2.7536460038431427E-2</v>
      </c>
      <c r="S11">
        <v>1.2175985731279202E-3</v>
      </c>
      <c r="U11" t="s">
        <v>150</v>
      </c>
      <c r="V11" t="s">
        <v>149</v>
      </c>
      <c r="W11" t="s">
        <v>154</v>
      </c>
    </row>
    <row r="12" spans="1:23" x14ac:dyDescent="0.15">
      <c r="A12" s="1" t="s">
        <v>28</v>
      </c>
      <c r="B12" t="s">
        <v>121</v>
      </c>
      <c r="C12">
        <v>32.05069195230999</v>
      </c>
      <c r="D12">
        <v>1166.7028494783906</v>
      </c>
      <c r="E12">
        <v>1.2330146259314454</v>
      </c>
      <c r="G12">
        <v>122.24431833084948</v>
      </c>
      <c r="H12">
        <v>16.462619284649776</v>
      </c>
      <c r="I12">
        <v>0.44534604649776455</v>
      </c>
      <c r="J12">
        <v>126.3767913561848</v>
      </c>
      <c r="K12">
        <v>25.092760625931444</v>
      </c>
      <c r="L12">
        <v>3680.7841132637855</v>
      </c>
      <c r="M12">
        <v>2.6678477019374065</v>
      </c>
      <c r="N12">
        <v>18.47119338301043</v>
      </c>
      <c r="O12">
        <v>41.853302384500743</v>
      </c>
      <c r="P12">
        <v>0.57287608614008934</v>
      </c>
      <c r="Q12">
        <v>158.57163934426231</v>
      </c>
      <c r="R12">
        <v>8.9761158271236957E-2</v>
      </c>
      <c r="S12">
        <v>8.5532581222056633E-3</v>
      </c>
      <c r="U12" t="s">
        <v>150</v>
      </c>
      <c r="V12" t="s">
        <v>149</v>
      </c>
      <c r="W12" t="s">
        <v>154</v>
      </c>
    </row>
    <row r="13" spans="1:23" x14ac:dyDescent="0.15">
      <c r="A13" s="1" t="s">
        <v>29</v>
      </c>
      <c r="B13" t="s">
        <v>121</v>
      </c>
      <c r="C13">
        <v>10.466614435600787</v>
      </c>
      <c r="D13">
        <v>9217.6415567894655</v>
      </c>
      <c r="E13">
        <v>2.9404442849529833</v>
      </c>
      <c r="G13">
        <v>4992.1963292132959</v>
      </c>
      <c r="H13">
        <v>2.848988430661326</v>
      </c>
      <c r="I13">
        <v>1.7117949293175867</v>
      </c>
      <c r="J13">
        <v>18.900876553609187</v>
      </c>
      <c r="K13">
        <v>15.917013832780366</v>
      </c>
      <c r="L13">
        <v>4668.8675514145079</v>
      </c>
      <c r="M13">
        <v>9.6167216482439699E-2</v>
      </c>
      <c r="N13">
        <v>1.0198713448281791</v>
      </c>
      <c r="O13">
        <v>48.970452888896531</v>
      </c>
      <c r="P13">
        <v>0.147068404073049</v>
      </c>
      <c r="Q13">
        <v>77.27557789391048</v>
      </c>
      <c r="R13">
        <v>3.8337555081856364E-2</v>
      </c>
      <c r="S13">
        <v>2.0323523175923858E-3</v>
      </c>
      <c r="U13" t="s">
        <v>150</v>
      </c>
      <c r="V13" t="s">
        <v>149</v>
      </c>
      <c r="W13" t="s">
        <v>154</v>
      </c>
    </row>
    <row r="14" spans="1:23" x14ac:dyDescent="0.15">
      <c r="A14" s="1" t="s">
        <v>30</v>
      </c>
      <c r="B14" t="s">
        <v>121</v>
      </c>
      <c r="C14">
        <v>9.296223114838094</v>
      </c>
      <c r="D14">
        <v>11571.880455224473</v>
      </c>
      <c r="E14">
        <v>2.3826923482164122</v>
      </c>
      <c r="G14">
        <v>8727.5414645411311</v>
      </c>
      <c r="H14">
        <v>45.559683767653667</v>
      </c>
      <c r="I14">
        <v>18.177336547135365</v>
      </c>
      <c r="J14">
        <v>201.50503648002081</v>
      </c>
      <c r="K14">
        <v>75.7528633677085</v>
      </c>
      <c r="L14">
        <v>3837.4377155063544</v>
      </c>
      <c r="M14">
        <v>0.30183872208069623</v>
      </c>
      <c r="N14">
        <v>1.9219764449480041</v>
      </c>
      <c r="O14">
        <v>743.28832393969799</v>
      </c>
      <c r="P14">
        <v>0.51795636397751299</v>
      </c>
      <c r="Q14">
        <v>139.89010153786202</v>
      </c>
      <c r="R14">
        <v>4.0394081215856359E-2</v>
      </c>
      <c r="U14" t="s">
        <v>150</v>
      </c>
      <c r="V14" t="s">
        <v>149</v>
      </c>
      <c r="W14" t="s">
        <v>154</v>
      </c>
    </row>
    <row r="15" spans="1:23" x14ac:dyDescent="0.15">
      <c r="A15" s="1" t="s">
        <v>31</v>
      </c>
      <c r="B15" t="s">
        <v>121</v>
      </c>
      <c r="C15">
        <v>8.5962152691044711</v>
      </c>
      <c r="D15">
        <v>21444.342031645047</v>
      </c>
      <c r="E15">
        <v>3.1236057437512392</v>
      </c>
      <c r="F15">
        <v>1.7722519591824331</v>
      </c>
      <c r="G15">
        <v>2575.7848379902662</v>
      </c>
      <c r="H15">
        <v>22.35146625719814</v>
      </c>
      <c r="I15">
        <v>10.163151045548551</v>
      </c>
      <c r="J15">
        <v>113.85715588217842</v>
      </c>
      <c r="K15">
        <v>53.718179447362218</v>
      </c>
      <c r="L15">
        <v>6049.3613477727913</v>
      </c>
      <c r="M15">
        <v>3.9476702408329074E-2</v>
      </c>
      <c r="N15">
        <v>0.46186808562368936</v>
      </c>
      <c r="O15">
        <v>559.48659796201616</v>
      </c>
      <c r="P15">
        <v>0.22808761391479021</v>
      </c>
      <c r="Q15">
        <v>127.76266098582153</v>
      </c>
      <c r="R15">
        <v>1.5772015855809958E-2</v>
      </c>
      <c r="S15">
        <v>2.3331384402085742E-3</v>
      </c>
      <c r="U15" t="s">
        <v>150</v>
      </c>
      <c r="V15" t="s">
        <v>149</v>
      </c>
      <c r="W15" t="s">
        <v>154</v>
      </c>
    </row>
    <row r="16" spans="1:23" x14ac:dyDescent="0.15">
      <c r="A16" s="1" t="s">
        <v>32</v>
      </c>
      <c r="B16" t="s">
        <v>121</v>
      </c>
      <c r="C16">
        <v>4.0105534138632351</v>
      </c>
      <c r="D16">
        <v>7925.9225385795571</v>
      </c>
      <c r="E16">
        <v>2.6642448625640984</v>
      </c>
      <c r="G16">
        <v>4909.31275946198</v>
      </c>
      <c r="H16">
        <v>7.1141103801823196</v>
      </c>
      <c r="I16">
        <v>7.540609214244455</v>
      </c>
      <c r="J16">
        <v>40.197057493581312</v>
      </c>
      <c r="K16">
        <v>14.250186365552389</v>
      </c>
      <c r="L16">
        <v>4486.4748595978044</v>
      </c>
      <c r="M16">
        <v>5.9490180716821155E-2</v>
      </c>
      <c r="N16">
        <v>1.0278072760767716</v>
      </c>
      <c r="O16">
        <v>145.43061101389048</v>
      </c>
      <c r="P16">
        <v>9.1523354948955618E-4</v>
      </c>
      <c r="Q16">
        <v>10.104178386364699</v>
      </c>
      <c r="R16">
        <v>8.237101945406006E-4</v>
      </c>
      <c r="S16">
        <v>5.4914012969373366E-4</v>
      </c>
      <c r="U16" t="s">
        <v>150</v>
      </c>
      <c r="V16" t="s">
        <v>149</v>
      </c>
      <c r="W16" t="s">
        <v>154</v>
      </c>
    </row>
    <row r="17" spans="1:23" x14ac:dyDescent="0.15">
      <c r="A17" s="1" t="s">
        <v>33</v>
      </c>
      <c r="B17" t="s">
        <v>121</v>
      </c>
      <c r="C17">
        <v>13.249303235610896</v>
      </c>
      <c r="D17">
        <v>22676.298709706258</v>
      </c>
      <c r="E17">
        <v>3.0059647270687742</v>
      </c>
      <c r="G17">
        <v>157.78293046197678</v>
      </c>
      <c r="H17">
        <v>1.8288687343471322</v>
      </c>
      <c r="I17">
        <v>3.4485379439214605</v>
      </c>
      <c r="J17">
        <v>33.825238716598207</v>
      </c>
      <c r="K17">
        <v>29.278635711535937</v>
      </c>
      <c r="L17">
        <v>7030.0338080318588</v>
      </c>
      <c r="M17">
        <v>0.85316215080677593</v>
      </c>
      <c r="N17">
        <v>1.3147027912388636</v>
      </c>
      <c r="O17">
        <v>143.65034034399181</v>
      </c>
      <c r="P17">
        <v>0.66869465874044598</v>
      </c>
      <c r="Q17">
        <v>636.89633097497983</v>
      </c>
      <c r="R17">
        <v>3.2821080997688747E-2</v>
      </c>
      <c r="U17" t="s">
        <v>150</v>
      </c>
      <c r="V17" t="s">
        <v>149</v>
      </c>
      <c r="W17" t="s">
        <v>154</v>
      </c>
    </row>
    <row r="18" spans="1:23" x14ac:dyDescent="0.15">
      <c r="A18" s="1" t="s">
        <v>34</v>
      </c>
      <c r="B18" t="s">
        <v>121</v>
      </c>
      <c r="C18">
        <v>1.9459520523442999</v>
      </c>
      <c r="D18">
        <v>2799.8640906101068</v>
      </c>
      <c r="E18">
        <v>2.3961627566151611</v>
      </c>
      <c r="F18">
        <v>0.7772645960510981</v>
      </c>
      <c r="G18">
        <v>146.78357259078899</v>
      </c>
      <c r="H18">
        <v>30.686882508048978</v>
      </c>
      <c r="I18">
        <v>1.9794387989429592</v>
      </c>
      <c r="J18">
        <v>17.180561379923144</v>
      </c>
      <c r="K18">
        <v>44.546674850271764</v>
      </c>
      <c r="L18">
        <v>2544.0625540925721</v>
      </c>
      <c r="M18">
        <v>4.5579182870397084</v>
      </c>
      <c r="N18">
        <v>17.059637017205766</v>
      </c>
      <c r="O18">
        <v>77.633440864557969</v>
      </c>
      <c r="P18">
        <v>0.70247752864742607</v>
      </c>
      <c r="Q18">
        <v>31653.347222382497</v>
      </c>
      <c r="R18">
        <v>1.2585435596662704</v>
      </c>
      <c r="S18">
        <v>1.8510729369814325E-2</v>
      </c>
      <c r="U18" t="s">
        <v>150</v>
      </c>
      <c r="V18" t="s">
        <v>149</v>
      </c>
      <c r="W18" t="s">
        <v>154</v>
      </c>
    </row>
    <row r="19" spans="1:23" x14ac:dyDescent="0.15">
      <c r="A19" s="1" t="s">
        <v>35</v>
      </c>
      <c r="B19" t="s">
        <v>121</v>
      </c>
      <c r="C19">
        <v>1.2519366044482327</v>
      </c>
      <c r="D19">
        <v>2270.0831943808298</v>
      </c>
      <c r="E19">
        <v>3.4292176556625509</v>
      </c>
      <c r="G19">
        <v>72.573060612811673</v>
      </c>
      <c r="H19">
        <v>20.684169986536023</v>
      </c>
      <c r="I19">
        <v>1.3286768382205409</v>
      </c>
      <c r="J19">
        <v>1.3804318796018649</v>
      </c>
      <c r="K19">
        <v>10.493780804213271</v>
      </c>
      <c r="L19">
        <v>1574.0671206319905</v>
      </c>
      <c r="M19">
        <v>0.1066332318115209</v>
      </c>
      <c r="N19">
        <v>0.76320839471459268</v>
      </c>
      <c r="O19">
        <v>8.0032925198119731</v>
      </c>
      <c r="P19">
        <v>1.9898921082819383E-2</v>
      </c>
      <c r="Q19">
        <v>4.2233898423759699</v>
      </c>
      <c r="R19">
        <v>3.4622338027506368E-2</v>
      </c>
      <c r="S19">
        <v>1.873889429323798E-3</v>
      </c>
      <c r="U19" t="s">
        <v>150</v>
      </c>
      <c r="V19" t="s">
        <v>149</v>
      </c>
      <c r="W19" t="s">
        <v>154</v>
      </c>
    </row>
    <row r="20" spans="1:23" x14ac:dyDescent="0.15">
      <c r="A20" s="1" t="s">
        <v>36</v>
      </c>
      <c r="B20" t="s">
        <v>121</v>
      </c>
      <c r="C20">
        <v>0.77019173042056688</v>
      </c>
      <c r="D20">
        <v>2005.1744596352171</v>
      </c>
      <c r="E20">
        <v>2.0401954197452814</v>
      </c>
      <c r="F20">
        <v>2.4936719545038057</v>
      </c>
      <c r="G20">
        <v>18.650906191949602</v>
      </c>
      <c r="H20">
        <v>1.2418971239030476</v>
      </c>
      <c r="I20">
        <v>0.10587105633273271</v>
      </c>
      <c r="J20">
        <v>1.8659885925311155</v>
      </c>
      <c r="K20">
        <v>11.646714169936752</v>
      </c>
      <c r="L20">
        <v>2240.4434737079564</v>
      </c>
      <c r="M20">
        <v>0.19710514728613082</v>
      </c>
      <c r="N20">
        <v>0.56644158044688542</v>
      </c>
      <c r="O20">
        <v>2.0716244865107236</v>
      </c>
      <c r="P20">
        <v>7.0939893556284002E-3</v>
      </c>
      <c r="Q20">
        <v>23.437104073658382</v>
      </c>
      <c r="R20">
        <v>2.9902512093977939E-2</v>
      </c>
      <c r="S20">
        <v>8.0817600253994416E-3</v>
      </c>
      <c r="U20" t="s">
        <v>150</v>
      </c>
      <c r="V20" t="s">
        <v>149</v>
      </c>
      <c r="W20" t="s">
        <v>154</v>
      </c>
    </row>
    <row r="21" spans="1:23" x14ac:dyDescent="0.15">
      <c r="A21" s="1" t="s">
        <v>37</v>
      </c>
      <c r="B21" t="s">
        <v>121</v>
      </c>
      <c r="C21">
        <v>1.0323784141661556</v>
      </c>
      <c r="D21">
        <v>2031.5700330897848</v>
      </c>
      <c r="E21">
        <v>2.556280174086484</v>
      </c>
      <c r="F21">
        <v>0.32173252577011296</v>
      </c>
      <c r="G21">
        <v>29.53624776584839</v>
      </c>
      <c r="H21">
        <v>4.7681352299802624</v>
      </c>
      <c r="I21">
        <v>0.20342608543256654</v>
      </c>
      <c r="J21">
        <v>3.4478389435748928</v>
      </c>
      <c r="K21">
        <v>19.705780850764931</v>
      </c>
      <c r="L21">
        <v>2137.4090017010849</v>
      </c>
      <c r="M21">
        <v>4.1680820943789101</v>
      </c>
      <c r="N21">
        <v>0.84106102429505125</v>
      </c>
      <c r="O21">
        <v>6.6077600149105713</v>
      </c>
      <c r="P21">
        <v>2.4307085164120602E-2</v>
      </c>
      <c r="Q21">
        <v>37.088486034553021</v>
      </c>
      <c r="R21">
        <v>1.3185024055814497E-2</v>
      </c>
      <c r="S21">
        <v>1.7041867827243228E-3</v>
      </c>
      <c r="U21" t="s">
        <v>150</v>
      </c>
      <c r="V21" t="s">
        <v>149</v>
      </c>
      <c r="W21" t="s">
        <v>154</v>
      </c>
    </row>
    <row r="22" spans="1:23" x14ac:dyDescent="0.15">
      <c r="A22" s="1" t="s">
        <v>38</v>
      </c>
      <c r="B22" t="s">
        <v>121</v>
      </c>
      <c r="C22">
        <v>0.50111412780035447</v>
      </c>
      <c r="D22">
        <v>1668.8712279292613</v>
      </c>
      <c r="E22">
        <v>1.1373316669989975</v>
      </c>
      <c r="G22">
        <v>24.566726214715604</v>
      </c>
      <c r="H22">
        <v>4.6788158625667355</v>
      </c>
      <c r="I22">
        <v>6.9643454226825554</v>
      </c>
      <c r="J22">
        <v>0.70385979678210242</v>
      </c>
      <c r="K22">
        <v>5.8079978599773643</v>
      </c>
      <c r="L22">
        <v>1483.2398650830874</v>
      </c>
      <c r="M22">
        <v>4.699642795959233E-2</v>
      </c>
      <c r="N22">
        <v>0.41907412061077709</v>
      </c>
      <c r="O22">
        <v>4.8925183095506233</v>
      </c>
      <c r="P22">
        <v>1.8653688168932602E-2</v>
      </c>
      <c r="Q22">
        <v>5.4792945199131635</v>
      </c>
      <c r="R22">
        <v>1.0232362927618368E-2</v>
      </c>
      <c r="S22">
        <v>2.7165565294562036E-4</v>
      </c>
      <c r="U22" t="s">
        <v>150</v>
      </c>
      <c r="V22" t="s">
        <v>149</v>
      </c>
      <c r="W22" t="s">
        <v>154</v>
      </c>
    </row>
    <row r="23" spans="1:23" x14ac:dyDescent="0.15">
      <c r="A23" s="1" t="s">
        <v>39</v>
      </c>
      <c r="B23" t="s">
        <v>121</v>
      </c>
      <c r="C23">
        <v>4.2903179774289635</v>
      </c>
      <c r="D23">
        <v>14045.802109225446</v>
      </c>
      <c r="E23">
        <v>4.8122720483517032</v>
      </c>
      <c r="F23">
        <v>0.78852992167774583</v>
      </c>
      <c r="G23">
        <v>202.00886793324753</v>
      </c>
      <c r="H23">
        <v>0.16489414074479661</v>
      </c>
      <c r="I23">
        <v>69.786523530985107</v>
      </c>
      <c r="J23">
        <v>61.216723992824548</v>
      </c>
      <c r="K23">
        <v>31.597185020046183</v>
      </c>
      <c r="L23">
        <v>2910.4809179653857</v>
      </c>
      <c r="M23">
        <v>3.0793484114992137E-2</v>
      </c>
      <c r="N23">
        <v>0.3104633383793049</v>
      </c>
      <c r="O23">
        <v>38.451218581125076</v>
      </c>
      <c r="P23">
        <v>0.14520798374459634</v>
      </c>
      <c r="Q23">
        <v>43.779123457326065</v>
      </c>
      <c r="R23">
        <v>1.0204292390012056E-2</v>
      </c>
      <c r="S23">
        <v>1.3545520871697421E-3</v>
      </c>
      <c r="U23" t="s">
        <v>150</v>
      </c>
      <c r="V23" t="s">
        <v>149</v>
      </c>
      <c r="W23" t="s">
        <v>154</v>
      </c>
    </row>
    <row r="24" spans="1:23" x14ac:dyDescent="0.15">
      <c r="A24" s="1" t="s">
        <v>40</v>
      </c>
      <c r="B24" t="s">
        <v>121</v>
      </c>
      <c r="C24">
        <v>23.278555625893087</v>
      </c>
      <c r="D24">
        <v>18705.036340900046</v>
      </c>
      <c r="E24">
        <v>4.5981768370487126</v>
      </c>
      <c r="G24">
        <v>63.534292463451621</v>
      </c>
      <c r="H24">
        <v>0.18648415295438869</v>
      </c>
      <c r="I24">
        <v>20.876727407136759</v>
      </c>
      <c r="J24">
        <v>191.8722846998877</v>
      </c>
      <c r="K24">
        <v>16.529692303988423</v>
      </c>
      <c r="L24">
        <v>2503.1981549852076</v>
      </c>
      <c r="M24">
        <v>1.7534259239589924E-2</v>
      </c>
      <c r="N24">
        <v>0.25671251417962127</v>
      </c>
      <c r="O24">
        <v>60.465797096523382</v>
      </c>
      <c r="P24">
        <v>3.8264867819730104</v>
      </c>
      <c r="Q24">
        <v>367.5801741632784</v>
      </c>
      <c r="R24">
        <v>3.5159842746052716E-2</v>
      </c>
      <c r="S24">
        <v>3.4611897144815537E-2</v>
      </c>
      <c r="U24" t="s">
        <v>150</v>
      </c>
      <c r="V24" t="s">
        <v>149</v>
      </c>
      <c r="W24" t="s">
        <v>154</v>
      </c>
    </row>
    <row r="25" spans="1:23" x14ac:dyDescent="0.15">
      <c r="A25" s="1" t="s">
        <v>41</v>
      </c>
      <c r="B25" t="s">
        <v>121</v>
      </c>
      <c r="C25">
        <v>0.50420995884773667</v>
      </c>
      <c r="D25">
        <v>1378.3454780681834</v>
      </c>
      <c r="E25">
        <v>1.2691783861155841</v>
      </c>
      <c r="F25">
        <v>0.94877740892137019</v>
      </c>
      <c r="G25">
        <v>10.65932336870501</v>
      </c>
      <c r="H25">
        <v>6.4497337985328329</v>
      </c>
      <c r="I25">
        <v>2.4274146056126731</v>
      </c>
      <c r="K25">
        <v>1.8460776525317588</v>
      </c>
      <c r="L25">
        <v>1336.6312234196291</v>
      </c>
      <c r="M25">
        <v>2.4851045322542903E-3</v>
      </c>
      <c r="N25">
        <v>0.36957054543953094</v>
      </c>
      <c r="O25">
        <v>0.13073424914323464</v>
      </c>
      <c r="Q25">
        <v>1.0819080088635646</v>
      </c>
      <c r="U25" t="s">
        <v>150</v>
      </c>
      <c r="V25" t="s">
        <v>149</v>
      </c>
      <c r="W25" t="s">
        <v>154</v>
      </c>
    </row>
    <row r="26" spans="1:23" x14ac:dyDescent="0.15">
      <c r="A26" s="1" t="s">
        <v>42</v>
      </c>
      <c r="B26" t="s">
        <v>121</v>
      </c>
      <c r="C26">
        <v>2.1950159046199698</v>
      </c>
      <c r="D26">
        <v>8544.6087600596129</v>
      </c>
      <c r="E26">
        <v>7.494191779433681</v>
      </c>
      <c r="F26">
        <v>3.1108872518628914</v>
      </c>
      <c r="G26">
        <v>75.134125842026833</v>
      </c>
      <c r="H26">
        <v>14.540538807749629</v>
      </c>
      <c r="I26">
        <v>26.803412250372578</v>
      </c>
      <c r="J26">
        <v>25.371462295081965</v>
      </c>
      <c r="K26">
        <v>4.489018953800298</v>
      </c>
      <c r="L26">
        <v>1617.4307213114753</v>
      </c>
      <c r="M26">
        <v>2.4506526080476897E-2</v>
      </c>
      <c r="N26">
        <v>0.57287608614008934</v>
      </c>
      <c r="O26">
        <v>11.051962742175856</v>
      </c>
      <c r="P26">
        <v>2.2584445603576753E-2</v>
      </c>
      <c r="Q26">
        <v>3.3857447600596124</v>
      </c>
      <c r="R26">
        <v>2.4794838152011923E-2</v>
      </c>
      <c r="S26">
        <v>1.4031187481371088E-2</v>
      </c>
      <c r="U26" t="s">
        <v>150</v>
      </c>
      <c r="V26" t="s">
        <v>149</v>
      </c>
      <c r="W26" t="s">
        <v>154</v>
      </c>
    </row>
    <row r="27" spans="1:23" x14ac:dyDescent="0.15">
      <c r="A27" s="1" t="s">
        <v>43</v>
      </c>
      <c r="B27" t="s">
        <v>121</v>
      </c>
      <c r="C27">
        <v>6.2044757794336807</v>
      </c>
      <c r="D27">
        <v>20461.507716840537</v>
      </c>
      <c r="E27">
        <v>6.6571257317436663</v>
      </c>
      <c r="F27">
        <v>1.069637785394933</v>
      </c>
      <c r="G27">
        <v>1154.2093263785396</v>
      </c>
      <c r="H27">
        <v>27.380036393442623</v>
      </c>
      <c r="I27">
        <v>64.62034563338301</v>
      </c>
      <c r="J27">
        <v>313.10690968703426</v>
      </c>
      <c r="K27">
        <v>800.83483070044701</v>
      </c>
      <c r="L27">
        <v>7424.9968822652754</v>
      </c>
      <c r="M27">
        <v>5.0742924590163933E-2</v>
      </c>
      <c r="N27">
        <v>0.5837358408345753</v>
      </c>
      <c r="O27">
        <v>949.89217168405366</v>
      </c>
      <c r="P27">
        <v>1.1993782175856931</v>
      </c>
      <c r="Q27">
        <v>563.16957973174362</v>
      </c>
      <c r="R27">
        <v>5.131954873323398E-2</v>
      </c>
      <c r="S27">
        <v>2.5083150223546947E-2</v>
      </c>
      <c r="U27" t="s">
        <v>150</v>
      </c>
      <c r="V27" t="s">
        <v>149</v>
      </c>
      <c r="W27" t="s">
        <v>154</v>
      </c>
    </row>
    <row r="28" spans="1:23" x14ac:dyDescent="0.15">
      <c r="A28" s="1" t="s">
        <v>44</v>
      </c>
      <c r="B28" t="s">
        <v>121</v>
      </c>
      <c r="C28">
        <v>0.9716116810730252</v>
      </c>
      <c r="D28">
        <v>2536.1851892697468</v>
      </c>
      <c r="E28">
        <v>3.366523955290611</v>
      </c>
      <c r="G28">
        <v>91.241160238450078</v>
      </c>
      <c r="H28">
        <v>86.781933532041734</v>
      </c>
      <c r="I28">
        <v>2.3766525096870339</v>
      </c>
      <c r="J28">
        <v>2.1556132548435167</v>
      </c>
      <c r="K28">
        <v>8.1207900149031289</v>
      </c>
      <c r="L28">
        <v>2255.5614396423248</v>
      </c>
      <c r="M28">
        <v>0.23362888196721313</v>
      </c>
      <c r="N28">
        <v>3.327121305514158</v>
      </c>
      <c r="O28">
        <v>9.1606355529061094</v>
      </c>
      <c r="P28">
        <v>5.9584494783904611E-3</v>
      </c>
      <c r="Q28">
        <v>2.5948086438152012</v>
      </c>
      <c r="R28">
        <v>1.3262355290611028E-2</v>
      </c>
      <c r="S28">
        <v>7.9766339791356184E-3</v>
      </c>
      <c r="U28" t="s">
        <v>150</v>
      </c>
      <c r="V28" t="s">
        <v>149</v>
      </c>
      <c r="W28" t="s">
        <v>154</v>
      </c>
    </row>
    <row r="29" spans="1:23" x14ac:dyDescent="0.15">
      <c r="A29" s="1" t="s">
        <v>45</v>
      </c>
      <c r="B29" t="s">
        <v>121</v>
      </c>
      <c r="C29">
        <v>6.8810481073025338</v>
      </c>
      <c r="D29">
        <v>13028.822512667661</v>
      </c>
      <c r="E29">
        <v>4.8138505543964234</v>
      </c>
      <c r="F29">
        <v>1.2291704649776454</v>
      </c>
      <c r="G29">
        <v>449.67072757078984</v>
      </c>
      <c r="H29">
        <v>17.106516244411328</v>
      </c>
      <c r="I29">
        <v>5.2540069836065566</v>
      </c>
      <c r="J29">
        <v>55.134878479880776</v>
      </c>
      <c r="K29">
        <v>152.5170858420268</v>
      </c>
      <c r="L29">
        <v>6290.9694008941869</v>
      </c>
      <c r="M29">
        <v>5.6797478092399406E-2</v>
      </c>
      <c r="N29">
        <v>0.29974845037257825</v>
      </c>
      <c r="O29">
        <v>202.77949031296575</v>
      </c>
      <c r="P29">
        <v>0.1109040435171386</v>
      </c>
      <c r="Q29">
        <v>130.12484828614009</v>
      </c>
      <c r="R29">
        <v>3.7576673323397917E-2</v>
      </c>
      <c r="U29" t="s">
        <v>150</v>
      </c>
      <c r="V29" t="s">
        <v>149</v>
      </c>
      <c r="W29" t="s">
        <v>154</v>
      </c>
    </row>
    <row r="30" spans="1:23" x14ac:dyDescent="0.15">
      <c r="A30" s="1" t="s">
        <v>46</v>
      </c>
      <c r="B30" t="s">
        <v>121</v>
      </c>
      <c r="C30">
        <v>3.1675886259314456</v>
      </c>
      <c r="D30">
        <v>8956.8950223546944</v>
      </c>
      <c r="E30">
        <v>4.8426817615499251</v>
      </c>
      <c r="F30">
        <v>0.31156924530551416</v>
      </c>
      <c r="G30">
        <v>1088.8585901639344</v>
      </c>
      <c r="H30">
        <v>86.11881576751118</v>
      </c>
      <c r="I30">
        <v>15.549631058122205</v>
      </c>
      <c r="J30">
        <v>94.1435017585693</v>
      </c>
      <c r="K30">
        <v>222.28860715350226</v>
      </c>
      <c r="L30">
        <v>4625.4866676602087</v>
      </c>
      <c r="M30">
        <v>0.78584260298062591</v>
      </c>
      <c r="N30">
        <v>4.9147597794336813</v>
      </c>
      <c r="O30">
        <v>320.50691952309984</v>
      </c>
      <c r="P30">
        <v>4.6129931445603581E-2</v>
      </c>
      <c r="Q30">
        <v>93.730254456035766</v>
      </c>
      <c r="R30">
        <v>2.2584445603576753E-2</v>
      </c>
      <c r="U30" t="s">
        <v>150</v>
      </c>
      <c r="V30" t="s">
        <v>149</v>
      </c>
      <c r="W30" t="s">
        <v>154</v>
      </c>
    </row>
    <row r="31" spans="1:23" x14ac:dyDescent="0.15">
      <c r="A31" s="1" t="s">
        <v>47</v>
      </c>
      <c r="B31" t="s">
        <v>121</v>
      </c>
      <c r="C31">
        <v>1.0148584918032786</v>
      </c>
      <c r="D31">
        <v>1410.8070700447095</v>
      </c>
      <c r="E31">
        <v>1.4425213979135618</v>
      </c>
      <c r="F31">
        <v>1.3435342533532042</v>
      </c>
      <c r="G31">
        <v>16.424177675111771</v>
      </c>
      <c r="H31">
        <v>12.291704649776452</v>
      </c>
      <c r="I31">
        <v>0.53424226855439638</v>
      </c>
      <c r="J31">
        <v>0.26716918628912073</v>
      </c>
      <c r="K31">
        <v>2.8600557496274219</v>
      </c>
      <c r="L31">
        <v>1898.0544709388973</v>
      </c>
      <c r="M31">
        <v>0.18817167868852458</v>
      </c>
      <c r="N31">
        <v>1.5194046169895676</v>
      </c>
      <c r="O31">
        <v>1.5280539791356185</v>
      </c>
      <c r="Q31">
        <v>1.7269893084947836</v>
      </c>
      <c r="R31">
        <v>1.172469090909091E-2</v>
      </c>
      <c r="U31" t="s">
        <v>150</v>
      </c>
      <c r="V31" t="s">
        <v>149</v>
      </c>
      <c r="W31" t="s">
        <v>154</v>
      </c>
    </row>
    <row r="32" spans="1:23" x14ac:dyDescent="0.15">
      <c r="A32" s="1" t="s">
        <v>48</v>
      </c>
      <c r="B32" t="s">
        <v>121</v>
      </c>
      <c r="C32">
        <v>9.212531725782414</v>
      </c>
      <c r="D32">
        <v>23032.290354694487</v>
      </c>
      <c r="E32">
        <v>8.3437513502235472</v>
      </c>
      <c r="F32">
        <v>2.6188346497764527</v>
      </c>
      <c r="G32">
        <v>3397.2772429210131</v>
      </c>
      <c r="H32">
        <v>158.6677433681073</v>
      </c>
      <c r="I32">
        <v>136.94823397913561</v>
      </c>
      <c r="J32">
        <v>693.1022199701938</v>
      </c>
      <c r="K32">
        <v>2848.5232667660207</v>
      </c>
      <c r="L32">
        <v>11754.483156482862</v>
      </c>
      <c r="M32">
        <v>2.0181845007451567E-2</v>
      </c>
      <c r="N32">
        <v>0.65744762712369598</v>
      </c>
      <c r="O32">
        <v>1952.8337645305512</v>
      </c>
      <c r="P32">
        <v>1.6731710551415797</v>
      </c>
      <c r="Q32">
        <v>1179.1963725782414</v>
      </c>
      <c r="R32">
        <v>6.131436721311475E-2</v>
      </c>
      <c r="U32" t="s">
        <v>150</v>
      </c>
      <c r="V32" t="s">
        <v>149</v>
      </c>
      <c r="W32" t="s">
        <v>154</v>
      </c>
    </row>
    <row r="33" spans="1:23" x14ac:dyDescent="0.15">
      <c r="A33" s="1" t="s">
        <v>49</v>
      </c>
      <c r="B33" t="s">
        <v>121</v>
      </c>
      <c r="C33">
        <v>7.4499839284649774</v>
      </c>
      <c r="D33">
        <v>21757.950998509688</v>
      </c>
      <c r="E33">
        <v>8.1861407511177351</v>
      </c>
      <c r="G33">
        <v>5127.1496721311469</v>
      </c>
      <c r="H33">
        <v>236.0314825633383</v>
      </c>
      <c r="I33">
        <v>203.8366345752608</v>
      </c>
      <c r="J33">
        <v>1120.5729180327869</v>
      </c>
      <c r="K33">
        <v>4037.3300417287628</v>
      </c>
      <c r="L33">
        <v>9898.7144560357683</v>
      </c>
      <c r="M33">
        <v>3.5846800894187777E-2</v>
      </c>
      <c r="N33">
        <v>0.53135914783904614</v>
      </c>
      <c r="O33">
        <v>3073.4066825633386</v>
      </c>
      <c r="P33">
        <v>2.8715882324888229</v>
      </c>
      <c r="Q33">
        <v>1689.5087391952309</v>
      </c>
      <c r="R33">
        <v>6.5639048286140089E-2</v>
      </c>
      <c r="U33" t="s">
        <v>150</v>
      </c>
      <c r="V33" t="s">
        <v>149</v>
      </c>
      <c r="W33" t="s">
        <v>154</v>
      </c>
    </row>
    <row r="34" spans="1:23" x14ac:dyDescent="0.15">
      <c r="A34" s="1" t="s">
        <v>50</v>
      </c>
      <c r="B34" t="s">
        <v>121</v>
      </c>
      <c r="C34">
        <v>11.417158032786887</v>
      </c>
      <c r="D34">
        <v>24640.110673621461</v>
      </c>
      <c r="E34">
        <v>9.8602728464977627</v>
      </c>
      <c r="F34">
        <v>2.4612240506706407</v>
      </c>
      <c r="G34">
        <v>2275.7432846497763</v>
      </c>
      <c r="H34">
        <v>59.757482026825635</v>
      </c>
      <c r="I34">
        <v>89.549729418777943</v>
      </c>
      <c r="J34">
        <v>586.42675350223556</v>
      </c>
      <c r="K34">
        <v>2209.4315081967216</v>
      </c>
      <c r="L34">
        <v>14179.187678092399</v>
      </c>
      <c r="M34">
        <v>1.5184435767511179E-2</v>
      </c>
      <c r="N34">
        <v>0.58652285752608047</v>
      </c>
      <c r="O34">
        <v>1576.1059910581223</v>
      </c>
      <c r="P34">
        <v>3.2560043278688524</v>
      </c>
      <c r="Q34">
        <v>1602.0540774962742</v>
      </c>
      <c r="R34">
        <v>9.7737792250372588E-2</v>
      </c>
      <c r="U34" t="s">
        <v>150</v>
      </c>
      <c r="V34" t="s">
        <v>149</v>
      </c>
      <c r="W34" t="s">
        <v>154</v>
      </c>
    </row>
    <row r="35" spans="1:23" x14ac:dyDescent="0.15">
      <c r="A35" s="1" t="s">
        <v>51</v>
      </c>
      <c r="B35" t="s">
        <v>121</v>
      </c>
      <c r="C35">
        <v>11.907288554396425</v>
      </c>
      <c r="D35">
        <v>26144.138646795825</v>
      </c>
      <c r="E35">
        <v>10.263909746646796</v>
      </c>
      <c r="G35">
        <v>1563.6124679582713</v>
      </c>
      <c r="H35">
        <v>35.500826408345752</v>
      </c>
      <c r="I35">
        <v>92.961422265275715</v>
      </c>
      <c r="J35">
        <v>407.57716512667656</v>
      </c>
      <c r="K35">
        <v>1711.6126646795826</v>
      </c>
      <c r="L35">
        <v>16458.775123695974</v>
      </c>
      <c r="M35">
        <v>5.4683189567809237E-2</v>
      </c>
      <c r="N35">
        <v>0.74989969806259305</v>
      </c>
      <c r="O35">
        <v>1004.2870491803279</v>
      </c>
      <c r="P35">
        <v>2.5919255230998508</v>
      </c>
      <c r="Q35">
        <v>1087.8975499254843</v>
      </c>
      <c r="R35">
        <v>6.9867625335320413E-2</v>
      </c>
      <c r="U35" t="s">
        <v>150</v>
      </c>
      <c r="V35" t="s">
        <v>149</v>
      </c>
      <c r="W35" t="s">
        <v>154</v>
      </c>
    </row>
    <row r="36" spans="1:23" x14ac:dyDescent="0.15">
      <c r="A36" s="1" t="s">
        <v>52</v>
      </c>
      <c r="B36" t="s">
        <v>121</v>
      </c>
      <c r="C36">
        <v>12.676120745156481</v>
      </c>
      <c r="D36">
        <v>24753.513421758569</v>
      </c>
      <c r="E36">
        <v>9.5921426199701934</v>
      </c>
      <c r="G36">
        <v>2267.0939225037259</v>
      </c>
      <c r="H36">
        <v>47.802141460506711</v>
      </c>
      <c r="I36">
        <v>79.583742146050668</v>
      </c>
      <c r="J36">
        <v>567.01374068554401</v>
      </c>
      <c r="K36">
        <v>2417.9772399403873</v>
      </c>
      <c r="L36">
        <v>14469.421830104322</v>
      </c>
      <c r="M36">
        <v>5.3529941281669151E-2</v>
      </c>
      <c r="N36">
        <v>0.73144772548435166</v>
      </c>
      <c r="O36">
        <v>1432.9109955290612</v>
      </c>
      <c r="P36">
        <v>3.3828616393442625</v>
      </c>
      <c r="Q36">
        <v>1533.8202205663188</v>
      </c>
      <c r="R36">
        <v>8.034296393442622E-2</v>
      </c>
      <c r="S36">
        <v>2.7870166915052162E-3</v>
      </c>
      <c r="U36" t="s">
        <v>150</v>
      </c>
      <c r="V36" t="s">
        <v>149</v>
      </c>
      <c r="W36" t="s">
        <v>154</v>
      </c>
    </row>
    <row r="37" spans="1:23" x14ac:dyDescent="0.15">
      <c r="A37" s="1" t="s">
        <v>53</v>
      </c>
      <c r="B37" t="s">
        <v>121</v>
      </c>
      <c r="C37">
        <v>3.7980310223546949</v>
      </c>
      <c r="D37">
        <v>5367.4097317436663</v>
      </c>
      <c r="E37">
        <v>1.03215721609538</v>
      </c>
      <c r="G37">
        <v>314.45236602086436</v>
      </c>
      <c r="H37">
        <v>201.14572190760063</v>
      </c>
      <c r="I37">
        <v>81.159848137108796</v>
      </c>
      <c r="J37">
        <v>6.9098793144560364</v>
      </c>
      <c r="K37">
        <v>32.290952011922506</v>
      </c>
      <c r="L37">
        <v>3201.2250342771981</v>
      </c>
      <c r="M37">
        <v>1.0283130551415798E-2</v>
      </c>
      <c r="N37">
        <v>0.33405758688524595</v>
      </c>
      <c r="O37">
        <v>67.263206289120717</v>
      </c>
      <c r="P37">
        <v>4.5168891207153505E-2</v>
      </c>
      <c r="Q37">
        <v>28.687051117734725</v>
      </c>
      <c r="R37">
        <v>9.0337782414307011E-3</v>
      </c>
      <c r="U37" t="s">
        <v>150</v>
      </c>
      <c r="V37" t="s">
        <v>149</v>
      </c>
      <c r="W37" t="s">
        <v>154</v>
      </c>
    </row>
    <row r="38" spans="1:23" x14ac:dyDescent="0.15">
      <c r="A38" s="1" t="s">
        <v>54</v>
      </c>
      <c r="B38" t="s">
        <v>121</v>
      </c>
      <c r="C38">
        <v>3.3338485871833083</v>
      </c>
      <c r="D38">
        <v>11510.378935916544</v>
      </c>
      <c r="E38">
        <v>9.3797527272727272</v>
      </c>
      <c r="G38">
        <v>166.64437734724294</v>
      </c>
      <c r="H38">
        <v>2.4160551594634869</v>
      </c>
      <c r="I38">
        <v>51.694354426229509</v>
      </c>
      <c r="J38">
        <v>52.588121847988077</v>
      </c>
      <c r="K38">
        <v>53.212798002980627</v>
      </c>
      <c r="L38">
        <v>2735.1205186289117</v>
      </c>
      <c r="M38">
        <v>5.8623454545454548E-3</v>
      </c>
      <c r="N38">
        <v>0.3720186763040238</v>
      </c>
      <c r="O38">
        <v>143.96382771982118</v>
      </c>
      <c r="P38">
        <v>0.17577425961251864</v>
      </c>
      <c r="Q38">
        <v>76.210490909090908</v>
      </c>
      <c r="R38">
        <v>6.9194897168405366E-3</v>
      </c>
      <c r="S38">
        <v>1.1532482861400892E-3</v>
      </c>
      <c r="U38" t="s">
        <v>150</v>
      </c>
      <c r="V38" t="s">
        <v>149</v>
      </c>
      <c r="W38" t="s">
        <v>154</v>
      </c>
    </row>
    <row r="39" spans="1:23" x14ac:dyDescent="0.15">
      <c r="A39" s="1" t="s">
        <v>55</v>
      </c>
      <c r="B39" t="s">
        <v>121</v>
      </c>
      <c r="C39">
        <v>5.0762145394932929</v>
      </c>
      <c r="D39">
        <v>1574.1839105812221</v>
      </c>
      <c r="E39">
        <v>2.0989118807749629</v>
      </c>
      <c r="F39">
        <v>1.6058982384500746</v>
      </c>
      <c r="G39">
        <v>27.601075648286137</v>
      </c>
      <c r="H39">
        <v>3.7038490789865874</v>
      </c>
      <c r="I39">
        <v>4.4082915737704917</v>
      </c>
      <c r="J39">
        <v>9.9179352608047679</v>
      </c>
      <c r="K39">
        <v>22.459510372578244</v>
      </c>
      <c r="L39">
        <v>1781.768602086438</v>
      </c>
      <c r="M39">
        <v>1.4434824381520119</v>
      </c>
      <c r="N39">
        <v>0.46177983457526078</v>
      </c>
      <c r="O39">
        <v>27.399257198211629</v>
      </c>
      <c r="P39">
        <v>0.12560795916542475</v>
      </c>
      <c r="Q39">
        <v>52.991758748137109</v>
      </c>
      <c r="R39">
        <v>2.0181845007451567E-2</v>
      </c>
      <c r="S39">
        <v>9.3220903129657227E-3</v>
      </c>
      <c r="U39" t="s">
        <v>150</v>
      </c>
      <c r="V39" t="s">
        <v>149</v>
      </c>
      <c r="W39" t="s">
        <v>154</v>
      </c>
    </row>
    <row r="40" spans="1:23" x14ac:dyDescent="0.15">
      <c r="A40" s="1" t="s">
        <v>56</v>
      </c>
      <c r="B40" t="s">
        <v>121</v>
      </c>
      <c r="C40">
        <v>6.6484763695976161</v>
      </c>
      <c r="D40">
        <v>6634.0607660208652</v>
      </c>
      <c r="E40">
        <v>0.7119386086438152</v>
      </c>
      <c r="G40">
        <v>45.79356736214605</v>
      </c>
      <c r="H40">
        <v>9.009752235469449</v>
      </c>
      <c r="I40">
        <v>12.704951952309985</v>
      </c>
      <c r="J40">
        <v>4.2016679225037254</v>
      </c>
      <c r="K40">
        <v>13.300796900149031</v>
      </c>
      <c r="L40">
        <v>3394.3941222056633</v>
      </c>
      <c r="M40">
        <v>2.3833797913561845E-2</v>
      </c>
      <c r="N40">
        <v>0.24150941192250375</v>
      </c>
      <c r="O40">
        <v>37.076932399403873</v>
      </c>
      <c r="P40">
        <v>2.2584445603576753E-2</v>
      </c>
      <c r="Q40">
        <v>20.422105067064084</v>
      </c>
      <c r="R40">
        <v>6.7272816691505213E-3</v>
      </c>
      <c r="S40">
        <v>4.9013052160953802E-3</v>
      </c>
      <c r="U40" t="s">
        <v>150</v>
      </c>
      <c r="V40" t="s">
        <v>149</v>
      </c>
      <c r="W40" t="s">
        <v>154</v>
      </c>
    </row>
    <row r="41" spans="1:23" x14ac:dyDescent="0.15">
      <c r="A41" s="1" t="s">
        <v>57</v>
      </c>
      <c r="B41" t="s">
        <v>121</v>
      </c>
      <c r="C41">
        <v>5.0329677287630403</v>
      </c>
      <c r="D41">
        <v>11141.339484351714</v>
      </c>
      <c r="E41">
        <v>3.3578745931445608</v>
      </c>
      <c r="G41">
        <v>8.788712980625931</v>
      </c>
      <c r="H41">
        <v>0.20787300357675112</v>
      </c>
      <c r="I41">
        <v>2.5775099195230995</v>
      </c>
      <c r="J41">
        <v>1.1513262056631892</v>
      </c>
      <c r="K41">
        <v>5.3260850014903127</v>
      </c>
      <c r="L41">
        <v>1827.8985335320417</v>
      </c>
      <c r="N41">
        <v>0.26851464262295077</v>
      </c>
      <c r="O41">
        <v>10.907806706408344</v>
      </c>
      <c r="P41">
        <v>4.9013052160953802E-3</v>
      </c>
      <c r="Q41">
        <v>12.964432816691506</v>
      </c>
      <c r="R41">
        <v>1.1916898956780922E-2</v>
      </c>
      <c r="U41" t="s">
        <v>150</v>
      </c>
      <c r="V41" t="s">
        <v>149</v>
      </c>
      <c r="W41" t="s">
        <v>154</v>
      </c>
    </row>
    <row r="42" spans="1:23" x14ac:dyDescent="0.15">
      <c r="A42" s="1" t="s">
        <v>58</v>
      </c>
      <c r="B42" t="s">
        <v>121</v>
      </c>
      <c r="C42">
        <v>4.1699535946348734</v>
      </c>
      <c r="D42">
        <v>12509.86078390462</v>
      </c>
      <c r="E42">
        <v>3.3684460357675108</v>
      </c>
      <c r="G42">
        <v>299.55624232488822</v>
      </c>
      <c r="H42">
        <v>16.222359225037255</v>
      </c>
      <c r="I42">
        <v>60.853067898658715</v>
      </c>
      <c r="J42">
        <v>53.001369150521612</v>
      </c>
      <c r="K42">
        <v>23.939512339791357</v>
      </c>
      <c r="L42">
        <v>3750.9400506706406</v>
      </c>
      <c r="M42">
        <v>3.0368871535022358E-2</v>
      </c>
      <c r="N42">
        <v>0.52578511445603582</v>
      </c>
      <c r="O42">
        <v>200.47299374068552</v>
      </c>
      <c r="P42">
        <v>7.6883219076005968E-3</v>
      </c>
      <c r="Q42">
        <v>18.96132390461997</v>
      </c>
      <c r="R42">
        <v>1.2781835171385991E-2</v>
      </c>
      <c r="U42" t="s">
        <v>150</v>
      </c>
      <c r="V42" t="s">
        <v>149</v>
      </c>
      <c r="W42" t="s">
        <v>154</v>
      </c>
    </row>
    <row r="43" spans="1:23" x14ac:dyDescent="0.15">
      <c r="A43" s="1" t="s">
        <v>59</v>
      </c>
      <c r="B43" t="s">
        <v>121</v>
      </c>
      <c r="C43">
        <v>0.67119050253353207</v>
      </c>
      <c r="D43">
        <v>1160.93660804769</v>
      </c>
      <c r="E43">
        <v>3.0609131594634871</v>
      </c>
      <c r="G43">
        <v>12.666510342771982</v>
      </c>
      <c r="H43">
        <v>1.7490932339791356</v>
      </c>
      <c r="I43">
        <v>0.93067136691505226</v>
      </c>
      <c r="K43">
        <v>3.3742122771982119</v>
      </c>
      <c r="L43">
        <v>661.96451624441136</v>
      </c>
      <c r="M43">
        <v>2.2968861698956785E-2</v>
      </c>
      <c r="N43">
        <v>0.45928112995529058</v>
      </c>
      <c r="O43">
        <v>0.82274654813710879</v>
      </c>
      <c r="Q43">
        <v>4.5745515350223549</v>
      </c>
      <c r="R43">
        <v>1.768314038748137E-2</v>
      </c>
      <c r="U43" t="s">
        <v>150</v>
      </c>
      <c r="V43" t="s">
        <v>149</v>
      </c>
      <c r="W43" t="s">
        <v>154</v>
      </c>
    </row>
    <row r="44" spans="1:23" x14ac:dyDescent="0.15">
      <c r="A44" s="1" t="s">
        <v>60</v>
      </c>
      <c r="B44" t="s">
        <v>121</v>
      </c>
      <c r="C44">
        <v>2.9830689001490311</v>
      </c>
      <c r="D44">
        <v>9623.8569478390473</v>
      </c>
      <c r="E44">
        <v>3.0782118837555883</v>
      </c>
      <c r="G44">
        <v>611.9904238450074</v>
      </c>
      <c r="H44">
        <v>9.0491548852459029</v>
      </c>
      <c r="I44">
        <v>18.624959821162442</v>
      </c>
      <c r="J44">
        <v>8.5465308405365139</v>
      </c>
      <c r="K44">
        <v>12.099496602086438</v>
      </c>
      <c r="L44">
        <v>4061.3560476900152</v>
      </c>
      <c r="M44">
        <v>4.017148196721311E-2</v>
      </c>
      <c r="N44">
        <v>0.515790295976155</v>
      </c>
      <c r="O44">
        <v>38.086024649776455</v>
      </c>
      <c r="P44">
        <v>5.2953317138599111E-2</v>
      </c>
      <c r="Q44">
        <v>11.916898956780924</v>
      </c>
      <c r="R44">
        <v>4.9013052160953802E-3</v>
      </c>
      <c r="U44" t="s">
        <v>150</v>
      </c>
      <c r="V44" t="s">
        <v>149</v>
      </c>
      <c r="W44" t="s">
        <v>154</v>
      </c>
    </row>
    <row r="45" spans="1:23" x14ac:dyDescent="0.15">
      <c r="A45" s="1" t="s">
        <v>61</v>
      </c>
      <c r="B45" t="s">
        <v>121</v>
      </c>
      <c r="C45">
        <v>4.8676688077496273</v>
      </c>
      <c r="D45">
        <v>15424.695827123696</v>
      </c>
      <c r="E45">
        <v>5.2290199374068553</v>
      </c>
      <c r="G45">
        <v>133.96900923994039</v>
      </c>
      <c r="H45">
        <v>14.81924047690015</v>
      </c>
      <c r="I45">
        <v>19.115090342771982</v>
      </c>
      <c r="J45">
        <v>11.964950968703427</v>
      </c>
      <c r="K45">
        <v>16.318463248882267</v>
      </c>
      <c r="L45">
        <v>4084.4210134128166</v>
      </c>
      <c r="M45">
        <v>5.7662414307004476E-3</v>
      </c>
      <c r="N45">
        <v>0.50252794068554396</v>
      </c>
      <c r="O45">
        <v>80.804263248882265</v>
      </c>
      <c r="P45">
        <v>5.4779293591654251E-3</v>
      </c>
      <c r="Q45">
        <v>16.558723308494784</v>
      </c>
      <c r="R45">
        <v>5.0935132637853946E-3</v>
      </c>
      <c r="U45" t="s">
        <v>150</v>
      </c>
      <c r="V45" t="s">
        <v>149</v>
      </c>
      <c r="W45" t="s">
        <v>154</v>
      </c>
    </row>
    <row r="46" spans="1:23" x14ac:dyDescent="0.15">
      <c r="A46" s="1" t="s">
        <v>62</v>
      </c>
      <c r="B46" t="s">
        <v>121</v>
      </c>
      <c r="C46">
        <v>3.994083230998509</v>
      </c>
      <c r="D46">
        <v>10943.365195230999</v>
      </c>
      <c r="E46">
        <v>4.1805250372578238</v>
      </c>
      <c r="G46">
        <v>362.88879403874819</v>
      </c>
      <c r="H46">
        <v>1.1119235558867362</v>
      </c>
      <c r="I46">
        <v>80.22763910581223</v>
      </c>
      <c r="J46">
        <v>39.671741043219072</v>
      </c>
      <c r="K46">
        <v>24.641071713859908</v>
      </c>
      <c r="L46">
        <v>2186.3665424739197</v>
      </c>
      <c r="M46">
        <v>0.1008131210134128</v>
      </c>
      <c r="N46">
        <v>0.46110710640834579</v>
      </c>
      <c r="O46">
        <v>175.38984351713859</v>
      </c>
      <c r="P46">
        <v>7.4768930551415785E-2</v>
      </c>
      <c r="Q46">
        <v>35.414332786885247</v>
      </c>
      <c r="R46">
        <v>1.5664955886736213E-2</v>
      </c>
      <c r="S46">
        <v>0.18951713502235468</v>
      </c>
      <c r="U46" t="s">
        <v>150</v>
      </c>
      <c r="V46" t="s">
        <v>149</v>
      </c>
      <c r="W46" t="s">
        <v>154</v>
      </c>
    </row>
    <row r="47" spans="1:23" x14ac:dyDescent="0.15">
      <c r="A47" s="1" t="s">
        <v>63</v>
      </c>
      <c r="B47" t="s">
        <v>121</v>
      </c>
      <c r="C47">
        <v>2.6745749836065573</v>
      </c>
      <c r="D47">
        <v>11249.937031296571</v>
      </c>
      <c r="E47">
        <v>2.5842372011922508</v>
      </c>
      <c r="G47">
        <v>668.59569388971681</v>
      </c>
      <c r="H47">
        <v>27.283932369597618</v>
      </c>
      <c r="I47">
        <v>104.46507391952309</v>
      </c>
      <c r="J47">
        <v>121.76379821162445</v>
      </c>
      <c r="K47">
        <v>65.927360357675113</v>
      </c>
      <c r="L47">
        <v>6370.7357406855444</v>
      </c>
      <c r="N47">
        <v>0.74278800029806258</v>
      </c>
      <c r="O47">
        <v>392.87324947839045</v>
      </c>
      <c r="P47">
        <v>4.872474008941878E-2</v>
      </c>
      <c r="Q47">
        <v>43.99642211624441</v>
      </c>
      <c r="R47">
        <v>1.5953267958271237E-2</v>
      </c>
      <c r="U47" t="s">
        <v>150</v>
      </c>
      <c r="V47" t="s">
        <v>149</v>
      </c>
      <c r="W47" t="s">
        <v>154</v>
      </c>
    </row>
    <row r="48" spans="1:23" x14ac:dyDescent="0.15">
      <c r="A48" s="1" t="s">
        <v>64</v>
      </c>
      <c r="B48" t="s">
        <v>121</v>
      </c>
      <c r="C48">
        <v>3.6875113949329363</v>
      </c>
      <c r="D48">
        <v>11973.600330849478</v>
      </c>
      <c r="E48">
        <v>2.3545485842026825</v>
      </c>
      <c r="G48">
        <v>312.91470163934429</v>
      </c>
      <c r="H48">
        <v>26.476658569299552</v>
      </c>
      <c r="I48">
        <v>70.684509538002985</v>
      </c>
      <c r="J48">
        <v>38.210959880774958</v>
      </c>
      <c r="K48">
        <v>32.483160059612516</v>
      </c>
      <c r="L48">
        <v>6770.5284798807752</v>
      </c>
      <c r="M48">
        <v>1.6337684053651265E-3</v>
      </c>
      <c r="N48">
        <v>0.6071852226527571</v>
      </c>
      <c r="O48">
        <v>120.70665394932935</v>
      </c>
      <c r="P48">
        <v>6.448580000000001E-2</v>
      </c>
      <c r="Q48">
        <v>23.949122742175859</v>
      </c>
      <c r="R48">
        <v>2.6332502533532042E-2</v>
      </c>
      <c r="U48" t="s">
        <v>150</v>
      </c>
      <c r="V48" t="s">
        <v>149</v>
      </c>
      <c r="W48" t="s">
        <v>154</v>
      </c>
    </row>
    <row r="49" spans="1:23" x14ac:dyDescent="0.15">
      <c r="A49" s="1" t="s">
        <v>65</v>
      </c>
      <c r="B49" t="s">
        <v>121</v>
      </c>
      <c r="C49">
        <v>7.7728934485842016</v>
      </c>
      <c r="D49">
        <v>16484.723210134129</v>
      </c>
      <c r="E49">
        <v>5.55577361847988</v>
      </c>
      <c r="F49">
        <v>2.2690160029806261</v>
      </c>
      <c r="G49">
        <v>237.5691469448584</v>
      </c>
      <c r="H49">
        <v>1.2445471087928466</v>
      </c>
      <c r="I49">
        <v>21.402366110283161</v>
      </c>
      <c r="J49">
        <v>9.1491030700447098</v>
      </c>
      <c r="K49">
        <v>17.048853830104321</v>
      </c>
      <c r="L49">
        <v>6237.1511475409834</v>
      </c>
      <c r="M49">
        <v>2.0566261102831596E-2</v>
      </c>
      <c r="N49">
        <v>0.59305793114754091</v>
      </c>
      <c r="O49">
        <v>45.620580119225039</v>
      </c>
      <c r="P49">
        <v>2.8831207153502238E-3</v>
      </c>
      <c r="Q49">
        <v>14.1849539195231</v>
      </c>
      <c r="R49">
        <v>4.9974092399403869E-2</v>
      </c>
      <c r="U49" t="s">
        <v>150</v>
      </c>
      <c r="V49" t="s">
        <v>149</v>
      </c>
      <c r="W49" t="s">
        <v>154</v>
      </c>
    </row>
    <row r="50" spans="1:23" x14ac:dyDescent="0.15">
      <c r="A50" s="1" t="s">
        <v>66</v>
      </c>
      <c r="B50" t="s">
        <v>121</v>
      </c>
      <c r="C50">
        <v>3.6663685096870338</v>
      </c>
      <c r="D50">
        <v>9496.0385961251868</v>
      </c>
      <c r="E50">
        <v>2.3555096244411327</v>
      </c>
      <c r="G50">
        <v>22.33457514157973</v>
      </c>
      <c r="H50">
        <v>3.8460830342771981</v>
      </c>
      <c r="I50">
        <v>5.2290199374068553</v>
      </c>
      <c r="J50">
        <v>1.8365478956780925</v>
      </c>
      <c r="K50">
        <v>5.697046533532041</v>
      </c>
      <c r="L50">
        <v>7114.5808852459022</v>
      </c>
      <c r="N50">
        <v>0.69463988435171387</v>
      </c>
      <c r="O50">
        <v>3.6163944172876303</v>
      </c>
      <c r="Q50">
        <v>2.5832761609538006</v>
      </c>
      <c r="R50">
        <v>2.6620814605067062E-2</v>
      </c>
      <c r="U50" t="s">
        <v>150</v>
      </c>
      <c r="V50" t="s">
        <v>149</v>
      </c>
      <c r="W50" t="s">
        <v>154</v>
      </c>
    </row>
    <row r="51" spans="1:23" x14ac:dyDescent="0.15">
      <c r="A51" s="1" t="s">
        <v>67</v>
      </c>
      <c r="B51" t="s">
        <v>121</v>
      </c>
      <c r="C51">
        <v>5.1252275916542471</v>
      </c>
      <c r="D51">
        <v>14691.422125186289</v>
      </c>
      <c r="E51">
        <v>4.7023698867362143</v>
      </c>
      <c r="G51">
        <v>176.54309180327866</v>
      </c>
      <c r="H51">
        <v>1.4819240476900148</v>
      </c>
      <c r="I51">
        <v>38.768363219076008</v>
      </c>
      <c r="J51">
        <v>27.005230700447093</v>
      </c>
      <c r="K51">
        <v>20.643144321907599</v>
      </c>
      <c r="L51">
        <v>5771.0466318926983</v>
      </c>
      <c r="M51">
        <v>1.8259764530551416E-3</v>
      </c>
      <c r="N51">
        <v>0.37519010909090911</v>
      </c>
      <c r="O51">
        <v>89.146092518628905</v>
      </c>
      <c r="P51">
        <v>2.5563670342771981E-2</v>
      </c>
      <c r="Q51">
        <v>20.739248345752603</v>
      </c>
      <c r="R51">
        <v>4.1324730253353203E-2</v>
      </c>
      <c r="U51" t="s">
        <v>150</v>
      </c>
      <c r="V51" t="s">
        <v>149</v>
      </c>
      <c r="W51" t="s">
        <v>154</v>
      </c>
    </row>
    <row r="52" spans="1:23" x14ac:dyDescent="0.15">
      <c r="A52" s="1" t="s">
        <v>68</v>
      </c>
      <c r="B52" t="s">
        <v>121</v>
      </c>
      <c r="C52">
        <v>0.10792481877794337</v>
      </c>
      <c r="D52">
        <v>569.80075737704919</v>
      </c>
      <c r="E52">
        <v>0.70280872637853953</v>
      </c>
      <c r="G52">
        <v>271.87828345752604</v>
      </c>
      <c r="H52">
        <v>16.866256184798807</v>
      </c>
      <c r="I52">
        <v>9.3509215201192255</v>
      </c>
      <c r="J52">
        <v>7.8574649895678093</v>
      </c>
      <c r="K52">
        <v>56.826309299552911</v>
      </c>
      <c r="L52">
        <v>2199.8211058122206</v>
      </c>
      <c r="M52">
        <v>4.8926558539493294</v>
      </c>
      <c r="N52">
        <v>4.2199276870342777</v>
      </c>
      <c r="O52">
        <v>273.80036393442617</v>
      </c>
      <c r="P52">
        <v>0.10215857734724292</v>
      </c>
      <c r="Q52">
        <v>33.463421102831596</v>
      </c>
      <c r="R52">
        <v>5.3433837257824142E-2</v>
      </c>
      <c r="U52" t="s">
        <v>150</v>
      </c>
      <c r="V52" t="s">
        <v>149</v>
      </c>
      <c r="W52" t="s">
        <v>154</v>
      </c>
    </row>
    <row r="53" spans="1:23" x14ac:dyDescent="0.15">
      <c r="A53" s="1" t="s">
        <v>69</v>
      </c>
      <c r="B53" t="s">
        <v>121</v>
      </c>
      <c r="C53">
        <v>3.805719344262295</v>
      </c>
      <c r="D53">
        <v>10560.871180327869</v>
      </c>
      <c r="E53">
        <v>4.5534086497764532</v>
      </c>
      <c r="F53">
        <v>0.92192590074515646</v>
      </c>
      <c r="G53">
        <v>74.8169825633383</v>
      </c>
      <c r="H53">
        <v>28.936921579731742</v>
      </c>
      <c r="I53">
        <v>5.2319030581222057</v>
      </c>
      <c r="J53">
        <v>5.7998778390461991</v>
      </c>
      <c r="K53">
        <v>14.84807168405365</v>
      </c>
      <c r="L53">
        <v>8276.4785335320412</v>
      </c>
      <c r="M53">
        <v>4.1420834277198212E-2</v>
      </c>
      <c r="N53">
        <v>1.2493523099850969</v>
      </c>
      <c r="O53">
        <v>43.333304351713856</v>
      </c>
      <c r="P53">
        <v>0.16654827332339794</v>
      </c>
      <c r="Q53">
        <v>77.459843219075992</v>
      </c>
      <c r="R53">
        <v>6.2275407451564832E-2</v>
      </c>
      <c r="U53" t="s">
        <v>150</v>
      </c>
      <c r="V53" t="s">
        <v>149</v>
      </c>
      <c r="W53" t="s">
        <v>154</v>
      </c>
    </row>
    <row r="54" spans="1:23" x14ac:dyDescent="0.15">
      <c r="A54" s="1" t="s">
        <v>70</v>
      </c>
      <c r="B54" t="s">
        <v>121</v>
      </c>
      <c r="C54">
        <v>4.2304991296572281</v>
      </c>
      <c r="D54">
        <v>7250.0875588673625</v>
      </c>
      <c r="E54">
        <v>1.510755254843517</v>
      </c>
      <c r="G54">
        <v>64.110994307004461</v>
      </c>
      <c r="H54">
        <v>20.095351385991059</v>
      </c>
      <c r="I54">
        <v>3.3953551624441127</v>
      </c>
      <c r="J54">
        <v>4.1891743994038748</v>
      </c>
      <c r="K54">
        <v>17.68314038748137</v>
      </c>
      <c r="L54">
        <v>4738.8894157973173</v>
      </c>
      <c r="M54">
        <v>0.57326050223546954</v>
      </c>
      <c r="N54">
        <v>2.1142885245901639</v>
      </c>
      <c r="O54">
        <v>27.860556512667657</v>
      </c>
      <c r="P54">
        <v>0.13675602593144562</v>
      </c>
      <c r="Q54">
        <v>71.328406497764533</v>
      </c>
      <c r="R54">
        <v>5.8527350521609539E-2</v>
      </c>
      <c r="S54">
        <v>7.4000098360655743E-3</v>
      </c>
      <c r="U54" t="s">
        <v>150</v>
      </c>
      <c r="V54" t="s">
        <v>149</v>
      </c>
      <c r="W54" t="s">
        <v>154</v>
      </c>
    </row>
    <row r="55" spans="1:23" x14ac:dyDescent="0.15">
      <c r="A55" s="1" t="s">
        <v>71</v>
      </c>
      <c r="B55" t="s">
        <v>121</v>
      </c>
      <c r="C55">
        <v>3.2021860745156485</v>
      </c>
      <c r="D55">
        <v>5457.7475141579735</v>
      </c>
      <c r="E55">
        <v>2.0979508405365124</v>
      </c>
      <c r="G55">
        <v>968.72856035767506</v>
      </c>
      <c r="H55">
        <v>374.03686080476899</v>
      </c>
      <c r="I55">
        <v>149.92227719821162</v>
      </c>
      <c r="J55">
        <v>73.077499731743671</v>
      </c>
      <c r="K55">
        <v>51.146561490312962</v>
      </c>
      <c r="L55">
        <v>5500.9943248882264</v>
      </c>
      <c r="M55">
        <v>0.82111277973174368</v>
      </c>
      <c r="N55">
        <v>16.7509313561848</v>
      </c>
      <c r="O55">
        <v>235.35875439642325</v>
      </c>
      <c r="P55">
        <v>7.7555947242921003E-2</v>
      </c>
      <c r="Q55">
        <v>62.775148375558857</v>
      </c>
      <c r="R55">
        <v>7.4384514456035764E-2</v>
      </c>
      <c r="S55">
        <v>1.1532482861400892E-3</v>
      </c>
      <c r="U55" t="s">
        <v>150</v>
      </c>
      <c r="V55" t="s">
        <v>149</v>
      </c>
      <c r="W55" t="s">
        <v>154</v>
      </c>
    </row>
    <row r="56" spans="1:23" x14ac:dyDescent="0.15">
      <c r="A56" s="1" t="s">
        <v>72</v>
      </c>
      <c r="B56" t="s">
        <v>121</v>
      </c>
      <c r="C56">
        <v>3.3415369090909093</v>
      </c>
      <c r="D56">
        <v>5525.9813710879289</v>
      </c>
      <c r="E56">
        <v>0.93067136691505226</v>
      </c>
      <c r="F56">
        <v>1.3070147242921013</v>
      </c>
      <c r="G56">
        <v>419.87848017883749</v>
      </c>
      <c r="H56">
        <v>131.6625126676602</v>
      </c>
      <c r="I56">
        <v>95.364022861400898</v>
      </c>
      <c r="J56">
        <v>17.462101132637855</v>
      </c>
      <c r="K56">
        <v>24.919773383010433</v>
      </c>
      <c r="L56">
        <v>3557.7709627421759</v>
      </c>
      <c r="M56">
        <v>0.94633632280178837</v>
      </c>
      <c r="N56">
        <v>0.70703730342771987</v>
      </c>
      <c r="O56">
        <v>57.883453561847986</v>
      </c>
      <c r="P56">
        <v>2.0374053055141578E-2</v>
      </c>
      <c r="Q56">
        <v>31.60861344262295</v>
      </c>
      <c r="R56">
        <v>1.6241580029806257E-2</v>
      </c>
      <c r="U56" t="s">
        <v>150</v>
      </c>
      <c r="V56" t="s">
        <v>149</v>
      </c>
      <c r="W56" t="s">
        <v>154</v>
      </c>
    </row>
    <row r="57" spans="1:23" x14ac:dyDescent="0.15">
      <c r="A57" s="1" t="s">
        <v>73</v>
      </c>
      <c r="B57" t="s">
        <v>121</v>
      </c>
      <c r="C57">
        <v>4.5351488852459019</v>
      </c>
      <c r="D57">
        <v>12507.938703427719</v>
      </c>
      <c r="E57">
        <v>4.1901354396423249</v>
      </c>
      <c r="G57">
        <v>657.06321102831589</v>
      </c>
      <c r="H57">
        <v>91.337264262295093</v>
      </c>
      <c r="I57">
        <v>75.124515439642323</v>
      </c>
      <c r="J57">
        <v>109.94300327868854</v>
      </c>
      <c r="K57">
        <v>101.19753710879284</v>
      </c>
      <c r="L57">
        <v>7970.867737704918</v>
      </c>
      <c r="M57">
        <v>4.1132522205663193E-2</v>
      </c>
      <c r="N57">
        <v>0.90616484083457527</v>
      </c>
      <c r="O57">
        <v>391.14337704918034</v>
      </c>
      <c r="P57">
        <v>0.42535640953800302</v>
      </c>
      <c r="Q57">
        <v>86.243750998509697</v>
      </c>
      <c r="R57">
        <v>3.277147213114754E-2</v>
      </c>
      <c r="S57">
        <v>2.0950677198211622E-2</v>
      </c>
      <c r="U57" t="s">
        <v>150</v>
      </c>
      <c r="V57" t="s">
        <v>149</v>
      </c>
      <c r="W57" t="s">
        <v>154</v>
      </c>
    </row>
    <row r="58" spans="1:23" x14ac:dyDescent="0.15">
      <c r="A58" s="1" t="s">
        <v>74</v>
      </c>
      <c r="B58" t="s">
        <v>121</v>
      </c>
      <c r="C58">
        <v>1.6827814575260804</v>
      </c>
      <c r="D58">
        <v>4563.9800923994044</v>
      </c>
      <c r="E58">
        <v>0.43592785216095381</v>
      </c>
      <c r="G58">
        <v>431.50706706408346</v>
      </c>
      <c r="H58">
        <v>145.98201222056633</v>
      </c>
      <c r="I58">
        <v>89.453625394932942</v>
      </c>
      <c r="J58">
        <v>23.949122742175859</v>
      </c>
      <c r="K58">
        <v>72.731525245901651</v>
      </c>
      <c r="L58">
        <v>3591.4073710879284</v>
      </c>
      <c r="M58">
        <v>9.1587134724292099E-2</v>
      </c>
      <c r="N58">
        <v>0.79545300536512664</v>
      </c>
      <c r="O58">
        <v>138.96641847988076</v>
      </c>
      <c r="P58">
        <v>0.12704951952309987</v>
      </c>
      <c r="Q58">
        <v>57.239556602086445</v>
      </c>
      <c r="R58">
        <v>2.825458301043219E-2</v>
      </c>
      <c r="S58">
        <v>4.8052011922503721E-3</v>
      </c>
      <c r="U58" t="s">
        <v>150</v>
      </c>
      <c r="V58" t="s">
        <v>149</v>
      </c>
      <c r="W58" t="s">
        <v>154</v>
      </c>
    </row>
    <row r="59" spans="1:23" x14ac:dyDescent="0.15">
      <c r="A59" s="1" t="s">
        <v>75</v>
      </c>
      <c r="B59" t="s">
        <v>121</v>
      </c>
      <c r="C59">
        <v>5.8594623338301046</v>
      </c>
      <c r="D59">
        <v>17194.931946348734</v>
      </c>
      <c r="E59">
        <v>5.8450467302533529</v>
      </c>
      <c r="G59">
        <v>684.45285782414305</v>
      </c>
      <c r="H59">
        <v>32.348614426229503</v>
      </c>
      <c r="I59">
        <v>25.506007928464975</v>
      </c>
      <c r="J59">
        <v>17.193009865871833</v>
      </c>
      <c r="K59">
        <v>31.512509418777942</v>
      </c>
      <c r="L59">
        <v>7864.1922712369606</v>
      </c>
      <c r="M59">
        <v>0.53626045305514169</v>
      </c>
      <c r="N59">
        <v>0.46523957943368105</v>
      </c>
      <c r="O59">
        <v>66.100347600596123</v>
      </c>
      <c r="P59">
        <v>2.8831207153502238E-3</v>
      </c>
      <c r="Q59">
        <v>31.714327868852457</v>
      </c>
      <c r="S59">
        <v>4.8052011922503721E-3</v>
      </c>
      <c r="U59" t="s">
        <v>150</v>
      </c>
      <c r="V59" t="s">
        <v>149</v>
      </c>
      <c r="W59" t="s">
        <v>154</v>
      </c>
    </row>
    <row r="60" spans="1:23" x14ac:dyDescent="0.15">
      <c r="A60" s="1" t="s">
        <v>76</v>
      </c>
      <c r="B60" t="s">
        <v>121</v>
      </c>
      <c r="C60">
        <v>0.86849206348733232</v>
      </c>
      <c r="D60">
        <v>1563.6124679582713</v>
      </c>
      <c r="E60">
        <v>3.1070430909090909</v>
      </c>
      <c r="G60">
        <v>78.497766676602083</v>
      </c>
      <c r="H60">
        <v>9.353804640834575</v>
      </c>
      <c r="I60">
        <v>2.0018468166915055</v>
      </c>
      <c r="J60">
        <v>2.4679513323397915</v>
      </c>
      <c r="K60">
        <v>48.119284739195237</v>
      </c>
      <c r="L60">
        <v>1984.5480923994039</v>
      </c>
      <c r="M60">
        <v>0.25179254247391952</v>
      </c>
      <c r="N60">
        <v>1.8057946080476901</v>
      </c>
      <c r="O60">
        <v>34.37640932935917</v>
      </c>
      <c r="P60">
        <v>5.2568901043219068E-2</v>
      </c>
      <c r="Q60">
        <v>121.09107004470938</v>
      </c>
      <c r="R60">
        <v>4.6129931445603581E-2</v>
      </c>
      <c r="S60">
        <v>4.4207850968703425E-3</v>
      </c>
      <c r="U60" t="s">
        <v>150</v>
      </c>
      <c r="V60" t="s">
        <v>149</v>
      </c>
      <c r="W60" t="s">
        <v>154</v>
      </c>
    </row>
    <row r="61" spans="1:23" x14ac:dyDescent="0.15">
      <c r="A61" s="1" t="s">
        <v>77</v>
      </c>
      <c r="B61" t="s">
        <v>121</v>
      </c>
      <c r="C61">
        <v>0.73586851058122216</v>
      </c>
      <c r="D61">
        <v>1651.067129657228</v>
      </c>
      <c r="E61">
        <v>2.9628870551415796</v>
      </c>
      <c r="F61">
        <v>0.65398788226527571</v>
      </c>
      <c r="G61">
        <v>74.932307391952307</v>
      </c>
      <c r="H61">
        <v>13.320017704918031</v>
      </c>
      <c r="I61">
        <v>10.609884232488822</v>
      </c>
      <c r="J61">
        <v>2.4275876423248883</v>
      </c>
      <c r="K61">
        <v>30.849391654247395</v>
      </c>
      <c r="L61">
        <v>2132.5482891207153</v>
      </c>
      <c r="M61">
        <v>0.42747069806259314</v>
      </c>
      <c r="N61">
        <v>0.92077265245901629</v>
      </c>
      <c r="O61">
        <v>26.82263305514158</v>
      </c>
      <c r="P61">
        <v>7.265464202682563E-2</v>
      </c>
      <c r="Q61">
        <v>24.054837168405367</v>
      </c>
      <c r="U61" t="s">
        <v>150</v>
      </c>
      <c r="V61" t="s">
        <v>149</v>
      </c>
      <c r="W61" t="s">
        <v>154</v>
      </c>
    </row>
    <row r="62" spans="1:23" x14ac:dyDescent="0.15">
      <c r="A62" s="1" t="s">
        <v>78</v>
      </c>
      <c r="B62" t="s">
        <v>121</v>
      </c>
      <c r="C62">
        <v>3.7576673323397913</v>
      </c>
      <c r="D62">
        <v>8827.1545901639347</v>
      </c>
      <c r="E62">
        <v>3.8701090402384501</v>
      </c>
      <c r="F62">
        <v>2.2344185543964237</v>
      </c>
      <c r="G62">
        <v>123.78198271236961</v>
      </c>
      <c r="H62">
        <v>7.8382441847988087</v>
      </c>
      <c r="I62">
        <v>14.780798867362147</v>
      </c>
      <c r="J62">
        <v>20.537429895678095</v>
      </c>
      <c r="K62">
        <v>77.584778450074523</v>
      </c>
      <c r="L62">
        <v>7773.8544888226525</v>
      </c>
      <c r="M62">
        <v>8.072738002980627E-2</v>
      </c>
      <c r="N62">
        <v>0.51492535976154996</v>
      </c>
      <c r="O62">
        <v>100.90922503725783</v>
      </c>
      <c r="P62">
        <v>3.4501344560357673E-2</v>
      </c>
      <c r="Q62">
        <v>54.394877496274219</v>
      </c>
      <c r="R62">
        <v>3.4501344560357673E-2</v>
      </c>
      <c r="S62">
        <v>4.0555898062593146E-2</v>
      </c>
      <c r="U62" t="s">
        <v>150</v>
      </c>
      <c r="V62" t="s">
        <v>149</v>
      </c>
      <c r="W62" t="s">
        <v>154</v>
      </c>
    </row>
    <row r="63" spans="1:23" x14ac:dyDescent="0.15">
      <c r="A63" s="1" t="s">
        <v>79</v>
      </c>
      <c r="B63" t="s">
        <v>121</v>
      </c>
      <c r="C63">
        <v>11.820794932935918</v>
      </c>
      <c r="D63">
        <v>21196.703499254843</v>
      </c>
      <c r="E63">
        <v>5.085824941877795</v>
      </c>
      <c r="G63">
        <v>115.997556780924</v>
      </c>
      <c r="H63">
        <v>0.45572528107302535</v>
      </c>
      <c r="I63">
        <v>6.9752300506706408</v>
      </c>
      <c r="J63">
        <v>13.838979433681073</v>
      </c>
      <c r="K63">
        <v>96.680647988077482</v>
      </c>
      <c r="L63">
        <v>12480.068536512666</v>
      </c>
      <c r="M63">
        <v>7.1501393740685537E-2</v>
      </c>
      <c r="N63">
        <v>0.72154901102831603</v>
      </c>
      <c r="O63">
        <v>117.63132518628912</v>
      </c>
      <c r="P63">
        <v>0.11907288554396424</v>
      </c>
      <c r="Q63">
        <v>126.2806873323398</v>
      </c>
      <c r="R63">
        <v>1.9893532935916544E-2</v>
      </c>
      <c r="S63">
        <v>2.3449381818181819E-2</v>
      </c>
      <c r="U63" t="s">
        <v>150</v>
      </c>
      <c r="V63" t="s">
        <v>149</v>
      </c>
      <c r="W63" t="s">
        <v>154</v>
      </c>
    </row>
    <row r="64" spans="1:23" x14ac:dyDescent="0.15">
      <c r="A64" s="1" t="s">
        <v>80</v>
      </c>
      <c r="B64" t="s">
        <v>121</v>
      </c>
      <c r="C64">
        <v>3.6384983427719821</v>
      </c>
      <c r="D64">
        <v>9317.2851117734735</v>
      </c>
      <c r="E64">
        <v>4.5486034485842026</v>
      </c>
      <c r="F64">
        <v>2.0124182593144559</v>
      </c>
      <c r="G64">
        <v>97.353376154992546</v>
      </c>
      <c r="H64">
        <v>3.9450701788375562</v>
      </c>
      <c r="I64">
        <v>9.975597675111775</v>
      </c>
      <c r="J64">
        <v>12.243652637853948</v>
      </c>
      <c r="K64">
        <v>58.786831385991057</v>
      </c>
      <c r="L64">
        <v>7246.2433979135612</v>
      </c>
      <c r="M64">
        <v>0.62996187630402378</v>
      </c>
      <c r="N64">
        <v>1.8644180625931446</v>
      </c>
      <c r="O64">
        <v>74.797761758569294</v>
      </c>
      <c r="P64">
        <v>3.2387056035767511E-2</v>
      </c>
      <c r="Q64">
        <v>40.094598748137109</v>
      </c>
      <c r="R64">
        <v>4.3919538897168403E-2</v>
      </c>
      <c r="S64">
        <v>1.9509116840536512E-2</v>
      </c>
      <c r="U64" t="s">
        <v>150</v>
      </c>
      <c r="V64" t="s">
        <v>149</v>
      </c>
      <c r="W64" t="s">
        <v>154</v>
      </c>
    </row>
    <row r="65" spans="1:23" x14ac:dyDescent="0.15">
      <c r="A65" s="1" t="s">
        <v>81</v>
      </c>
      <c r="B65" t="s">
        <v>121</v>
      </c>
      <c r="C65">
        <v>0.9435493061102832</v>
      </c>
      <c r="D65">
        <v>3584.6800894187777</v>
      </c>
      <c r="E65">
        <v>5.0166300447093892</v>
      </c>
      <c r="F65">
        <v>1.3031705633383011</v>
      </c>
      <c r="G65">
        <v>120.51444590163935</v>
      </c>
      <c r="H65">
        <v>67.32086870342772</v>
      </c>
      <c r="I65">
        <v>34.510954962742176</v>
      </c>
      <c r="J65">
        <v>11.580534873323398</v>
      </c>
      <c r="K65">
        <v>79.53569013412816</v>
      </c>
      <c r="L65">
        <v>2053.7429895678092</v>
      </c>
      <c r="M65">
        <v>15.251708584202682</v>
      </c>
      <c r="N65">
        <v>19.701324888226527</v>
      </c>
      <c r="O65">
        <v>13.752485812220566</v>
      </c>
      <c r="P65">
        <v>7.8036467362146048E-2</v>
      </c>
      <c r="Q65">
        <v>27.860556512667657</v>
      </c>
      <c r="R65">
        <v>6.0545535022354701E-3</v>
      </c>
      <c r="U65" t="s">
        <v>150</v>
      </c>
      <c r="V65" t="s">
        <v>149</v>
      </c>
      <c r="W65" t="s">
        <v>154</v>
      </c>
    </row>
    <row r="66" spans="1:23" x14ac:dyDescent="0.15">
      <c r="A66" s="1" t="s">
        <v>82</v>
      </c>
      <c r="B66" t="s">
        <v>121</v>
      </c>
      <c r="C66">
        <v>0.8123673135618481</v>
      </c>
      <c r="D66">
        <v>1756.7815558867362</v>
      </c>
      <c r="E66">
        <v>2.8341076631892692</v>
      </c>
      <c r="G66">
        <v>116.67028494783905</v>
      </c>
      <c r="H66">
        <v>52.770719493293591</v>
      </c>
      <c r="I66">
        <v>47.158244500745155</v>
      </c>
      <c r="J66">
        <v>1.301248482861401</v>
      </c>
      <c r="K66">
        <v>48.052011922503723</v>
      </c>
      <c r="L66">
        <v>1799.0673263785393</v>
      </c>
      <c r="M66">
        <v>12.570406318926976</v>
      </c>
      <c r="N66">
        <v>1.5943657555886737</v>
      </c>
      <c r="O66">
        <v>16.328073651266763</v>
      </c>
      <c r="P66">
        <v>4.2862394634873326E-2</v>
      </c>
      <c r="Q66">
        <v>13.887031445603576</v>
      </c>
      <c r="R66">
        <v>1.3358459314456035E-2</v>
      </c>
      <c r="U66" t="s">
        <v>150</v>
      </c>
      <c r="V66" t="s">
        <v>149</v>
      </c>
      <c r="W66" t="s">
        <v>154</v>
      </c>
    </row>
    <row r="67" spans="1:23" x14ac:dyDescent="0.15">
      <c r="A67" s="1" t="s">
        <v>83</v>
      </c>
      <c r="B67" t="s">
        <v>121</v>
      </c>
      <c r="C67">
        <v>1.8567297406855439</v>
      </c>
      <c r="D67">
        <v>4776.3699850968706</v>
      </c>
      <c r="E67">
        <v>4.9858767570789864</v>
      </c>
      <c r="F67">
        <v>8.3399071892697467</v>
      </c>
      <c r="G67">
        <v>168.08593770491802</v>
      </c>
      <c r="H67">
        <v>11.86884694485842</v>
      </c>
      <c r="I67">
        <v>10.18702652757079</v>
      </c>
      <c r="J67">
        <v>39.066285692995528</v>
      </c>
      <c r="K67">
        <v>89.703495856929962</v>
      </c>
      <c r="L67">
        <v>7540.3217108792851</v>
      </c>
      <c r="M67">
        <v>0.19787818509687036</v>
      </c>
      <c r="N67">
        <v>1.0350403368107302</v>
      </c>
      <c r="O67">
        <v>150.21058926974666</v>
      </c>
      <c r="P67">
        <v>0.14627032429210135</v>
      </c>
      <c r="Q67">
        <v>94.470255439642315</v>
      </c>
      <c r="R67">
        <v>3.3828616393442625E-2</v>
      </c>
      <c r="S67">
        <v>1.7298724292101342E-3</v>
      </c>
      <c r="U67" t="s">
        <v>150</v>
      </c>
      <c r="V67" t="s">
        <v>149</v>
      </c>
      <c r="W67" t="s">
        <v>154</v>
      </c>
    </row>
    <row r="68" spans="1:23" x14ac:dyDescent="0.15">
      <c r="A68" s="1" t="s">
        <v>84</v>
      </c>
      <c r="B68" t="s">
        <v>121</v>
      </c>
      <c r="C68">
        <v>6.5225800983606552</v>
      </c>
      <c r="D68">
        <v>13575.654408345754</v>
      </c>
      <c r="E68">
        <v>4.2708628196721312</v>
      </c>
      <c r="G68">
        <v>339.7277242921013</v>
      </c>
      <c r="H68">
        <v>6.0439820596125182</v>
      </c>
      <c r="I68">
        <v>8.1851797108792841</v>
      </c>
      <c r="J68">
        <v>45.034345573770494</v>
      </c>
      <c r="K68">
        <v>125.89627123695976</v>
      </c>
      <c r="L68">
        <v>14478.071192250372</v>
      </c>
      <c r="M68">
        <v>8.334140947839046</v>
      </c>
      <c r="N68">
        <v>1.2964432816691505</v>
      </c>
      <c r="O68">
        <v>238.14577108792847</v>
      </c>
      <c r="P68">
        <v>8.4571540983606558E-2</v>
      </c>
      <c r="Q68">
        <v>165.49112906110284</v>
      </c>
      <c r="R68">
        <v>2.3737693889716839E-2</v>
      </c>
      <c r="U68" t="s">
        <v>150</v>
      </c>
      <c r="V68" t="s">
        <v>149</v>
      </c>
      <c r="W68" t="s">
        <v>154</v>
      </c>
    </row>
    <row r="69" spans="1:23" x14ac:dyDescent="0.15">
      <c r="A69" s="1" t="s">
        <v>85</v>
      </c>
      <c r="B69" t="s">
        <v>121</v>
      </c>
      <c r="C69">
        <v>10.321572160953799</v>
      </c>
      <c r="D69">
        <v>25370.501254843515</v>
      </c>
      <c r="E69">
        <v>5.1761627242921016</v>
      </c>
      <c r="F69">
        <v>1.1801574128166916</v>
      </c>
      <c r="G69">
        <v>463.79801907600597</v>
      </c>
      <c r="H69">
        <v>14.146512309985097</v>
      </c>
      <c r="I69">
        <v>20.220286616989569</v>
      </c>
      <c r="J69">
        <v>19.643662473919527</v>
      </c>
      <c r="K69">
        <v>61.381640029806256</v>
      </c>
      <c r="L69">
        <v>10767.494831594635</v>
      </c>
      <c r="M69">
        <v>0.40661612488822652</v>
      </c>
      <c r="N69">
        <v>0.55961373084947841</v>
      </c>
      <c r="O69">
        <v>141.84953919523099</v>
      </c>
      <c r="Q69">
        <v>67.628401579731758</v>
      </c>
      <c r="R69">
        <v>1.4415603576751118E-2</v>
      </c>
      <c r="U69" t="s">
        <v>150</v>
      </c>
      <c r="V69" t="s">
        <v>149</v>
      </c>
      <c r="W69" t="s">
        <v>154</v>
      </c>
    </row>
    <row r="70" spans="1:23" x14ac:dyDescent="0.15">
      <c r="A70" s="1" t="s">
        <v>86</v>
      </c>
      <c r="B70" t="s">
        <v>121</v>
      </c>
      <c r="C70">
        <v>8.1476991415797322</v>
      </c>
      <c r="D70">
        <v>22364.367388971685</v>
      </c>
      <c r="E70">
        <v>5.8959818628912073</v>
      </c>
      <c r="F70">
        <v>1.3339238509687033</v>
      </c>
      <c r="G70">
        <v>1355.0667362146053</v>
      </c>
      <c r="H70">
        <v>24.794838152011923</v>
      </c>
      <c r="I70">
        <v>275.33802831594636</v>
      </c>
      <c r="J70">
        <v>183.27037347242918</v>
      </c>
      <c r="K70">
        <v>265.82372995529062</v>
      </c>
      <c r="L70">
        <v>7497.0749001490321</v>
      </c>
      <c r="M70">
        <v>10.158195320417288</v>
      </c>
      <c r="N70">
        <v>1.2522354307004468</v>
      </c>
      <c r="O70">
        <v>756.43477168405366</v>
      </c>
      <c r="P70">
        <v>0.23189900953800296</v>
      </c>
      <c r="Q70">
        <v>232.37952965722803</v>
      </c>
      <c r="R70">
        <v>3.1810431892697465E-2</v>
      </c>
      <c r="U70" t="s">
        <v>150</v>
      </c>
      <c r="V70" t="s">
        <v>149</v>
      </c>
      <c r="W70" t="s">
        <v>154</v>
      </c>
    </row>
    <row r="71" spans="1:23" x14ac:dyDescent="0.15">
      <c r="A71" s="1" t="s">
        <v>87</v>
      </c>
      <c r="B71" t="s">
        <v>121</v>
      </c>
      <c r="C71">
        <v>9.009752235469449</v>
      </c>
      <c r="D71">
        <v>19607.14294485842</v>
      </c>
      <c r="E71">
        <v>6.0295664560357674</v>
      </c>
      <c r="G71">
        <v>1049.4559403874814</v>
      </c>
      <c r="H71">
        <v>33.050173800298062</v>
      </c>
      <c r="I71">
        <v>193.745712071535</v>
      </c>
      <c r="J71">
        <v>135.21836154992548</v>
      </c>
      <c r="K71">
        <v>236.51200268256332</v>
      </c>
      <c r="L71">
        <v>8223.6213204172873</v>
      </c>
      <c r="M71">
        <v>4.0181092369597611</v>
      </c>
      <c r="N71">
        <v>1.3098978450074514</v>
      </c>
      <c r="O71">
        <v>556.82671415797313</v>
      </c>
      <c r="P71">
        <v>0.20508598688524593</v>
      </c>
      <c r="Q71">
        <v>231.61069746646797</v>
      </c>
      <c r="R71">
        <v>4.0844210134128166E-2</v>
      </c>
      <c r="S71">
        <v>2.1335093293591657E-2</v>
      </c>
      <c r="U71" t="s">
        <v>150</v>
      </c>
      <c r="V71" t="s">
        <v>149</v>
      </c>
      <c r="W71" t="s">
        <v>154</v>
      </c>
    </row>
    <row r="72" spans="1:23" x14ac:dyDescent="0.15">
      <c r="A72" s="1" t="s">
        <v>88</v>
      </c>
      <c r="B72" t="s">
        <v>121</v>
      </c>
      <c r="C72">
        <v>7.3317759791356183</v>
      </c>
      <c r="D72">
        <v>14684.69484351714</v>
      </c>
      <c r="E72">
        <v>1.8759505454545453</v>
      </c>
      <c r="G72">
        <v>86.906868763040237</v>
      </c>
      <c r="H72">
        <v>4.8936168941877787</v>
      </c>
      <c r="I72">
        <v>64.706839254843516</v>
      </c>
      <c r="J72">
        <v>7.5374385901639354</v>
      </c>
      <c r="K72">
        <v>33.261602652757077</v>
      </c>
      <c r="L72">
        <v>1981.6649716840536</v>
      </c>
      <c r="M72">
        <v>0.13454563338301043</v>
      </c>
      <c r="N72">
        <v>0.66455932488822644</v>
      </c>
      <c r="O72">
        <v>6.0766574277198222</v>
      </c>
      <c r="P72">
        <v>9.6680647988077489E-2</v>
      </c>
      <c r="Q72">
        <v>33.194329836065577</v>
      </c>
      <c r="R72">
        <v>7.3519578241430697E-2</v>
      </c>
      <c r="S72">
        <v>2.2103925484351711E-2</v>
      </c>
      <c r="U72" t="s">
        <v>150</v>
      </c>
      <c r="V72" t="s">
        <v>149</v>
      </c>
      <c r="W72" t="s">
        <v>154</v>
      </c>
    </row>
    <row r="73" spans="1:23" x14ac:dyDescent="0.15">
      <c r="A73" s="1" t="s">
        <v>89</v>
      </c>
      <c r="B73" t="s">
        <v>121</v>
      </c>
      <c r="C73">
        <v>7.5114905037257822</v>
      </c>
      <c r="D73">
        <v>7508.6073830104324</v>
      </c>
      <c r="E73">
        <v>3.7115374008941879</v>
      </c>
      <c r="F73">
        <v>10.763650670640834</v>
      </c>
      <c r="G73">
        <v>322.14068792846496</v>
      </c>
      <c r="H73">
        <v>29.869130611028314</v>
      </c>
      <c r="I73">
        <v>29.186792041728761</v>
      </c>
      <c r="J73">
        <v>28.763934336810731</v>
      </c>
      <c r="K73">
        <v>62.0351473919523</v>
      </c>
      <c r="L73">
        <v>1841.3530968703428</v>
      </c>
      <c r="M73">
        <v>5.3933578181818191</v>
      </c>
      <c r="N73">
        <v>24.669902921013414</v>
      </c>
      <c r="O73">
        <v>12.906770402384501</v>
      </c>
      <c r="P73">
        <v>0.53126304381520117</v>
      </c>
      <c r="Q73">
        <v>46.937205245901637</v>
      </c>
      <c r="R73">
        <v>5.3433837257824142E-2</v>
      </c>
      <c r="S73">
        <v>3.7576673323397917E-2</v>
      </c>
      <c r="U73" t="s">
        <v>150</v>
      </c>
      <c r="V73" t="s">
        <v>149</v>
      </c>
      <c r="W73" t="s">
        <v>154</v>
      </c>
    </row>
    <row r="74" spans="1:23" x14ac:dyDescent="0.15">
      <c r="A74" s="1" t="s">
        <v>90</v>
      </c>
      <c r="B74" t="s">
        <v>121</v>
      </c>
      <c r="C74">
        <v>5.2319030581222057</v>
      </c>
      <c r="D74">
        <v>6475.4891266766017</v>
      </c>
      <c r="E74">
        <v>1.147482044709389</v>
      </c>
      <c r="F74">
        <v>0.71136198450074517</v>
      </c>
      <c r="G74">
        <v>20.854573174366614</v>
      </c>
      <c r="H74">
        <v>1.7884958837555887</v>
      </c>
      <c r="I74">
        <v>3.3646018748137108</v>
      </c>
      <c r="J74">
        <v>22.795874456035765</v>
      </c>
      <c r="K74">
        <v>15.136383755588673</v>
      </c>
      <c r="L74">
        <v>2833.1466229508196</v>
      </c>
      <c r="M74">
        <v>1.4800019672131149E-2</v>
      </c>
      <c r="N74">
        <v>0.71924251445603571</v>
      </c>
      <c r="O74">
        <v>2.0835352369597615</v>
      </c>
      <c r="P74">
        <v>0.12762614366616989</v>
      </c>
      <c r="Q74">
        <v>26.024969657228016</v>
      </c>
      <c r="R74">
        <v>5.6316957973174361E-2</v>
      </c>
      <c r="U74" t="s">
        <v>150</v>
      </c>
      <c r="V74" t="s">
        <v>149</v>
      </c>
      <c r="W74" t="s">
        <v>154</v>
      </c>
    </row>
    <row r="75" spans="1:23" x14ac:dyDescent="0.15">
      <c r="A75" s="1" t="s">
        <v>91</v>
      </c>
      <c r="B75" t="s">
        <v>121</v>
      </c>
      <c r="C75">
        <v>15.415085424739194</v>
      </c>
      <c r="D75">
        <v>30780.196757078989</v>
      </c>
      <c r="E75">
        <v>5.3481889269746654</v>
      </c>
      <c r="F75">
        <v>0.78670753919523106</v>
      </c>
      <c r="G75">
        <v>110.42352339791356</v>
      </c>
      <c r="H75">
        <v>0.98794936512667653</v>
      </c>
      <c r="I75">
        <v>86.330244619970188</v>
      </c>
      <c r="J75">
        <v>3.6442645842026828</v>
      </c>
      <c r="K75">
        <v>23.228342563338302</v>
      </c>
      <c r="L75">
        <v>1143.6378837555887</v>
      </c>
      <c r="M75">
        <v>4.1036418181818191E-2</v>
      </c>
      <c r="N75">
        <v>0.58959818628912075</v>
      </c>
      <c r="O75">
        <v>5.6682153263785384</v>
      </c>
      <c r="P75">
        <v>0.2219041910581222</v>
      </c>
      <c r="Q75">
        <v>2058.5481907600597</v>
      </c>
      <c r="R75">
        <v>6.6023464381520125E-2</v>
      </c>
      <c r="S75">
        <v>1.4511707600596125E-2</v>
      </c>
      <c r="U75" t="s">
        <v>150</v>
      </c>
      <c r="V75" t="s">
        <v>149</v>
      </c>
      <c r="W75" t="s">
        <v>154</v>
      </c>
    </row>
    <row r="76" spans="1:23" x14ac:dyDescent="0.15">
      <c r="A76" s="1" t="s">
        <v>92</v>
      </c>
      <c r="B76" t="s">
        <v>121</v>
      </c>
      <c r="C76">
        <v>4.9560845096870345</v>
      </c>
      <c r="D76">
        <v>10471.494438152013</v>
      </c>
      <c r="E76">
        <v>4.2276160089418777</v>
      </c>
      <c r="G76">
        <v>27.697179672131149</v>
      </c>
      <c r="H76">
        <v>1.0206247332339793</v>
      </c>
      <c r="I76">
        <v>6.3198006080476894</v>
      </c>
      <c r="J76">
        <v>18.269374932935918</v>
      </c>
      <c r="K76">
        <v>17.67352998509687</v>
      </c>
      <c r="L76">
        <v>1749.0932339791357</v>
      </c>
      <c r="N76">
        <v>0.81919069925484356</v>
      </c>
      <c r="O76">
        <v>3.1820042295081969</v>
      </c>
      <c r="P76">
        <v>0.25208085454545454</v>
      </c>
      <c r="Q76">
        <v>6774.3726408345756</v>
      </c>
      <c r="R76">
        <v>0.2744730921013413</v>
      </c>
      <c r="S76">
        <v>6.0545535022354701E-3</v>
      </c>
      <c r="U76" t="s">
        <v>150</v>
      </c>
      <c r="V76" t="s">
        <v>149</v>
      </c>
      <c r="W76" t="s">
        <v>154</v>
      </c>
    </row>
    <row r="77" spans="1:23" x14ac:dyDescent="0.15">
      <c r="A77" s="1" t="s">
        <v>93</v>
      </c>
      <c r="B77" t="s">
        <v>121</v>
      </c>
      <c r="C77">
        <v>33.722901967213119</v>
      </c>
      <c r="D77">
        <v>35722.826703427716</v>
      </c>
      <c r="E77">
        <v>3.2271731207153502</v>
      </c>
      <c r="G77">
        <v>6971.3858897168402</v>
      </c>
      <c r="H77">
        <v>8.5763230879284649</v>
      </c>
      <c r="I77">
        <v>305.32248375558868</v>
      </c>
      <c r="J77">
        <v>66.590478122205667</v>
      </c>
      <c r="K77">
        <v>84.09102086438152</v>
      </c>
      <c r="L77">
        <v>1302.2095230998511</v>
      </c>
      <c r="M77">
        <v>0.29523156125186284</v>
      </c>
      <c r="N77">
        <v>1.3848589836065575</v>
      </c>
      <c r="O77">
        <v>154.34306229508195</v>
      </c>
      <c r="P77">
        <v>1.5261318986587185</v>
      </c>
      <c r="Q77">
        <v>97.449480178837561</v>
      </c>
      <c r="R77">
        <v>1.7298724292101338E-2</v>
      </c>
      <c r="S77">
        <v>2.8542895081967213E-2</v>
      </c>
      <c r="U77" t="s">
        <v>150</v>
      </c>
      <c r="V77" t="s">
        <v>149</v>
      </c>
      <c r="W77" t="s">
        <v>154</v>
      </c>
    </row>
    <row r="78" spans="1:23" x14ac:dyDescent="0.15">
      <c r="A78" s="1" t="s">
        <v>94</v>
      </c>
      <c r="B78" t="s">
        <v>121</v>
      </c>
      <c r="C78">
        <v>2.4612240506706407</v>
      </c>
      <c r="D78">
        <v>6320.7616482861404</v>
      </c>
      <c r="E78">
        <v>1.3233524083457526</v>
      </c>
      <c r="G78">
        <v>80.102703874813699</v>
      </c>
      <c r="H78">
        <v>7.1472562533532038</v>
      </c>
      <c r="I78">
        <v>18.855609478390463</v>
      </c>
      <c r="J78">
        <v>3.22525104023845</v>
      </c>
      <c r="K78">
        <v>7.2962174903129657</v>
      </c>
      <c r="L78">
        <v>1191.6898956780924</v>
      </c>
      <c r="M78">
        <v>10.110143308494784</v>
      </c>
      <c r="N78">
        <v>5.3808642950819676</v>
      </c>
      <c r="O78">
        <v>27.879777317436663</v>
      </c>
      <c r="P78">
        <v>7.9670235767511172E-2</v>
      </c>
      <c r="Q78">
        <v>6.0756963874813712</v>
      </c>
      <c r="R78">
        <v>5.0262404470938896E-2</v>
      </c>
      <c r="S78">
        <v>4.8340323994038745E-2</v>
      </c>
      <c r="U78" t="s">
        <v>150</v>
      </c>
      <c r="V78" t="s">
        <v>149</v>
      </c>
      <c r="W78" t="s">
        <v>154</v>
      </c>
    </row>
    <row r="79" spans="1:23" x14ac:dyDescent="0.15">
      <c r="A79" s="1" t="s">
        <v>95</v>
      </c>
      <c r="B79" t="s">
        <v>121</v>
      </c>
      <c r="C79">
        <v>5.2319030581222057</v>
      </c>
      <c r="D79">
        <v>6475.4891266766017</v>
      </c>
      <c r="E79">
        <v>1.147482044709389</v>
      </c>
      <c r="F79">
        <v>0.71136198450074517</v>
      </c>
      <c r="G79">
        <v>20.854573174366614</v>
      </c>
      <c r="H79">
        <v>1.7884958837555887</v>
      </c>
      <c r="I79">
        <v>3.3646018748137108</v>
      </c>
      <c r="J79">
        <v>22.795874456035765</v>
      </c>
      <c r="K79">
        <v>15.136383755588673</v>
      </c>
      <c r="L79">
        <v>2833.1466229508196</v>
      </c>
      <c r="M79">
        <v>1.4800019672131149E-2</v>
      </c>
      <c r="N79">
        <v>0.71924251445603571</v>
      </c>
      <c r="O79">
        <v>2.0835352369597615</v>
      </c>
      <c r="P79">
        <v>0.12762614366616989</v>
      </c>
      <c r="Q79">
        <v>26.024969657228016</v>
      </c>
      <c r="R79">
        <v>5.6316957973174361E-2</v>
      </c>
      <c r="U79" t="s">
        <v>150</v>
      </c>
      <c r="V79" t="s">
        <v>149</v>
      </c>
      <c r="W79" t="s">
        <v>154</v>
      </c>
    </row>
    <row r="80" spans="1:23" x14ac:dyDescent="0.15">
      <c r="A80" s="1" t="s">
        <v>96</v>
      </c>
      <c r="B80" t="s">
        <v>121</v>
      </c>
      <c r="C80">
        <v>7.3423474217585696</v>
      </c>
      <c r="D80">
        <v>14061.94076900149</v>
      </c>
      <c r="E80">
        <v>2.7995102146050672</v>
      </c>
      <c r="G80">
        <v>832.74136661698958</v>
      </c>
      <c r="H80">
        <v>38.307063904619973</v>
      </c>
      <c r="I80">
        <v>77.709713681073026</v>
      </c>
      <c r="J80">
        <v>3.4145759672131151</v>
      </c>
      <c r="K80">
        <v>9.9467664679582715</v>
      </c>
      <c r="L80">
        <v>2071.0417138599105</v>
      </c>
      <c r="M80">
        <v>0.24420032459016391</v>
      </c>
      <c r="N80">
        <v>0.46581620357675113</v>
      </c>
      <c r="O80">
        <v>9.1692849150521614</v>
      </c>
      <c r="Q80">
        <v>4.5543696900149033</v>
      </c>
      <c r="R80">
        <v>9.5142983606557388E-3</v>
      </c>
      <c r="U80" t="s">
        <v>150</v>
      </c>
      <c r="V80" t="s">
        <v>149</v>
      </c>
      <c r="W80" t="s">
        <v>154</v>
      </c>
    </row>
    <row r="81" spans="1:23" x14ac:dyDescent="0.15">
      <c r="A81" s="1" t="s">
        <v>97</v>
      </c>
      <c r="B81" t="s">
        <v>121</v>
      </c>
      <c r="C81">
        <v>12.868328792846498</v>
      </c>
      <c r="D81">
        <v>26050.917743666167</v>
      </c>
      <c r="E81">
        <v>2.3362888196721312</v>
      </c>
      <c r="F81">
        <v>2.0921845991058121</v>
      </c>
      <c r="G81">
        <v>1928.8077585692995</v>
      </c>
      <c r="H81">
        <v>2.6034580059612522</v>
      </c>
      <c r="I81">
        <v>328.19524143070049</v>
      </c>
      <c r="J81">
        <v>4.3131485901639346</v>
      </c>
      <c r="K81">
        <v>19.316908792846498</v>
      </c>
      <c r="L81">
        <v>869.35699970193753</v>
      </c>
      <c r="M81">
        <v>5.7710466318926974</v>
      </c>
      <c r="N81">
        <v>3.6702126706408347</v>
      </c>
      <c r="O81">
        <v>30.138221877794336</v>
      </c>
      <c r="P81">
        <v>0.8458115138599106</v>
      </c>
      <c r="Q81">
        <v>82.48608366616989</v>
      </c>
      <c r="R81">
        <v>1.5472747839046199E-2</v>
      </c>
      <c r="S81">
        <v>2.0374053055141578E-2</v>
      </c>
      <c r="U81" t="s">
        <v>150</v>
      </c>
      <c r="V81" t="s">
        <v>149</v>
      </c>
      <c r="W81" t="s">
        <v>154</v>
      </c>
    </row>
    <row r="82" spans="1:23" x14ac:dyDescent="0.15">
      <c r="A82" s="1" t="s">
        <v>98</v>
      </c>
      <c r="B82" t="s">
        <v>121</v>
      </c>
      <c r="C82">
        <v>7.9699066974664667</v>
      </c>
      <c r="D82">
        <v>11060.612104321906</v>
      </c>
      <c r="E82">
        <v>1.2695341549925483</v>
      </c>
      <c r="G82">
        <v>7992.9716631892697</v>
      </c>
      <c r="H82">
        <v>59.363455529061106</v>
      </c>
      <c r="I82">
        <v>55.740333830104319</v>
      </c>
      <c r="J82">
        <v>13.464173740685542</v>
      </c>
      <c r="K82">
        <v>22.603666408345752</v>
      </c>
      <c r="L82">
        <v>2069.1196333830103</v>
      </c>
      <c r="M82">
        <v>5.8315921669150521</v>
      </c>
      <c r="N82">
        <v>6.8512558599105811</v>
      </c>
      <c r="O82">
        <v>80.035431058122214</v>
      </c>
      <c r="P82">
        <v>0.24256655618479883</v>
      </c>
      <c r="Q82">
        <v>82.111277973174367</v>
      </c>
      <c r="R82">
        <v>2.4122109985096871E-2</v>
      </c>
      <c r="U82" t="s">
        <v>150</v>
      </c>
      <c r="V82" t="s">
        <v>149</v>
      </c>
      <c r="W82" t="s">
        <v>154</v>
      </c>
    </row>
    <row r="83" spans="1:23" x14ac:dyDescent="0.15">
      <c r="A83" s="1" t="s">
        <v>99</v>
      </c>
      <c r="B83" t="s">
        <v>121</v>
      </c>
      <c r="C83">
        <v>6.9598534068554399</v>
      </c>
      <c r="D83">
        <v>12896.19895976155</v>
      </c>
      <c r="E83">
        <v>2.5775099195230995</v>
      </c>
      <c r="G83">
        <v>8664.7387898658708</v>
      </c>
      <c r="H83">
        <v>2.9244454456035767</v>
      </c>
      <c r="I83">
        <v>154.631374366617</v>
      </c>
      <c r="J83">
        <v>50.377729299552911</v>
      </c>
      <c r="K83">
        <v>27.139776333830103</v>
      </c>
      <c r="L83">
        <v>4500.551436661699</v>
      </c>
      <c r="M83">
        <v>0.36798230730253356</v>
      </c>
      <c r="N83">
        <v>0.71001652816691507</v>
      </c>
      <c r="O83">
        <v>63.39021412816691</v>
      </c>
      <c r="P83">
        <v>0.22017431862891207</v>
      </c>
      <c r="Q83">
        <v>20.998729210134126</v>
      </c>
      <c r="R83">
        <v>3.8057193442622955E-2</v>
      </c>
      <c r="U83" t="s">
        <v>150</v>
      </c>
      <c r="V83" t="s">
        <v>149</v>
      </c>
      <c r="W83" t="s">
        <v>154</v>
      </c>
    </row>
    <row r="84" spans="1:23" x14ac:dyDescent="0.15">
      <c r="A84" s="1" t="s">
        <v>100</v>
      </c>
      <c r="B84" t="s">
        <v>121</v>
      </c>
      <c r="C84">
        <v>12.52235430700447</v>
      </c>
      <c r="D84">
        <v>17710.049514157974</v>
      </c>
      <c r="E84">
        <v>2.4333538837555886</v>
      </c>
      <c r="G84">
        <v>15113.318789865873</v>
      </c>
      <c r="H84">
        <v>1.9470675230998506</v>
      </c>
      <c r="I84">
        <v>240.16395558867362</v>
      </c>
      <c r="J84">
        <v>12.877939195230997</v>
      </c>
      <c r="K84">
        <v>17.385217913561849</v>
      </c>
      <c r="L84">
        <v>2588.0813621460507</v>
      </c>
      <c r="M84">
        <v>0.39172000119225042</v>
      </c>
      <c r="N84">
        <v>3.0436144351713859</v>
      </c>
      <c r="O84">
        <v>39.950442712369593</v>
      </c>
      <c r="P84">
        <v>0.32377445633383006</v>
      </c>
      <c r="Q84">
        <v>63.380603725782422</v>
      </c>
      <c r="R84">
        <v>2.0470157078986587E-2</v>
      </c>
      <c r="S84">
        <v>8.1688420268256345E-3</v>
      </c>
      <c r="U84" t="s">
        <v>150</v>
      </c>
      <c r="V84" t="s">
        <v>149</v>
      </c>
      <c r="W84" t="s">
        <v>154</v>
      </c>
    </row>
    <row r="85" spans="1:23" x14ac:dyDescent="0.15">
      <c r="A85" s="1" t="s">
        <v>101</v>
      </c>
      <c r="B85" t="s">
        <v>121</v>
      </c>
      <c r="C85">
        <v>3.7173036423248882</v>
      </c>
      <c r="D85">
        <v>11586.301114754098</v>
      </c>
      <c r="E85">
        <v>1.5126773353204175</v>
      </c>
      <c r="G85">
        <v>8106.3744113263783</v>
      </c>
      <c r="H85">
        <v>86.176478181818183</v>
      </c>
      <c r="I85">
        <v>86.138036572280171</v>
      </c>
      <c r="J85">
        <v>19.903143338301046</v>
      </c>
      <c r="K85">
        <v>26.418996154992545</v>
      </c>
      <c r="L85">
        <v>1932.6519195230999</v>
      </c>
      <c r="M85">
        <v>1.299326402384501</v>
      </c>
      <c r="N85">
        <v>3.7730439761549928</v>
      </c>
      <c r="O85">
        <v>145.7898041728763</v>
      </c>
      <c r="P85">
        <v>0.33473031505216094</v>
      </c>
      <c r="Q85">
        <v>40.238754783904618</v>
      </c>
      <c r="R85">
        <v>4.1132522205663193E-2</v>
      </c>
      <c r="S85">
        <v>6.8233856929955294E-3</v>
      </c>
      <c r="U85" t="s">
        <v>150</v>
      </c>
      <c r="V85" t="s">
        <v>149</v>
      </c>
      <c r="W85" t="s">
        <v>154</v>
      </c>
    </row>
    <row r="86" spans="1:23" x14ac:dyDescent="0.15">
      <c r="A86" s="1" t="s">
        <v>102</v>
      </c>
      <c r="B86" t="s">
        <v>121</v>
      </c>
      <c r="C86">
        <v>6.2342680268256334</v>
      </c>
      <c r="D86">
        <v>11110.586196721311</v>
      </c>
      <c r="E86">
        <v>2.4045226766020864</v>
      </c>
      <c r="G86">
        <v>4031.5638002980627</v>
      </c>
      <c r="H86">
        <v>9.7161168107302522</v>
      </c>
      <c r="I86">
        <v>155.78462265275706</v>
      </c>
      <c r="J86">
        <v>47.475387779433682</v>
      </c>
      <c r="K86">
        <v>16.88547698956781</v>
      </c>
      <c r="L86">
        <v>3944.1091385991058</v>
      </c>
      <c r="M86">
        <v>1.5059500536512669</v>
      </c>
      <c r="N86">
        <v>6.2265797049180334</v>
      </c>
      <c r="O86">
        <v>131.95082473919524</v>
      </c>
      <c r="P86">
        <v>0.27601075648286139</v>
      </c>
      <c r="Q86">
        <v>1575.1449508196722</v>
      </c>
      <c r="R86">
        <v>8.8319597913561851E-2</v>
      </c>
      <c r="U86" t="s">
        <v>150</v>
      </c>
      <c r="V86" t="s">
        <v>149</v>
      </c>
      <c r="W86" t="s">
        <v>154</v>
      </c>
    </row>
    <row r="87" spans="1:23" s="1" customFormat="1" x14ac:dyDescent="0.15">
      <c r="A87" s="1" t="s">
        <v>103</v>
      </c>
      <c r="B87" t="s">
        <v>121</v>
      </c>
      <c r="C87" s="1">
        <f>AVERAGE(C2:C86)</f>
        <v>7.4049424943585427</v>
      </c>
      <c r="D87" s="1">
        <f t="shared" ref="D87:S87" si="0">AVERAGE(D2:D86)</f>
        <v>13713.386450035783</v>
      </c>
      <c r="E87" s="1">
        <f t="shared" si="0"/>
        <v>3.7921250313484274</v>
      </c>
      <c r="F87" s="1">
        <f t="shared" si="0"/>
        <v>1.9915042834452208</v>
      </c>
      <c r="G87" s="1">
        <f t="shared" si="0"/>
        <v>1484.6689323509868</v>
      </c>
      <c r="H87" s="1">
        <f t="shared" si="0"/>
        <v>32.560411136583852</v>
      </c>
      <c r="I87" s="1">
        <f t="shared" si="0"/>
        <v>66.882652091064912</v>
      </c>
      <c r="J87" s="1">
        <f t="shared" si="0"/>
        <v>109.25370171963016</v>
      </c>
      <c r="K87" s="1">
        <f t="shared" si="0"/>
        <v>225.47484045599182</v>
      </c>
      <c r="L87" s="1">
        <f t="shared" si="0"/>
        <v>5288.617753739074</v>
      </c>
      <c r="M87" s="1">
        <f t="shared" si="0"/>
        <v>1.4115506688958659</v>
      </c>
      <c r="N87" s="1">
        <f t="shared" si="0"/>
        <v>2.5184187018752207</v>
      </c>
      <c r="O87" s="1">
        <f t="shared" si="0"/>
        <v>242.38082024723707</v>
      </c>
      <c r="P87" s="1">
        <f t="shared" si="0"/>
        <v>0.57484869676581563</v>
      </c>
      <c r="Q87" s="1">
        <f t="shared" si="0"/>
        <v>679.97252612265299</v>
      </c>
      <c r="R87" s="1">
        <f t="shared" si="0"/>
        <v>5.3239190833242737E-2</v>
      </c>
      <c r="S87" s="1">
        <f t="shared" si="0"/>
        <v>1.5840073359111622E-2</v>
      </c>
    </row>
    <row r="88" spans="1:23" s="1" customFormat="1" x14ac:dyDescent="0.15">
      <c r="A88" s="1" t="s">
        <v>104</v>
      </c>
      <c r="B88" t="s">
        <v>121</v>
      </c>
      <c r="C88" s="1">
        <f>_xlfn.STDEV.P(C2:C86)</f>
        <v>7.802073567169578</v>
      </c>
      <c r="D88" s="1">
        <f t="shared" ref="D88:S88" si="1">_xlfn.STDEV.P(D2:D86)</f>
        <v>11207.659162389649</v>
      </c>
      <c r="E88" s="1">
        <f t="shared" si="1"/>
        <v>2.2317176846880096</v>
      </c>
      <c r="F88" s="1">
        <f t="shared" si="1"/>
        <v>2.2319362938309144</v>
      </c>
      <c r="G88" s="1">
        <f t="shared" si="1"/>
        <v>2593.4574753464935</v>
      </c>
      <c r="H88" s="1">
        <f t="shared" si="1"/>
        <v>57.272118741992685</v>
      </c>
      <c r="I88" s="1">
        <f t="shared" si="1"/>
        <v>84.304452004858831</v>
      </c>
      <c r="J88" s="1">
        <f t="shared" si="1"/>
        <v>260.7245326591231</v>
      </c>
      <c r="K88" s="1">
        <f t="shared" si="1"/>
        <v>650.49484498105994</v>
      </c>
      <c r="L88" s="1">
        <f t="shared" si="1"/>
        <v>4569.8797222218054</v>
      </c>
      <c r="M88" s="1">
        <f t="shared" si="1"/>
        <v>2.9919672080150117</v>
      </c>
      <c r="N88" s="1">
        <f t="shared" si="1"/>
        <v>4.8313464294166133</v>
      </c>
      <c r="O88" s="1">
        <f t="shared" si="1"/>
        <v>472.21419525328224</v>
      </c>
      <c r="P88" s="1">
        <f t="shared" si="1"/>
        <v>1.420532076943761</v>
      </c>
      <c r="Q88" s="1">
        <f t="shared" si="1"/>
        <v>3490.8060139785653</v>
      </c>
      <c r="R88" s="1">
        <f t="shared" si="1"/>
        <v>0.13967867325591549</v>
      </c>
      <c r="S88" s="1">
        <f t="shared" si="1"/>
        <v>2.8197727745675971E-2</v>
      </c>
    </row>
    <row r="89" spans="1:23" s="1" customFormat="1" x14ac:dyDescent="0.15">
      <c r="A89" s="1" t="s">
        <v>106</v>
      </c>
      <c r="B89" t="s">
        <v>121</v>
      </c>
      <c r="C89" s="1">
        <f>MIN(C2:C86)</f>
        <v>0.10792481877794337</v>
      </c>
      <c r="D89" s="1">
        <f t="shared" ref="D89:S89" si="2">MIN(D2:D86)</f>
        <v>569.80075737704919</v>
      </c>
      <c r="E89" s="1">
        <f t="shared" si="2"/>
        <v>0.43592785216095381</v>
      </c>
      <c r="F89" s="1">
        <f t="shared" si="2"/>
        <v>0.28503962506405012</v>
      </c>
      <c r="G89" s="1">
        <f t="shared" si="2"/>
        <v>8.788712980625931</v>
      </c>
      <c r="H89" s="1">
        <f t="shared" si="2"/>
        <v>0.16489414074479661</v>
      </c>
      <c r="I89" s="1">
        <f t="shared" si="2"/>
        <v>0.10587105633273271</v>
      </c>
      <c r="J89" s="1">
        <f t="shared" si="2"/>
        <v>0.26716918628912073</v>
      </c>
      <c r="K89" s="1">
        <f t="shared" si="2"/>
        <v>1.8460776525317588</v>
      </c>
      <c r="L89" s="1">
        <f t="shared" si="2"/>
        <v>528.57213114754097</v>
      </c>
      <c r="M89" s="1">
        <f t="shared" si="2"/>
        <v>1.6337684053651265E-3</v>
      </c>
      <c r="N89" s="1">
        <f t="shared" si="2"/>
        <v>0.24150941192250375</v>
      </c>
      <c r="O89" s="1">
        <f t="shared" si="2"/>
        <v>0.13073424914323464</v>
      </c>
      <c r="P89" s="1">
        <f t="shared" si="2"/>
        <v>9.1523354948955618E-4</v>
      </c>
      <c r="Q89" s="1">
        <f t="shared" si="2"/>
        <v>1.0819080088635646</v>
      </c>
      <c r="R89" s="1">
        <f t="shared" si="2"/>
        <v>8.237101945406006E-4</v>
      </c>
      <c r="S89" s="1">
        <f t="shared" si="2"/>
        <v>2.7165565294562036E-4</v>
      </c>
    </row>
    <row r="90" spans="1:23" s="1" customFormat="1" x14ac:dyDescent="0.15">
      <c r="A90" s="1" t="s">
        <v>105</v>
      </c>
      <c r="B90" t="s">
        <v>121</v>
      </c>
      <c r="C90" s="1">
        <f>MAX(C2:C86)</f>
        <v>48.942222019019752</v>
      </c>
      <c r="D90" s="1">
        <f t="shared" ref="D90:S90" si="3">MAX(D2:D86)</f>
        <v>57682.781911875878</v>
      </c>
      <c r="E90" s="1">
        <f t="shared" si="3"/>
        <v>10.263909746646796</v>
      </c>
      <c r="F90" s="1">
        <f t="shared" si="3"/>
        <v>10.763650670640834</v>
      </c>
      <c r="G90" s="1">
        <f t="shared" si="3"/>
        <v>15113.318789865873</v>
      </c>
      <c r="H90" s="1">
        <f t="shared" si="3"/>
        <v>374.03686080476899</v>
      </c>
      <c r="I90" s="1">
        <f t="shared" si="3"/>
        <v>328.19524143070049</v>
      </c>
      <c r="J90" s="1">
        <f t="shared" si="3"/>
        <v>1862.5936473101799</v>
      </c>
      <c r="K90" s="1">
        <f t="shared" si="3"/>
        <v>4037.3300417287628</v>
      </c>
      <c r="L90" s="1">
        <f t="shared" si="3"/>
        <v>19479.267235079173</v>
      </c>
      <c r="M90" s="1">
        <f t="shared" si="3"/>
        <v>15.251708584202682</v>
      </c>
      <c r="N90" s="1">
        <f t="shared" si="3"/>
        <v>24.669902921013414</v>
      </c>
      <c r="O90" s="1">
        <f t="shared" si="3"/>
        <v>3073.4066825633386</v>
      </c>
      <c r="P90" s="1">
        <f t="shared" si="3"/>
        <v>10.941567707063317</v>
      </c>
      <c r="Q90" s="1">
        <f t="shared" si="3"/>
        <v>31653.347222382497</v>
      </c>
      <c r="R90" s="1">
        <f t="shared" si="3"/>
        <v>1.2585435596662704</v>
      </c>
      <c r="S90" s="1">
        <f t="shared" si="3"/>
        <v>0.18951713502235468</v>
      </c>
    </row>
    <row r="92" spans="1:23" x14ac:dyDescent="0.15">
      <c r="A92" s="1" t="s">
        <v>122</v>
      </c>
      <c r="B92" t="s">
        <v>108</v>
      </c>
      <c r="C92">
        <v>2832</v>
      </c>
      <c r="D92">
        <v>37201</v>
      </c>
      <c r="E92">
        <v>110</v>
      </c>
      <c r="G92">
        <v>9.6999999999999993</v>
      </c>
      <c r="H92">
        <v>0.87</v>
      </c>
      <c r="I92">
        <v>2.7</v>
      </c>
      <c r="K92">
        <v>5.7</v>
      </c>
      <c r="L92">
        <v>4240</v>
      </c>
      <c r="M92">
        <v>0.01</v>
      </c>
      <c r="N92">
        <v>0.11</v>
      </c>
      <c r="O92">
        <v>1.9</v>
      </c>
      <c r="Q92">
        <v>3.5</v>
      </c>
      <c r="R92">
        <v>0.01</v>
      </c>
      <c r="U92" t="s">
        <v>107</v>
      </c>
      <c r="V92" t="s">
        <v>149</v>
      </c>
      <c r="W92" t="s">
        <v>153</v>
      </c>
    </row>
    <row r="93" spans="1:23" x14ac:dyDescent="0.15">
      <c r="A93" s="1" t="s">
        <v>123</v>
      </c>
      <c r="B93" t="s">
        <v>108</v>
      </c>
      <c r="C93">
        <v>5115</v>
      </c>
      <c r="D93">
        <v>100274</v>
      </c>
      <c r="E93">
        <v>78.3</v>
      </c>
      <c r="G93">
        <v>1753</v>
      </c>
      <c r="H93">
        <v>0.16</v>
      </c>
      <c r="I93">
        <v>3</v>
      </c>
      <c r="K93">
        <v>12.7</v>
      </c>
      <c r="L93">
        <v>5847</v>
      </c>
      <c r="M93">
        <v>0.13</v>
      </c>
      <c r="O93">
        <v>9.3000000000000007</v>
      </c>
      <c r="Q93">
        <v>23.3</v>
      </c>
      <c r="R93">
        <v>0.53</v>
      </c>
      <c r="U93" t="s">
        <v>107</v>
      </c>
      <c r="V93" t="s">
        <v>149</v>
      </c>
      <c r="W93" t="s">
        <v>153</v>
      </c>
    </row>
    <row r="94" spans="1:23" x14ac:dyDescent="0.15">
      <c r="A94" s="1" t="s">
        <v>124</v>
      </c>
      <c r="B94" t="s">
        <v>108</v>
      </c>
      <c r="C94">
        <v>1273</v>
      </c>
      <c r="D94">
        <v>20849</v>
      </c>
      <c r="E94">
        <v>449</v>
      </c>
      <c r="F94">
        <v>0.22</v>
      </c>
      <c r="G94">
        <v>104</v>
      </c>
      <c r="H94">
        <v>0.56999999999999995</v>
      </c>
      <c r="I94">
        <v>2.8</v>
      </c>
      <c r="K94">
        <v>6.4</v>
      </c>
      <c r="L94">
        <v>4125</v>
      </c>
      <c r="M94">
        <v>3.0000000000000001E-3</v>
      </c>
      <c r="O94">
        <v>2.6</v>
      </c>
      <c r="Q94">
        <v>85.3</v>
      </c>
      <c r="R94">
        <v>3.2</v>
      </c>
      <c r="U94" t="s">
        <v>107</v>
      </c>
      <c r="V94" t="s">
        <v>149</v>
      </c>
      <c r="W94" t="s">
        <v>152</v>
      </c>
    </row>
    <row r="95" spans="1:23" x14ac:dyDescent="0.15">
      <c r="A95" s="1" t="s">
        <v>125</v>
      </c>
      <c r="B95" t="s">
        <v>109</v>
      </c>
      <c r="C95">
        <v>1462</v>
      </c>
      <c r="D95">
        <v>43866</v>
      </c>
      <c r="E95">
        <v>434</v>
      </c>
      <c r="G95">
        <v>41.7</v>
      </c>
      <c r="H95">
        <v>0.32</v>
      </c>
      <c r="I95">
        <v>2.9</v>
      </c>
      <c r="K95">
        <v>4.5999999999999996</v>
      </c>
      <c r="L95">
        <v>2280</v>
      </c>
      <c r="M95">
        <v>0.11</v>
      </c>
      <c r="N95">
        <v>0.12</v>
      </c>
      <c r="O95">
        <v>7</v>
      </c>
      <c r="Q95">
        <v>352</v>
      </c>
      <c r="R95">
        <v>14.8</v>
      </c>
      <c r="U95" t="s">
        <v>107</v>
      </c>
      <c r="V95" t="s">
        <v>149</v>
      </c>
      <c r="W95" t="s">
        <v>152</v>
      </c>
    </row>
    <row r="96" spans="1:23" x14ac:dyDescent="0.15">
      <c r="A96" s="1" t="s">
        <v>126</v>
      </c>
      <c r="B96" t="s">
        <v>109</v>
      </c>
      <c r="C96">
        <v>654</v>
      </c>
      <c r="D96">
        <v>99242</v>
      </c>
      <c r="E96">
        <v>244</v>
      </c>
      <c r="G96">
        <v>254</v>
      </c>
      <c r="H96">
        <v>0.56000000000000005</v>
      </c>
      <c r="I96">
        <v>3.1</v>
      </c>
      <c r="K96">
        <v>8.6</v>
      </c>
      <c r="L96">
        <v>1967</v>
      </c>
      <c r="M96">
        <v>0.05</v>
      </c>
      <c r="N96">
        <v>3</v>
      </c>
      <c r="Q96">
        <v>15.4</v>
      </c>
      <c r="U96" t="s">
        <v>107</v>
      </c>
      <c r="V96" t="s">
        <v>149</v>
      </c>
      <c r="W96" t="s">
        <v>152</v>
      </c>
    </row>
    <row r="97" spans="1:23" x14ac:dyDescent="0.15">
      <c r="A97" s="1" t="s">
        <v>127</v>
      </c>
      <c r="B97" t="s">
        <v>109</v>
      </c>
      <c r="C97">
        <v>1093</v>
      </c>
      <c r="D97">
        <v>57305</v>
      </c>
      <c r="E97">
        <v>411</v>
      </c>
      <c r="F97">
        <v>0.3</v>
      </c>
      <c r="G97">
        <v>13.8</v>
      </c>
      <c r="H97">
        <v>0.12</v>
      </c>
      <c r="I97">
        <v>3</v>
      </c>
      <c r="K97">
        <v>4.7</v>
      </c>
      <c r="L97">
        <v>2194</v>
      </c>
      <c r="M97">
        <v>7.0000000000000001E-3</v>
      </c>
      <c r="N97">
        <v>0.13</v>
      </c>
      <c r="Q97">
        <v>3.3</v>
      </c>
      <c r="U97" t="s">
        <v>107</v>
      </c>
      <c r="V97" t="s">
        <v>149</v>
      </c>
      <c r="W97" t="s">
        <v>152</v>
      </c>
    </row>
    <row r="99" spans="1:23" x14ac:dyDescent="0.15">
      <c r="A99" s="1" t="s">
        <v>128</v>
      </c>
      <c r="B99" t="s">
        <v>111</v>
      </c>
      <c r="C99">
        <v>1762</v>
      </c>
      <c r="D99">
        <v>110336</v>
      </c>
      <c r="E99">
        <v>0.19</v>
      </c>
      <c r="G99">
        <v>155</v>
      </c>
      <c r="H99">
        <v>38.6</v>
      </c>
      <c r="I99">
        <v>3.1</v>
      </c>
      <c r="K99">
        <v>21.9</v>
      </c>
      <c r="L99">
        <v>5580</v>
      </c>
      <c r="M99">
        <v>122</v>
      </c>
      <c r="N99">
        <v>5.5</v>
      </c>
      <c r="O99">
        <v>3</v>
      </c>
      <c r="Q99">
        <v>51.7</v>
      </c>
      <c r="U99" t="s">
        <v>110</v>
      </c>
      <c r="V99" t="s">
        <v>149</v>
      </c>
      <c r="W99" t="s">
        <v>152</v>
      </c>
    </row>
    <row r="100" spans="1:23" x14ac:dyDescent="0.15">
      <c r="A100" s="1" t="s">
        <v>129</v>
      </c>
      <c r="B100" t="s">
        <v>111</v>
      </c>
      <c r="C100">
        <v>2374</v>
      </c>
      <c r="D100">
        <v>119903</v>
      </c>
      <c r="E100">
        <v>5.4</v>
      </c>
      <c r="G100">
        <v>1418</v>
      </c>
      <c r="H100">
        <v>12.8</v>
      </c>
      <c r="I100">
        <v>3.3</v>
      </c>
      <c r="K100">
        <v>31.2</v>
      </c>
      <c r="L100">
        <v>5475</v>
      </c>
      <c r="M100">
        <v>300</v>
      </c>
      <c r="N100">
        <v>19</v>
      </c>
      <c r="O100">
        <v>2.2000000000000002</v>
      </c>
      <c r="Q100">
        <v>14.9</v>
      </c>
      <c r="U100" t="s">
        <v>110</v>
      </c>
      <c r="V100" t="s">
        <v>149</v>
      </c>
      <c r="W100" t="s">
        <v>152</v>
      </c>
    </row>
    <row r="101" spans="1:23" x14ac:dyDescent="0.15">
      <c r="A101" s="1" t="s">
        <v>130</v>
      </c>
      <c r="B101" t="s">
        <v>111</v>
      </c>
      <c r="C101">
        <v>2425</v>
      </c>
      <c r="D101">
        <v>120842</v>
      </c>
      <c r="E101">
        <v>1.3</v>
      </c>
      <c r="G101">
        <v>946</v>
      </c>
      <c r="H101">
        <v>33.9</v>
      </c>
      <c r="I101">
        <v>3.5</v>
      </c>
      <c r="K101">
        <v>54.7</v>
      </c>
      <c r="L101">
        <v>5779</v>
      </c>
      <c r="M101">
        <v>285</v>
      </c>
      <c r="N101">
        <v>13.1</v>
      </c>
      <c r="O101">
        <v>7.3</v>
      </c>
      <c r="Q101">
        <v>9.1999999999999993</v>
      </c>
      <c r="U101" t="s">
        <v>110</v>
      </c>
      <c r="V101" t="s">
        <v>149</v>
      </c>
      <c r="W101" t="s">
        <v>152</v>
      </c>
    </row>
    <row r="102" spans="1:23" x14ac:dyDescent="0.15">
      <c r="A102" s="1" t="s">
        <v>131</v>
      </c>
      <c r="B102" t="s">
        <v>112</v>
      </c>
      <c r="C102">
        <v>3883</v>
      </c>
      <c r="D102">
        <v>134553</v>
      </c>
      <c r="E102">
        <v>6.3</v>
      </c>
      <c r="G102">
        <v>2254</v>
      </c>
      <c r="H102">
        <v>14.1</v>
      </c>
      <c r="I102">
        <v>3.4</v>
      </c>
      <c r="K102">
        <v>38.799999999999997</v>
      </c>
      <c r="L102">
        <v>8195</v>
      </c>
      <c r="M102">
        <v>110</v>
      </c>
      <c r="N102">
        <v>1129</v>
      </c>
      <c r="O102">
        <v>2.9</v>
      </c>
      <c r="Q102">
        <v>2.5</v>
      </c>
      <c r="U102" t="s">
        <v>110</v>
      </c>
      <c r="V102" t="s">
        <v>149</v>
      </c>
      <c r="W102" t="s">
        <v>152</v>
      </c>
    </row>
    <row r="103" spans="1:23" x14ac:dyDescent="0.15">
      <c r="A103" s="1" t="s">
        <v>132</v>
      </c>
      <c r="B103" t="s">
        <v>112</v>
      </c>
      <c r="C103">
        <v>3945</v>
      </c>
      <c r="D103">
        <v>154177</v>
      </c>
      <c r="E103">
        <v>0.11</v>
      </c>
      <c r="G103">
        <v>5702</v>
      </c>
      <c r="H103">
        <v>7.6</v>
      </c>
      <c r="I103">
        <v>5.4</v>
      </c>
      <c r="K103">
        <v>95.1</v>
      </c>
      <c r="L103">
        <v>5568</v>
      </c>
      <c r="M103">
        <v>21.9</v>
      </c>
      <c r="N103">
        <v>660</v>
      </c>
      <c r="O103">
        <v>8.3000000000000007</v>
      </c>
      <c r="Q103">
        <v>18.3</v>
      </c>
      <c r="U103" t="s">
        <v>110</v>
      </c>
      <c r="V103" t="s">
        <v>149</v>
      </c>
      <c r="W103" t="s">
        <v>152</v>
      </c>
    </row>
    <row r="104" spans="1:23" x14ac:dyDescent="0.15">
      <c r="A104" s="1" t="s">
        <v>133</v>
      </c>
      <c r="B104" t="s">
        <v>113</v>
      </c>
      <c r="C104">
        <v>2734</v>
      </c>
      <c r="D104">
        <v>128199</v>
      </c>
      <c r="E104">
        <v>0.43</v>
      </c>
      <c r="G104">
        <v>180</v>
      </c>
      <c r="H104">
        <v>15.9</v>
      </c>
      <c r="I104">
        <v>3.7</v>
      </c>
      <c r="K104">
        <v>6.4</v>
      </c>
      <c r="L104">
        <v>8673</v>
      </c>
      <c r="M104">
        <v>183</v>
      </c>
      <c r="N104">
        <v>5.7</v>
      </c>
      <c r="Q104">
        <v>43.1</v>
      </c>
      <c r="U104" t="s">
        <v>110</v>
      </c>
      <c r="V104" t="s">
        <v>149</v>
      </c>
      <c r="W104" t="s">
        <v>152</v>
      </c>
    </row>
    <row r="105" spans="1:23" x14ac:dyDescent="0.15">
      <c r="A105" s="1" t="s">
        <v>134</v>
      </c>
      <c r="B105" t="s">
        <v>113</v>
      </c>
      <c r="C105">
        <v>3465</v>
      </c>
      <c r="D105">
        <v>142095</v>
      </c>
      <c r="E105">
        <v>0.57999999999999996</v>
      </c>
      <c r="G105">
        <v>251</v>
      </c>
      <c r="H105">
        <v>41.2</v>
      </c>
      <c r="I105">
        <v>3.7</v>
      </c>
      <c r="K105">
        <v>6.3</v>
      </c>
      <c r="L105">
        <v>8769</v>
      </c>
      <c r="M105">
        <v>293</v>
      </c>
      <c r="N105">
        <v>10.3</v>
      </c>
      <c r="Q105">
        <v>1.7</v>
      </c>
      <c r="U105" t="s">
        <v>110</v>
      </c>
      <c r="V105" t="s">
        <v>149</v>
      </c>
      <c r="W105" t="s">
        <v>152</v>
      </c>
    </row>
    <row r="106" spans="1:23" x14ac:dyDescent="0.15">
      <c r="A106" s="1" t="s">
        <v>135</v>
      </c>
      <c r="B106" t="s">
        <v>113</v>
      </c>
      <c r="C106">
        <v>3225</v>
      </c>
      <c r="D106">
        <v>124117</v>
      </c>
      <c r="E106">
        <v>2</v>
      </c>
      <c r="F106">
        <v>0.31</v>
      </c>
      <c r="G106">
        <v>436</v>
      </c>
      <c r="H106">
        <v>17.5</v>
      </c>
      <c r="I106">
        <v>5.4</v>
      </c>
      <c r="J106">
        <v>2.6</v>
      </c>
      <c r="K106">
        <v>8</v>
      </c>
      <c r="L106">
        <v>8825</v>
      </c>
      <c r="M106">
        <v>138</v>
      </c>
      <c r="N106">
        <v>6</v>
      </c>
      <c r="O106">
        <v>1.6</v>
      </c>
      <c r="P106">
        <v>0.68</v>
      </c>
      <c r="Q106">
        <v>18.600000000000001</v>
      </c>
      <c r="R106">
        <v>8.0000000000000002E-3</v>
      </c>
      <c r="U106" t="s">
        <v>110</v>
      </c>
      <c r="V106" t="s">
        <v>149</v>
      </c>
      <c r="W106" t="s">
        <v>152</v>
      </c>
    </row>
    <row r="108" spans="1:23" x14ac:dyDescent="0.15">
      <c r="A108" s="1" t="s">
        <v>136</v>
      </c>
      <c r="B108" t="s">
        <v>115</v>
      </c>
      <c r="C108">
        <v>111</v>
      </c>
      <c r="D108">
        <v>34315</v>
      </c>
      <c r="E108">
        <v>0.04</v>
      </c>
      <c r="F108">
        <v>0.16</v>
      </c>
      <c r="G108">
        <v>602</v>
      </c>
      <c r="H108">
        <v>5</v>
      </c>
      <c r="I108">
        <v>165</v>
      </c>
      <c r="J108">
        <v>18.600000000000001</v>
      </c>
      <c r="K108">
        <v>28.8</v>
      </c>
      <c r="L108">
        <v>3059</v>
      </c>
      <c r="N108">
        <v>0.11</v>
      </c>
      <c r="O108">
        <v>64</v>
      </c>
      <c r="P108">
        <v>0.04</v>
      </c>
      <c r="Q108">
        <v>13</v>
      </c>
      <c r="R108">
        <v>0.01</v>
      </c>
      <c r="U108" t="s">
        <v>114</v>
      </c>
      <c r="V108" t="s">
        <v>149</v>
      </c>
      <c r="W108" t="s">
        <v>152</v>
      </c>
    </row>
    <row r="109" spans="1:23" x14ac:dyDescent="0.15">
      <c r="A109" s="1" t="s">
        <v>137</v>
      </c>
      <c r="B109" t="s">
        <v>115</v>
      </c>
      <c r="C109">
        <v>58.8</v>
      </c>
      <c r="D109">
        <v>13760</v>
      </c>
      <c r="G109">
        <v>157</v>
      </c>
      <c r="H109">
        <v>0.81</v>
      </c>
      <c r="I109">
        <v>52.3</v>
      </c>
      <c r="K109">
        <v>28.5</v>
      </c>
      <c r="L109">
        <v>1689</v>
      </c>
      <c r="N109">
        <v>0.81</v>
      </c>
      <c r="O109">
        <v>17.5</v>
      </c>
      <c r="P109">
        <v>0.16</v>
      </c>
      <c r="Q109">
        <v>13.1</v>
      </c>
      <c r="R109">
        <v>0.01</v>
      </c>
      <c r="U109" t="s">
        <v>114</v>
      </c>
      <c r="V109" t="s">
        <v>149</v>
      </c>
      <c r="W109" t="s">
        <v>152</v>
      </c>
    </row>
    <row r="110" spans="1:23" x14ac:dyDescent="0.15">
      <c r="A110" s="1" t="s">
        <v>138</v>
      </c>
      <c r="B110" t="s">
        <v>115</v>
      </c>
      <c r="C110">
        <v>119</v>
      </c>
      <c r="D110">
        <v>15552</v>
      </c>
      <c r="E110">
        <v>0.02</v>
      </c>
      <c r="G110">
        <v>102</v>
      </c>
      <c r="H110">
        <v>6</v>
      </c>
      <c r="I110">
        <v>29.9</v>
      </c>
      <c r="K110">
        <v>10.8</v>
      </c>
      <c r="L110">
        <v>1612</v>
      </c>
      <c r="M110">
        <v>1.9</v>
      </c>
      <c r="N110">
        <v>4.0999999999999996</v>
      </c>
      <c r="O110">
        <v>4.7</v>
      </c>
      <c r="Q110">
        <v>3.7</v>
      </c>
      <c r="R110">
        <v>8.9999999999999993E-3</v>
      </c>
      <c r="U110" t="s">
        <v>114</v>
      </c>
      <c r="V110" t="s">
        <v>149</v>
      </c>
      <c r="W110" t="s">
        <v>152</v>
      </c>
    </row>
    <row r="111" spans="1:23" x14ac:dyDescent="0.15">
      <c r="A111" s="1" t="s">
        <v>139</v>
      </c>
      <c r="B111" t="s">
        <v>116</v>
      </c>
      <c r="C111">
        <v>9.1</v>
      </c>
      <c r="D111">
        <v>13781</v>
      </c>
      <c r="H111">
        <v>9.8000000000000007</v>
      </c>
      <c r="I111">
        <v>44.3</v>
      </c>
      <c r="K111">
        <v>20.399999999999999</v>
      </c>
      <c r="L111">
        <v>13963</v>
      </c>
      <c r="M111">
        <v>0.18</v>
      </c>
      <c r="N111">
        <v>1.6</v>
      </c>
      <c r="P111">
        <v>0.6</v>
      </c>
      <c r="Q111">
        <v>395</v>
      </c>
      <c r="R111">
        <v>0.06</v>
      </c>
      <c r="U111" t="s">
        <v>114</v>
      </c>
      <c r="V111" t="s">
        <v>149</v>
      </c>
      <c r="W111" t="s">
        <v>152</v>
      </c>
    </row>
    <row r="112" spans="1:23" x14ac:dyDescent="0.15">
      <c r="A112" s="1" t="s">
        <v>140</v>
      </c>
      <c r="B112" t="s">
        <v>116</v>
      </c>
      <c r="C112">
        <v>6</v>
      </c>
      <c r="D112">
        <v>7461</v>
      </c>
      <c r="G112">
        <v>14.4</v>
      </c>
      <c r="H112">
        <v>7.8</v>
      </c>
      <c r="I112">
        <v>29.7</v>
      </c>
      <c r="K112">
        <v>5.6</v>
      </c>
      <c r="L112">
        <v>9000</v>
      </c>
      <c r="M112">
        <v>0.05</v>
      </c>
      <c r="N112">
        <v>0.74</v>
      </c>
      <c r="P112">
        <v>0.41</v>
      </c>
      <c r="Q112">
        <v>211</v>
      </c>
      <c r="R112">
        <v>0.02</v>
      </c>
      <c r="U112" t="s">
        <v>114</v>
      </c>
      <c r="V112" t="s">
        <v>149</v>
      </c>
      <c r="W112" t="s">
        <v>152</v>
      </c>
    </row>
    <row r="113" spans="1:23" x14ac:dyDescent="0.15">
      <c r="A113" s="1" t="s">
        <v>141</v>
      </c>
      <c r="B113" t="s">
        <v>116</v>
      </c>
      <c r="C113">
        <v>75.7</v>
      </c>
      <c r="D113">
        <v>13857</v>
      </c>
      <c r="G113">
        <v>124</v>
      </c>
      <c r="H113">
        <v>16.100000000000001</v>
      </c>
      <c r="I113">
        <v>182</v>
      </c>
      <c r="K113">
        <v>5</v>
      </c>
      <c r="L113">
        <v>7028</v>
      </c>
      <c r="M113">
        <v>3.4000000000000002E-2</v>
      </c>
      <c r="N113">
        <v>2.4</v>
      </c>
      <c r="P113">
        <v>12.1</v>
      </c>
      <c r="Q113">
        <v>835</v>
      </c>
      <c r="R113">
        <v>0.02</v>
      </c>
      <c r="U113" t="s">
        <v>114</v>
      </c>
      <c r="V113" t="s">
        <v>149</v>
      </c>
      <c r="W113" t="s">
        <v>152</v>
      </c>
    </row>
    <row r="114" spans="1:23" x14ac:dyDescent="0.15">
      <c r="A114" s="1" t="s">
        <v>142</v>
      </c>
      <c r="B114" t="s">
        <v>117</v>
      </c>
      <c r="C114">
        <v>40.1</v>
      </c>
      <c r="D114">
        <v>9072</v>
      </c>
      <c r="E114">
        <v>0.82</v>
      </c>
      <c r="G114">
        <v>156</v>
      </c>
      <c r="H114">
        <v>3.3</v>
      </c>
      <c r="I114">
        <v>26.8</v>
      </c>
      <c r="J114">
        <v>127</v>
      </c>
      <c r="K114">
        <v>4.3</v>
      </c>
      <c r="L114">
        <v>9465</v>
      </c>
      <c r="N114">
        <v>0.27</v>
      </c>
      <c r="O114">
        <v>87.9</v>
      </c>
      <c r="P114">
        <v>8.8000000000000007</v>
      </c>
      <c r="Q114">
        <v>972</v>
      </c>
      <c r="R114">
        <v>7.0000000000000007E-2</v>
      </c>
      <c r="U114" t="s">
        <v>114</v>
      </c>
      <c r="V114" t="s">
        <v>149</v>
      </c>
      <c r="W114" t="s">
        <v>152</v>
      </c>
    </row>
    <row r="115" spans="1:23" x14ac:dyDescent="0.15">
      <c r="A115" s="1" t="s">
        <v>143</v>
      </c>
      <c r="B115" t="s">
        <v>117</v>
      </c>
      <c r="C115">
        <v>281</v>
      </c>
      <c r="D115">
        <v>656</v>
      </c>
      <c r="E115">
        <v>4.3</v>
      </c>
      <c r="G115">
        <v>4.4000000000000004</v>
      </c>
      <c r="H115">
        <v>0.83</v>
      </c>
      <c r="I115">
        <v>2.8</v>
      </c>
      <c r="J115">
        <v>5.9</v>
      </c>
      <c r="K115">
        <v>4.2</v>
      </c>
      <c r="L115">
        <v>15472</v>
      </c>
      <c r="N115">
        <v>0.12</v>
      </c>
      <c r="O115">
        <v>1.9</v>
      </c>
      <c r="P115">
        <v>8.6</v>
      </c>
      <c r="Q115">
        <v>386</v>
      </c>
      <c r="R115">
        <v>0.06</v>
      </c>
      <c r="T115">
        <v>0.15</v>
      </c>
      <c r="U115" t="s">
        <v>114</v>
      </c>
      <c r="V115" t="s">
        <v>149</v>
      </c>
      <c r="W115" t="s">
        <v>152</v>
      </c>
    </row>
    <row r="117" spans="1:23" x14ac:dyDescent="0.15">
      <c r="A117" s="1" t="s">
        <v>144</v>
      </c>
      <c r="B117" t="s">
        <v>119</v>
      </c>
      <c r="C117">
        <v>538</v>
      </c>
      <c r="D117">
        <v>581</v>
      </c>
      <c r="E117">
        <v>17.8</v>
      </c>
      <c r="F117">
        <v>0.64</v>
      </c>
      <c r="G117">
        <v>5.6</v>
      </c>
      <c r="H117">
        <v>0.96</v>
      </c>
      <c r="I117">
        <v>8.8000000000000007</v>
      </c>
      <c r="J117">
        <v>18.600000000000001</v>
      </c>
      <c r="K117">
        <v>30.4</v>
      </c>
      <c r="L117">
        <v>6561</v>
      </c>
      <c r="O117">
        <v>2</v>
      </c>
      <c r="P117">
        <v>17.3</v>
      </c>
      <c r="Q117">
        <v>483</v>
      </c>
      <c r="T117">
        <v>0.32</v>
      </c>
      <c r="U117" t="s">
        <v>118</v>
      </c>
      <c r="V117" t="s">
        <v>149</v>
      </c>
      <c r="W117" t="s">
        <v>152</v>
      </c>
    </row>
    <row r="118" spans="1:23" x14ac:dyDescent="0.15">
      <c r="A118" s="1" t="s">
        <v>145</v>
      </c>
      <c r="B118" t="s">
        <v>119</v>
      </c>
      <c r="C118">
        <v>124</v>
      </c>
      <c r="D118">
        <v>1733</v>
      </c>
      <c r="E118">
        <v>3.6</v>
      </c>
      <c r="G118">
        <v>1406</v>
      </c>
      <c r="H118">
        <v>3.4</v>
      </c>
      <c r="I118">
        <v>3.4</v>
      </c>
      <c r="J118">
        <v>26</v>
      </c>
      <c r="K118">
        <v>49.8</v>
      </c>
      <c r="L118">
        <v>9037</v>
      </c>
      <c r="O118">
        <v>4.9000000000000004</v>
      </c>
      <c r="P118">
        <v>12.6</v>
      </c>
      <c r="Q118">
        <v>4145</v>
      </c>
      <c r="U118" t="s">
        <v>118</v>
      </c>
      <c r="V118" t="s">
        <v>149</v>
      </c>
      <c r="W118" t="s">
        <v>152</v>
      </c>
    </row>
    <row r="119" spans="1:23" x14ac:dyDescent="0.15">
      <c r="A119" s="1" t="s">
        <v>146</v>
      </c>
      <c r="B119" t="s">
        <v>119</v>
      </c>
      <c r="C119">
        <v>62.3</v>
      </c>
      <c r="D119">
        <v>670</v>
      </c>
      <c r="H119">
        <v>1.3</v>
      </c>
      <c r="I119">
        <v>20.8</v>
      </c>
      <c r="K119">
        <v>4</v>
      </c>
      <c r="L119">
        <v>35468</v>
      </c>
      <c r="P119">
        <v>6.7</v>
      </c>
      <c r="Q119">
        <v>159</v>
      </c>
      <c r="U119" t="s">
        <v>118</v>
      </c>
      <c r="V119" t="s">
        <v>149</v>
      </c>
      <c r="W119" t="s">
        <v>152</v>
      </c>
    </row>
    <row r="120" spans="1:23" s="3" customFormat="1" x14ac:dyDescent="0.15">
      <c r="A120" s="2" t="s">
        <v>147</v>
      </c>
      <c r="B120" s="3" t="s">
        <v>119</v>
      </c>
      <c r="C120" s="3">
        <v>11.7</v>
      </c>
      <c r="D120" s="3">
        <v>2309</v>
      </c>
      <c r="E120" s="3">
        <v>0.33</v>
      </c>
      <c r="G120" s="3">
        <v>97.9</v>
      </c>
      <c r="H120" s="3">
        <v>4.4000000000000004</v>
      </c>
      <c r="I120" s="3">
        <v>12.4</v>
      </c>
      <c r="J120" s="3">
        <v>60.9</v>
      </c>
      <c r="K120" s="3">
        <v>4.4000000000000004</v>
      </c>
      <c r="L120" s="3">
        <v>20692</v>
      </c>
      <c r="M120" s="3">
        <v>6.0000000000000001E-3</v>
      </c>
      <c r="N120" s="3">
        <v>0.23</v>
      </c>
      <c r="O120" s="3">
        <v>46.3</v>
      </c>
      <c r="P120" s="3">
        <v>21.3</v>
      </c>
      <c r="Q120" s="3">
        <v>913</v>
      </c>
      <c r="R120" s="3">
        <v>0.04</v>
      </c>
      <c r="U120" s="3" t="s">
        <v>118</v>
      </c>
      <c r="V120" s="3" t="s">
        <v>149</v>
      </c>
      <c r="W120" s="3" t="s">
        <v>152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E5229C-9980-43BF-B8A9-E0A036A900ED}"/>
</file>

<file path=customXml/itemProps2.xml><?xml version="1.0" encoding="utf-8"?>
<ds:datastoreItem xmlns:ds="http://schemas.openxmlformats.org/officeDocument/2006/customXml" ds:itemID="{7D2EDBD8-78A1-4C0F-A832-CB6E07638906}"/>
</file>

<file path=customXml/itemProps3.xml><?xml version="1.0" encoding="utf-8"?>
<ds:datastoreItem xmlns:ds="http://schemas.openxmlformats.org/officeDocument/2006/customXml" ds:itemID="{4E60E8BD-7BDC-4A62-AF2F-C4F9127EC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2017-12-19T06:00:28Z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