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Lovisa_manuscript\Revision\"/>
    </mc:Choice>
  </mc:AlternateContent>
  <xr:revisionPtr revIDLastSave="0" documentId="8_{6E4CFB14-278B-470A-8047-E132E9D25984}" xr6:coauthVersionLast="47" xr6:coauthVersionMax="47" xr10:uidLastSave="{00000000-0000-0000-0000-000000000000}"/>
  <bookViews>
    <workbookView xWindow="-120" yWindow="-120" windowWidth="29040" windowHeight="15840" xr2:uid="{80236326-6F55-4ACD-B143-6911FC57D17D}"/>
  </bookViews>
  <sheets>
    <sheet name="Table ESM S4 - Ccp, po, tet" sheetId="1" r:id="rId1"/>
  </sheets>
  <definedNames>
    <definedName name="_xlnm._FilterDatabase" localSheetId="0" hidden="1">'Table ESM S4 - Ccp, po, tet'!$B$21:$AC$21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49" i="1" l="1"/>
  <c r="AH61" i="1" l="1"/>
  <c r="AI61" i="1"/>
  <c r="AJ61" i="1"/>
  <c r="AK61" i="1"/>
  <c r="AL61" i="1"/>
  <c r="AM61" i="1"/>
  <c r="AN61" i="1"/>
  <c r="AH62" i="1"/>
  <c r="AI62" i="1"/>
  <c r="AJ62" i="1"/>
  <c r="AK62" i="1"/>
  <c r="AP62" i="1" s="1"/>
  <c r="AT62" i="1" s="1"/>
  <c r="AL62" i="1"/>
  <c r="AM62" i="1"/>
  <c r="AN62" i="1"/>
  <c r="AH63" i="1"/>
  <c r="AI63" i="1"/>
  <c r="AJ63" i="1"/>
  <c r="AP63" i="1" s="1"/>
  <c r="AK63" i="1"/>
  <c r="AL63" i="1"/>
  <c r="AM63" i="1"/>
  <c r="AN63" i="1"/>
  <c r="AH64" i="1"/>
  <c r="AI64" i="1"/>
  <c r="AP64" i="1" s="1"/>
  <c r="AJ64" i="1"/>
  <c r="AK64" i="1"/>
  <c r="AL64" i="1"/>
  <c r="AM64" i="1"/>
  <c r="AN64" i="1"/>
  <c r="AP61" i="1" l="1"/>
  <c r="AS63" i="1"/>
  <c r="AW63" i="1"/>
  <c r="AT63" i="1"/>
  <c r="AX63" i="1"/>
  <c r="AU63" i="1"/>
  <c r="AR63" i="1"/>
  <c r="AV63" i="1"/>
  <c r="AS61" i="1"/>
  <c r="AW61" i="1"/>
  <c r="AT61" i="1"/>
  <c r="AU61" i="1"/>
  <c r="AR61" i="1"/>
  <c r="AV61" i="1"/>
  <c r="AX61" i="1"/>
  <c r="AW64" i="1"/>
  <c r="AT64" i="1"/>
  <c r="AX64" i="1"/>
  <c r="AU64" i="1"/>
  <c r="AR64" i="1"/>
  <c r="AV64" i="1"/>
  <c r="AS64" i="1"/>
  <c r="AW62" i="1"/>
  <c r="AS62" i="1"/>
  <c r="AV62" i="1"/>
  <c r="AR62" i="1"/>
  <c r="AU62" i="1"/>
  <c r="AX62" i="1"/>
  <c r="AH50" i="1"/>
  <c r="AI50" i="1"/>
  <c r="AJ50" i="1"/>
  <c r="AK50" i="1"/>
  <c r="AL50" i="1"/>
  <c r="AM50" i="1"/>
  <c r="AN50" i="1"/>
  <c r="AH51" i="1"/>
  <c r="AI51" i="1"/>
  <c r="AJ51" i="1"/>
  <c r="AK51" i="1"/>
  <c r="AL51" i="1"/>
  <c r="AM51" i="1"/>
  <c r="AN51" i="1"/>
  <c r="AH52" i="1"/>
  <c r="AI52" i="1"/>
  <c r="AJ52" i="1"/>
  <c r="AK52" i="1"/>
  <c r="AL52" i="1"/>
  <c r="AM52" i="1"/>
  <c r="AN52" i="1"/>
  <c r="AH53" i="1"/>
  <c r="AI53" i="1"/>
  <c r="AJ53" i="1"/>
  <c r="AK53" i="1"/>
  <c r="AL53" i="1"/>
  <c r="AM53" i="1"/>
  <c r="AN53" i="1"/>
  <c r="AH54" i="1"/>
  <c r="AI54" i="1"/>
  <c r="AJ54" i="1"/>
  <c r="AK54" i="1"/>
  <c r="AL54" i="1"/>
  <c r="AM54" i="1"/>
  <c r="AN54" i="1"/>
  <c r="AH55" i="1"/>
  <c r="AI55" i="1"/>
  <c r="AJ55" i="1"/>
  <c r="AK55" i="1"/>
  <c r="AL55" i="1"/>
  <c r="AM55" i="1"/>
  <c r="AN55" i="1"/>
  <c r="AH56" i="1"/>
  <c r="AI56" i="1"/>
  <c r="AJ56" i="1"/>
  <c r="AK56" i="1"/>
  <c r="AL56" i="1"/>
  <c r="AM56" i="1"/>
  <c r="AN56" i="1"/>
  <c r="AH57" i="1"/>
  <c r="AI57" i="1"/>
  <c r="AJ57" i="1"/>
  <c r="AK57" i="1"/>
  <c r="AL57" i="1"/>
  <c r="AM57" i="1"/>
  <c r="AN57" i="1"/>
  <c r="AH58" i="1"/>
  <c r="AI58" i="1"/>
  <c r="AJ58" i="1"/>
  <c r="AK58" i="1"/>
  <c r="AL58" i="1"/>
  <c r="AM58" i="1"/>
  <c r="AN58" i="1"/>
  <c r="AH59" i="1"/>
  <c r="AI59" i="1"/>
  <c r="AJ59" i="1"/>
  <c r="AK59" i="1"/>
  <c r="AL59" i="1"/>
  <c r="AM59" i="1"/>
  <c r="AN59" i="1"/>
  <c r="AN49" i="1"/>
  <c r="AM49" i="1"/>
  <c r="AL49" i="1"/>
  <c r="AK49" i="1"/>
  <c r="AI49" i="1"/>
  <c r="AJ49" i="1"/>
  <c r="AH49" i="1"/>
  <c r="AP58" i="1" l="1"/>
  <c r="AS58" i="1" s="1"/>
  <c r="AX55" i="1"/>
  <c r="AP54" i="1"/>
  <c r="AS54" i="1" s="1"/>
  <c r="AT51" i="1"/>
  <c r="AP50" i="1"/>
  <c r="AS50" i="1" s="1"/>
  <c r="AP59" i="1"/>
  <c r="AX59" i="1" s="1"/>
  <c r="AP55" i="1"/>
  <c r="AT55" i="1" s="1"/>
  <c r="AP51" i="1"/>
  <c r="AX51" i="1" s="1"/>
  <c r="AR55" i="1"/>
  <c r="AU55" i="1"/>
  <c r="AV54" i="1"/>
  <c r="AW51" i="1"/>
  <c r="AW56" i="1"/>
  <c r="AV55" i="1"/>
  <c r="AU54" i="1"/>
  <c r="AU50" i="1"/>
  <c r="AV58" i="1"/>
  <c r="AX56" i="1"/>
  <c r="AW55" i="1"/>
  <c r="AR51" i="1"/>
  <c r="AR50" i="1"/>
  <c r="AU58" i="1"/>
  <c r="AX58" i="1"/>
  <c r="AT58" i="1"/>
  <c r="AX54" i="1"/>
  <c r="AT54" i="1"/>
  <c r="AV52" i="1"/>
  <c r="AX50" i="1"/>
  <c r="AT50" i="1"/>
  <c r="AU52" i="1"/>
  <c r="AW58" i="1"/>
  <c r="AU56" i="1"/>
  <c r="AW54" i="1"/>
  <c r="AR58" i="1"/>
  <c r="AP52" i="1"/>
  <c r="AS52" i="1" s="1"/>
  <c r="AW49" i="1"/>
  <c r="AP57" i="1"/>
  <c r="AW57" i="1" s="1"/>
  <c r="AP53" i="1"/>
  <c r="AW53" i="1" s="1"/>
  <c r="AS55" i="1"/>
  <c r="AS51" i="1"/>
  <c r="AP56" i="1"/>
  <c r="AT56" i="1" s="1"/>
  <c r="AU51" i="1" l="1"/>
  <c r="AV51" i="1"/>
  <c r="AR54" i="1"/>
  <c r="AV53" i="1"/>
  <c r="AW59" i="1"/>
  <c r="AS59" i="1"/>
  <c r="AU59" i="1"/>
  <c r="AW52" i="1"/>
  <c r="AT59" i="1"/>
  <c r="AX52" i="1"/>
  <c r="AR52" i="1"/>
  <c r="AR56" i="1"/>
  <c r="AV59" i="1"/>
  <c r="AR59" i="1"/>
  <c r="AT53" i="1"/>
  <c r="AV50" i="1"/>
  <c r="AW50" i="1"/>
  <c r="AS49" i="1"/>
  <c r="AV49" i="1"/>
  <c r="AS53" i="1"/>
  <c r="AV56" i="1"/>
  <c r="AX49" i="1"/>
  <c r="AX53" i="1"/>
  <c r="AT57" i="1"/>
  <c r="AT52" i="1"/>
  <c r="AR49" i="1"/>
  <c r="AR53" i="1"/>
  <c r="AU49" i="1"/>
  <c r="AS57" i="1"/>
  <c r="AS56" i="1"/>
  <c r="AT49" i="1"/>
  <c r="AU53" i="1"/>
  <c r="AX57" i="1"/>
  <c r="AR57" i="1"/>
  <c r="AU57" i="1"/>
  <c r="AV57" i="1"/>
</calcChain>
</file>

<file path=xl/sharedStrings.xml><?xml version="1.0" encoding="utf-8"?>
<sst xmlns="http://schemas.openxmlformats.org/spreadsheetml/2006/main" count="515" uniqueCount="182">
  <si>
    <t>Electronic Supplementary Materials in Ore Geology Reviews:</t>
  </si>
  <si>
    <t>Mineral paragenesis and sulphide trace element distribution in the metamorphosed Lovisa Zn-Pb deposit, Bergslagen (Sweden), as revealed by 3D X-ray tomography, ore petrography and LA-ICP-MS analysis</t>
  </si>
  <si>
    <r>
      <t>Stefan S. Andersson</t>
    </r>
    <r>
      <rPr>
        <vertAlign val="superscript"/>
        <sz val="10"/>
        <color theme="1"/>
        <rFont val="Arial"/>
        <family val="2"/>
      </rPr>
      <t>1</t>
    </r>
    <r>
      <rPr>
        <sz val="10"/>
        <color theme="1"/>
        <rFont val="Arial"/>
        <family val="2"/>
      </rPr>
      <t>, Fredrik Sahlström</t>
    </r>
    <r>
      <rPr>
        <vertAlign val="superscript"/>
        <sz val="10"/>
        <color theme="1"/>
        <rFont val="Arial"/>
        <family val="2"/>
      </rPr>
      <t>1,2</t>
    </r>
    <r>
      <rPr>
        <sz val="10"/>
        <color theme="1"/>
        <rFont val="Arial"/>
        <family val="2"/>
      </rPr>
      <t>, Erik Jonsson</t>
    </r>
    <r>
      <rPr>
        <vertAlign val="superscript"/>
        <sz val="10"/>
        <color theme="1"/>
        <rFont val="Arial"/>
        <family val="2"/>
      </rPr>
      <t>1,3</t>
    </r>
    <r>
      <rPr>
        <sz val="10"/>
        <color theme="1"/>
        <rFont val="Arial"/>
        <family val="2"/>
      </rPr>
      <t>, Stefan Luth</t>
    </r>
    <r>
      <rPr>
        <vertAlign val="superscript"/>
        <sz val="10"/>
        <color theme="1"/>
        <rFont val="Arial"/>
        <family val="2"/>
      </rPr>
      <t>3</t>
    </r>
    <r>
      <rPr>
        <sz val="10"/>
        <color theme="1"/>
        <rFont val="Arial"/>
        <family val="2"/>
      </rPr>
      <t>, Edward P. Lynch</t>
    </r>
    <r>
      <rPr>
        <vertAlign val="superscript"/>
        <sz val="10"/>
        <color theme="1"/>
        <rFont val="Arial"/>
        <family val="2"/>
      </rPr>
      <t>3</t>
    </r>
    <r>
      <rPr>
        <sz val="10"/>
        <color theme="1"/>
        <rFont val="Arial"/>
        <family val="2"/>
      </rPr>
      <t>, Karin Högdahl</t>
    </r>
    <r>
      <rPr>
        <vertAlign val="superscript"/>
        <sz val="10"/>
        <color theme="1"/>
        <rFont val="Arial"/>
        <family val="2"/>
      </rPr>
      <t>1</t>
    </r>
    <r>
      <rPr>
        <sz val="10"/>
        <color theme="1"/>
        <rFont val="Arial"/>
        <family val="2"/>
      </rPr>
      <t>, Thomas Zack</t>
    </r>
    <r>
      <rPr>
        <vertAlign val="superscript"/>
        <sz val="10"/>
        <color theme="1"/>
        <rFont val="Arial"/>
        <family val="2"/>
      </rPr>
      <t>4,5</t>
    </r>
    <r>
      <rPr>
        <sz val="10"/>
        <color theme="1"/>
        <rFont val="Arial"/>
        <family val="2"/>
      </rPr>
      <t>, Nils Gies</t>
    </r>
    <r>
      <rPr>
        <vertAlign val="superscript"/>
        <sz val="10"/>
        <color theme="1"/>
        <rFont val="Arial"/>
        <family val="2"/>
      </rPr>
      <t>4</t>
    </r>
    <r>
      <rPr>
        <sz val="10"/>
        <color theme="1"/>
        <rFont val="Arial"/>
        <family val="2"/>
      </rPr>
      <t>, Stefan Sädbom</t>
    </r>
    <r>
      <rPr>
        <vertAlign val="superscript"/>
        <sz val="10"/>
        <color theme="1"/>
        <rFont val="Arial"/>
        <family val="2"/>
      </rPr>
      <t>6</t>
    </r>
    <r>
      <rPr>
        <vertAlign val="subscript"/>
        <sz val="10"/>
        <color theme="1"/>
        <rFont val="Arial"/>
        <family val="2"/>
      </rPr>
      <t>,</t>
    </r>
    <r>
      <rPr>
        <sz val="10"/>
        <color theme="1"/>
        <rFont val="Arial"/>
        <family val="2"/>
      </rPr>
      <t xml:space="preserve"> K.S. Alexander Hansson</t>
    </r>
    <r>
      <rPr>
        <vertAlign val="superscript"/>
        <sz val="10"/>
        <color theme="1"/>
        <rFont val="Arial"/>
        <family val="2"/>
      </rPr>
      <t>7</t>
    </r>
    <r>
      <rPr>
        <sz val="10"/>
        <color theme="1"/>
        <rFont val="Arial"/>
        <family val="2"/>
      </rPr>
      <t>, Mikael Bergqvist</t>
    </r>
    <r>
      <rPr>
        <vertAlign val="superscript"/>
        <sz val="10"/>
        <color theme="1"/>
        <rFont val="Arial"/>
        <family val="2"/>
      </rPr>
      <t>7</t>
    </r>
  </si>
  <si>
    <r>
      <t>1</t>
    </r>
    <r>
      <rPr>
        <sz val="10"/>
        <color theme="1"/>
        <rFont val="Arial"/>
        <family val="2"/>
      </rPr>
      <t xml:space="preserve"> </t>
    </r>
    <r>
      <rPr>
        <sz val="10"/>
        <color rgb="FF222222"/>
        <rFont val="Arial"/>
        <family val="2"/>
      </rPr>
      <t>Department of Earth Sciences, Uppsala University, Sweden</t>
    </r>
  </si>
  <si>
    <r>
      <t>2</t>
    </r>
    <r>
      <rPr>
        <sz val="10"/>
        <color theme="1"/>
        <rFont val="Arial"/>
        <family val="2"/>
      </rPr>
      <t xml:space="preserve"> Department of Geosciences, UiT The Arctic University of Norway, Norway</t>
    </r>
  </si>
  <si>
    <r>
      <t>3</t>
    </r>
    <r>
      <rPr>
        <sz val="10"/>
        <color theme="1"/>
        <rFont val="Arial"/>
        <family val="2"/>
      </rPr>
      <t xml:space="preserve"> Department of Mineral Resources, Geological Survey of Sweden, Sweden</t>
    </r>
  </si>
  <si>
    <t>N.A. = Not analysed during the LA-ICP-MS analytical session</t>
  </si>
  <si>
    <r>
      <t>4</t>
    </r>
    <r>
      <rPr>
        <sz val="10"/>
        <color theme="1"/>
        <rFont val="Arial"/>
        <family val="2"/>
      </rPr>
      <t xml:space="preserve"> Department of Earth Sciences, University of Gothenburg, Sweden</t>
    </r>
  </si>
  <si>
    <t>N.P. = Not present. Removed during LA-ICP-MS data processing, represents contributions from inclusions.</t>
  </si>
  <si>
    <r>
      <t>5</t>
    </r>
    <r>
      <rPr>
        <sz val="10"/>
        <color theme="1"/>
        <rFont val="Arial"/>
        <family val="2"/>
      </rPr>
      <t xml:space="preserve"> Department of Earth Sciences, University of Adelaide, Australia</t>
    </r>
  </si>
  <si>
    <r>
      <t>6</t>
    </r>
    <r>
      <rPr>
        <sz val="10"/>
        <color theme="1"/>
        <rFont val="Arial"/>
        <family val="2"/>
      </rPr>
      <t xml:space="preserve"> Lovisagruvan AB, Sweden</t>
    </r>
  </si>
  <si>
    <r>
      <t>7</t>
    </r>
    <r>
      <rPr>
        <sz val="10"/>
        <color theme="1"/>
        <rFont val="Arial"/>
        <family val="2"/>
      </rPr>
      <t xml:space="preserve"> Orexplore AB, Sweden</t>
    </r>
  </si>
  <si>
    <t>Table ESM S4</t>
  </si>
  <si>
    <t>Chalcopyrite, pyrrhotite and tetrahedrite LA-ICP-MS data</t>
  </si>
  <si>
    <t>Date</t>
  </si>
  <si>
    <t>Sample ID</t>
  </si>
  <si>
    <t>Ore type</t>
  </si>
  <si>
    <t>Mineral</t>
  </si>
  <si>
    <t>ppm</t>
  </si>
  <si>
    <t>S32</t>
  </si>
  <si>
    <t>Mn55</t>
  </si>
  <si>
    <t>Fe56</t>
  </si>
  <si>
    <t>Co59</t>
  </si>
  <si>
    <t>Ni60</t>
  </si>
  <si>
    <t>Cu63</t>
  </si>
  <si>
    <t>Zn66</t>
  </si>
  <si>
    <t>Ga71</t>
  </si>
  <si>
    <t>Ge72</t>
  </si>
  <si>
    <t>As75</t>
  </si>
  <si>
    <t>Se80</t>
  </si>
  <si>
    <t>Mo95</t>
  </si>
  <si>
    <t>Ag107</t>
  </si>
  <si>
    <t>Cd111</t>
  </si>
  <si>
    <t>In115</t>
  </si>
  <si>
    <t>Sn118</t>
  </si>
  <si>
    <t>Sb121</t>
  </si>
  <si>
    <t>Te128</t>
  </si>
  <si>
    <t>Au197</t>
  </si>
  <si>
    <t>Hg201</t>
  </si>
  <si>
    <t>Tl205</t>
  </si>
  <si>
    <t>Pb208</t>
  </si>
  <si>
    <t>Bi209</t>
  </si>
  <si>
    <t>Tetrahedrite formulae calculation</t>
  </si>
  <si>
    <t>S</t>
  </si>
  <si>
    <t>Fe</t>
  </si>
  <si>
    <t>Cu</t>
  </si>
  <si>
    <t>Zn</t>
  </si>
  <si>
    <t>Ag</t>
  </si>
  <si>
    <t>Cd</t>
  </si>
  <si>
    <t>Sb</t>
  </si>
  <si>
    <t>Factor (16 apfu of cations)</t>
  </si>
  <si>
    <t>1506-252.05-252.24A</t>
  </si>
  <si>
    <t>Late Sb-Ag-Cu rich fracture fillings in the Lovisa Fe Formation</t>
  </si>
  <si>
    <t>Chalcopyrite</t>
  </si>
  <si>
    <t>N.A.</t>
  </si>
  <si>
    <t>&lt;0.054</t>
  </si>
  <si>
    <t>&lt;0.23</t>
  </si>
  <si>
    <t>&lt;0.34</t>
  </si>
  <si>
    <t>&lt;0.088</t>
  </si>
  <si>
    <t>&lt;0.011</t>
  </si>
  <si>
    <t>&lt;0.12</t>
  </si>
  <si>
    <t>&lt;0.56</t>
  </si>
  <si>
    <t>&lt;0.74</t>
  </si>
  <si>
    <t>N.P.</t>
  </si>
  <si>
    <t>&lt;0.4</t>
  </si>
  <si>
    <t>&lt;0.017</t>
  </si>
  <si>
    <t>&lt;0.76</t>
  </si>
  <si>
    <t>&lt;0.076</t>
  </si>
  <si>
    <t>&lt;0.44</t>
  </si>
  <si>
    <t>&lt;0</t>
  </si>
  <si>
    <t>&lt;0.96</t>
  </si>
  <si>
    <t>&lt;0.28</t>
  </si>
  <si>
    <t>&lt;0.2</t>
  </si>
  <si>
    <t>&lt;0.88</t>
  </si>
  <si>
    <t>&lt;0.0051</t>
  </si>
  <si>
    <t>&lt;0.37</t>
  </si>
  <si>
    <t>&lt;0.05</t>
  </si>
  <si>
    <t>&lt;0.056</t>
  </si>
  <si>
    <t>&lt;0.29</t>
  </si>
  <si>
    <t>&lt;0.46</t>
  </si>
  <si>
    <t>&lt;0.07</t>
  </si>
  <si>
    <t>&lt;0.53</t>
  </si>
  <si>
    <t>&lt;0.83</t>
  </si>
  <si>
    <t>&lt;0.0084</t>
  </si>
  <si>
    <t>&lt;0.071</t>
  </si>
  <si>
    <t>&lt;0.42</t>
  </si>
  <si>
    <t>&lt;0.47</t>
  </si>
  <si>
    <t>&lt;0.3</t>
  </si>
  <si>
    <t>&lt;0.41</t>
  </si>
  <si>
    <t>&lt;0.012</t>
  </si>
  <si>
    <t>&lt;0.093</t>
  </si>
  <si>
    <t>&lt;0.43</t>
  </si>
  <si>
    <t>&lt;0.24</t>
  </si>
  <si>
    <t>&lt;0.68</t>
  </si>
  <si>
    <t>&lt;0.5</t>
  </si>
  <si>
    <t>&lt;0.014</t>
  </si>
  <si>
    <t>&lt;0.08</t>
  </si>
  <si>
    <t>&lt;0.15</t>
  </si>
  <si>
    <t>&lt;0.019</t>
  </si>
  <si>
    <t>&lt;0.69</t>
  </si>
  <si>
    <t>&lt;0.39</t>
  </si>
  <si>
    <t>&lt;0.023</t>
  </si>
  <si>
    <t>&lt;0.18</t>
  </si>
  <si>
    <t>&lt;0.51</t>
  </si>
  <si>
    <t>&lt;0.99</t>
  </si>
  <si>
    <t>&lt;0.04</t>
  </si>
  <si>
    <t>Lovisa Iron Formation</t>
  </si>
  <si>
    <t>&lt;0.59</t>
  </si>
  <si>
    <t>&lt;0.19</t>
  </si>
  <si>
    <t>&lt;0.45</t>
  </si>
  <si>
    <t>&lt;1.5</t>
  </si>
  <si>
    <t>&lt;0.016</t>
  </si>
  <si>
    <t>&lt;0.73</t>
  </si>
  <si>
    <t>&lt;0.11</t>
  </si>
  <si>
    <t>&lt;0.7</t>
  </si>
  <si>
    <t>&lt;0.92</t>
  </si>
  <si>
    <t>&lt;0.015</t>
  </si>
  <si>
    <t>&lt;0.63</t>
  </si>
  <si>
    <t>&lt;3.4</t>
  </si>
  <si>
    <t>&lt;0.013</t>
  </si>
  <si>
    <t>&lt;0.87</t>
  </si>
  <si>
    <t>&lt;0.021</t>
  </si>
  <si>
    <t>&lt;1.1</t>
  </si>
  <si>
    <t>&lt;0.03</t>
  </si>
  <si>
    <t>&lt;0.009</t>
  </si>
  <si>
    <t>&lt;0.073</t>
  </si>
  <si>
    <t>&lt;0.065</t>
  </si>
  <si>
    <t>&lt;0.1</t>
  </si>
  <si>
    <t>&lt;0.074</t>
  </si>
  <si>
    <t>&lt;0.31</t>
  </si>
  <si>
    <t>&lt;0.13</t>
  </si>
  <si>
    <t>&lt;0.38</t>
  </si>
  <si>
    <t>&lt;5.2</t>
  </si>
  <si>
    <t>1502-193.51-193.60</t>
  </si>
  <si>
    <t>Pyrrhotite</t>
  </si>
  <si>
    <t>&lt;0.16</t>
  </si>
  <si>
    <t>&lt;0.98</t>
  </si>
  <si>
    <t>&lt;0.62</t>
  </si>
  <si>
    <t>&lt;0.0094</t>
  </si>
  <si>
    <t>&lt;0.67</t>
  </si>
  <si>
    <t>&lt;1</t>
  </si>
  <si>
    <t>&lt;0.17</t>
  </si>
  <si>
    <t>&lt;0.8</t>
  </si>
  <si>
    <t>&lt;1.3</t>
  </si>
  <si>
    <t>&lt;0.21</t>
  </si>
  <si>
    <t>&lt;0.72</t>
  </si>
  <si>
    <t>&lt;0.053</t>
  </si>
  <si>
    <t>&lt;0.32</t>
  </si>
  <si>
    <t>&lt;0.65</t>
  </si>
  <si>
    <t>&lt;0.0089</t>
  </si>
  <si>
    <t>&lt;1.7</t>
  </si>
  <si>
    <t>&lt;0.044</t>
  </si>
  <si>
    <t>&lt;0.25</t>
  </si>
  <si>
    <t>&lt;0.85</t>
  </si>
  <si>
    <t>&lt;0.01</t>
  </si>
  <si>
    <t>&lt;0.051</t>
  </si>
  <si>
    <t>&lt;1.8</t>
  </si>
  <si>
    <t>&lt;0.068</t>
  </si>
  <si>
    <t>1506-253.15-253.25B</t>
  </si>
  <si>
    <t>Pyrrhotite, altered</t>
  </si>
  <si>
    <t>&lt;0.0025</t>
  </si>
  <si>
    <t>&lt;0.0028</t>
  </si>
  <si>
    <t>&lt;0.26</t>
  </si>
  <si>
    <t>&lt;0.0034</t>
  </si>
  <si>
    <t>&lt;0.09</t>
  </si>
  <si>
    <t>&lt;0.0023</t>
  </si>
  <si>
    <t>&lt;0.0026</t>
  </si>
  <si>
    <t>&lt;0.0044</t>
  </si>
  <si>
    <t>Tetrahedrite</t>
  </si>
  <si>
    <t>&lt;0.14</t>
  </si>
  <si>
    <t>Sn-interference</t>
  </si>
  <si>
    <t>&lt;0.049</t>
  </si>
  <si>
    <t>&lt;0.54</t>
  </si>
  <si>
    <t>&lt;0.0042</t>
  </si>
  <si>
    <t>&lt;2.8</t>
  </si>
  <si>
    <t>&lt;0.098</t>
  </si>
  <si>
    <t>&lt;0.0029</t>
  </si>
  <si>
    <t>&lt;0.0054</t>
  </si>
  <si>
    <t>EDS1 - Tetrahedrite</t>
  </si>
  <si>
    <t>EDS2 - Tetrahedrite</t>
  </si>
  <si>
    <t>EDS3 - Tetrahedrite</t>
  </si>
  <si>
    <t>EDS4 - Tetrahedrite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</si>
</sst>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vertAlign val="subscript"/>
      <sz val="10"/>
      <color theme="1"/>
      <name val="Arial"/>
      <family val="2"/>
    </font>
    <font>
      <sz val="10"/>
      <color rgb="FF222222"/>
      <name val="Arial"/>
      <family val="2"/>
    </font>
    <font>
      <i/>
      <sz val="10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/>
    <xf numFmtId="164" fontId="1" fillId="0" borderId="0" xfId="0" applyNumberFormat="1" applyFont="1" applyFill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2" fontId="1" fillId="0" borderId="0" xfId="0" applyNumberFormat="1" applyFont="1" applyFill="1"/>
    <xf numFmtId="2" fontId="6" fillId="0" borderId="0" xfId="0" applyNumberFormat="1" applyFont="1" applyFill="1"/>
    <xf numFmtId="0" fontId="6" fillId="0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82731-8E0C-4629-9C75-1129E73A5151}">
  <dimension ref="B1:AY77"/>
  <sheetViews>
    <sheetView tabSelected="1" zoomScale="85" zoomScaleNormal="85" workbookViewId="0">
      <pane xSplit="6" ySplit="21" topLeftCell="G22" activePane="bottomRight" state="frozen"/>
      <selection pane="bottomRight" activeCell="B5" sqref="B5"/>
      <selection pane="bottomLeft" activeCell="A9" sqref="A9"/>
      <selection pane="topRight" activeCell="G1" sqref="G1"/>
    </sheetView>
  </sheetViews>
  <sheetFormatPr defaultRowHeight="12.75"/>
  <cols>
    <col min="1" max="1" width="4" style="3" bestFit="1" customWidth="1"/>
    <col min="2" max="2" width="7" style="3" bestFit="1" customWidth="1"/>
    <col min="3" max="3" width="18.85546875" style="3" bestFit="1" customWidth="1"/>
    <col min="4" max="4" width="53" style="3" bestFit="1" customWidth="1"/>
    <col min="5" max="5" width="15.85546875" style="3" bestFit="1" customWidth="1"/>
    <col min="6" max="6" width="9.28515625" style="3" customWidth="1"/>
    <col min="7" max="7" width="8.140625" style="3" bestFit="1" customWidth="1"/>
    <col min="8" max="8" width="5.5703125" style="3" bestFit="1" customWidth="1"/>
    <col min="9" max="9" width="7" style="3" bestFit="1" customWidth="1"/>
    <col min="10" max="10" width="6.7109375" style="3" bestFit="1" customWidth="1"/>
    <col min="11" max="11" width="5" style="3" bestFit="1" customWidth="1"/>
    <col min="12" max="12" width="7" style="3" bestFit="1" customWidth="1"/>
    <col min="13" max="13" width="6" style="3" bestFit="1" customWidth="1"/>
    <col min="14" max="15" width="6.7109375" style="3" bestFit="1" customWidth="1"/>
    <col min="16" max="17" width="5.7109375" style="3" bestFit="1" customWidth="1"/>
    <col min="18" max="18" width="6.7109375" style="3" bestFit="1" customWidth="1"/>
    <col min="19" max="19" width="7" style="3" bestFit="1" customWidth="1"/>
    <col min="20" max="20" width="6.28515625" style="3" bestFit="1" customWidth="1"/>
    <col min="21" max="21" width="15.28515625" style="3" customWidth="1"/>
    <col min="22" max="22" width="6.28515625" style="3" bestFit="1" customWidth="1"/>
    <col min="23" max="23" width="7" style="3" bestFit="1" customWidth="1"/>
    <col min="24" max="24" width="9.7109375" style="3" customWidth="1"/>
    <col min="25" max="25" width="9.28515625" style="3" bestFit="1" customWidth="1"/>
    <col min="26" max="26" width="6.28515625" style="3" bestFit="1" customWidth="1"/>
    <col min="27" max="27" width="6" style="3" bestFit="1" customWidth="1"/>
    <col min="28" max="28" width="6.28515625" style="3" bestFit="1" customWidth="1"/>
    <col min="29" max="29" width="7.7109375" style="3" bestFit="1" customWidth="1"/>
    <col min="30" max="41" width="9.140625" style="3"/>
    <col min="42" max="42" width="23.5703125" style="3" bestFit="1" customWidth="1"/>
    <col min="43" max="16384" width="9.140625" style="3"/>
  </cols>
  <sheetData>
    <row r="1" spans="2:15">
      <c r="B1" s="5" t="s">
        <v>0</v>
      </c>
    </row>
    <row r="2" spans="2:15">
      <c r="B2" s="6"/>
    </row>
    <row r="3" spans="2:15">
      <c r="B3" s="5" t="s">
        <v>1</v>
      </c>
    </row>
    <row r="4" spans="2:15">
      <c r="B4" s="7"/>
    </row>
    <row r="5" spans="2:15" ht="15.75">
      <c r="B5" s="8" t="s">
        <v>2</v>
      </c>
    </row>
    <row r="6" spans="2:15">
      <c r="B6" s="8"/>
    </row>
    <row r="7" spans="2:15" ht="14.25">
      <c r="B7" s="9" t="s">
        <v>3</v>
      </c>
    </row>
    <row r="8" spans="2:15" ht="14.25">
      <c r="B8" s="9" t="s">
        <v>4</v>
      </c>
    </row>
    <row r="9" spans="2:15" ht="14.25">
      <c r="B9" s="9" t="s">
        <v>5</v>
      </c>
      <c r="O9" s="10" t="s">
        <v>6</v>
      </c>
    </row>
    <row r="10" spans="2:15" ht="14.25">
      <c r="B10" s="9" t="s">
        <v>7</v>
      </c>
      <c r="O10" s="10" t="s">
        <v>8</v>
      </c>
    </row>
    <row r="11" spans="2:15" ht="14.25">
      <c r="B11" s="9" t="s">
        <v>9</v>
      </c>
    </row>
    <row r="12" spans="2:15" ht="14.25">
      <c r="B12" s="9" t="s">
        <v>10</v>
      </c>
    </row>
    <row r="13" spans="2:15" ht="14.25">
      <c r="B13" s="9" t="s">
        <v>11</v>
      </c>
    </row>
    <row r="14" spans="2:15">
      <c r="B14" s="10"/>
    </row>
    <row r="15" spans="2:15">
      <c r="B15" s="11" t="s">
        <v>12</v>
      </c>
      <c r="D15" s="3" t="s">
        <v>13</v>
      </c>
    </row>
    <row r="21" spans="2:51">
      <c r="B21" s="3" t="s">
        <v>14</v>
      </c>
      <c r="C21" s="3" t="s">
        <v>15</v>
      </c>
      <c r="D21" s="3" t="s">
        <v>16</v>
      </c>
      <c r="E21" s="3" t="s">
        <v>17</v>
      </c>
      <c r="F21" s="3" t="s">
        <v>18</v>
      </c>
      <c r="G21" s="3" t="s">
        <v>19</v>
      </c>
      <c r="H21" s="3" t="s">
        <v>20</v>
      </c>
      <c r="I21" s="3" t="s">
        <v>21</v>
      </c>
      <c r="J21" s="3" t="s">
        <v>22</v>
      </c>
      <c r="K21" s="3" t="s">
        <v>23</v>
      </c>
      <c r="L21" s="3" t="s">
        <v>24</v>
      </c>
      <c r="M21" s="3" t="s">
        <v>25</v>
      </c>
      <c r="N21" s="3" t="s">
        <v>26</v>
      </c>
      <c r="O21" s="3" t="s">
        <v>27</v>
      </c>
      <c r="P21" s="3" t="s">
        <v>28</v>
      </c>
      <c r="Q21" s="3" t="s">
        <v>29</v>
      </c>
      <c r="R21" s="3" t="s">
        <v>30</v>
      </c>
      <c r="S21" s="3" t="s">
        <v>31</v>
      </c>
      <c r="T21" s="3" t="s">
        <v>32</v>
      </c>
      <c r="U21" s="3" t="s">
        <v>33</v>
      </c>
      <c r="V21" s="3" t="s">
        <v>34</v>
      </c>
      <c r="W21" s="3" t="s">
        <v>35</v>
      </c>
      <c r="X21" s="3" t="s">
        <v>36</v>
      </c>
      <c r="Y21" s="3" t="s">
        <v>37</v>
      </c>
      <c r="Z21" s="3" t="s">
        <v>38</v>
      </c>
      <c r="AA21" s="3" t="s">
        <v>39</v>
      </c>
      <c r="AB21" s="3" t="s">
        <v>40</v>
      </c>
      <c r="AC21" s="3" t="s">
        <v>41</v>
      </c>
      <c r="AE21" s="3" t="s">
        <v>42</v>
      </c>
      <c r="AH21" s="3" t="s">
        <v>43</v>
      </c>
      <c r="AI21" s="3" t="s">
        <v>44</v>
      </c>
      <c r="AJ21" s="3" t="s">
        <v>45</v>
      </c>
      <c r="AK21" s="3" t="s">
        <v>46</v>
      </c>
      <c r="AL21" s="3" t="s">
        <v>47</v>
      </c>
      <c r="AM21" s="3" t="s">
        <v>48</v>
      </c>
      <c r="AN21" s="3" t="s">
        <v>49</v>
      </c>
      <c r="AP21" s="3" t="s">
        <v>50</v>
      </c>
      <c r="AR21" s="3" t="s">
        <v>43</v>
      </c>
      <c r="AS21" s="3" t="s">
        <v>44</v>
      </c>
      <c r="AT21" s="3" t="s">
        <v>45</v>
      </c>
      <c r="AU21" s="3" t="s">
        <v>46</v>
      </c>
      <c r="AV21" s="3" t="s">
        <v>47</v>
      </c>
      <c r="AW21" s="3" t="s">
        <v>48</v>
      </c>
      <c r="AX21" s="3" t="s">
        <v>49</v>
      </c>
      <c r="AY21" s="3" t="s">
        <v>43</v>
      </c>
    </row>
    <row r="22" spans="2:51">
      <c r="B22" s="3">
        <v>190227</v>
      </c>
      <c r="C22" s="3" t="s">
        <v>51</v>
      </c>
      <c r="D22" s="1" t="s">
        <v>52</v>
      </c>
      <c r="E22" s="1" t="s">
        <v>53</v>
      </c>
      <c r="G22" s="3">
        <v>440000</v>
      </c>
      <c r="H22" s="3">
        <v>2.54</v>
      </c>
      <c r="I22" s="3">
        <v>310000</v>
      </c>
      <c r="J22" s="3">
        <v>4.2000000000000003E-2</v>
      </c>
      <c r="K22" s="3" t="s">
        <v>54</v>
      </c>
      <c r="L22" s="3">
        <v>340000</v>
      </c>
      <c r="M22" s="3">
        <v>71.599999999999994</v>
      </c>
      <c r="N22" s="3" t="s">
        <v>54</v>
      </c>
      <c r="O22" s="3" t="s">
        <v>55</v>
      </c>
      <c r="P22" s="3" t="s">
        <v>56</v>
      </c>
      <c r="Q22" s="3" t="s">
        <v>57</v>
      </c>
      <c r="R22" s="3" t="s">
        <v>58</v>
      </c>
      <c r="S22" s="3">
        <v>198</v>
      </c>
      <c r="T22" s="3">
        <v>14.1</v>
      </c>
      <c r="U22" s="3">
        <v>2.27</v>
      </c>
      <c r="V22" s="3">
        <v>1.24</v>
      </c>
      <c r="W22" s="3">
        <v>14.4</v>
      </c>
      <c r="X22" s="3">
        <v>0.54</v>
      </c>
      <c r="Y22" s="3">
        <v>4.3999999999999997E-2</v>
      </c>
      <c r="Z22" s="3">
        <v>0.84</v>
      </c>
      <c r="AA22" s="3">
        <v>0.93</v>
      </c>
      <c r="AB22" s="3">
        <v>28.6</v>
      </c>
      <c r="AC22" s="3" t="s">
        <v>59</v>
      </c>
    </row>
    <row r="23" spans="2:51">
      <c r="B23" s="3">
        <v>190227</v>
      </c>
      <c r="C23" s="3" t="s">
        <v>51</v>
      </c>
      <c r="D23" s="1" t="s">
        <v>52</v>
      </c>
      <c r="E23" s="1" t="s">
        <v>53</v>
      </c>
      <c r="G23" s="3">
        <v>467000</v>
      </c>
      <c r="H23" s="3" t="s">
        <v>54</v>
      </c>
      <c r="I23" s="3">
        <v>308000</v>
      </c>
      <c r="J23" s="3">
        <v>0.25</v>
      </c>
      <c r="K23" s="3" t="s">
        <v>54</v>
      </c>
      <c r="L23" s="3">
        <v>342000</v>
      </c>
      <c r="M23" s="3">
        <v>61.7</v>
      </c>
      <c r="N23" s="3" t="s">
        <v>54</v>
      </c>
      <c r="O23" s="3" t="s">
        <v>60</v>
      </c>
      <c r="P23" s="3" t="s">
        <v>61</v>
      </c>
      <c r="Q23" s="3" t="s">
        <v>62</v>
      </c>
      <c r="R23" s="3" t="s">
        <v>63</v>
      </c>
      <c r="S23" s="3">
        <v>301</v>
      </c>
      <c r="T23" s="3">
        <v>13.8</v>
      </c>
      <c r="U23" s="3">
        <v>2.74</v>
      </c>
      <c r="V23" s="3" t="s">
        <v>64</v>
      </c>
      <c r="W23" s="3">
        <v>53.4</v>
      </c>
      <c r="X23" s="3">
        <v>1.18</v>
      </c>
      <c r="Y23" s="3" t="s">
        <v>65</v>
      </c>
      <c r="Z23" s="3" t="s">
        <v>66</v>
      </c>
      <c r="AA23" s="3">
        <v>5.18</v>
      </c>
      <c r="AB23" s="3">
        <v>62.1</v>
      </c>
      <c r="AC23" s="3" t="s">
        <v>65</v>
      </c>
    </row>
    <row r="24" spans="2:51">
      <c r="B24" s="3">
        <v>190301</v>
      </c>
      <c r="C24" s="3" t="s">
        <v>51</v>
      </c>
      <c r="D24" s="1" t="s">
        <v>52</v>
      </c>
      <c r="E24" s="1" t="s">
        <v>53</v>
      </c>
      <c r="G24" s="3">
        <v>402000</v>
      </c>
      <c r="H24" s="3" t="s">
        <v>54</v>
      </c>
      <c r="I24" s="3">
        <v>302000</v>
      </c>
      <c r="J24" s="3">
        <v>0.115</v>
      </c>
      <c r="K24" s="3" t="s">
        <v>54</v>
      </c>
      <c r="L24" s="3">
        <v>348000</v>
      </c>
      <c r="M24" s="3">
        <v>89.8</v>
      </c>
      <c r="N24" s="3" t="s">
        <v>54</v>
      </c>
      <c r="O24" s="3" t="s">
        <v>67</v>
      </c>
      <c r="P24" s="3">
        <v>0.49</v>
      </c>
      <c r="Q24" s="3" t="s">
        <v>68</v>
      </c>
      <c r="R24" s="3" t="s">
        <v>69</v>
      </c>
      <c r="S24" s="3">
        <v>286</v>
      </c>
      <c r="T24" s="3">
        <v>12.1</v>
      </c>
      <c r="U24" s="3">
        <v>3.87</v>
      </c>
      <c r="V24" s="3">
        <v>0.53</v>
      </c>
      <c r="W24" s="3">
        <v>26.4</v>
      </c>
      <c r="X24" s="3" t="s">
        <v>70</v>
      </c>
      <c r="Y24" s="3">
        <v>7.4999999999999997E-2</v>
      </c>
      <c r="Z24" s="3" t="s">
        <v>61</v>
      </c>
      <c r="AA24" s="3">
        <v>1.47</v>
      </c>
      <c r="AB24" s="3">
        <v>35</v>
      </c>
      <c r="AC24" s="3">
        <v>3.3999999999999998E-3</v>
      </c>
    </row>
    <row r="25" spans="2:51">
      <c r="B25" s="3">
        <v>190301</v>
      </c>
      <c r="C25" s="3" t="s">
        <v>51</v>
      </c>
      <c r="D25" s="1" t="s">
        <v>52</v>
      </c>
      <c r="E25" s="1" t="s">
        <v>53</v>
      </c>
      <c r="G25" s="3">
        <v>399000</v>
      </c>
      <c r="H25" s="3" t="s">
        <v>54</v>
      </c>
      <c r="I25" s="3">
        <v>318000</v>
      </c>
      <c r="J25" s="3">
        <v>8.2000000000000003E-2</v>
      </c>
      <c r="K25" s="3" t="s">
        <v>54</v>
      </c>
      <c r="L25" s="3">
        <v>334000</v>
      </c>
      <c r="M25" s="3">
        <v>129</v>
      </c>
      <c r="N25" s="3" t="s">
        <v>54</v>
      </c>
      <c r="O25" s="3">
        <v>9.8000000000000004E-2</v>
      </c>
      <c r="P25" s="3" t="s">
        <v>71</v>
      </c>
      <c r="Q25" s="3">
        <v>0.48</v>
      </c>
      <c r="R25" s="3" t="s">
        <v>72</v>
      </c>
      <c r="S25" s="3">
        <v>245</v>
      </c>
      <c r="T25" s="3">
        <v>16.399999999999999</v>
      </c>
      <c r="U25" s="3">
        <v>3.82</v>
      </c>
      <c r="V25" s="3">
        <v>1.45</v>
      </c>
      <c r="W25" s="3">
        <v>16.100000000000001</v>
      </c>
      <c r="X25" s="3" t="s">
        <v>73</v>
      </c>
      <c r="Y25" s="3" t="s">
        <v>74</v>
      </c>
      <c r="Z25" s="3" t="s">
        <v>75</v>
      </c>
      <c r="AA25" s="3" t="s">
        <v>69</v>
      </c>
      <c r="AB25" s="3">
        <v>17.899999999999999</v>
      </c>
      <c r="AC25" s="3">
        <v>1.6E-2</v>
      </c>
    </row>
    <row r="26" spans="2:51">
      <c r="B26" s="3">
        <v>190301</v>
      </c>
      <c r="C26" s="3" t="s">
        <v>51</v>
      </c>
      <c r="D26" s="1" t="s">
        <v>52</v>
      </c>
      <c r="E26" s="1" t="s">
        <v>53</v>
      </c>
      <c r="G26" s="3">
        <v>420000</v>
      </c>
      <c r="H26" s="3">
        <v>7.99</v>
      </c>
      <c r="I26" s="3">
        <v>306000</v>
      </c>
      <c r="J26" s="3" t="s">
        <v>76</v>
      </c>
      <c r="K26" s="3" t="s">
        <v>54</v>
      </c>
      <c r="L26" s="3">
        <v>344000</v>
      </c>
      <c r="M26" s="3">
        <v>73.900000000000006</v>
      </c>
      <c r="N26" s="3" t="s">
        <v>54</v>
      </c>
      <c r="O26" s="3" t="s">
        <v>77</v>
      </c>
      <c r="P26" s="3" t="s">
        <v>78</v>
      </c>
      <c r="Q26" s="3" t="s">
        <v>64</v>
      </c>
      <c r="R26" s="3" t="s">
        <v>72</v>
      </c>
      <c r="S26" s="3" t="s">
        <v>63</v>
      </c>
      <c r="T26" s="3">
        <v>19.399999999999999</v>
      </c>
      <c r="U26" s="3">
        <v>3.68</v>
      </c>
      <c r="V26" s="3">
        <v>0.61</v>
      </c>
      <c r="W26" s="3" t="s">
        <v>63</v>
      </c>
      <c r="X26" s="3" t="s">
        <v>79</v>
      </c>
      <c r="Y26" s="3">
        <v>5.7000000000000002E-2</v>
      </c>
      <c r="Z26" s="3">
        <v>1.1399999999999999</v>
      </c>
      <c r="AA26" s="3">
        <v>0.76</v>
      </c>
      <c r="AB26" s="3" t="s">
        <v>63</v>
      </c>
      <c r="AC26" s="3">
        <v>7.0999999999999994E-2</v>
      </c>
    </row>
    <row r="27" spans="2:51">
      <c r="B27" s="3">
        <v>190301</v>
      </c>
      <c r="C27" s="3" t="s">
        <v>51</v>
      </c>
      <c r="D27" s="1" t="s">
        <v>52</v>
      </c>
      <c r="E27" s="1" t="s">
        <v>53</v>
      </c>
      <c r="G27" s="3">
        <v>411000</v>
      </c>
      <c r="H27" s="3" t="s">
        <v>54</v>
      </c>
      <c r="I27" s="3">
        <v>302000</v>
      </c>
      <c r="J27" s="3">
        <v>0.10100000000000001</v>
      </c>
      <c r="K27" s="3" t="s">
        <v>54</v>
      </c>
      <c r="L27" s="3">
        <v>349000</v>
      </c>
      <c r="M27" s="3">
        <v>111</v>
      </c>
      <c r="N27" s="3" t="s">
        <v>54</v>
      </c>
      <c r="O27" s="3" t="s">
        <v>80</v>
      </c>
      <c r="P27" s="3">
        <v>0.41</v>
      </c>
      <c r="Q27" s="3" t="s">
        <v>81</v>
      </c>
      <c r="R27" s="3" t="s">
        <v>69</v>
      </c>
      <c r="S27" s="3">
        <v>187</v>
      </c>
      <c r="T27" s="3">
        <v>10.5</v>
      </c>
      <c r="U27" s="3">
        <v>3.9</v>
      </c>
      <c r="V27" s="3">
        <v>0.28999999999999998</v>
      </c>
      <c r="W27" s="3">
        <v>3.49</v>
      </c>
      <c r="X27" s="3" t="s">
        <v>82</v>
      </c>
      <c r="Y27" s="3" t="s">
        <v>83</v>
      </c>
      <c r="Z27" s="3" t="s">
        <v>61</v>
      </c>
      <c r="AA27" s="3">
        <v>2.2599999999999998</v>
      </c>
      <c r="AB27" s="3">
        <v>51.9</v>
      </c>
      <c r="AC27" s="3">
        <v>0.63200000000000001</v>
      </c>
    </row>
    <row r="28" spans="2:51">
      <c r="B28" s="3">
        <v>190301</v>
      </c>
      <c r="C28" s="3" t="s">
        <v>51</v>
      </c>
      <c r="D28" s="1" t="s">
        <v>52</v>
      </c>
      <c r="E28" s="1" t="s">
        <v>53</v>
      </c>
      <c r="G28" s="3">
        <v>407000</v>
      </c>
      <c r="H28" s="3" t="s">
        <v>54</v>
      </c>
      <c r="I28" s="3">
        <v>310000</v>
      </c>
      <c r="J28" s="3">
        <v>4.84</v>
      </c>
      <c r="K28" s="3" t="s">
        <v>54</v>
      </c>
      <c r="L28" s="3">
        <v>340000</v>
      </c>
      <c r="M28" s="3">
        <v>147</v>
      </c>
      <c r="N28" s="3" t="s">
        <v>54</v>
      </c>
      <c r="O28" s="3" t="s">
        <v>84</v>
      </c>
      <c r="P28" s="3">
        <v>1.27</v>
      </c>
      <c r="Q28" s="3">
        <v>0.53</v>
      </c>
      <c r="R28" s="3" t="s">
        <v>63</v>
      </c>
      <c r="S28" s="3" t="s">
        <v>63</v>
      </c>
      <c r="U28" s="3">
        <v>3.18</v>
      </c>
      <c r="V28" s="3">
        <v>0.41</v>
      </c>
      <c r="W28" s="3" t="s">
        <v>63</v>
      </c>
      <c r="X28" s="3" t="s">
        <v>85</v>
      </c>
      <c r="Y28" s="3">
        <v>0.11899999999999999</v>
      </c>
      <c r="Z28" s="3" t="s">
        <v>86</v>
      </c>
      <c r="AA28" s="3" t="s">
        <v>63</v>
      </c>
      <c r="AB28" s="3" t="s">
        <v>63</v>
      </c>
      <c r="AC28" s="3">
        <v>0.75</v>
      </c>
    </row>
    <row r="29" spans="2:51">
      <c r="B29" s="3">
        <v>190301</v>
      </c>
      <c r="C29" s="3" t="s">
        <v>51</v>
      </c>
      <c r="D29" s="1" t="s">
        <v>52</v>
      </c>
      <c r="E29" s="1" t="s">
        <v>53</v>
      </c>
      <c r="G29" s="3">
        <v>405000</v>
      </c>
      <c r="H29" s="3" t="s">
        <v>54</v>
      </c>
      <c r="I29" s="3">
        <v>315000</v>
      </c>
      <c r="J29" s="3">
        <v>4.3999999999999997E-2</v>
      </c>
      <c r="K29" s="3" t="s">
        <v>54</v>
      </c>
      <c r="L29" s="3">
        <v>336000</v>
      </c>
      <c r="M29" s="3">
        <v>93.6</v>
      </c>
      <c r="N29" s="3" t="s">
        <v>54</v>
      </c>
      <c r="O29" s="3">
        <v>4.2000000000000003E-2</v>
      </c>
      <c r="P29" s="3">
        <v>0.32</v>
      </c>
      <c r="Q29" s="3" t="s">
        <v>87</v>
      </c>
      <c r="R29" s="3" t="s">
        <v>69</v>
      </c>
      <c r="S29" s="3" t="s">
        <v>63</v>
      </c>
      <c r="T29" s="3">
        <v>14.4</v>
      </c>
      <c r="U29" s="3">
        <v>3.53</v>
      </c>
      <c r="V29" s="3">
        <v>1.6</v>
      </c>
      <c r="W29" s="3" t="s">
        <v>63</v>
      </c>
      <c r="X29" s="3" t="s">
        <v>88</v>
      </c>
      <c r="Y29" s="3">
        <v>0.105</v>
      </c>
      <c r="Z29" s="3">
        <v>0.69</v>
      </c>
      <c r="AA29" s="3">
        <v>4.9400000000000004</v>
      </c>
      <c r="AB29" s="3" t="s">
        <v>63</v>
      </c>
      <c r="AC29" s="3" t="s">
        <v>89</v>
      </c>
    </row>
    <row r="30" spans="2:51">
      <c r="B30" s="3">
        <v>190301</v>
      </c>
      <c r="C30" s="3" t="s">
        <v>51</v>
      </c>
      <c r="D30" s="1" t="s">
        <v>52</v>
      </c>
      <c r="E30" s="1" t="s">
        <v>53</v>
      </c>
      <c r="G30" s="3">
        <v>404000</v>
      </c>
      <c r="H30" s="3" t="s">
        <v>54</v>
      </c>
      <c r="I30" s="3">
        <v>313000</v>
      </c>
      <c r="J30" s="3" t="s">
        <v>90</v>
      </c>
      <c r="K30" s="3" t="s">
        <v>54</v>
      </c>
      <c r="L30" s="3">
        <v>337000</v>
      </c>
      <c r="M30" s="3">
        <v>57.5</v>
      </c>
      <c r="N30" s="3" t="s">
        <v>54</v>
      </c>
      <c r="O30" s="3" t="s">
        <v>90</v>
      </c>
      <c r="P30" s="3" t="s">
        <v>91</v>
      </c>
      <c r="Q30" s="3">
        <v>0.87</v>
      </c>
      <c r="R30" s="3" t="s">
        <v>92</v>
      </c>
      <c r="S30" s="3" t="s">
        <v>63</v>
      </c>
      <c r="T30" s="3">
        <v>11.7</v>
      </c>
      <c r="U30" s="3">
        <v>4.1100000000000003</v>
      </c>
      <c r="V30" s="3" t="s">
        <v>78</v>
      </c>
      <c r="W30" s="3" t="s">
        <v>63</v>
      </c>
      <c r="X30" s="3" t="s">
        <v>93</v>
      </c>
      <c r="Y30" s="3">
        <v>1.5299999999999999E-2</v>
      </c>
      <c r="Z30" s="3" t="s">
        <v>94</v>
      </c>
      <c r="AA30" s="3">
        <v>5.83</v>
      </c>
      <c r="AB30" s="3" t="s">
        <v>63</v>
      </c>
      <c r="AC30" s="3" t="s">
        <v>95</v>
      </c>
    </row>
    <row r="31" spans="2:51">
      <c r="B31" s="3">
        <v>190301</v>
      </c>
      <c r="C31" s="3" t="s">
        <v>51</v>
      </c>
      <c r="D31" s="1" t="s">
        <v>52</v>
      </c>
      <c r="E31" s="1" t="s">
        <v>53</v>
      </c>
      <c r="G31" s="3">
        <v>435000</v>
      </c>
      <c r="H31" s="3" t="s">
        <v>54</v>
      </c>
      <c r="I31" s="3">
        <v>318000</v>
      </c>
      <c r="J31" s="3">
        <v>0.34</v>
      </c>
      <c r="K31" s="3" t="s">
        <v>54</v>
      </c>
      <c r="L31" s="3">
        <v>333000</v>
      </c>
      <c r="M31" s="3">
        <v>68.900000000000006</v>
      </c>
      <c r="N31" s="3" t="s">
        <v>54</v>
      </c>
      <c r="O31" s="3" t="s">
        <v>96</v>
      </c>
      <c r="P31" s="3" t="s">
        <v>57</v>
      </c>
      <c r="Q31" s="3" t="s">
        <v>85</v>
      </c>
      <c r="R31" s="3" t="s">
        <v>97</v>
      </c>
      <c r="S31" s="3" t="s">
        <v>63</v>
      </c>
      <c r="T31" s="3">
        <v>13.5</v>
      </c>
      <c r="U31" s="3">
        <v>4.3099999999999996</v>
      </c>
      <c r="V31" s="3">
        <v>0.56000000000000005</v>
      </c>
      <c r="W31" s="3" t="s">
        <v>63</v>
      </c>
      <c r="X31" s="3">
        <v>1.23</v>
      </c>
      <c r="Y31" s="3">
        <v>7.6E-3</v>
      </c>
      <c r="Z31" s="3">
        <v>0.67</v>
      </c>
      <c r="AA31" s="3">
        <v>3.49</v>
      </c>
      <c r="AB31" s="3" t="s">
        <v>63</v>
      </c>
      <c r="AC31" s="3" t="s">
        <v>98</v>
      </c>
    </row>
    <row r="32" spans="2:51">
      <c r="B32" s="3">
        <v>190301</v>
      </c>
      <c r="C32" s="3" t="s">
        <v>51</v>
      </c>
      <c r="D32" s="1" t="s">
        <v>52</v>
      </c>
      <c r="E32" s="1" t="s">
        <v>53</v>
      </c>
      <c r="G32" s="3">
        <v>432000</v>
      </c>
      <c r="H32" s="3" t="s">
        <v>54</v>
      </c>
      <c r="I32" s="3">
        <v>311000</v>
      </c>
      <c r="J32" s="3">
        <v>0.33800000000000002</v>
      </c>
      <c r="K32" s="3" t="s">
        <v>54</v>
      </c>
      <c r="L32" s="3">
        <v>340000</v>
      </c>
      <c r="M32" s="3">
        <v>70.5</v>
      </c>
      <c r="N32" s="3" t="s">
        <v>54</v>
      </c>
      <c r="O32" s="3">
        <v>0.123</v>
      </c>
      <c r="P32" s="3" t="s">
        <v>94</v>
      </c>
      <c r="Q32" s="3" t="s">
        <v>99</v>
      </c>
      <c r="R32" s="3" t="s">
        <v>100</v>
      </c>
      <c r="S32" s="3" t="s">
        <v>63</v>
      </c>
      <c r="T32" s="3">
        <v>23.2</v>
      </c>
      <c r="U32" s="3">
        <v>4.95</v>
      </c>
      <c r="V32" s="3" t="s">
        <v>57</v>
      </c>
      <c r="W32" s="3" t="s">
        <v>63</v>
      </c>
      <c r="X32" s="3">
        <v>1.01</v>
      </c>
      <c r="Y32" s="3">
        <v>0.13900000000000001</v>
      </c>
      <c r="Z32" s="3" t="s">
        <v>82</v>
      </c>
      <c r="AA32" s="3">
        <v>45.6</v>
      </c>
      <c r="AB32" s="3" t="s">
        <v>63</v>
      </c>
      <c r="AC32" s="3" t="s">
        <v>101</v>
      </c>
    </row>
    <row r="33" spans="2:29">
      <c r="B33" s="3">
        <v>190301</v>
      </c>
      <c r="C33" s="3" t="s">
        <v>51</v>
      </c>
      <c r="D33" s="1" t="s">
        <v>52</v>
      </c>
      <c r="E33" s="1" t="s">
        <v>53</v>
      </c>
      <c r="G33" s="3">
        <v>407000</v>
      </c>
      <c r="H33" s="3">
        <v>7.86</v>
      </c>
      <c r="I33" s="3">
        <v>309000</v>
      </c>
      <c r="J33" s="3">
        <v>0.105</v>
      </c>
      <c r="K33" s="3" t="s">
        <v>54</v>
      </c>
      <c r="L33" s="3">
        <v>342000</v>
      </c>
      <c r="M33" s="3">
        <v>171</v>
      </c>
      <c r="N33" s="3" t="s">
        <v>54</v>
      </c>
      <c r="O33" s="3" t="s">
        <v>102</v>
      </c>
      <c r="P33" s="3" t="s">
        <v>103</v>
      </c>
      <c r="Q33" s="3">
        <v>0.74</v>
      </c>
      <c r="R33" s="3">
        <v>0.37</v>
      </c>
      <c r="S33" s="3">
        <v>281</v>
      </c>
      <c r="T33" s="3">
        <v>14.1</v>
      </c>
      <c r="U33" s="3">
        <v>3.95</v>
      </c>
      <c r="V33" s="3">
        <v>1.26</v>
      </c>
      <c r="W33" s="3">
        <v>50.4</v>
      </c>
      <c r="X33" s="3">
        <v>1.06</v>
      </c>
      <c r="Y33" s="3">
        <v>4.1000000000000002E-2</v>
      </c>
      <c r="Z33" s="3" t="s">
        <v>104</v>
      </c>
      <c r="AA33" s="3">
        <v>2.25</v>
      </c>
      <c r="AB33" s="3">
        <v>43.3</v>
      </c>
      <c r="AC33" s="3" t="s">
        <v>105</v>
      </c>
    </row>
    <row r="34" spans="2:29">
      <c r="B34" s="3">
        <v>190227</v>
      </c>
      <c r="C34" s="3" t="s">
        <v>51</v>
      </c>
      <c r="D34" s="2" t="s">
        <v>106</v>
      </c>
      <c r="E34" s="1" t="s">
        <v>53</v>
      </c>
      <c r="G34" s="3">
        <v>363000</v>
      </c>
      <c r="H34" s="3" t="s">
        <v>54</v>
      </c>
      <c r="I34" s="3">
        <v>315000</v>
      </c>
      <c r="J34" s="3">
        <v>0.1</v>
      </c>
      <c r="K34" s="3" t="s">
        <v>54</v>
      </c>
      <c r="L34" s="3">
        <v>335000</v>
      </c>
      <c r="M34" s="3">
        <v>65.8</v>
      </c>
      <c r="N34" s="3" t="s">
        <v>54</v>
      </c>
      <c r="O34" s="3" t="s">
        <v>60</v>
      </c>
      <c r="P34" s="3" t="s">
        <v>107</v>
      </c>
      <c r="Q34" s="3" t="s">
        <v>66</v>
      </c>
      <c r="R34" s="3" t="s">
        <v>108</v>
      </c>
      <c r="S34" s="3">
        <v>189</v>
      </c>
      <c r="T34" s="3">
        <v>8.0399999999999991</v>
      </c>
      <c r="U34" s="3">
        <v>1.29</v>
      </c>
      <c r="V34" s="3" t="s">
        <v>109</v>
      </c>
      <c r="W34" s="3" t="s">
        <v>63</v>
      </c>
      <c r="X34" s="3" t="s">
        <v>110</v>
      </c>
      <c r="Y34" s="3" t="s">
        <v>111</v>
      </c>
      <c r="Z34" s="3" t="s">
        <v>112</v>
      </c>
      <c r="AA34" s="3">
        <v>3.45</v>
      </c>
      <c r="AB34" s="3" t="s">
        <v>63</v>
      </c>
      <c r="AC34" s="3">
        <v>0.53</v>
      </c>
    </row>
    <row r="35" spans="2:29">
      <c r="B35" s="3">
        <v>190227</v>
      </c>
      <c r="C35" s="3" t="s">
        <v>51</v>
      </c>
      <c r="D35" s="2" t="s">
        <v>106</v>
      </c>
      <c r="E35" s="1" t="s">
        <v>53</v>
      </c>
      <c r="G35" s="3">
        <v>500000</v>
      </c>
      <c r="H35" s="3">
        <v>0.93</v>
      </c>
      <c r="I35" s="3">
        <v>303000</v>
      </c>
      <c r="J35" s="3">
        <v>0.13600000000000001</v>
      </c>
      <c r="K35" s="3" t="s">
        <v>54</v>
      </c>
      <c r="L35" s="3">
        <v>347000</v>
      </c>
      <c r="M35" s="3">
        <v>617</v>
      </c>
      <c r="N35" s="3" t="s">
        <v>54</v>
      </c>
      <c r="O35" s="3" t="s">
        <v>113</v>
      </c>
      <c r="P35" s="3">
        <v>17.3</v>
      </c>
      <c r="Q35" s="3" t="s">
        <v>114</v>
      </c>
      <c r="R35" s="3" t="s">
        <v>69</v>
      </c>
      <c r="S35" s="3">
        <v>240</v>
      </c>
      <c r="T35" s="3">
        <v>33.700000000000003</v>
      </c>
      <c r="U35" s="3">
        <v>5.28</v>
      </c>
      <c r="V35" s="3">
        <v>3.9</v>
      </c>
      <c r="W35" s="3">
        <v>15</v>
      </c>
      <c r="X35" s="3" t="s">
        <v>115</v>
      </c>
      <c r="Y35" s="3" t="s">
        <v>116</v>
      </c>
      <c r="Z35" s="3" t="s">
        <v>117</v>
      </c>
      <c r="AA35" s="3">
        <v>0.64</v>
      </c>
      <c r="AB35" s="3" t="s">
        <v>118</v>
      </c>
      <c r="AC35" s="3" t="s">
        <v>119</v>
      </c>
    </row>
    <row r="36" spans="2:29">
      <c r="B36" s="3">
        <v>190227</v>
      </c>
      <c r="C36" s="3" t="s">
        <v>51</v>
      </c>
      <c r="D36" s="2" t="s">
        <v>106</v>
      </c>
      <c r="E36" s="1" t="s">
        <v>53</v>
      </c>
      <c r="G36" s="3">
        <v>469000</v>
      </c>
      <c r="H36" s="3">
        <v>23.6</v>
      </c>
      <c r="I36" s="3">
        <v>305000</v>
      </c>
      <c r="J36" s="3">
        <v>0.13300000000000001</v>
      </c>
      <c r="K36" s="3" t="s">
        <v>54</v>
      </c>
      <c r="L36" s="3">
        <v>346000</v>
      </c>
      <c r="M36" s="3">
        <v>111</v>
      </c>
      <c r="N36" s="3" t="s">
        <v>54</v>
      </c>
      <c r="O36" s="3" t="s">
        <v>72</v>
      </c>
      <c r="P36" s="3">
        <v>13.1</v>
      </c>
      <c r="Q36" s="3" t="s">
        <v>120</v>
      </c>
      <c r="R36" s="3" t="s">
        <v>69</v>
      </c>
      <c r="S36" s="3">
        <v>161</v>
      </c>
      <c r="T36" s="3">
        <v>11.7</v>
      </c>
      <c r="U36" s="3">
        <v>2.3199999999999998</v>
      </c>
      <c r="V36" s="3" t="s">
        <v>61</v>
      </c>
      <c r="W36" s="3">
        <v>27.8</v>
      </c>
      <c r="X36" s="3" t="s">
        <v>110</v>
      </c>
      <c r="Y36" s="3" t="s">
        <v>121</v>
      </c>
      <c r="Z36" s="3" t="s">
        <v>122</v>
      </c>
      <c r="AA36" s="3">
        <v>2.84</v>
      </c>
      <c r="AB36" s="3" t="s">
        <v>63</v>
      </c>
      <c r="AC36" s="3" t="s">
        <v>123</v>
      </c>
    </row>
    <row r="37" spans="2:29">
      <c r="B37" s="3">
        <v>190301</v>
      </c>
      <c r="C37" s="3" t="s">
        <v>51</v>
      </c>
      <c r="D37" s="2" t="s">
        <v>106</v>
      </c>
      <c r="E37" s="1" t="s">
        <v>53</v>
      </c>
      <c r="G37" s="3">
        <v>402000</v>
      </c>
      <c r="H37" s="3">
        <v>1.61</v>
      </c>
      <c r="I37" s="3">
        <v>311000</v>
      </c>
      <c r="J37" s="3">
        <v>0.08</v>
      </c>
      <c r="K37" s="3" t="s">
        <v>54</v>
      </c>
      <c r="L37" s="3">
        <v>339000</v>
      </c>
      <c r="M37" s="3">
        <v>167</v>
      </c>
      <c r="N37" s="3" t="s">
        <v>54</v>
      </c>
      <c r="O37" s="3">
        <v>0.27</v>
      </c>
      <c r="P37" s="3">
        <v>0.39</v>
      </c>
      <c r="Q37" s="3" t="s">
        <v>85</v>
      </c>
      <c r="R37" s="3" t="s">
        <v>108</v>
      </c>
      <c r="S37" s="3">
        <v>211</v>
      </c>
      <c r="T37" s="3">
        <v>16.600000000000001</v>
      </c>
      <c r="U37" s="3">
        <v>4.84</v>
      </c>
      <c r="V37" s="3">
        <v>1.62</v>
      </c>
      <c r="W37" s="3">
        <v>10.9</v>
      </c>
      <c r="X37" s="3">
        <v>1.64</v>
      </c>
      <c r="Y37" s="3" t="s">
        <v>124</v>
      </c>
      <c r="Z37" s="3" t="s">
        <v>107</v>
      </c>
      <c r="AA37" s="3">
        <v>0.2</v>
      </c>
      <c r="AB37" s="3">
        <v>19.3</v>
      </c>
      <c r="AC37" s="3" t="s">
        <v>69</v>
      </c>
    </row>
    <row r="38" spans="2:29">
      <c r="B38" s="3">
        <v>190301</v>
      </c>
      <c r="C38" s="3" t="s">
        <v>51</v>
      </c>
      <c r="D38" s="2" t="s">
        <v>106</v>
      </c>
      <c r="E38" s="1" t="s">
        <v>53</v>
      </c>
      <c r="G38" s="3">
        <v>415000</v>
      </c>
      <c r="H38" s="3">
        <v>0.94</v>
      </c>
      <c r="I38" s="3">
        <v>307000</v>
      </c>
      <c r="J38" s="3" t="s">
        <v>125</v>
      </c>
      <c r="K38" s="3" t="s">
        <v>54</v>
      </c>
      <c r="L38" s="3">
        <v>345000</v>
      </c>
      <c r="M38" s="3">
        <v>242</v>
      </c>
      <c r="N38" s="3" t="s">
        <v>54</v>
      </c>
      <c r="O38" s="3" t="s">
        <v>126</v>
      </c>
      <c r="P38" s="3">
        <v>0.35</v>
      </c>
      <c r="Q38" s="3">
        <v>0.43</v>
      </c>
      <c r="R38" s="3" t="s">
        <v>127</v>
      </c>
      <c r="S38" s="3">
        <v>192</v>
      </c>
      <c r="T38" s="3">
        <v>15.6</v>
      </c>
      <c r="U38" s="3">
        <v>4.3899999999999997</v>
      </c>
      <c r="V38" s="3">
        <v>1.81</v>
      </c>
      <c r="W38" s="3">
        <v>1.61</v>
      </c>
      <c r="X38" s="3" t="s">
        <v>73</v>
      </c>
      <c r="Y38" s="3">
        <v>2.2499999999999999E-2</v>
      </c>
      <c r="Z38" s="3">
        <v>0.39</v>
      </c>
      <c r="AA38" s="3">
        <v>2.1999999999999999E-2</v>
      </c>
      <c r="AB38" s="3">
        <v>11.2</v>
      </c>
      <c r="AC38" s="3" t="s">
        <v>95</v>
      </c>
    </row>
    <row r="39" spans="2:29">
      <c r="B39" s="3">
        <v>190301</v>
      </c>
      <c r="C39" s="3" t="s">
        <v>51</v>
      </c>
      <c r="D39" s="2" t="s">
        <v>106</v>
      </c>
      <c r="E39" s="1" t="s">
        <v>53</v>
      </c>
      <c r="G39" s="3">
        <v>415000</v>
      </c>
      <c r="H39" s="3">
        <v>24.5</v>
      </c>
      <c r="I39" s="3">
        <v>313000</v>
      </c>
      <c r="J39" s="3">
        <v>0.13400000000000001</v>
      </c>
      <c r="K39" s="3" t="s">
        <v>54</v>
      </c>
      <c r="L39" s="3">
        <v>338000</v>
      </c>
      <c r="M39" s="3">
        <v>213</v>
      </c>
      <c r="N39" s="3" t="s">
        <v>54</v>
      </c>
      <c r="O39" s="3" t="s">
        <v>128</v>
      </c>
      <c r="P39" s="3" t="s">
        <v>78</v>
      </c>
      <c r="Q39" s="3" t="s">
        <v>129</v>
      </c>
      <c r="R39" s="3" t="s">
        <v>130</v>
      </c>
      <c r="S39" s="3">
        <v>220</v>
      </c>
      <c r="T39" s="3">
        <v>17.399999999999999</v>
      </c>
      <c r="U39" s="3">
        <v>4.5</v>
      </c>
      <c r="V39" s="3">
        <v>0.82</v>
      </c>
      <c r="W39" s="3">
        <v>9.3699999999999992</v>
      </c>
      <c r="X39" s="3" t="s">
        <v>114</v>
      </c>
      <c r="Y39" s="3">
        <v>3.5700000000000003E-2</v>
      </c>
      <c r="Z39" s="3" t="s">
        <v>131</v>
      </c>
      <c r="AA39" s="3">
        <v>0.25600000000000001</v>
      </c>
      <c r="AB39" s="3" t="s">
        <v>132</v>
      </c>
      <c r="AC39" s="3" t="s">
        <v>116</v>
      </c>
    </row>
    <row r="40" spans="2:29">
      <c r="B40" s="3">
        <v>190619</v>
      </c>
      <c r="C40" s="3" t="s">
        <v>133</v>
      </c>
      <c r="D40" s="2" t="s">
        <v>106</v>
      </c>
      <c r="E40" s="2" t="s">
        <v>134</v>
      </c>
      <c r="G40" s="3">
        <v>630000</v>
      </c>
      <c r="H40" s="3">
        <v>1.59</v>
      </c>
      <c r="I40" s="3">
        <v>623000</v>
      </c>
      <c r="J40" s="3">
        <v>69.599999999999994</v>
      </c>
      <c r="K40" s="3">
        <v>34.6</v>
      </c>
      <c r="L40" s="3" t="s">
        <v>108</v>
      </c>
      <c r="M40" s="3">
        <v>1.1599999999999999</v>
      </c>
      <c r="N40" s="3" t="s">
        <v>76</v>
      </c>
      <c r="O40" s="3" t="s">
        <v>135</v>
      </c>
      <c r="P40" s="3">
        <v>145</v>
      </c>
      <c r="Q40" s="3" t="s">
        <v>136</v>
      </c>
      <c r="R40" s="3" t="s">
        <v>54</v>
      </c>
      <c r="S40" s="3">
        <v>0.99</v>
      </c>
      <c r="T40" s="3">
        <v>7.1999999999999995E-2</v>
      </c>
      <c r="U40" s="3" t="s">
        <v>95</v>
      </c>
      <c r="V40" s="3">
        <v>0.20699999999999999</v>
      </c>
      <c r="W40" s="3">
        <v>0.46</v>
      </c>
      <c r="X40" s="3" t="s">
        <v>137</v>
      </c>
      <c r="Y40" s="3" t="s">
        <v>138</v>
      </c>
      <c r="Z40" s="3" t="s">
        <v>122</v>
      </c>
      <c r="AA40" s="3">
        <v>1.2999999999999999E-2</v>
      </c>
      <c r="AB40" s="3">
        <v>4.08</v>
      </c>
      <c r="AC40" s="3">
        <v>4.2999999999999997E-2</v>
      </c>
    </row>
    <row r="41" spans="2:29">
      <c r="B41" s="3">
        <v>190619</v>
      </c>
      <c r="C41" s="3" t="s">
        <v>133</v>
      </c>
      <c r="D41" s="2" t="s">
        <v>106</v>
      </c>
      <c r="E41" s="2" t="s">
        <v>134</v>
      </c>
      <c r="G41" s="3">
        <v>615000</v>
      </c>
      <c r="H41" s="3">
        <v>4.88</v>
      </c>
      <c r="I41" s="3">
        <v>623000</v>
      </c>
      <c r="J41" s="3">
        <v>61.5</v>
      </c>
      <c r="K41" s="3">
        <v>44.4</v>
      </c>
      <c r="L41" s="3" t="s">
        <v>92</v>
      </c>
      <c r="M41" s="3" t="s">
        <v>139</v>
      </c>
      <c r="N41" s="3" t="s">
        <v>76</v>
      </c>
      <c r="O41" s="3">
        <v>0.191</v>
      </c>
      <c r="P41" s="3">
        <v>147</v>
      </c>
      <c r="Q41" s="3" t="s">
        <v>140</v>
      </c>
      <c r="R41" s="3" t="s">
        <v>54</v>
      </c>
      <c r="S41" s="3">
        <v>1.52</v>
      </c>
      <c r="T41" s="3" t="s">
        <v>69</v>
      </c>
      <c r="U41" s="3" t="s">
        <v>95</v>
      </c>
      <c r="V41" s="3" t="s">
        <v>141</v>
      </c>
      <c r="W41" s="3" t="s">
        <v>87</v>
      </c>
      <c r="X41" s="3" t="s">
        <v>142</v>
      </c>
      <c r="Y41" s="3" t="s">
        <v>89</v>
      </c>
      <c r="Z41" s="3" t="s">
        <v>143</v>
      </c>
      <c r="AA41" s="3" t="s">
        <v>69</v>
      </c>
      <c r="AB41" s="3">
        <v>3.79</v>
      </c>
      <c r="AC41" s="3">
        <v>4.3999999999999997E-2</v>
      </c>
    </row>
    <row r="42" spans="2:29">
      <c r="B42" s="3">
        <v>190619</v>
      </c>
      <c r="C42" s="3" t="s">
        <v>133</v>
      </c>
      <c r="D42" s="2" t="s">
        <v>106</v>
      </c>
      <c r="E42" s="2" t="s">
        <v>134</v>
      </c>
      <c r="G42" s="3">
        <v>629000</v>
      </c>
      <c r="H42" s="3">
        <v>6.03</v>
      </c>
      <c r="I42" s="3">
        <v>623000</v>
      </c>
      <c r="J42" s="3">
        <v>61.8</v>
      </c>
      <c r="K42" s="3">
        <v>48.1</v>
      </c>
      <c r="L42" s="3" t="s">
        <v>144</v>
      </c>
      <c r="M42" s="3" t="s">
        <v>145</v>
      </c>
      <c r="N42" s="3" t="s">
        <v>146</v>
      </c>
      <c r="O42" s="3" t="s">
        <v>97</v>
      </c>
      <c r="P42" s="3">
        <v>148</v>
      </c>
      <c r="Q42" s="3" t="s">
        <v>140</v>
      </c>
      <c r="R42" s="3" t="s">
        <v>54</v>
      </c>
      <c r="S42" s="3">
        <v>0.48</v>
      </c>
      <c r="T42" s="3" t="s">
        <v>69</v>
      </c>
      <c r="U42" s="3" t="s">
        <v>116</v>
      </c>
      <c r="V42" s="3">
        <v>0.192</v>
      </c>
      <c r="W42" s="3" t="s">
        <v>147</v>
      </c>
      <c r="X42" s="3" t="s">
        <v>148</v>
      </c>
      <c r="Y42" s="3" t="s">
        <v>149</v>
      </c>
      <c r="Z42" s="3" t="s">
        <v>150</v>
      </c>
      <c r="AA42" s="3" t="s">
        <v>69</v>
      </c>
      <c r="AB42" s="3">
        <v>2.09</v>
      </c>
      <c r="AC42" s="3" t="s">
        <v>69</v>
      </c>
    </row>
    <row r="43" spans="2:29">
      <c r="B43" s="3">
        <v>190619</v>
      </c>
      <c r="C43" s="3" t="s">
        <v>133</v>
      </c>
      <c r="D43" s="2" t="s">
        <v>106</v>
      </c>
      <c r="E43" s="2" t="s">
        <v>134</v>
      </c>
      <c r="G43" s="3">
        <v>564000</v>
      </c>
      <c r="H43" s="3">
        <v>5.93</v>
      </c>
      <c r="I43" s="3">
        <v>623000</v>
      </c>
      <c r="J43" s="3">
        <v>56.3</v>
      </c>
      <c r="K43" s="3">
        <v>54.6</v>
      </c>
      <c r="L43" s="3" t="s">
        <v>144</v>
      </c>
      <c r="M43" s="3" t="s">
        <v>139</v>
      </c>
      <c r="N43" s="3" t="s">
        <v>151</v>
      </c>
      <c r="O43" s="3" t="s">
        <v>102</v>
      </c>
      <c r="P43" s="3">
        <v>111</v>
      </c>
      <c r="Q43" s="3">
        <v>1.45</v>
      </c>
      <c r="R43" s="3" t="s">
        <v>54</v>
      </c>
      <c r="S43" s="3">
        <v>1.27</v>
      </c>
      <c r="T43" s="3" t="s">
        <v>152</v>
      </c>
      <c r="U43" s="3">
        <v>2.1000000000000001E-2</v>
      </c>
      <c r="V43" s="3" t="s">
        <v>102</v>
      </c>
      <c r="W43" s="3" t="s">
        <v>71</v>
      </c>
      <c r="X43" s="3" t="s">
        <v>153</v>
      </c>
      <c r="Y43" s="3" t="s">
        <v>154</v>
      </c>
      <c r="Z43" s="3" t="s">
        <v>110</v>
      </c>
      <c r="AA43" s="3" t="s">
        <v>69</v>
      </c>
      <c r="AB43" s="3">
        <v>4.13</v>
      </c>
      <c r="AC43" s="3" t="s">
        <v>69</v>
      </c>
    </row>
    <row r="44" spans="2:29">
      <c r="B44" s="3">
        <v>190619</v>
      </c>
      <c r="C44" s="3" t="s">
        <v>133</v>
      </c>
      <c r="D44" s="2" t="s">
        <v>106</v>
      </c>
      <c r="E44" s="2" t="s">
        <v>134</v>
      </c>
      <c r="G44" s="3">
        <v>596000</v>
      </c>
      <c r="H44" s="3">
        <v>5.28</v>
      </c>
      <c r="I44" s="3">
        <v>623000</v>
      </c>
      <c r="J44" s="3">
        <v>60.6</v>
      </c>
      <c r="K44" s="3">
        <v>46.4</v>
      </c>
      <c r="L44" s="3" t="s">
        <v>144</v>
      </c>
      <c r="M44" s="3" t="s">
        <v>93</v>
      </c>
      <c r="N44" s="3" t="s">
        <v>155</v>
      </c>
      <c r="O44" s="3" t="s">
        <v>141</v>
      </c>
      <c r="P44" s="3">
        <v>151</v>
      </c>
      <c r="Q44" s="3" t="s">
        <v>140</v>
      </c>
      <c r="R44" s="3" t="s">
        <v>54</v>
      </c>
      <c r="S44" s="3">
        <v>0.64</v>
      </c>
      <c r="T44" s="3" t="s">
        <v>69</v>
      </c>
      <c r="U44" s="3" t="s">
        <v>116</v>
      </c>
      <c r="V44" s="3">
        <v>0.13700000000000001</v>
      </c>
      <c r="W44" s="3" t="s">
        <v>71</v>
      </c>
      <c r="X44" s="3" t="s">
        <v>142</v>
      </c>
      <c r="Y44" s="3" t="s">
        <v>59</v>
      </c>
      <c r="Z44" s="3" t="s">
        <v>156</v>
      </c>
      <c r="AA44" s="3">
        <v>1.6E-2</v>
      </c>
      <c r="AB44" s="3">
        <v>2.36</v>
      </c>
      <c r="AC44" s="3" t="s">
        <v>157</v>
      </c>
    </row>
    <row r="45" spans="2:29">
      <c r="B45" s="3">
        <v>190228</v>
      </c>
      <c r="C45" s="3" t="s">
        <v>158</v>
      </c>
      <c r="D45" s="2" t="s">
        <v>106</v>
      </c>
      <c r="E45" s="2" t="s">
        <v>159</v>
      </c>
      <c r="G45" s="3">
        <v>400000</v>
      </c>
      <c r="H45" s="3">
        <v>142</v>
      </c>
      <c r="I45" s="3">
        <v>623000</v>
      </c>
      <c r="J45" s="3">
        <v>186</v>
      </c>
      <c r="K45" s="3" t="s">
        <v>54</v>
      </c>
      <c r="L45" s="3">
        <v>666</v>
      </c>
      <c r="M45" s="3">
        <v>0.81</v>
      </c>
      <c r="N45" s="3" t="s">
        <v>54</v>
      </c>
      <c r="O45" s="3">
        <v>0.68200000000000005</v>
      </c>
      <c r="P45" s="3">
        <v>8.1199999999999992</v>
      </c>
      <c r="Q45" s="3" t="s">
        <v>60</v>
      </c>
      <c r="R45" s="3">
        <v>0.21099999999999999</v>
      </c>
      <c r="S45" s="3">
        <v>993</v>
      </c>
      <c r="T45" s="3">
        <v>5.42</v>
      </c>
      <c r="U45" s="3" t="s">
        <v>160</v>
      </c>
      <c r="V45" s="3">
        <v>9.1999999999999998E-2</v>
      </c>
      <c r="W45" s="3">
        <v>1380</v>
      </c>
      <c r="X45" s="3" t="s">
        <v>130</v>
      </c>
      <c r="Y45" s="3" t="s">
        <v>161</v>
      </c>
      <c r="Z45" s="3">
        <v>0.63</v>
      </c>
      <c r="AA45" s="3">
        <v>29.2</v>
      </c>
      <c r="AB45" s="3">
        <v>2400</v>
      </c>
      <c r="AC45" s="3">
        <v>1.0200000000000001E-2</v>
      </c>
    </row>
    <row r="46" spans="2:29">
      <c r="B46" s="3">
        <v>190228</v>
      </c>
      <c r="C46" s="3" t="s">
        <v>158</v>
      </c>
      <c r="D46" s="2" t="s">
        <v>106</v>
      </c>
      <c r="E46" s="2" t="s">
        <v>159</v>
      </c>
      <c r="G46" s="3">
        <v>414000</v>
      </c>
      <c r="H46" s="3">
        <v>172</v>
      </c>
      <c r="I46" s="3">
        <v>623000</v>
      </c>
      <c r="J46" s="3">
        <v>133</v>
      </c>
      <c r="K46" s="3" t="s">
        <v>54</v>
      </c>
      <c r="L46" s="3">
        <v>209</v>
      </c>
      <c r="M46" s="3">
        <v>0.8</v>
      </c>
      <c r="N46" s="3" t="s">
        <v>54</v>
      </c>
      <c r="O46" s="3">
        <v>1.08</v>
      </c>
      <c r="P46" s="3">
        <v>9.44</v>
      </c>
      <c r="Q46" s="3" t="s">
        <v>97</v>
      </c>
      <c r="R46" s="3">
        <v>1.23</v>
      </c>
      <c r="S46" s="3">
        <v>642</v>
      </c>
      <c r="T46" s="3">
        <v>6.43</v>
      </c>
      <c r="U46" s="3">
        <v>4.7999999999999996E-3</v>
      </c>
      <c r="V46" s="3" t="s">
        <v>80</v>
      </c>
      <c r="W46" s="3">
        <v>1900</v>
      </c>
      <c r="X46" s="3" t="s">
        <v>162</v>
      </c>
      <c r="Y46" s="3" t="s">
        <v>163</v>
      </c>
      <c r="Z46" s="3">
        <v>0.34</v>
      </c>
      <c r="AA46" s="3">
        <v>41.4</v>
      </c>
      <c r="AB46" s="3">
        <v>3700</v>
      </c>
      <c r="AC46" s="3">
        <v>1.17E-2</v>
      </c>
    </row>
    <row r="47" spans="2:29">
      <c r="B47" s="3">
        <v>190228</v>
      </c>
      <c r="C47" s="3" t="s">
        <v>158</v>
      </c>
      <c r="D47" s="2" t="s">
        <v>106</v>
      </c>
      <c r="E47" s="2" t="s">
        <v>159</v>
      </c>
      <c r="G47" s="3">
        <v>374000</v>
      </c>
      <c r="H47" s="3">
        <v>179</v>
      </c>
      <c r="I47" s="3">
        <v>623000</v>
      </c>
      <c r="J47" s="3">
        <v>181</v>
      </c>
      <c r="K47" s="3" t="s">
        <v>54</v>
      </c>
      <c r="L47" s="3">
        <v>291</v>
      </c>
      <c r="M47" s="3">
        <v>1.62</v>
      </c>
      <c r="N47" s="3" t="s">
        <v>54</v>
      </c>
      <c r="O47" s="3">
        <v>0.83699999999999997</v>
      </c>
      <c r="P47" s="3">
        <v>6.77</v>
      </c>
      <c r="Q47" s="3" t="s">
        <v>60</v>
      </c>
      <c r="R47" s="3">
        <v>0.33</v>
      </c>
      <c r="S47" s="3">
        <v>893</v>
      </c>
      <c r="T47" s="3">
        <v>6.33</v>
      </c>
      <c r="U47" s="3">
        <v>4.0000000000000001E-3</v>
      </c>
      <c r="V47" s="3">
        <v>8.6999999999999994E-2</v>
      </c>
      <c r="W47" s="3">
        <v>1480</v>
      </c>
      <c r="X47" s="3" t="s">
        <v>164</v>
      </c>
      <c r="Y47" s="3" t="s">
        <v>165</v>
      </c>
      <c r="Z47" s="3">
        <v>0.68</v>
      </c>
      <c r="AA47" s="3">
        <v>43.2</v>
      </c>
      <c r="AB47" s="3">
        <v>2570</v>
      </c>
      <c r="AC47" s="3" t="s">
        <v>163</v>
      </c>
    </row>
    <row r="48" spans="2:29">
      <c r="B48" s="3">
        <v>190228</v>
      </c>
      <c r="C48" s="3" t="s">
        <v>158</v>
      </c>
      <c r="D48" s="2" t="s">
        <v>106</v>
      </c>
      <c r="E48" s="2" t="s">
        <v>159</v>
      </c>
      <c r="G48" s="3">
        <v>384000</v>
      </c>
      <c r="H48" s="3">
        <v>167</v>
      </c>
      <c r="I48" s="3">
        <v>623000</v>
      </c>
      <c r="J48" s="3">
        <v>113</v>
      </c>
      <c r="K48" s="3" t="s">
        <v>54</v>
      </c>
      <c r="L48" s="3">
        <v>258</v>
      </c>
      <c r="M48" s="3">
        <v>0.56000000000000005</v>
      </c>
      <c r="N48" s="3" t="s">
        <v>54</v>
      </c>
      <c r="O48" s="3">
        <v>0.64500000000000002</v>
      </c>
      <c r="P48" s="3">
        <v>9.14</v>
      </c>
      <c r="Q48" s="3">
        <v>0.26</v>
      </c>
      <c r="R48" s="3">
        <v>0.22</v>
      </c>
      <c r="S48" s="3">
        <v>680</v>
      </c>
      <c r="T48" s="3">
        <v>4.37</v>
      </c>
      <c r="U48" s="3">
        <v>3.27E-2</v>
      </c>
      <c r="V48" s="3">
        <v>0.19500000000000001</v>
      </c>
      <c r="W48" s="3">
        <v>1370</v>
      </c>
      <c r="X48" s="3" t="s">
        <v>56</v>
      </c>
      <c r="Y48" s="3" t="s">
        <v>166</v>
      </c>
      <c r="Z48" s="3">
        <v>0.8</v>
      </c>
      <c r="AA48" s="3">
        <v>25.8</v>
      </c>
      <c r="AB48" s="3">
        <v>2690</v>
      </c>
      <c r="AC48" s="3" t="s">
        <v>167</v>
      </c>
    </row>
    <row r="49" spans="2:51">
      <c r="B49" s="3">
        <v>190227</v>
      </c>
      <c r="C49" s="3" t="s">
        <v>51</v>
      </c>
      <c r="D49" s="1" t="s">
        <v>52</v>
      </c>
      <c r="E49" s="1" t="s">
        <v>168</v>
      </c>
      <c r="G49" s="3">
        <v>273000</v>
      </c>
      <c r="H49" s="3" t="s">
        <v>54</v>
      </c>
      <c r="I49" s="3">
        <v>55900</v>
      </c>
      <c r="J49" s="3">
        <v>2.72</v>
      </c>
      <c r="K49" s="3" t="s">
        <v>54</v>
      </c>
      <c r="L49" s="3">
        <v>141000</v>
      </c>
      <c r="M49" s="3">
        <v>3410</v>
      </c>
      <c r="N49" s="3" t="s">
        <v>54</v>
      </c>
      <c r="O49" s="4">
        <v>1.92</v>
      </c>
      <c r="P49" s="3">
        <v>1.33</v>
      </c>
      <c r="Q49" s="3" t="s">
        <v>169</v>
      </c>
      <c r="R49" s="3" t="s">
        <v>63</v>
      </c>
      <c r="S49" s="3">
        <v>350000</v>
      </c>
      <c r="T49" s="3">
        <v>2270</v>
      </c>
      <c r="U49" s="3" t="s">
        <v>170</v>
      </c>
      <c r="V49" s="3">
        <v>2.19</v>
      </c>
      <c r="W49" s="3">
        <v>227000</v>
      </c>
      <c r="X49" s="3">
        <v>0.70699999999999996</v>
      </c>
      <c r="Y49" s="4">
        <v>0.96</v>
      </c>
      <c r="Z49" s="3">
        <v>0.496</v>
      </c>
      <c r="AA49" s="3">
        <v>3.61</v>
      </c>
      <c r="AB49" s="3" t="s">
        <v>63</v>
      </c>
      <c r="AC49" s="3">
        <v>2.64E-3</v>
      </c>
      <c r="AH49" s="14">
        <f>G49/32.066</f>
        <v>8513.6905133162836</v>
      </c>
      <c r="AI49" s="3">
        <f>I49/55.845</f>
        <v>1000.9848688333781</v>
      </c>
      <c r="AJ49" s="3">
        <f>L49/63.546</f>
        <v>2218.8650741195356</v>
      </c>
      <c r="AK49" s="3">
        <f>M49/65.39</f>
        <v>52.148646582046183</v>
      </c>
      <c r="AL49" s="3">
        <f>S49/107.87</f>
        <v>3244.6463335496428</v>
      </c>
      <c r="AM49" s="3">
        <f>T49/112.41</f>
        <v>20.193932924117071</v>
      </c>
      <c r="AN49" s="3">
        <f>W49/121.76</f>
        <v>1864.3232588699079</v>
      </c>
      <c r="AP49" s="3">
        <f>16/SUM(AI49:AN49)</f>
        <v>1.9044984231007373E-3</v>
      </c>
      <c r="AR49" s="13">
        <f>AH49*$AP49</f>
        <v>16.21431015737857</v>
      </c>
      <c r="AS49" s="12">
        <f>AI49*$AP49</f>
        <v>1.9063741042408668</v>
      </c>
      <c r="AT49" s="12">
        <f t="shared" ref="AT49:AX59" si="0">AJ49*$AP49</f>
        <v>4.2258250347339565</v>
      </c>
      <c r="AU49" s="12">
        <f t="shared" si="0"/>
        <v>9.9317015182344606E-2</v>
      </c>
      <c r="AV49" s="12">
        <f t="shared" si="0"/>
        <v>6.1794238257648839</v>
      </c>
      <c r="AW49" s="12">
        <f t="shared" si="0"/>
        <v>3.8459313410183021E-2</v>
      </c>
      <c r="AX49" s="12">
        <f t="shared" si="0"/>
        <v>3.5506007066677672</v>
      </c>
      <c r="AY49" s="3">
        <v>13</v>
      </c>
    </row>
    <row r="50" spans="2:51">
      <c r="B50" s="3">
        <v>190227</v>
      </c>
      <c r="C50" s="3" t="s">
        <v>51</v>
      </c>
      <c r="D50" s="1" t="s">
        <v>52</v>
      </c>
      <c r="E50" s="1" t="s">
        <v>168</v>
      </c>
      <c r="G50" s="3">
        <v>274000</v>
      </c>
      <c r="H50" s="3">
        <v>43.4</v>
      </c>
      <c r="I50" s="3">
        <v>52000</v>
      </c>
      <c r="J50" s="3">
        <v>16.600000000000001</v>
      </c>
      <c r="K50" s="3" t="s">
        <v>54</v>
      </c>
      <c r="L50" s="3">
        <v>143000</v>
      </c>
      <c r="M50" s="3">
        <v>11200</v>
      </c>
      <c r="N50" s="3" t="s">
        <v>54</v>
      </c>
      <c r="O50" s="4">
        <v>0.113</v>
      </c>
      <c r="P50" s="3">
        <v>4.62</v>
      </c>
      <c r="Q50" s="3" t="s">
        <v>102</v>
      </c>
      <c r="R50" s="3" t="s">
        <v>171</v>
      </c>
      <c r="S50" s="3">
        <v>348000</v>
      </c>
      <c r="T50" s="3">
        <v>1530</v>
      </c>
      <c r="U50" s="3" t="s">
        <v>170</v>
      </c>
      <c r="V50" s="3">
        <v>0.44900000000000001</v>
      </c>
      <c r="W50" s="3">
        <v>225000</v>
      </c>
      <c r="X50" s="3" t="s">
        <v>78</v>
      </c>
      <c r="Y50" s="4">
        <v>9.8100000000000007E-2</v>
      </c>
      <c r="Z50" s="3">
        <v>0.47499999999999998</v>
      </c>
      <c r="AA50" s="3">
        <v>0.443</v>
      </c>
      <c r="AB50" s="3" t="s">
        <v>63</v>
      </c>
      <c r="AC50" s="3">
        <v>0.126</v>
      </c>
      <c r="AH50" s="14">
        <f t="shared" ref="AH50:AH59" si="1">G50/32.066</f>
        <v>8544.8761928522417</v>
      </c>
      <c r="AI50" s="3">
        <f t="shared" ref="AI50:AI59" si="2">I50/55.845</f>
        <v>931.14871519384008</v>
      </c>
      <c r="AJ50" s="3">
        <f t="shared" ref="AJ50:AJ59" si="3">L50/63.546</f>
        <v>2250.3383375822241</v>
      </c>
      <c r="AK50" s="3">
        <f t="shared" ref="AK50:AK59" si="4">M50/65.39</f>
        <v>171.28001223428657</v>
      </c>
      <c r="AL50" s="3">
        <f t="shared" ref="AL50:AL59" si="5">S50/107.87</f>
        <v>3226.1054973579307</v>
      </c>
      <c r="AM50" s="3">
        <f t="shared" ref="AM50:AM59" si="6">T50/112.41</f>
        <v>13.610888710968775</v>
      </c>
      <c r="AN50" s="3">
        <f t="shared" ref="AN50:AN59" si="7">W50/121.76</f>
        <v>1847.8975032851511</v>
      </c>
      <c r="AP50" s="3">
        <f t="shared" ref="AP50:AP59" si="8">16/SUM(AI50:AN50)</f>
        <v>1.8956490336762145E-3</v>
      </c>
      <c r="AR50" s="13">
        <f t="shared" ref="AR50:AR59" si="9">AH50*$AP50</f>
        <v>16.198086297863242</v>
      </c>
      <c r="AS50" s="12">
        <f t="shared" ref="AS50:AS59" si="10">AI50*$AP50</f>
        <v>1.7651311621660517</v>
      </c>
      <c r="AT50" s="12">
        <f t="shared" si="0"/>
        <v>4.265851695082282</v>
      </c>
      <c r="AU50" s="12">
        <f t="shared" si="0"/>
        <v>0.32468678967997555</v>
      </c>
      <c r="AV50" s="12">
        <f t="shared" si="0"/>
        <v>6.1155637686040851</v>
      </c>
      <c r="AW50" s="12">
        <f t="shared" si="0"/>
        <v>2.5801468032422455E-2</v>
      </c>
      <c r="AX50" s="12">
        <f t="shared" si="0"/>
        <v>3.502965116435186</v>
      </c>
      <c r="AY50" s="3">
        <v>13</v>
      </c>
    </row>
    <row r="51" spans="2:51">
      <c r="B51" s="3">
        <v>190227</v>
      </c>
      <c r="C51" s="3" t="s">
        <v>51</v>
      </c>
      <c r="D51" s="1" t="s">
        <v>52</v>
      </c>
      <c r="E51" s="1" t="s">
        <v>168</v>
      </c>
      <c r="G51" s="3">
        <v>298000</v>
      </c>
      <c r="H51" s="3" t="s">
        <v>54</v>
      </c>
      <c r="I51" s="3">
        <v>64600</v>
      </c>
      <c r="J51" s="3">
        <v>7.59</v>
      </c>
      <c r="K51" s="3" t="s">
        <v>54</v>
      </c>
      <c r="L51" s="3">
        <v>141000</v>
      </c>
      <c r="M51" s="3">
        <v>8120</v>
      </c>
      <c r="N51" s="3" t="s">
        <v>54</v>
      </c>
      <c r="O51" s="4">
        <v>1.99</v>
      </c>
      <c r="P51" s="3">
        <v>10.4</v>
      </c>
      <c r="Q51" s="3" t="s">
        <v>56</v>
      </c>
      <c r="R51" s="3">
        <v>0.18099999999999999</v>
      </c>
      <c r="S51" s="3">
        <v>343000</v>
      </c>
      <c r="T51" s="3">
        <v>2490</v>
      </c>
      <c r="U51" s="3" t="s">
        <v>170</v>
      </c>
      <c r="V51" s="3">
        <v>3.34</v>
      </c>
      <c r="W51" s="3">
        <v>220000</v>
      </c>
      <c r="X51" s="3">
        <v>1.71</v>
      </c>
      <c r="Y51" s="4">
        <v>7.5</v>
      </c>
      <c r="Z51" s="3">
        <v>1.82</v>
      </c>
      <c r="AA51" s="3">
        <v>9.91</v>
      </c>
      <c r="AB51" s="3" t="s">
        <v>63</v>
      </c>
      <c r="AC51" s="3">
        <v>0.19</v>
      </c>
      <c r="AH51" s="14">
        <f t="shared" si="1"/>
        <v>9293.332501715211</v>
      </c>
      <c r="AI51" s="3">
        <f t="shared" si="2"/>
        <v>1156.7732115677322</v>
      </c>
      <c r="AJ51" s="3">
        <f t="shared" si="3"/>
        <v>2218.8650741195356</v>
      </c>
      <c r="AK51" s="3">
        <f t="shared" si="4"/>
        <v>124.17800886985778</v>
      </c>
      <c r="AL51" s="3">
        <f t="shared" si="5"/>
        <v>3179.7534068786499</v>
      </c>
      <c r="AM51" s="3">
        <f t="shared" si="6"/>
        <v>22.151054176674673</v>
      </c>
      <c r="AN51" s="3">
        <f t="shared" si="7"/>
        <v>1806.8331143232588</v>
      </c>
      <c r="AP51" s="3">
        <f t="shared" si="8"/>
        <v>1.8804605629324054E-3</v>
      </c>
      <c r="AR51" s="13">
        <f t="shared" si="9"/>
        <v>17.475745267693405</v>
      </c>
      <c r="AS51" s="12">
        <f t="shared" si="10"/>
        <v>2.175266404609784</v>
      </c>
      <c r="AT51" s="12">
        <f t="shared" si="0"/>
        <v>4.172488266349875</v>
      </c>
      <c r="AU51" s="12">
        <f t="shared" si="0"/>
        <v>0.23351184846323797</v>
      </c>
      <c r="AV51" s="12">
        <f t="shared" si="0"/>
        <v>5.9794008814852599</v>
      </c>
      <c r="AW51" s="12">
        <f t="shared" si="0"/>
        <v>4.1654183806615869E-2</v>
      </c>
      <c r="AX51" s="12">
        <f t="shared" si="0"/>
        <v>3.3976784152852262</v>
      </c>
      <c r="AY51" s="3">
        <v>13</v>
      </c>
    </row>
    <row r="52" spans="2:51">
      <c r="B52" s="3">
        <v>190301</v>
      </c>
      <c r="C52" s="3" t="s">
        <v>51</v>
      </c>
      <c r="D52" s="1" t="s">
        <v>52</v>
      </c>
      <c r="E52" s="1" t="s">
        <v>168</v>
      </c>
      <c r="G52" s="3">
        <v>247000</v>
      </c>
      <c r="H52" s="3">
        <v>57.9</v>
      </c>
      <c r="I52" s="3">
        <v>49500</v>
      </c>
      <c r="J52" s="3">
        <v>3.12</v>
      </c>
      <c r="K52" s="3" t="s">
        <v>54</v>
      </c>
      <c r="L52" s="3">
        <v>140000</v>
      </c>
      <c r="M52" s="3">
        <v>11400</v>
      </c>
      <c r="N52" s="3" t="s">
        <v>54</v>
      </c>
      <c r="O52" s="4">
        <v>0.46400000000000002</v>
      </c>
      <c r="P52" s="3">
        <v>18.600000000000001</v>
      </c>
      <c r="Q52" s="3">
        <v>0.13400000000000001</v>
      </c>
      <c r="R52" s="3">
        <v>0.54700000000000004</v>
      </c>
      <c r="S52" s="3">
        <v>347000</v>
      </c>
      <c r="T52" s="3">
        <v>3020</v>
      </c>
      <c r="U52" s="3" t="s">
        <v>170</v>
      </c>
      <c r="V52" s="3">
        <v>3.86</v>
      </c>
      <c r="W52" s="3">
        <v>231000</v>
      </c>
      <c r="X52" s="3">
        <v>0.22700000000000001</v>
      </c>
      <c r="Y52" s="4">
        <v>0.82899999999999996</v>
      </c>
      <c r="Z52" s="3">
        <v>0.433</v>
      </c>
      <c r="AA52" s="3">
        <v>16.399999999999999</v>
      </c>
      <c r="AB52" s="3" t="s">
        <v>63</v>
      </c>
      <c r="AC52" s="3">
        <v>1.2500000000000001E-2</v>
      </c>
      <c r="AH52" s="14">
        <f t="shared" si="1"/>
        <v>7702.8628453813999</v>
      </c>
      <c r="AI52" s="3">
        <f t="shared" si="2"/>
        <v>886.38195004029012</v>
      </c>
      <c r="AJ52" s="3">
        <f t="shared" si="3"/>
        <v>2203.1284423881912</v>
      </c>
      <c r="AK52" s="3">
        <f t="shared" si="4"/>
        <v>174.33858388132742</v>
      </c>
      <c r="AL52" s="3">
        <f t="shared" si="5"/>
        <v>3216.8350792620745</v>
      </c>
      <c r="AM52" s="3">
        <f t="shared" si="6"/>
        <v>26.865937194199805</v>
      </c>
      <c r="AN52" s="3">
        <f t="shared" si="7"/>
        <v>1897.1747700394217</v>
      </c>
      <c r="AP52" s="3">
        <f t="shared" si="8"/>
        <v>1.9036911322553752E-3</v>
      </c>
      <c r="AR52" s="13">
        <f t="shared" si="9"/>
        <v>14.663871691731979</v>
      </c>
      <c r="AS52" s="12">
        <f t="shared" si="10"/>
        <v>1.6873974580829272</v>
      </c>
      <c r="AT52" s="12">
        <f t="shared" si="0"/>
        <v>4.194076078993997</v>
      </c>
      <c r="AU52" s="12">
        <f t="shared" si="0"/>
        <v>0.33188681614484289</v>
      </c>
      <c r="AV52" s="12">
        <f t="shared" si="0"/>
        <v>6.1238604143192283</v>
      </c>
      <c r="AW52" s="12">
        <f t="shared" si="0"/>
        <v>5.1144446396328022E-2</v>
      </c>
      <c r="AX52" s="12">
        <f t="shared" si="0"/>
        <v>3.6116347860626776</v>
      </c>
      <c r="AY52" s="3">
        <v>13</v>
      </c>
    </row>
    <row r="53" spans="2:51">
      <c r="B53" s="3">
        <v>190301</v>
      </c>
      <c r="C53" s="3" t="s">
        <v>51</v>
      </c>
      <c r="D53" s="1" t="s">
        <v>52</v>
      </c>
      <c r="E53" s="1" t="s">
        <v>168</v>
      </c>
      <c r="G53" s="3">
        <v>242000</v>
      </c>
      <c r="H53" s="3">
        <v>21.6</v>
      </c>
      <c r="I53" s="3">
        <v>48200</v>
      </c>
      <c r="J53" s="3">
        <v>18.5</v>
      </c>
      <c r="K53" s="3" t="s">
        <v>54</v>
      </c>
      <c r="L53" s="3">
        <v>137000</v>
      </c>
      <c r="M53" s="3">
        <v>12200</v>
      </c>
      <c r="N53" s="3" t="s">
        <v>54</v>
      </c>
      <c r="O53" s="4">
        <v>1.27</v>
      </c>
      <c r="P53" s="3">
        <v>1.1299999999999999</v>
      </c>
      <c r="Q53" s="3" t="s">
        <v>56</v>
      </c>
      <c r="R53" s="3" t="s">
        <v>63</v>
      </c>
      <c r="S53" s="3">
        <v>351000</v>
      </c>
      <c r="T53" s="3">
        <v>2580</v>
      </c>
      <c r="U53" s="3" t="s">
        <v>170</v>
      </c>
      <c r="V53" s="3">
        <v>80.2</v>
      </c>
      <c r="W53" s="3">
        <v>231000</v>
      </c>
      <c r="X53" s="3" t="s">
        <v>64</v>
      </c>
      <c r="Y53" s="4">
        <v>0.161</v>
      </c>
      <c r="Z53" s="3">
        <v>0.749</v>
      </c>
      <c r="AA53" s="3">
        <v>1.2</v>
      </c>
      <c r="AB53" s="3" t="s">
        <v>63</v>
      </c>
      <c r="AC53" s="3">
        <v>1.35E-2</v>
      </c>
      <c r="AH53" s="14">
        <f t="shared" si="1"/>
        <v>7546.9344477016148</v>
      </c>
      <c r="AI53" s="3">
        <f t="shared" si="2"/>
        <v>863.10323216044412</v>
      </c>
      <c r="AJ53" s="3">
        <f t="shared" si="3"/>
        <v>2155.9185471941587</v>
      </c>
      <c r="AK53" s="3">
        <f t="shared" si="4"/>
        <v>186.57287046949074</v>
      </c>
      <c r="AL53" s="3">
        <f t="shared" si="5"/>
        <v>3253.9167516454991</v>
      </c>
      <c r="AM53" s="3">
        <f t="shared" si="6"/>
        <v>22.951694689084601</v>
      </c>
      <c r="AN53" s="3">
        <f t="shared" si="7"/>
        <v>1897.1747700394217</v>
      </c>
      <c r="AP53" s="3">
        <f t="shared" si="8"/>
        <v>1.9093903884010342E-3</v>
      </c>
      <c r="AR53" s="13">
        <f t="shared" si="9"/>
        <v>14.410044096334131</v>
      </c>
      <c r="AS53" s="12">
        <f t="shared" si="10"/>
        <v>1.6480010156850184</v>
      </c>
      <c r="AT53" s="12">
        <f t="shared" si="0"/>
        <v>4.1164901521880477</v>
      </c>
      <c r="AU53" s="12">
        <f t="shared" si="0"/>
        <v>0.35624044561083673</v>
      </c>
      <c r="AV53" s="12">
        <f t="shared" si="0"/>
        <v>6.2129973702490311</v>
      </c>
      <c r="AW53" s="12">
        <f t="shared" si="0"/>
        <v>4.3823745236853201E-2</v>
      </c>
      <c r="AX53" s="12">
        <f t="shared" si="0"/>
        <v>3.622447271030214</v>
      </c>
      <c r="AY53" s="3">
        <v>13</v>
      </c>
    </row>
    <row r="54" spans="2:51">
      <c r="B54" s="3">
        <v>190301</v>
      </c>
      <c r="C54" s="3" t="s">
        <v>51</v>
      </c>
      <c r="D54" s="1" t="s">
        <v>52</v>
      </c>
      <c r="E54" s="1" t="s">
        <v>168</v>
      </c>
      <c r="G54" s="3">
        <v>308000</v>
      </c>
      <c r="H54" s="3">
        <v>116</v>
      </c>
      <c r="I54" s="3">
        <v>70300</v>
      </c>
      <c r="J54" s="3">
        <v>5.85</v>
      </c>
      <c r="K54" s="3" t="s">
        <v>54</v>
      </c>
      <c r="L54" s="3">
        <v>148000</v>
      </c>
      <c r="M54" s="3">
        <v>6280</v>
      </c>
      <c r="N54" s="3" t="s">
        <v>54</v>
      </c>
      <c r="O54" s="4">
        <v>2.06</v>
      </c>
      <c r="P54" s="3">
        <v>7.38</v>
      </c>
      <c r="Q54" s="3" t="s">
        <v>100</v>
      </c>
      <c r="R54" s="3">
        <v>0.77</v>
      </c>
      <c r="S54" s="3">
        <v>311000</v>
      </c>
      <c r="T54" s="3">
        <v>2700</v>
      </c>
      <c r="U54" s="3" t="s">
        <v>170</v>
      </c>
      <c r="V54" s="3">
        <v>1.94</v>
      </c>
      <c r="W54" s="3">
        <v>238000</v>
      </c>
      <c r="X54" s="3">
        <v>1.1399999999999999</v>
      </c>
      <c r="Y54" s="4">
        <v>2.35</v>
      </c>
      <c r="Z54" s="3" t="s">
        <v>172</v>
      </c>
      <c r="AA54" s="3">
        <v>14.2</v>
      </c>
      <c r="AB54" s="3" t="s">
        <v>63</v>
      </c>
      <c r="AC54" s="3">
        <v>1.7399999999999999E-2</v>
      </c>
      <c r="AH54" s="14">
        <f t="shared" si="1"/>
        <v>9605.1892970747831</v>
      </c>
      <c r="AI54" s="3">
        <f t="shared" si="2"/>
        <v>1258.8414361178261</v>
      </c>
      <c r="AJ54" s="3">
        <f t="shared" si="3"/>
        <v>2329.021496238945</v>
      </c>
      <c r="AK54" s="3">
        <f t="shared" si="4"/>
        <v>96.039149717082125</v>
      </c>
      <c r="AL54" s="3">
        <f t="shared" si="5"/>
        <v>2883.1000278112542</v>
      </c>
      <c r="AM54" s="3">
        <f t="shared" si="6"/>
        <v>24.01921537229784</v>
      </c>
      <c r="AN54" s="3">
        <f t="shared" si="7"/>
        <v>1954.6649145860708</v>
      </c>
      <c r="AP54" s="3">
        <f t="shared" si="8"/>
        <v>1.8722896618180843E-3</v>
      </c>
      <c r="AR54" s="13">
        <f t="shared" si="9"/>
        <v>17.983696620718828</v>
      </c>
      <c r="AS54" s="12">
        <f t="shared" si="10"/>
        <v>2.3569158067116365</v>
      </c>
      <c r="AT54" s="12">
        <f t="shared" si="0"/>
        <v>4.360602869560263</v>
      </c>
      <c r="AU54" s="12">
        <f t="shared" si="0"/>
        <v>0.17981310714509208</v>
      </c>
      <c r="AV54" s="12">
        <f t="shared" si="0"/>
        <v>5.3979983760584425</v>
      </c>
      <c r="AW54" s="12">
        <f t="shared" si="0"/>
        <v>4.4970928626535255E-2</v>
      </c>
      <c r="AX54" s="12">
        <f t="shared" si="0"/>
        <v>3.6596989118980292</v>
      </c>
      <c r="AY54" s="3">
        <v>13</v>
      </c>
    </row>
    <row r="55" spans="2:51">
      <c r="B55" s="3">
        <v>190301</v>
      </c>
      <c r="C55" s="3" t="s">
        <v>51</v>
      </c>
      <c r="D55" s="1" t="s">
        <v>52</v>
      </c>
      <c r="E55" s="1" t="s">
        <v>168</v>
      </c>
      <c r="G55" s="3">
        <v>250000</v>
      </c>
      <c r="H55" s="3">
        <v>21.9</v>
      </c>
      <c r="I55" s="3">
        <v>51300</v>
      </c>
      <c r="J55" s="3">
        <v>6.01</v>
      </c>
      <c r="K55" s="3" t="s">
        <v>54</v>
      </c>
      <c r="L55" s="3">
        <v>142000</v>
      </c>
      <c r="M55" s="3">
        <v>11400</v>
      </c>
      <c r="N55" s="3" t="s">
        <v>54</v>
      </c>
      <c r="O55" s="4">
        <v>0.33400000000000002</v>
      </c>
      <c r="P55" s="3">
        <v>2.37</v>
      </c>
      <c r="Q55" s="3" t="s">
        <v>97</v>
      </c>
      <c r="R55" s="3">
        <v>0.16500000000000001</v>
      </c>
      <c r="S55" s="3">
        <v>344000</v>
      </c>
      <c r="T55" s="3">
        <v>2200</v>
      </c>
      <c r="U55" s="3" t="s">
        <v>170</v>
      </c>
      <c r="V55" s="3">
        <v>11.4</v>
      </c>
      <c r="W55" s="3">
        <v>230000</v>
      </c>
      <c r="X55" s="3" t="s">
        <v>100</v>
      </c>
      <c r="Y55" s="4" t="s">
        <v>173</v>
      </c>
      <c r="Z55" s="3">
        <v>0.61799999999999999</v>
      </c>
      <c r="AA55" s="3">
        <v>0.78300000000000003</v>
      </c>
      <c r="AB55" s="3" t="s">
        <v>174</v>
      </c>
      <c r="AC55" s="3">
        <v>4.1200000000000001E-2</v>
      </c>
      <c r="AH55" s="14">
        <f t="shared" si="1"/>
        <v>7796.4198839892715</v>
      </c>
      <c r="AI55" s="3">
        <f t="shared" si="2"/>
        <v>918.61402095084611</v>
      </c>
      <c r="AJ55" s="3">
        <f t="shared" si="3"/>
        <v>2234.6017058508796</v>
      </c>
      <c r="AK55" s="3">
        <f t="shared" si="4"/>
        <v>174.33858388132742</v>
      </c>
      <c r="AL55" s="3">
        <f t="shared" si="5"/>
        <v>3189.0238249745062</v>
      </c>
      <c r="AM55" s="3">
        <f t="shared" si="6"/>
        <v>19.571212525576016</v>
      </c>
      <c r="AN55" s="3">
        <f t="shared" si="7"/>
        <v>1888.9618922470434</v>
      </c>
      <c r="AP55" s="3">
        <f t="shared" si="8"/>
        <v>1.8990847175073091E-3</v>
      </c>
      <c r="AR55" s="13">
        <f t="shared" si="9"/>
        <v>14.806061852954134</v>
      </c>
      <c r="AS55" s="12">
        <f t="shared" si="10"/>
        <v>1.7445258484756909</v>
      </c>
      <c r="AT55" s="12">
        <f t="shared" si="0"/>
        <v>4.2436979492971689</v>
      </c>
      <c r="AU55" s="12">
        <f t="shared" si="0"/>
        <v>0.33108374032089499</v>
      </c>
      <c r="AV55" s="12">
        <f t="shared" si="0"/>
        <v>6.0562264097757881</v>
      </c>
      <c r="AW55" s="12">
        <f t="shared" si="0"/>
        <v>3.7167390610409037E-2</v>
      </c>
      <c r="AX55" s="12">
        <f t="shared" si="0"/>
        <v>3.5872986615200482</v>
      </c>
      <c r="AY55" s="3">
        <v>13</v>
      </c>
    </row>
    <row r="56" spans="2:51">
      <c r="B56" s="3">
        <v>190301</v>
      </c>
      <c r="C56" s="3" t="s">
        <v>51</v>
      </c>
      <c r="D56" s="1" t="s">
        <v>52</v>
      </c>
      <c r="E56" s="1" t="s">
        <v>168</v>
      </c>
      <c r="G56" s="3">
        <v>223000</v>
      </c>
      <c r="H56" s="3">
        <v>27</v>
      </c>
      <c r="I56" s="3">
        <v>49000</v>
      </c>
      <c r="J56" s="3">
        <v>11.8</v>
      </c>
      <c r="K56" s="3" t="s">
        <v>54</v>
      </c>
      <c r="L56" s="3">
        <v>134000</v>
      </c>
      <c r="M56" s="3">
        <v>9680</v>
      </c>
      <c r="N56" s="3" t="s">
        <v>54</v>
      </c>
      <c r="O56" s="4">
        <v>0.66300000000000003</v>
      </c>
      <c r="P56" s="3">
        <v>2.4</v>
      </c>
      <c r="Q56" s="3" t="s">
        <v>108</v>
      </c>
      <c r="R56" s="3" t="s">
        <v>175</v>
      </c>
      <c r="S56" s="3">
        <v>359000</v>
      </c>
      <c r="T56" s="3">
        <v>2350</v>
      </c>
      <c r="U56" s="3" t="s">
        <v>170</v>
      </c>
      <c r="V56" s="3">
        <v>6.62</v>
      </c>
      <c r="W56" s="3">
        <v>229000</v>
      </c>
      <c r="X56" s="3">
        <v>0.71599999999999997</v>
      </c>
      <c r="Y56" s="4">
        <v>58</v>
      </c>
      <c r="Z56" s="3">
        <v>0.76600000000000001</v>
      </c>
      <c r="AA56" s="3">
        <v>5.21</v>
      </c>
      <c r="AB56" s="3" t="s">
        <v>63</v>
      </c>
      <c r="AC56" s="3">
        <v>4.8399999999999999E-2</v>
      </c>
      <c r="AH56" s="14">
        <f t="shared" si="1"/>
        <v>6954.4065365184306</v>
      </c>
      <c r="AI56" s="3">
        <f t="shared" si="2"/>
        <v>877.42859700958013</v>
      </c>
      <c r="AJ56" s="3">
        <f t="shared" si="3"/>
        <v>2108.7086520001258</v>
      </c>
      <c r="AK56" s="3">
        <f t="shared" si="4"/>
        <v>148.03486771677626</v>
      </c>
      <c r="AL56" s="3">
        <f t="shared" si="5"/>
        <v>3328.0800964123482</v>
      </c>
      <c r="AM56" s="3">
        <f t="shared" si="6"/>
        <v>20.905613379592562</v>
      </c>
      <c r="AN56" s="3">
        <f t="shared" si="7"/>
        <v>1880.7490144546648</v>
      </c>
      <c r="AP56" s="3">
        <f t="shared" si="8"/>
        <v>1.9129816130446643E-3</v>
      </c>
      <c r="AR56" s="13">
        <f t="shared" si="9"/>
        <v>13.303651833997385</v>
      </c>
      <c r="AS56" s="12">
        <f t="shared" si="10"/>
        <v>1.6785047728389033</v>
      </c>
      <c r="AT56" s="12">
        <f t="shared" si="0"/>
        <v>4.03392087854444</v>
      </c>
      <c r="AU56" s="12">
        <f t="shared" si="0"/>
        <v>0.28318798003169215</v>
      </c>
      <c r="AV56" s="12">
        <f t="shared" si="0"/>
        <v>6.366556031176736</v>
      </c>
      <c r="AW56" s="12">
        <f t="shared" si="0"/>
        <v>3.9992054004581098E-2</v>
      </c>
      <c r="AX56" s="12">
        <f t="shared" si="0"/>
        <v>3.5978382834036475</v>
      </c>
      <c r="AY56" s="3">
        <v>13</v>
      </c>
    </row>
    <row r="57" spans="2:51">
      <c r="B57" s="3">
        <v>190301</v>
      </c>
      <c r="C57" s="3" t="s">
        <v>51</v>
      </c>
      <c r="D57" s="1" t="s">
        <v>52</v>
      </c>
      <c r="E57" s="1" t="s">
        <v>168</v>
      </c>
      <c r="G57" s="3">
        <v>289000</v>
      </c>
      <c r="H57" s="3">
        <v>77.3</v>
      </c>
      <c r="I57" s="3">
        <v>68500</v>
      </c>
      <c r="J57" s="3">
        <v>12.1</v>
      </c>
      <c r="K57" s="3" t="s">
        <v>54</v>
      </c>
      <c r="L57" s="3">
        <v>164000</v>
      </c>
      <c r="M57" s="3">
        <v>12000</v>
      </c>
      <c r="N57" s="3" t="s">
        <v>54</v>
      </c>
      <c r="O57" s="4">
        <v>0.27200000000000002</v>
      </c>
      <c r="P57" s="3">
        <v>11.8</v>
      </c>
      <c r="Q57" s="3" t="s">
        <v>72</v>
      </c>
      <c r="R57" s="3">
        <v>0.3</v>
      </c>
      <c r="S57" s="3">
        <v>406000</v>
      </c>
      <c r="T57" s="3">
        <v>3020</v>
      </c>
      <c r="U57" s="3" t="s">
        <v>170</v>
      </c>
      <c r="V57" s="3">
        <v>2.21</v>
      </c>
      <c r="W57" s="3">
        <v>257000</v>
      </c>
      <c r="X57" s="3">
        <v>0.56499999999999995</v>
      </c>
      <c r="Y57" s="4">
        <v>5.68</v>
      </c>
      <c r="Z57" s="3">
        <v>0.38500000000000001</v>
      </c>
      <c r="AA57" s="3">
        <v>16.100000000000001</v>
      </c>
      <c r="AB57" s="3" t="s">
        <v>63</v>
      </c>
      <c r="AC57" s="3" t="s">
        <v>176</v>
      </c>
      <c r="AH57" s="14">
        <f t="shared" si="1"/>
        <v>9012.6613858915971</v>
      </c>
      <c r="AI57" s="3">
        <f t="shared" si="2"/>
        <v>1226.6093652072702</v>
      </c>
      <c r="AJ57" s="3">
        <f t="shared" si="3"/>
        <v>2580.8076039404527</v>
      </c>
      <c r="AK57" s="3">
        <f t="shared" si="4"/>
        <v>183.51429882244992</v>
      </c>
      <c r="AL57" s="3">
        <f t="shared" si="5"/>
        <v>3763.7897469175859</v>
      </c>
      <c r="AM57" s="3">
        <f t="shared" si="6"/>
        <v>26.865937194199805</v>
      </c>
      <c r="AN57" s="3">
        <f t="shared" si="7"/>
        <v>2110.7095926412612</v>
      </c>
      <c r="AP57" s="3">
        <f t="shared" si="8"/>
        <v>1.6174201741389132E-3</v>
      </c>
      <c r="AR57" s="13">
        <f t="shared" si="9"/>
        <v>14.577260348223845</v>
      </c>
      <c r="AS57" s="12">
        <f t="shared" si="10"/>
        <v>1.9839427330739647</v>
      </c>
      <c r="AT57" s="12">
        <f t="shared" si="0"/>
        <v>4.1742502841843985</v>
      </c>
      <c r="AU57" s="12">
        <f t="shared" si="0"/>
        <v>0.2968197291583875</v>
      </c>
      <c r="AV57" s="12">
        <f t="shared" si="0"/>
        <v>6.0876294678816976</v>
      </c>
      <c r="AW57" s="12">
        <f t="shared" si="0"/>
        <v>4.3453508815047753E-2</v>
      </c>
      <c r="AX57" s="12">
        <f t="shared" si="0"/>
        <v>3.4139042768865031</v>
      </c>
      <c r="AY57" s="3">
        <v>13</v>
      </c>
    </row>
    <row r="58" spans="2:51">
      <c r="B58" s="3">
        <v>190301</v>
      </c>
      <c r="C58" s="3" t="s">
        <v>51</v>
      </c>
      <c r="D58" s="1" t="s">
        <v>52</v>
      </c>
      <c r="E58" s="1" t="s">
        <v>168</v>
      </c>
      <c r="G58" s="3">
        <v>236000</v>
      </c>
      <c r="H58" s="3">
        <v>17.2</v>
      </c>
      <c r="I58" s="3">
        <v>53500</v>
      </c>
      <c r="J58" s="3">
        <v>0.50900000000000001</v>
      </c>
      <c r="K58" s="3" t="s">
        <v>54</v>
      </c>
      <c r="L58" s="3">
        <v>137000</v>
      </c>
      <c r="M58" s="3">
        <v>11300</v>
      </c>
      <c r="N58" s="3" t="s">
        <v>54</v>
      </c>
      <c r="O58" s="4">
        <v>0.27200000000000002</v>
      </c>
      <c r="P58" s="3">
        <v>4.0199999999999996</v>
      </c>
      <c r="Q58" s="3">
        <v>0.376</v>
      </c>
      <c r="R58" s="3" t="s">
        <v>128</v>
      </c>
      <c r="S58" s="3">
        <v>350000</v>
      </c>
      <c r="T58" s="3">
        <v>2770</v>
      </c>
      <c r="U58" s="3" t="s">
        <v>170</v>
      </c>
      <c r="V58" s="3">
        <v>2.2000000000000002</v>
      </c>
      <c r="W58" s="3">
        <v>226000</v>
      </c>
      <c r="X58" s="3" t="s">
        <v>91</v>
      </c>
      <c r="Y58" s="4">
        <v>0.90500000000000003</v>
      </c>
      <c r="Z58" s="3">
        <v>0.80400000000000005</v>
      </c>
      <c r="AA58" s="3">
        <v>5.42</v>
      </c>
      <c r="AB58" s="3">
        <v>169</v>
      </c>
      <c r="AC58" s="3" t="s">
        <v>177</v>
      </c>
      <c r="AH58" s="14">
        <f t="shared" si="1"/>
        <v>7359.8203704858724</v>
      </c>
      <c r="AI58" s="3">
        <f t="shared" si="2"/>
        <v>958.00877428597016</v>
      </c>
      <c r="AJ58" s="3">
        <f t="shared" si="3"/>
        <v>2155.9185471941587</v>
      </c>
      <c r="AK58" s="3">
        <f t="shared" si="4"/>
        <v>172.80929805780701</v>
      </c>
      <c r="AL58" s="3">
        <f t="shared" si="5"/>
        <v>3244.6463335496428</v>
      </c>
      <c r="AM58" s="3">
        <f t="shared" si="6"/>
        <v>24.641935770838895</v>
      </c>
      <c r="AN58" s="3">
        <f t="shared" si="7"/>
        <v>1856.1103810775294</v>
      </c>
      <c r="AP58" s="3">
        <f t="shared" si="8"/>
        <v>1.9020141125383765E-3</v>
      </c>
      <c r="AR58" s="13">
        <f t="shared" si="9"/>
        <v>13.998482210411552</v>
      </c>
      <c r="AS58" s="12">
        <f t="shared" si="10"/>
        <v>1.8221462086275073</v>
      </c>
      <c r="AT58" s="12">
        <f t="shared" si="0"/>
        <v>4.1005875022465235</v>
      </c>
      <c r="AU58" s="12">
        <f t="shared" si="0"/>
        <v>0.32868572368379961</v>
      </c>
      <c r="AV58" s="12">
        <f t="shared" si="0"/>
        <v>6.1713631166073206</v>
      </c>
      <c r="AW58" s="12">
        <f t="shared" si="0"/>
        <v>4.6869309596399816E-2</v>
      </c>
      <c r="AX58" s="12">
        <f t="shared" si="0"/>
        <v>3.5303481392384448</v>
      </c>
      <c r="AY58" s="3">
        <v>13</v>
      </c>
    </row>
    <row r="59" spans="2:51">
      <c r="B59" s="3">
        <v>190301</v>
      </c>
      <c r="C59" s="3" t="s">
        <v>51</v>
      </c>
      <c r="D59" s="1" t="s">
        <v>52</v>
      </c>
      <c r="E59" s="1" t="s">
        <v>168</v>
      </c>
      <c r="G59" s="3">
        <v>256000</v>
      </c>
      <c r="H59" s="3">
        <v>20.9</v>
      </c>
      <c r="I59" s="3">
        <v>51400</v>
      </c>
      <c r="J59" s="3">
        <v>5.63</v>
      </c>
      <c r="K59" s="3" t="s">
        <v>54</v>
      </c>
      <c r="L59" s="3">
        <v>144000</v>
      </c>
      <c r="M59" s="3">
        <v>11500</v>
      </c>
      <c r="N59" s="3" t="s">
        <v>54</v>
      </c>
      <c r="O59" s="4">
        <v>1.94</v>
      </c>
      <c r="P59" s="3">
        <v>3.91</v>
      </c>
      <c r="Q59" s="3" t="s">
        <v>135</v>
      </c>
      <c r="R59" s="3">
        <v>0.20300000000000001</v>
      </c>
      <c r="S59" s="3">
        <v>331000</v>
      </c>
      <c r="T59" s="3">
        <v>3230</v>
      </c>
      <c r="U59" s="3" t="s">
        <v>170</v>
      </c>
      <c r="V59" s="3">
        <v>77.900000000000006</v>
      </c>
      <c r="W59" s="3">
        <v>239000</v>
      </c>
      <c r="X59" s="3">
        <v>0.25900000000000001</v>
      </c>
      <c r="Y59" s="4">
        <v>7.8799999999999999E-3</v>
      </c>
      <c r="Z59" s="3" t="s">
        <v>92</v>
      </c>
      <c r="AA59" s="3">
        <v>6.06</v>
      </c>
      <c r="AB59" s="3">
        <v>132</v>
      </c>
      <c r="AC59" s="3" t="s">
        <v>63</v>
      </c>
      <c r="AH59" s="14">
        <f t="shared" si="1"/>
        <v>7983.5339612050138</v>
      </c>
      <c r="AI59" s="3">
        <f t="shared" si="2"/>
        <v>920.40469155698815</v>
      </c>
      <c r="AJ59" s="3">
        <f t="shared" si="3"/>
        <v>2266.0749693135681</v>
      </c>
      <c r="AK59" s="3">
        <f t="shared" si="4"/>
        <v>175.86786970484783</v>
      </c>
      <c r="AL59" s="3">
        <f t="shared" si="5"/>
        <v>3068.5083897283766</v>
      </c>
      <c r="AM59" s="3">
        <f t="shared" si="6"/>
        <v>28.734098389822972</v>
      </c>
      <c r="AN59" s="3">
        <f t="shared" si="7"/>
        <v>1962.8777923784494</v>
      </c>
      <c r="AP59" s="3">
        <f t="shared" si="8"/>
        <v>1.8996807537770147E-3</v>
      </c>
      <c r="AR59" s="13">
        <f t="shared" si="9"/>
        <v>15.166165813226337</v>
      </c>
      <c r="AS59" s="12">
        <f t="shared" si="10"/>
        <v>1.7484750782368801</v>
      </c>
      <c r="AT59" s="12">
        <f t="shared" si="0"/>
        <v>4.3048190058208249</v>
      </c>
      <c r="AU59" s="12">
        <f t="shared" si="0"/>
        <v>0.33409280728606316</v>
      </c>
      <c r="AV59" s="12">
        <f t="shared" si="0"/>
        <v>5.8291863307702965</v>
      </c>
      <c r="AW59" s="12">
        <f t="shared" si="0"/>
        <v>5.4585613688281805E-2</v>
      </c>
      <c r="AX59" s="12">
        <f t="shared" si="0"/>
        <v>3.7288411641976551</v>
      </c>
      <c r="AY59" s="3">
        <v>13</v>
      </c>
    </row>
    <row r="60" spans="2:51">
      <c r="AH60" s="14"/>
      <c r="AR60" s="13"/>
      <c r="AS60" s="12"/>
      <c r="AT60" s="12"/>
      <c r="AU60" s="12"/>
      <c r="AV60" s="12"/>
      <c r="AW60" s="12"/>
      <c r="AX60" s="12"/>
    </row>
    <row r="61" spans="2:51">
      <c r="C61" s="3" t="s">
        <v>51</v>
      </c>
      <c r="D61" s="1" t="s">
        <v>52</v>
      </c>
      <c r="E61" s="15" t="s">
        <v>178</v>
      </c>
      <c r="G61" s="3">
        <v>202000</v>
      </c>
      <c r="I61" s="3">
        <v>45400</v>
      </c>
      <c r="L61" s="3">
        <v>127000</v>
      </c>
      <c r="S61" s="3">
        <v>364400</v>
      </c>
      <c r="W61" s="3">
        <v>261100</v>
      </c>
      <c r="AH61" s="14">
        <f t="shared" ref="AH61:AH64" si="11">G61/32.066</f>
        <v>6299.5072662633311</v>
      </c>
      <c r="AI61" s="3">
        <f t="shared" ref="AI61:AI64" si="12">I61/55.845</f>
        <v>812.96445518846815</v>
      </c>
      <c r="AJ61" s="3">
        <f t="shared" ref="AJ61:AJ64" si="13">L61/63.546</f>
        <v>1998.5522298807164</v>
      </c>
      <c r="AK61" s="3">
        <f t="shared" ref="AK61:AK64" si="14">M61/65.39</f>
        <v>0</v>
      </c>
      <c r="AL61" s="3">
        <f t="shared" ref="AL61:AL64" si="15">S61/107.87</f>
        <v>3378.140354129971</v>
      </c>
      <c r="AM61" s="3">
        <f t="shared" ref="AM61:AM64" si="16">T61/112.41</f>
        <v>0</v>
      </c>
      <c r="AN61" s="3">
        <f t="shared" ref="AN61:AN64" si="17">W61/121.76</f>
        <v>2144.382391590013</v>
      </c>
      <c r="AP61" s="3">
        <f t="shared" ref="AP61:AP64" si="18">16/SUM(AI61:AN61)</f>
        <v>1.9198373289295708E-3</v>
      </c>
      <c r="AR61" s="13">
        <f t="shared" ref="AR61:AR64" si="19">AH61*$AP61</f>
        <v>12.094029203635417</v>
      </c>
      <c r="AS61" s="12">
        <f t="shared" ref="AS61:AS64" si="20">AI61*$AP61</f>
        <v>1.5607595081637125</v>
      </c>
      <c r="AT61" s="12">
        <f t="shared" ref="AT61:AT64" si="21">AJ61*$AP61</f>
        <v>3.8368951747404321</v>
      </c>
      <c r="AU61" s="12">
        <f t="shared" ref="AU61:AU64" si="22">AK61*$AP61</f>
        <v>0</v>
      </c>
      <c r="AV61" s="12">
        <f t="shared" ref="AV61:AV64" si="23">AL61*$AP61</f>
        <v>6.485479954222078</v>
      </c>
      <c r="AW61" s="12">
        <f t="shared" ref="AW61:AW64" si="24">AM61*$AP61</f>
        <v>0</v>
      </c>
      <c r="AX61" s="12">
        <f t="shared" ref="AX61:AX64" si="25">AN61*$AP61</f>
        <v>4.1168653628737752</v>
      </c>
      <c r="AY61" s="3">
        <v>13</v>
      </c>
    </row>
    <row r="62" spans="2:51">
      <c r="C62" s="3" t="s">
        <v>51</v>
      </c>
      <c r="D62" s="1" t="s">
        <v>52</v>
      </c>
      <c r="E62" s="15" t="s">
        <v>179</v>
      </c>
      <c r="G62" s="3">
        <v>206900</v>
      </c>
      <c r="I62" s="3">
        <v>47100</v>
      </c>
      <c r="L62" s="3">
        <v>135500</v>
      </c>
      <c r="S62" s="3">
        <v>338300</v>
      </c>
      <c r="W62" s="3">
        <v>272200</v>
      </c>
      <c r="AH62" s="14">
        <f t="shared" si="11"/>
        <v>6452.3170959895215</v>
      </c>
      <c r="AI62" s="3">
        <f t="shared" si="12"/>
        <v>843.4058554928821</v>
      </c>
      <c r="AJ62" s="3">
        <f t="shared" si="13"/>
        <v>2132.3135995971425</v>
      </c>
      <c r="AK62" s="3">
        <f t="shared" si="14"/>
        <v>0</v>
      </c>
      <c r="AL62" s="3">
        <f t="shared" si="15"/>
        <v>3136.1824418281262</v>
      </c>
      <c r="AM62" s="3">
        <f t="shared" si="16"/>
        <v>0</v>
      </c>
      <c r="AN62" s="3">
        <f t="shared" si="17"/>
        <v>2235.5453350854136</v>
      </c>
      <c r="AP62" s="3">
        <f t="shared" si="18"/>
        <v>1.9167536559748532E-3</v>
      </c>
      <c r="AR62" s="13">
        <f t="shared" si="19"/>
        <v>12.367502383246963</v>
      </c>
      <c r="AS62" s="12">
        <f t="shared" si="20"/>
        <v>1.6166012569865804</v>
      </c>
      <c r="AT62" s="12">
        <f t="shared" si="21"/>
        <v>4.0871198877127224</v>
      </c>
      <c r="AU62" s="12">
        <f t="shared" si="22"/>
        <v>0</v>
      </c>
      <c r="AV62" s="12">
        <f t="shared" si="23"/>
        <v>6.0112891611782029</v>
      </c>
      <c r="AW62" s="12">
        <f t="shared" si="24"/>
        <v>0</v>
      </c>
      <c r="AX62" s="12">
        <f t="shared" si="25"/>
        <v>4.284989694122495</v>
      </c>
      <c r="AY62" s="3">
        <v>13</v>
      </c>
    </row>
    <row r="63" spans="2:51">
      <c r="C63" s="3" t="s">
        <v>51</v>
      </c>
      <c r="D63" s="1" t="s">
        <v>52</v>
      </c>
      <c r="E63" s="15" t="s">
        <v>180</v>
      </c>
      <c r="G63" s="3">
        <v>191700.00000000003</v>
      </c>
      <c r="I63" s="3">
        <v>48700</v>
      </c>
      <c r="L63" s="3">
        <v>136700</v>
      </c>
      <c r="M63" s="3">
        <v>9200</v>
      </c>
      <c r="S63" s="3">
        <v>330500</v>
      </c>
      <c r="W63" s="3">
        <v>283100</v>
      </c>
      <c r="AH63" s="14">
        <f t="shared" si="11"/>
        <v>5978.2947670429739</v>
      </c>
      <c r="AI63" s="3">
        <f t="shared" si="12"/>
        <v>872.05658519115411</v>
      </c>
      <c r="AJ63" s="3">
        <f t="shared" si="13"/>
        <v>2151.1975576747554</v>
      </c>
      <c r="AK63" s="3">
        <f t="shared" si="14"/>
        <v>140.69429576387827</v>
      </c>
      <c r="AL63" s="3">
        <f t="shared" si="15"/>
        <v>3063.8731806804485</v>
      </c>
      <c r="AM63" s="3">
        <f t="shared" si="16"/>
        <v>0</v>
      </c>
      <c r="AN63" s="3">
        <f t="shared" si="17"/>
        <v>2325.0657030223388</v>
      </c>
      <c r="AP63" s="3">
        <f t="shared" si="18"/>
        <v>1.8707132921326058E-3</v>
      </c>
      <c r="AR63" s="13">
        <f t="shared" si="19"/>
        <v>11.183675484994092</v>
      </c>
      <c r="AS63" s="12">
        <f t="shared" si="20"/>
        <v>1.6313678454088623</v>
      </c>
      <c r="AT63" s="12">
        <f t="shared" si="21"/>
        <v>4.0242738651453633</v>
      </c>
      <c r="AU63" s="12">
        <f t="shared" si="22"/>
        <v>0.26319868921272327</v>
      </c>
      <c r="AV63" s="12">
        <f t="shared" si="23"/>
        <v>5.7316282845075204</v>
      </c>
      <c r="AW63" s="12">
        <f t="shared" si="24"/>
        <v>0</v>
      </c>
      <c r="AX63" s="12">
        <f t="shared" si="25"/>
        <v>4.3495313157255309</v>
      </c>
      <c r="AY63" s="3">
        <v>13</v>
      </c>
    </row>
    <row r="64" spans="2:51" ht="15">
      <c r="C64" s="3" t="s">
        <v>51</v>
      </c>
      <c r="D64" s="1" t="s">
        <v>52</v>
      </c>
      <c r="E64" s="15" t="s">
        <v>181</v>
      </c>
      <c r="G64" s="3">
        <v>192700</v>
      </c>
      <c r="I64" s="3">
        <v>46600</v>
      </c>
      <c r="L64" s="3">
        <v>142500</v>
      </c>
      <c r="M64" s="3">
        <v>14200</v>
      </c>
      <c r="S64" s="3">
        <v>316300</v>
      </c>
      <c r="W64" s="3">
        <v>287700</v>
      </c>
      <c r="AB64"/>
      <c r="AC64"/>
      <c r="AH64" s="14">
        <f t="shared" si="11"/>
        <v>6009.4804465789302</v>
      </c>
      <c r="AI64" s="3">
        <f t="shared" si="12"/>
        <v>834.45250246217211</v>
      </c>
      <c r="AJ64" s="3">
        <f t="shared" si="13"/>
        <v>2242.4700217165519</v>
      </c>
      <c r="AK64" s="3">
        <f t="shared" si="14"/>
        <v>217.15858693989907</v>
      </c>
      <c r="AL64" s="3">
        <f t="shared" si="15"/>
        <v>2932.2332437192917</v>
      </c>
      <c r="AM64" s="3">
        <f t="shared" si="16"/>
        <v>0</v>
      </c>
      <c r="AN64" s="3">
        <f t="shared" si="17"/>
        <v>2362.84494086728</v>
      </c>
      <c r="AP64" s="3">
        <f t="shared" si="18"/>
        <v>1.8628132799912583E-3</v>
      </c>
      <c r="AR64" s="13">
        <f t="shared" si="19"/>
        <v>11.194539981735028</v>
      </c>
      <c r="AS64" s="12">
        <f t="shared" si="20"/>
        <v>1.5544292031084723</v>
      </c>
      <c r="AT64" s="12">
        <f t="shared" si="21"/>
        <v>4.1773029364358782</v>
      </c>
      <c r="AU64" s="12">
        <f t="shared" si="22"/>
        <v>0.40452589961578023</v>
      </c>
      <c r="AV64" s="12">
        <f t="shared" si="23"/>
        <v>5.4622030264321406</v>
      </c>
      <c r="AW64" s="12">
        <f t="shared" si="24"/>
        <v>0</v>
      </c>
      <c r="AX64" s="12">
        <f t="shared" si="25"/>
        <v>4.4015389344077285</v>
      </c>
      <c r="AY64" s="3">
        <v>13</v>
      </c>
    </row>
    <row r="65" spans="12:50" ht="15">
      <c r="AB65"/>
      <c r="AC65"/>
      <c r="AR65" s="12"/>
      <c r="AS65" s="12"/>
      <c r="AT65" s="12"/>
      <c r="AU65" s="12"/>
      <c r="AV65" s="12"/>
      <c r="AW65" s="12"/>
      <c r="AX65" s="12"/>
    </row>
    <row r="66" spans="12:50" ht="15">
      <c r="AB66"/>
      <c r="AC66"/>
      <c r="AR66" s="12"/>
      <c r="AS66" s="12"/>
      <c r="AT66" s="12"/>
      <c r="AU66" s="12"/>
      <c r="AV66" s="12"/>
      <c r="AW66" s="12"/>
      <c r="AX66" s="12"/>
    </row>
    <row r="67" spans="12:50" ht="15">
      <c r="AB67"/>
      <c r="AC67"/>
      <c r="AR67" s="12"/>
      <c r="AS67" s="12"/>
      <c r="AT67" s="12"/>
      <c r="AU67" s="12"/>
      <c r="AV67" s="12"/>
      <c r="AW67" s="12"/>
      <c r="AX67" s="12"/>
    </row>
    <row r="68" spans="12:50" ht="15">
      <c r="AB68"/>
      <c r="AC68"/>
      <c r="AR68" s="12"/>
      <c r="AS68" s="12"/>
      <c r="AT68" s="12"/>
      <c r="AU68" s="12"/>
      <c r="AV68" s="12"/>
      <c r="AW68" s="12"/>
      <c r="AX68" s="12"/>
    </row>
    <row r="69" spans="12:50" ht="15">
      <c r="AB69"/>
      <c r="AC69"/>
      <c r="AR69" s="12"/>
      <c r="AS69" s="12"/>
      <c r="AT69" s="12"/>
      <c r="AU69" s="12"/>
      <c r="AV69" s="12"/>
      <c r="AW69" s="12"/>
      <c r="AX69" s="12"/>
    </row>
    <row r="70" spans="12:50" ht="15">
      <c r="AB70"/>
      <c r="AC70"/>
      <c r="AR70" s="12"/>
      <c r="AS70" s="12"/>
      <c r="AT70" s="12"/>
      <c r="AU70" s="12"/>
      <c r="AV70" s="12"/>
      <c r="AW70" s="12"/>
      <c r="AX70" s="12"/>
    </row>
    <row r="71" spans="12:50" ht="15">
      <c r="AB71"/>
      <c r="AC71"/>
      <c r="AR71" s="12"/>
      <c r="AS71" s="12"/>
      <c r="AT71" s="12"/>
      <c r="AU71" s="12"/>
      <c r="AV71" s="12"/>
      <c r="AW71" s="12"/>
      <c r="AX71" s="12"/>
    </row>
    <row r="73" spans="12:50"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</row>
    <row r="74" spans="12:50">
      <c r="L74" s="15"/>
    </row>
    <row r="75" spans="12:50">
      <c r="L75" s="15"/>
    </row>
    <row r="76" spans="12:50">
      <c r="L76" s="15"/>
    </row>
    <row r="77" spans="12:50">
      <c r="L77" s="15"/>
    </row>
  </sheetData>
  <autoFilter ref="B21:AC21" xr:uid="{CDDDCF69-ABEA-467B-8A77-9C44F58A047C}">
    <sortState xmlns:xlrd2="http://schemas.microsoft.com/office/spreadsheetml/2017/richdata2" ref="B22:AC59">
      <sortCondition ref="E21"/>
    </sortState>
  </autoFilter>
  <phoneticPr fontId="7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9770C754368F49BB2A63D8816AD496" ma:contentTypeVersion="3" ma:contentTypeDescription="Create a new document." ma:contentTypeScope="" ma:versionID="6cd95dd43520703c042c7d5ccfb67660">
  <xsd:schema xmlns:xsd="http://www.w3.org/2001/XMLSchema" xmlns:xs="http://www.w3.org/2001/XMLSchema" xmlns:p="http://schemas.microsoft.com/office/2006/metadata/properties" xmlns:ns2="07286b27-ac00-4b57-920d-5e26223b3ea4" targetNamespace="http://schemas.microsoft.com/office/2006/metadata/properties" ma:root="true" ma:fieldsID="dc5f8338b6116805ec1a3fefc0475030" ns2:_="">
    <xsd:import namespace="07286b27-ac00-4b57-920d-5e26223b3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86b27-ac00-4b57-920d-5e26223b3e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97737D-FC32-4F5F-A09F-20B9983A67F9}"/>
</file>

<file path=customXml/itemProps2.xml><?xml version="1.0" encoding="utf-8"?>
<ds:datastoreItem xmlns:ds="http://schemas.openxmlformats.org/officeDocument/2006/customXml" ds:itemID="{111FE452-254D-4973-ACA6-FFC42C090832}"/>
</file>

<file path=customXml/itemProps3.xml><?xml version="1.0" encoding="utf-8"?>
<ds:datastoreItem xmlns:ds="http://schemas.openxmlformats.org/officeDocument/2006/customXml" ds:itemID="{E47E11E8-7960-4CE1-8763-C2FF1A28EA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User</cp:lastModifiedBy>
  <cp:revision/>
  <dcterms:created xsi:type="dcterms:W3CDTF">2020-06-12T08:56:31Z</dcterms:created>
  <dcterms:modified xsi:type="dcterms:W3CDTF">2025-01-27T20:01:23Z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0x010100E89770C754368F49BB2A63D8816AD496</vt:lpwstr>
  </property>
</Properties>
</file>