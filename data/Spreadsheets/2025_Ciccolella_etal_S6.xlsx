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cconorsk/Desktop/DOCUMENTI E PAPERS/Papers in preparazione/Paragenetic Evolution and Primary Genetic Evidence of Zn-Pb-(Cu-Fe) Mineralization in Northern Sila Massif (Calabria, Italy) Constrained by Sphalerite Trace Elements/tavole supplementary/"/>
    </mc:Choice>
  </mc:AlternateContent>
  <xr:revisionPtr revIDLastSave="0" documentId="13_ncr:1_{654E694A-C880-B447-8EE5-6D5212BE5F83}" xr6:coauthVersionLast="47" xr6:coauthVersionMax="47" xr10:uidLastSave="{00000000-0000-0000-0000-000000000000}"/>
  <bookViews>
    <workbookView xWindow="0" yWindow="500" windowWidth="33600" windowHeight="19240" xr2:uid="{4182DEA2-C514-B84A-A4D1-DA64E2690150}"/>
  </bookViews>
  <sheets>
    <sheet name="Table 7 LAICPM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" l="1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B25" i="7"/>
  <c r="B24" i="7"/>
  <c r="F21" i="7" l="1"/>
  <c r="F22" i="7"/>
  <c r="F23" i="7"/>
  <c r="D21" i="7"/>
  <c r="D22" i="7"/>
  <c r="D23" i="7"/>
  <c r="B21" i="7"/>
  <c r="B22" i="7"/>
  <c r="B23" i="7"/>
  <c r="C21" i="7"/>
  <c r="E21" i="7"/>
  <c r="G21" i="7"/>
  <c r="H21" i="7"/>
  <c r="I21" i="7"/>
  <c r="J21" i="7"/>
  <c r="K21" i="7"/>
  <c r="L21" i="7"/>
  <c r="M21" i="7"/>
  <c r="N21" i="7"/>
  <c r="O21" i="7"/>
  <c r="P21" i="7"/>
  <c r="Q21" i="7"/>
  <c r="R21" i="7"/>
  <c r="C22" i="7"/>
  <c r="E22" i="7"/>
  <c r="G22" i="7"/>
  <c r="H22" i="7"/>
  <c r="I22" i="7"/>
  <c r="J22" i="7"/>
  <c r="K22" i="7"/>
  <c r="L22" i="7"/>
  <c r="M22" i="7"/>
  <c r="N22" i="7"/>
  <c r="O22" i="7"/>
  <c r="P22" i="7"/>
  <c r="Q22" i="7"/>
  <c r="R22" i="7"/>
  <c r="C23" i="7"/>
  <c r="E23" i="7"/>
  <c r="G23" i="7"/>
  <c r="H23" i="7"/>
  <c r="I23" i="7"/>
  <c r="J23" i="7"/>
  <c r="K23" i="7"/>
  <c r="L23" i="7"/>
  <c r="M23" i="7"/>
  <c r="N23" i="7"/>
  <c r="O23" i="7"/>
  <c r="P23" i="7"/>
  <c r="Q23" i="7"/>
  <c r="R23" i="7"/>
</calcChain>
</file>

<file path=xl/sharedStrings.xml><?xml version="1.0" encoding="utf-8"?>
<sst xmlns="http://schemas.openxmlformats.org/spreadsheetml/2006/main" count="87" uniqueCount="44">
  <si>
    <t>b.d.l.</t>
  </si>
  <si>
    <t>min</t>
  </si>
  <si>
    <t>max</t>
  </si>
  <si>
    <t>average</t>
  </si>
  <si>
    <t>n.d.</t>
  </si>
  <si>
    <t>below detection limit</t>
  </si>
  <si>
    <t>Zn66</t>
  </si>
  <si>
    <t>Fe57</t>
  </si>
  <si>
    <t>Cd111</t>
  </si>
  <si>
    <t>Cu65</t>
  </si>
  <si>
    <t>Ga71</t>
  </si>
  <si>
    <t>Ge74</t>
  </si>
  <si>
    <t>Mn55</t>
  </si>
  <si>
    <t>Co59</t>
  </si>
  <si>
    <t>Ag107</t>
  </si>
  <si>
    <t>In115</t>
  </si>
  <si>
    <t>Sn118</t>
  </si>
  <si>
    <t>Sb121</t>
  </si>
  <si>
    <t>Tl205</t>
  </si>
  <si>
    <t>Pb208</t>
  </si>
  <si>
    <t>Bi209</t>
  </si>
  <si>
    <t>S34</t>
  </si>
  <si>
    <t>Laser spots</t>
  </si>
  <si>
    <t>standard</t>
  </si>
  <si>
    <t>median</t>
  </si>
  <si>
    <t>st.dev.</t>
  </si>
  <si>
    <t>Au197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</si>
  <si>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</si>
  <si>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</si>
  <si>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</si>
  <si>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</si>
  <si>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</si>
  <si>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</si>
  <si>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</si>
  <si>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</si>
  <si>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</si>
  <si>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</si>
  <si>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</si>
  <si>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</si>
  <si>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</si>
  <si>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</si>
  <si>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</si>
  <si>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</si>
  <si>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r>
      <rPr>
        <b/>
        <sz val="11"/>
        <rFont val="Helvetica"/>
        <family val="2"/>
      </rPr>
      <t>Table S7</t>
    </r>
    <r>
      <rPr>
        <sz val="11"/>
        <rFont val="Helvetica"/>
        <family val="2"/>
      </rPr>
      <t>. LA-ICP-MS analysis (ppm) of chalcopyrite from the Fonte Argentila area (FAR) (standard by EPMA Fe-content)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</si>
</sst>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11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3" fillId="0" borderId="0" xfId="0" applyFont="1"/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0" xfId="0" applyNumberFormat="1" applyFont="1"/>
    <xf numFmtId="164" fontId="1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2" fontId="1" fillId="0" borderId="13" xfId="0" applyNumberFormat="1" applyFont="1" applyBorder="1" applyAlignment="1">
      <alignment horizontal="left" vertical="top"/>
    </xf>
    <xf numFmtId="2" fontId="1" fillId="0" borderId="14" xfId="0" applyNumberFormat="1" applyFont="1" applyBorder="1" applyAlignment="1">
      <alignment horizontal="left" vertical="top"/>
    </xf>
    <xf numFmtId="2" fontId="2" fillId="0" borderId="6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2A46-799D-954E-8D26-1DEE98680760}">
  <dimension ref="A1:R27"/>
  <sheetViews>
    <sheetView tabSelected="1" workbookViewId="0">
      <selection activeCell="K20" sqref="K20"/>
    </sheetView>
  </sheetViews>
  <sheetFormatPr baseColWidth="10" defaultRowHeight="15" x14ac:dyDescent="0.2"/>
  <cols>
    <col min="1" max="1" width="15.83203125" style="6" bestFit="1" customWidth="1"/>
    <col min="2" max="16384" width="10.83203125" style="6"/>
  </cols>
  <sheetData>
    <row r="1" spans="1:18" x14ac:dyDescent="0.2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x14ac:dyDescent="0.2">
      <c r="A2" s="1"/>
      <c r="B2" s="1"/>
      <c r="C2" s="1"/>
      <c r="D2" s="21" t="s">
        <v>23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2" t="s">
        <v>22</v>
      </c>
      <c r="B3" s="23" t="s">
        <v>21</v>
      </c>
      <c r="C3" s="23" t="s">
        <v>12</v>
      </c>
      <c r="D3" s="23" t="s">
        <v>7</v>
      </c>
      <c r="E3" s="23" t="s">
        <v>13</v>
      </c>
      <c r="F3" s="23" t="s">
        <v>9</v>
      </c>
      <c r="G3" s="23" t="s">
        <v>6</v>
      </c>
      <c r="H3" s="23" t="s">
        <v>10</v>
      </c>
      <c r="I3" s="23" t="s">
        <v>11</v>
      </c>
      <c r="J3" s="23" t="s">
        <v>14</v>
      </c>
      <c r="K3" s="23" t="s">
        <v>8</v>
      </c>
      <c r="L3" s="23" t="s">
        <v>15</v>
      </c>
      <c r="M3" s="23" t="s">
        <v>16</v>
      </c>
      <c r="N3" s="23" t="s">
        <v>17</v>
      </c>
      <c r="O3" s="23" t="s">
        <v>26</v>
      </c>
      <c r="P3" s="23" t="s">
        <v>18</v>
      </c>
      <c r="Q3" s="23" t="s">
        <v>19</v>
      </c>
      <c r="R3" s="3" t="s">
        <v>20</v>
      </c>
    </row>
    <row r="4" spans="1:18" x14ac:dyDescent="0.2">
      <c r="A4" s="24" t="s">
        <v>27</v>
      </c>
      <c r="B4" s="30">
        <v>440146.91824073659</v>
      </c>
      <c r="C4" s="7">
        <v>4.6361091149785754</v>
      </c>
      <c r="D4" s="7">
        <v>300500</v>
      </c>
      <c r="E4" s="7" t="s">
        <v>0</v>
      </c>
      <c r="F4" s="7">
        <v>345334.28478309733</v>
      </c>
      <c r="G4" s="7">
        <v>194.99396502178564</v>
      </c>
      <c r="H4" s="7" t="s">
        <v>0</v>
      </c>
      <c r="I4" s="7">
        <v>2.4593421766789776</v>
      </c>
      <c r="J4" s="7">
        <v>250.76245055612807</v>
      </c>
      <c r="K4" s="7" t="s">
        <v>0</v>
      </c>
      <c r="L4" s="7">
        <v>2.7276146792091103</v>
      </c>
      <c r="M4" s="7">
        <v>19.972486905971142</v>
      </c>
      <c r="N4" s="7">
        <v>11.030914644563861</v>
      </c>
      <c r="O4" s="7" t="s">
        <v>0</v>
      </c>
      <c r="P4" s="7" t="s">
        <v>0</v>
      </c>
      <c r="Q4" s="7">
        <v>12.435117176320482</v>
      </c>
      <c r="R4" s="8">
        <v>1.1210955875925099</v>
      </c>
    </row>
    <row r="5" spans="1:18" x14ac:dyDescent="0.2">
      <c r="A5" s="24" t="s">
        <v>28</v>
      </c>
      <c r="B5" s="20">
        <v>419690.82338424522</v>
      </c>
      <c r="C5" s="9">
        <v>3.3288469065843889</v>
      </c>
      <c r="D5" s="9">
        <v>297500</v>
      </c>
      <c r="E5" s="9">
        <v>0.29370355374991802</v>
      </c>
      <c r="F5" s="9">
        <v>310012.76453047234</v>
      </c>
      <c r="G5" s="9">
        <v>407.92239159897224</v>
      </c>
      <c r="H5" s="9">
        <v>0.81580862683513555</v>
      </c>
      <c r="I5" s="9">
        <v>6.7677124260770594</v>
      </c>
      <c r="J5" s="9">
        <v>252.17577974354771</v>
      </c>
      <c r="K5" s="9" t="s">
        <v>0</v>
      </c>
      <c r="L5" s="9">
        <v>199.94238601936624</v>
      </c>
      <c r="M5" s="9">
        <v>1610.6102916565487</v>
      </c>
      <c r="N5" s="9">
        <v>2.7161496539238525</v>
      </c>
      <c r="O5" s="9" t="s">
        <v>0</v>
      </c>
      <c r="P5" s="9" t="s">
        <v>0</v>
      </c>
      <c r="Q5" s="9">
        <v>13.673137818033286</v>
      </c>
      <c r="R5" s="10">
        <v>1.4907883995301661</v>
      </c>
    </row>
    <row r="6" spans="1:18" x14ac:dyDescent="0.2">
      <c r="A6" s="24" t="s">
        <v>29</v>
      </c>
      <c r="B6" s="20">
        <v>403059.63949766115</v>
      </c>
      <c r="C6" s="9" t="s">
        <v>4</v>
      </c>
      <c r="D6" s="9">
        <v>300500</v>
      </c>
      <c r="E6" s="9">
        <v>0.74180474154452192</v>
      </c>
      <c r="F6" s="9">
        <v>333086.52756550233</v>
      </c>
      <c r="G6" s="9">
        <v>145.26489436785718</v>
      </c>
      <c r="H6" s="9" t="s">
        <v>0</v>
      </c>
      <c r="I6" s="9" t="s">
        <v>0</v>
      </c>
      <c r="J6" s="9">
        <v>265.13079916939796</v>
      </c>
      <c r="K6" s="9" t="s">
        <v>0</v>
      </c>
      <c r="L6" s="9">
        <v>10.724707055878591</v>
      </c>
      <c r="M6" s="9">
        <v>57.3697725545141</v>
      </c>
      <c r="N6" s="9">
        <v>29.381254351103401</v>
      </c>
      <c r="O6" s="9">
        <v>1.5130617652912541</v>
      </c>
      <c r="P6" s="9">
        <v>0.29188427339166229</v>
      </c>
      <c r="Q6" s="9">
        <v>177.9087796026171</v>
      </c>
      <c r="R6" s="10">
        <v>2.2464378380264427</v>
      </c>
    </row>
    <row r="7" spans="1:18" x14ac:dyDescent="0.2">
      <c r="A7" s="24" t="s">
        <v>30</v>
      </c>
      <c r="B7" s="20">
        <v>439220.19443570904</v>
      </c>
      <c r="C7" s="9">
        <v>6.0602000956707203</v>
      </c>
      <c r="D7" s="9">
        <v>300500</v>
      </c>
      <c r="E7" s="9">
        <v>1.7556811204133287</v>
      </c>
      <c r="F7" s="9">
        <v>348008.37208150857</v>
      </c>
      <c r="G7" s="9">
        <v>343.0783458249681</v>
      </c>
      <c r="H7" s="9">
        <v>1.5105852179628321</v>
      </c>
      <c r="I7" s="9">
        <v>9.5267216472831198</v>
      </c>
      <c r="J7" s="9">
        <v>313.22565593636796</v>
      </c>
      <c r="K7" s="9">
        <v>9.0184184896113475</v>
      </c>
      <c r="L7" s="9">
        <v>127.99409172603997</v>
      </c>
      <c r="M7" s="9">
        <v>660.51076053101031</v>
      </c>
      <c r="N7" s="9">
        <v>28.545523268254932</v>
      </c>
      <c r="O7" s="9">
        <v>1.3970719524101316</v>
      </c>
      <c r="P7" s="9">
        <v>0.20788544506965778</v>
      </c>
      <c r="Q7" s="9">
        <v>62.306326478481118</v>
      </c>
      <c r="R7" s="10">
        <v>0.56454208278596929</v>
      </c>
    </row>
    <row r="8" spans="1:18" x14ac:dyDescent="0.2">
      <c r="A8" s="24" t="s">
        <v>31</v>
      </c>
      <c r="B8" s="20">
        <v>372334.64232164307</v>
      </c>
      <c r="C8" s="9">
        <v>6.1682253339037576</v>
      </c>
      <c r="D8" s="9">
        <v>300500</v>
      </c>
      <c r="E8" s="9" t="s">
        <v>0</v>
      </c>
      <c r="F8" s="9">
        <v>347044.49026455713</v>
      </c>
      <c r="G8" s="9">
        <v>157.64254481575355</v>
      </c>
      <c r="H8" s="9">
        <v>1.8078152033696564</v>
      </c>
      <c r="I8" s="9">
        <v>41.632931478566881</v>
      </c>
      <c r="J8" s="9">
        <v>262.72329744635869</v>
      </c>
      <c r="K8" s="9" t="s">
        <v>0</v>
      </c>
      <c r="L8" s="9">
        <v>1.8056284067482005</v>
      </c>
      <c r="M8" s="9">
        <v>39.029537929671321</v>
      </c>
      <c r="N8" s="9">
        <v>4.6160257051957876</v>
      </c>
      <c r="O8" s="9">
        <v>0.27399836936062039</v>
      </c>
      <c r="P8" s="9" t="s">
        <v>0</v>
      </c>
      <c r="Q8" s="9">
        <v>23.581595221114924</v>
      </c>
      <c r="R8" s="10" t="s">
        <v>0</v>
      </c>
    </row>
    <row r="9" spans="1:18" x14ac:dyDescent="0.2">
      <c r="A9" s="24" t="s">
        <v>32</v>
      </c>
      <c r="B9" s="20">
        <v>464537.04898660275</v>
      </c>
      <c r="C9" s="9" t="s">
        <v>4</v>
      </c>
      <c r="D9" s="9">
        <v>300500</v>
      </c>
      <c r="E9" s="9" t="s">
        <v>0</v>
      </c>
      <c r="F9" s="9">
        <v>367893.10802158248</v>
      </c>
      <c r="G9" s="9">
        <v>198.07476811210213</v>
      </c>
      <c r="H9" s="9">
        <v>0.80318096110548154</v>
      </c>
      <c r="I9" s="9">
        <v>11.033440309971551</v>
      </c>
      <c r="J9" s="9">
        <v>164.30012860844019</v>
      </c>
      <c r="K9" s="9">
        <v>5.2199749509491085</v>
      </c>
      <c r="L9" s="9">
        <v>7.8514884503485813</v>
      </c>
      <c r="M9" s="9">
        <v>158.51823479292321</v>
      </c>
      <c r="N9" s="9">
        <v>23.724682490030233</v>
      </c>
      <c r="O9" s="9">
        <v>0.62219793287223335</v>
      </c>
      <c r="P9" s="9">
        <v>0.46751241657845061</v>
      </c>
      <c r="Q9" s="9">
        <v>132.13007464455859</v>
      </c>
      <c r="R9" s="10">
        <v>0.5735179512634867</v>
      </c>
    </row>
    <row r="10" spans="1:18" x14ac:dyDescent="0.2">
      <c r="A10" s="24" t="s">
        <v>33</v>
      </c>
      <c r="B10" s="20">
        <v>446082.98341935978</v>
      </c>
      <c r="C10" s="9">
        <v>9.1402273884797971</v>
      </c>
      <c r="D10" s="9">
        <v>300500</v>
      </c>
      <c r="E10" s="9" t="s">
        <v>0</v>
      </c>
      <c r="F10" s="9">
        <v>344705.25636534463</v>
      </c>
      <c r="G10" s="9">
        <v>488.54383605035764</v>
      </c>
      <c r="H10" s="9">
        <v>0.60253754799113979</v>
      </c>
      <c r="I10" s="9">
        <v>77.658309204786676</v>
      </c>
      <c r="J10" s="9">
        <v>228.33176144165668</v>
      </c>
      <c r="K10" s="9" t="s">
        <v>0</v>
      </c>
      <c r="L10" s="9">
        <v>5.2126934131193758</v>
      </c>
      <c r="M10" s="9">
        <v>195.40917833590694</v>
      </c>
      <c r="N10" s="9">
        <v>20.391062890118061</v>
      </c>
      <c r="O10" s="9">
        <v>0.88913514486859768</v>
      </c>
      <c r="P10" s="9">
        <v>0.45026828582710576</v>
      </c>
      <c r="Q10" s="9">
        <v>276.35415094383688</v>
      </c>
      <c r="R10" s="10">
        <v>0.17765413511275599</v>
      </c>
    </row>
    <row r="11" spans="1:18" x14ac:dyDescent="0.2">
      <c r="A11" s="24" t="s">
        <v>34</v>
      </c>
      <c r="B11" s="20">
        <v>419255.71332133986</v>
      </c>
      <c r="C11" s="9">
        <v>2.9184443598160241</v>
      </c>
      <c r="D11" s="9">
        <v>300500</v>
      </c>
      <c r="E11" s="9" t="s">
        <v>0</v>
      </c>
      <c r="F11" s="9">
        <v>354193.67057935044</v>
      </c>
      <c r="G11" s="9">
        <v>358.89093811898056</v>
      </c>
      <c r="H11" s="9">
        <v>0.94215348001462074</v>
      </c>
      <c r="I11" s="9">
        <v>6.409756703336055</v>
      </c>
      <c r="J11" s="9">
        <v>255.81884944211708</v>
      </c>
      <c r="K11" s="9">
        <v>3.4577303227802516</v>
      </c>
      <c r="L11" s="9">
        <v>67.692151169404198</v>
      </c>
      <c r="M11" s="9">
        <v>264.09801931787433</v>
      </c>
      <c r="N11" s="9">
        <v>5.6578505771078742</v>
      </c>
      <c r="O11" s="9" t="s">
        <v>0</v>
      </c>
      <c r="P11" s="9" t="s">
        <v>0</v>
      </c>
      <c r="Q11" s="9">
        <v>10.181959035224697</v>
      </c>
      <c r="R11" s="10" t="s">
        <v>0</v>
      </c>
    </row>
    <row r="12" spans="1:18" x14ac:dyDescent="0.2">
      <c r="A12" s="24" t="s">
        <v>35</v>
      </c>
      <c r="B12" s="20">
        <v>388776.62699601881</v>
      </c>
      <c r="C12" s="9">
        <v>41.099668226166379</v>
      </c>
      <c r="D12" s="9">
        <v>300500</v>
      </c>
      <c r="E12" s="9">
        <v>0.65895912527297928</v>
      </c>
      <c r="F12" s="9">
        <v>315410.40448612557</v>
      </c>
      <c r="G12" s="9">
        <v>6218.1839729006788</v>
      </c>
      <c r="H12" s="9" t="s">
        <v>0</v>
      </c>
      <c r="I12" s="9">
        <v>3.7149604120622395</v>
      </c>
      <c r="J12" s="9">
        <v>279.05764332582493</v>
      </c>
      <c r="K12" s="9">
        <v>36.088811250205616</v>
      </c>
      <c r="L12" s="9">
        <v>6.7885609637679973</v>
      </c>
      <c r="M12" s="9">
        <v>101.80515251187671</v>
      </c>
      <c r="N12" s="9">
        <v>186.69479301848978</v>
      </c>
      <c r="O12" s="9">
        <v>1.4773533061601931</v>
      </c>
      <c r="P12" s="9">
        <v>4.3796743762133046</v>
      </c>
      <c r="Q12" s="9">
        <v>4616.7953255263619</v>
      </c>
      <c r="R12" s="10">
        <v>3.6887026794518092</v>
      </c>
    </row>
    <row r="13" spans="1:18" x14ac:dyDescent="0.2">
      <c r="A13" s="24" t="s">
        <v>36</v>
      </c>
      <c r="B13" s="20">
        <v>511498.71231568663</v>
      </c>
      <c r="C13" s="9">
        <v>4.676347454349858</v>
      </c>
      <c r="D13" s="9">
        <v>300500</v>
      </c>
      <c r="E13" s="9" t="s">
        <v>0</v>
      </c>
      <c r="F13" s="9">
        <v>315722.62950998679</v>
      </c>
      <c r="G13" s="9">
        <v>127.6892805843907</v>
      </c>
      <c r="H13" s="9">
        <v>0.82965771104779595</v>
      </c>
      <c r="I13" s="9">
        <v>45.784801000986967</v>
      </c>
      <c r="J13" s="9">
        <v>221.87167315720495</v>
      </c>
      <c r="K13" s="9" t="s">
        <v>0</v>
      </c>
      <c r="L13" s="9">
        <v>10.769086575148988</v>
      </c>
      <c r="M13" s="9">
        <v>260.09362734212806</v>
      </c>
      <c r="N13" s="9">
        <v>26.505611422101165</v>
      </c>
      <c r="O13" s="9">
        <v>0.67189661632902453</v>
      </c>
      <c r="P13" s="9">
        <v>0.90752223966917123</v>
      </c>
      <c r="Q13" s="9">
        <v>199.82076091926021</v>
      </c>
      <c r="R13" s="10">
        <v>0.30553680702053865</v>
      </c>
    </row>
    <row r="14" spans="1:18" x14ac:dyDescent="0.2">
      <c r="A14" s="24" t="s">
        <v>37</v>
      </c>
      <c r="B14" s="20">
        <v>448125.90848699125</v>
      </c>
      <c r="C14" s="9">
        <v>2.7876333653007825</v>
      </c>
      <c r="D14" s="9">
        <v>300500</v>
      </c>
      <c r="E14" s="9" t="s">
        <v>0</v>
      </c>
      <c r="F14" s="9">
        <v>357517.01971975301</v>
      </c>
      <c r="G14" s="9">
        <v>218.38359743945045</v>
      </c>
      <c r="H14" s="9" t="s">
        <v>0</v>
      </c>
      <c r="I14" s="9">
        <v>17.456112808179434</v>
      </c>
      <c r="J14" s="9">
        <v>227.72775214268398</v>
      </c>
      <c r="K14" s="9">
        <v>3.9927667532921371</v>
      </c>
      <c r="L14" s="9">
        <v>21.150583152610011</v>
      </c>
      <c r="M14" s="9">
        <v>92.209024673441945</v>
      </c>
      <c r="N14" s="9">
        <v>5.3170930195676736</v>
      </c>
      <c r="O14" s="9">
        <v>0.88272508645879622</v>
      </c>
      <c r="P14" s="9" t="s">
        <v>0</v>
      </c>
      <c r="Q14" s="9">
        <v>9.585841324794675</v>
      </c>
      <c r="R14" s="10">
        <v>0.38674763613359381</v>
      </c>
    </row>
    <row r="15" spans="1:18" x14ac:dyDescent="0.2">
      <c r="A15" s="24" t="s">
        <v>38</v>
      </c>
      <c r="B15" s="20">
        <v>446335.45561425737</v>
      </c>
      <c r="C15" s="9">
        <v>2.8116058251260143</v>
      </c>
      <c r="D15" s="9">
        <v>300500</v>
      </c>
      <c r="E15" s="9" t="s">
        <v>0</v>
      </c>
      <c r="F15" s="9">
        <v>348753.66741305898</v>
      </c>
      <c r="G15" s="9">
        <v>228.30612570010717</v>
      </c>
      <c r="H15" s="9">
        <v>0.97646390833782448</v>
      </c>
      <c r="I15" s="9">
        <v>92.138094367983243</v>
      </c>
      <c r="J15" s="9">
        <v>298.82575562872245</v>
      </c>
      <c r="K15" s="9">
        <v>3.9699412415071631</v>
      </c>
      <c r="L15" s="9">
        <v>6.8133925928500227</v>
      </c>
      <c r="M15" s="9">
        <v>292.23338120273081</v>
      </c>
      <c r="N15" s="9">
        <v>7.0149278053944712</v>
      </c>
      <c r="O15" s="9" t="s">
        <v>0</v>
      </c>
      <c r="P15" s="9">
        <v>0.15963928729704777</v>
      </c>
      <c r="Q15" s="9">
        <v>11.351855319796439</v>
      </c>
      <c r="R15" s="10">
        <v>0.65845577541285649</v>
      </c>
    </row>
    <row r="16" spans="1:18" x14ac:dyDescent="0.2">
      <c r="A16" s="24" t="s">
        <v>39</v>
      </c>
      <c r="B16" s="20">
        <v>462052.82938561257</v>
      </c>
      <c r="C16" s="9">
        <v>2.4210018957048067</v>
      </c>
      <c r="D16" s="9">
        <v>300500</v>
      </c>
      <c r="E16" s="9" t="s">
        <v>0</v>
      </c>
      <c r="F16" s="9">
        <v>343626.8004690659</v>
      </c>
      <c r="G16" s="9">
        <v>321.88199783290878</v>
      </c>
      <c r="H16" s="9">
        <v>0.90730258208310655</v>
      </c>
      <c r="I16" s="9">
        <v>79.902405635181182</v>
      </c>
      <c r="J16" s="9">
        <v>181.8381492583413</v>
      </c>
      <c r="K16" s="9">
        <v>3.28826237210987</v>
      </c>
      <c r="L16" s="9">
        <v>16.532668026438738</v>
      </c>
      <c r="M16" s="9">
        <v>240.31692116625734</v>
      </c>
      <c r="N16" s="9">
        <v>16.842421243707378</v>
      </c>
      <c r="O16" s="9">
        <v>1.3709035794043485</v>
      </c>
      <c r="P16" s="9" t="s">
        <v>0</v>
      </c>
      <c r="Q16" s="9">
        <v>96.929049813774611</v>
      </c>
      <c r="R16" s="10">
        <v>0.89434758931926217</v>
      </c>
    </row>
    <row r="17" spans="1:18" x14ac:dyDescent="0.2">
      <c r="A17" s="24" t="s">
        <v>40</v>
      </c>
      <c r="B17" s="20">
        <v>450567.30086831335</v>
      </c>
      <c r="C17" s="9">
        <v>3.7228547341432567</v>
      </c>
      <c r="D17" s="9">
        <v>300500</v>
      </c>
      <c r="E17" s="9" t="s">
        <v>0</v>
      </c>
      <c r="F17" s="9">
        <v>344073.18428677047</v>
      </c>
      <c r="G17" s="9">
        <v>292.71741081101936</v>
      </c>
      <c r="H17" s="9">
        <v>0.65778525611633665</v>
      </c>
      <c r="I17" s="9">
        <v>1.9848073346402875</v>
      </c>
      <c r="J17" s="9">
        <v>200.24332340301618</v>
      </c>
      <c r="K17" s="9">
        <v>4.7743518172735078</v>
      </c>
      <c r="L17" s="9">
        <v>94.551547506886379</v>
      </c>
      <c r="M17" s="9">
        <v>629.91358288661638</v>
      </c>
      <c r="N17" s="9">
        <v>6.8823129721302525</v>
      </c>
      <c r="O17" s="9">
        <v>1.1579857908517612</v>
      </c>
      <c r="P17" s="9" t="s">
        <v>0</v>
      </c>
      <c r="Q17" s="9">
        <v>16.642366587027329</v>
      </c>
      <c r="R17" s="10">
        <v>2.0194992218697512</v>
      </c>
    </row>
    <row r="18" spans="1:18" x14ac:dyDescent="0.2">
      <c r="A18" s="24" t="s">
        <v>41</v>
      </c>
      <c r="B18" s="20">
        <v>475622.57057436818</v>
      </c>
      <c r="C18" s="9">
        <v>3.7488696428185904</v>
      </c>
      <c r="D18" s="9">
        <v>300500</v>
      </c>
      <c r="E18" s="9" t="s">
        <v>0</v>
      </c>
      <c r="F18" s="9">
        <v>347525.08612051135</v>
      </c>
      <c r="G18" s="9">
        <v>167.49945193475557</v>
      </c>
      <c r="H18" s="9" t="s">
        <v>0</v>
      </c>
      <c r="I18" s="9">
        <v>68.853135624129962</v>
      </c>
      <c r="J18" s="9">
        <v>187.15731994418201</v>
      </c>
      <c r="K18" s="9" t="s">
        <v>0</v>
      </c>
      <c r="L18" s="9">
        <v>3.0821516116359851</v>
      </c>
      <c r="M18" s="9">
        <v>31.480812170666287</v>
      </c>
      <c r="N18" s="9">
        <v>1.0982133359363302</v>
      </c>
      <c r="O18" s="9" t="s">
        <v>0</v>
      </c>
      <c r="P18" s="9" t="s">
        <v>0</v>
      </c>
      <c r="Q18" s="9">
        <v>4.6296702674492405</v>
      </c>
      <c r="R18" s="10" t="s">
        <v>0</v>
      </c>
    </row>
    <row r="19" spans="1:18" x14ac:dyDescent="0.2">
      <c r="A19" s="25" t="s">
        <v>42</v>
      </c>
      <c r="B19" s="31">
        <v>458501.10134369385</v>
      </c>
      <c r="C19" s="11">
        <v>4.6655473932171896</v>
      </c>
      <c r="D19" s="11">
        <v>300500</v>
      </c>
      <c r="E19" s="11" t="s">
        <v>0</v>
      </c>
      <c r="F19" s="11">
        <v>340830.16935818031</v>
      </c>
      <c r="G19" s="11">
        <v>462.6563457695201</v>
      </c>
      <c r="H19" s="11" t="s">
        <v>0</v>
      </c>
      <c r="I19" s="11">
        <v>4.621811662657497</v>
      </c>
      <c r="J19" s="11">
        <v>239.56360078150854</v>
      </c>
      <c r="K19" s="11">
        <v>7.8435149427828605</v>
      </c>
      <c r="L19" s="11">
        <v>46.197619368992711</v>
      </c>
      <c r="M19" s="11">
        <v>204.00882452309784</v>
      </c>
      <c r="N19" s="11">
        <v>7.6250262886504352</v>
      </c>
      <c r="O19" s="11">
        <v>0.52438200715339467</v>
      </c>
      <c r="P19" s="11">
        <v>0.22956708411434423</v>
      </c>
      <c r="Q19" s="11">
        <v>160.48190935059586</v>
      </c>
      <c r="R19" s="12">
        <v>0.91793633812515918</v>
      </c>
    </row>
    <row r="20" spans="1:18" x14ac:dyDescent="0.2">
      <c r="A20" s="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x14ac:dyDescent="0.2">
      <c r="A21" s="29" t="s">
        <v>3</v>
      </c>
      <c r="B21" s="14">
        <f t="shared" ref="B21:R21" si="0">AVERAGE(B4:B19)</f>
        <v>440363.02932451502</v>
      </c>
      <c r="C21" s="14">
        <f t="shared" si="0"/>
        <v>7.0132558383042944</v>
      </c>
      <c r="D21" s="14">
        <f t="shared" si="0"/>
        <v>300312.5</v>
      </c>
      <c r="E21" s="14">
        <f t="shared" si="0"/>
        <v>0.86253713524518705</v>
      </c>
      <c r="F21" s="14">
        <f t="shared" si="0"/>
        <v>341483.58972217917</v>
      </c>
      <c r="G21" s="14">
        <f t="shared" si="0"/>
        <v>645.73311668022529</v>
      </c>
      <c r="H21" s="14">
        <f t="shared" si="0"/>
        <v>0.9853290494863931</v>
      </c>
      <c r="I21" s="14">
        <f t="shared" si="0"/>
        <v>31.329622852834738</v>
      </c>
      <c r="J21" s="14">
        <f t="shared" si="0"/>
        <v>239.29712124909366</v>
      </c>
      <c r="K21" s="14">
        <f t="shared" si="0"/>
        <v>8.6281969045013192</v>
      </c>
      <c r="L21" s="14">
        <f t="shared" si="0"/>
        <v>39.364773169902818</v>
      </c>
      <c r="M21" s="14">
        <f t="shared" si="0"/>
        <v>303.59872553132726</v>
      </c>
      <c r="N21" s="14">
        <f t="shared" si="0"/>
        <v>24.002741417892214</v>
      </c>
      <c r="O21" s="14">
        <f t="shared" si="0"/>
        <v>0.98006468646912315</v>
      </c>
      <c r="P21" s="14">
        <f t="shared" si="0"/>
        <v>0.88674417602009303</v>
      </c>
      <c r="Q21" s="14">
        <f t="shared" si="0"/>
        <v>364.05049500182787</v>
      </c>
      <c r="R21" s="15">
        <f t="shared" si="0"/>
        <v>1.1573278493572539</v>
      </c>
    </row>
    <row r="22" spans="1:18" x14ac:dyDescent="0.2">
      <c r="A22" s="26" t="s">
        <v>1</v>
      </c>
      <c r="B22" s="16">
        <f t="shared" ref="B22:R22" si="1">MIN(B4:B19)</f>
        <v>372334.64232164307</v>
      </c>
      <c r="C22" s="16">
        <f t="shared" si="1"/>
        <v>2.4210018957048067</v>
      </c>
      <c r="D22" s="16">
        <f t="shared" si="1"/>
        <v>297500</v>
      </c>
      <c r="E22" s="16">
        <f t="shared" si="1"/>
        <v>0.29370355374991802</v>
      </c>
      <c r="F22" s="16">
        <f t="shared" si="1"/>
        <v>310012.76453047234</v>
      </c>
      <c r="G22" s="16">
        <f t="shared" si="1"/>
        <v>127.6892805843907</v>
      </c>
      <c r="H22" s="16">
        <f t="shared" si="1"/>
        <v>0.60253754799113979</v>
      </c>
      <c r="I22" s="16">
        <f t="shared" si="1"/>
        <v>1.9848073346402875</v>
      </c>
      <c r="J22" s="16">
        <f t="shared" si="1"/>
        <v>164.30012860844019</v>
      </c>
      <c r="K22" s="16">
        <f t="shared" si="1"/>
        <v>3.28826237210987</v>
      </c>
      <c r="L22" s="16">
        <f t="shared" si="1"/>
        <v>1.8056284067482005</v>
      </c>
      <c r="M22" s="16">
        <f t="shared" si="1"/>
        <v>19.972486905971142</v>
      </c>
      <c r="N22" s="16">
        <f t="shared" si="1"/>
        <v>1.0982133359363302</v>
      </c>
      <c r="O22" s="16">
        <f t="shared" si="1"/>
        <v>0.27399836936062039</v>
      </c>
      <c r="P22" s="16">
        <f t="shared" si="1"/>
        <v>0.15963928729704777</v>
      </c>
      <c r="Q22" s="16">
        <f t="shared" si="1"/>
        <v>4.6296702674492405</v>
      </c>
      <c r="R22" s="17">
        <f t="shared" si="1"/>
        <v>0.17765413511275599</v>
      </c>
    </row>
    <row r="23" spans="1:18" x14ac:dyDescent="0.2">
      <c r="A23" s="26" t="s">
        <v>2</v>
      </c>
      <c r="B23" s="16">
        <f t="shared" ref="B23:R23" si="2">MAX(B4:B19)</f>
        <v>511498.71231568663</v>
      </c>
      <c r="C23" s="16">
        <f t="shared" si="2"/>
        <v>41.099668226166379</v>
      </c>
      <c r="D23" s="16">
        <f t="shared" si="2"/>
        <v>300500</v>
      </c>
      <c r="E23" s="16">
        <f t="shared" si="2"/>
        <v>1.7556811204133287</v>
      </c>
      <c r="F23" s="16">
        <f t="shared" si="2"/>
        <v>367893.10802158248</v>
      </c>
      <c r="G23" s="16">
        <f t="shared" si="2"/>
        <v>6218.1839729006788</v>
      </c>
      <c r="H23" s="16">
        <f t="shared" si="2"/>
        <v>1.8078152033696564</v>
      </c>
      <c r="I23" s="16">
        <f t="shared" si="2"/>
        <v>92.138094367983243</v>
      </c>
      <c r="J23" s="16">
        <f t="shared" si="2"/>
        <v>313.22565593636796</v>
      </c>
      <c r="K23" s="16">
        <f t="shared" si="2"/>
        <v>36.088811250205616</v>
      </c>
      <c r="L23" s="16">
        <f t="shared" si="2"/>
        <v>199.94238601936624</v>
      </c>
      <c r="M23" s="16">
        <f t="shared" si="2"/>
        <v>1610.6102916565487</v>
      </c>
      <c r="N23" s="16">
        <f t="shared" si="2"/>
        <v>186.69479301848978</v>
      </c>
      <c r="O23" s="16">
        <f t="shared" si="2"/>
        <v>1.5130617652912541</v>
      </c>
      <c r="P23" s="16">
        <f t="shared" si="2"/>
        <v>4.3796743762133046</v>
      </c>
      <c r="Q23" s="16">
        <f t="shared" si="2"/>
        <v>4616.7953255263619</v>
      </c>
      <c r="R23" s="17">
        <f t="shared" si="2"/>
        <v>3.6887026794518092</v>
      </c>
    </row>
    <row r="24" spans="1:18" x14ac:dyDescent="0.2">
      <c r="A24" s="26" t="s">
        <v>24</v>
      </c>
      <c r="B24" s="16">
        <f>MEDIAN(B4:B19)</f>
        <v>446209.21951680857</v>
      </c>
      <c r="C24" s="16">
        <f t="shared" ref="C24:R24" si="3">MEDIAN(C4:C19)</f>
        <v>4.1924893788985829</v>
      </c>
      <c r="D24" s="16">
        <f t="shared" si="3"/>
        <v>300500</v>
      </c>
      <c r="E24" s="16">
        <f t="shared" si="3"/>
        <v>0.70038193340875066</v>
      </c>
      <c r="F24" s="16">
        <f t="shared" si="3"/>
        <v>345019.77057422098</v>
      </c>
      <c r="G24" s="16">
        <f t="shared" si="3"/>
        <v>260.51176825556325</v>
      </c>
      <c r="H24" s="16">
        <f t="shared" si="3"/>
        <v>0.86848014656545125</v>
      </c>
      <c r="I24" s="16">
        <f t="shared" si="3"/>
        <v>11.033440309971551</v>
      </c>
      <c r="J24" s="16">
        <f t="shared" si="3"/>
        <v>245.16302566881831</v>
      </c>
      <c r="K24" s="16">
        <f t="shared" si="3"/>
        <v>4.7743518172735078</v>
      </c>
      <c r="L24" s="16">
        <f t="shared" si="3"/>
        <v>10.746896815513789</v>
      </c>
      <c r="M24" s="16">
        <f t="shared" si="3"/>
        <v>199.70900142950239</v>
      </c>
      <c r="N24" s="16">
        <f t="shared" si="3"/>
        <v>9.3279704666071481</v>
      </c>
      <c r="O24" s="16">
        <f t="shared" si="3"/>
        <v>0.88913514486859768</v>
      </c>
      <c r="P24" s="16">
        <f t="shared" si="3"/>
        <v>0.37107627960938405</v>
      </c>
      <c r="Q24" s="16">
        <f t="shared" si="3"/>
        <v>42.943960849798017</v>
      </c>
      <c r="R24" s="17">
        <f t="shared" si="3"/>
        <v>0.89434758931926217</v>
      </c>
    </row>
    <row r="25" spans="1:18" x14ac:dyDescent="0.2">
      <c r="A25" s="27" t="s">
        <v>25</v>
      </c>
      <c r="B25" s="13">
        <f>STDEV(B4:B19)</f>
        <v>34131.989934941121</v>
      </c>
      <c r="C25" s="13">
        <f t="shared" ref="C25:R25" si="4">STDEV(C4:C19)</f>
        <v>9.9733393173457454</v>
      </c>
      <c r="D25" s="13">
        <f t="shared" si="4"/>
        <v>750</v>
      </c>
      <c r="E25" s="13">
        <f t="shared" si="4"/>
        <v>0.62644450105647864</v>
      </c>
      <c r="F25" s="13">
        <f t="shared" si="4"/>
        <v>15748.491244448456</v>
      </c>
      <c r="G25" s="13">
        <f t="shared" si="4"/>
        <v>1490.3373315643403</v>
      </c>
      <c r="H25" s="13">
        <f t="shared" si="4"/>
        <v>0.38011274666496353</v>
      </c>
      <c r="I25" s="13">
        <f t="shared" si="4"/>
        <v>33.16733334152952</v>
      </c>
      <c r="J25" s="13">
        <f t="shared" si="4"/>
        <v>41.716566238307031</v>
      </c>
      <c r="K25" s="13">
        <f t="shared" si="4"/>
        <v>10.486638056012847</v>
      </c>
      <c r="L25" s="13">
        <f t="shared" si="4"/>
        <v>56.789503420349178</v>
      </c>
      <c r="M25" s="13">
        <f t="shared" si="4"/>
        <v>396.89871582712755</v>
      </c>
      <c r="N25" s="13">
        <f t="shared" si="4"/>
        <v>44.457010955198491</v>
      </c>
      <c r="O25" s="13">
        <f t="shared" si="4"/>
        <v>0.42856079816095743</v>
      </c>
      <c r="P25" s="13">
        <f t="shared" si="4"/>
        <v>1.4314094109287872</v>
      </c>
      <c r="Q25" s="13">
        <f t="shared" si="4"/>
        <v>1137.2550866930917</v>
      </c>
      <c r="R25" s="18">
        <f t="shared" si="4"/>
        <v>0.99148621359935463</v>
      </c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28"/>
      <c r="B27" s="2" t="s">
        <v>0</v>
      </c>
      <c r="C27" s="2" t="s">
        <v>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</row>
  </sheetData>
  <mergeCells count="1">
    <mergeCell ref="A1: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9064F-A3C9-4E1E-BF57-0C7047D12EC7}"/>
</file>

<file path=customXml/itemProps2.xml><?xml version="1.0" encoding="utf-8"?>
<ds:datastoreItem xmlns:ds="http://schemas.openxmlformats.org/officeDocument/2006/customXml" ds:itemID="{5800596B-2505-4682-917D-836C0AF35493}"/>
</file>

<file path=customXml/itemProps3.xml><?xml version="1.0" encoding="utf-8"?>
<ds:datastoreItem xmlns:ds="http://schemas.openxmlformats.org/officeDocument/2006/customXml" ds:itemID="{FD358B9C-6540-4D26-8CAA-D7CA4C266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7 LAICPMS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Antonio Ciccolella</cp:lastModifiedBy>
  <dcterms:created xsi:type="dcterms:W3CDTF">2023-12-13T18:52:29Z</dcterms:created>
  <dcterms:modified xsi:type="dcterms:W3CDTF">2024-07-25T16:35:08Z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