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8"/>
  <workbookPr/>
  <mc:AlternateContent xmlns:mc="http://schemas.openxmlformats.org/markup-compatibility/2006">
    <mc:Choice Requires="x15">
      <x15ac:absPath xmlns:x15ac="http://schemas.microsoft.com/office/spreadsheetml/2010/11/ac" url="C:\Users\13128\Desktop\KKTL论文\"/>
    </mc:Choice>
  </mc:AlternateContent>
  <xr:revisionPtr revIDLastSave="0" documentId="8_{E11B6F6D-D4A5-455C-8FBD-3800FF313C2C}" xr6:coauthVersionLast="47" xr6:coauthVersionMax="47" xr10:uidLastSave="{00000000-0000-0000-0000-000000000000}"/>
  <bookViews>
    <workbookView xWindow="1140" yWindow="1140" windowWidth="19200" windowHeight="111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1" l="1"/>
  <c r="D63" i="1"/>
  <c r="E63" i="1"/>
  <c r="F63" i="1"/>
  <c r="G63" i="1"/>
  <c r="H63" i="1"/>
  <c r="I63" i="1"/>
  <c r="J63" i="1"/>
  <c r="K63" i="1"/>
  <c r="L63" i="1"/>
  <c r="M63" i="1"/>
  <c r="N63" i="1"/>
  <c r="B63" i="1"/>
  <c r="C56" i="1"/>
  <c r="D56" i="1"/>
  <c r="E56" i="1"/>
  <c r="F56" i="1"/>
  <c r="G56" i="1"/>
  <c r="H56" i="1"/>
  <c r="I56" i="1"/>
  <c r="J56" i="1"/>
  <c r="K56" i="1"/>
  <c r="L56" i="1"/>
  <c r="M56" i="1"/>
  <c r="N56" i="1"/>
  <c r="B56" i="1"/>
  <c r="C44" i="1"/>
  <c r="D44" i="1"/>
  <c r="E44" i="1"/>
  <c r="F44" i="1"/>
  <c r="G44" i="1"/>
  <c r="H44" i="1"/>
  <c r="I44" i="1"/>
  <c r="J44" i="1"/>
  <c r="K44" i="1"/>
  <c r="L44" i="1"/>
  <c r="M44" i="1"/>
  <c r="N44" i="1"/>
  <c r="B44" i="1"/>
  <c r="C31" i="1"/>
  <c r="D31" i="1"/>
  <c r="E31" i="1"/>
  <c r="F31" i="1"/>
  <c r="G31" i="1"/>
  <c r="H31" i="1"/>
  <c r="I31" i="1"/>
  <c r="J31" i="1"/>
  <c r="K31" i="1"/>
  <c r="L31" i="1"/>
  <c r="M31" i="1"/>
  <c r="N31" i="1"/>
  <c r="B31" i="1"/>
  <c r="C16" i="1"/>
  <c r="D16" i="1"/>
  <c r="E16" i="1"/>
  <c r="F16" i="1"/>
  <c r="G16" i="1"/>
  <c r="H16" i="1"/>
  <c r="I16" i="1"/>
  <c r="J16" i="1"/>
  <c r="K16" i="1"/>
  <c r="L16" i="1"/>
  <c r="M16" i="1"/>
  <c r="N16" i="1"/>
  <c r="B16" i="1"/>
</calcChain>
</file>

<file path=xl/sharedStrings.xml><?xml version="1.0" encoding="utf-8"?>
<sst xmlns="http://schemas.openxmlformats.org/spreadsheetml/2006/main" count="77" uniqueCount="73">
  <si>
    <t>Table S1 In situ EPMA trace elements results (wt.%) of sphalerite from the Keketale Pb-Zn(-Ag) deposit</t>
    <phoneticPr fontId="1" type="noConversion"/>
  </si>
  <si>
    <t>Sample Name</t>
    <phoneticPr fontId="1" type="noConversion"/>
  </si>
  <si>
    <t>S</t>
    <phoneticPr fontId="1" type="noConversion"/>
  </si>
  <si>
    <t xml:space="preserve">   Zn    </t>
  </si>
  <si>
    <t xml:space="preserve">   Fe    </t>
  </si>
  <si>
    <t xml:space="preserve">   Cu    </t>
  </si>
  <si>
    <t xml:space="preserve">   Mn    </t>
  </si>
  <si>
    <t xml:space="preserve">   As    </t>
  </si>
  <si>
    <t xml:space="preserve">   Sb    </t>
  </si>
  <si>
    <t xml:space="preserve">   Sn    </t>
  </si>
  <si>
    <t xml:space="preserve">   In    </t>
  </si>
  <si>
    <t xml:space="preserve">   Cd    </t>
  </si>
  <si>
    <t xml:space="preserve">   Ag    </t>
  </si>
  <si>
    <t xml:space="preserve">   Pb    </t>
  </si>
  <si>
    <t>Total</t>
    <phoneticPr fontId="1" type="noConversion"/>
  </si>
  <si>
    <r>
      <t>Temperature(</t>
    </r>
    <r>
      <rPr>
        <sz val="10"/>
        <color theme="1"/>
        <rFont val="黑体"/>
        <family val="3"/>
        <charset val="134"/>
      </rPr>
      <t>℃</t>
    </r>
    <r>
      <rPr>
        <sz val="10"/>
        <color theme="1"/>
        <rFont val="Times New Roman"/>
        <family val="1"/>
      </rPr>
      <t>)</t>
    </r>
    <phoneticPr fontId="1" type="noConversion"/>
  </si>
  <si>
    <t xml:space="preserve">            Sp1</t>
    <phoneticPr fontId="1" type="noConversion"/>
  </si>
  <si>
    <t xml:space="preserve">10KK-13@2-1 </t>
  </si>
  <si>
    <t xml:space="preserve">10KK-13@2-4 </t>
  </si>
  <si>
    <t xml:space="preserve">10KK-13@2-8 </t>
  </si>
  <si>
    <t xml:space="preserve">10KK-13@3-2 </t>
  </si>
  <si>
    <t xml:space="preserve">10KK-13@3-4 </t>
  </si>
  <si>
    <t xml:space="preserve">10KK-13@3-6 </t>
  </si>
  <si>
    <t xml:space="preserve">10KK-13@4-1 </t>
  </si>
  <si>
    <t xml:space="preserve">10KK-13@4-3 </t>
  </si>
  <si>
    <t xml:space="preserve">10KK-13@4-9 </t>
  </si>
  <si>
    <t xml:space="preserve">10KK-13@5-6 </t>
  </si>
  <si>
    <t xml:space="preserve">10KK-13@5-7 </t>
  </si>
  <si>
    <t xml:space="preserve">10KK-13@5-9 </t>
    <phoneticPr fontId="1" type="noConversion"/>
  </si>
  <si>
    <t>Average</t>
    <phoneticPr fontId="1" type="noConversion"/>
  </si>
  <si>
    <t xml:space="preserve">            Sp2</t>
    <phoneticPr fontId="1" type="noConversion"/>
  </si>
  <si>
    <t>10kk-01@2-6</t>
    <phoneticPr fontId="1" type="noConversion"/>
  </si>
  <si>
    <t>10kk-01@2-7</t>
    <phoneticPr fontId="1" type="noConversion"/>
  </si>
  <si>
    <t>10kk-01@2-11</t>
    <phoneticPr fontId="1" type="noConversion"/>
  </si>
  <si>
    <t>10kk-01@4-1</t>
  </si>
  <si>
    <t>10kk-01@4-3</t>
    <phoneticPr fontId="1" type="noConversion"/>
  </si>
  <si>
    <t>10kk-01@4-5</t>
  </si>
  <si>
    <t>10kk-01@4-6</t>
  </si>
  <si>
    <t>10kk-01@4-8</t>
  </si>
  <si>
    <t xml:space="preserve">10kk-01@6-8 </t>
  </si>
  <si>
    <t>10KK-H@1-2</t>
  </si>
  <si>
    <t>10KK-H@1-3</t>
  </si>
  <si>
    <t>10KK-H@2-1</t>
  </si>
  <si>
    <t>10KK-H@2-3</t>
  </si>
  <si>
    <t xml:space="preserve">            Sp3</t>
    <phoneticPr fontId="1" type="noConversion"/>
  </si>
  <si>
    <t xml:space="preserve">10KK-9@3-4 </t>
  </si>
  <si>
    <t xml:space="preserve">10KK-9@3-7 </t>
  </si>
  <si>
    <t xml:space="preserve">10KK-9@3-14 </t>
  </si>
  <si>
    <t xml:space="preserve">10KK-9@3-15 </t>
  </si>
  <si>
    <t xml:space="preserve">10KK-9@4-2 </t>
  </si>
  <si>
    <t xml:space="preserve">10KK-9@4-3 </t>
  </si>
  <si>
    <t xml:space="preserve">10KK-9@4-6 </t>
  </si>
  <si>
    <t xml:space="preserve">10KK-9@6-2 </t>
  </si>
  <si>
    <t xml:space="preserve">10KK-9@6-3 </t>
  </si>
  <si>
    <t xml:space="preserve">10KK-9@6-4 </t>
  </si>
  <si>
    <t>10KK-9@6-5</t>
  </si>
  <si>
    <t xml:space="preserve">            Sp4</t>
    <phoneticPr fontId="1" type="noConversion"/>
  </si>
  <si>
    <t>10KK-13@1-2</t>
  </si>
  <si>
    <t>10KK-13@1-3</t>
  </si>
  <si>
    <t>kk-09@2-2</t>
  </si>
  <si>
    <t>10KK-12@1-1</t>
  </si>
  <si>
    <t>10KK-12@1-2</t>
  </si>
  <si>
    <t>10KK-12@2-2</t>
  </si>
  <si>
    <t>10KK-L@6-13</t>
    <phoneticPr fontId="1" type="noConversion"/>
  </si>
  <si>
    <t>10KK-L@6-17</t>
    <phoneticPr fontId="1" type="noConversion"/>
  </si>
  <si>
    <t>10kk-01@2-3</t>
  </si>
  <si>
    <t>10kk-01@4-11</t>
  </si>
  <si>
    <t xml:space="preserve">            Sp5</t>
    <phoneticPr fontId="1" type="noConversion"/>
  </si>
  <si>
    <t>kk-y@1-1</t>
    <phoneticPr fontId="1" type="noConversion"/>
  </si>
  <si>
    <t>kk-y@1-3</t>
    <phoneticPr fontId="1" type="noConversion"/>
  </si>
  <si>
    <t>kk-y@2-4</t>
  </si>
  <si>
    <t>kk-y@3-2</t>
  </si>
  <si>
    <t>kk-y@4-3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</si>
</sst>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[Red]\(0.00\)"/>
    <numFmt numFmtId="165" formatCode="0_);[Red]\(0\)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10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16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/>
      <protection locked="0"/>
    </xf>
    <xf numFmtId="164" fontId="2" fillId="0" borderId="2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"/>
  <sheetViews>
    <sheetView tabSelected="1" workbookViewId="0">
      <selection activeCell="P8" sqref="P8"/>
    </sheetView>
  </sheetViews>
  <sheetFormatPr defaultRowHeight="14.1"/>
  <cols>
    <col min="1" max="1" width="13.125" customWidth="1"/>
    <col min="15" max="15" width="12.5" style="9" bestFit="1" customWidth="1"/>
  </cols>
  <sheetData>
    <row r="1" spans="1:1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7" t="s">
        <v>15</v>
      </c>
    </row>
    <row r="3" spans="1:15">
      <c r="A3" s="12" t="s">
        <v>16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15">
      <c r="A4" s="2" t="s">
        <v>17</v>
      </c>
      <c r="B4" s="3">
        <v>32.622999999999998</v>
      </c>
      <c r="C4" s="3">
        <v>56.597000000000001</v>
      </c>
      <c r="D4" s="3">
        <v>7.52</v>
      </c>
      <c r="E4" s="3">
        <v>0</v>
      </c>
      <c r="F4" s="3">
        <v>1.179</v>
      </c>
      <c r="G4" s="3">
        <v>5.0999999999999997E-2</v>
      </c>
      <c r="H4" s="3">
        <v>0</v>
      </c>
      <c r="I4" s="3">
        <v>0</v>
      </c>
      <c r="J4" s="3">
        <v>0</v>
      </c>
      <c r="K4" s="3">
        <v>0.156</v>
      </c>
      <c r="L4" s="3">
        <v>0</v>
      </c>
      <c r="M4" s="3">
        <v>0</v>
      </c>
      <c r="N4" s="3">
        <v>98.126000000000005</v>
      </c>
      <c r="O4" s="8">
        <v>329.36094873199312</v>
      </c>
    </row>
    <row r="5" spans="1:15">
      <c r="A5" s="2" t="s">
        <v>18</v>
      </c>
      <c r="B5" s="3">
        <v>33.015999999999998</v>
      </c>
      <c r="C5" s="3">
        <v>56.649000000000001</v>
      </c>
      <c r="D5" s="3">
        <v>7.5880000000000001</v>
      </c>
      <c r="E5" s="3">
        <v>0</v>
      </c>
      <c r="F5" s="3">
        <v>1.1180000000000001</v>
      </c>
      <c r="G5" s="3">
        <v>0</v>
      </c>
      <c r="H5" s="3">
        <v>0</v>
      </c>
      <c r="I5" s="3">
        <v>0</v>
      </c>
      <c r="J5" s="3">
        <v>0</v>
      </c>
      <c r="K5" s="3">
        <v>0.157</v>
      </c>
      <c r="L5" s="3">
        <v>0</v>
      </c>
      <c r="M5" s="3">
        <v>0</v>
      </c>
      <c r="N5" s="3">
        <v>98.528000000000006</v>
      </c>
      <c r="O5" s="9">
        <v>330.19049423100688</v>
      </c>
    </row>
    <row r="6" spans="1:15">
      <c r="A6" s="2" t="s">
        <v>19</v>
      </c>
      <c r="B6" s="3">
        <v>33.869999999999997</v>
      </c>
      <c r="C6" s="3">
        <v>57.029000000000003</v>
      </c>
      <c r="D6" s="3">
        <v>7.4020000000000001</v>
      </c>
      <c r="E6" s="3">
        <v>0</v>
      </c>
      <c r="F6" s="3">
        <v>1.1319999999999999</v>
      </c>
      <c r="G6" s="3">
        <v>1.6E-2</v>
      </c>
      <c r="H6" s="3">
        <v>0</v>
      </c>
      <c r="I6" s="3">
        <v>0</v>
      </c>
      <c r="J6" s="3">
        <v>0</v>
      </c>
      <c r="K6" s="3">
        <v>0.129</v>
      </c>
      <c r="L6" s="3">
        <v>0</v>
      </c>
      <c r="M6" s="3">
        <v>0</v>
      </c>
      <c r="N6" s="3">
        <v>99.578000000000003</v>
      </c>
      <c r="O6" s="9">
        <v>326.99508751957507</v>
      </c>
    </row>
    <row r="7" spans="1:15">
      <c r="A7" s="2" t="s">
        <v>20</v>
      </c>
      <c r="B7" s="3">
        <v>33.131</v>
      </c>
      <c r="C7" s="3">
        <v>56.533000000000001</v>
      </c>
      <c r="D7" s="3">
        <v>7.5330000000000004</v>
      </c>
      <c r="E7" s="3">
        <v>0</v>
      </c>
      <c r="F7" s="3">
        <v>1.167</v>
      </c>
      <c r="G7" s="3">
        <v>5.0999999999999997E-2</v>
      </c>
      <c r="H7" s="3">
        <v>0</v>
      </c>
      <c r="I7" s="3">
        <v>0</v>
      </c>
      <c r="J7" s="3">
        <v>0</v>
      </c>
      <c r="K7" s="3">
        <v>0.127</v>
      </c>
      <c r="L7" s="3">
        <v>0</v>
      </c>
      <c r="M7" s="3">
        <v>0</v>
      </c>
      <c r="N7" s="3">
        <v>98.542000000000002</v>
      </c>
      <c r="O7" s="9">
        <v>329.65354340351246</v>
      </c>
    </row>
    <row r="8" spans="1:15">
      <c r="A8" s="2" t="s">
        <v>21</v>
      </c>
      <c r="B8" s="3">
        <v>32.719000000000001</v>
      </c>
      <c r="C8" s="3">
        <v>57.034999999999997</v>
      </c>
      <c r="D8" s="3">
        <v>7.3250000000000002</v>
      </c>
      <c r="E8" s="3">
        <v>0</v>
      </c>
      <c r="F8" s="3">
        <v>1.0569999999999999</v>
      </c>
      <c r="G8" s="3">
        <v>6.5000000000000002E-2</v>
      </c>
      <c r="H8" s="3">
        <v>0</v>
      </c>
      <c r="I8" s="3">
        <v>0</v>
      </c>
      <c r="J8" s="3">
        <v>0</v>
      </c>
      <c r="K8" s="3">
        <v>0.13</v>
      </c>
      <c r="L8" s="3">
        <v>0</v>
      </c>
      <c r="M8" s="3">
        <v>2E-3</v>
      </c>
      <c r="N8" s="3">
        <v>98.332999999999998</v>
      </c>
      <c r="O8" s="9">
        <v>325.94608573682831</v>
      </c>
    </row>
    <row r="9" spans="1:15">
      <c r="A9" s="2" t="s">
        <v>22</v>
      </c>
      <c r="B9" s="3">
        <v>32.725999999999999</v>
      </c>
      <c r="C9" s="3">
        <v>57.008000000000003</v>
      </c>
      <c r="D9" s="3">
        <v>7.4059999999999997</v>
      </c>
      <c r="E9" s="3">
        <v>0</v>
      </c>
      <c r="F9" s="3">
        <v>1.0589999999999999</v>
      </c>
      <c r="G9" s="3">
        <v>0</v>
      </c>
      <c r="H9" s="3">
        <v>0</v>
      </c>
      <c r="I9" s="3">
        <v>0</v>
      </c>
      <c r="J9" s="3">
        <v>1.2E-2</v>
      </c>
      <c r="K9" s="3">
        <v>0.13200000000000001</v>
      </c>
      <c r="L9" s="3">
        <v>0</v>
      </c>
      <c r="M9" s="3">
        <v>0</v>
      </c>
      <c r="N9" s="3">
        <v>98.343000000000004</v>
      </c>
      <c r="O9" s="9">
        <v>327.0858395043071</v>
      </c>
    </row>
    <row r="10" spans="1:15">
      <c r="A10" s="2" t="s">
        <v>23</v>
      </c>
      <c r="B10" s="3">
        <v>33.229999999999997</v>
      </c>
      <c r="C10" s="3">
        <v>57.396000000000001</v>
      </c>
      <c r="D10" s="3">
        <v>7.4550000000000001</v>
      </c>
      <c r="E10" s="3">
        <v>0</v>
      </c>
      <c r="F10" s="3">
        <v>1.0289999999999999</v>
      </c>
      <c r="G10" s="3">
        <v>9.1999999999999998E-2</v>
      </c>
      <c r="H10" s="3">
        <v>0</v>
      </c>
      <c r="I10" s="3">
        <v>2E-3</v>
      </c>
      <c r="J10" s="3">
        <v>0</v>
      </c>
      <c r="K10" s="3">
        <v>0.128</v>
      </c>
      <c r="L10" s="3">
        <v>0</v>
      </c>
      <c r="M10" s="3">
        <v>2.1000000000000001E-2</v>
      </c>
      <c r="N10" s="3">
        <v>99.352999999999994</v>
      </c>
      <c r="O10" s="9">
        <v>327.06700011257817</v>
      </c>
    </row>
    <row r="11" spans="1:15">
      <c r="A11" s="2" t="s">
        <v>24</v>
      </c>
      <c r="B11" s="3">
        <v>33.198</v>
      </c>
      <c r="C11" s="3">
        <v>58.44</v>
      </c>
      <c r="D11" s="3">
        <v>6.556</v>
      </c>
      <c r="E11" s="3">
        <v>5.0000000000000001E-3</v>
      </c>
      <c r="F11" s="3">
        <v>0.96099999999999997</v>
      </c>
      <c r="G11" s="3">
        <v>0</v>
      </c>
      <c r="H11" s="3">
        <v>0</v>
      </c>
      <c r="I11" s="3">
        <v>0</v>
      </c>
      <c r="J11" s="3">
        <v>0</v>
      </c>
      <c r="K11" s="3">
        <v>0.111</v>
      </c>
      <c r="L11" s="3">
        <v>0</v>
      </c>
      <c r="M11" s="3">
        <v>0</v>
      </c>
      <c r="N11" s="3">
        <v>99.271000000000001</v>
      </c>
      <c r="O11" s="9">
        <v>313.44879692518299</v>
      </c>
    </row>
    <row r="12" spans="1:15">
      <c r="A12" s="2" t="s">
        <v>25</v>
      </c>
      <c r="B12" s="3">
        <v>33.131</v>
      </c>
      <c r="C12" s="3">
        <v>59.563000000000002</v>
      </c>
      <c r="D12" s="3">
        <v>5.6230000000000002</v>
      </c>
      <c r="E12" s="3">
        <v>0</v>
      </c>
      <c r="F12" s="3">
        <v>0.76900000000000002</v>
      </c>
      <c r="G12" s="3">
        <v>2.7E-2</v>
      </c>
      <c r="H12" s="3">
        <v>0</v>
      </c>
      <c r="I12" s="3">
        <v>0</v>
      </c>
      <c r="J12" s="3">
        <v>0</v>
      </c>
      <c r="K12" s="3">
        <v>7.8E-2</v>
      </c>
      <c r="L12" s="3">
        <v>0</v>
      </c>
      <c r="M12" s="3">
        <v>2.3E-2</v>
      </c>
      <c r="N12" s="3">
        <v>99.213999999999999</v>
      </c>
      <c r="O12" s="9">
        <v>299.7724955735298</v>
      </c>
    </row>
    <row r="13" spans="1:15">
      <c r="A13" s="2" t="s">
        <v>26</v>
      </c>
      <c r="B13" s="3">
        <v>33.148000000000003</v>
      </c>
      <c r="C13" s="3">
        <v>56.646000000000001</v>
      </c>
      <c r="D13" s="3">
        <v>7.5179999999999998</v>
      </c>
      <c r="E13" s="3">
        <v>0</v>
      </c>
      <c r="F13" s="3">
        <v>1.1319999999999999</v>
      </c>
      <c r="G13" s="3">
        <v>7.1999999999999995E-2</v>
      </c>
      <c r="H13" s="3">
        <v>0</v>
      </c>
      <c r="I13" s="3">
        <v>0</v>
      </c>
      <c r="J13" s="3">
        <v>0</v>
      </c>
      <c r="K13" s="3">
        <v>0.13900000000000001</v>
      </c>
      <c r="L13" s="3">
        <v>0</v>
      </c>
      <c r="M13" s="3">
        <v>0</v>
      </c>
      <c r="N13" s="3">
        <v>98.655000000000001</v>
      </c>
      <c r="O13" s="9">
        <v>329.24537817864797</v>
      </c>
    </row>
    <row r="14" spans="1:15">
      <c r="A14" s="2" t="s">
        <v>27</v>
      </c>
      <c r="B14" s="3">
        <v>33.366999999999997</v>
      </c>
      <c r="C14" s="3">
        <v>57.115000000000002</v>
      </c>
      <c r="D14" s="3">
        <v>7.3170000000000002</v>
      </c>
      <c r="E14" s="3">
        <v>0</v>
      </c>
      <c r="F14" s="3">
        <v>1.1259999999999999</v>
      </c>
      <c r="G14" s="3">
        <v>4.8000000000000001E-2</v>
      </c>
      <c r="H14" s="3">
        <v>0</v>
      </c>
      <c r="I14" s="3">
        <v>0</v>
      </c>
      <c r="J14" s="3">
        <v>8.0000000000000002E-3</v>
      </c>
      <c r="K14" s="3">
        <v>0.13200000000000001</v>
      </c>
      <c r="L14" s="3">
        <v>0</v>
      </c>
      <c r="M14" s="3">
        <v>0</v>
      </c>
      <c r="N14" s="3">
        <v>99.113</v>
      </c>
      <c r="O14" s="9">
        <v>325.69996430952403</v>
      </c>
    </row>
    <row r="15" spans="1:15">
      <c r="A15" s="1" t="s">
        <v>28</v>
      </c>
      <c r="B15" s="3">
        <v>33.064999999999998</v>
      </c>
      <c r="C15" s="3">
        <v>55.988</v>
      </c>
      <c r="D15" s="3">
        <v>8.1690000000000005</v>
      </c>
      <c r="E15" s="3">
        <v>0</v>
      </c>
      <c r="F15" s="3">
        <v>1.2749999999999999</v>
      </c>
      <c r="G15" s="3">
        <v>0</v>
      </c>
      <c r="H15" s="3">
        <v>0</v>
      </c>
      <c r="I15" s="3">
        <v>0</v>
      </c>
      <c r="J15" s="3">
        <v>0</v>
      </c>
      <c r="K15" s="3">
        <v>0.13800000000000001</v>
      </c>
      <c r="L15" s="3">
        <v>0</v>
      </c>
      <c r="M15" s="3">
        <v>0</v>
      </c>
      <c r="N15" s="3">
        <v>98.635000000000005</v>
      </c>
      <c r="O15" s="9">
        <v>339.38943509873002</v>
      </c>
    </row>
    <row r="16" spans="1:15">
      <c r="A16" s="5" t="s">
        <v>29</v>
      </c>
      <c r="B16" s="6">
        <f>AVERAGE(B4:B15)</f>
        <v>33.102000000000004</v>
      </c>
      <c r="C16" s="6">
        <f t="shared" ref="C16:N16" si="0">AVERAGE(C4:C15)</f>
        <v>57.166583333333335</v>
      </c>
      <c r="D16" s="6">
        <f t="shared" si="0"/>
        <v>7.2843333333333327</v>
      </c>
      <c r="E16" s="6">
        <f t="shared" si="0"/>
        <v>4.1666666666666669E-4</v>
      </c>
      <c r="F16" s="6">
        <f t="shared" si="0"/>
        <v>1.0836666666666666</v>
      </c>
      <c r="G16" s="6">
        <f t="shared" si="0"/>
        <v>3.5166666666666672E-2</v>
      </c>
      <c r="H16" s="6">
        <f t="shared" si="0"/>
        <v>0</v>
      </c>
      <c r="I16" s="6">
        <f t="shared" si="0"/>
        <v>1.6666666666666666E-4</v>
      </c>
      <c r="J16" s="6">
        <f t="shared" si="0"/>
        <v>1.6666666666666668E-3</v>
      </c>
      <c r="K16" s="6">
        <f t="shared" si="0"/>
        <v>0.12975</v>
      </c>
      <c r="L16" s="6">
        <f t="shared" si="0"/>
        <v>0</v>
      </c>
      <c r="M16" s="6">
        <f t="shared" si="0"/>
        <v>3.8333333333333331E-3</v>
      </c>
      <c r="N16" s="6">
        <f t="shared" si="0"/>
        <v>98.807583333333312</v>
      </c>
      <c r="O16" s="10">
        <v>327.64387034108057</v>
      </c>
    </row>
    <row r="17" spans="1:15">
      <c r="A17" s="11" t="s">
        <v>30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>
      <c r="A18" s="1" t="s">
        <v>31</v>
      </c>
      <c r="B18" s="3">
        <v>33.758000000000003</v>
      </c>
      <c r="C18" s="3">
        <v>48.631999999999998</v>
      </c>
      <c r="D18" s="3">
        <v>8.8849999999999998</v>
      </c>
      <c r="E18" s="3">
        <v>3.3000000000000002E-2</v>
      </c>
      <c r="F18" s="3">
        <v>6.0330000000000004</v>
      </c>
      <c r="G18" s="3">
        <v>0.105</v>
      </c>
      <c r="H18" s="3">
        <v>0</v>
      </c>
      <c r="I18" s="3">
        <v>0</v>
      </c>
      <c r="J18" s="3">
        <v>0</v>
      </c>
      <c r="K18" s="3">
        <v>0.129</v>
      </c>
      <c r="L18" s="3">
        <v>0</v>
      </c>
      <c r="M18" s="3">
        <v>0</v>
      </c>
      <c r="N18" s="3">
        <v>97.575000000000003</v>
      </c>
      <c r="O18" s="8">
        <v>367.69125741835074</v>
      </c>
    </row>
    <row r="19" spans="1:15">
      <c r="A19" s="1" t="s">
        <v>32</v>
      </c>
      <c r="B19" s="3">
        <v>33.369999999999997</v>
      </c>
      <c r="C19" s="3">
        <v>50.284999999999997</v>
      </c>
      <c r="D19" s="3">
        <v>8.6440000000000001</v>
      </c>
      <c r="E19" s="3">
        <v>2.7E-2</v>
      </c>
      <c r="F19" s="3">
        <v>5.35</v>
      </c>
      <c r="G19" s="3">
        <v>0.104</v>
      </c>
      <c r="H19" s="3">
        <v>0</v>
      </c>
      <c r="I19" s="3">
        <v>2E-3</v>
      </c>
      <c r="J19" s="3">
        <v>4.0000000000000001E-3</v>
      </c>
      <c r="K19" s="3">
        <v>0.14099999999999999</v>
      </c>
      <c r="L19" s="3">
        <v>0</v>
      </c>
      <c r="M19" s="3">
        <v>0</v>
      </c>
      <c r="N19" s="3">
        <v>97.927000000000007</v>
      </c>
      <c r="O19" s="9">
        <v>359.38474541268619</v>
      </c>
    </row>
    <row r="20" spans="1:15">
      <c r="A20" s="1" t="s">
        <v>33</v>
      </c>
      <c r="B20" s="3">
        <v>33.798000000000002</v>
      </c>
      <c r="C20" s="3">
        <v>49.186999999999998</v>
      </c>
      <c r="D20" s="3">
        <v>9.1590000000000007</v>
      </c>
      <c r="E20" s="3">
        <v>1.4E-2</v>
      </c>
      <c r="F20" s="3">
        <v>5.8440000000000003</v>
      </c>
      <c r="G20" s="3">
        <v>0</v>
      </c>
      <c r="H20" s="3">
        <v>0</v>
      </c>
      <c r="I20" s="3">
        <v>0</v>
      </c>
      <c r="J20" s="3">
        <v>0</v>
      </c>
      <c r="K20" s="3">
        <v>0.11</v>
      </c>
      <c r="L20" s="3">
        <v>0</v>
      </c>
      <c r="M20" s="3">
        <v>0</v>
      </c>
      <c r="N20" s="3">
        <v>98.111999999999995</v>
      </c>
      <c r="O20" s="9">
        <v>370.39056755146379</v>
      </c>
    </row>
    <row r="21" spans="1:15">
      <c r="A21" s="1" t="s">
        <v>34</v>
      </c>
      <c r="B21" s="3">
        <v>33.289000000000001</v>
      </c>
      <c r="C21" s="3">
        <v>49.390999999999998</v>
      </c>
      <c r="D21" s="3">
        <v>9.51</v>
      </c>
      <c r="E21" s="3">
        <v>0.03</v>
      </c>
      <c r="F21" s="3">
        <v>5.8019999999999996</v>
      </c>
      <c r="G21" s="3">
        <v>0</v>
      </c>
      <c r="H21" s="3">
        <v>2.8000000000000001E-2</v>
      </c>
      <c r="I21" s="3">
        <v>4.0000000000000001E-3</v>
      </c>
      <c r="J21" s="3">
        <v>0</v>
      </c>
      <c r="K21" s="3">
        <v>0.126</v>
      </c>
      <c r="L21" s="3">
        <v>0</v>
      </c>
      <c r="M21" s="3">
        <v>0</v>
      </c>
      <c r="N21" s="3">
        <v>98.18</v>
      </c>
      <c r="O21" s="9">
        <v>375.26553887892999</v>
      </c>
    </row>
    <row r="22" spans="1:15">
      <c r="A22" s="1" t="s">
        <v>35</v>
      </c>
      <c r="B22" s="3">
        <v>34.116</v>
      </c>
      <c r="C22" s="3">
        <v>49.015999999999998</v>
      </c>
      <c r="D22" s="3">
        <v>9.5190000000000001</v>
      </c>
      <c r="E22" s="3">
        <v>2.8000000000000001E-2</v>
      </c>
      <c r="F22" s="3">
        <v>6.0670000000000002</v>
      </c>
      <c r="G22" s="3">
        <v>2.5000000000000001E-2</v>
      </c>
      <c r="H22" s="3">
        <v>0</v>
      </c>
      <c r="I22" s="3">
        <v>0</v>
      </c>
      <c r="J22" s="3">
        <v>1.7999999999999999E-2</v>
      </c>
      <c r="K22" s="3">
        <v>0.13600000000000001</v>
      </c>
      <c r="L22" s="3">
        <v>0</v>
      </c>
      <c r="M22" s="3">
        <v>2.3E-2</v>
      </c>
      <c r="N22" s="3">
        <v>98.947999999999993</v>
      </c>
      <c r="O22" s="9">
        <v>376.53991789180304</v>
      </c>
    </row>
    <row r="23" spans="1:15">
      <c r="A23" s="1" t="s">
        <v>36</v>
      </c>
      <c r="B23" s="3">
        <v>34.173999999999999</v>
      </c>
      <c r="C23" s="3">
        <v>49.311</v>
      </c>
      <c r="D23" s="3">
        <v>9.2159999999999993</v>
      </c>
      <c r="E23" s="3">
        <v>1.4999999999999999E-2</v>
      </c>
      <c r="F23" s="3">
        <v>5.5659999999999998</v>
      </c>
      <c r="G23" s="3">
        <v>3.9E-2</v>
      </c>
      <c r="H23" s="3">
        <v>0</v>
      </c>
      <c r="I23" s="3">
        <v>3.0000000000000001E-3</v>
      </c>
      <c r="J23" s="3">
        <v>3.0000000000000001E-3</v>
      </c>
      <c r="K23" s="3">
        <v>0.107</v>
      </c>
      <c r="L23" s="3">
        <v>0</v>
      </c>
      <c r="M23" s="3">
        <v>0</v>
      </c>
      <c r="N23" s="3">
        <v>98.433999999999997</v>
      </c>
      <c r="O23" s="9">
        <v>370.91955297850535</v>
      </c>
    </row>
    <row r="24" spans="1:15">
      <c r="A24" s="1" t="s">
        <v>37</v>
      </c>
      <c r="B24" s="3">
        <v>33.767000000000003</v>
      </c>
      <c r="C24" s="3">
        <v>49.273000000000003</v>
      </c>
      <c r="D24" s="3">
        <v>9.6300000000000008</v>
      </c>
      <c r="E24" s="3">
        <v>0</v>
      </c>
      <c r="F24" s="3">
        <v>5.6219999999999999</v>
      </c>
      <c r="G24" s="3">
        <v>0</v>
      </c>
      <c r="H24" s="3">
        <v>0.02</v>
      </c>
      <c r="I24" s="3">
        <v>0</v>
      </c>
      <c r="J24" s="3">
        <v>3.5000000000000003E-2</v>
      </c>
      <c r="K24" s="3">
        <v>0.14299999999999999</v>
      </c>
      <c r="L24" s="3">
        <v>0</v>
      </c>
      <c r="M24" s="3">
        <v>0</v>
      </c>
      <c r="N24" s="3">
        <v>98.49</v>
      </c>
      <c r="O24" s="9">
        <v>377.49363280560897</v>
      </c>
    </row>
    <row r="25" spans="1:15">
      <c r="A25" s="1" t="s">
        <v>38</v>
      </c>
      <c r="B25" s="3">
        <v>33.799999999999997</v>
      </c>
      <c r="C25" s="3">
        <v>49.305999999999997</v>
      </c>
      <c r="D25" s="3">
        <v>9.1709999999999994</v>
      </c>
      <c r="E25" s="3">
        <v>0</v>
      </c>
      <c r="F25" s="3">
        <v>5.7140000000000004</v>
      </c>
      <c r="G25" s="3">
        <v>6.0999999999999999E-2</v>
      </c>
      <c r="H25" s="3">
        <v>0.01</v>
      </c>
      <c r="I25" s="3">
        <v>3.0000000000000001E-3</v>
      </c>
      <c r="J25" s="3">
        <v>0</v>
      </c>
      <c r="K25" s="3">
        <v>0.159</v>
      </c>
      <c r="L25" s="3">
        <v>0</v>
      </c>
      <c r="M25" s="3">
        <v>0</v>
      </c>
      <c r="N25" s="3">
        <v>98.224000000000004</v>
      </c>
      <c r="O25" s="9">
        <v>370.23207972816539</v>
      </c>
    </row>
    <row r="26" spans="1:15">
      <c r="A26" s="1" t="s">
        <v>39</v>
      </c>
      <c r="B26" s="3">
        <v>33.216000000000001</v>
      </c>
      <c r="C26" s="3">
        <v>48.765999999999998</v>
      </c>
      <c r="D26" s="3">
        <v>9.6189999999999998</v>
      </c>
      <c r="E26" s="3">
        <v>0</v>
      </c>
      <c r="F26" s="3">
        <v>5.3540000000000001</v>
      </c>
      <c r="G26" s="3">
        <v>0.112</v>
      </c>
      <c r="H26" s="3">
        <v>0</v>
      </c>
      <c r="I26" s="3">
        <v>0</v>
      </c>
      <c r="J26" s="3">
        <v>0</v>
      </c>
      <c r="K26" s="3">
        <v>0.122</v>
      </c>
      <c r="L26" s="3">
        <v>0</v>
      </c>
      <c r="M26" s="3">
        <v>0</v>
      </c>
      <c r="N26" s="3">
        <v>97.188999999999993</v>
      </c>
      <c r="O26" s="9">
        <v>378.88314052350478</v>
      </c>
    </row>
    <row r="27" spans="1:15">
      <c r="A27" s="1" t="s">
        <v>40</v>
      </c>
      <c r="B27" s="3">
        <v>33.767000000000003</v>
      </c>
      <c r="C27" s="3">
        <v>51.865000000000002</v>
      </c>
      <c r="D27" s="3">
        <v>8.6449999999999996</v>
      </c>
      <c r="E27" s="3">
        <v>0</v>
      </c>
      <c r="F27" s="3">
        <v>4.7039999999999997</v>
      </c>
      <c r="G27" s="3">
        <v>1.7000000000000001E-2</v>
      </c>
      <c r="H27" s="3">
        <v>1.7999999999999999E-2</v>
      </c>
      <c r="I27" s="3">
        <v>1E-3</v>
      </c>
      <c r="J27" s="3">
        <v>0</v>
      </c>
      <c r="K27" s="3">
        <v>0.17499999999999999</v>
      </c>
      <c r="L27" s="3">
        <v>0</v>
      </c>
      <c r="M27" s="3">
        <v>0</v>
      </c>
      <c r="N27" s="3">
        <v>99.191999999999993</v>
      </c>
      <c r="O27" s="9">
        <v>355.37133386232006</v>
      </c>
    </row>
    <row r="28" spans="1:15">
      <c r="A28" s="1" t="s">
        <v>41</v>
      </c>
      <c r="B28" s="3">
        <v>33.018999999999998</v>
      </c>
      <c r="C28" s="3">
        <v>52.35</v>
      </c>
      <c r="D28" s="3">
        <v>8.1950000000000003</v>
      </c>
      <c r="E28" s="3">
        <v>0</v>
      </c>
      <c r="F28" s="3">
        <v>4.6779999999999999</v>
      </c>
      <c r="G28" s="3">
        <v>8.8999999999999996E-2</v>
      </c>
      <c r="H28" s="3">
        <v>0</v>
      </c>
      <c r="I28" s="3">
        <v>0</v>
      </c>
      <c r="J28" s="3">
        <v>0.01</v>
      </c>
      <c r="K28" s="3">
        <v>0.10100000000000001</v>
      </c>
      <c r="L28" s="3">
        <v>0</v>
      </c>
      <c r="M28" s="3">
        <v>0</v>
      </c>
      <c r="N28" s="3">
        <v>98.441999999999993</v>
      </c>
      <c r="O28" s="9">
        <v>347.57115568290351</v>
      </c>
    </row>
    <row r="29" spans="1:15">
      <c r="A29" s="1" t="s">
        <v>42</v>
      </c>
      <c r="B29" s="3">
        <v>33.212000000000003</v>
      </c>
      <c r="C29" s="3">
        <v>53.046999999999997</v>
      </c>
      <c r="D29" s="3">
        <v>8.1219999999999999</v>
      </c>
      <c r="E29" s="3">
        <v>0</v>
      </c>
      <c r="F29" s="3">
        <v>3.4079999999999999</v>
      </c>
      <c r="G29" s="3">
        <v>0.14299999999999999</v>
      </c>
      <c r="H29" s="3">
        <v>0</v>
      </c>
      <c r="I29" s="3">
        <v>4.0000000000000001E-3</v>
      </c>
      <c r="J29" s="3">
        <v>0</v>
      </c>
      <c r="K29" s="3">
        <v>0.16700000000000001</v>
      </c>
      <c r="L29" s="3">
        <v>0</v>
      </c>
      <c r="M29" s="3">
        <v>0</v>
      </c>
      <c r="N29" s="3">
        <v>98.102999999999994</v>
      </c>
      <c r="O29" s="9">
        <v>344.93038974146299</v>
      </c>
    </row>
    <row r="30" spans="1:15">
      <c r="A30" s="1" t="s">
        <v>43</v>
      </c>
      <c r="B30" s="3">
        <v>33.793999999999997</v>
      </c>
      <c r="C30" s="3">
        <v>45.476999999999997</v>
      </c>
      <c r="D30" s="3">
        <v>11.438000000000001</v>
      </c>
      <c r="E30" s="3">
        <v>0</v>
      </c>
      <c r="F30" s="3">
        <v>6.2169999999999996</v>
      </c>
      <c r="G30" s="3">
        <v>8.1000000000000003E-2</v>
      </c>
      <c r="H30" s="3">
        <v>0</v>
      </c>
      <c r="I30" s="3">
        <v>0</v>
      </c>
      <c r="J30" s="3">
        <v>1.4E-2</v>
      </c>
      <c r="K30" s="3">
        <v>0.17100000000000001</v>
      </c>
      <c r="L30" s="3">
        <v>0</v>
      </c>
      <c r="M30" s="3">
        <v>6.0000000000000001E-3</v>
      </c>
      <c r="N30" s="3">
        <v>97.197999999999993</v>
      </c>
      <c r="O30" s="9">
        <v>420.62442553378639</v>
      </c>
    </row>
    <row r="31" spans="1:15">
      <c r="A31" s="2" t="s">
        <v>29</v>
      </c>
      <c r="B31" s="3">
        <f>AVERAGE(B18:B30)</f>
        <v>33.621538461538464</v>
      </c>
      <c r="C31" s="3">
        <f t="shared" ref="C31:N31" si="1">AVERAGE(C18:C30)</f>
        <v>49.68507692307692</v>
      </c>
      <c r="D31" s="3">
        <f t="shared" si="1"/>
        <v>9.2117692307692316</v>
      </c>
      <c r="E31" s="3">
        <f t="shared" si="1"/>
        <v>1.1307692307692309E-2</v>
      </c>
      <c r="F31" s="3">
        <f t="shared" si="1"/>
        <v>5.412230769230769</v>
      </c>
      <c r="G31" s="3">
        <f t="shared" si="1"/>
        <v>5.9692307692307683E-2</v>
      </c>
      <c r="H31" s="3">
        <f t="shared" si="1"/>
        <v>5.8461538461538464E-3</v>
      </c>
      <c r="I31" s="3">
        <f t="shared" si="1"/>
        <v>1.3076923076923079E-3</v>
      </c>
      <c r="J31" s="3">
        <f t="shared" si="1"/>
        <v>6.4615384615384613E-3</v>
      </c>
      <c r="K31" s="3">
        <f t="shared" si="1"/>
        <v>0.13746153846153847</v>
      </c>
      <c r="L31" s="3">
        <f t="shared" si="1"/>
        <v>0</v>
      </c>
      <c r="M31" s="3">
        <f t="shared" si="1"/>
        <v>2.2307692307692306E-3</v>
      </c>
      <c r="N31" s="3">
        <f t="shared" si="1"/>
        <v>98.154923076923083</v>
      </c>
      <c r="O31" s="10">
        <v>370.40751830842237</v>
      </c>
    </row>
    <row r="32" spans="1:15">
      <c r="A32" s="11" t="s">
        <v>44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15">
      <c r="A33" s="1" t="s">
        <v>45</v>
      </c>
      <c r="B33" s="3">
        <v>33.341000000000001</v>
      </c>
      <c r="C33" s="3">
        <v>51.457999999999998</v>
      </c>
      <c r="D33" s="3">
        <v>7.1630000000000003</v>
      </c>
      <c r="E33" s="3">
        <v>2.8000000000000001E-2</v>
      </c>
      <c r="F33" s="3">
        <v>6.1619999999999999</v>
      </c>
      <c r="G33" s="3">
        <v>6.2E-2</v>
      </c>
      <c r="H33" s="3">
        <v>0</v>
      </c>
      <c r="I33" s="3">
        <v>0</v>
      </c>
      <c r="J33" s="3">
        <v>0</v>
      </c>
      <c r="K33" s="3">
        <v>0.126</v>
      </c>
      <c r="L33" s="3">
        <v>0</v>
      </c>
      <c r="M33" s="3">
        <v>0</v>
      </c>
      <c r="N33" s="3">
        <v>98.34</v>
      </c>
      <c r="O33" s="8">
        <v>334.23146285095839</v>
      </c>
    </row>
    <row r="34" spans="1:15">
      <c r="A34" s="1" t="s">
        <v>46</v>
      </c>
      <c r="B34" s="3">
        <v>34.058</v>
      </c>
      <c r="C34" s="3">
        <v>50.808</v>
      </c>
      <c r="D34" s="3">
        <v>7.37</v>
      </c>
      <c r="E34" s="3">
        <v>1.9E-2</v>
      </c>
      <c r="F34" s="3">
        <v>5.6609999999999996</v>
      </c>
      <c r="G34" s="3">
        <v>7.8E-2</v>
      </c>
      <c r="H34" s="3">
        <v>0</v>
      </c>
      <c r="I34" s="3">
        <v>0</v>
      </c>
      <c r="J34" s="3">
        <v>0</v>
      </c>
      <c r="K34" s="3">
        <v>0.14399999999999999</v>
      </c>
      <c r="L34" s="3">
        <v>0</v>
      </c>
      <c r="M34" s="3">
        <v>0</v>
      </c>
      <c r="N34" s="3">
        <v>98.138000000000005</v>
      </c>
      <c r="O34" s="9">
        <v>338.73530516090744</v>
      </c>
    </row>
    <row r="35" spans="1:15">
      <c r="A35" s="1" t="s">
        <v>47</v>
      </c>
      <c r="B35" s="3">
        <v>33.829000000000001</v>
      </c>
      <c r="C35" s="3">
        <v>51.927999999999997</v>
      </c>
      <c r="D35" s="3">
        <v>7.4790000000000001</v>
      </c>
      <c r="E35" s="3">
        <v>1.7999999999999999E-2</v>
      </c>
      <c r="F35" s="3">
        <v>5.9320000000000004</v>
      </c>
      <c r="G35" s="3">
        <v>4.3999999999999997E-2</v>
      </c>
      <c r="H35" s="3">
        <v>0</v>
      </c>
      <c r="I35" s="3">
        <v>0</v>
      </c>
      <c r="J35" s="3">
        <v>2.3E-2</v>
      </c>
      <c r="K35" s="3">
        <v>0.113</v>
      </c>
      <c r="L35" s="3">
        <v>0</v>
      </c>
      <c r="M35" s="3">
        <v>0</v>
      </c>
      <c r="N35" s="3">
        <v>99.366</v>
      </c>
      <c r="O35" s="9">
        <v>337.94334166834557</v>
      </c>
    </row>
    <row r="36" spans="1:15">
      <c r="A36" s="1" t="s">
        <v>48</v>
      </c>
      <c r="B36" s="3">
        <v>34.238999999999997</v>
      </c>
      <c r="C36" s="3">
        <v>52.042000000000002</v>
      </c>
      <c r="D36" s="3">
        <v>7.2489999999999997</v>
      </c>
      <c r="E36" s="3">
        <v>1.7000000000000001E-2</v>
      </c>
      <c r="F36" s="3">
        <v>5.7270000000000003</v>
      </c>
      <c r="G36" s="3">
        <v>8.0000000000000002E-3</v>
      </c>
      <c r="H36" s="3">
        <v>0</v>
      </c>
      <c r="I36" s="3">
        <v>0</v>
      </c>
      <c r="J36" s="3">
        <v>2.4E-2</v>
      </c>
      <c r="K36" s="3">
        <v>9.5000000000000001E-2</v>
      </c>
      <c r="L36" s="3">
        <v>0</v>
      </c>
      <c r="M36" s="3">
        <v>1.7000000000000001E-2</v>
      </c>
      <c r="N36" s="3">
        <v>99.418000000000006</v>
      </c>
      <c r="O36" s="9">
        <v>334.30103200669282</v>
      </c>
    </row>
    <row r="37" spans="1:15">
      <c r="A37" s="1" t="s">
        <v>49</v>
      </c>
      <c r="B37" s="3">
        <v>33.936</v>
      </c>
      <c r="C37" s="3">
        <v>51.320999999999998</v>
      </c>
      <c r="D37" s="3">
        <v>7.4619999999999997</v>
      </c>
      <c r="E37" s="3">
        <v>5.6000000000000001E-2</v>
      </c>
      <c r="F37" s="3">
        <v>6.3789999999999996</v>
      </c>
      <c r="G37" s="3">
        <v>0</v>
      </c>
      <c r="H37" s="3">
        <v>0</v>
      </c>
      <c r="I37" s="3">
        <v>1.4E-2</v>
      </c>
      <c r="J37" s="3">
        <v>2.8000000000000001E-2</v>
      </c>
      <c r="K37" s="3">
        <v>0.105</v>
      </c>
      <c r="L37" s="3">
        <v>0</v>
      </c>
      <c r="M37" s="3">
        <v>0</v>
      </c>
      <c r="N37" s="3">
        <v>99.301000000000002</v>
      </c>
      <c r="O37" s="9">
        <v>338.99889983557489</v>
      </c>
    </row>
    <row r="38" spans="1:15">
      <c r="A38" s="1" t="s">
        <v>50</v>
      </c>
      <c r="B38" s="3">
        <v>33.576000000000001</v>
      </c>
      <c r="C38" s="3">
        <v>51.654000000000003</v>
      </c>
      <c r="D38" s="3">
        <v>7.6180000000000003</v>
      </c>
      <c r="E38" s="3">
        <v>0</v>
      </c>
      <c r="F38" s="3">
        <v>6.1749999999999998</v>
      </c>
      <c r="G38" s="3">
        <v>0</v>
      </c>
      <c r="H38" s="3">
        <v>5.0000000000000001E-3</v>
      </c>
      <c r="I38" s="3">
        <v>0</v>
      </c>
      <c r="J38" s="3">
        <v>8.9999999999999993E-3</v>
      </c>
      <c r="K38" s="3">
        <v>0.125</v>
      </c>
      <c r="L38" s="3">
        <v>0</v>
      </c>
      <c r="M38" s="3">
        <v>0</v>
      </c>
      <c r="N38" s="3">
        <v>99.162000000000006</v>
      </c>
      <c r="O38" s="9">
        <v>340.60101384657088</v>
      </c>
    </row>
    <row r="39" spans="1:15">
      <c r="A39" s="1" t="s">
        <v>51</v>
      </c>
      <c r="B39" s="3">
        <v>31.931999999999999</v>
      </c>
      <c r="C39" s="3">
        <v>47.44</v>
      </c>
      <c r="D39" s="3">
        <v>7.1369999999999996</v>
      </c>
      <c r="E39" s="3">
        <v>9.8000000000000004E-2</v>
      </c>
      <c r="F39" s="3">
        <v>5.7690000000000001</v>
      </c>
      <c r="G39" s="3">
        <v>0</v>
      </c>
      <c r="H39" s="3">
        <v>0</v>
      </c>
      <c r="I39" s="3">
        <v>0</v>
      </c>
      <c r="J39" s="3">
        <v>1.6E-2</v>
      </c>
      <c r="K39" s="3">
        <v>0.14299999999999999</v>
      </c>
      <c r="L39" s="3">
        <v>0</v>
      </c>
      <c r="M39" s="3">
        <v>3.0000000000000001E-3</v>
      </c>
      <c r="N39" s="3">
        <v>92.537999999999997</v>
      </c>
      <c r="O39" s="9">
        <v>342.87897262939424</v>
      </c>
    </row>
    <row r="40" spans="1:15">
      <c r="A40" s="1" t="s">
        <v>52</v>
      </c>
      <c r="B40" s="3">
        <v>33.529000000000003</v>
      </c>
      <c r="C40" s="3">
        <v>51.584000000000003</v>
      </c>
      <c r="D40" s="3">
        <v>7.4249999999999998</v>
      </c>
      <c r="E40" s="3">
        <v>0</v>
      </c>
      <c r="F40" s="3">
        <v>6.0860000000000003</v>
      </c>
      <c r="G40" s="3">
        <v>0</v>
      </c>
      <c r="H40" s="3">
        <v>0</v>
      </c>
      <c r="I40" s="3">
        <v>0</v>
      </c>
      <c r="J40" s="3">
        <v>4.0000000000000001E-3</v>
      </c>
      <c r="K40" s="3">
        <v>8.3000000000000004E-2</v>
      </c>
      <c r="L40" s="3">
        <v>0</v>
      </c>
      <c r="M40" s="3">
        <v>1.6E-2</v>
      </c>
      <c r="N40" s="3">
        <v>98.727000000000004</v>
      </c>
      <c r="O40" s="9">
        <v>337.876908761214</v>
      </c>
    </row>
    <row r="41" spans="1:15">
      <c r="A41" s="1" t="s">
        <v>53</v>
      </c>
      <c r="B41" s="3">
        <v>33.256999999999998</v>
      </c>
      <c r="C41" s="3">
        <v>51.607999999999997</v>
      </c>
      <c r="D41" s="3">
        <v>7.5110000000000001</v>
      </c>
      <c r="E41" s="3">
        <v>0</v>
      </c>
      <c r="F41" s="3">
        <v>5.702</v>
      </c>
      <c r="G41" s="3">
        <v>1.4E-2</v>
      </c>
      <c r="H41" s="3">
        <v>0</v>
      </c>
      <c r="I41" s="3">
        <v>1.2E-2</v>
      </c>
      <c r="J41" s="3">
        <v>1.7999999999999999E-2</v>
      </c>
      <c r="K41" s="3">
        <v>0.113</v>
      </c>
      <c r="L41" s="3">
        <v>0</v>
      </c>
      <c r="M41" s="3">
        <v>0</v>
      </c>
      <c r="N41" s="3">
        <v>98.234999999999999</v>
      </c>
      <c r="O41" s="9">
        <v>339.10727019066815</v>
      </c>
    </row>
    <row r="42" spans="1:15">
      <c r="A42" s="1" t="s">
        <v>54</v>
      </c>
      <c r="B42" s="3">
        <v>33.656999999999996</v>
      </c>
      <c r="C42" s="3">
        <v>50.552999999999997</v>
      </c>
      <c r="D42" s="3">
        <v>8.0429999999999993</v>
      </c>
      <c r="E42" s="3">
        <v>0</v>
      </c>
      <c r="F42" s="3">
        <v>6.2320000000000002</v>
      </c>
      <c r="G42" s="3">
        <v>0</v>
      </c>
      <c r="H42" s="3">
        <v>0</v>
      </c>
      <c r="I42" s="3">
        <v>1.0999999999999999E-2</v>
      </c>
      <c r="J42" s="3">
        <v>3.0000000000000001E-3</v>
      </c>
      <c r="K42" s="3">
        <v>0.15</v>
      </c>
      <c r="L42" s="3">
        <v>0</v>
      </c>
      <c r="M42" s="3">
        <v>1.2999999999999999E-2</v>
      </c>
      <c r="N42" s="3">
        <v>98.662000000000006</v>
      </c>
      <c r="O42" s="9">
        <v>349.53873086737605</v>
      </c>
    </row>
    <row r="43" spans="1:15">
      <c r="A43" s="1" t="s">
        <v>55</v>
      </c>
      <c r="B43" s="3">
        <v>33.430999999999997</v>
      </c>
      <c r="C43" s="3">
        <v>51.433999999999997</v>
      </c>
      <c r="D43" s="3">
        <v>7.7009999999999996</v>
      </c>
      <c r="E43" s="3">
        <v>0</v>
      </c>
      <c r="F43" s="3">
        <v>5.7519999999999998</v>
      </c>
      <c r="G43" s="3">
        <v>0</v>
      </c>
      <c r="H43" s="3">
        <v>4.0000000000000001E-3</v>
      </c>
      <c r="I43" s="3">
        <v>0</v>
      </c>
      <c r="J43" s="3">
        <v>8.9999999999999993E-3</v>
      </c>
      <c r="K43" s="3">
        <v>0.126</v>
      </c>
      <c r="L43" s="3">
        <v>0</v>
      </c>
      <c r="M43" s="3">
        <v>0</v>
      </c>
      <c r="N43" s="3">
        <v>98.456999999999994</v>
      </c>
      <c r="O43" s="9">
        <v>342.32758636161054</v>
      </c>
    </row>
    <row r="44" spans="1:15">
      <c r="A44" s="2" t="s">
        <v>29</v>
      </c>
      <c r="B44" s="3">
        <f>AVERAGE(B33:B43)</f>
        <v>33.525909090909089</v>
      </c>
      <c r="C44" s="3">
        <f t="shared" ref="C44:N44" si="2">AVERAGE(C33:C43)</f>
        <v>51.075454545454548</v>
      </c>
      <c r="D44" s="3">
        <f t="shared" si="2"/>
        <v>7.4689090909090901</v>
      </c>
      <c r="E44" s="3">
        <f t="shared" si="2"/>
        <v>2.1454545454545455E-2</v>
      </c>
      <c r="F44" s="3">
        <f t="shared" si="2"/>
        <v>5.9615454545454547</v>
      </c>
      <c r="G44" s="3">
        <f t="shared" si="2"/>
        <v>1.8727272727272728E-2</v>
      </c>
      <c r="H44" s="3">
        <f t="shared" si="2"/>
        <v>8.1818181818181827E-4</v>
      </c>
      <c r="I44" s="3">
        <f t="shared" si="2"/>
        <v>3.3636363636363642E-3</v>
      </c>
      <c r="J44" s="3">
        <f t="shared" si="2"/>
        <v>1.2181818181818183E-2</v>
      </c>
      <c r="K44" s="3">
        <f t="shared" si="2"/>
        <v>0.12027272727272727</v>
      </c>
      <c r="L44" s="3">
        <f t="shared" si="2"/>
        <v>0</v>
      </c>
      <c r="M44" s="3">
        <f t="shared" si="2"/>
        <v>4.454545454545455E-3</v>
      </c>
      <c r="N44" s="3">
        <f t="shared" si="2"/>
        <v>98.213090909090909</v>
      </c>
      <c r="O44" s="10">
        <v>339.68550219811937</v>
      </c>
    </row>
    <row r="45" spans="1:15">
      <c r="A45" s="11" t="s">
        <v>56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>
      <c r="A46" s="1" t="s">
        <v>57</v>
      </c>
      <c r="B46" s="3">
        <v>32.774000000000001</v>
      </c>
      <c r="C46" s="3">
        <v>54.293999999999997</v>
      </c>
      <c r="D46" s="3">
        <v>10.343</v>
      </c>
      <c r="E46" s="3">
        <v>2E-3</v>
      </c>
      <c r="F46" s="3">
        <v>0.45600000000000002</v>
      </c>
      <c r="G46" s="3">
        <v>7.0000000000000007E-2</v>
      </c>
      <c r="H46" s="3">
        <v>0</v>
      </c>
      <c r="I46" s="3">
        <v>3.0000000000000001E-3</v>
      </c>
      <c r="J46" s="3">
        <v>5.0000000000000001E-3</v>
      </c>
      <c r="K46" s="3">
        <v>0.15</v>
      </c>
      <c r="L46" s="3">
        <v>0</v>
      </c>
      <c r="M46" s="3">
        <v>1.0999999999999999E-2</v>
      </c>
      <c r="N46" s="3">
        <v>98.108000000000004</v>
      </c>
      <c r="O46" s="8">
        <v>373.69220851716159</v>
      </c>
    </row>
    <row r="47" spans="1:15">
      <c r="A47" s="1" t="s">
        <v>58</v>
      </c>
      <c r="B47" s="3">
        <v>32.99</v>
      </c>
      <c r="C47" s="3">
        <v>55.173999999999999</v>
      </c>
      <c r="D47" s="3">
        <v>9.5239999999999991</v>
      </c>
      <c r="E47" s="3">
        <v>0</v>
      </c>
      <c r="F47" s="3">
        <v>0.69099999999999995</v>
      </c>
      <c r="G47" s="3">
        <v>7.0000000000000007E-2</v>
      </c>
      <c r="H47" s="3">
        <v>4.0000000000000001E-3</v>
      </c>
      <c r="I47" s="3">
        <v>6.0000000000000001E-3</v>
      </c>
      <c r="J47" s="3">
        <v>1.2999999999999999E-2</v>
      </c>
      <c r="K47" s="3">
        <v>0.14899999999999999</v>
      </c>
      <c r="L47" s="3">
        <v>0</v>
      </c>
      <c r="M47" s="3">
        <v>1.7000000000000001E-2</v>
      </c>
      <c r="N47" s="3">
        <v>98.638000000000005</v>
      </c>
      <c r="O47" s="9">
        <v>359.93656711215709</v>
      </c>
    </row>
    <row r="48" spans="1:15">
      <c r="A48" s="1" t="s">
        <v>59</v>
      </c>
      <c r="B48" s="3">
        <v>33.514000000000003</v>
      </c>
      <c r="C48" s="3">
        <v>51.231000000000002</v>
      </c>
      <c r="D48" s="3">
        <v>9.6310000000000002</v>
      </c>
      <c r="E48" s="3">
        <v>0</v>
      </c>
      <c r="F48" s="3">
        <v>4.0789999999999997</v>
      </c>
      <c r="G48" s="3">
        <v>7.4999999999999997E-2</v>
      </c>
      <c r="H48" s="3">
        <v>2E-3</v>
      </c>
      <c r="I48" s="3">
        <v>0</v>
      </c>
      <c r="J48" s="3">
        <v>1.4999999999999999E-2</v>
      </c>
      <c r="K48" s="3">
        <v>0.151</v>
      </c>
      <c r="L48" s="3">
        <v>0</v>
      </c>
      <c r="M48" s="3">
        <v>0</v>
      </c>
      <c r="N48" s="3">
        <v>98.697999999999993</v>
      </c>
      <c r="O48" s="9">
        <v>371.76280437175211</v>
      </c>
    </row>
    <row r="49" spans="1:15">
      <c r="A49" s="1" t="s">
        <v>60</v>
      </c>
      <c r="B49" s="3">
        <v>33.42</v>
      </c>
      <c r="C49" s="3">
        <v>55.343000000000004</v>
      </c>
      <c r="D49" s="3">
        <v>8.0340000000000007</v>
      </c>
      <c r="E49" s="3">
        <v>2.1999999999999999E-2</v>
      </c>
      <c r="F49" s="3">
        <v>2.2789999999999999</v>
      </c>
      <c r="G49" s="3">
        <v>0</v>
      </c>
      <c r="H49" s="3">
        <v>0</v>
      </c>
      <c r="I49" s="3">
        <v>0</v>
      </c>
      <c r="J49" s="3">
        <v>1.7000000000000001E-2</v>
      </c>
      <c r="K49" s="3">
        <v>8.2000000000000003E-2</v>
      </c>
      <c r="L49" s="3">
        <v>0</v>
      </c>
      <c r="M49" s="3">
        <v>0</v>
      </c>
      <c r="N49" s="3">
        <v>99.197000000000003</v>
      </c>
      <c r="O49" s="9">
        <v>338.82108500970867</v>
      </c>
    </row>
    <row r="50" spans="1:15">
      <c r="A50" s="1" t="s">
        <v>61</v>
      </c>
      <c r="B50" s="3">
        <v>33.749000000000002</v>
      </c>
      <c r="C50" s="3">
        <v>55.051000000000002</v>
      </c>
      <c r="D50" s="3">
        <v>8.5660000000000007</v>
      </c>
      <c r="E50" s="3">
        <v>2E-3</v>
      </c>
      <c r="F50" s="3">
        <v>1.9930000000000001</v>
      </c>
      <c r="G50" s="3">
        <v>4.8000000000000001E-2</v>
      </c>
      <c r="H50" s="3">
        <v>0</v>
      </c>
      <c r="I50" s="3">
        <v>0</v>
      </c>
      <c r="J50" s="3">
        <v>0</v>
      </c>
      <c r="K50" s="3">
        <v>0.14199999999999999</v>
      </c>
      <c r="L50" s="3">
        <v>0</v>
      </c>
      <c r="M50" s="3">
        <v>1.0999999999999999E-2</v>
      </c>
      <c r="N50" s="3">
        <v>99.561999999999998</v>
      </c>
      <c r="O50" s="9">
        <v>346.84705371103439</v>
      </c>
    </row>
    <row r="51" spans="1:15">
      <c r="A51" s="1" t="s">
        <v>62</v>
      </c>
      <c r="B51" s="3">
        <v>33.896999999999998</v>
      </c>
      <c r="C51" s="3">
        <v>54.176000000000002</v>
      </c>
      <c r="D51" s="3">
        <v>8.3680000000000003</v>
      </c>
      <c r="E51" s="3">
        <v>0</v>
      </c>
      <c r="F51" s="3">
        <v>2.7320000000000002</v>
      </c>
      <c r="G51" s="3">
        <v>1.2E-2</v>
      </c>
      <c r="H51" s="3">
        <v>0</v>
      </c>
      <c r="I51" s="3">
        <v>0</v>
      </c>
      <c r="J51" s="3">
        <v>0</v>
      </c>
      <c r="K51" s="3">
        <v>0.13700000000000001</v>
      </c>
      <c r="L51" s="3">
        <v>0</v>
      </c>
      <c r="M51" s="3">
        <v>0</v>
      </c>
      <c r="N51" s="3">
        <v>99.322000000000003</v>
      </c>
      <c r="O51" s="9">
        <v>345.96887636875829</v>
      </c>
    </row>
    <row r="52" spans="1:15">
      <c r="A52" s="1" t="s">
        <v>63</v>
      </c>
      <c r="B52" s="3">
        <v>33.712000000000003</v>
      </c>
      <c r="C52" s="3">
        <v>51.378999999999998</v>
      </c>
      <c r="D52" s="3">
        <v>8.7210000000000001</v>
      </c>
      <c r="E52" s="3">
        <v>2.7E-2</v>
      </c>
      <c r="F52" s="3">
        <v>4.6840000000000002</v>
      </c>
      <c r="G52" s="3">
        <v>4.3999999999999997E-2</v>
      </c>
      <c r="H52" s="3">
        <v>0</v>
      </c>
      <c r="I52" s="3">
        <v>0</v>
      </c>
      <c r="J52" s="3">
        <v>0</v>
      </c>
      <c r="K52" s="3">
        <v>0.187</v>
      </c>
      <c r="L52" s="3">
        <v>0</v>
      </c>
      <c r="M52" s="3">
        <v>0</v>
      </c>
      <c r="N52" s="3">
        <v>98.754000000000005</v>
      </c>
      <c r="O52" s="9">
        <v>357.72200704568019</v>
      </c>
    </row>
    <row r="53" spans="1:15">
      <c r="A53" s="1" t="s">
        <v>64</v>
      </c>
      <c r="B53" s="3">
        <v>33.969000000000001</v>
      </c>
      <c r="C53" s="3">
        <v>51.814999999999998</v>
      </c>
      <c r="D53" s="3">
        <v>8.4260000000000002</v>
      </c>
      <c r="E53" s="3">
        <v>0</v>
      </c>
      <c r="F53" s="3">
        <v>4.4290000000000003</v>
      </c>
      <c r="G53" s="3">
        <v>3.7999999999999999E-2</v>
      </c>
      <c r="H53" s="3">
        <v>0</v>
      </c>
      <c r="I53" s="3">
        <v>0</v>
      </c>
      <c r="J53" s="3">
        <v>5.0000000000000001E-3</v>
      </c>
      <c r="K53" s="3">
        <v>0.22800000000000001</v>
      </c>
      <c r="L53" s="3">
        <v>0</v>
      </c>
      <c r="M53" s="3">
        <v>1E-3</v>
      </c>
      <c r="N53" s="3">
        <v>98.911000000000001</v>
      </c>
      <c r="O53" s="9">
        <v>352.243848306475</v>
      </c>
    </row>
    <row r="54" spans="1:15">
      <c r="A54" s="1" t="s">
        <v>65</v>
      </c>
      <c r="B54" s="3">
        <v>33.579000000000001</v>
      </c>
      <c r="C54" s="3">
        <v>49.613</v>
      </c>
      <c r="D54" s="3">
        <v>9.1029999999999998</v>
      </c>
      <c r="E54" s="3">
        <v>0</v>
      </c>
      <c r="F54" s="3">
        <v>5.8529999999999998</v>
      </c>
      <c r="G54" s="3">
        <v>9.5000000000000001E-2</v>
      </c>
      <c r="H54" s="3">
        <v>0</v>
      </c>
      <c r="I54" s="3">
        <v>5.0000000000000001E-3</v>
      </c>
      <c r="J54" s="3">
        <v>0</v>
      </c>
      <c r="K54" s="3">
        <v>0.10100000000000001</v>
      </c>
      <c r="L54" s="3">
        <v>0</v>
      </c>
      <c r="M54" s="3">
        <v>0</v>
      </c>
      <c r="N54" s="3">
        <v>98.349000000000004</v>
      </c>
      <c r="O54" s="9">
        <v>368.2924125035467</v>
      </c>
    </row>
    <row r="55" spans="1:15">
      <c r="A55" s="1" t="s">
        <v>66</v>
      </c>
      <c r="B55" s="3">
        <v>33.795999999999999</v>
      </c>
      <c r="C55" s="3">
        <v>50.463000000000001</v>
      </c>
      <c r="D55" s="3">
        <v>9.1389999999999993</v>
      </c>
      <c r="E55" s="3">
        <v>0</v>
      </c>
      <c r="F55" s="3">
        <v>5.5990000000000002</v>
      </c>
      <c r="G55" s="3">
        <v>7.1999999999999995E-2</v>
      </c>
      <c r="H55" s="3">
        <v>0</v>
      </c>
      <c r="I55" s="3">
        <v>0</v>
      </c>
      <c r="J55" s="3">
        <v>2.5000000000000001E-2</v>
      </c>
      <c r="K55" s="3">
        <v>0.12</v>
      </c>
      <c r="L55" s="3">
        <v>0</v>
      </c>
      <c r="M55" s="3">
        <v>5.3999999999999999E-2</v>
      </c>
      <c r="N55" s="3">
        <v>99.268000000000001</v>
      </c>
      <c r="O55" s="9">
        <v>366.46383565110159</v>
      </c>
    </row>
    <row r="56" spans="1:15">
      <c r="A56" s="2" t="s">
        <v>29</v>
      </c>
      <c r="B56" s="3">
        <f>AVERAGE(B46:B55)</f>
        <v>33.540000000000006</v>
      </c>
      <c r="C56" s="3">
        <f t="shared" ref="C56:N56" si="3">AVERAGE(C46:C55)</f>
        <v>52.853899999999996</v>
      </c>
      <c r="D56" s="3">
        <f t="shared" si="3"/>
        <v>8.9854999999999983</v>
      </c>
      <c r="E56" s="3">
        <f t="shared" si="3"/>
        <v>5.3000000000000009E-3</v>
      </c>
      <c r="F56" s="3">
        <f t="shared" si="3"/>
        <v>3.2795000000000001</v>
      </c>
      <c r="G56" s="3">
        <f t="shared" si="3"/>
        <v>5.2399999999999988E-2</v>
      </c>
      <c r="H56" s="3">
        <f t="shared" si="3"/>
        <v>6.0000000000000006E-4</v>
      </c>
      <c r="I56" s="3">
        <f t="shared" si="3"/>
        <v>1.4000000000000002E-3</v>
      </c>
      <c r="J56" s="3">
        <f t="shared" si="3"/>
        <v>8.0000000000000002E-3</v>
      </c>
      <c r="K56" s="3">
        <f t="shared" si="3"/>
        <v>0.1447</v>
      </c>
      <c r="L56" s="3">
        <f t="shared" si="3"/>
        <v>0</v>
      </c>
      <c r="M56" s="3">
        <f t="shared" si="3"/>
        <v>9.4000000000000004E-3</v>
      </c>
      <c r="N56" s="3">
        <f t="shared" si="3"/>
        <v>98.880700000000019</v>
      </c>
      <c r="O56" s="10">
        <v>358.1750698597375</v>
      </c>
    </row>
    <row r="57" spans="1:15">
      <c r="A57" s="11" t="s">
        <v>67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spans="1:15">
      <c r="A58" s="1" t="s">
        <v>68</v>
      </c>
      <c r="B58" s="3">
        <v>33.171999999999997</v>
      </c>
      <c r="C58" s="3">
        <v>59.220999999999997</v>
      </c>
      <c r="D58" s="3">
        <v>6.3369999999999997</v>
      </c>
      <c r="E58" s="3">
        <v>0</v>
      </c>
      <c r="F58" s="3">
        <v>5.0999999999999997E-2</v>
      </c>
      <c r="G58" s="3">
        <v>0.112</v>
      </c>
      <c r="H58" s="3">
        <v>0</v>
      </c>
      <c r="I58" s="3">
        <v>0</v>
      </c>
      <c r="J58" s="3">
        <v>0</v>
      </c>
      <c r="K58" s="3">
        <v>0.14000000000000001</v>
      </c>
      <c r="L58" s="3">
        <v>0</v>
      </c>
      <c r="M58" s="3">
        <v>0</v>
      </c>
      <c r="N58" s="3">
        <v>99.033000000000001</v>
      </c>
      <c r="O58" s="8">
        <v>309.46612363337852</v>
      </c>
    </row>
    <row r="59" spans="1:15">
      <c r="A59" s="1" t="s">
        <v>69</v>
      </c>
      <c r="B59" s="3">
        <v>32.984999999999999</v>
      </c>
      <c r="C59" s="3">
        <v>59.651000000000003</v>
      </c>
      <c r="D59" s="3">
        <v>5.8289999999999997</v>
      </c>
      <c r="E59" s="3">
        <v>3.0000000000000001E-3</v>
      </c>
      <c r="F59" s="3">
        <v>5.3999999999999999E-2</v>
      </c>
      <c r="G59" s="3">
        <v>0.09</v>
      </c>
      <c r="H59" s="3">
        <v>0</v>
      </c>
      <c r="I59" s="3">
        <v>3.3000000000000002E-2</v>
      </c>
      <c r="J59" s="3">
        <v>2.3E-2</v>
      </c>
      <c r="K59" s="3">
        <v>0.14199999999999999</v>
      </c>
      <c r="L59" s="3">
        <v>0</v>
      </c>
      <c r="M59" s="3">
        <v>7.0000000000000001E-3</v>
      </c>
      <c r="N59" s="3">
        <v>98.816999999999993</v>
      </c>
      <c r="O59" s="9">
        <v>302.3218425637329</v>
      </c>
    </row>
    <row r="60" spans="1:15">
      <c r="A60" s="1" t="s">
        <v>70</v>
      </c>
      <c r="B60" s="3">
        <v>33.185000000000002</v>
      </c>
      <c r="C60" s="3">
        <v>59.606999999999999</v>
      </c>
      <c r="D60" s="3">
        <v>6.1230000000000002</v>
      </c>
      <c r="E60" s="3">
        <v>0</v>
      </c>
      <c r="F60" s="3">
        <v>6.8000000000000005E-2</v>
      </c>
      <c r="G60" s="3">
        <v>4.1000000000000002E-2</v>
      </c>
      <c r="H60" s="3">
        <v>0</v>
      </c>
      <c r="I60" s="3">
        <v>0</v>
      </c>
      <c r="J60" s="3">
        <v>3.1E-2</v>
      </c>
      <c r="K60" s="3">
        <v>0.151</v>
      </c>
      <c r="L60" s="3">
        <v>0</v>
      </c>
      <c r="M60" s="3">
        <v>0</v>
      </c>
      <c r="N60" s="3">
        <v>99.206000000000003</v>
      </c>
      <c r="O60" s="9">
        <v>306.17141120493073</v>
      </c>
    </row>
    <row r="61" spans="1:15">
      <c r="A61" s="1" t="s">
        <v>71</v>
      </c>
      <c r="B61" s="3">
        <v>33.411999999999999</v>
      </c>
      <c r="C61" s="3">
        <v>59.368000000000002</v>
      </c>
      <c r="D61" s="3">
        <v>6.24</v>
      </c>
      <c r="E61" s="3">
        <v>0</v>
      </c>
      <c r="F61" s="3">
        <v>9.5000000000000001E-2</v>
      </c>
      <c r="G61" s="3">
        <v>7.1999999999999995E-2</v>
      </c>
      <c r="H61" s="3">
        <v>1.0999999999999999E-2</v>
      </c>
      <c r="I61" s="3">
        <v>1.2E-2</v>
      </c>
      <c r="J61" s="3">
        <v>0</v>
      </c>
      <c r="K61" s="3">
        <v>9.8000000000000004E-2</v>
      </c>
      <c r="L61" s="3">
        <v>0</v>
      </c>
      <c r="M61" s="3">
        <v>0</v>
      </c>
      <c r="N61" s="3">
        <v>99.308000000000007</v>
      </c>
      <c r="O61" s="9">
        <v>308.00548339950041</v>
      </c>
    </row>
    <row r="62" spans="1:15">
      <c r="A62" s="1" t="s">
        <v>72</v>
      </c>
      <c r="B62" s="3">
        <v>33.262999999999998</v>
      </c>
      <c r="C62" s="3">
        <v>59.079000000000001</v>
      </c>
      <c r="D62" s="3">
        <v>6.3650000000000002</v>
      </c>
      <c r="E62" s="3">
        <v>0</v>
      </c>
      <c r="F62" s="3">
        <v>0.104</v>
      </c>
      <c r="G62" s="3">
        <v>0.123</v>
      </c>
      <c r="H62" s="3">
        <v>1E-3</v>
      </c>
      <c r="I62" s="3">
        <v>0</v>
      </c>
      <c r="J62" s="3">
        <v>1.0999999999999999E-2</v>
      </c>
      <c r="K62" s="3">
        <v>0.14199999999999999</v>
      </c>
      <c r="L62" s="3">
        <v>0</v>
      </c>
      <c r="M62" s="3">
        <v>0</v>
      </c>
      <c r="N62" s="3">
        <v>99.087999999999994</v>
      </c>
      <c r="O62" s="9">
        <v>310.02853675717137</v>
      </c>
    </row>
    <row r="63" spans="1:15">
      <c r="A63" s="5" t="s">
        <v>29</v>
      </c>
      <c r="B63" s="6">
        <f>AVERAGE(B58:B62)</f>
        <v>33.203400000000002</v>
      </c>
      <c r="C63" s="6">
        <f t="shared" ref="C63:N63" si="4">AVERAGE(C58:C62)</f>
        <v>59.385199999999998</v>
      </c>
      <c r="D63" s="6">
        <f t="shared" si="4"/>
        <v>6.1788000000000007</v>
      </c>
      <c r="E63" s="6">
        <f t="shared" si="4"/>
        <v>6.0000000000000006E-4</v>
      </c>
      <c r="F63" s="6">
        <f t="shared" si="4"/>
        <v>7.4399999999999994E-2</v>
      </c>
      <c r="G63" s="6">
        <f t="shared" si="4"/>
        <v>8.7599999999999997E-2</v>
      </c>
      <c r="H63" s="6">
        <f t="shared" si="4"/>
        <v>2.4000000000000002E-3</v>
      </c>
      <c r="I63" s="6">
        <f t="shared" si="4"/>
        <v>8.9999999999999993E-3</v>
      </c>
      <c r="J63" s="6">
        <f t="shared" si="4"/>
        <v>1.3000000000000001E-2</v>
      </c>
      <c r="K63" s="6">
        <f t="shared" si="4"/>
        <v>0.1346</v>
      </c>
      <c r="L63" s="6">
        <f t="shared" si="4"/>
        <v>0</v>
      </c>
      <c r="M63" s="6">
        <f t="shared" si="4"/>
        <v>1.4E-3</v>
      </c>
      <c r="N63" s="6">
        <f t="shared" si="4"/>
        <v>99.090400000000002</v>
      </c>
      <c r="O63" s="10">
        <v>307.19867951174285</v>
      </c>
    </row>
  </sheetData>
  <mergeCells count="6">
    <mergeCell ref="A57:O57"/>
    <mergeCell ref="A3:O3"/>
    <mergeCell ref="A17:O17"/>
    <mergeCell ref="A1:O1"/>
    <mergeCell ref="A32:O32"/>
    <mergeCell ref="A45:O45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2C569F-A7C4-4298-9933-0EAD239B77C1}"/>
</file>

<file path=customXml/itemProps2.xml><?xml version="1.0" encoding="utf-8"?>
<ds:datastoreItem xmlns:ds="http://schemas.openxmlformats.org/officeDocument/2006/customXml" ds:itemID="{9EA92E9D-5937-4D8F-8040-0CC38403B140}"/>
</file>

<file path=customXml/itemProps3.xml><?xml version="1.0" encoding="utf-8"?>
<ds:datastoreItem xmlns:ds="http://schemas.openxmlformats.org/officeDocument/2006/customXml" ds:itemID="{481A0BCD-7FA5-4014-86F1-F88CB82ADF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柳渊</dc:creator>
  <cp:keywords/>
  <dc:description/>
  <cp:lastModifiedBy>渊 柳</cp:lastModifiedBy>
  <cp:revision/>
  <dcterms:created xsi:type="dcterms:W3CDTF">2015-06-05T18:19:34Z</dcterms:created>
  <dcterms:modified xsi:type="dcterms:W3CDTF">2025-02-04T19:57:48Z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